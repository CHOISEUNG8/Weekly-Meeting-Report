
<file path=[Content_Types].xml><?xml version="1.0" encoding="utf-8"?>
<Types xmlns="http://schemas.openxmlformats.org/package/2006/content-type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D:\development\주간 회의록\"/>
    </mc:Choice>
  </mc:AlternateContent>
  <xr:revisionPtr revIDLastSave="0" documentId="8_{A0CA3984-A298-49A9-9EF0-688E67EE88BF}" xr6:coauthVersionLast="47" xr6:coauthVersionMax="47" xr10:uidLastSave="{00000000-0000-0000-0000-000000000000}"/>
  <bookViews>
    <workbookView xWindow="28815" yWindow="1395" windowWidth="26250" windowHeight="14175" firstSheet="1" activeTab="1" xr2:uid="{47F6614D-9C74-48FF-AF0F-FC0C6ADE5D47}"/>
  </bookViews>
  <sheets>
    <sheet name="대시보드" sheetId="7" state="hidden" r:id="rId1"/>
    <sheet name="11월 raw" sheetId="6" r:id="rId2"/>
    <sheet name="12월 raw" sheetId="1" r:id="rId3"/>
    <sheet name="스마트공장" sheetId="9" r:id="rId4"/>
  </sheets>
  <externalReferences>
    <externalReference r:id="rId5"/>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s>
  <definedNames>
    <definedName name="_?쾴?">#REF!</definedName>
    <definedName name="_?쾴?_?">#REF!</definedName>
    <definedName name="_?쾴?___P">#REF!</definedName>
    <definedName name="_?쾴?_T">#REF!</definedName>
    <definedName name="______________PRO8">#REF!</definedName>
    <definedName name="______________PRO9">#REF!</definedName>
    <definedName name="___________A1" hidden="1">{#N/A,#N/A,TRUE,"Basic";#N/A,#N/A,TRUE,"EXT-TABLE";#N/A,#N/A,TRUE,"STEEL";#N/A,#N/A,TRUE,"INT-Table";#N/A,#N/A,TRUE,"STEEL";#N/A,#N/A,TRUE,"Door"}</definedName>
    <definedName name="___________KT66">[0]!___________KT66</definedName>
    <definedName name="___________NO11">#REF!</definedName>
    <definedName name="___________NO13">#REF!</definedName>
    <definedName name="___________NO17">#REF!</definedName>
    <definedName name="___________NO21">#REF!</definedName>
    <definedName name="___________NO26">#REF!</definedName>
    <definedName name="___________NO32">#REF!</definedName>
    <definedName name="___________NO39">#REF!</definedName>
    <definedName name="___________NO49">#REF!</definedName>
    <definedName name="___________NO61">#REF!</definedName>
    <definedName name="___________NO7">#REF!</definedName>
    <definedName name="___________NO74">#REF!</definedName>
    <definedName name="___________NO9">#REF!</definedName>
    <definedName name="___________NO92">#REF!</definedName>
    <definedName name="___________PRO8">#REF!</definedName>
    <definedName name="___________PRO9">#REF!</definedName>
    <definedName name="__________KT66">[0]!__________KT66</definedName>
    <definedName name="__________PRO8">#REF!</definedName>
    <definedName name="__________PRO9">#REF!</definedName>
    <definedName name="_________KT66">[0]!_________KT66</definedName>
    <definedName name="_________PRO1">#REF!</definedName>
    <definedName name="_________PRO2">#REF!</definedName>
    <definedName name="_________PRO4">#REF!</definedName>
    <definedName name="_________PRO5">#REF!</definedName>
    <definedName name="_________PRO6">#REF!</definedName>
    <definedName name="_________PRO7">#REF!</definedName>
    <definedName name="________KT66">[0]!________KT66</definedName>
    <definedName name="________NO11">#REF!</definedName>
    <definedName name="________NO13">#REF!</definedName>
    <definedName name="________NO17">#REF!</definedName>
    <definedName name="________NO21">#REF!</definedName>
    <definedName name="________NO26">#REF!</definedName>
    <definedName name="________NO32">#REF!</definedName>
    <definedName name="________NO39">#REF!</definedName>
    <definedName name="________NO49">#REF!</definedName>
    <definedName name="________NO61">#REF!</definedName>
    <definedName name="________NO7">#REF!</definedName>
    <definedName name="________NO74">#REF!</definedName>
    <definedName name="________NO9">#REF!</definedName>
    <definedName name="________NO92">#REF!</definedName>
    <definedName name="________PRO1">#REF!</definedName>
    <definedName name="________PRO2">#REF!</definedName>
    <definedName name="________PRO4">#REF!</definedName>
    <definedName name="________PRO5">#REF!</definedName>
    <definedName name="________PRO6">#REF!</definedName>
    <definedName name="________PRO7">#REF!</definedName>
    <definedName name="________PRO8">#REF!</definedName>
    <definedName name="________PRO9">#REF!</definedName>
    <definedName name="_______BBJ3">'[1]95삼성급(본사)'!#REF!</definedName>
    <definedName name="_______BCJ3">'[1]95삼성급(본사)'!#REF!</definedName>
    <definedName name="_______BDR3">'[1]95삼성급(본사)'!#REF!</definedName>
    <definedName name="_______BGJ3">'[1]95삼성급(본사)'!#REF!</definedName>
    <definedName name="_______KT66">[0]!_______KT66</definedName>
    <definedName name="_______NO11">#REF!</definedName>
    <definedName name="_______NO13">#REF!</definedName>
    <definedName name="_______NO17">#REF!</definedName>
    <definedName name="_______NO21">#REF!</definedName>
    <definedName name="_______NO26">#REF!</definedName>
    <definedName name="_______NO32">#REF!</definedName>
    <definedName name="_______NO39">#REF!</definedName>
    <definedName name="_______NO49">#REF!</definedName>
    <definedName name="_______NO61">#REF!</definedName>
    <definedName name="_______NO7">#REF!</definedName>
    <definedName name="_______NO74">#REF!</definedName>
    <definedName name="_______NO9">#REF!</definedName>
    <definedName name="_______NO92">#REF!</definedName>
    <definedName name="_______PRO1">#REF!</definedName>
    <definedName name="_______PRO2">#REF!</definedName>
    <definedName name="_______PRO3">[2]PRO_DCI!#REF!</definedName>
    <definedName name="_______PRO4">#REF!</definedName>
    <definedName name="_______PRO5">#REF!</definedName>
    <definedName name="_______PRO6">#REF!</definedName>
    <definedName name="_______PRO7">#REF!</definedName>
    <definedName name="_______PRO8">#REF!</definedName>
    <definedName name="_______PRO9">#REF!</definedName>
    <definedName name="_______SHT2">'[3]L V Separator'!#REF!</definedName>
    <definedName name="_______SHT3">'[3]L V Separator'!#REF!</definedName>
    <definedName name="_______T1">[4]집계표!#REF!</definedName>
    <definedName name="______A1" hidden="1">{#N/A,#N/A,TRUE,"Basic";#N/A,#N/A,TRUE,"EXT-TABLE";#N/A,#N/A,TRUE,"STEEL";#N/A,#N/A,TRUE,"INT-Table";#N/A,#N/A,TRUE,"STEEL";#N/A,#N/A,TRUE,"Door"}</definedName>
    <definedName name="______A66">[0]!___________KT66</definedName>
    <definedName name="______ac4">#N/A</definedName>
    <definedName name="______B10">[4]집계표!#REF!</definedName>
    <definedName name="______B2">[4]집계표!#REF!</definedName>
    <definedName name="______B3">[4]집계표!#REF!</definedName>
    <definedName name="______B4">[4]집계표!#REF!</definedName>
    <definedName name="______B5">[4]집계표!#REF!</definedName>
    <definedName name="______B6">[4]집계표!#REF!</definedName>
    <definedName name="______B7">[4]집계표!#REF!</definedName>
    <definedName name="______B8">[4]집계표!#REF!</definedName>
    <definedName name="______B9">[4]집계표!#REF!</definedName>
    <definedName name="______BP1">[4]집계표!#REF!</definedName>
    <definedName name="______BP5">[4]집계표!#REF!</definedName>
    <definedName name="______CC1">[4]집계표!#REF!</definedName>
    <definedName name="______CC5">[4]집계표!#REF!</definedName>
    <definedName name="______CD1">[4]집계표!#REF!</definedName>
    <definedName name="______CD5">[4]집계표!#REF!</definedName>
    <definedName name="______CO1">[4]집계표!#REF!</definedName>
    <definedName name="______CO5">[4]집계표!#REF!</definedName>
    <definedName name="______CON1">[4]집계표!#REF!</definedName>
    <definedName name="______CON5">[4]집계표!#REF!</definedName>
    <definedName name="______DP1">[4]집계표!#REF!</definedName>
    <definedName name="______DP5">[4]집계표!#REF!</definedName>
    <definedName name="______END2">'[4]개시대사 (2)'!#REF!</definedName>
    <definedName name="______F1">[4]집계표!#REF!</definedName>
    <definedName name="______F5">[4]집계표!#REF!</definedName>
    <definedName name="______H1">[4]집계표!#REF!</definedName>
    <definedName name="______H5">[4]집계표!#REF!</definedName>
    <definedName name="______I1">[4]집계표!#REF!</definedName>
    <definedName name="______I5">[4]집계표!#REF!</definedName>
    <definedName name="______KT66">[0]!______KT66</definedName>
    <definedName name="______L1">[4]집계표!#REF!</definedName>
    <definedName name="______L5">[4]집계표!#REF!</definedName>
    <definedName name="______M1">[4]집계표!#REF!</definedName>
    <definedName name="______M5">[4]집계표!#REF!</definedName>
    <definedName name="______NOC1">[4]집계표!#REF!</definedName>
    <definedName name="______NOC5">[4]집계표!#REF!</definedName>
    <definedName name="______OUT1">[4]집계표!#REF!</definedName>
    <definedName name="______OUT4">[4]집계표!#REF!</definedName>
    <definedName name="______OUT5">[4]집계표!#REF!</definedName>
    <definedName name="______PRN5">[5]본지점중!#REF!</definedName>
    <definedName name="______PRO1">#REF!</definedName>
    <definedName name="______PRO2">#REF!</definedName>
    <definedName name="______PRO4">#REF!</definedName>
    <definedName name="______PRO5">#REF!</definedName>
    <definedName name="______PRO6">#REF!</definedName>
    <definedName name="______PRO7">#REF!</definedName>
    <definedName name="______PRO8">#REF!</definedName>
    <definedName name="______PRO9">#REF!</definedName>
    <definedName name="______PW1">[4]집계표!#REF!</definedName>
    <definedName name="______PW5">[4]집계표!#REF!</definedName>
    <definedName name="______RI1">[4]집계표!#REF!</definedName>
    <definedName name="______RI5">[4]집계표!#REF!</definedName>
    <definedName name="______S1">[4]집계표!#REF!</definedName>
    <definedName name="______S5">[4]집계표!#REF!</definedName>
    <definedName name="______SI1">[4]집계표!#REF!</definedName>
    <definedName name="______SI5">[4]집계표!#REF!</definedName>
    <definedName name="______STM11">#REF!</definedName>
    <definedName name="______T5">[4]집계표!#REF!</definedName>
    <definedName name="______TB1">#REF!</definedName>
    <definedName name="______TV1">[4]집계표!#REF!</definedName>
    <definedName name="______TV5">[4]집계표!#REF!</definedName>
    <definedName name="______V1">[4]집계표!#REF!</definedName>
    <definedName name="______V5">[4]집계표!#REF!</definedName>
    <definedName name="______W1">[4]집계표!#REF!</definedName>
    <definedName name="______W5">[4]집계표!#REF!</definedName>
    <definedName name="_____A66">[0]!______KT66</definedName>
    <definedName name="_____ac4">#N/A</definedName>
    <definedName name="_____B1">#REF!</definedName>
    <definedName name="_____FLL2" hidden="1">#REF!</definedName>
    <definedName name="_____KT66">[0]!_____KT66</definedName>
    <definedName name="_____NO11">#REF!</definedName>
    <definedName name="_____NO13">#REF!</definedName>
    <definedName name="_____NO17">#REF!</definedName>
    <definedName name="_____NO21">#REF!</definedName>
    <definedName name="_____NO26">#REF!</definedName>
    <definedName name="_____NO32">#REF!</definedName>
    <definedName name="_____NO39">#REF!</definedName>
    <definedName name="_____NO49">#REF!</definedName>
    <definedName name="_____NO61">#REF!</definedName>
    <definedName name="_____NO7">#REF!</definedName>
    <definedName name="_____NO74">#REF!</definedName>
    <definedName name="_____NO9">#REF!</definedName>
    <definedName name="_____NO92">#REF!</definedName>
    <definedName name="_____PRO1">#REF!</definedName>
    <definedName name="_____PRO2">#REF!</definedName>
    <definedName name="_____PRO4">#REF!</definedName>
    <definedName name="_____PRO5">#REF!</definedName>
    <definedName name="_____PRO6">#REF!</definedName>
    <definedName name="_____PRO7">#REF!</definedName>
    <definedName name="_____PRO8">#REF!</definedName>
    <definedName name="_____PRO9">#REF!</definedName>
    <definedName name="_____STM11">#REF!</definedName>
    <definedName name="_____TB1">#REF!</definedName>
    <definedName name="____A1">#REF!</definedName>
    <definedName name="____B1">#REF!</definedName>
    <definedName name="____FLL2" hidden="1">#REF!</definedName>
    <definedName name="____KT66">[0]!____KT66</definedName>
    <definedName name="____PRO1">#REF!</definedName>
    <definedName name="____PRO2">#REF!</definedName>
    <definedName name="____PRO4">#REF!</definedName>
    <definedName name="____PRO5">#REF!</definedName>
    <definedName name="____PRO6">#REF!</definedName>
    <definedName name="____PRO7">#REF!</definedName>
    <definedName name="____PRO8">#REF!</definedName>
    <definedName name="____PRO9">#REF!</definedName>
    <definedName name="____STM11">#REF!</definedName>
    <definedName name="____TB1">#REF!</definedName>
    <definedName name="___A1">#REF!</definedName>
    <definedName name="___B1">#REF!</definedName>
    <definedName name="___FLL2" hidden="1">#REF!</definedName>
    <definedName name="___KT66">[0]!___KT66</definedName>
    <definedName name="___NO11">#REF!</definedName>
    <definedName name="___NO13">#REF!</definedName>
    <definedName name="___NO17">#REF!</definedName>
    <definedName name="___NO21">#REF!</definedName>
    <definedName name="___NO26">#REF!</definedName>
    <definedName name="___NO32">#REF!</definedName>
    <definedName name="___NO39">#REF!</definedName>
    <definedName name="___NO49">#REF!</definedName>
    <definedName name="___NO61">#REF!</definedName>
    <definedName name="___NO7">#REF!</definedName>
    <definedName name="___NO74">#REF!</definedName>
    <definedName name="___NO9">#REF!</definedName>
    <definedName name="___NO92">#REF!</definedName>
    <definedName name="___plc1">[6]INSTR!$A$5:$M$208</definedName>
    <definedName name="___PRO1">#REF!</definedName>
    <definedName name="___PRO2">#REF!</definedName>
    <definedName name="___PRO4">#REF!</definedName>
    <definedName name="___PRO5">#REF!</definedName>
    <definedName name="___PRO6">#REF!</definedName>
    <definedName name="___PRO7">#REF!</definedName>
    <definedName name="___PRO8">#REF!</definedName>
    <definedName name="___PRO9">#REF!</definedName>
    <definedName name="___SHT2">'[3]L V Separator'!#REF!</definedName>
    <definedName name="___SHT3">'[3]L V Separator'!#REF!</definedName>
    <definedName name="___STM11">#REF!</definedName>
    <definedName name="___TB1">#REF!</definedName>
    <definedName name="__123Graph_A" hidden="1">[7]DRUM!#REF!</definedName>
    <definedName name="__123Graph_B" hidden="1">[7]DRUM!#REF!</definedName>
    <definedName name="__123Graph_C" hidden="1">[7]DRUM!#REF!</definedName>
    <definedName name="__123Graph_D" hidden="1">[7]DRUM!#REF!</definedName>
    <definedName name="__123Graph_E" hidden="1">#REF!</definedName>
    <definedName name="__123Graph_X" hidden="1">[7]DRUM!#REF!</definedName>
    <definedName name="__A1" hidden="1">{#N/A,#N/A,TRUE,"Basic";#N/A,#N/A,TRUE,"EXT-TABLE";#N/A,#N/A,TRUE,"STEEL";#N/A,#N/A,TRUE,"INT-Table";#N/A,#N/A,TRUE,"STEEL";#N/A,#N/A,TRUE,"Door"}</definedName>
    <definedName name="__A66">[0]!__KT66</definedName>
    <definedName name="__ac4">#N/A</definedName>
    <definedName name="__B1">#REF!</definedName>
    <definedName name="__BBJ3">'[8]95삼성급(본사)'!#REF!</definedName>
    <definedName name="__BCJ3">'[8]95삼성급(본사)'!#REF!</definedName>
    <definedName name="__BDR3">'[8]95삼성급(본사)'!#REF!</definedName>
    <definedName name="__BGJ3">'[8]95삼성급(본사)'!#REF!</definedName>
    <definedName name="__FLL2" hidden="1">#REF!</definedName>
    <definedName name="__KT66">#N/A</definedName>
    <definedName name="__NO11">#REF!</definedName>
    <definedName name="__NO13">#REF!</definedName>
    <definedName name="__NO17">#REF!</definedName>
    <definedName name="__NO21">#REF!</definedName>
    <definedName name="__NO26">#REF!</definedName>
    <definedName name="__NO32">#REF!</definedName>
    <definedName name="__NO39">#REF!</definedName>
    <definedName name="__NO49">#REF!</definedName>
    <definedName name="__NO61">#REF!</definedName>
    <definedName name="__NO7">#REF!</definedName>
    <definedName name="__NO74">#REF!</definedName>
    <definedName name="__NO9">#REF!</definedName>
    <definedName name="__NO92">#REF!</definedName>
    <definedName name="__plc1">[6]INSTR!$A$5:$M$208</definedName>
    <definedName name="__PRO1">#REF!</definedName>
    <definedName name="__PRO2">#REF!</definedName>
    <definedName name="__PRO3">[2]PRO_DCI!#REF!</definedName>
    <definedName name="__PRO4">#REF!</definedName>
    <definedName name="__PRO5">#REF!</definedName>
    <definedName name="__PRO6">#REF!</definedName>
    <definedName name="__PRO7">#REF!</definedName>
    <definedName name="__PRO8">#REF!</definedName>
    <definedName name="__PRO9">#REF!</definedName>
    <definedName name="__SHT1">'[3]L V Separator'!$A$1:$AC$65</definedName>
    <definedName name="__STM11">#REF!</definedName>
    <definedName name="__T1">[4]집계표!#REF!</definedName>
    <definedName name="__TB1">#REF!</definedName>
    <definedName name="_001"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_002"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_1_?쾴?">#REF!</definedName>
    <definedName name="_1000A01">#N/A</definedName>
    <definedName name="_10A_">[9]연돌일위집계!#REF!</definedName>
    <definedName name="_10A_1">[9]연돌일위집계!#REF!</definedName>
    <definedName name="_10A_10">[9]연돌일위집계!#REF!</definedName>
    <definedName name="_10A_11">[9]연돌일위집계!#REF!</definedName>
    <definedName name="_10A_12">[9]연돌일위집계!#REF!</definedName>
    <definedName name="_10A_13">[9]연돌일위집계!#REF!</definedName>
    <definedName name="_10A_14">[9]연돌일위집계!#REF!</definedName>
    <definedName name="_10A_15">[9]연돌일위집계!#REF!</definedName>
    <definedName name="_10A_16">[9]연돌일위집계!#REF!</definedName>
    <definedName name="_10A_17">[9]연돌일위집계!#REF!</definedName>
    <definedName name="_10A_18">[9]연돌일위집계!#REF!</definedName>
    <definedName name="_10A_19">[9]연돌일위집계!#REF!</definedName>
    <definedName name="_10A_2">[9]연돌일위집계!#REF!</definedName>
    <definedName name="_10A_20">[9]연돌일위집계!#REF!</definedName>
    <definedName name="_10A_21">[9]연돌일위집계!#REF!</definedName>
    <definedName name="_10A_22">[9]연돌일위집계!#REF!</definedName>
    <definedName name="_10A_23">[9]연돌일위집계!#REF!</definedName>
    <definedName name="_10A_24">[9]연돌일위집계!#REF!</definedName>
    <definedName name="_10A_25">[9]연돌일위집계!#REF!</definedName>
    <definedName name="_10A_26">[9]연돌일위집계!#REF!</definedName>
    <definedName name="_10A_27">[9]연돌일위집계!#REF!</definedName>
    <definedName name="_10A_28">[9]연돌일위집계!#REF!</definedName>
    <definedName name="_10A_29">[9]연돌일위집계!#REF!</definedName>
    <definedName name="_10A_3">[9]연돌일위집계!#REF!</definedName>
    <definedName name="_10A_30">[9]연돌일위집계!#REF!</definedName>
    <definedName name="_10A_31">[9]연돌일위집계!#REF!</definedName>
    <definedName name="_10A_32">[9]연돌일위집계!#REF!</definedName>
    <definedName name="_10A_33">[9]연돌일위집계!#REF!</definedName>
    <definedName name="_10A_34">[9]연돌일위집계!#REF!</definedName>
    <definedName name="_10A_35">[9]연돌일위집계!#REF!</definedName>
    <definedName name="_10A_36">[9]연돌일위집계!#REF!</definedName>
    <definedName name="_10A_37">[9]연돌일위집계!#REF!</definedName>
    <definedName name="_10A_38">[9]연돌일위집계!#REF!</definedName>
    <definedName name="_10A_39">[9]연돌일위집계!#REF!</definedName>
    <definedName name="_10A_4">[9]연돌일위집계!#REF!</definedName>
    <definedName name="_10A_40">[9]연돌일위집계!#REF!</definedName>
    <definedName name="_10A_41">[9]연돌일위집계!#REF!</definedName>
    <definedName name="_10A_42">[9]연돌일위집계!#REF!</definedName>
    <definedName name="_10A_43">[9]연돌일위집계!#REF!</definedName>
    <definedName name="_10A_44">[9]연돌일위집계!#REF!</definedName>
    <definedName name="_10A_45">[9]연돌일위집계!#REF!</definedName>
    <definedName name="_10A_46">[9]연돌일위집계!#REF!</definedName>
    <definedName name="_10A_47">[9]연돌일위집계!#REF!</definedName>
    <definedName name="_10A_48">[9]연돌일위집계!#REF!</definedName>
    <definedName name="_10A_49">[9]연돌일위집계!#REF!</definedName>
    <definedName name="_10A_5">[9]연돌일위집계!#REF!</definedName>
    <definedName name="_10A_50">[9]연돌일위집계!#REF!</definedName>
    <definedName name="_10A_51">[9]연돌일위집계!#REF!</definedName>
    <definedName name="_10A_52">[9]연돌일위집계!#REF!</definedName>
    <definedName name="_10A_53">[9]연돌일위집계!#REF!</definedName>
    <definedName name="_10A_54">[9]연돌일위집계!#REF!</definedName>
    <definedName name="_10A_55">[9]연돌일위집계!#REF!</definedName>
    <definedName name="_10A_56">[9]연돌일위집계!#REF!</definedName>
    <definedName name="_10A_57">[9]연돌일위집계!#REF!</definedName>
    <definedName name="_10A_58">[9]연돌일위집계!#REF!</definedName>
    <definedName name="_10A_59">[9]연돌일위집계!#REF!</definedName>
    <definedName name="_10A_6">[9]연돌일위집계!#REF!</definedName>
    <definedName name="_10A_60">[9]연돌일위집계!#REF!</definedName>
    <definedName name="_10A_61">#N/A</definedName>
    <definedName name="_10A_62">#N/A</definedName>
    <definedName name="_10A_63">#REF!</definedName>
    <definedName name="_10A_64">#N/A</definedName>
    <definedName name="_10A_65">#N/A</definedName>
    <definedName name="_10A_66">#N/A</definedName>
    <definedName name="_10A_67">#N/A</definedName>
    <definedName name="_10A_68">#N/A</definedName>
    <definedName name="_10A_69">#N/A</definedName>
    <definedName name="_10A_7">[9]연돌일위집계!#REF!</definedName>
    <definedName name="_10A_70">#N/A</definedName>
    <definedName name="_10A_71">#N/A</definedName>
    <definedName name="_10A_72">#N/A</definedName>
    <definedName name="_10A_73">#N/A</definedName>
    <definedName name="_10A_74">#N/A</definedName>
    <definedName name="_10A_75">#N/A</definedName>
    <definedName name="_10A_76">#N/A</definedName>
    <definedName name="_10A_77">#N/A</definedName>
    <definedName name="_10A_78">#N/A</definedName>
    <definedName name="_10A_79">#N/A</definedName>
    <definedName name="_10A_8">[9]연돌일위집계!#REF!</definedName>
    <definedName name="_10A_80">#N/A</definedName>
    <definedName name="_10A_81">#N/A</definedName>
    <definedName name="_10A_82">#N/A</definedName>
    <definedName name="_10A_83">#N/A</definedName>
    <definedName name="_10A_84">#N/A</definedName>
    <definedName name="_10A_85">#N/A</definedName>
    <definedName name="_10A_86">#N/A</definedName>
    <definedName name="_10A_87">#N/A</definedName>
    <definedName name="_10A_88">#N/A</definedName>
    <definedName name="_10A_89">#N/A</definedName>
    <definedName name="_10A_9">[9]연돌일위집계!#REF!</definedName>
    <definedName name="_10A_90">#N/A</definedName>
    <definedName name="_10B_">[9]연돌일위집계!#REF!</definedName>
    <definedName name="_10B_1">[9]연돌일위집계!#REF!</definedName>
    <definedName name="_10B_10">[9]연돌일위집계!#REF!</definedName>
    <definedName name="_10B_11">[9]연돌일위집계!#REF!</definedName>
    <definedName name="_10B_12">[9]연돌일위집계!#REF!</definedName>
    <definedName name="_10B_13">[9]연돌일위집계!#REF!</definedName>
    <definedName name="_10B_14">[9]연돌일위집계!#REF!</definedName>
    <definedName name="_10B_15">[9]연돌일위집계!#REF!</definedName>
    <definedName name="_10B_16">[9]연돌일위집계!#REF!</definedName>
    <definedName name="_10B_17">[9]연돌일위집계!#REF!</definedName>
    <definedName name="_10B_18">[9]연돌일위집계!#REF!</definedName>
    <definedName name="_10B_19">[9]연돌일위집계!#REF!</definedName>
    <definedName name="_10B_2">[9]연돌일위집계!#REF!</definedName>
    <definedName name="_10B_20">[9]연돌일위집계!#REF!</definedName>
    <definedName name="_10B_21">[9]연돌일위집계!#REF!</definedName>
    <definedName name="_10B_22">[9]연돌일위집계!#REF!</definedName>
    <definedName name="_10B_23">[9]연돌일위집계!#REF!</definedName>
    <definedName name="_10B_24">[9]연돌일위집계!#REF!</definedName>
    <definedName name="_10B_25">[9]연돌일위집계!#REF!</definedName>
    <definedName name="_10B_26">[9]연돌일위집계!#REF!</definedName>
    <definedName name="_10B_27">[9]연돌일위집계!#REF!</definedName>
    <definedName name="_10B_28">[9]연돌일위집계!#REF!</definedName>
    <definedName name="_10B_29">[9]연돌일위집계!#REF!</definedName>
    <definedName name="_10B_3">[9]연돌일위집계!#REF!</definedName>
    <definedName name="_10B_30">[9]연돌일위집계!#REF!</definedName>
    <definedName name="_10B_31">[9]연돌일위집계!#REF!</definedName>
    <definedName name="_10B_32">[9]연돌일위집계!#REF!</definedName>
    <definedName name="_10B_33">[9]연돌일위집계!#REF!</definedName>
    <definedName name="_10B_34">[9]연돌일위집계!#REF!</definedName>
    <definedName name="_10B_35">[9]연돌일위집계!#REF!</definedName>
    <definedName name="_10B_36">[9]연돌일위집계!#REF!</definedName>
    <definedName name="_10B_37">[9]연돌일위집계!#REF!</definedName>
    <definedName name="_10B_38">[9]연돌일위집계!#REF!</definedName>
    <definedName name="_10B_39">[9]연돌일위집계!#REF!</definedName>
    <definedName name="_10B_4">[9]연돌일위집계!#REF!</definedName>
    <definedName name="_10B_40">[9]연돌일위집계!#REF!</definedName>
    <definedName name="_10B_41">[9]연돌일위집계!#REF!</definedName>
    <definedName name="_10B_42">[9]연돌일위집계!#REF!</definedName>
    <definedName name="_10B_43">[9]연돌일위집계!#REF!</definedName>
    <definedName name="_10B_44">[9]연돌일위집계!#REF!</definedName>
    <definedName name="_10B_45">[9]연돌일위집계!#REF!</definedName>
    <definedName name="_10B_46">[9]연돌일위집계!#REF!</definedName>
    <definedName name="_10B_47">[9]연돌일위집계!#REF!</definedName>
    <definedName name="_10B_48">[9]연돌일위집계!#REF!</definedName>
    <definedName name="_10B_49">[9]연돌일위집계!#REF!</definedName>
    <definedName name="_10B_5">[9]연돌일위집계!#REF!</definedName>
    <definedName name="_10B_50">[9]연돌일위집계!#REF!</definedName>
    <definedName name="_10B_51">[9]연돌일위집계!#REF!</definedName>
    <definedName name="_10B_52">[9]연돌일위집계!#REF!</definedName>
    <definedName name="_10B_53">[9]연돌일위집계!#REF!</definedName>
    <definedName name="_10B_54">[9]연돌일위집계!#REF!</definedName>
    <definedName name="_10B_55">[9]연돌일위집계!#REF!</definedName>
    <definedName name="_10B_56">[9]연돌일위집계!#REF!</definedName>
    <definedName name="_10B_57">[9]연돌일위집계!#REF!</definedName>
    <definedName name="_10B_58">[9]연돌일위집계!#REF!</definedName>
    <definedName name="_10B_59">[9]연돌일위집계!#REF!</definedName>
    <definedName name="_10B_6">[9]연돌일위집계!#REF!</definedName>
    <definedName name="_10B_60">[9]연돌일위집계!#REF!</definedName>
    <definedName name="_10B_61">#N/A</definedName>
    <definedName name="_10B_62">#N/A</definedName>
    <definedName name="_10B_63">#N/A</definedName>
    <definedName name="_10B_64">#N/A</definedName>
    <definedName name="_10B_65">#N/A</definedName>
    <definedName name="_10B_66">#N/A</definedName>
    <definedName name="_10B_67">#N/A</definedName>
    <definedName name="_10B_68">#N/A</definedName>
    <definedName name="_10B_69">#N/A</definedName>
    <definedName name="_10B_7">[9]연돌일위집계!#REF!</definedName>
    <definedName name="_10B_70">#N/A</definedName>
    <definedName name="_10B_71">#N/A</definedName>
    <definedName name="_10B_72">#N/A</definedName>
    <definedName name="_10B_73">#N/A</definedName>
    <definedName name="_10B_74">#N/A</definedName>
    <definedName name="_10B_75">#N/A</definedName>
    <definedName name="_10B_76">#N/A</definedName>
    <definedName name="_10B_77">#N/A</definedName>
    <definedName name="_10B_78">#N/A</definedName>
    <definedName name="_10B_79">#N/A</definedName>
    <definedName name="_10B_8">[9]연돌일위집계!#REF!</definedName>
    <definedName name="_10B_80">#N/A</definedName>
    <definedName name="_10B_81">#N/A</definedName>
    <definedName name="_10B_82">#N/A</definedName>
    <definedName name="_10B_83">#N/A</definedName>
    <definedName name="_10B_84">#N/A</definedName>
    <definedName name="_10B_85">#N/A</definedName>
    <definedName name="_10B_86">#N/A</definedName>
    <definedName name="_10B_87">#N/A</definedName>
    <definedName name="_10B_88">#N/A</definedName>
    <definedName name="_10B_89">#N/A</definedName>
    <definedName name="_10B_9">[9]연돌일위집계!#REF!</definedName>
    <definedName name="_10B_90">#N/A</definedName>
    <definedName name="_10C_">[9]연돌일위집계!#REF!</definedName>
    <definedName name="_10C_1">[9]연돌일위집계!#REF!</definedName>
    <definedName name="_10C_10">[9]연돌일위집계!#REF!</definedName>
    <definedName name="_10C_11">[9]연돌일위집계!#REF!</definedName>
    <definedName name="_10C_12">[9]연돌일위집계!#REF!</definedName>
    <definedName name="_10C_13">[9]연돌일위집계!#REF!</definedName>
    <definedName name="_10C_14">[9]연돌일위집계!#REF!</definedName>
    <definedName name="_10C_15">[9]연돌일위집계!#REF!</definedName>
    <definedName name="_10C_16">[9]연돌일위집계!#REF!</definedName>
    <definedName name="_10C_17">[9]연돌일위집계!#REF!</definedName>
    <definedName name="_10C_18">[9]연돌일위집계!#REF!</definedName>
    <definedName name="_10C_19">[9]연돌일위집계!#REF!</definedName>
    <definedName name="_10C_2">[9]연돌일위집계!#REF!</definedName>
    <definedName name="_10C_20">[9]연돌일위집계!#REF!</definedName>
    <definedName name="_10C_21">[9]연돌일위집계!#REF!</definedName>
    <definedName name="_10C_22">[9]연돌일위집계!#REF!</definedName>
    <definedName name="_10C_23">[9]연돌일위집계!#REF!</definedName>
    <definedName name="_10C_24">[9]연돌일위집계!#REF!</definedName>
    <definedName name="_10C_25">[9]연돌일위집계!#REF!</definedName>
    <definedName name="_10C_26">[9]연돌일위집계!#REF!</definedName>
    <definedName name="_10C_27">[9]연돌일위집계!#REF!</definedName>
    <definedName name="_10C_28">[9]연돌일위집계!#REF!</definedName>
    <definedName name="_10C_29">[9]연돌일위집계!#REF!</definedName>
    <definedName name="_10C_3">[9]연돌일위집계!#REF!</definedName>
    <definedName name="_10C_30">[9]연돌일위집계!#REF!</definedName>
    <definedName name="_10C_31">[9]연돌일위집계!#REF!</definedName>
    <definedName name="_10C_32">[9]연돌일위집계!#REF!</definedName>
    <definedName name="_10C_33">[9]연돌일위집계!#REF!</definedName>
    <definedName name="_10C_34">[9]연돌일위집계!#REF!</definedName>
    <definedName name="_10C_35">[9]연돌일위집계!#REF!</definedName>
    <definedName name="_10C_36">[9]연돌일위집계!#REF!</definedName>
    <definedName name="_10C_37">[9]연돌일위집계!#REF!</definedName>
    <definedName name="_10C_38">[9]연돌일위집계!#REF!</definedName>
    <definedName name="_10C_39">[9]연돌일위집계!#REF!</definedName>
    <definedName name="_10C_4">[9]연돌일위집계!#REF!</definedName>
    <definedName name="_10C_40">[9]연돌일위집계!#REF!</definedName>
    <definedName name="_10C_41">[9]연돌일위집계!#REF!</definedName>
    <definedName name="_10C_42">[9]연돌일위집계!#REF!</definedName>
    <definedName name="_10C_43">[9]연돌일위집계!#REF!</definedName>
    <definedName name="_10C_44">[9]연돌일위집계!#REF!</definedName>
    <definedName name="_10C_45">[9]연돌일위집계!#REF!</definedName>
    <definedName name="_10C_46">[9]연돌일위집계!#REF!</definedName>
    <definedName name="_10C_47">[9]연돌일위집계!#REF!</definedName>
    <definedName name="_10C_48">[9]연돌일위집계!#REF!</definedName>
    <definedName name="_10C_49">[9]연돌일위집계!#REF!</definedName>
    <definedName name="_10C_5">[9]연돌일위집계!#REF!</definedName>
    <definedName name="_10C_50">[9]연돌일위집계!#REF!</definedName>
    <definedName name="_10C_51">[9]연돌일위집계!#REF!</definedName>
    <definedName name="_10C_52">[9]연돌일위집계!#REF!</definedName>
    <definedName name="_10C_53">[9]연돌일위집계!#REF!</definedName>
    <definedName name="_10C_54">[9]연돌일위집계!#REF!</definedName>
    <definedName name="_10C_55">[9]연돌일위집계!#REF!</definedName>
    <definedName name="_10C_56">[9]연돌일위집계!#REF!</definedName>
    <definedName name="_10C_57">[9]연돌일위집계!#REF!</definedName>
    <definedName name="_10C_58">[9]연돌일위집계!#REF!</definedName>
    <definedName name="_10C_59">[9]연돌일위집계!#REF!</definedName>
    <definedName name="_10C_6">[9]연돌일위집계!#REF!</definedName>
    <definedName name="_10C_60">[9]연돌일위집계!#REF!</definedName>
    <definedName name="_10C_61">#N/A</definedName>
    <definedName name="_10C_62">#N/A</definedName>
    <definedName name="_10C_63">#N/A</definedName>
    <definedName name="_10C_64">#N/A</definedName>
    <definedName name="_10C_65">#N/A</definedName>
    <definedName name="_10C_66">#N/A</definedName>
    <definedName name="_10C_67">#N/A</definedName>
    <definedName name="_10C_68">#N/A</definedName>
    <definedName name="_10C_69">#N/A</definedName>
    <definedName name="_10C_7">[9]연돌일위집계!#REF!</definedName>
    <definedName name="_10C_70">#N/A</definedName>
    <definedName name="_10C_71">#N/A</definedName>
    <definedName name="_10C_72">#N/A</definedName>
    <definedName name="_10C_73">#N/A</definedName>
    <definedName name="_10C_74">#N/A</definedName>
    <definedName name="_10C_75">#N/A</definedName>
    <definedName name="_10C_76">#N/A</definedName>
    <definedName name="_10C_77">#N/A</definedName>
    <definedName name="_10C_78">#N/A</definedName>
    <definedName name="_10C_79">#N/A</definedName>
    <definedName name="_10C_8">[9]연돌일위집계!#REF!</definedName>
    <definedName name="_10C_80">#N/A</definedName>
    <definedName name="_10C_81">#N/A</definedName>
    <definedName name="_10C_82">#N/A</definedName>
    <definedName name="_10C_83">#N/A</definedName>
    <definedName name="_10C_84">#N/A</definedName>
    <definedName name="_10C_85">#N/A</definedName>
    <definedName name="_10C_86">#N/A</definedName>
    <definedName name="_10C_87">#N/A</definedName>
    <definedName name="_10C_88">#N/A</definedName>
    <definedName name="_10C_89">#N/A</definedName>
    <definedName name="_10C_9">[9]연돌일위집계!#REF!</definedName>
    <definedName name="_10C_90">#N/A</definedName>
    <definedName name="_10Datab">#REF!</definedName>
    <definedName name="_11">#N/A</definedName>
    <definedName name="_11A_1">[9]연돌일위집계!#REF!</definedName>
    <definedName name="_11A_10">[9]연돌일위집계!#REF!</definedName>
    <definedName name="_11A_11">[9]연돌일위집계!#REF!</definedName>
    <definedName name="_11A_12">[9]연돌일위집계!#REF!</definedName>
    <definedName name="_11A_13">[9]연돌일위집계!#REF!</definedName>
    <definedName name="_11A_14">[9]연돌일위집계!#REF!</definedName>
    <definedName name="_11A_15">[9]연돌일위집계!#REF!</definedName>
    <definedName name="_11A_16">[9]연돌일위집계!#REF!</definedName>
    <definedName name="_11A_17">[9]연돌일위집계!#REF!</definedName>
    <definedName name="_11A_18">[9]연돌일위집계!#REF!</definedName>
    <definedName name="_11A_19">[9]연돌일위집계!#REF!</definedName>
    <definedName name="_11A_2">[9]연돌일위집계!#REF!</definedName>
    <definedName name="_11A_20">[9]연돌일위집계!#REF!</definedName>
    <definedName name="_11A_21">[9]연돌일위집계!#REF!</definedName>
    <definedName name="_11A_22">[9]연돌일위집계!#REF!</definedName>
    <definedName name="_11A_23">[9]연돌일위집계!#REF!</definedName>
    <definedName name="_11A_24">[9]연돌일위집계!#REF!</definedName>
    <definedName name="_11A_25">[9]연돌일위집계!#REF!</definedName>
    <definedName name="_11A_26">[9]연돌일위집계!#REF!</definedName>
    <definedName name="_11A_27">[9]연돌일위집계!#REF!</definedName>
    <definedName name="_11A_28">[9]연돌일위집계!#REF!</definedName>
    <definedName name="_11A_29">[9]연돌일위집계!#REF!</definedName>
    <definedName name="_11A_3">[9]연돌일위집계!#REF!</definedName>
    <definedName name="_11A_30">[9]연돌일위집계!#REF!</definedName>
    <definedName name="_11A_4">[9]연돌일위집계!#REF!</definedName>
    <definedName name="_11A_5">[9]연돌일위집계!#REF!</definedName>
    <definedName name="_11A_6">[9]연돌일위집계!#REF!</definedName>
    <definedName name="_11A_7">[9]연돌일위집계!#REF!</definedName>
    <definedName name="_11A_8">[9]연돌일위집계!#REF!</definedName>
    <definedName name="_11A_9">[9]연돌일위집계!#REF!</definedName>
    <definedName name="_11A1_" hidden="1">{#N/A,#N/A,TRUE,"Basic";#N/A,#N/A,TRUE,"EXT-TABLE";#N/A,#N/A,TRUE,"STEEL";#N/A,#N/A,TRUE,"INT-Table";#N/A,#N/A,TRUE,"STEEL";#N/A,#N/A,TRUE,"Door"}</definedName>
    <definedName name="_11B_1">[9]연돌일위집계!#REF!</definedName>
    <definedName name="_11B_10">[9]연돌일위집계!#REF!</definedName>
    <definedName name="_11B_11">[9]연돌일위집계!#REF!</definedName>
    <definedName name="_11B_12">[9]연돌일위집계!#REF!</definedName>
    <definedName name="_11B_13">[9]연돌일위집계!#REF!</definedName>
    <definedName name="_11B_14">[9]연돌일위집계!#REF!</definedName>
    <definedName name="_11B_15">[9]연돌일위집계!#REF!</definedName>
    <definedName name="_11B_16">[9]연돌일위집계!#REF!</definedName>
    <definedName name="_11B_17">[9]연돌일위집계!#REF!</definedName>
    <definedName name="_11B_18">[9]연돌일위집계!#REF!</definedName>
    <definedName name="_11B_19">[9]연돌일위집계!#REF!</definedName>
    <definedName name="_11B_2">[9]연돌일위집계!#REF!</definedName>
    <definedName name="_11B_20">[9]연돌일위집계!#REF!</definedName>
    <definedName name="_11B_21">[9]연돌일위집계!#REF!</definedName>
    <definedName name="_11B_22">[9]연돌일위집계!#REF!</definedName>
    <definedName name="_11B_23">[9]연돌일위집계!#REF!</definedName>
    <definedName name="_11B_24">[9]연돌일위집계!#REF!</definedName>
    <definedName name="_11B_25">[9]연돌일위집계!#REF!</definedName>
    <definedName name="_11B_26">[9]연돌일위집계!#REF!</definedName>
    <definedName name="_11B_27">[9]연돌일위집계!#REF!</definedName>
    <definedName name="_11B_28">[9]연돌일위집계!#REF!</definedName>
    <definedName name="_11B_29">[9]연돌일위집계!#REF!</definedName>
    <definedName name="_11B_3">[9]연돌일위집계!#REF!</definedName>
    <definedName name="_11B_30">[9]연돌일위집계!#REF!</definedName>
    <definedName name="_11B_4">[9]연돌일위집계!#REF!</definedName>
    <definedName name="_11B_5">[9]연돌일위집계!#REF!</definedName>
    <definedName name="_11B_6">[9]연돌일위집계!#REF!</definedName>
    <definedName name="_11B_7">[9]연돌일위집계!#REF!</definedName>
    <definedName name="_11B_8">[9]연돌일위집계!#REF!</definedName>
    <definedName name="_11B_9">[9]연돌일위집계!#REF!</definedName>
    <definedName name="_11C_1">[9]연돌일위집계!#REF!</definedName>
    <definedName name="_11C_10">[9]연돌일위집계!#REF!</definedName>
    <definedName name="_11C_11">[9]연돌일위집계!#REF!</definedName>
    <definedName name="_11C_12">[9]연돌일위집계!#REF!</definedName>
    <definedName name="_11C_13">[9]연돌일위집계!#REF!</definedName>
    <definedName name="_11C_14">[9]연돌일위집계!#REF!</definedName>
    <definedName name="_11C_15">[9]연돌일위집계!#REF!</definedName>
    <definedName name="_11C_16">[9]연돌일위집계!#REF!</definedName>
    <definedName name="_11C_17">[9]연돌일위집계!#REF!</definedName>
    <definedName name="_11C_18">[9]연돌일위집계!#REF!</definedName>
    <definedName name="_11C_19">[9]연돌일위집계!#REF!</definedName>
    <definedName name="_11C_2">[9]연돌일위집계!#REF!</definedName>
    <definedName name="_11C_20">[9]연돌일위집계!#REF!</definedName>
    <definedName name="_11C_21">[9]연돌일위집계!#REF!</definedName>
    <definedName name="_11C_22">[9]연돌일위집계!#REF!</definedName>
    <definedName name="_11C_23">[9]연돌일위집계!#REF!</definedName>
    <definedName name="_11C_24">[9]연돌일위집계!#REF!</definedName>
    <definedName name="_11C_25">[9]연돌일위집계!#REF!</definedName>
    <definedName name="_11C_26">[9]연돌일위집계!#REF!</definedName>
    <definedName name="_11C_27">[9]연돌일위집계!#REF!</definedName>
    <definedName name="_11C_28">[9]연돌일위집계!#REF!</definedName>
    <definedName name="_11C_29">[9]연돌일위집계!#REF!</definedName>
    <definedName name="_11C_3">[9]연돌일위집계!#REF!</definedName>
    <definedName name="_11C_30">[9]연돌일위집계!#REF!</definedName>
    <definedName name="_11C_4">[9]연돌일위집계!#REF!</definedName>
    <definedName name="_11C_5">[9]연돌일위집계!#REF!</definedName>
    <definedName name="_11C_6">[9]연돌일위집계!#REF!</definedName>
    <definedName name="_11C_7">[9]연돌일위집계!#REF!</definedName>
    <definedName name="_11C_8">[9]연돌일위집계!#REF!</definedName>
    <definedName name="_11C_9">[9]연돌일위집계!#REF!</definedName>
    <definedName name="_11f2_">#REF!</definedName>
    <definedName name="_12A_1">#N/A</definedName>
    <definedName name="_12A_10">#N/A</definedName>
    <definedName name="_12A_11">#N/A</definedName>
    <definedName name="_12A_12">#N/A</definedName>
    <definedName name="_12A_13">#N/A</definedName>
    <definedName name="_12A_14">#N/A</definedName>
    <definedName name="_12A_15">#N/A</definedName>
    <definedName name="_12A_16">#N/A</definedName>
    <definedName name="_12A_17">#N/A</definedName>
    <definedName name="_12A_18">#N/A</definedName>
    <definedName name="_12A_19">#N/A</definedName>
    <definedName name="_12A_2">#N/A</definedName>
    <definedName name="_12A_20">#N/A</definedName>
    <definedName name="_12A_21">#N/A</definedName>
    <definedName name="_12A_22">#N/A</definedName>
    <definedName name="_12A_23">#N/A</definedName>
    <definedName name="_12A_24">#N/A</definedName>
    <definedName name="_12A_25">#N/A</definedName>
    <definedName name="_12A_26">#N/A</definedName>
    <definedName name="_12A_27">#N/A</definedName>
    <definedName name="_12A_28">#N/A</definedName>
    <definedName name="_12A_29">#N/A</definedName>
    <definedName name="_12A_3">#N/A</definedName>
    <definedName name="_12A_30">#N/A</definedName>
    <definedName name="_12A_31">#N/A</definedName>
    <definedName name="_12A_32">#N/A</definedName>
    <definedName name="_12A_33">#N/A</definedName>
    <definedName name="_12A_34">#N/A</definedName>
    <definedName name="_12A_35">#N/A</definedName>
    <definedName name="_12A_36">#N/A</definedName>
    <definedName name="_12A_37">#N/A</definedName>
    <definedName name="_12A_38">#N/A</definedName>
    <definedName name="_12A_39">#N/A</definedName>
    <definedName name="_12A_4">#N/A</definedName>
    <definedName name="_12A_40">#N/A</definedName>
    <definedName name="_12A_41">#N/A</definedName>
    <definedName name="_12A_42">#N/A</definedName>
    <definedName name="_12A_43">#N/A</definedName>
    <definedName name="_12A_44">#N/A</definedName>
    <definedName name="_12A_45">#N/A</definedName>
    <definedName name="_12A_46">#N/A</definedName>
    <definedName name="_12A_47">#N/A</definedName>
    <definedName name="_12A_48">#N/A</definedName>
    <definedName name="_12A_49">#N/A</definedName>
    <definedName name="_12A_5">#N/A</definedName>
    <definedName name="_12A_50">#N/A</definedName>
    <definedName name="_12A_51">#N/A</definedName>
    <definedName name="_12A_52">#N/A</definedName>
    <definedName name="_12A_53">#N/A</definedName>
    <definedName name="_12A_54">#N/A</definedName>
    <definedName name="_12A_55">#N/A</definedName>
    <definedName name="_12A_56">#N/A</definedName>
    <definedName name="_12A_57">#N/A</definedName>
    <definedName name="_12A_58">#N/A</definedName>
    <definedName name="_12A_59">#N/A</definedName>
    <definedName name="_12A_6">#N/A</definedName>
    <definedName name="_12A_60">#N/A</definedName>
    <definedName name="_12A_61">#N/A</definedName>
    <definedName name="_12A_62">#N/A</definedName>
    <definedName name="_12A_63">#N/A</definedName>
    <definedName name="_12A_64">#N/A</definedName>
    <definedName name="_12A_65">#N/A</definedName>
    <definedName name="_12A_66">#N/A</definedName>
    <definedName name="_12A_67">#N/A</definedName>
    <definedName name="_12A_68">#N/A</definedName>
    <definedName name="_12A_69">#N/A</definedName>
    <definedName name="_12A_7">#N/A</definedName>
    <definedName name="_12A_70">#N/A</definedName>
    <definedName name="_12A_71">#N/A</definedName>
    <definedName name="_12A_72">#N/A</definedName>
    <definedName name="_12A_73">#N/A</definedName>
    <definedName name="_12A_74">#N/A</definedName>
    <definedName name="_12A_75">#N/A</definedName>
    <definedName name="_12A_76">#N/A</definedName>
    <definedName name="_12A_77">#N/A</definedName>
    <definedName name="_12A_78">#N/A</definedName>
    <definedName name="_12A_79">#N/A</definedName>
    <definedName name="_12A_8">#N/A</definedName>
    <definedName name="_12A_80">#N/A</definedName>
    <definedName name="_12A_81">#N/A</definedName>
    <definedName name="_12A_9">#N/A</definedName>
    <definedName name="_12B_1">#N/A</definedName>
    <definedName name="_12B_10">#N/A</definedName>
    <definedName name="_12B_11">#N/A</definedName>
    <definedName name="_12B_12">#N/A</definedName>
    <definedName name="_12B_13">#N/A</definedName>
    <definedName name="_12B_14">#N/A</definedName>
    <definedName name="_12B_15">#N/A</definedName>
    <definedName name="_12B_16">#N/A</definedName>
    <definedName name="_12B_17">#N/A</definedName>
    <definedName name="_12B_18">#N/A</definedName>
    <definedName name="_12B_19">#N/A</definedName>
    <definedName name="_12B_2">#N/A</definedName>
    <definedName name="_12B_20">#N/A</definedName>
    <definedName name="_12B_21">#N/A</definedName>
    <definedName name="_12B_22">#N/A</definedName>
    <definedName name="_12B_23">#N/A</definedName>
    <definedName name="_12B_24">#N/A</definedName>
    <definedName name="_12B_25">#N/A</definedName>
    <definedName name="_12B_26">#N/A</definedName>
    <definedName name="_12B_27">#N/A</definedName>
    <definedName name="_12B_28">#N/A</definedName>
    <definedName name="_12B_29">#N/A</definedName>
    <definedName name="_12B_3">#N/A</definedName>
    <definedName name="_12B_30">#N/A</definedName>
    <definedName name="_12B_31">#N/A</definedName>
    <definedName name="_12B_32">#N/A</definedName>
    <definedName name="_12B_33">#N/A</definedName>
    <definedName name="_12B_34">#N/A</definedName>
    <definedName name="_12B_35">#N/A</definedName>
    <definedName name="_12B_36">#N/A</definedName>
    <definedName name="_12B_37">#N/A</definedName>
    <definedName name="_12B_38">#N/A</definedName>
    <definedName name="_12B_39">#N/A</definedName>
    <definedName name="_12B_4">#N/A</definedName>
    <definedName name="_12B_40">#N/A</definedName>
    <definedName name="_12B_41">#N/A</definedName>
    <definedName name="_12B_42">#N/A</definedName>
    <definedName name="_12B_43">#N/A</definedName>
    <definedName name="_12B_44">#N/A</definedName>
    <definedName name="_12B_45">#N/A</definedName>
    <definedName name="_12B_46">#N/A</definedName>
    <definedName name="_12B_47">#N/A</definedName>
    <definedName name="_12B_48">#N/A</definedName>
    <definedName name="_12B_49">#N/A</definedName>
    <definedName name="_12B_5">#N/A</definedName>
    <definedName name="_12B_50">#N/A</definedName>
    <definedName name="_12B_51">#N/A</definedName>
    <definedName name="_12B_52">#N/A</definedName>
    <definedName name="_12B_53">#N/A</definedName>
    <definedName name="_12B_54">#N/A</definedName>
    <definedName name="_12B_55">#N/A</definedName>
    <definedName name="_12B_56">#N/A</definedName>
    <definedName name="_12B_57">#N/A</definedName>
    <definedName name="_12B_58">#N/A</definedName>
    <definedName name="_12B_59">#N/A</definedName>
    <definedName name="_12B_6">#N/A</definedName>
    <definedName name="_12B_60">#N/A</definedName>
    <definedName name="_12B_61">#N/A</definedName>
    <definedName name="_12B_62">#N/A</definedName>
    <definedName name="_12B_63">#N/A</definedName>
    <definedName name="_12B_64">#N/A</definedName>
    <definedName name="_12B_65">#N/A</definedName>
    <definedName name="_12B_66">#N/A</definedName>
    <definedName name="_12B_67">#N/A</definedName>
    <definedName name="_12B_68">#N/A</definedName>
    <definedName name="_12B_69">#N/A</definedName>
    <definedName name="_12B_7">#N/A</definedName>
    <definedName name="_12B_70">#N/A</definedName>
    <definedName name="_12B_71">#N/A</definedName>
    <definedName name="_12B_72">#N/A</definedName>
    <definedName name="_12B_73">#N/A</definedName>
    <definedName name="_12B_74">#N/A</definedName>
    <definedName name="_12B_75">#N/A</definedName>
    <definedName name="_12B_76">#N/A</definedName>
    <definedName name="_12B_77">#N/A</definedName>
    <definedName name="_12B_78">#N/A</definedName>
    <definedName name="_12B_79">#N/A</definedName>
    <definedName name="_12B_8">#N/A</definedName>
    <definedName name="_12B_80">#N/A</definedName>
    <definedName name="_12B_81">#N/A</definedName>
    <definedName name="_12B_9">#N/A</definedName>
    <definedName name="_12C_1">#N/A</definedName>
    <definedName name="_12C_10">#N/A</definedName>
    <definedName name="_12C_11">#N/A</definedName>
    <definedName name="_12C_12">#N/A</definedName>
    <definedName name="_12C_13">#N/A</definedName>
    <definedName name="_12C_14">#N/A</definedName>
    <definedName name="_12C_15">#N/A</definedName>
    <definedName name="_12C_16">#N/A</definedName>
    <definedName name="_12C_17">#N/A</definedName>
    <definedName name="_12C_18">#N/A</definedName>
    <definedName name="_12C_19">#N/A</definedName>
    <definedName name="_12C_2">#N/A</definedName>
    <definedName name="_12C_20">#N/A</definedName>
    <definedName name="_12C_21">#N/A</definedName>
    <definedName name="_12C_22">#N/A</definedName>
    <definedName name="_12C_23">#N/A</definedName>
    <definedName name="_12C_24">#N/A</definedName>
    <definedName name="_12C_25">#N/A</definedName>
    <definedName name="_12C_26">#N/A</definedName>
    <definedName name="_12C_27">#N/A</definedName>
    <definedName name="_12C_28">#N/A</definedName>
    <definedName name="_12C_29">#N/A</definedName>
    <definedName name="_12C_3">#N/A</definedName>
    <definedName name="_12C_30">#N/A</definedName>
    <definedName name="_12C_31">#N/A</definedName>
    <definedName name="_12C_32">#N/A</definedName>
    <definedName name="_12C_33">#N/A</definedName>
    <definedName name="_12C_34">#N/A</definedName>
    <definedName name="_12C_35">#N/A</definedName>
    <definedName name="_12C_36">#N/A</definedName>
    <definedName name="_12C_37">#N/A</definedName>
    <definedName name="_12C_38">#N/A</definedName>
    <definedName name="_12C_39">#N/A</definedName>
    <definedName name="_12C_4">#N/A</definedName>
    <definedName name="_12C_40">#N/A</definedName>
    <definedName name="_12C_41">#N/A</definedName>
    <definedName name="_12C_42">#N/A</definedName>
    <definedName name="_12C_43">#N/A</definedName>
    <definedName name="_12C_44">#N/A</definedName>
    <definedName name="_12C_45">#N/A</definedName>
    <definedName name="_12C_46">#N/A</definedName>
    <definedName name="_12C_47">#N/A</definedName>
    <definedName name="_12C_48">#N/A</definedName>
    <definedName name="_12C_49">#N/A</definedName>
    <definedName name="_12C_5">#N/A</definedName>
    <definedName name="_12C_50">#N/A</definedName>
    <definedName name="_12C_51">#N/A</definedName>
    <definedName name="_12C_52">#N/A</definedName>
    <definedName name="_12C_53">#N/A</definedName>
    <definedName name="_12C_54">#N/A</definedName>
    <definedName name="_12C_55">#N/A</definedName>
    <definedName name="_12C_56">#N/A</definedName>
    <definedName name="_12C_57">#N/A</definedName>
    <definedName name="_12C_58">#N/A</definedName>
    <definedName name="_12C_59">#N/A</definedName>
    <definedName name="_12C_6">#N/A</definedName>
    <definedName name="_12C_60">#N/A</definedName>
    <definedName name="_12C_61">#N/A</definedName>
    <definedName name="_12C_62">#N/A</definedName>
    <definedName name="_12C_63">#N/A</definedName>
    <definedName name="_12C_64">#N/A</definedName>
    <definedName name="_12C_65">#N/A</definedName>
    <definedName name="_12C_66">#N/A</definedName>
    <definedName name="_12C_67">#N/A</definedName>
    <definedName name="_12C_68">#N/A</definedName>
    <definedName name="_12C_69">#N/A</definedName>
    <definedName name="_12C_7">#N/A</definedName>
    <definedName name="_12C_70">#N/A</definedName>
    <definedName name="_12C_71">#N/A</definedName>
    <definedName name="_12C_72">#N/A</definedName>
    <definedName name="_12C_73">#N/A</definedName>
    <definedName name="_12C_74">#N/A</definedName>
    <definedName name="_12C_75">#N/A</definedName>
    <definedName name="_12C_76">#N/A</definedName>
    <definedName name="_12C_77">#N/A</definedName>
    <definedName name="_12C_78">#N/A</definedName>
    <definedName name="_12C_79">#N/A</definedName>
    <definedName name="_12C_8">#N/A</definedName>
    <definedName name="_12C_80">#N/A</definedName>
    <definedName name="_12C_81">#N/A</definedName>
    <definedName name="_12C_9">#N/A</definedName>
    <definedName name="_12GO1_">#REF!</definedName>
    <definedName name="_13A_1">[9]연돌일위집계!#REF!</definedName>
    <definedName name="_13A_10">[9]연돌일위집계!#REF!</definedName>
    <definedName name="_13A_11">[9]연돌일위집계!#REF!</definedName>
    <definedName name="_13A_12">[9]연돌일위집계!#REF!</definedName>
    <definedName name="_13A_13">[9]연돌일위집계!#REF!</definedName>
    <definedName name="_13A_14">[9]연돌일위집계!#REF!</definedName>
    <definedName name="_13A_15">[9]연돌일위집계!#REF!</definedName>
    <definedName name="_13A_16">[9]연돌일위집계!#REF!</definedName>
    <definedName name="_13A_17">[9]연돌일위집계!#REF!</definedName>
    <definedName name="_13A_18">[9]연돌일위집계!#REF!</definedName>
    <definedName name="_13A_19">[9]연돌일위집계!#REF!</definedName>
    <definedName name="_13A_2">[9]연돌일위집계!#REF!</definedName>
    <definedName name="_13A_20">[9]연돌일위집계!#REF!</definedName>
    <definedName name="_13A_21">[9]연돌일위집계!#REF!</definedName>
    <definedName name="_13A_22">[9]연돌일위집계!#REF!</definedName>
    <definedName name="_13A_23">[9]연돌일위집계!#REF!</definedName>
    <definedName name="_13A_24">[9]연돌일위집계!#REF!</definedName>
    <definedName name="_13A_25">[9]연돌일위집계!#REF!</definedName>
    <definedName name="_13A_26">[9]연돌일위집계!#REF!</definedName>
    <definedName name="_13A_27">[9]연돌일위집계!#REF!</definedName>
    <definedName name="_13A_28">[9]연돌일위집계!#REF!</definedName>
    <definedName name="_13A_29">[9]연돌일위집계!#REF!</definedName>
    <definedName name="_13A_3">[9]연돌일위집계!#REF!</definedName>
    <definedName name="_13A_30">[9]연돌일위집계!#REF!</definedName>
    <definedName name="_13A_31">[9]연돌일위집계!#REF!</definedName>
    <definedName name="_13A_32">[9]연돌일위집계!#REF!</definedName>
    <definedName name="_13A_33">[9]연돌일위집계!#REF!</definedName>
    <definedName name="_13A_34">[9]연돌일위집계!#REF!</definedName>
    <definedName name="_13A_35">[9]연돌일위집계!#REF!</definedName>
    <definedName name="_13A_36">[9]연돌일위집계!#REF!</definedName>
    <definedName name="_13A_37">[9]연돌일위집계!#REF!</definedName>
    <definedName name="_13A_38">[9]연돌일위집계!#REF!</definedName>
    <definedName name="_13A_39">[9]연돌일위집계!#REF!</definedName>
    <definedName name="_13A_4">[9]연돌일위집계!#REF!</definedName>
    <definedName name="_13A_40">[9]연돌일위집계!#REF!</definedName>
    <definedName name="_13A_41">[9]연돌일위집계!#REF!</definedName>
    <definedName name="_13A_42">[9]연돌일위집계!#REF!</definedName>
    <definedName name="_13A_43">[9]연돌일위집계!#REF!</definedName>
    <definedName name="_13A_44">[9]연돌일위집계!#REF!</definedName>
    <definedName name="_13A_45">[9]연돌일위집계!#REF!</definedName>
    <definedName name="_13A_46">[9]연돌일위집계!#REF!</definedName>
    <definedName name="_13A_47">[9]연돌일위집계!#REF!</definedName>
    <definedName name="_13A_48">[9]연돌일위집계!#REF!</definedName>
    <definedName name="_13A_49">[9]연돌일위집계!#REF!</definedName>
    <definedName name="_13A_5">[9]연돌일위집계!#REF!</definedName>
    <definedName name="_13A_50">[9]연돌일위집계!#REF!</definedName>
    <definedName name="_13A_51">[9]연돌일위집계!#REF!</definedName>
    <definedName name="_13A_52">[9]연돌일위집계!#REF!</definedName>
    <definedName name="_13A_53">[9]연돌일위집계!#REF!</definedName>
    <definedName name="_13A_54">[9]연돌일위집계!#REF!</definedName>
    <definedName name="_13A_55">[9]연돌일위집계!#REF!</definedName>
    <definedName name="_13A_56">[9]연돌일위집계!#REF!</definedName>
    <definedName name="_13A_57">[9]연돌일위집계!#REF!</definedName>
    <definedName name="_13A_58">[9]연돌일위집계!#REF!</definedName>
    <definedName name="_13A_59">[9]연돌일위집계!#REF!</definedName>
    <definedName name="_13A_6">[9]연돌일위집계!#REF!</definedName>
    <definedName name="_13A_60">[9]연돌일위집계!#REF!</definedName>
    <definedName name="_13A_7">[9]연돌일위집계!#REF!</definedName>
    <definedName name="_13A_8">[9]연돌일위집계!#REF!</definedName>
    <definedName name="_13A_9">[9]연돌일위집계!#REF!</definedName>
    <definedName name="_13B_1">[9]연돌일위집계!#REF!</definedName>
    <definedName name="_13B_10">[9]연돌일위집계!#REF!</definedName>
    <definedName name="_13B_11">[9]연돌일위집계!#REF!</definedName>
    <definedName name="_13B_12">[9]연돌일위집계!#REF!</definedName>
    <definedName name="_13B_13">[9]연돌일위집계!#REF!</definedName>
    <definedName name="_13B_14">[9]연돌일위집계!#REF!</definedName>
    <definedName name="_13B_15">[9]연돌일위집계!#REF!</definedName>
    <definedName name="_13B_16">[9]연돌일위집계!#REF!</definedName>
    <definedName name="_13B_17">[9]연돌일위집계!#REF!</definedName>
    <definedName name="_13B_18">[9]연돌일위집계!#REF!</definedName>
    <definedName name="_13B_19">[9]연돌일위집계!#REF!</definedName>
    <definedName name="_13B_2">[9]연돌일위집계!#REF!</definedName>
    <definedName name="_13B_20">[9]연돌일위집계!#REF!</definedName>
    <definedName name="_13B_21">[9]연돌일위집계!#REF!</definedName>
    <definedName name="_13B_22">[9]연돌일위집계!#REF!</definedName>
    <definedName name="_13B_23">[9]연돌일위집계!#REF!</definedName>
    <definedName name="_13B_24">[9]연돌일위집계!#REF!</definedName>
    <definedName name="_13B_25">[9]연돌일위집계!#REF!</definedName>
    <definedName name="_13B_26">[9]연돌일위집계!#REF!</definedName>
    <definedName name="_13B_27">[9]연돌일위집계!#REF!</definedName>
    <definedName name="_13B_28">[9]연돌일위집계!#REF!</definedName>
    <definedName name="_13B_29">[9]연돌일위집계!#REF!</definedName>
    <definedName name="_13B_3">[9]연돌일위집계!#REF!</definedName>
    <definedName name="_13B_30">[9]연돌일위집계!#REF!</definedName>
    <definedName name="_13B_31">[9]연돌일위집계!#REF!</definedName>
    <definedName name="_13B_32">[9]연돌일위집계!#REF!</definedName>
    <definedName name="_13B_33">[9]연돌일위집계!#REF!</definedName>
    <definedName name="_13B_34">[9]연돌일위집계!#REF!</definedName>
    <definedName name="_13B_35">[9]연돌일위집계!#REF!</definedName>
    <definedName name="_13B_36">[9]연돌일위집계!#REF!</definedName>
    <definedName name="_13B_37">[9]연돌일위집계!#REF!</definedName>
    <definedName name="_13B_38">[9]연돌일위집계!#REF!</definedName>
    <definedName name="_13B_39">[9]연돌일위집계!#REF!</definedName>
    <definedName name="_13B_4">[9]연돌일위집계!#REF!</definedName>
    <definedName name="_13B_40">[9]연돌일위집계!#REF!</definedName>
    <definedName name="_13B_41">[9]연돌일위집계!#REF!</definedName>
    <definedName name="_13B_42">[9]연돌일위집계!#REF!</definedName>
    <definedName name="_13B_43">[9]연돌일위집계!#REF!</definedName>
    <definedName name="_13B_44">[9]연돌일위집계!#REF!</definedName>
    <definedName name="_13B_45">[9]연돌일위집계!#REF!</definedName>
    <definedName name="_13B_46">[9]연돌일위집계!#REF!</definedName>
    <definedName name="_13B_47">[9]연돌일위집계!#REF!</definedName>
    <definedName name="_13B_48">[9]연돌일위집계!#REF!</definedName>
    <definedName name="_13B_49">[9]연돌일위집계!#REF!</definedName>
    <definedName name="_13B_5">[9]연돌일위집계!#REF!</definedName>
    <definedName name="_13B_50">[9]연돌일위집계!#REF!</definedName>
    <definedName name="_13B_51">[9]연돌일위집계!#REF!</definedName>
    <definedName name="_13B_52">[9]연돌일위집계!#REF!</definedName>
    <definedName name="_13B_53">[9]연돌일위집계!#REF!</definedName>
    <definedName name="_13B_54">[9]연돌일위집계!#REF!</definedName>
    <definedName name="_13B_55">[9]연돌일위집계!#REF!</definedName>
    <definedName name="_13B_56">[9]연돌일위집계!#REF!</definedName>
    <definedName name="_13B_57">[9]연돌일위집계!#REF!</definedName>
    <definedName name="_13B_58">[9]연돌일위집계!#REF!</definedName>
    <definedName name="_13B_59">[9]연돌일위집계!#REF!</definedName>
    <definedName name="_13B_6">[9]연돌일위집계!#REF!</definedName>
    <definedName name="_13B_60">[9]연돌일위집계!#REF!</definedName>
    <definedName name="_13B_7">[9]연돌일위집계!#REF!</definedName>
    <definedName name="_13B_8">[9]연돌일위집계!#REF!</definedName>
    <definedName name="_13B_9">[9]연돌일위집계!#REF!</definedName>
    <definedName name="_13C_1">[9]연돌일위집계!#REF!</definedName>
    <definedName name="_13C_10">[9]연돌일위집계!#REF!</definedName>
    <definedName name="_13C_11">[9]연돌일위집계!#REF!</definedName>
    <definedName name="_13C_12">[9]연돌일위집계!#REF!</definedName>
    <definedName name="_13C_13">[9]연돌일위집계!#REF!</definedName>
    <definedName name="_13C_14">[9]연돌일위집계!#REF!</definedName>
    <definedName name="_13C_15">[9]연돌일위집계!#REF!</definedName>
    <definedName name="_13C_16">[9]연돌일위집계!#REF!</definedName>
    <definedName name="_13C_17">[9]연돌일위집계!#REF!</definedName>
    <definedName name="_13C_18">[9]연돌일위집계!#REF!</definedName>
    <definedName name="_13C_19">[9]연돌일위집계!#REF!</definedName>
    <definedName name="_13C_2">[9]연돌일위집계!#REF!</definedName>
    <definedName name="_13C_20">[9]연돌일위집계!#REF!</definedName>
    <definedName name="_13C_21">[9]연돌일위집계!#REF!</definedName>
    <definedName name="_13C_22">[9]연돌일위집계!#REF!</definedName>
    <definedName name="_13C_23">[9]연돌일위집계!#REF!</definedName>
    <definedName name="_13C_24">[9]연돌일위집계!#REF!</definedName>
    <definedName name="_13C_25">[9]연돌일위집계!#REF!</definedName>
    <definedName name="_13C_26">[9]연돌일위집계!#REF!</definedName>
    <definedName name="_13C_27">[9]연돌일위집계!#REF!</definedName>
    <definedName name="_13C_28">[9]연돌일위집계!#REF!</definedName>
    <definedName name="_13C_29">[9]연돌일위집계!#REF!</definedName>
    <definedName name="_13C_3">[9]연돌일위집계!#REF!</definedName>
    <definedName name="_13C_30">[9]연돌일위집계!#REF!</definedName>
    <definedName name="_13C_31">[9]연돌일위집계!#REF!</definedName>
    <definedName name="_13C_32">[9]연돌일위집계!#REF!</definedName>
    <definedName name="_13C_33">[9]연돌일위집계!#REF!</definedName>
    <definedName name="_13C_34">[9]연돌일위집계!#REF!</definedName>
    <definedName name="_13C_35">[9]연돌일위집계!#REF!</definedName>
    <definedName name="_13C_36">[9]연돌일위집계!#REF!</definedName>
    <definedName name="_13C_37">[9]연돌일위집계!#REF!</definedName>
    <definedName name="_13C_38">[9]연돌일위집계!#REF!</definedName>
    <definedName name="_13C_39">[9]연돌일위집계!#REF!</definedName>
    <definedName name="_13C_4">[9]연돌일위집계!#REF!</definedName>
    <definedName name="_13C_40">[9]연돌일위집계!#REF!</definedName>
    <definedName name="_13C_41">[9]연돌일위집계!#REF!</definedName>
    <definedName name="_13C_42">[9]연돌일위집계!#REF!</definedName>
    <definedName name="_13C_43">[9]연돌일위집계!#REF!</definedName>
    <definedName name="_13C_44">[9]연돌일위집계!#REF!</definedName>
    <definedName name="_13C_45">[9]연돌일위집계!#REF!</definedName>
    <definedName name="_13C_46">[9]연돌일위집계!#REF!</definedName>
    <definedName name="_13C_47">[9]연돌일위집계!#REF!</definedName>
    <definedName name="_13C_48">[9]연돌일위집계!#REF!</definedName>
    <definedName name="_13C_49">[9]연돌일위집계!#REF!</definedName>
    <definedName name="_13C_5">[9]연돌일위집계!#REF!</definedName>
    <definedName name="_13C_50">[9]연돌일위집계!#REF!</definedName>
    <definedName name="_13C_51">[9]연돌일위집계!#REF!</definedName>
    <definedName name="_13C_52">[9]연돌일위집계!#REF!</definedName>
    <definedName name="_13C_53">[9]연돌일위집계!#REF!</definedName>
    <definedName name="_13C_54">[9]연돌일위집계!#REF!</definedName>
    <definedName name="_13C_55">[9]연돌일위집계!#REF!</definedName>
    <definedName name="_13C_56">[9]연돌일위집계!#REF!</definedName>
    <definedName name="_13C_57">[9]연돌일위집계!#REF!</definedName>
    <definedName name="_13C_58">[9]연돌일위집계!#REF!</definedName>
    <definedName name="_13C_59">[9]연돌일위집계!#REF!</definedName>
    <definedName name="_13C_6">[9]연돌일위집계!#REF!</definedName>
    <definedName name="_13C_60">[9]연돌일위집계!#REF!</definedName>
    <definedName name="_13C_7">[9]연돌일위집계!#REF!</definedName>
    <definedName name="_13C_8">[9]연돌일위집계!#REF!</definedName>
    <definedName name="_13C_9">[9]연돌일위집계!#REF!</definedName>
    <definedName name="_13GO2_">#REF!</definedName>
    <definedName name="_14A_1">#N/A</definedName>
    <definedName name="_14A_10">#N/A</definedName>
    <definedName name="_14A_11">#N/A</definedName>
    <definedName name="_14A_12">#N/A</definedName>
    <definedName name="_14A_13">#N/A</definedName>
    <definedName name="_14A_14">#N/A</definedName>
    <definedName name="_14A_15">#N/A</definedName>
    <definedName name="_14A_16">#N/A</definedName>
    <definedName name="_14A_17">#N/A</definedName>
    <definedName name="_14A_18">#N/A</definedName>
    <definedName name="_14A_19">#N/A</definedName>
    <definedName name="_14A_2">#N/A</definedName>
    <definedName name="_14A_20">#N/A</definedName>
    <definedName name="_14A_21">#N/A</definedName>
    <definedName name="_14A_22">#N/A</definedName>
    <definedName name="_14A_23">#N/A</definedName>
    <definedName name="_14A_24">#N/A</definedName>
    <definedName name="_14A_25">#N/A</definedName>
    <definedName name="_14A_26">#N/A</definedName>
    <definedName name="_14A_27">#N/A</definedName>
    <definedName name="_14A_28">#N/A</definedName>
    <definedName name="_14A_29">#N/A</definedName>
    <definedName name="_14A_3">#N/A</definedName>
    <definedName name="_14A_30">#N/A</definedName>
    <definedName name="_14A_4">#N/A</definedName>
    <definedName name="_14A_5">#N/A</definedName>
    <definedName name="_14A_6">#N/A</definedName>
    <definedName name="_14A_7">#N/A</definedName>
    <definedName name="_14A_8">#N/A</definedName>
    <definedName name="_14A_9">#N/A</definedName>
    <definedName name="_14B_1">#N/A</definedName>
    <definedName name="_14B_10">#N/A</definedName>
    <definedName name="_14B_11">#N/A</definedName>
    <definedName name="_14B_12">#N/A</definedName>
    <definedName name="_14B_13">#N/A</definedName>
    <definedName name="_14B_14">#N/A</definedName>
    <definedName name="_14B_15">#N/A</definedName>
    <definedName name="_14B_16">#N/A</definedName>
    <definedName name="_14B_17">#N/A</definedName>
    <definedName name="_14B_18">#N/A</definedName>
    <definedName name="_14B_19">#N/A</definedName>
    <definedName name="_14B_2">#N/A</definedName>
    <definedName name="_14B_20">#N/A</definedName>
    <definedName name="_14B_21">#N/A</definedName>
    <definedName name="_14B_22">#N/A</definedName>
    <definedName name="_14B_23">#N/A</definedName>
    <definedName name="_14B_24">#N/A</definedName>
    <definedName name="_14B_25">#N/A</definedName>
    <definedName name="_14B_26">#N/A</definedName>
    <definedName name="_14B_27">#N/A</definedName>
    <definedName name="_14B_28">#N/A</definedName>
    <definedName name="_14B_29">#N/A</definedName>
    <definedName name="_14B_3">#N/A</definedName>
    <definedName name="_14B_30">#N/A</definedName>
    <definedName name="_14B_4">#N/A</definedName>
    <definedName name="_14B_5">#N/A</definedName>
    <definedName name="_14B_6">#N/A</definedName>
    <definedName name="_14B_7">#N/A</definedName>
    <definedName name="_14B_8">#N/A</definedName>
    <definedName name="_14B_9">#N/A</definedName>
    <definedName name="_14C_1">#N/A</definedName>
    <definedName name="_14C_10">#N/A</definedName>
    <definedName name="_14C_11">#N/A</definedName>
    <definedName name="_14C_12">#N/A</definedName>
    <definedName name="_14C_13">#N/A</definedName>
    <definedName name="_14C_14">#N/A</definedName>
    <definedName name="_14C_15">#N/A</definedName>
    <definedName name="_14C_16">#N/A</definedName>
    <definedName name="_14C_17">#N/A</definedName>
    <definedName name="_14C_18">#N/A</definedName>
    <definedName name="_14C_19">#N/A</definedName>
    <definedName name="_14C_2">#N/A</definedName>
    <definedName name="_14C_20">#N/A</definedName>
    <definedName name="_14C_21">#N/A</definedName>
    <definedName name="_14C_22">#N/A</definedName>
    <definedName name="_14C_23">#N/A</definedName>
    <definedName name="_14C_24">#N/A</definedName>
    <definedName name="_14C_25">#N/A</definedName>
    <definedName name="_14C_26">#N/A</definedName>
    <definedName name="_14C_27">#N/A</definedName>
    <definedName name="_14C_28">#N/A</definedName>
    <definedName name="_14C_29">#N/A</definedName>
    <definedName name="_14C_3">#N/A</definedName>
    <definedName name="_14C_30">#N/A</definedName>
    <definedName name="_14C_4">#N/A</definedName>
    <definedName name="_14C_5">#N/A</definedName>
    <definedName name="_14C_6">#N/A</definedName>
    <definedName name="_14C_7">#N/A</definedName>
    <definedName name="_14C_8">#N/A</definedName>
    <definedName name="_14C_9">#N/A</definedName>
    <definedName name="_14go3_">#REF!</definedName>
    <definedName name="_15A_1">#N/A</definedName>
    <definedName name="_15A_10">#N/A</definedName>
    <definedName name="_15A_11">#N/A</definedName>
    <definedName name="_15A_12">#N/A</definedName>
    <definedName name="_15A_13">#N/A</definedName>
    <definedName name="_15A_14">#N/A</definedName>
    <definedName name="_15A_15">#N/A</definedName>
    <definedName name="_15A_16">#N/A</definedName>
    <definedName name="_15A_17">#N/A</definedName>
    <definedName name="_15A_18">#N/A</definedName>
    <definedName name="_15A_19">#N/A</definedName>
    <definedName name="_15A_2">#N/A</definedName>
    <definedName name="_15A_20">#N/A</definedName>
    <definedName name="_15A_21">#N/A</definedName>
    <definedName name="_15A_22">#N/A</definedName>
    <definedName name="_15A_23">#N/A</definedName>
    <definedName name="_15A_24">#N/A</definedName>
    <definedName name="_15A_25">#N/A</definedName>
    <definedName name="_15A_26">#N/A</definedName>
    <definedName name="_15A_27">#N/A</definedName>
    <definedName name="_15A_28">#N/A</definedName>
    <definedName name="_15A_29">#N/A</definedName>
    <definedName name="_15A_3">#N/A</definedName>
    <definedName name="_15A_30">#N/A</definedName>
    <definedName name="_15A_31">#N/A</definedName>
    <definedName name="_15A_32">#N/A</definedName>
    <definedName name="_15A_33">#N/A</definedName>
    <definedName name="_15A_34">#N/A</definedName>
    <definedName name="_15A_35">#N/A</definedName>
    <definedName name="_15A_36">#N/A</definedName>
    <definedName name="_15A_37">#N/A</definedName>
    <definedName name="_15A_38">#N/A</definedName>
    <definedName name="_15A_39">#N/A</definedName>
    <definedName name="_15A_4">#N/A</definedName>
    <definedName name="_15A_40">#N/A</definedName>
    <definedName name="_15A_41">#N/A</definedName>
    <definedName name="_15A_42">#N/A</definedName>
    <definedName name="_15A_43">#N/A</definedName>
    <definedName name="_15A_44">#N/A</definedName>
    <definedName name="_15A_45">#N/A</definedName>
    <definedName name="_15A_46">#N/A</definedName>
    <definedName name="_15A_47">#N/A</definedName>
    <definedName name="_15A_48">#N/A</definedName>
    <definedName name="_15A_49">#N/A</definedName>
    <definedName name="_15A_5">#N/A</definedName>
    <definedName name="_15A_50">#N/A</definedName>
    <definedName name="_15A_51">#N/A</definedName>
    <definedName name="_15A_52">#N/A</definedName>
    <definedName name="_15A_53">#N/A</definedName>
    <definedName name="_15A_54">#N/A</definedName>
    <definedName name="_15A_55">#N/A</definedName>
    <definedName name="_15A_56">#N/A</definedName>
    <definedName name="_15A_57">#N/A</definedName>
    <definedName name="_15A_58">#N/A</definedName>
    <definedName name="_15A_59">#N/A</definedName>
    <definedName name="_15A_6">#N/A</definedName>
    <definedName name="_15A_60">#N/A</definedName>
    <definedName name="_15A_61">#N/A</definedName>
    <definedName name="_15A_62">#N/A</definedName>
    <definedName name="_15A_63">#N/A</definedName>
    <definedName name="_15A_64">#N/A</definedName>
    <definedName name="_15A_65">#N/A</definedName>
    <definedName name="_15A_66">#N/A</definedName>
    <definedName name="_15A_67">#N/A</definedName>
    <definedName name="_15A_68">#N/A</definedName>
    <definedName name="_15A_69">#N/A</definedName>
    <definedName name="_15A_7">#N/A</definedName>
    <definedName name="_15A_70">#N/A</definedName>
    <definedName name="_15A_71">#N/A</definedName>
    <definedName name="_15A_72">#N/A</definedName>
    <definedName name="_15A_73">#N/A</definedName>
    <definedName name="_15A_74">#N/A</definedName>
    <definedName name="_15A_75">#N/A</definedName>
    <definedName name="_15A_76">#N/A</definedName>
    <definedName name="_15A_77">#N/A</definedName>
    <definedName name="_15A_78">#N/A</definedName>
    <definedName name="_15A_79">#N/A</definedName>
    <definedName name="_15A_8">#N/A</definedName>
    <definedName name="_15A_80">#N/A</definedName>
    <definedName name="_15A_81">#N/A</definedName>
    <definedName name="_15A_82">#N/A</definedName>
    <definedName name="_15A_83">#N/A</definedName>
    <definedName name="_15A_84">#N/A</definedName>
    <definedName name="_15A_85">#N/A</definedName>
    <definedName name="_15A_86">#N/A</definedName>
    <definedName name="_15A_87">#N/A</definedName>
    <definedName name="_15A_88">#N/A</definedName>
    <definedName name="_15A_89">#N/A</definedName>
    <definedName name="_15A_9">#N/A</definedName>
    <definedName name="_15A_90">#N/A</definedName>
    <definedName name="_15B_1">#N/A</definedName>
    <definedName name="_15B_10">#N/A</definedName>
    <definedName name="_15B_11">#N/A</definedName>
    <definedName name="_15B_12">#N/A</definedName>
    <definedName name="_15B_13">#N/A</definedName>
    <definedName name="_15B_14">#N/A</definedName>
    <definedName name="_15B_15">#N/A</definedName>
    <definedName name="_15B_16">#N/A</definedName>
    <definedName name="_15B_17">#N/A</definedName>
    <definedName name="_15B_18">#N/A</definedName>
    <definedName name="_15B_19">#N/A</definedName>
    <definedName name="_15B_2">#N/A</definedName>
    <definedName name="_15B_20">#N/A</definedName>
    <definedName name="_15B_21">#N/A</definedName>
    <definedName name="_15B_22">#N/A</definedName>
    <definedName name="_15B_23">#N/A</definedName>
    <definedName name="_15B_24">#N/A</definedName>
    <definedName name="_15B_25">#N/A</definedName>
    <definedName name="_15B_26">#N/A</definedName>
    <definedName name="_15B_27">#N/A</definedName>
    <definedName name="_15B_28">#N/A</definedName>
    <definedName name="_15B_29">#N/A</definedName>
    <definedName name="_15B_3">#N/A</definedName>
    <definedName name="_15B_30">#N/A</definedName>
    <definedName name="_15B_31">#N/A</definedName>
    <definedName name="_15B_32">#N/A</definedName>
    <definedName name="_15B_33">#N/A</definedName>
    <definedName name="_15B_34">#N/A</definedName>
    <definedName name="_15B_35">#N/A</definedName>
    <definedName name="_15B_36">#N/A</definedName>
    <definedName name="_15B_37">#N/A</definedName>
    <definedName name="_15B_38">#N/A</definedName>
    <definedName name="_15B_39">#N/A</definedName>
    <definedName name="_15B_4">#N/A</definedName>
    <definedName name="_15B_40">#N/A</definedName>
    <definedName name="_15B_41">#N/A</definedName>
    <definedName name="_15B_42">#N/A</definedName>
    <definedName name="_15B_43">#N/A</definedName>
    <definedName name="_15B_44">#N/A</definedName>
    <definedName name="_15B_45">#N/A</definedName>
    <definedName name="_15B_46">#N/A</definedName>
    <definedName name="_15B_47">#N/A</definedName>
    <definedName name="_15B_48">#N/A</definedName>
    <definedName name="_15B_49">#N/A</definedName>
    <definedName name="_15B_5">#N/A</definedName>
    <definedName name="_15B_50">#N/A</definedName>
    <definedName name="_15B_51">#N/A</definedName>
    <definedName name="_15B_52">#N/A</definedName>
    <definedName name="_15B_53">#N/A</definedName>
    <definedName name="_15B_54">#N/A</definedName>
    <definedName name="_15B_55">#N/A</definedName>
    <definedName name="_15B_56">#N/A</definedName>
    <definedName name="_15B_57">#N/A</definedName>
    <definedName name="_15B_58">#N/A</definedName>
    <definedName name="_15B_59">#N/A</definedName>
    <definedName name="_15B_6">#N/A</definedName>
    <definedName name="_15B_60">#N/A</definedName>
    <definedName name="_15B_61">#N/A</definedName>
    <definedName name="_15B_62">#N/A</definedName>
    <definedName name="_15B_63">#N/A</definedName>
    <definedName name="_15B_64">#N/A</definedName>
    <definedName name="_15B_65">#N/A</definedName>
    <definedName name="_15B_66">#N/A</definedName>
    <definedName name="_15B_67">#N/A</definedName>
    <definedName name="_15B_68">#N/A</definedName>
    <definedName name="_15B_69">#N/A</definedName>
    <definedName name="_15B_7">#N/A</definedName>
    <definedName name="_15B_70">#N/A</definedName>
    <definedName name="_15B_71">#N/A</definedName>
    <definedName name="_15B_72">#N/A</definedName>
    <definedName name="_15B_73">#N/A</definedName>
    <definedName name="_15B_74">#N/A</definedName>
    <definedName name="_15B_75">#N/A</definedName>
    <definedName name="_15B_76">#N/A</definedName>
    <definedName name="_15B_77">#N/A</definedName>
    <definedName name="_15B_78">#N/A</definedName>
    <definedName name="_15B_79">#N/A</definedName>
    <definedName name="_15B_8">#N/A</definedName>
    <definedName name="_15B_80">#N/A</definedName>
    <definedName name="_15B_81">#N/A</definedName>
    <definedName name="_15B_82">#N/A</definedName>
    <definedName name="_15B_83">#N/A</definedName>
    <definedName name="_15B_84">#N/A</definedName>
    <definedName name="_15B_85">#N/A</definedName>
    <definedName name="_15B_86">#N/A</definedName>
    <definedName name="_15B_87">#N/A</definedName>
    <definedName name="_15B_88">#N/A</definedName>
    <definedName name="_15B_89">#N/A</definedName>
    <definedName name="_15B_9">#N/A</definedName>
    <definedName name="_15B_90">#N/A</definedName>
    <definedName name="_15C_1">#N/A</definedName>
    <definedName name="_15C_10">#N/A</definedName>
    <definedName name="_15C_11">#N/A</definedName>
    <definedName name="_15C_12">#N/A</definedName>
    <definedName name="_15C_13">#N/A</definedName>
    <definedName name="_15C_14">#N/A</definedName>
    <definedName name="_15C_15">#N/A</definedName>
    <definedName name="_15C_16">#N/A</definedName>
    <definedName name="_15C_17">#N/A</definedName>
    <definedName name="_15C_18">#N/A</definedName>
    <definedName name="_15C_19">#N/A</definedName>
    <definedName name="_15C_2">#N/A</definedName>
    <definedName name="_15C_20">#N/A</definedName>
    <definedName name="_15C_21">#N/A</definedName>
    <definedName name="_15C_22">#N/A</definedName>
    <definedName name="_15C_23">#N/A</definedName>
    <definedName name="_15C_24">#N/A</definedName>
    <definedName name="_15C_25">#N/A</definedName>
    <definedName name="_15C_26">#N/A</definedName>
    <definedName name="_15C_27">#N/A</definedName>
    <definedName name="_15C_28">#N/A</definedName>
    <definedName name="_15C_29">#N/A</definedName>
    <definedName name="_15C_3">#N/A</definedName>
    <definedName name="_15C_30">#N/A</definedName>
    <definedName name="_15C_31">#N/A</definedName>
    <definedName name="_15C_32">#N/A</definedName>
    <definedName name="_15C_33">#N/A</definedName>
    <definedName name="_15C_34">#N/A</definedName>
    <definedName name="_15C_35">#N/A</definedName>
    <definedName name="_15C_36">#N/A</definedName>
    <definedName name="_15C_37">#N/A</definedName>
    <definedName name="_15C_38">#N/A</definedName>
    <definedName name="_15C_39">#N/A</definedName>
    <definedName name="_15C_4">#N/A</definedName>
    <definedName name="_15C_40">#N/A</definedName>
    <definedName name="_15C_41">#N/A</definedName>
    <definedName name="_15C_42">#N/A</definedName>
    <definedName name="_15C_43">#N/A</definedName>
    <definedName name="_15C_44">#N/A</definedName>
    <definedName name="_15C_45">#N/A</definedName>
    <definedName name="_15C_46">#N/A</definedName>
    <definedName name="_15C_47">#N/A</definedName>
    <definedName name="_15C_48">#N/A</definedName>
    <definedName name="_15C_49">#N/A</definedName>
    <definedName name="_15C_5">#N/A</definedName>
    <definedName name="_15C_50">#N/A</definedName>
    <definedName name="_15C_51">#N/A</definedName>
    <definedName name="_15C_52">#N/A</definedName>
    <definedName name="_15C_53">#N/A</definedName>
    <definedName name="_15C_54">#N/A</definedName>
    <definedName name="_15C_55">#N/A</definedName>
    <definedName name="_15C_56">#N/A</definedName>
    <definedName name="_15C_57">#N/A</definedName>
    <definedName name="_15C_58">#N/A</definedName>
    <definedName name="_15C_59">#N/A</definedName>
    <definedName name="_15C_6">#N/A</definedName>
    <definedName name="_15C_60">#N/A</definedName>
    <definedName name="_15C_61">#N/A</definedName>
    <definedName name="_15C_62">#N/A</definedName>
    <definedName name="_15C_63">#N/A</definedName>
    <definedName name="_15C_64">#N/A</definedName>
    <definedName name="_15C_65">#N/A</definedName>
    <definedName name="_15C_66">#N/A</definedName>
    <definedName name="_15C_67">#N/A</definedName>
    <definedName name="_15C_68">#N/A</definedName>
    <definedName name="_15C_69">#N/A</definedName>
    <definedName name="_15C_7">#N/A</definedName>
    <definedName name="_15C_70">#N/A</definedName>
    <definedName name="_15C_71">#N/A</definedName>
    <definedName name="_15C_72">#N/A</definedName>
    <definedName name="_15C_73">#N/A</definedName>
    <definedName name="_15C_74">#N/A</definedName>
    <definedName name="_15C_75">#N/A</definedName>
    <definedName name="_15C_76">#N/A</definedName>
    <definedName name="_15C_77">#N/A</definedName>
    <definedName name="_15C_78">#N/A</definedName>
    <definedName name="_15C_79">#N/A</definedName>
    <definedName name="_15C_8">#N/A</definedName>
    <definedName name="_15C_80">#N/A</definedName>
    <definedName name="_15C_81">#N/A</definedName>
    <definedName name="_15C_82">#N/A</definedName>
    <definedName name="_15C_83">#N/A</definedName>
    <definedName name="_15C_84">#N/A</definedName>
    <definedName name="_15C_85">#N/A</definedName>
    <definedName name="_15C_86">#N/A</definedName>
    <definedName name="_15C_87">#N/A</definedName>
    <definedName name="_15C_88">#N/A</definedName>
    <definedName name="_15C_89">#N/A</definedName>
    <definedName name="_15C_9">#N/A</definedName>
    <definedName name="_15C_90">#N/A</definedName>
    <definedName name="_15P1_">#REF!</definedName>
    <definedName name="_16A_1">[9]연돌일위집계!#REF!</definedName>
    <definedName name="_16A_2">[9]연돌일위집계!#REF!</definedName>
    <definedName name="_16A_3">[9]연돌일위집계!#REF!</definedName>
    <definedName name="_16A_4">[9]연돌일위집계!#REF!</definedName>
    <definedName name="_16A_5">[9]연돌일위집계!#REF!</definedName>
    <definedName name="_16A_6">[9]연돌일위집계!#REF!</definedName>
    <definedName name="_16A_7">[9]연돌일위집계!#REF!</definedName>
    <definedName name="_16B_1">[9]연돌일위집계!#REF!</definedName>
    <definedName name="_16B_2">[9]연돌일위집계!#REF!</definedName>
    <definedName name="_16B_3">[9]연돌일위집계!#REF!</definedName>
    <definedName name="_16B_4">[9]연돌일위집계!#REF!</definedName>
    <definedName name="_16B_5">[9]연돌일위집계!#REF!</definedName>
    <definedName name="_16B_6">[9]연돌일위집계!#REF!</definedName>
    <definedName name="_16B_7">[9]연돌일위집계!#REF!</definedName>
    <definedName name="_16C_1">[9]연돌일위집계!#REF!</definedName>
    <definedName name="_16C_2">[9]연돌일위집계!#REF!</definedName>
    <definedName name="_16C_3">[9]연돌일위집계!#REF!</definedName>
    <definedName name="_16C_4">[9]연돌일위집계!#REF!</definedName>
    <definedName name="_16C_5">[9]연돌일위집계!#REF!</definedName>
    <definedName name="_16C_6">[9]연돌일위집계!#REF!</definedName>
    <definedName name="_16C_7">[9]연돌일위집계!#REF!</definedName>
    <definedName name="_16P10_">#REF!</definedName>
    <definedName name="_17A_1">#N/A</definedName>
    <definedName name="_17A_10">#N/A</definedName>
    <definedName name="_17A_11">#N/A</definedName>
    <definedName name="_17A_12">#N/A</definedName>
    <definedName name="_17A_13">#N/A</definedName>
    <definedName name="_17A_14">#N/A</definedName>
    <definedName name="_17A_15">#N/A</definedName>
    <definedName name="_17A_2">#N/A</definedName>
    <definedName name="_17A_3">#N/A</definedName>
    <definedName name="_17A_4">#N/A</definedName>
    <definedName name="_17A_5">#N/A</definedName>
    <definedName name="_17A_6">#N/A</definedName>
    <definedName name="_17A_7">#N/A</definedName>
    <definedName name="_17A_8">#N/A</definedName>
    <definedName name="_17A_9">#N/A</definedName>
    <definedName name="_17B_1">#N/A</definedName>
    <definedName name="_17B_10">#N/A</definedName>
    <definedName name="_17B_11">#N/A</definedName>
    <definedName name="_17B_12">#N/A</definedName>
    <definedName name="_17B_13">#N/A</definedName>
    <definedName name="_17B_14">#N/A</definedName>
    <definedName name="_17B_15">#N/A</definedName>
    <definedName name="_17B_2">#N/A</definedName>
    <definedName name="_17B_3">#N/A</definedName>
    <definedName name="_17B_4">#N/A</definedName>
    <definedName name="_17B_5">#N/A</definedName>
    <definedName name="_17B_6">#N/A</definedName>
    <definedName name="_17B_7">#N/A</definedName>
    <definedName name="_17B_8">#N/A</definedName>
    <definedName name="_17B_9">#N/A</definedName>
    <definedName name="_17C_1">#N/A</definedName>
    <definedName name="_17C_10">#N/A</definedName>
    <definedName name="_17C_11">#N/A</definedName>
    <definedName name="_17C_12">#N/A</definedName>
    <definedName name="_17C_13">#N/A</definedName>
    <definedName name="_17C_14">#N/A</definedName>
    <definedName name="_17C_15">#N/A</definedName>
    <definedName name="_17C_2">#N/A</definedName>
    <definedName name="_17C_3">#N/A</definedName>
    <definedName name="_17C_4">#N/A</definedName>
    <definedName name="_17C_5">#N/A</definedName>
    <definedName name="_17C_6">#N/A</definedName>
    <definedName name="_17C_7">#N/A</definedName>
    <definedName name="_17C_8">#N/A</definedName>
    <definedName name="_17C_9">#N/A</definedName>
    <definedName name="_17P11_">#REF!</definedName>
    <definedName name="_18A_1">#N/A</definedName>
    <definedName name="_18A_10">#N/A</definedName>
    <definedName name="_18A_11">#N/A</definedName>
    <definedName name="_18A_12">#N/A</definedName>
    <definedName name="_18A_13">#N/A</definedName>
    <definedName name="_18A_14">#N/A</definedName>
    <definedName name="_18A_15">#N/A</definedName>
    <definedName name="_18A_2">#N/A</definedName>
    <definedName name="_18A_3">#N/A</definedName>
    <definedName name="_18A_4">#N/A</definedName>
    <definedName name="_18A_5">#N/A</definedName>
    <definedName name="_18A_6">#N/A</definedName>
    <definedName name="_18A_7">#N/A</definedName>
    <definedName name="_18A_8">#N/A</definedName>
    <definedName name="_18A_9">#N/A</definedName>
    <definedName name="_18B_1">#N/A</definedName>
    <definedName name="_18B_10">#N/A</definedName>
    <definedName name="_18B_11">#N/A</definedName>
    <definedName name="_18B_12">#N/A</definedName>
    <definedName name="_18B_13">#N/A</definedName>
    <definedName name="_18B_14">#N/A</definedName>
    <definedName name="_18B_15">#N/A</definedName>
    <definedName name="_18B_2">#N/A</definedName>
    <definedName name="_18B_3">#N/A</definedName>
    <definedName name="_18B_4">#N/A</definedName>
    <definedName name="_18B_5">#N/A</definedName>
    <definedName name="_18B_6">#N/A</definedName>
    <definedName name="_18B_7">#N/A</definedName>
    <definedName name="_18B_8">#N/A</definedName>
    <definedName name="_18B_9">#N/A</definedName>
    <definedName name="_18C_1">#N/A</definedName>
    <definedName name="_18C_10">#N/A</definedName>
    <definedName name="_18C_11">#N/A</definedName>
    <definedName name="_18C_12">#N/A</definedName>
    <definedName name="_18C_13">#N/A</definedName>
    <definedName name="_18C_14">#N/A</definedName>
    <definedName name="_18C_15">#N/A</definedName>
    <definedName name="_18C_2">#N/A</definedName>
    <definedName name="_18C_3">#N/A</definedName>
    <definedName name="_18C_4">#N/A</definedName>
    <definedName name="_18C_5">#N/A</definedName>
    <definedName name="_18C_6">#N/A</definedName>
    <definedName name="_18C_7">#N/A</definedName>
    <definedName name="_18C_8">#N/A</definedName>
    <definedName name="_18C_9">#N/A</definedName>
    <definedName name="_18P12_">#REF!</definedName>
    <definedName name="_19A1_">#REF!</definedName>
    <definedName name="_19P13_">#REF!</definedName>
    <definedName name="_1A_1">[9]연돌일위집계!#REF!</definedName>
    <definedName name="_1A_10">[9]연돌일위집계!#REF!</definedName>
    <definedName name="_1A_11">[9]연돌일위집계!#REF!</definedName>
    <definedName name="_1A_12">[9]연돌일위집계!#REF!</definedName>
    <definedName name="_1A_13">[9]연돌일위집계!#REF!</definedName>
    <definedName name="_1A_14">[9]연돌일위집계!#REF!</definedName>
    <definedName name="_1A_15">[9]연돌일위집계!#REF!</definedName>
    <definedName name="_1A_16">[9]연돌일위집계!#REF!</definedName>
    <definedName name="_1A_17">[9]연돌일위집계!#REF!</definedName>
    <definedName name="_1A_18">[9]연돌일위집계!#REF!</definedName>
    <definedName name="_1A_19">[9]연돌일위집계!#REF!</definedName>
    <definedName name="_1A_2">[9]연돌일위집계!#REF!</definedName>
    <definedName name="_1A_20">[9]연돌일위집계!#REF!</definedName>
    <definedName name="_1A_21">[9]연돌일위집계!#REF!</definedName>
    <definedName name="_1A_22">[9]연돌일위집계!#REF!</definedName>
    <definedName name="_1A_23">[9]연돌일위집계!#REF!</definedName>
    <definedName name="_1A_24">[9]연돌일위집계!#REF!</definedName>
    <definedName name="_1A_25">[9]연돌일위집계!#REF!</definedName>
    <definedName name="_1A_26">[9]연돌일위집계!#REF!</definedName>
    <definedName name="_1A_27">[9]연돌일위집계!#REF!</definedName>
    <definedName name="_1A_28">[9]연돌일위집계!#REF!</definedName>
    <definedName name="_1A_29">[9]연돌일위집계!#REF!</definedName>
    <definedName name="_1A_3">[9]연돌일위집계!#REF!</definedName>
    <definedName name="_1A_30">[9]연돌일위집계!#REF!</definedName>
    <definedName name="_1A_4">[9]연돌일위집계!#REF!</definedName>
    <definedName name="_1A_5">[9]연돌일위집계!#REF!</definedName>
    <definedName name="_1A_6">[9]연돌일위집계!#REF!</definedName>
    <definedName name="_1A_7">[9]연돌일위집계!#REF!</definedName>
    <definedName name="_1A_8">[9]연돌일위집계!#REF!</definedName>
    <definedName name="_1A_9">[9]연돌일위집계!#REF!</definedName>
    <definedName name="_1A1_" hidden="1">{#N/A,#N/A,TRUE,"Basic";#N/A,#N/A,TRUE,"EXT-TABLE";#N/A,#N/A,TRUE,"STEEL";#N/A,#N/A,TRUE,"INT-Table";#N/A,#N/A,TRUE,"STEEL";#N/A,#N/A,TRUE,"Door"}</definedName>
    <definedName name="_1B_1">[9]연돌일위집계!#REF!</definedName>
    <definedName name="_1B_10">[9]연돌일위집계!#REF!</definedName>
    <definedName name="_1B_11">[9]연돌일위집계!#REF!</definedName>
    <definedName name="_1B_12">[9]연돌일위집계!#REF!</definedName>
    <definedName name="_1B_13">[9]연돌일위집계!#REF!</definedName>
    <definedName name="_1B_14">[9]연돌일위집계!#REF!</definedName>
    <definedName name="_1B_15">[9]연돌일위집계!#REF!</definedName>
    <definedName name="_1B_16">[9]연돌일위집계!#REF!</definedName>
    <definedName name="_1B_17">[9]연돌일위집계!#REF!</definedName>
    <definedName name="_1B_18">[9]연돌일위집계!#REF!</definedName>
    <definedName name="_1B_19">[9]연돌일위집계!#REF!</definedName>
    <definedName name="_1B_2">[9]연돌일위집계!#REF!</definedName>
    <definedName name="_1B_20">[9]연돌일위집계!#REF!</definedName>
    <definedName name="_1B_21">[9]연돌일위집계!#REF!</definedName>
    <definedName name="_1B_22">[9]연돌일위집계!#REF!</definedName>
    <definedName name="_1B_23">[9]연돌일위집계!#REF!</definedName>
    <definedName name="_1B_24">[9]연돌일위집계!#REF!</definedName>
    <definedName name="_1B_25">[9]연돌일위집계!#REF!</definedName>
    <definedName name="_1B_26">[9]연돌일위집계!#REF!</definedName>
    <definedName name="_1B_27">[9]연돌일위집계!#REF!</definedName>
    <definedName name="_1B_28">[9]연돌일위집계!#REF!</definedName>
    <definedName name="_1B_29">[9]연돌일위집계!#REF!</definedName>
    <definedName name="_1B_3">[9]연돌일위집계!#REF!</definedName>
    <definedName name="_1B_30">[9]연돌일위집계!#REF!</definedName>
    <definedName name="_1B_4">[9]연돌일위집계!#REF!</definedName>
    <definedName name="_1B_5">[9]연돌일위집계!#REF!</definedName>
    <definedName name="_1B_6">[9]연돌일위집계!#REF!</definedName>
    <definedName name="_1B_7">[9]연돌일위집계!#REF!</definedName>
    <definedName name="_1B_8">[9]연돌일위집계!#REF!</definedName>
    <definedName name="_1B_9">[9]연돌일위집계!#REF!</definedName>
    <definedName name="_1C_1">[9]연돌일위집계!#REF!</definedName>
    <definedName name="_1C_10">[9]연돌일위집계!#REF!</definedName>
    <definedName name="_1C_11">[9]연돌일위집계!#REF!</definedName>
    <definedName name="_1C_12">[9]연돌일위집계!#REF!</definedName>
    <definedName name="_1C_13">[9]연돌일위집계!#REF!</definedName>
    <definedName name="_1C_14">[9]연돌일위집계!#REF!</definedName>
    <definedName name="_1C_15">[9]연돌일위집계!#REF!</definedName>
    <definedName name="_1C_16">[9]연돌일위집계!#REF!</definedName>
    <definedName name="_1C_17">[9]연돌일위집계!#REF!</definedName>
    <definedName name="_1C_18">[9]연돌일위집계!#REF!</definedName>
    <definedName name="_1C_19">[9]연돌일위집계!#REF!</definedName>
    <definedName name="_1C_2">[9]연돌일위집계!#REF!</definedName>
    <definedName name="_1C_20">[9]연돌일위집계!#REF!</definedName>
    <definedName name="_1C_21">[9]연돌일위집계!#REF!</definedName>
    <definedName name="_1C_22">[9]연돌일위집계!#REF!</definedName>
    <definedName name="_1C_23">[9]연돌일위집계!#REF!</definedName>
    <definedName name="_1C_24">[9]연돌일위집계!#REF!</definedName>
    <definedName name="_1C_25">[9]연돌일위집계!#REF!</definedName>
    <definedName name="_1C_26">[9]연돌일위집계!#REF!</definedName>
    <definedName name="_1C_27">[9]연돌일위집계!#REF!</definedName>
    <definedName name="_1C_28">[9]연돌일위집계!#REF!</definedName>
    <definedName name="_1C_29">[9]연돌일위집계!#REF!</definedName>
    <definedName name="_1C_3">[9]연돌일위집계!#REF!</definedName>
    <definedName name="_1C_30">[9]연돌일위집계!#REF!</definedName>
    <definedName name="_1C_4">[9]연돌일위집계!#REF!</definedName>
    <definedName name="_1C_5">[9]연돌일위집계!#REF!</definedName>
    <definedName name="_1C_6">[9]연돌일위집계!#REF!</definedName>
    <definedName name="_1C_7">[9]연돌일위집계!#REF!</definedName>
    <definedName name="_1C_8">[9]연돌일위집계!#REF!</definedName>
    <definedName name="_1C_9">[9]연돌일위집계!#REF!</definedName>
    <definedName name="_1u¨­OUⓒ￡uueⓒ￢A¨­AIee_YA">[10]수입!#REF!</definedName>
    <definedName name="_2_?쾴?_?">#REF!</definedName>
    <definedName name="_20P14_">#REF!</definedName>
    <definedName name="_21A66_">#N/A</definedName>
    <definedName name="_21P15_">#REF!</definedName>
    <definedName name="_22">#N/A</definedName>
    <definedName name="_22P16_">#REF!</definedName>
    <definedName name="_23ac4_">#N/A</definedName>
    <definedName name="_23P17_">#REF!</definedName>
    <definedName name="_24B1_">#REF!</definedName>
    <definedName name="_24P2_">#REF!</definedName>
    <definedName name="_25P3_">#REF!</definedName>
    <definedName name="_26P4_">#REF!</definedName>
    <definedName name="_27P5_">#REF!</definedName>
    <definedName name="_28P6_">#REF!</definedName>
    <definedName name="_29P7_">#REF!</definedName>
    <definedName name="_2A_1">[9]연돌일위집계!#REF!</definedName>
    <definedName name="_2A_10">[9]연돌일위집계!#REF!</definedName>
    <definedName name="_2A_11">[9]연돌일위집계!#REF!</definedName>
    <definedName name="_2A_12">[9]연돌일위집계!#REF!</definedName>
    <definedName name="_2A_13">[9]연돌일위집계!#REF!</definedName>
    <definedName name="_2A_14">[9]연돌일위집계!#REF!</definedName>
    <definedName name="_2A_15">[9]연돌일위집계!#REF!</definedName>
    <definedName name="_2A_16">[9]연돌일위집계!#REF!</definedName>
    <definedName name="_2A_17">[9]연돌일위집계!#REF!</definedName>
    <definedName name="_2A_18">[9]연돌일위집계!#REF!</definedName>
    <definedName name="_2A_19">[9]연돌일위집계!#REF!</definedName>
    <definedName name="_2A_2">[9]연돌일위집계!#REF!</definedName>
    <definedName name="_2A_20">[9]연돌일위집계!#REF!</definedName>
    <definedName name="_2A_21">[9]연돌일위집계!#REF!</definedName>
    <definedName name="_2A_22">[9]연돌일위집계!#REF!</definedName>
    <definedName name="_2A_23">[9]연돌일위집계!#REF!</definedName>
    <definedName name="_2A_24">[9]연돌일위집계!#REF!</definedName>
    <definedName name="_2A_25">[9]연돌일위집계!#REF!</definedName>
    <definedName name="_2A_26">[9]연돌일위집계!#REF!</definedName>
    <definedName name="_2A_27">[9]연돌일위집계!#REF!</definedName>
    <definedName name="_2A_28">[9]연돌일위집계!#REF!</definedName>
    <definedName name="_2A_29">[9]연돌일위집계!#REF!</definedName>
    <definedName name="_2A_3">[9]연돌일위집계!#REF!</definedName>
    <definedName name="_2A_30">[9]연돌일위집계!#REF!</definedName>
    <definedName name="_2A_4">[9]연돌일위집계!#REF!</definedName>
    <definedName name="_2A_5">[9]연돌일위집계!#REF!</definedName>
    <definedName name="_2A_6">[9]연돌일위집계!#REF!</definedName>
    <definedName name="_2A_7">[9]연돌일위집계!#REF!</definedName>
    <definedName name="_2A_8">[9]연돌일위집계!#REF!</definedName>
    <definedName name="_2A_9">[9]연돌일위집계!#REF!</definedName>
    <definedName name="_2B_1">[9]연돌일위집계!#REF!</definedName>
    <definedName name="_2B_10">[9]연돌일위집계!#REF!</definedName>
    <definedName name="_2B_11">[9]연돌일위집계!#REF!</definedName>
    <definedName name="_2B_12">[9]연돌일위집계!#REF!</definedName>
    <definedName name="_2B_13">[9]연돌일위집계!#REF!</definedName>
    <definedName name="_2B_14">[9]연돌일위집계!#REF!</definedName>
    <definedName name="_2B_15">[9]연돌일위집계!#REF!</definedName>
    <definedName name="_2B_16">[9]연돌일위집계!#REF!</definedName>
    <definedName name="_2B_17">[9]연돌일위집계!#REF!</definedName>
    <definedName name="_2B_18">[9]연돌일위집계!#REF!</definedName>
    <definedName name="_2B_19">[9]연돌일위집계!#REF!</definedName>
    <definedName name="_2B_2">[9]연돌일위집계!#REF!</definedName>
    <definedName name="_2B_20">[9]연돌일위집계!#REF!</definedName>
    <definedName name="_2B_21">[9]연돌일위집계!#REF!</definedName>
    <definedName name="_2B_22">[9]연돌일위집계!#REF!</definedName>
    <definedName name="_2B_23">[9]연돌일위집계!#REF!</definedName>
    <definedName name="_2B_24">[9]연돌일위집계!#REF!</definedName>
    <definedName name="_2B_25">[9]연돌일위집계!#REF!</definedName>
    <definedName name="_2B_26">[9]연돌일위집계!#REF!</definedName>
    <definedName name="_2B_27">[9]연돌일위집계!#REF!</definedName>
    <definedName name="_2B_28">[9]연돌일위집계!#REF!</definedName>
    <definedName name="_2B_29">[9]연돌일위집계!#REF!</definedName>
    <definedName name="_2B_3">[9]연돌일위집계!#REF!</definedName>
    <definedName name="_2B_30">[9]연돌일위집계!#REF!</definedName>
    <definedName name="_2B_4">[9]연돌일위집계!#REF!</definedName>
    <definedName name="_2B_5">[9]연돌일위집계!#REF!</definedName>
    <definedName name="_2B_6">[9]연돌일위집계!#REF!</definedName>
    <definedName name="_2B_7">[9]연돌일위집계!#REF!</definedName>
    <definedName name="_2B_8">[9]연돌일위집계!#REF!</definedName>
    <definedName name="_2B_9">[9]연돌일위집계!#REF!</definedName>
    <definedName name="_2C_1">[9]연돌일위집계!#REF!</definedName>
    <definedName name="_2C_10">[9]연돌일위집계!#REF!</definedName>
    <definedName name="_2C_11">[9]연돌일위집계!#REF!</definedName>
    <definedName name="_2C_12">[9]연돌일위집계!#REF!</definedName>
    <definedName name="_2C_13">[9]연돌일위집계!#REF!</definedName>
    <definedName name="_2C_14">[9]연돌일위집계!#REF!</definedName>
    <definedName name="_2C_15">[9]연돌일위집계!#REF!</definedName>
    <definedName name="_2C_16">[9]연돌일위집계!#REF!</definedName>
    <definedName name="_2C_17">[9]연돌일위집계!#REF!</definedName>
    <definedName name="_2C_18">[9]연돌일위집계!#REF!</definedName>
    <definedName name="_2C_19">[9]연돌일위집계!#REF!</definedName>
    <definedName name="_2C_2">[9]연돌일위집계!#REF!</definedName>
    <definedName name="_2C_20">[9]연돌일위집계!#REF!</definedName>
    <definedName name="_2C_21">[9]연돌일위집계!#REF!</definedName>
    <definedName name="_2C_22">[9]연돌일위집계!#REF!</definedName>
    <definedName name="_2C_23">[9]연돌일위집계!#REF!</definedName>
    <definedName name="_2C_24">[9]연돌일위집계!#REF!</definedName>
    <definedName name="_2C_25">[9]연돌일위집계!#REF!</definedName>
    <definedName name="_2C_26">[9]연돌일위집계!#REF!</definedName>
    <definedName name="_2C_27">[9]연돌일위집계!#REF!</definedName>
    <definedName name="_2C_28">[9]연돌일위집계!#REF!</definedName>
    <definedName name="_2C_29">[9]연돌일위집계!#REF!</definedName>
    <definedName name="_2C_3">[9]연돌일위집계!#REF!</definedName>
    <definedName name="_2C_30">[9]연돌일위집계!#REF!</definedName>
    <definedName name="_2C_4">[9]연돌일위집계!#REF!</definedName>
    <definedName name="_2C_5">[9]연돌일위집계!#REF!</definedName>
    <definedName name="_2C_6">[9]연돌일위집계!#REF!</definedName>
    <definedName name="_2C_7">[9]연돌일위집계!#REF!</definedName>
    <definedName name="_2C_8">[9]연돌일위집계!#REF!</definedName>
    <definedName name="_2C_9">[9]연돌일위집계!#REF!</definedName>
    <definedName name="_2uÞOUðuueßAÞAIee_YA">[11]수입!#REF!</definedName>
    <definedName name="_3_?쾴?___P">#REF!</definedName>
    <definedName name="_30P8_">#REF!</definedName>
    <definedName name="_31P9_">#REF!</definedName>
    <definedName name="_3A_1">[9]연돌일위집계!#REF!</definedName>
    <definedName name="_3A_10">[9]연돌일위집계!#REF!</definedName>
    <definedName name="_3A_11">[9]연돌일위집계!#REF!</definedName>
    <definedName name="_3A_12">[9]연돌일위집계!#REF!</definedName>
    <definedName name="_3A_13">[9]연돌일위집계!#REF!</definedName>
    <definedName name="_3A_14">[9]연돌일위집계!#REF!</definedName>
    <definedName name="_3A_15">[9]연돌일위집계!#REF!</definedName>
    <definedName name="_3A_16">[9]연돌일위집계!#REF!</definedName>
    <definedName name="_3A_17">[9]연돌일위집계!#REF!</definedName>
    <definedName name="_3A_18">[9]연돌일위집계!#REF!</definedName>
    <definedName name="_3A_19">[9]연돌일위집계!#REF!</definedName>
    <definedName name="_3A_2">[9]연돌일위집계!#REF!</definedName>
    <definedName name="_3A_20">[9]연돌일위집계!#REF!</definedName>
    <definedName name="_3A_21">[9]연돌일위집계!#REF!</definedName>
    <definedName name="_3A_22">[9]연돌일위집계!#REF!</definedName>
    <definedName name="_3A_23">[9]연돌일위집계!#REF!</definedName>
    <definedName name="_3A_24">[9]연돌일위집계!#REF!</definedName>
    <definedName name="_3A_25">[9]연돌일위집계!#REF!</definedName>
    <definedName name="_3A_26">[9]연돌일위집계!#REF!</definedName>
    <definedName name="_3A_27">[9]연돌일위집계!#REF!</definedName>
    <definedName name="_3A_28">[9]연돌일위집계!#REF!</definedName>
    <definedName name="_3A_29">[9]연돌일위집계!#REF!</definedName>
    <definedName name="_3A_3">[9]연돌일위집계!#REF!</definedName>
    <definedName name="_3A_30">[9]연돌일위집계!#REF!</definedName>
    <definedName name="_3A_4">[9]연돌일위집계!#REF!</definedName>
    <definedName name="_3A_5">[9]연돌일위집계!#REF!</definedName>
    <definedName name="_3A_6">[9]연돌일위집계!#REF!</definedName>
    <definedName name="_3A_7">[9]연돌일위집계!#REF!</definedName>
    <definedName name="_3A_8">[9]연돌일위집계!#REF!</definedName>
    <definedName name="_3A_9">[9]연돌일위집계!#REF!</definedName>
    <definedName name="_3B_1">[9]연돌일위집계!#REF!</definedName>
    <definedName name="_3B_10">[9]연돌일위집계!#REF!</definedName>
    <definedName name="_3B_11">[9]연돌일위집계!#REF!</definedName>
    <definedName name="_3B_12">[9]연돌일위집계!#REF!</definedName>
    <definedName name="_3B_13">[9]연돌일위집계!#REF!</definedName>
    <definedName name="_3B_14">[9]연돌일위집계!#REF!</definedName>
    <definedName name="_3B_15">[9]연돌일위집계!#REF!</definedName>
    <definedName name="_3B_16">[9]연돌일위집계!#REF!</definedName>
    <definedName name="_3B_17">[9]연돌일위집계!#REF!</definedName>
    <definedName name="_3B_18">[9]연돌일위집계!#REF!</definedName>
    <definedName name="_3B_19">[9]연돌일위집계!#REF!</definedName>
    <definedName name="_3B_2">[9]연돌일위집계!#REF!</definedName>
    <definedName name="_3B_20">[9]연돌일위집계!#REF!</definedName>
    <definedName name="_3B_21">[9]연돌일위집계!#REF!</definedName>
    <definedName name="_3B_22">[9]연돌일위집계!#REF!</definedName>
    <definedName name="_3B_23">[9]연돌일위집계!#REF!</definedName>
    <definedName name="_3B_24">[9]연돌일위집계!#REF!</definedName>
    <definedName name="_3B_25">[9]연돌일위집계!#REF!</definedName>
    <definedName name="_3B_26">[9]연돌일위집계!#REF!</definedName>
    <definedName name="_3B_27">[9]연돌일위집계!#REF!</definedName>
    <definedName name="_3B_28">[9]연돌일위집계!#REF!</definedName>
    <definedName name="_3B_29">[9]연돌일위집계!#REF!</definedName>
    <definedName name="_3B_3">[9]연돌일위집계!#REF!</definedName>
    <definedName name="_3B_30">[9]연돌일위집계!#REF!</definedName>
    <definedName name="_3B_4">[9]연돌일위집계!#REF!</definedName>
    <definedName name="_3B_5">[9]연돌일위집계!#REF!</definedName>
    <definedName name="_3B_6">[9]연돌일위집계!#REF!</definedName>
    <definedName name="_3B_7">[9]연돌일위집계!#REF!</definedName>
    <definedName name="_3B_8">[9]연돌일위집계!#REF!</definedName>
    <definedName name="_3B_9">[9]연돌일위집계!#REF!</definedName>
    <definedName name="_3C_1">[9]연돌일위집계!#REF!</definedName>
    <definedName name="_3C_10">[9]연돌일위집계!#REF!</definedName>
    <definedName name="_3C_11">[9]연돌일위집계!#REF!</definedName>
    <definedName name="_3C_12">[9]연돌일위집계!#REF!</definedName>
    <definedName name="_3C_13">[9]연돌일위집계!#REF!</definedName>
    <definedName name="_3C_14">[9]연돌일위집계!#REF!</definedName>
    <definedName name="_3C_15">[9]연돌일위집계!#REF!</definedName>
    <definedName name="_3C_16">[9]연돌일위집계!#REF!</definedName>
    <definedName name="_3C_17">[9]연돌일위집계!#REF!</definedName>
    <definedName name="_3C_18">[9]연돌일위집계!#REF!</definedName>
    <definedName name="_3C_19">[9]연돌일위집계!#REF!</definedName>
    <definedName name="_3C_2">[9]연돌일위집계!#REF!</definedName>
    <definedName name="_3C_20">[9]연돌일위집계!#REF!</definedName>
    <definedName name="_3C_21">[9]연돌일위집계!#REF!</definedName>
    <definedName name="_3C_22">[9]연돌일위집계!#REF!</definedName>
    <definedName name="_3C_23">[9]연돌일위집계!#REF!</definedName>
    <definedName name="_3C_24">[9]연돌일위집계!#REF!</definedName>
    <definedName name="_3C_25">[9]연돌일위집계!#REF!</definedName>
    <definedName name="_3C_26">[9]연돌일위집계!#REF!</definedName>
    <definedName name="_3C_27">[9]연돌일위집계!#REF!</definedName>
    <definedName name="_3C_28">[9]연돌일위집계!#REF!</definedName>
    <definedName name="_3C_29">[9]연돌일위집계!#REF!</definedName>
    <definedName name="_3C_3">[9]연돌일위집계!#REF!</definedName>
    <definedName name="_3C_30">[9]연돌일위집계!#REF!</definedName>
    <definedName name="_3C_4">[9]연돌일위집계!#REF!</definedName>
    <definedName name="_3C_5">[9]연돌일위집계!#REF!</definedName>
    <definedName name="_3C_6">[9]연돌일위집계!#REF!</definedName>
    <definedName name="_3C_7">[9]연돌일위집계!#REF!</definedName>
    <definedName name="_3C_8">[9]연돌일위집계!#REF!</definedName>
    <definedName name="_3C_9">[9]연돌일위집계!#REF!</definedName>
    <definedName name="_4_?쾴?_T">#REF!</definedName>
    <definedName name="_４４__分_期">#REF!</definedName>
    <definedName name="_4A_1">[9]연돌일위집계!#REF!</definedName>
    <definedName name="_4A_10">[9]연돌일위집계!#REF!</definedName>
    <definedName name="_4A_11">[9]연돌일위집계!#REF!</definedName>
    <definedName name="_4A_12">[9]연돌일위집계!#REF!</definedName>
    <definedName name="_4A_13">[9]연돌일위집계!#REF!</definedName>
    <definedName name="_4A_14">[9]연돌일위집계!#REF!</definedName>
    <definedName name="_4A_15">[9]연돌일위집계!#REF!</definedName>
    <definedName name="_4A_16">[9]연돌일위집계!#REF!</definedName>
    <definedName name="_4A_17">[9]연돌일위집계!#REF!</definedName>
    <definedName name="_4A_18">[9]연돌일위집계!#REF!</definedName>
    <definedName name="_4A_19">[9]연돌일위집계!#REF!</definedName>
    <definedName name="_4A_2">[9]연돌일위집계!#REF!</definedName>
    <definedName name="_4A_20">[9]연돌일위집계!#REF!</definedName>
    <definedName name="_4A_21">[9]연돌일위집계!#REF!</definedName>
    <definedName name="_4A_22">[9]연돌일위집계!#REF!</definedName>
    <definedName name="_4A_23">[9]연돌일위집계!#REF!</definedName>
    <definedName name="_4A_24">[9]연돌일위집계!#REF!</definedName>
    <definedName name="_4A_25">[9]연돌일위집계!#REF!</definedName>
    <definedName name="_4A_26">[9]연돌일위집계!#REF!</definedName>
    <definedName name="_4A_27">[9]연돌일위집계!#REF!</definedName>
    <definedName name="_4A_28">[9]연돌일위집계!#REF!</definedName>
    <definedName name="_4A_29">[9]연돌일위집계!#REF!</definedName>
    <definedName name="_4A_3">[9]연돌일위집계!#REF!</definedName>
    <definedName name="_4A_30">[9]연돌일위집계!#REF!</definedName>
    <definedName name="_4A_4">[9]연돌일위집계!#REF!</definedName>
    <definedName name="_4A_5">[9]연돌일위집계!#REF!</definedName>
    <definedName name="_4A_6">[9]연돌일위집계!#REF!</definedName>
    <definedName name="_4A_7">[9]연돌일위집계!#REF!</definedName>
    <definedName name="_4A_8">[9]연돌일위집계!#REF!</definedName>
    <definedName name="_4A_9">[9]연돌일위집계!#REF!</definedName>
    <definedName name="_4B_1">[9]연돌일위집계!#REF!</definedName>
    <definedName name="_4B_10">[9]연돌일위집계!#REF!</definedName>
    <definedName name="_4B_11">[9]연돌일위집계!#REF!</definedName>
    <definedName name="_4B_12">[9]연돌일위집계!#REF!</definedName>
    <definedName name="_4B_13">[9]연돌일위집계!#REF!</definedName>
    <definedName name="_4B_14">[9]연돌일위집계!#REF!</definedName>
    <definedName name="_4B_15">[9]연돌일위집계!#REF!</definedName>
    <definedName name="_4B_16">[9]연돌일위집계!#REF!</definedName>
    <definedName name="_4B_17">[9]연돌일위집계!#REF!</definedName>
    <definedName name="_4B_18">[9]연돌일위집계!#REF!</definedName>
    <definedName name="_4B_19">[9]연돌일위집계!#REF!</definedName>
    <definedName name="_4B_2">[9]연돌일위집계!#REF!</definedName>
    <definedName name="_4B_20">[9]연돌일위집계!#REF!</definedName>
    <definedName name="_4B_21">[9]연돌일위집계!#REF!</definedName>
    <definedName name="_4B_22">[9]연돌일위집계!#REF!</definedName>
    <definedName name="_4B_23">[9]연돌일위집계!#REF!</definedName>
    <definedName name="_4B_24">[9]연돌일위집계!#REF!</definedName>
    <definedName name="_4B_25">[9]연돌일위집계!#REF!</definedName>
    <definedName name="_4B_26">[9]연돌일위집계!#REF!</definedName>
    <definedName name="_4B_27">[9]연돌일위집계!#REF!</definedName>
    <definedName name="_4B_28">[9]연돌일위집계!#REF!</definedName>
    <definedName name="_4B_29">[9]연돌일위집계!#REF!</definedName>
    <definedName name="_4B_3">[9]연돌일위집계!#REF!</definedName>
    <definedName name="_4B_30">[9]연돌일위집계!#REF!</definedName>
    <definedName name="_4B_4">[9]연돌일위집계!#REF!</definedName>
    <definedName name="_4B_5">[9]연돌일위집계!#REF!</definedName>
    <definedName name="_4B_6">[9]연돌일위집계!#REF!</definedName>
    <definedName name="_4B_7">[9]연돌일위집계!#REF!</definedName>
    <definedName name="_4B_8">[9]연돌일위집계!#REF!</definedName>
    <definedName name="_4B_9">[9]연돌일위집계!#REF!</definedName>
    <definedName name="_4C_1">[9]연돌일위집계!#REF!</definedName>
    <definedName name="_4C_10">[9]연돌일위집계!#REF!</definedName>
    <definedName name="_4C_11">[9]연돌일위집계!#REF!</definedName>
    <definedName name="_4C_12">[9]연돌일위집계!#REF!</definedName>
    <definedName name="_4C_13">[9]연돌일위집계!#REF!</definedName>
    <definedName name="_4C_14">[9]연돌일위집계!#REF!</definedName>
    <definedName name="_4C_15">[9]연돌일위집계!#REF!</definedName>
    <definedName name="_4C_16">[9]연돌일위집계!#REF!</definedName>
    <definedName name="_4C_17">[9]연돌일위집계!#REF!</definedName>
    <definedName name="_4C_18">[9]연돌일위집계!#REF!</definedName>
    <definedName name="_4C_19">[9]연돌일위집계!#REF!</definedName>
    <definedName name="_4C_2">[9]연돌일위집계!#REF!</definedName>
    <definedName name="_4C_20">[9]연돌일위집계!#REF!</definedName>
    <definedName name="_4C_21">[9]연돌일위집계!#REF!</definedName>
    <definedName name="_4C_22">[9]연돌일위집계!#REF!</definedName>
    <definedName name="_4C_23">[9]연돌일위집계!#REF!</definedName>
    <definedName name="_4C_24">[9]연돌일위집계!#REF!</definedName>
    <definedName name="_4C_25">[9]연돌일위집계!#REF!</definedName>
    <definedName name="_4C_26">[9]연돌일위집계!#REF!</definedName>
    <definedName name="_4C_27">[9]연돌일위집계!#REF!</definedName>
    <definedName name="_4C_28">[9]연돌일위집계!#REF!</definedName>
    <definedName name="_4C_29">[9]연돌일위집계!#REF!</definedName>
    <definedName name="_4C_3">[9]연돌일위집계!#REF!</definedName>
    <definedName name="_4C_30">[9]연돌일위집계!#REF!</definedName>
    <definedName name="_4C_4">[9]연돌일위집계!#REF!</definedName>
    <definedName name="_4C_5">[9]연돌일위집계!#REF!</definedName>
    <definedName name="_4C_6">[9]연돌일위집계!#REF!</definedName>
    <definedName name="_4C_7">[9]연돌일위집계!#REF!</definedName>
    <definedName name="_4C_8">[9]연돌일위집계!#REF!</definedName>
    <definedName name="_4C_9">[9]연돌일위집계!#REF!</definedName>
    <definedName name="_510">#REF!</definedName>
    <definedName name="_5Å__·¹_ÀÓ">#N/A</definedName>
    <definedName name="_5A_1">[9]연돌일위집계!#REF!</definedName>
    <definedName name="_5A_10">[9]연돌일위집계!#REF!</definedName>
    <definedName name="_5A_11">[9]연돌일위집계!#REF!</definedName>
    <definedName name="_5A_12">[9]연돌일위집계!#REF!</definedName>
    <definedName name="_5A_13">[9]연돌일위집계!#REF!</definedName>
    <definedName name="_5A_14">[9]연돌일위집계!#REF!</definedName>
    <definedName name="_5A_15">[9]연돌일위집계!#REF!</definedName>
    <definedName name="_5A_16">[9]연돌일위집계!#REF!</definedName>
    <definedName name="_5A_17">[9]연돌일위집계!#REF!</definedName>
    <definedName name="_5A_18">[9]연돌일위집계!#REF!</definedName>
    <definedName name="_5A_19">[9]연돌일위집계!#REF!</definedName>
    <definedName name="_5A_2">[9]연돌일위집계!#REF!</definedName>
    <definedName name="_5A_20">[9]연돌일위집계!#REF!</definedName>
    <definedName name="_5A_21">[9]연돌일위집계!#REF!</definedName>
    <definedName name="_5A_22">[9]연돌일위집계!#REF!</definedName>
    <definedName name="_5A_23">[9]연돌일위집계!#REF!</definedName>
    <definedName name="_5A_24">[9]연돌일위집계!#REF!</definedName>
    <definedName name="_5A_25">[9]연돌일위집계!#REF!</definedName>
    <definedName name="_5A_26">[9]연돌일위집계!#REF!</definedName>
    <definedName name="_5A_27">[9]연돌일위집계!#REF!</definedName>
    <definedName name="_5A_28">[9]연돌일위집계!#REF!</definedName>
    <definedName name="_5A_29">[9]연돌일위집계!#REF!</definedName>
    <definedName name="_5A_3">[9]연돌일위집계!#REF!</definedName>
    <definedName name="_5A_30">[9]연돌일위집계!#REF!</definedName>
    <definedName name="_5A_4">[9]연돌일위집계!#REF!</definedName>
    <definedName name="_5A_5">[9]연돌일위집계!#REF!</definedName>
    <definedName name="_5A_6">[9]연돌일위집계!#REF!</definedName>
    <definedName name="_5A_7">[9]연돌일위집계!#REF!</definedName>
    <definedName name="_5A_8">[9]연돌일위집계!#REF!</definedName>
    <definedName name="_5A_9">[9]연돌일위집계!#REF!</definedName>
    <definedName name="_5B_1">[9]연돌일위집계!#REF!</definedName>
    <definedName name="_5B_10">[9]연돌일위집계!#REF!</definedName>
    <definedName name="_5B_11">[9]연돌일위집계!#REF!</definedName>
    <definedName name="_5B_12">[9]연돌일위집계!#REF!</definedName>
    <definedName name="_5B_13">[9]연돌일위집계!#REF!</definedName>
    <definedName name="_5B_14">[9]연돌일위집계!#REF!</definedName>
    <definedName name="_5B_15">[9]연돌일위집계!#REF!</definedName>
    <definedName name="_5B_16">[9]연돌일위집계!#REF!</definedName>
    <definedName name="_5B_17">[9]연돌일위집계!#REF!</definedName>
    <definedName name="_5B_18">[9]연돌일위집계!#REF!</definedName>
    <definedName name="_5B_19">[9]연돌일위집계!#REF!</definedName>
    <definedName name="_5B_2">[9]연돌일위집계!#REF!</definedName>
    <definedName name="_5B_20">[9]연돌일위집계!#REF!</definedName>
    <definedName name="_5B_21">[9]연돌일위집계!#REF!</definedName>
    <definedName name="_5B_22">[9]연돌일위집계!#REF!</definedName>
    <definedName name="_5B_23">[9]연돌일위집계!#REF!</definedName>
    <definedName name="_5B_24">[9]연돌일위집계!#REF!</definedName>
    <definedName name="_5B_25">[9]연돌일위집계!#REF!</definedName>
    <definedName name="_5B_26">[9]연돌일위집계!#REF!</definedName>
    <definedName name="_5B_27">[9]연돌일위집계!#REF!</definedName>
    <definedName name="_5B_28">[9]연돌일위집계!#REF!</definedName>
    <definedName name="_5B_29">[9]연돌일위집계!#REF!</definedName>
    <definedName name="_5B_3">[9]연돌일위집계!#REF!</definedName>
    <definedName name="_5B_30">[9]연돌일위집계!#REF!</definedName>
    <definedName name="_5B_4">[9]연돌일위집계!#REF!</definedName>
    <definedName name="_5B_5">[9]연돌일위집계!#REF!</definedName>
    <definedName name="_5B_6">[9]연돌일위집계!#REF!</definedName>
    <definedName name="_5B_7">[9]연돌일위집계!#REF!</definedName>
    <definedName name="_5B_8">[9]연돌일위집계!#REF!</definedName>
    <definedName name="_5B_9">[9]연돌일위집계!#REF!</definedName>
    <definedName name="_5C_1">[9]연돌일위집계!#REF!</definedName>
    <definedName name="_5C_10">[9]연돌일위집계!#REF!</definedName>
    <definedName name="_5C_11">[9]연돌일위집계!#REF!</definedName>
    <definedName name="_5C_12">[9]연돌일위집계!#REF!</definedName>
    <definedName name="_5C_13">[9]연돌일위집계!#REF!</definedName>
    <definedName name="_5C_14">[9]연돌일위집계!#REF!</definedName>
    <definedName name="_5C_15">[9]연돌일위집계!#REF!</definedName>
    <definedName name="_5C_16">[9]연돌일위집계!#REF!</definedName>
    <definedName name="_5C_17">[9]연돌일위집계!#REF!</definedName>
    <definedName name="_5C_18">[9]연돌일위집계!#REF!</definedName>
    <definedName name="_5C_19">[9]연돌일위집계!#REF!</definedName>
    <definedName name="_5C_2">[9]연돌일위집계!#REF!</definedName>
    <definedName name="_5C_20">[9]연돌일위집계!#REF!</definedName>
    <definedName name="_5C_21">[9]연돌일위집계!#REF!</definedName>
    <definedName name="_5C_22">[9]연돌일위집계!#REF!</definedName>
    <definedName name="_5C_23">[9]연돌일위집계!#REF!</definedName>
    <definedName name="_5C_24">[9]연돌일위집계!#REF!</definedName>
    <definedName name="_5C_25">[9]연돌일위집계!#REF!</definedName>
    <definedName name="_5C_26">[9]연돌일위집계!#REF!</definedName>
    <definedName name="_5C_27">[9]연돌일위집계!#REF!</definedName>
    <definedName name="_5C_28">[9]연돌일위집계!#REF!</definedName>
    <definedName name="_5C_29">[9]연돌일위집계!#REF!</definedName>
    <definedName name="_5C_3">[9]연돌일위집계!#REF!</definedName>
    <definedName name="_5C_30">[9]연돌일위집계!#REF!</definedName>
    <definedName name="_5C_4">[9]연돌일위집계!#REF!</definedName>
    <definedName name="_5C_5">[9]연돌일위집계!#REF!</definedName>
    <definedName name="_5C_6">[9]연돌일위집계!#REF!</definedName>
    <definedName name="_5C_7">[9]연돌일위집계!#REF!</definedName>
    <definedName name="_5C_8">[9]연돌일위집계!#REF!</definedName>
    <definedName name="_5C_9">[9]연돌일위집계!#REF!</definedName>
    <definedName name="_6Å__·¹_ÀÓ">#N/A</definedName>
    <definedName name="_6A_1">[9]연돌일위집계!#REF!</definedName>
    <definedName name="_6A_10">[9]연돌일위집계!#REF!</definedName>
    <definedName name="_6A_11">[9]연돌일위집계!#REF!</definedName>
    <definedName name="_6A_12">[9]연돌일위집계!#REF!</definedName>
    <definedName name="_6A_13">[9]연돌일위집계!#REF!</definedName>
    <definedName name="_6A_14">[9]연돌일위집계!#REF!</definedName>
    <definedName name="_6A_15">[9]연돌일위집계!#REF!</definedName>
    <definedName name="_6A_16">[9]연돌일위집계!#REF!</definedName>
    <definedName name="_6A_17">[9]연돌일위집계!#REF!</definedName>
    <definedName name="_6A_18">[9]연돌일위집계!#REF!</definedName>
    <definedName name="_6A_19">[9]연돌일위집계!#REF!</definedName>
    <definedName name="_6A_2">[9]연돌일위집계!#REF!</definedName>
    <definedName name="_6A_20">[9]연돌일위집계!#REF!</definedName>
    <definedName name="_6A_21">[9]연돌일위집계!#REF!</definedName>
    <definedName name="_6A_22">[9]연돌일위집계!#REF!</definedName>
    <definedName name="_6A_23">[9]연돌일위집계!#REF!</definedName>
    <definedName name="_6A_24">[9]연돌일위집계!#REF!</definedName>
    <definedName name="_6A_25">[9]연돌일위집계!#REF!</definedName>
    <definedName name="_6A_26">[9]연돌일위집계!#REF!</definedName>
    <definedName name="_6A_27">[9]연돌일위집계!#REF!</definedName>
    <definedName name="_6A_28">[9]연돌일위집계!#REF!</definedName>
    <definedName name="_6A_29">[9]연돌일위집계!#REF!</definedName>
    <definedName name="_6A_3">[9]연돌일위집계!#REF!</definedName>
    <definedName name="_6A_30">[9]연돌일위집계!#REF!</definedName>
    <definedName name="_6A_4">[9]연돌일위집계!#REF!</definedName>
    <definedName name="_6A_5">[9]연돌일위집계!#REF!</definedName>
    <definedName name="_6A_6">[9]연돌일위집계!#REF!</definedName>
    <definedName name="_6A_7">[9]연돌일위집계!#REF!</definedName>
    <definedName name="_6A_8">[9]연돌일위집계!#REF!</definedName>
    <definedName name="_6A_9">[9]연돌일위집계!#REF!</definedName>
    <definedName name="_6ãæÐ_ÍïÞÀ_Íª">#N/A</definedName>
    <definedName name="_6B_1">[9]연돌일위집계!#REF!</definedName>
    <definedName name="_6B_10">[9]연돌일위집계!#REF!</definedName>
    <definedName name="_6B_11">[9]연돌일위집계!#REF!</definedName>
    <definedName name="_6B_12">[9]연돌일위집계!#REF!</definedName>
    <definedName name="_6B_13">[9]연돌일위집계!#REF!</definedName>
    <definedName name="_6B_14">[9]연돌일위집계!#REF!</definedName>
    <definedName name="_6B_15">[9]연돌일위집계!#REF!</definedName>
    <definedName name="_6B_16">[9]연돌일위집계!#REF!</definedName>
    <definedName name="_6B_17">[9]연돌일위집계!#REF!</definedName>
    <definedName name="_6B_18">[9]연돌일위집계!#REF!</definedName>
    <definedName name="_6B_19">[9]연돌일위집계!#REF!</definedName>
    <definedName name="_6B_2">[9]연돌일위집계!#REF!</definedName>
    <definedName name="_6B_20">[9]연돌일위집계!#REF!</definedName>
    <definedName name="_6B_21">[9]연돌일위집계!#REF!</definedName>
    <definedName name="_6B_22">[9]연돌일위집계!#REF!</definedName>
    <definedName name="_6B_23">[9]연돌일위집계!#REF!</definedName>
    <definedName name="_6B_24">[9]연돌일위집계!#REF!</definedName>
    <definedName name="_6B_25">[9]연돌일위집계!#REF!</definedName>
    <definedName name="_6B_26">[9]연돌일위집계!#REF!</definedName>
    <definedName name="_6B_27">[9]연돌일위집계!#REF!</definedName>
    <definedName name="_6B_28">[9]연돌일위집계!#REF!</definedName>
    <definedName name="_6B_29">[9]연돌일위집계!#REF!</definedName>
    <definedName name="_6B_3">[9]연돌일위집계!#REF!</definedName>
    <definedName name="_6B_30">[9]연돌일위집계!#REF!</definedName>
    <definedName name="_6B_4">[9]연돌일위집계!#REF!</definedName>
    <definedName name="_6B_5">[9]연돌일위집계!#REF!</definedName>
    <definedName name="_6B_6">[9]연돌일위집계!#REF!</definedName>
    <definedName name="_6B_7">[9]연돌일위집계!#REF!</definedName>
    <definedName name="_6B_8">[9]연돌일위집계!#REF!</definedName>
    <definedName name="_6B_9">[9]연돌일위집계!#REF!</definedName>
    <definedName name="_6C_1">[9]연돌일위집계!#REF!</definedName>
    <definedName name="_6C_10">[9]연돌일위집계!#REF!</definedName>
    <definedName name="_6C_11">[9]연돌일위집계!#REF!</definedName>
    <definedName name="_6C_12">[9]연돌일위집계!#REF!</definedName>
    <definedName name="_6C_13">[9]연돌일위집계!#REF!</definedName>
    <definedName name="_6C_14">[9]연돌일위집계!#REF!</definedName>
    <definedName name="_6C_15">[9]연돌일위집계!#REF!</definedName>
    <definedName name="_6C_16">[9]연돌일위집계!#REF!</definedName>
    <definedName name="_6C_17">[9]연돌일위집계!#REF!</definedName>
    <definedName name="_6C_18">[9]연돌일위집계!#REF!</definedName>
    <definedName name="_6C_19">[9]연돌일위집계!#REF!</definedName>
    <definedName name="_6C_2">[9]연돌일위집계!#REF!</definedName>
    <definedName name="_6C_20">[9]연돌일위집계!#REF!</definedName>
    <definedName name="_6C_21">[9]연돌일위집계!#REF!</definedName>
    <definedName name="_6C_22">[9]연돌일위집계!#REF!</definedName>
    <definedName name="_6C_23">[9]연돌일위집계!#REF!</definedName>
    <definedName name="_6C_24">[9]연돌일위집계!#REF!</definedName>
    <definedName name="_6C_25">[9]연돌일위집계!#REF!</definedName>
    <definedName name="_6C_26">[9]연돌일위집계!#REF!</definedName>
    <definedName name="_6C_27">[9]연돌일위집계!#REF!</definedName>
    <definedName name="_6C_28">[9]연돌일위집계!#REF!</definedName>
    <definedName name="_6C_29">[9]연돌일위집계!#REF!</definedName>
    <definedName name="_6C_3">[9]연돌일위집계!#REF!</definedName>
    <definedName name="_6C_30">[9]연돌일위집계!#REF!</definedName>
    <definedName name="_6C_4">[9]연돌일위집계!#REF!</definedName>
    <definedName name="_6C_5">[9]연돌일위집계!#REF!</definedName>
    <definedName name="_6C_6">[9]연돌일위집계!#REF!</definedName>
    <definedName name="_6C_7">[9]연돌일위집계!#REF!</definedName>
    <definedName name="_6C_8">[9]연돌일위집계!#REF!</definedName>
    <definedName name="_6C_9">[9]연돌일위집계!#REF!</definedName>
    <definedName name="_7A_1">[9]연돌일위집계!#REF!</definedName>
    <definedName name="_7A_10">[9]연돌일위집계!#REF!</definedName>
    <definedName name="_7A_11">[9]연돌일위집계!#REF!</definedName>
    <definedName name="_7A_12">[9]연돌일위집계!#REF!</definedName>
    <definedName name="_7A_13">[9]연돌일위집계!#REF!</definedName>
    <definedName name="_7A_14">[9]연돌일위집계!#REF!</definedName>
    <definedName name="_7A_15">[9]연돌일위집계!#REF!</definedName>
    <definedName name="_7A_16">[9]연돌일위집계!#REF!</definedName>
    <definedName name="_7A_17">[9]연돌일위집계!#REF!</definedName>
    <definedName name="_7A_18">[9]연돌일위집계!#REF!</definedName>
    <definedName name="_7A_19">[9]연돌일위집계!#REF!</definedName>
    <definedName name="_7A_2">[9]연돌일위집계!#REF!</definedName>
    <definedName name="_7A_20">[9]연돌일위집계!#REF!</definedName>
    <definedName name="_7A_21">[9]연돌일위집계!#REF!</definedName>
    <definedName name="_7A_22">[9]연돌일위집계!#REF!</definedName>
    <definedName name="_7A_23">[9]연돌일위집계!#REF!</definedName>
    <definedName name="_7A_24">[9]연돌일위집계!#REF!</definedName>
    <definedName name="_7A_25">[9]연돌일위집계!#REF!</definedName>
    <definedName name="_7A_26">[9]연돌일위집계!#REF!</definedName>
    <definedName name="_7A_27">[9]연돌일위집계!#REF!</definedName>
    <definedName name="_7A_28">[9]연돌일위집계!#REF!</definedName>
    <definedName name="_7A_29">[9]연돌일위집계!#REF!</definedName>
    <definedName name="_7A_3">[9]연돌일위집계!#REF!</definedName>
    <definedName name="_7A_30">[9]연돌일위집계!#REF!</definedName>
    <definedName name="_7A_4">[9]연돌일위집계!#REF!</definedName>
    <definedName name="_7A_5">[9]연돌일위집계!#REF!</definedName>
    <definedName name="_7A_6">[9]연돌일위집계!#REF!</definedName>
    <definedName name="_7A_7">[9]연돌일위집계!#REF!</definedName>
    <definedName name="_7A_8">[9]연돌일위집계!#REF!</definedName>
    <definedName name="_7A_9">[9]연돌일위집계!#REF!</definedName>
    <definedName name="_7ãæÐ_ÍïÞÀ_Íª">#N/A</definedName>
    <definedName name="_7B_1">[9]연돌일위집계!#REF!</definedName>
    <definedName name="_7B_10">[9]연돌일위집계!#REF!</definedName>
    <definedName name="_7B_11">[9]연돌일위집계!#REF!</definedName>
    <definedName name="_7B_12">[9]연돌일위집계!#REF!</definedName>
    <definedName name="_7B_13">[9]연돌일위집계!#REF!</definedName>
    <definedName name="_7B_14">[9]연돌일위집계!#REF!</definedName>
    <definedName name="_7B_15">[9]연돌일위집계!#REF!</definedName>
    <definedName name="_7B_16">[9]연돌일위집계!#REF!</definedName>
    <definedName name="_7B_17">[9]연돌일위집계!#REF!</definedName>
    <definedName name="_7B_18">[9]연돌일위집계!#REF!</definedName>
    <definedName name="_7B_19">[9]연돌일위집계!#REF!</definedName>
    <definedName name="_7B_2">[9]연돌일위집계!#REF!</definedName>
    <definedName name="_7B_20">[9]연돌일위집계!#REF!</definedName>
    <definedName name="_7B_21">[9]연돌일위집계!#REF!</definedName>
    <definedName name="_7B_22">[9]연돌일위집계!#REF!</definedName>
    <definedName name="_7B_23">[9]연돌일위집계!#REF!</definedName>
    <definedName name="_7B_24">[9]연돌일위집계!#REF!</definedName>
    <definedName name="_7B_25">[9]연돌일위집계!#REF!</definedName>
    <definedName name="_7B_26">[9]연돌일위집계!#REF!</definedName>
    <definedName name="_7B_27">[9]연돌일위집계!#REF!</definedName>
    <definedName name="_7B_28">[9]연돌일위집계!#REF!</definedName>
    <definedName name="_7B_29">[9]연돌일위집계!#REF!</definedName>
    <definedName name="_7B_3">[9]연돌일위집계!#REF!</definedName>
    <definedName name="_7B_30">[9]연돌일위집계!#REF!</definedName>
    <definedName name="_7B_4">[9]연돌일위집계!#REF!</definedName>
    <definedName name="_7B_5">[9]연돌일위집계!#REF!</definedName>
    <definedName name="_7B_6">[9]연돌일위집계!#REF!</definedName>
    <definedName name="_7B_7">[9]연돌일위집계!#REF!</definedName>
    <definedName name="_7B_8">[9]연돌일위집계!#REF!</definedName>
    <definedName name="_7B_9">[9]연돌일위집계!#REF!</definedName>
    <definedName name="_7C_1">[9]연돌일위집계!#REF!</definedName>
    <definedName name="_7C_10">[9]연돌일위집계!#REF!</definedName>
    <definedName name="_7C_11">[9]연돌일위집계!#REF!</definedName>
    <definedName name="_7C_12">[9]연돌일위집계!#REF!</definedName>
    <definedName name="_7C_13">[9]연돌일위집계!#REF!</definedName>
    <definedName name="_7C_14">[9]연돌일위집계!#REF!</definedName>
    <definedName name="_7C_15">[9]연돌일위집계!#REF!</definedName>
    <definedName name="_7C_16">[9]연돌일위집계!#REF!</definedName>
    <definedName name="_7C_17">[9]연돌일위집계!#REF!</definedName>
    <definedName name="_7C_18">[9]연돌일위집계!#REF!</definedName>
    <definedName name="_7C_19">[9]연돌일위집계!#REF!</definedName>
    <definedName name="_7C_2">[9]연돌일위집계!#REF!</definedName>
    <definedName name="_7C_20">[9]연돌일위집계!#REF!</definedName>
    <definedName name="_7C_21">[9]연돌일위집계!#REF!</definedName>
    <definedName name="_7C_22">[9]연돌일위집계!#REF!</definedName>
    <definedName name="_7C_23">[9]연돌일위집계!#REF!</definedName>
    <definedName name="_7C_24">[9]연돌일위집계!#REF!</definedName>
    <definedName name="_7C_25">[9]연돌일위집계!#REF!</definedName>
    <definedName name="_7C_26">[9]연돌일위집계!#REF!</definedName>
    <definedName name="_7C_27">[9]연돌일위집계!#REF!</definedName>
    <definedName name="_7C_28">[9]연돌일위집계!#REF!</definedName>
    <definedName name="_7C_29">[9]연돌일위집계!#REF!</definedName>
    <definedName name="_7C_3">[9]연돌일위집계!#REF!</definedName>
    <definedName name="_7C_30">[9]연돌일위집계!#REF!</definedName>
    <definedName name="_7C_4">[9]연돌일위집계!#REF!</definedName>
    <definedName name="_7C_5">[9]연돌일위집계!#REF!</definedName>
    <definedName name="_7C_6">[9]연돌일위집계!#REF!</definedName>
    <definedName name="_7C_7">[9]연돌일위집계!#REF!</definedName>
    <definedName name="_7C_8">[9]연돌일위집계!#REF!</definedName>
    <definedName name="_7C_9">[9]연돌일위집계!#REF!</definedName>
    <definedName name="_7GO1_">#REF!</definedName>
    <definedName name="_8A_1">[9]연돌일위집계!#REF!</definedName>
    <definedName name="_8A_10">[9]연돌일위집계!#REF!</definedName>
    <definedName name="_8A_11">[9]연돌일위집계!#REF!</definedName>
    <definedName name="_8A_12">[9]연돌일위집계!#REF!</definedName>
    <definedName name="_8A_13">[9]연돌일위집계!#REF!</definedName>
    <definedName name="_8A_14">[9]연돌일위집계!#REF!</definedName>
    <definedName name="_8A_15">[9]연돌일위집계!#REF!</definedName>
    <definedName name="_8A_16">[9]연돌일위집계!#REF!</definedName>
    <definedName name="_8A_17">[9]연돌일위집계!#REF!</definedName>
    <definedName name="_8A_18">[9]연돌일위집계!#REF!</definedName>
    <definedName name="_8A_19">[9]연돌일위집계!#REF!</definedName>
    <definedName name="_8A_2">[9]연돌일위집계!#REF!</definedName>
    <definedName name="_8A_20">[9]연돌일위집계!#REF!</definedName>
    <definedName name="_8A_21">[9]연돌일위집계!#REF!</definedName>
    <definedName name="_8A_22">[9]연돌일위집계!#REF!</definedName>
    <definedName name="_8A_23">[9]연돌일위집계!#REF!</definedName>
    <definedName name="_8A_24">[9]연돌일위집계!#REF!</definedName>
    <definedName name="_8A_25">[9]연돌일위집계!#REF!</definedName>
    <definedName name="_8A_26">[9]연돌일위집계!#REF!</definedName>
    <definedName name="_8A_27">[9]연돌일위집계!#REF!</definedName>
    <definedName name="_8A_28">[9]연돌일위집계!#REF!</definedName>
    <definedName name="_8A_29">[9]연돌일위집계!#REF!</definedName>
    <definedName name="_8A_3">[9]연돌일위집계!#REF!</definedName>
    <definedName name="_8A_30">[9]연돌일위집계!#REF!</definedName>
    <definedName name="_8A_4">[9]연돌일위집계!#REF!</definedName>
    <definedName name="_8A_5">[9]연돌일위집계!#REF!</definedName>
    <definedName name="_8A_6">[9]연돌일위집계!#REF!</definedName>
    <definedName name="_8A_7">[9]연돌일위집계!#REF!</definedName>
    <definedName name="_8A_8">[9]연돌일위집계!#REF!</definedName>
    <definedName name="_8A_9">[9]연돌일위집계!#REF!</definedName>
    <definedName name="_8B_1">[9]연돌일위집계!#REF!</definedName>
    <definedName name="_8B_10">[9]연돌일위집계!#REF!</definedName>
    <definedName name="_8B_11">[9]연돌일위집계!#REF!</definedName>
    <definedName name="_8B_12">[9]연돌일위집계!#REF!</definedName>
    <definedName name="_8B_13">[9]연돌일위집계!#REF!</definedName>
    <definedName name="_8B_14">[9]연돌일위집계!#REF!</definedName>
    <definedName name="_8B_15">[9]연돌일위집계!#REF!</definedName>
    <definedName name="_8B_16">[9]연돌일위집계!#REF!</definedName>
    <definedName name="_8B_17">[9]연돌일위집계!#REF!</definedName>
    <definedName name="_8B_18">[9]연돌일위집계!#REF!</definedName>
    <definedName name="_8B_19">[9]연돌일위집계!#REF!</definedName>
    <definedName name="_8B_2">[9]연돌일위집계!#REF!</definedName>
    <definedName name="_8B_20">[9]연돌일위집계!#REF!</definedName>
    <definedName name="_8B_21">[9]연돌일위집계!#REF!</definedName>
    <definedName name="_8B_22">[9]연돌일위집계!#REF!</definedName>
    <definedName name="_8B_23">[9]연돌일위집계!#REF!</definedName>
    <definedName name="_8B_24">[9]연돌일위집계!#REF!</definedName>
    <definedName name="_8B_25">[9]연돌일위집계!#REF!</definedName>
    <definedName name="_8B_26">[9]연돌일위집계!#REF!</definedName>
    <definedName name="_8B_27">[9]연돌일위집계!#REF!</definedName>
    <definedName name="_8B_28">[9]연돌일위집계!#REF!</definedName>
    <definedName name="_8B_29">[9]연돌일위집계!#REF!</definedName>
    <definedName name="_8B_3">[9]연돌일위집계!#REF!</definedName>
    <definedName name="_8B_30">[9]연돌일위집계!#REF!</definedName>
    <definedName name="_8B_4">[9]연돌일위집계!#REF!</definedName>
    <definedName name="_8B_5">[9]연돌일위집계!#REF!</definedName>
    <definedName name="_8B_6">[9]연돌일위집계!#REF!</definedName>
    <definedName name="_8B_7">[9]연돌일위집계!#REF!</definedName>
    <definedName name="_8B_8">[9]연돌일위집계!#REF!</definedName>
    <definedName name="_8B_9">[9]연돌일위집계!#REF!</definedName>
    <definedName name="_8C_1">[9]연돌일위집계!#REF!</definedName>
    <definedName name="_8C_10">[9]연돌일위집계!#REF!</definedName>
    <definedName name="_8C_11">[9]연돌일위집계!#REF!</definedName>
    <definedName name="_8C_12">[9]연돌일위집계!#REF!</definedName>
    <definedName name="_8C_13">[9]연돌일위집계!#REF!</definedName>
    <definedName name="_8C_14">[9]연돌일위집계!#REF!</definedName>
    <definedName name="_8C_15">[9]연돌일위집계!#REF!</definedName>
    <definedName name="_8C_16">[9]연돌일위집계!#REF!</definedName>
    <definedName name="_8C_17">[9]연돌일위집계!#REF!</definedName>
    <definedName name="_8C_18">[9]연돌일위집계!#REF!</definedName>
    <definedName name="_8C_19">[9]연돌일위집계!#REF!</definedName>
    <definedName name="_8C_2">[9]연돌일위집계!#REF!</definedName>
    <definedName name="_8C_20">[9]연돌일위집계!#REF!</definedName>
    <definedName name="_8C_21">[9]연돌일위집계!#REF!</definedName>
    <definedName name="_8C_22">[9]연돌일위집계!#REF!</definedName>
    <definedName name="_8C_23">[9]연돌일위집계!#REF!</definedName>
    <definedName name="_8C_24">[9]연돌일위집계!#REF!</definedName>
    <definedName name="_8C_25">[9]연돌일위집계!#REF!</definedName>
    <definedName name="_8C_26">[9]연돌일위집계!#REF!</definedName>
    <definedName name="_8C_27">[9]연돌일위집계!#REF!</definedName>
    <definedName name="_8C_28">[9]연돌일위집계!#REF!</definedName>
    <definedName name="_8C_29">[9]연돌일위집계!#REF!</definedName>
    <definedName name="_8C_3">[9]연돌일위집계!#REF!</definedName>
    <definedName name="_8C_30">[9]연돌일위집계!#REF!</definedName>
    <definedName name="_8C_4">[9]연돌일위집계!#REF!</definedName>
    <definedName name="_8C_5">[9]연돌일위집계!#REF!</definedName>
    <definedName name="_8C_6">[9]연돌일위집계!#REF!</definedName>
    <definedName name="_8C_7">[9]연돌일위집계!#REF!</definedName>
    <definedName name="_8C_8">[9]연돌일위집계!#REF!</definedName>
    <definedName name="_8C_9">[9]연돌일위집계!#REF!</definedName>
    <definedName name="_8GO2_">#REF!</definedName>
    <definedName name="_9A_1">[9]연돌일위집계!#REF!</definedName>
    <definedName name="_9A_10">[9]연돌일위집계!#REF!</definedName>
    <definedName name="_9A_11">[9]연돌일위집계!#REF!</definedName>
    <definedName name="_9A_12">[9]연돌일위집계!#REF!</definedName>
    <definedName name="_9A_13">[9]연돌일위집계!#REF!</definedName>
    <definedName name="_9A_14">[9]연돌일위집계!#REF!</definedName>
    <definedName name="_9A_15">[9]연돌일위집계!#REF!</definedName>
    <definedName name="_9A_16">[9]연돌일위집계!#REF!</definedName>
    <definedName name="_9A_17">[9]연돌일위집계!#REF!</definedName>
    <definedName name="_9A_18">[9]연돌일위집계!#REF!</definedName>
    <definedName name="_9A_19">[9]연돌일위집계!#REF!</definedName>
    <definedName name="_9A_2">[9]연돌일위집계!#REF!</definedName>
    <definedName name="_9A_20">[9]연돌일위집계!#REF!</definedName>
    <definedName name="_9A_21">[9]연돌일위집계!#REF!</definedName>
    <definedName name="_9A_22">[9]연돌일위집계!#REF!</definedName>
    <definedName name="_9A_23">[9]연돌일위집계!#REF!</definedName>
    <definedName name="_9A_24">[9]연돌일위집계!#REF!</definedName>
    <definedName name="_9A_25">[9]연돌일위집계!#REF!</definedName>
    <definedName name="_9A_26">[9]연돌일위집계!#REF!</definedName>
    <definedName name="_9A_27">[9]연돌일위집계!#REF!</definedName>
    <definedName name="_9A_28">[9]연돌일위집계!#REF!</definedName>
    <definedName name="_9A_29">[9]연돌일위집계!#REF!</definedName>
    <definedName name="_9A_3">[9]연돌일위집계!#REF!</definedName>
    <definedName name="_9A_30">[9]연돌일위집계!#REF!</definedName>
    <definedName name="_9A_4">[9]연돌일위집계!#REF!</definedName>
    <definedName name="_9A_5">[9]연돌일위집계!#REF!</definedName>
    <definedName name="_9A_6">[9]연돌일위집계!#REF!</definedName>
    <definedName name="_9A_7">[9]연돌일위집계!#REF!</definedName>
    <definedName name="_9A_8">[9]연돌일위집계!#REF!</definedName>
    <definedName name="_9A_9">[9]연돌일위집계!#REF!</definedName>
    <definedName name="_9A1_" hidden="1">{#N/A,#N/A,TRUE,"Basic";#N/A,#N/A,TRUE,"EXT-TABLE";#N/A,#N/A,TRUE,"STEEL";#N/A,#N/A,TRUE,"INT-Table";#N/A,#N/A,TRUE,"STEEL";#N/A,#N/A,TRUE,"Door"}</definedName>
    <definedName name="_9B_1">[9]연돌일위집계!#REF!</definedName>
    <definedName name="_9B_10">[9]연돌일위집계!#REF!</definedName>
    <definedName name="_9B_11">[9]연돌일위집계!#REF!</definedName>
    <definedName name="_9B_12">[9]연돌일위집계!#REF!</definedName>
    <definedName name="_9B_13">[9]연돌일위집계!#REF!</definedName>
    <definedName name="_9B_14">[9]연돌일위집계!#REF!</definedName>
    <definedName name="_9B_15">[9]연돌일위집계!#REF!</definedName>
    <definedName name="_9B_16">[9]연돌일위집계!#REF!</definedName>
    <definedName name="_9B_17">[9]연돌일위집계!#REF!</definedName>
    <definedName name="_9B_18">[9]연돌일위집계!#REF!</definedName>
    <definedName name="_9B_19">[9]연돌일위집계!#REF!</definedName>
    <definedName name="_9B_2">[9]연돌일위집계!#REF!</definedName>
    <definedName name="_9B_20">[9]연돌일위집계!#REF!</definedName>
    <definedName name="_9B_21">[9]연돌일위집계!#REF!</definedName>
    <definedName name="_9B_22">[9]연돌일위집계!#REF!</definedName>
    <definedName name="_9B_23">[9]연돌일위집계!#REF!</definedName>
    <definedName name="_9B_24">[9]연돌일위집계!#REF!</definedName>
    <definedName name="_9B_25">[9]연돌일위집계!#REF!</definedName>
    <definedName name="_9B_26">[9]연돌일위집계!#REF!</definedName>
    <definedName name="_9B_27">[9]연돌일위집계!#REF!</definedName>
    <definedName name="_9B_28">[9]연돌일위집계!#REF!</definedName>
    <definedName name="_9B_29">[9]연돌일위집계!#REF!</definedName>
    <definedName name="_9B_3">[9]연돌일위집계!#REF!</definedName>
    <definedName name="_9B_30">[9]연돌일위집계!#REF!</definedName>
    <definedName name="_9B_4">[9]연돌일위집계!#REF!</definedName>
    <definedName name="_9B_5">[9]연돌일위집계!#REF!</definedName>
    <definedName name="_9B_6">[9]연돌일위집계!#REF!</definedName>
    <definedName name="_9B_7">[9]연돌일위집계!#REF!</definedName>
    <definedName name="_9B_8">[9]연돌일위집계!#REF!</definedName>
    <definedName name="_9B_9">[9]연돌일위집계!#REF!</definedName>
    <definedName name="_9C_1">[9]연돌일위집계!#REF!</definedName>
    <definedName name="_9C_10">[9]연돌일위집계!#REF!</definedName>
    <definedName name="_9C_11">[9]연돌일위집계!#REF!</definedName>
    <definedName name="_9C_12">[9]연돌일위집계!#REF!</definedName>
    <definedName name="_9C_13">[9]연돌일위집계!#REF!</definedName>
    <definedName name="_9C_14">[9]연돌일위집계!#REF!</definedName>
    <definedName name="_9C_15">[9]연돌일위집계!#REF!</definedName>
    <definedName name="_9C_16">[9]연돌일위집계!#REF!</definedName>
    <definedName name="_9C_17">[9]연돌일위집계!#REF!</definedName>
    <definedName name="_9C_18">[9]연돌일위집계!#REF!</definedName>
    <definedName name="_9C_19">[9]연돌일위집계!#REF!</definedName>
    <definedName name="_9C_2">[9]연돌일위집계!#REF!</definedName>
    <definedName name="_9C_20">[9]연돌일위집계!#REF!</definedName>
    <definedName name="_9C_21">[9]연돌일위집계!#REF!</definedName>
    <definedName name="_9C_22">[9]연돌일위집계!#REF!</definedName>
    <definedName name="_9C_23">[9]연돌일위집계!#REF!</definedName>
    <definedName name="_9C_24">[9]연돌일위집계!#REF!</definedName>
    <definedName name="_9C_25">[9]연돌일위집계!#REF!</definedName>
    <definedName name="_9C_26">[9]연돌일위집계!#REF!</definedName>
    <definedName name="_9C_27">[9]연돌일위집계!#REF!</definedName>
    <definedName name="_9C_28">[9]연돌일위집계!#REF!</definedName>
    <definedName name="_9C_29">[9]연돌일위집계!#REF!</definedName>
    <definedName name="_9C_3">[9]연돌일위집계!#REF!</definedName>
    <definedName name="_9C_30">[9]연돌일위집계!#REF!</definedName>
    <definedName name="_9C_4">[9]연돌일위집계!#REF!</definedName>
    <definedName name="_9C_5">[9]연돌일위집계!#REF!</definedName>
    <definedName name="_9C_6">[9]연돌일위집계!#REF!</definedName>
    <definedName name="_9C_7">[9]연돌일위집계!#REF!</definedName>
    <definedName name="_9C_8">[9]연돌일위집계!#REF!</definedName>
    <definedName name="_9C_9">[9]연돌일위집계!#REF!</definedName>
    <definedName name="_9go3_">#REF!</definedName>
    <definedName name="_A1" hidden="1">{#N/A,#N/A,TRUE,"Basic";#N/A,#N/A,TRUE,"EXT-TABLE";#N/A,#N/A,TRUE,"STEEL";#N/A,#N/A,TRUE,"INT-Table";#N/A,#N/A,TRUE,"STEEL";#N/A,#N/A,TRUE,"Door"}</definedName>
    <definedName name="_A66">#N/A</definedName>
    <definedName name="_ac4">#N/A</definedName>
    <definedName name="_B1">#REF!</definedName>
    <definedName name="_B10">[4]집계표!#REF!</definedName>
    <definedName name="_B2">[4]집계표!#REF!</definedName>
    <definedName name="_B3">[4]집계표!#REF!</definedName>
    <definedName name="_B4">[4]집계표!#REF!</definedName>
    <definedName name="_B5">[4]집계표!#REF!</definedName>
    <definedName name="_B6">[4]집계표!#REF!</definedName>
    <definedName name="_B7">[4]집계표!#REF!</definedName>
    <definedName name="_B8">[4]집계표!#REF!</definedName>
    <definedName name="_B9">[4]집계표!#REF!</definedName>
    <definedName name="_BBJ3">'[8]95삼성급(본사)'!#REF!</definedName>
    <definedName name="_BCJ3">'[8]95삼성급(본사)'!#REF!</definedName>
    <definedName name="_BDR3">'[8]95삼성급(본사)'!#REF!</definedName>
    <definedName name="_BGJ3">'[8]95삼성급(본사)'!#REF!</definedName>
    <definedName name="_BP1">[4]집계표!#REF!</definedName>
    <definedName name="_BP5">[4]집계표!#REF!</definedName>
    <definedName name="_CC1">[4]집계표!#REF!</definedName>
    <definedName name="_CC5">[4]집계표!#REF!</definedName>
    <definedName name="_CD1">[4]집계표!#REF!</definedName>
    <definedName name="_CD5">[4]집계표!#REF!</definedName>
    <definedName name="_CO1">[4]집계표!#REF!</definedName>
    <definedName name="_CO5">[4]집계표!#REF!</definedName>
    <definedName name="_CON1">[4]집계표!#REF!</definedName>
    <definedName name="_CON5">[4]집계표!#REF!</definedName>
    <definedName name="_DIA1">#REF!</definedName>
    <definedName name="_doc_name">#REF!</definedName>
    <definedName name="_DP1">[4]집계표!#REF!</definedName>
    <definedName name="_DP5">[4]집계표!#REF!</definedName>
    <definedName name="_ELL45">#REF!</definedName>
    <definedName name="_ELL90">#REF!</definedName>
    <definedName name="_END1">'[4]개시대사 (2)'!$G$49</definedName>
    <definedName name="_END2">'[4]개시대사 (2)'!#REF!</definedName>
    <definedName name="_ext1">#REF!</definedName>
    <definedName name="_ext2">#REF!</definedName>
    <definedName name="_ext3">#REF!</definedName>
    <definedName name="_ext4">#REF!</definedName>
    <definedName name="_ext5">#REF!</definedName>
    <definedName name="_F1">[4]집계표!#REF!</definedName>
    <definedName name="_F5">[4]집계표!#REF!</definedName>
    <definedName name="_FAM2">#REF!</definedName>
    <definedName name="_FAM3">#REF!</definedName>
    <definedName name="_FAO2">#REF!</definedName>
    <definedName name="_FAO3">#REF!</definedName>
    <definedName name="_FAQ2">#REF!</definedName>
    <definedName name="_FAQ3">#REF!</definedName>
    <definedName name="_Fill" hidden="1">#REF!</definedName>
    <definedName name="_xlnm._FilterDatabase" localSheetId="1" hidden="1">'11월 raw'!$A$1:$P$5257</definedName>
    <definedName name="_xlnm._FilterDatabase" localSheetId="2" hidden="1">'12월 raw'!$A$1:$P$1117</definedName>
    <definedName name="_xlnm._FilterDatabase" localSheetId="3" hidden="1">스마트공장!$A$1:$N$1</definedName>
    <definedName name="_xlnm._FilterDatabase" hidden="1">#REF!</definedName>
    <definedName name="_FLL2" hidden="1">#REF!</definedName>
    <definedName name="_GO1">#REF!</definedName>
    <definedName name="_GO2">#REF!</definedName>
    <definedName name="_go3">#REF!</definedName>
    <definedName name="_H1">[4]집계표!#REF!</definedName>
    <definedName name="_H5">[4]집계표!#REF!</definedName>
    <definedName name="_HEI1">#REF!</definedName>
    <definedName name="_I1">[4]집계표!#REF!</definedName>
    <definedName name="_I5">[4]집계표!#REF!</definedName>
    <definedName name="_Key1" hidden="1">#REF!</definedName>
    <definedName name="_Key2" hidden="1">#REF!</definedName>
    <definedName name="_KT66">#N/A</definedName>
    <definedName name="_L1">[4]집계표!#REF!</definedName>
    <definedName name="_L5">[4]집계표!#REF!</definedName>
    <definedName name="_M1">[4]집계표!#REF!</definedName>
    <definedName name="_M5">[4]집계표!#REF!</definedName>
    <definedName name="_manufactr">#REF!</definedName>
    <definedName name="_MAT1">#REF!</definedName>
    <definedName name="_MAT2">#REF!</definedName>
    <definedName name="_model">#REF!</definedName>
    <definedName name="_name_통화명">'[12]환율 기본 정보 불러오기'!$C$5:$C$12</definedName>
    <definedName name="_NEW1">ROUND([0]!_NEW1*0.0254,3)</definedName>
    <definedName name="_NEW2">ROUND([0]!_NEW2*0.0254,3)</definedName>
    <definedName name="_NEW3">ROUND([0]!_NEW3*0.0254,3)</definedName>
    <definedName name="_NEW5">ROUND([0]!_NEW5*0.0254,3)</definedName>
    <definedName name="_NO11">#REF!</definedName>
    <definedName name="_NO13">#REF!</definedName>
    <definedName name="_NO17">#REF!</definedName>
    <definedName name="_NO21">#REF!</definedName>
    <definedName name="_NO26">#REF!</definedName>
    <definedName name="_NO32">#REF!</definedName>
    <definedName name="_NO39">#REF!</definedName>
    <definedName name="_NO49">#REF!</definedName>
    <definedName name="_NO61">#REF!</definedName>
    <definedName name="_NO7">#REF!</definedName>
    <definedName name="_NO74">#REF!</definedName>
    <definedName name="_NO9">#REF!</definedName>
    <definedName name="_NO92">#REF!</definedName>
    <definedName name="_NOC1">[4]집계표!#REF!</definedName>
    <definedName name="_NOC5">[4]집계표!#REF!</definedName>
    <definedName name="_of_sheet">#REF!</definedName>
    <definedName name="_Order1">255</definedName>
    <definedName name="_Order2">255</definedName>
    <definedName name="_OUT1">[4]집계표!#REF!</definedName>
    <definedName name="_OUT4">[4]집계표!#REF!</definedName>
    <definedName name="_OUT5">[4]집계표!#REF!</definedName>
    <definedName name="_p_order">#REF!</definedName>
    <definedName name="_Parse_In" hidden="1">#REF!</definedName>
    <definedName name="_Parse_Out" hidden="1">#REF!</definedName>
    <definedName name="_PCP1">#REF!</definedName>
    <definedName name="_PCP11">#REF!</definedName>
    <definedName name="_PCP12">#REF!</definedName>
    <definedName name="_PCP13">#REF!</definedName>
    <definedName name="_PCP14">#REF!</definedName>
    <definedName name="_PCP15">#REF!</definedName>
    <definedName name="_PCP16">#REF!</definedName>
    <definedName name="_PCP17">#REF!</definedName>
    <definedName name="_PCP2">#REF!</definedName>
    <definedName name="_PCP3">#REF!</definedName>
    <definedName name="_PCP4">#REF!</definedName>
    <definedName name="_PCP5">#REF!</definedName>
    <definedName name="_PCP51">#REF!</definedName>
    <definedName name="_PCP6">#REF!</definedName>
    <definedName name="_PCP7">#REF!</definedName>
    <definedName name="_PCP8">#REF!</definedName>
    <definedName name="_PCP9">#REF!</definedName>
    <definedName name="_PG1">#REF!</definedName>
    <definedName name="_PG4">#REF!</definedName>
    <definedName name="_PH1">#REF!</definedName>
    <definedName name="_pid_no">#REF!</definedName>
    <definedName name="_plc1">[6]INSTR!$A$5:$M$208</definedName>
    <definedName name="_PRN5">[5]본지점중!#REF!</definedName>
    <definedName name="_PRO1">#REF!</definedName>
    <definedName name="_PRO2">#REF!</definedName>
    <definedName name="_PRO3">[13]PRO_DCI!#REF!</definedName>
    <definedName name="_PRO4">#REF!</definedName>
    <definedName name="_PRO5">#REF!</definedName>
    <definedName name="_PRO6">#REF!</definedName>
    <definedName name="_PRO7">#REF!</definedName>
    <definedName name="_PRO8">#REF!</definedName>
    <definedName name="_PRO9">#REF!</definedName>
    <definedName name="_ProjectDescript">#REF!</definedName>
    <definedName name="_PW1">[4]집계표!#REF!</definedName>
    <definedName name="_PW5">[4]집계표!#REF!</definedName>
    <definedName name="_RE100">#REF!</definedName>
    <definedName name="_RE104">#REF!</definedName>
    <definedName name="_RE112">#REF!</definedName>
    <definedName name="_RE26">#REF!</definedName>
    <definedName name="_RE28">#REF!</definedName>
    <definedName name="_RE30">#REF!</definedName>
    <definedName name="_RE32">#REF!</definedName>
    <definedName name="_RE34">#REF!</definedName>
    <definedName name="_RE36">#REF!</definedName>
    <definedName name="_RE38">#REF!</definedName>
    <definedName name="_RE40">#REF!</definedName>
    <definedName name="_RE42">#REF!</definedName>
    <definedName name="_RE44">#REF!</definedName>
    <definedName name="_RE48">#REF!</definedName>
    <definedName name="_RE52">#REF!</definedName>
    <definedName name="_RE56">#REF!</definedName>
    <definedName name="_RE60">#REF!</definedName>
    <definedName name="_RE64">#REF!</definedName>
    <definedName name="_RE68">#REF!</definedName>
    <definedName name="_RE72">#REF!</definedName>
    <definedName name="_RE76">#REF!</definedName>
    <definedName name="_RE80">#REF!</definedName>
    <definedName name="_RE88">#REF!</definedName>
    <definedName name="_RE92">#REF!</definedName>
    <definedName name="_RE96">#REF!</definedName>
    <definedName name="_Regression_Int">1</definedName>
    <definedName name="_Regression_Out" hidden="1">#REF!</definedName>
    <definedName name="_Regression_X" hidden="1">#REF!</definedName>
    <definedName name="_Regression_Y" hidden="1">#REF!</definedName>
    <definedName name="_req_no">#REF!</definedName>
    <definedName name="_rev">#REF!</definedName>
    <definedName name="_RI1">[4]집계표!#REF!</definedName>
    <definedName name="_RI5">[4]집계표!#REF!</definedName>
    <definedName name="_S1">[4]집계표!#REF!</definedName>
    <definedName name="_s3">'[14]h-013211-2'!$C$5</definedName>
    <definedName name="_S5">[4]집계표!#REF!</definedName>
    <definedName name="_SD1">#REF!</definedName>
    <definedName name="_sd2">#REF!</definedName>
    <definedName name="_SEL2">[15]sum3!#REF!</definedName>
    <definedName name="_SEL4">#REF!</definedName>
    <definedName name="_service">#REF!</definedName>
    <definedName name="_SG1">#REF!</definedName>
    <definedName name="_SG2">#REF!</definedName>
    <definedName name="_sheet_no">#REF!</definedName>
    <definedName name="_SHT1">'[3]L V Separator'!$A$1:$AC$65</definedName>
    <definedName name="_SHT2">'[3]L V Separator'!#REF!</definedName>
    <definedName name="_SHT3">'[3]L V Separator'!#REF!</definedName>
    <definedName name="_SHT48">#REF!</definedName>
    <definedName name="_SI1">[4]집계표!#REF!</definedName>
    <definedName name="_SI5">[4]집계표!#REF!</definedName>
    <definedName name="_Sort" hidden="1">#REF!</definedName>
    <definedName name="_SS1">#REF!</definedName>
    <definedName name="_SS12">#REF!</definedName>
    <definedName name="_SS2">#REF!</definedName>
    <definedName name="_SS3">#REF!</definedName>
    <definedName name="_SS4">#REF!</definedName>
    <definedName name="_SS5">#REF!</definedName>
    <definedName name="_SS6">#REF!</definedName>
    <definedName name="_SS7">#REF!</definedName>
    <definedName name="_ST1">#REF!</definedName>
    <definedName name="_ST2">#REF!</definedName>
    <definedName name="_STM11">#REF!</definedName>
    <definedName name="_t1" hidden="1">#REF!</definedName>
    <definedName name="_t2" hidden="1">#REF!</definedName>
    <definedName name="_t3">#REF!</definedName>
    <definedName name="_t4">#REF!</definedName>
    <definedName name="_T5">[4]집계표!#REF!</definedName>
    <definedName name="_Table1_In1" hidden="1">[16]inter!#REF!</definedName>
    <definedName name="_Table1_Out" hidden="1">[16]inter!#REF!</definedName>
    <definedName name="_tag_no">#REF!</definedName>
    <definedName name="_TB1">#REF!</definedName>
    <definedName name="_TK1">#REF!</definedName>
    <definedName name="_TS1">#REF!</definedName>
    <definedName name="_TS2">#REF!</definedName>
    <definedName name="_TV1">[4]집계표!#REF!</definedName>
    <definedName name="_TV5">[4]집계표!#REF!</definedName>
    <definedName name="_V1">[4]집계표!#REF!</definedName>
    <definedName name="_V5">[4]집계표!#REF!</definedName>
    <definedName name="_W1">[4]집계표!#REF!</definedName>
    <definedName name="_W5">[4]집계표!#REF!</definedName>
    <definedName name="_wv1">#REF!</definedName>
    <definedName name="_YP1">#REF!</definedName>
    <definedName name="_YP2">#REF!</definedName>
    <definedName name="¡ÆC">#N/A</definedName>
    <definedName name="´cAE°eE¹" hidden="1">#REF!</definedName>
    <definedName name="¿uº°¿μ¾÷">#REF!</definedName>
    <definedName name="￠?u¨￢¡Æ￠?￥i¨u¡A">#REF!</definedName>
    <definedName name="￠´¡¤">#N/A</definedName>
    <definedName name="￠´¡¤￠´¡¤">#N/A</definedName>
    <definedName name="￠´¡¤￠´¡¤￠´¡¤">#N/A</definedName>
    <definedName name="￠´¡¤￠´¡¤￠´¡¤￠´¡¤">#N/A</definedName>
    <definedName name="￠´¡¤￠´¨I￠´¨I">#N/A</definedName>
    <definedName name="￠´¡¤￠´￠´￠´¡¤">#N/A</definedName>
    <definedName name="￠´¡¤￠´￠´￠´¡¾￠´￠´￠´¡¾￠´￠´￠´¡¤￠´￠´￠´¡¤￠´¡¾￠´￠´￠´¡¤￠´¡¾￠´￠´￠´¡¤￠´¡¾￠´￠´￠´¡¤￠´¡¤￠´￠´￠´￠´￠´¡¤￠´¡¤￠´￠´￠´¡¾">#N/A</definedName>
    <definedName name="￠´¡×￠´¡×">#N/A</definedName>
    <definedName name="￠´¡¾">#N/A</definedName>
    <definedName name="￠´¡¾￠´￠´￠´¡¾￠´¡¾">#N/A</definedName>
    <definedName name="￠´¨￠￠´I￠´¨￠￠´I￠´I￠´I">#N/A</definedName>
    <definedName name="￠´¨I￠´¨I￠´¨I￠´¨I￠´¡Æ￠´¨u">#N/A</definedName>
    <definedName name="￠´¨o￠´¨o￠´¨o">#N/A</definedName>
    <definedName name="￠´¨u￠´¨u">#N/A</definedName>
    <definedName name="￠´￠?￠´￠?￠´￠?￠´￠?￠´￠?">#N/A</definedName>
    <definedName name="￠´￠´￠´¡¾￠´¡¾￠´￠´￠´￠´￠´¡¾">#N/A</definedName>
    <definedName name="￠´￠´￠´￠´￠´￠´">#N/A</definedName>
    <definedName name="￠´￠´￠´￠´￠´￠´￠´￠´￠´¡¤">#N/A</definedName>
    <definedName name="￠´￠￢">[17]상반기손익차2총괄!#REF!</definedName>
    <definedName name="￠´￠￢￠´¡×￠´￠￢￠´¡×">#N/A</definedName>
    <definedName name="￠´A￠´A￠´A￠´A￠´A">#N/A</definedName>
    <definedName name="￠´A￠´A￠´C￠Oo￠´A￠´￠´￠?A￠Oo￠´A￠´¡¾￠´￠´￠?A￠OoⓒøN￠?A￠O¡A￠´￠´¨uo￠´￠´￠´¡¤￠´¡¤￠´￠´￠´¡¾￠´¡¾￠´￠´￠´¡¤￠´¡¤￠´￠´￠´￠´￠´¡¤￠´¡¾">#N/A</definedName>
    <definedName name="￠´C￠´C￠´C￠´C">#N/A</definedName>
    <definedName name="￠´ⓒ÷">#N/A</definedName>
    <definedName name="￠´ⓒ÷￠´ⓒ÷￠´ⓒ÷">#N/A</definedName>
    <definedName name="￠´ⓒ÷￠´ⓒ÷￠´ⓒ÷￠´ⓒ÷￠´ⓒ÷">#N/A</definedName>
    <definedName name="￠´E￠´A￠´A￠´A">#N/A</definedName>
    <definedName name="￠´I">'[18]9-1차이내역'!#REF!</definedName>
    <definedName name="￠´I￠´I￠´I">#N/A</definedName>
    <definedName name="￠￥cAE¡ÆeEⓒo" hidden="1">#REF!</definedName>
    <definedName name="¤¸">[19]상반기손익차2총괄!#REF!</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½¤½¤½">#N/A</definedName>
    <definedName name="¤¾¤¾">#N/A</definedName>
    <definedName name="¤²">#N/A</definedName>
    <definedName name="¤²¤²¤²">#N/A</definedName>
    <definedName name="¤²¤²¤²¤²¤²">#N/A</definedName>
    <definedName name="¤A¤A¤A¤A¤A">#N/A</definedName>
    <definedName name="¤A¤A¤C¶o¤A¤¤¿A¶o¤A¤±¤¤¿A¶o³N¿A¶÷¤¤¾o¤¤¤·¤·¤¤¤±¤±¤¤¤·¤·¤¤¤¤¤·¤±">#N/A</definedName>
    <definedName name="¤C¤C¤C¤C">#N/A</definedName>
    <definedName name="¤ⓒ¤ⓒ¤ⓒ¤ⓒ¤°¤¾">#N/A</definedName>
    <definedName name="¤Ð¤I¤Ð¤I¤I¤I">#N/A</definedName>
    <definedName name="¤E¤A¤A¤A">#N/A</definedName>
    <definedName name="¤I">'[18]9-1차이내역'!#REF!</definedName>
    <definedName name="¤I¤I¤I">#N/A</definedName>
    <definedName name="\a">#N/A</definedName>
    <definedName name="\b">#N/A</definedName>
    <definedName name="\c">#N/A</definedName>
    <definedName name="\d">[20]회사99!#REF!</definedName>
    <definedName name="\E">#REF!</definedName>
    <definedName name="\f">#N/A</definedName>
    <definedName name="\FF">'[21]97 사업추정(WEKI)'!#REF!</definedName>
    <definedName name="\FG">[22]손익차9월2!#REF!</definedName>
    <definedName name="\g">#REF!</definedName>
    <definedName name="\I">[23]B!#REF!</definedName>
    <definedName name="\L">[23]B!#REF!</definedName>
    <definedName name="\LL">#REF!</definedName>
    <definedName name="\O">#REF!</definedName>
    <definedName name="\p">#N/A</definedName>
    <definedName name="\PP">#REF!</definedName>
    <definedName name="\q">#REF!</definedName>
    <definedName name="\r">#N/A</definedName>
    <definedName name="\s">'[8]95삼성급(본사)'!#REF!</definedName>
    <definedName name="\X">#REF!</definedName>
    <definedName name="\Z">#REF!</definedName>
    <definedName name="√">"SQRT"</definedName>
    <definedName name="°C">#N/A</definedName>
    <definedName name="°Ç">#N/A</definedName>
    <definedName name="¼o¼o½CAu7¿u">#N/A</definedName>
    <definedName name="¼ö¼ö½ÇÀû7¿ù">#N/A</definedName>
    <definedName name="¹eºI³≫¿ª">[24]주관사업!#REF!</definedName>
    <definedName name="a">#REF!</definedName>
    <definedName name="A_3100INQ">#REF!</definedName>
    <definedName name="A_3100REV">#REF!</definedName>
    <definedName name="A_3200INQ">#REF!</definedName>
    <definedName name="A_3200REV">#REF!</definedName>
    <definedName name="a_dash">#REF!</definedName>
    <definedName name="A_EQUIP">#REF!</definedName>
    <definedName name="A_LABOR">#REF!</definedName>
    <definedName name="A_MATL">#REF!</definedName>
    <definedName name="A_MH">#REF!</definedName>
    <definedName name="A_OTHER">#REF!</definedName>
    <definedName name="A_REV_TOTAL">#REF!</definedName>
    <definedName name="A¡þ_¡¤ⓒo_AO">#N/A</definedName>
    <definedName name="A￢_·¹_AO">#N/A</definedName>
    <definedName name="A0">#REF!</definedName>
    <definedName name="A01_">#N/A</definedName>
    <definedName name="A01AC">#N/A</definedName>
    <definedName name="A01CAT">#N/A</definedName>
    <definedName name="A01CODE">#N/A</definedName>
    <definedName name="A01DATA">#N/A</definedName>
    <definedName name="A01MI">#N/A</definedName>
    <definedName name="A01TO">#N/A</definedName>
    <definedName name="A2_">#REF!</definedName>
    <definedName name="A3_">#REF!</definedName>
    <definedName name="A4_">#REF!</definedName>
    <definedName name="A5_">#REF!</definedName>
    <definedName name="A6_">#REF!</definedName>
    <definedName name="A7_">#REF!</definedName>
    <definedName name="aa">BlankMacro1</definedName>
    <definedName name="Åä">#N/A</definedName>
    <definedName name="AAA">#REF!</definedName>
    <definedName name="aaaa">'[25]7.6.3(B) UG Piping'!$C$5:$M$535</definedName>
    <definedName name="aaaaa" hidden="1">{#N/A,#N/A,TRUE,"Basic";#N/A,#N/A,TRUE,"EXT-TABLE";#N/A,#N/A,TRUE,"STEEL";#N/A,#N/A,TRUE,"INT-Table";#N/A,#N/A,TRUE,"STEEL";#N/A,#N/A,TRUE,"Door"}</definedName>
    <definedName name="aaaaa_1" hidden="1">{#N/A,#N/A,TRUE,"Basic";#N/A,#N/A,TRUE,"EXT-TABLE";#N/A,#N/A,TRUE,"STEEL";#N/A,#N/A,TRUE,"INT-Table";#N/A,#N/A,TRUE,"STEEL";#N/A,#N/A,TRUE,"Door"}</definedName>
    <definedName name="AAAAA1" hidden="1">{#N/A,#N/A,TRUE,"Basic";#N/A,#N/A,TRUE,"EXT-TABLE";#N/A,#N/A,TRUE,"STEEL";#N/A,#N/A,TRUE,"INT-Table";#N/A,#N/A,TRUE,"STEEL";#N/A,#N/A,TRUE,"Door"}</definedName>
    <definedName name="aaaaaaa" hidden="1">#REF!</definedName>
    <definedName name="AAAAAAAAAAA">BlankMacro1</definedName>
    <definedName name="AAAAAAAAAAAAA" hidden="1">{#N/A,#N/A,TRUE,"Basic";#N/A,#N/A,TRUE,"EXT-TABLE";#N/A,#N/A,TRUE,"STEEL";#N/A,#N/A,TRUE,"INT-Table";#N/A,#N/A,TRUE,"STEEL";#N/A,#N/A,TRUE,"Door"}</definedName>
    <definedName name="aæÐRIiÞA_Iª">#N/A</definedName>
    <definedName name="AAS">{"Book1","DOC&amp;DWG.xls"}</definedName>
    <definedName name="ab" hidden="1">{#N/A,#N/A,TRUE,"Basic";#N/A,#N/A,TRUE,"EXT-TABLE";#N/A,#N/A,TRUE,"STEEL";#N/A,#N/A,TRUE,"INT-Table";#N/A,#N/A,TRUE,"STEEL";#N/A,#N/A,TRUE,"Door"}</definedName>
    <definedName name="ab_1" hidden="1">{#N/A,#N/A,TRUE,"Basic";#N/A,#N/A,TRUE,"EXT-TABLE";#N/A,#N/A,TRUE,"STEEL";#N/A,#N/A,TRUE,"INT-Table";#N/A,#N/A,TRUE,"STEEL";#N/A,#N/A,TRUE,"Door"}</definedName>
    <definedName name="ABB">#REF!</definedName>
    <definedName name="abc" hidden="1">{#N/A,#N/A,TRUE,"Basic";#N/A,#N/A,TRUE,"EXT-TABLE";#N/A,#N/A,TRUE,"STEEL";#N/A,#N/A,TRUE,"INT-Table";#N/A,#N/A,TRUE,"STEEL";#N/A,#N/A,TRUE,"Door"}</definedName>
    <definedName name="abc_1" hidden="1">{#N/A,#N/A,TRUE,"Basic";#N/A,#N/A,TRUE,"EXT-TABLE";#N/A,#N/A,TRUE,"STEEL";#N/A,#N/A,TRUE,"INT-Table";#N/A,#N/A,TRUE,"STEEL";#N/A,#N/A,TRUE,"Door"}</definedName>
    <definedName name="ABT">#REF!</definedName>
    <definedName name="AC">#REF!</definedName>
    <definedName name="AC_3">#N/A</definedName>
    <definedName name="AC_4">#N/A</definedName>
    <definedName name="aⓒ¡¨￠RIi¨­A_I¨￡">#N/A</definedName>
    <definedName name="acc">{"Book1","my ddc.xls"}</definedName>
    <definedName name="ACC_2">#N/A</definedName>
    <definedName name="ACC_IMPORT">#REF!</definedName>
    <definedName name="AD">#REF!</definedName>
    <definedName name="AddBorders">#REF!</definedName>
    <definedName name="adfasdf" hidden="1">#REF!</definedName>
    <definedName name="AFC">[26]data_dci!$K$8:$K$746</definedName>
    <definedName name="AFDSADSAF" hidden="1">{#N/A,#N/A,TRUE,"Basic";#N/A,#N/A,TRUE,"EXT-TABLE";#N/A,#N/A,TRUE,"STEEL";#N/A,#N/A,TRUE,"INT-Table";#N/A,#N/A,TRUE,"STEEL";#N/A,#N/A,TRUE,"Door"}</definedName>
    <definedName name="AFE_MAWP">#REF!</definedName>
    <definedName name="AFE_MAWT">#REF!</definedName>
    <definedName name="AFE_ORGL_TST_PRESS">#REF!</definedName>
    <definedName name="agdump">#REF!</definedName>
    <definedName name="agedump">#REF!</definedName>
    <definedName name="agencydump">#REF!</definedName>
    <definedName name="AGENCYLY">#REF!</definedName>
    <definedName name="AGENCYPLAN">#REF!</definedName>
    <definedName name="AH">#REF!</definedName>
    <definedName name="air">#REF!</definedName>
    <definedName name="air_trap">#REF!</definedName>
    <definedName name="AK">#REF!</definedName>
    <definedName name="All_Item">#REF!</definedName>
    <definedName name="allow">#REF!</definedName>
    <definedName name="ALPIN">#N/A</definedName>
    <definedName name="ALPJYOU">#N/A</definedName>
    <definedName name="ALPTOI">#N/A</definedName>
    <definedName name="AM">#REF!</definedName>
    <definedName name="Amend_Matl">#REF!</definedName>
    <definedName name="Amend_MD">#REF!</definedName>
    <definedName name="Amend_Total_Matl">#REF!</definedName>
    <definedName name="Amend_Total_MD">#REF!</definedName>
    <definedName name="analyzer_flg_001">#REF!</definedName>
    <definedName name="anchor">#REF!</definedName>
    <definedName name="angle">#REF!</definedName>
    <definedName name="anscount">1</definedName>
    <definedName name="APP">[26]data_mci!$M$8:$M$126</definedName>
    <definedName name="APP_V">[26]data_mci!$O$8:$O$126</definedName>
    <definedName name="APPR">#REF!</definedName>
    <definedName name="AQWS"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R">#REF!</definedName>
    <definedName name="AREA">#REF!</definedName>
    <definedName name="AREA_000">#REF!</definedName>
    <definedName name="AREA_001">#REF!</definedName>
    <definedName name="area_id_001">#REF!</definedName>
    <definedName name="area_sum">#REF!</definedName>
    <definedName name="AREA100">#REF!</definedName>
    <definedName name="AREA125">#REF!</definedName>
    <definedName name="AREA150">#REF!</definedName>
    <definedName name="AREA175">#REF!</definedName>
    <definedName name="AREA25">#REF!</definedName>
    <definedName name="AREA30">#REF!</definedName>
    <definedName name="AREA40">#REF!</definedName>
    <definedName name="AREA50">#REF!</definedName>
    <definedName name="AREA65">#REF!</definedName>
    <definedName name="AREA75">#REF!</definedName>
    <definedName name="ARGON2">#REF!</definedName>
    <definedName name="Arial">#REF!</definedName>
    <definedName name="as">#REF!</definedName>
    <definedName name="AS1_">#REF!</definedName>
    <definedName name="asas" hidden="1">{#N/A,#N/A,TRUE,"Basic";#N/A,#N/A,TRUE,"EXT-TABLE";#N/A,#N/A,TRUE,"STEEL";#N/A,#N/A,TRUE,"INT-Table";#N/A,#N/A,TRUE,"STEEL";#N/A,#N/A,TRUE,"Door"}</definedName>
    <definedName name="asd">#REF!</definedName>
    <definedName name="asdf">#REF!</definedName>
    <definedName name="ASHEL">#REF!</definedName>
    <definedName name="ass">#N/A</definedName>
    <definedName name="ASTM">#REF!</definedName>
    <definedName name="Au">#N/A</definedName>
    <definedName name="Àü">#N/A</definedName>
    <definedName name="autoexec">#REF!</definedName>
    <definedName name="AWQ">#REF!</definedName>
    <definedName name="B">#REF!</definedName>
    <definedName name="B_1">#N/A</definedName>
    <definedName name="b_dash">#REF!</definedName>
    <definedName name="B_FLG">#REF!</definedName>
    <definedName name="B4S3">'[8]95삼성급(본사)'!#REF!</definedName>
    <definedName name="B6M3">'[8]95삼성급(본사)'!#REF!</definedName>
    <definedName name="B6S3">'[8]95삼성급(본사)'!#REF!</definedName>
    <definedName name="B6W3">'[8]95삼성급(본사)'!#REF!</definedName>
    <definedName name="BA">#REF!</definedName>
    <definedName name="babo">[27]VA_code!$Q$1:$R$31</definedName>
    <definedName name="back_pressure">#REF!</definedName>
    <definedName name="backup_link_master_001">#REF!</definedName>
    <definedName name="ball">#REF!</definedName>
    <definedName name="BASE" hidden="1">{#N/A,#N/A,TRUE,"Basic";#N/A,#N/A,TRUE,"EXT-TABLE";#N/A,#N/A,TRUE,"STEEL";#N/A,#N/A,TRUE,"INT-Table";#N/A,#N/A,TRUE,"STEEL";#N/A,#N/A,TRUE,"Door"}</definedName>
    <definedName name="Base_MATL">#REF!</definedName>
    <definedName name="Base_MD">#REF!</definedName>
    <definedName name="Base_Total_Matl">#REF!</definedName>
    <definedName name="Base_Total_MD">#REF!</definedName>
    <definedName name="basetrav">#REF!</definedName>
    <definedName name="BAT">#REF!</definedName>
    <definedName name="BB">#N/A</definedName>
    <definedName name="BBB">#REF!</definedName>
    <definedName name="BBF">[4]집계표!#REF!</definedName>
    <definedName name="BBK">[4]집계표!#REF!</definedName>
    <definedName name="BC">#REF!</definedName>
    <definedName name="bcd" hidden="1">{#N/A,#N/A,TRUE,"Basic";#N/A,#N/A,TRUE,"EXT-TABLE";#N/A,#N/A,TRUE,"STEEL";#N/A,#N/A,TRUE,"INT-Table";#N/A,#N/A,TRUE,"STEEL";#N/A,#N/A,TRUE,"Door"}</definedName>
    <definedName name="bcrclcl100rt">'[28]9-1차이내역'!#REF!</definedName>
    <definedName name="bcrclcl100rtrkrk">'[28]9-1차이내역'!#REF!</definedName>
    <definedName name="BD1M">#REF!</definedName>
    <definedName name="BD1Y">#REF!</definedName>
    <definedName name="BD3M">#REF!</definedName>
    <definedName name="BD3Y">#REF!</definedName>
    <definedName name="BELL" hidden="1">{#N/A,#N/A,TRUE,"Basic";#N/A,#N/A,TRUE,"EXT-TABLE";#N/A,#N/A,TRUE,"STEEL";#N/A,#N/A,TRUE,"INT-Table";#N/A,#N/A,TRUE,"STEEL";#N/A,#N/A,TRUE,"Door"}</definedName>
    <definedName name="bend_size">#REF!</definedName>
    <definedName name="beta">#REF!</definedName>
    <definedName name="BF">[4]집계표!#REF!</definedName>
    <definedName name="BFDFB"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Bfill">#REF!</definedName>
    <definedName name="BH">[4]집계표!#REF!</definedName>
    <definedName name="bill_100_percentage_of_diff_matl">#REF!</definedName>
    <definedName name="bill_201_all_in_duct_rates_according_SMACNA">#REF!</definedName>
    <definedName name="BILL_201_All_in_rates_for_various_size_of_ducting">#REF!</definedName>
    <definedName name="bill_201_measured_works_comparison">#REF!</definedName>
    <definedName name="bill_203_measured_works_comparison">#REF!</definedName>
    <definedName name="bill_204_measured_works_comparison">#REF!</definedName>
    <definedName name="bill_207_measured_works_comparison">#REF!</definedName>
    <definedName name="bill_208_measured_works_comparison">#REF!</definedName>
    <definedName name="bill_209_measured_works_comparison">#REF!</definedName>
    <definedName name="BJ1M">#REF!</definedName>
    <definedName name="BJ1Y">#REF!</definedName>
    <definedName name="BJ3M">#REF!</definedName>
    <definedName name="BJ3Y">#REF!</definedName>
    <definedName name="BKW">#REF!</definedName>
    <definedName name="bldg1">[29]BLDG_DCI!$G$10:$G$121</definedName>
    <definedName name="BLDG1_MCI">[29]BLDG_MCI!$E$8:$E$13</definedName>
    <definedName name="bldg2">[29]BLDG_DCI!$H$10:$H$121</definedName>
    <definedName name="BLDG2_MCI">[29]BLDG_MCI!$F$8:$F$13</definedName>
    <definedName name="bldg3">[29]BLDG_DCI!$I$10:$I$121</definedName>
    <definedName name="BLDG3_MCI">[29]BLDG_MCI!$G$8:$G$13</definedName>
    <definedName name="bldg4">[29]BLDG_DCI!$J$10:$J$121</definedName>
    <definedName name="BLDG4_MCI">[29]BLDG_MCI!$H$8:$H$139</definedName>
    <definedName name="bldg5">[29]BLDG_DCI!$K$10:$K$121</definedName>
    <definedName name="BLDG5_MCI">[29]BLDG_MCI!$I$8:$I$13</definedName>
    <definedName name="bldg6">[29]BLDG_DCI!$L$10:$L$121</definedName>
    <definedName name="BLDG6_MCI">[29]BLDG_MCI!$J$8:$J$13</definedName>
    <definedName name="bldg7">[29]BLDG_DCI!$M$10:$M$121</definedName>
    <definedName name="BLDG7_MCI">[29]BLDG_MCI!$K$8:$K$13</definedName>
    <definedName name="BLDG8">[29]BLDG_MCI!#REF!</definedName>
    <definedName name="BLDG9">[29]BLDG_MCI!#REF!</definedName>
    <definedName name="BLOCK01">#N/A</definedName>
    <definedName name="BLOCK02">#REF!</definedName>
    <definedName name="BLOCK03">#REF!</definedName>
    <definedName name="BLOCK04">#REF!</definedName>
    <definedName name="BM">[4]집계표!#REF!</definedName>
    <definedName name="BM.1">#REF!</definedName>
    <definedName name="BM.AFC">#REF!</definedName>
    <definedName name="bm_ident_ADD">#REF!</definedName>
    <definedName name="bm_ident_AG">#REF!</definedName>
    <definedName name="bm_ident_DM">#REF!</definedName>
    <definedName name="bm_ident_UG">#REF!</definedName>
    <definedName name="bmsum">#REF!</definedName>
    <definedName name="bmsum_IdentGroup">#REF!</definedName>
    <definedName name="BOLT">#REF!</definedName>
    <definedName name="book">#REF!</definedName>
    <definedName name="BOQ_SUM_area">#REF!</definedName>
    <definedName name="BOQ_SUMMARY" hidden="1">{#N/A,#N/A,TRUE,"Basic";#N/A,#N/A,TRUE,"EXT-TABLE";#N/A,#N/A,TRUE,"STEEL";#N/A,#N/A,TRUE,"INT-Table";#N/A,#N/A,TRUE,"STEEL";#N/A,#N/A,TRUE,"Door"}</definedName>
    <definedName name="BOSS">#REF!</definedName>
    <definedName name="BP">#REF!</definedName>
    <definedName name="BPB">[4]집계표!#REF!</definedName>
    <definedName name="BPBF">[4]집계표!#REF!</definedName>
    <definedName name="BPBK">[4]집계표!#REF!</definedName>
    <definedName name="BPF">[4]집계표!#REF!</definedName>
    <definedName name="BPH">[4]집계표!#REF!</definedName>
    <definedName name="BPM">[4]집계표!#REF!</definedName>
    <definedName name="BPS">[4]집계표!#REF!</definedName>
    <definedName name="BPSA">[4]집계표!#REF!</definedName>
    <definedName name="BQ_Area">#REF!</definedName>
    <definedName name="BRACKET">#REF!</definedName>
    <definedName name="BRKRKRTDKDK">#REF!</definedName>
    <definedName name="BS">[4]집계표!#REF!</definedName>
    <definedName name="BSA">[4]집계표!#REF!</definedName>
    <definedName name="BSD">'[30]BSD (2)'!#REF!</definedName>
    <definedName name="BTW">#REF!</definedName>
    <definedName name="bu">[31]PRO_A!$B$133:$B$147</definedName>
    <definedName name="BUDGQTY">[32]Sheet5!#REF!</definedName>
    <definedName name="Build">#REF!</definedName>
    <definedName name="Bulk_Exp_Index">#REF!</definedName>
    <definedName name="Bulk_Lab_Index">#REF!</definedName>
    <definedName name="Bulk_Mat_Index">#REF!</definedName>
    <definedName name="butterfly">#REF!</definedName>
    <definedName name="BY4S3">'[8]95삼성급(본사)'!#REF!</definedName>
    <definedName name="BY6M3">'[8]95삼성급(본사)'!#REF!</definedName>
    <definedName name="BY6S3">'[8]95삼성급(본사)'!#REF!</definedName>
    <definedName name="BY6W3">'[8]95삼성급(본사)'!#REF!</definedName>
    <definedName name="BYBJ3">'[8]95삼성급(본사)'!#REF!</definedName>
    <definedName name="BYCJ3">'[8]95삼성급(본사)'!#REF!</definedName>
    <definedName name="BYDR3">'[8]95삼성급(본사)'!#REF!</definedName>
    <definedName name="BYGJ3">'[8]95삼성급(본사)'!#REF!</definedName>
    <definedName name="c_bldg">[29]BLDG_DCI!$D$10:$D$121</definedName>
    <definedName name="c_elec">#REF!</definedName>
    <definedName name="c_inst">#REF!</definedName>
    <definedName name="c_margin">#REF!</definedName>
    <definedName name="c_mech">#REF!</definedName>
    <definedName name="c_pipe">#REF!</definedName>
    <definedName name="c_pro">#REF!</definedName>
    <definedName name="C¨ª￠?UAI￠?ⓒªAⓒ￢AI">[33]주관사업!#REF!</definedName>
    <definedName name="CA">#N/A</definedName>
    <definedName name="ÇÃ">#N/A</definedName>
    <definedName name="CABLE_TYPE">#REF!</definedName>
    <definedName name="CAD">[34]환율!#REF!</definedName>
    <definedName name="CAL.">#REF!</definedName>
    <definedName name="calc_program_note_001">#REF!</definedName>
    <definedName name="calc_user_note_001">#REF!</definedName>
    <definedName name="CalcAgencyPrice">#REF!</definedName>
    <definedName name="calib_range_max_001">#REF!</definedName>
    <definedName name="calib_range_min_001">#REF!</definedName>
    <definedName name="calib_range_uflg_max_001">#REF!</definedName>
    <definedName name="calib_range_uflg_min_001">#REF!</definedName>
    <definedName name="calib_range_uom_max_001">#REF!</definedName>
    <definedName name="calib_range_uom_min_001">#REF!</definedName>
    <definedName name="CAP">#REF!</definedName>
    <definedName name="capacitance_001">#REF!</definedName>
    <definedName name="capacitance_uom_001">#REF!</definedName>
    <definedName name="case_id_001">#REF!</definedName>
    <definedName name="CATEGORY">#REF!</definedName>
    <definedName name="Category_All">#REF!</definedName>
    <definedName name="CATIN">#N/A</definedName>
    <definedName name="CATJYOU">#N/A</definedName>
    <definedName name="CATREC">#N/A</definedName>
    <definedName name="CATSYU">#N/A</definedName>
    <definedName name="CAUSE">#REF!</definedName>
    <definedName name="CBL600V">#REF!</definedName>
    <definedName name="CBL6KV">#REF!</definedName>
    <definedName name="CC">#N/A</definedName>
    <definedName name="CCB">[4]집계표!#REF!</definedName>
    <definedName name="CCBF">[4]집계표!#REF!</definedName>
    <definedName name="CCBK">[4]집계표!#REF!</definedName>
    <definedName name="CCC">#REF!</definedName>
    <definedName name="CCF">[4]집계표!#REF!</definedName>
    <definedName name="CCH">[4]집계표!#REF!</definedName>
    <definedName name="CCM">[4]집계표!#REF!</definedName>
    <definedName name="CCS">[4]집계표!#REF!</definedName>
    <definedName name="CCSA">[4]집계표!#REF!</definedName>
    <definedName name="CD">#REF!</definedName>
    <definedName name="CDB">[4]집계표!#REF!</definedName>
    <definedName name="CDBF">[4]집계표!#REF!</definedName>
    <definedName name="CDBK">[4]집계표!#REF!</definedName>
    <definedName name="CDF">[4]집계표!#REF!</definedName>
    <definedName name="CDH">[4]집계표!#REF!</definedName>
    <definedName name="CDM">[4]집계표!#REF!</definedName>
    <definedName name="CDS">[4]집계표!#REF!</definedName>
    <definedName name="CDSA">[4]집계표!#REF!</definedName>
    <definedName name="cell_001">#REF!</definedName>
    <definedName name="CellReferencingOff">"Option Button 2"</definedName>
    <definedName name="CellReferencingOn">"Option Button 1"</definedName>
    <definedName name="CERT">[26]data_mci!$P$8:$P$126</definedName>
    <definedName name="CFR">#REF!</definedName>
    <definedName name="CHART">#REF!</definedName>
    <definedName name="CHECK">#REF!</definedName>
    <definedName name="chemical" hidden="1">{#N/A,#N/A,FALSE,"CCTV"}</definedName>
    <definedName name="chg_date_001">#REF!</definedName>
    <definedName name="chg_num_001">#REF!</definedName>
    <definedName name="chg_status_001">#REF!</definedName>
    <definedName name="CHK">#REF!</definedName>
    <definedName name="chl" hidden="1">{#N/A,#N/A,TRUE,"Basic";#N/A,#N/A,TRUE,"EXT-TABLE";#N/A,#N/A,TRUE,"STEEL";#N/A,#N/A,TRUE,"INT-Table";#N/A,#N/A,TRUE,"STEEL";#N/A,#N/A,TRUE,"Door"}</definedName>
    <definedName name="CIB">#REF!</definedName>
    <definedName name="circuit_001">#REF!</definedName>
    <definedName name="circuit_id_001">#REF!</definedName>
    <definedName name="CJ1M">#REF!</definedName>
    <definedName name="CJ1Y">#REF!</definedName>
    <definedName name="CJ3M">#REF!</definedName>
    <definedName name="CJ3Y">#REF!</definedName>
    <definedName name="Cl">#REF!</definedName>
    <definedName name="ClearSheet">#N/A</definedName>
    <definedName name="ClearSheet1">[0]!ClearSheet</definedName>
    <definedName name="Clearsheet2">#N/A</definedName>
    <definedName name="cli">#REF!</definedName>
    <definedName name="CLIENT">#REF!</definedName>
    <definedName name="clss">[27]VA_code!$Q$1:$R$31</definedName>
    <definedName name="cmpnt_certif_id_001">#REF!</definedName>
    <definedName name="cmpnt_critical_id_001">#REF!</definedName>
    <definedName name="cmpnt_find_rem_001">#REF!</definedName>
    <definedName name="cmpnt_func_type_id_001">#REF!</definedName>
    <definedName name="cmpnt_id_001">#REF!</definedName>
    <definedName name="cmpnt_is_circuite_type_id_001">#REF!</definedName>
    <definedName name="cmpnt_loc_id_001">#REF!</definedName>
    <definedName name="cmpnt_mfr_id_001">#REF!</definedName>
    <definedName name="cmpnt_mod_id_001">#REF!</definedName>
    <definedName name="cmpnt_name">#REF!</definedName>
    <definedName name="cmpnt_name_001">#REF!</definedName>
    <definedName name="cmpnt_serv">#REF!</definedName>
    <definedName name="cmpnt_serv_001">#REF!</definedName>
    <definedName name="cmpnt_sys_io_type_id_001">#REF!</definedName>
    <definedName name="cmpnt_type_id_001">#REF!</definedName>
    <definedName name="CNY">[34]환율!#REF!</definedName>
    <definedName name="CØ¿UAI¿øAßAI">[33]주관사업!#REF!</definedName>
    <definedName name="COA_10">#REF!</definedName>
    <definedName name="COA_11">#REF!</definedName>
    <definedName name="COA_12">#REF!</definedName>
    <definedName name="COA_13">#REF!</definedName>
    <definedName name="COA_14">#REF!</definedName>
    <definedName name="COA_15">#REF!</definedName>
    <definedName name="COA_16">#REF!</definedName>
    <definedName name="COA_17">#REF!</definedName>
    <definedName name="COA_18">#REF!</definedName>
    <definedName name="COA_19">#REF!</definedName>
    <definedName name="COA_20">#REF!</definedName>
    <definedName name="COA_30">#REF!</definedName>
    <definedName name="COA_40">#REF!</definedName>
    <definedName name="COA_51">#REF!</definedName>
    <definedName name="COA_52">#REF!</definedName>
    <definedName name="COA_53">#REF!</definedName>
    <definedName name="COA_54">#REF!</definedName>
    <definedName name="COA_55">#REF!</definedName>
    <definedName name="COA_60">#REF!</definedName>
    <definedName name="COA_70">#REF!</definedName>
    <definedName name="COA_80">#REF!</definedName>
    <definedName name="COA_90">#REF!</definedName>
    <definedName name="COA50A">#REF!</definedName>
    <definedName name="COA50B">#REF!</definedName>
    <definedName name="Coal">#REF!</definedName>
    <definedName name="coat">#REF!</definedName>
    <definedName name="Coating">#REF!</definedName>
    <definedName name="COB">[4]집계표!#REF!</definedName>
    <definedName name="COBF">[4]집계표!#REF!</definedName>
    <definedName name="COBK">[4]집계표!#REF!</definedName>
    <definedName name="ⓒoe¨￢Iⓒø¡i￠?¨￡">[24]주관사업!#REF!</definedName>
    <definedName name="COF">[4]집계표!#REF!</definedName>
    <definedName name="COH">[4]집계표!#REF!</definedName>
    <definedName name="col_I">#REF!</definedName>
    <definedName name="Cold_Insulation">#REF!</definedName>
    <definedName name="COM">[4]집계표!#REF!</definedName>
    <definedName name="Commission">#REF!</definedName>
    <definedName name="comp_pd_design_temp_uid_001">#REF!</definedName>
    <definedName name="comp_pd_press_des_min_uid_001">#REF!</definedName>
    <definedName name="comp_pd_press_des_uid_001">#REF!</definedName>
    <definedName name="comp_pd_temp_uid_001">#REF!</definedName>
    <definedName name="comp_press_uom_001">#REF!</definedName>
    <definedName name="comp_press_uom_1_001">#REF!</definedName>
    <definedName name="CONB">[4]집계표!#REF!</definedName>
    <definedName name="CONBF">[4]집계표!#REF!</definedName>
    <definedName name="CONBK">[4]집계표!#REF!</definedName>
    <definedName name="ConcatenateFrom">#REF!</definedName>
    <definedName name="ConcatenateTo">#REF!</definedName>
    <definedName name="ConCatLine">#REF!</definedName>
    <definedName name="ConCatSPPID">#REF!</definedName>
    <definedName name="CONF">[4]집계표!#REF!</definedName>
    <definedName name="CONFIT">[35]PBS!$A$2:$IV$7</definedName>
    <definedName name="CONH">[4]집계표!#REF!</definedName>
    <definedName name="CONM">[4]집계표!#REF!</definedName>
    <definedName name="CONS">[4]집계표!#REF!</definedName>
    <definedName name="CONSA">[4]집계표!#REF!</definedName>
    <definedName name="CONSUM">#REF!</definedName>
    <definedName name="Contractor">#REF!</definedName>
    <definedName name="COS">#REF!</definedName>
    <definedName name="COSA">[4]집계표!#REF!</definedName>
    <definedName name="cost" hidden="1">{#N/A,#N/A,TRUE,"Basic";#N/A,#N/A,TRUE,"EXT-TABLE";#N/A,#N/A,TRUE,"STEEL";#N/A,#N/A,TRUE,"INT-Table";#N/A,#N/A,TRUE,"STEEL";#N/A,#N/A,TRUE,"Door"}</definedName>
    <definedName name="cost_1" hidden="1">{#N/A,#N/A,TRUE,"Basic";#N/A,#N/A,TRUE,"EXT-TABLE";#N/A,#N/A,TRUE,"STEEL";#N/A,#N/A,TRUE,"INT-Table";#N/A,#N/A,TRUE,"STEEL";#N/A,#N/A,TRUE,"Door"}</definedName>
    <definedName name="COST2" hidden="1">{#N/A,#N/A,TRUE,"Basic";#N/A,#N/A,TRUE,"EXT-TABLE";#N/A,#N/A,TRUE,"STEEL";#N/A,#N/A,TRUE,"INT-Table";#N/A,#N/A,TRUE,"STEEL";#N/A,#N/A,TRUE,"Door"}</definedName>
    <definedName name="COST2_1" hidden="1">{#N/A,#N/A,TRUE,"Basic";#N/A,#N/A,TRUE,"EXT-TABLE";#N/A,#N/A,TRUE,"STEEL";#N/A,#N/A,TRUE,"INT-Table";#N/A,#N/A,TRUE,"STEEL";#N/A,#N/A,TRUE,"Door"}</definedName>
    <definedName name="cover" hidden="1">#REF!</definedName>
    <definedName name="Cover_Type">#REF!</definedName>
    <definedName name="cover_Type2">#REF!</definedName>
    <definedName name="COVER1111" hidden="1">#REF!</definedName>
    <definedName name="cpf" hidden="1">{#N/A,#N/A,TRUE,"Basic";#N/A,#N/A,TRUE,"EXT-TABLE";#N/A,#N/A,TRUE,"STEEL";#N/A,#N/A,TRUE,"INT-Table";#N/A,#N/A,TRUE,"STEEL";#N/A,#N/A,TRUE,"Door"}</definedName>
    <definedName name="CPLG">#REF!</definedName>
    <definedName name="CPY">#REF!</definedName>
    <definedName name="CQ"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crush_s">#REF!</definedName>
    <definedName name="Ctype">#REF!</definedName>
    <definedName name="Currency">#REF!</definedName>
    <definedName name="Currency_Mat">#REF!</definedName>
    <definedName name="CurrentData">#REF!</definedName>
    <definedName name="cut">[26]behind!$F$4</definedName>
    <definedName name="cutoff">[26]Main!$C$3</definedName>
    <definedName name="CV_1">#REF!</definedName>
    <definedName name="CV_11">#REF!</definedName>
    <definedName name="CV_12">#REF!</definedName>
    <definedName name="CV_13">#REF!</definedName>
    <definedName name="CV_14">#REF!</definedName>
    <definedName name="CV_15">#REF!</definedName>
    <definedName name="CV_16">#REF!</definedName>
    <definedName name="CV_17">#REF!</definedName>
    <definedName name="CV_18">#REF!</definedName>
    <definedName name="CV_19">#REF!</definedName>
    <definedName name="CV_20">#REF!</definedName>
    <definedName name="CV_30">#REF!</definedName>
    <definedName name="CV_40">#REF!</definedName>
    <definedName name="CV_50">#REF!</definedName>
    <definedName name="CV_60">#REF!</definedName>
    <definedName name="CV_70">#REF!</definedName>
    <definedName name="CV_80">#REF!</definedName>
    <definedName name="cycl11">#REF!</definedName>
    <definedName name="cycl12">#REF!</definedName>
    <definedName name="d">BlankMacro1</definedName>
    <definedName name="D01_">[32]Sheet5!#REF!</definedName>
    <definedName name="D02_">[32]Sheet5!#REF!</definedName>
    <definedName name="D03_">[32]Sheet5!#REF!</definedName>
    <definedName name="D04_">[32]Sheet5!#REF!</definedName>
    <definedName name="DA">#REF!</definedName>
    <definedName name="DaRWk1">#REF!</definedName>
    <definedName name="DaRWk10">#REF!</definedName>
    <definedName name="DaRWk11">#REF!</definedName>
    <definedName name="DaRWk12">#REF!</definedName>
    <definedName name="DaRWk2">#REF!</definedName>
    <definedName name="DaRWk3">#REF!</definedName>
    <definedName name="DaRWk4">#REF!</definedName>
    <definedName name="DaRWk5">#REF!</definedName>
    <definedName name="DaRWk6">#REF!</definedName>
    <definedName name="DaRWk8">#REF!</definedName>
    <definedName name="DaRwk9">#REF!</definedName>
    <definedName name="Data">#REF!</definedName>
    <definedName name="_xlnm.Database">#REF!</definedName>
    <definedName name="Database_MI">#REF!</definedName>
    <definedName name="database2">#REF!</definedName>
    <definedName name="DATACURRENT">#REF!</definedName>
    <definedName name="DATAINPUT">#REF!</definedName>
    <definedName name="datb">#REF!</definedName>
    <definedName name="datc">#REF!</definedName>
    <definedName name="DATE">#REF!</definedName>
    <definedName name="DaWk7">#REF!</definedName>
    <definedName name="DB">#REF!</definedName>
    <definedName name="dbrwk1">#REF!</definedName>
    <definedName name="dbrwk10">#REF!</definedName>
    <definedName name="dbrwk11">#REF!</definedName>
    <definedName name="dbrwk12">#REF!</definedName>
    <definedName name="dbrwk2">#REF!</definedName>
    <definedName name="dbrwk3">#REF!</definedName>
    <definedName name="dbrwk4">#REF!</definedName>
    <definedName name="dbrwk5">#REF!</definedName>
    <definedName name="dbrwk6">#REF!</definedName>
    <definedName name="dbrwk7">#REF!</definedName>
    <definedName name="dbrwk8">#REF!</definedName>
    <definedName name="dbrwk9">#REF!</definedName>
    <definedName name="DC">#REF!</definedName>
    <definedName name="dcrwk1">#REF!</definedName>
    <definedName name="dcrwk10">#REF!</definedName>
    <definedName name="dcrwk11">#REF!</definedName>
    <definedName name="dcrwk12">#REF!</definedName>
    <definedName name="dcrwk2">#REF!</definedName>
    <definedName name="dcrwk3">#REF!</definedName>
    <definedName name="dcrwk4">#REF!</definedName>
    <definedName name="dcrwk5">#REF!</definedName>
    <definedName name="dcrwk6">#REF!</definedName>
    <definedName name="dcrwk7">#REF!</definedName>
    <definedName name="dcrwk8">#REF!</definedName>
    <definedName name="dcrwk9">#REF!</definedName>
    <definedName name="dcs_range_max_001">#REF!</definedName>
    <definedName name="dcs_range_min_001">#REF!</definedName>
    <definedName name="dcs_range_uflg_001">#REF!</definedName>
    <definedName name="dcs_range_uom_001">#REF!</definedName>
    <definedName name="dd" hidden="1">#REF!</definedName>
    <definedName name="DDD">'[10]97 사업추정(WEKI)'!#REF!</definedName>
    <definedName name="ddddd" hidden="1">{#N/A,#N/A,TRUE,"Basic";#N/A,#N/A,TRUE,"EXT-TABLE";#N/A,#N/A,TRUE,"STEEL";#N/A,#N/A,TRUE,"INT-Table";#N/A,#N/A,TRUE,"STEEL";#N/A,#N/A,TRUE,"Door"}</definedName>
    <definedName name="DDDDDDDDDDDD">#REF!</definedName>
    <definedName name="dddddddddddddd" hidden="1">{#N/A,#N/A,TRUE,"Basic";#N/A,#N/A,TRUE,"EXT-TABLE";#N/A,#N/A,TRUE,"STEEL";#N/A,#N/A,TRUE,"INT-Table";#N/A,#N/A,TRUE,"STEEL";#N/A,#N/A,TRUE,"Door"}</definedName>
    <definedName name="DDDDDDDDDDDDDDDDD">BlankMacro1</definedName>
    <definedName name="ddf">#N/A</definedName>
    <definedName name="DE">#REF!</definedName>
    <definedName name="DEC.GH">#REF!</definedName>
    <definedName name="Del_P">#REF!</definedName>
    <definedName name="DelDC">#REF!</definedName>
    <definedName name="DelDm">#REF!</definedName>
    <definedName name="DELET">#REF!</definedName>
    <definedName name="Delivery">#REF!</definedName>
    <definedName name="DelType">#REF!</definedName>
    <definedName name="DelUnWantedLines">#REF!</definedName>
    <definedName name="deptLookup">#REF!</definedName>
    <definedName name="DESC_BRIDGE">#REF!</definedName>
    <definedName name="DESC_DUCT_SPRT">#REF!</definedName>
    <definedName name="DESC_EQ_SPRT">#REF!</definedName>
    <definedName name="DESC_FAB">#REF!</definedName>
    <definedName name="DESC_PIPERACK">#REF!</definedName>
    <definedName name="DESC_PLT_ACCS">#REF!</definedName>
    <definedName name="DESC_STANCHION">#REF!</definedName>
    <definedName name="DESC_STCK_SPRT">#REF!</definedName>
    <definedName name="DESCRIPTION">#REF!</definedName>
    <definedName name="desu11">#REF!</definedName>
    <definedName name="desu12">#REF!</definedName>
    <definedName name="DETAIL">#N/A</definedName>
    <definedName name="DF">[36]수입!#REF!</definedName>
    <definedName name="DFAF">#REF!</definedName>
    <definedName name="DFASFG">#REF!</definedName>
    <definedName name="dfd6fd6f66">{"Book1","AP-37.xls"}</definedName>
    <definedName name="DG">#REF!</definedName>
    <definedName name="dgagd" hidden="1">{#N/A,#N/A,TRUE,"Basic";#N/A,#N/A,TRUE,"EXT-TABLE";#N/A,#N/A,TRUE,"STEEL";#N/A,#N/A,TRUE,"INT-Table";#N/A,#N/A,TRUE,"STEEL";#N/A,#N/A,TRUE,"Door"}</definedName>
    <definedName name="DGD"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GFDSFG"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grdgb">#REF!</definedName>
    <definedName name="DH">#REF!</definedName>
    <definedName name="DIA">#REF!</definedName>
    <definedName name="Dia.1">#REF!</definedName>
    <definedName name="Dia.2">#REF!</definedName>
    <definedName name="diameter">#REF!</definedName>
    <definedName name="diaphragm">#REF!</definedName>
    <definedName name="DIGN" hidden="1">{#N/A,#N/A,TRUE,"Basic";#N/A,#N/A,TRUE,"EXT-TABLE";#N/A,#N/A,TRUE,"STEEL";#N/A,#N/A,TRUE,"INT-Table";#N/A,#N/A,TRUE,"STEEL";#N/A,#N/A,TRUE,"Door"}</definedName>
    <definedName name="disc">[26]data_dci!$E$8:$E$746</definedName>
    <definedName name="DJ">#REF!</definedName>
    <definedName name="DJDJ">BlankMacro1</definedName>
    <definedName name="DK">#REF!</definedName>
    <definedName name="DKDLFJKDS" hidden="1">{#N/A,#N/A,TRUE,"Basic";#N/A,#N/A,TRUE,"EXT-TABLE";#N/A,#N/A,TRUE,"STEEL";#N/A,#N/A,TRUE,"INT-Table";#N/A,#N/A,TRUE,"STEEL";#N/A,#N/A,TRUE,"Door"}</definedName>
    <definedName name="DL">#REF!</definedName>
    <definedName name="DM">#REF!</definedName>
    <definedName name="DN">#REF!</definedName>
    <definedName name="DNOTE5">[5]본지점중!#REF!</definedName>
    <definedName name="DOC">#REF!</definedName>
    <definedName name="DOCUMENT">{"Book1","my ddc.xls"}</definedName>
    <definedName name="Document_array">{"Book1","DOC&amp;DWG.xls"}</definedName>
    <definedName name="dolar">#REF!</definedName>
    <definedName name="DP">#REF!</definedName>
    <definedName name="DPB">[4]집계표!#REF!</definedName>
    <definedName name="DPBF">[4]집계표!#REF!</definedName>
    <definedName name="DPBK">[4]집계표!#REF!</definedName>
    <definedName name="DPF">[4]집계표!#REF!</definedName>
    <definedName name="DPH">[4]집계표!#REF!</definedName>
    <definedName name="DPM">[4]집계표!#REF!</definedName>
    <definedName name="DPS">[4]집계표!#REF!</definedName>
    <definedName name="DPSA">[4]집계표!#REF!</definedName>
    <definedName name="DQ">#REF!</definedName>
    <definedName name="DR">#REF!</definedName>
    <definedName name="DR1M">#REF!</definedName>
    <definedName name="DR1Y">#REF!</definedName>
    <definedName name="DR3M">#REF!</definedName>
    <definedName name="DR3Y">#REF!</definedName>
    <definedName name="drain_trap">#REF!</definedName>
    <definedName name="drum11">#REF!</definedName>
    <definedName name="drum12">#REF!</definedName>
    <definedName name="drum21">#REF!</definedName>
    <definedName name="drum22">#REF!</definedName>
    <definedName name="dry_weight_001">#REF!</definedName>
    <definedName name="DS">#REF!</definedName>
    <definedName name="dsa" hidden="1">#REF!</definedName>
    <definedName name="DSAFASFASD" hidden="1">{#N/A,#N/A,TRUE,"Basic";#N/A,#N/A,TRUE,"EXT-TABLE";#N/A,#N/A,TRUE,"STEEL";#N/A,#N/A,TRUE,"INT-Table";#N/A,#N/A,TRUE,"STEEL";#N/A,#N/A,TRUE,"Door"}</definedName>
    <definedName name="dual_plate_check">#REF!</definedName>
    <definedName name="DUCT_GONG">#REF!</definedName>
    <definedName name="dumppr">#REF!</definedName>
    <definedName name="duplex_strainer">#REF!</definedName>
    <definedName name="dwg_id_001">#REF!</definedName>
    <definedName name="dwg_name">#REF!</definedName>
    <definedName name="dwg_name_001">#REF!</definedName>
    <definedName name="dwg_schematic_id_001">#REF!</definedName>
    <definedName name="dwv" hidden="1">{#N/A,#N/A,TRUE,"Basic";#N/A,#N/A,TRUE,"EXT-TABLE";#N/A,#N/A,TRUE,"STEEL";#N/A,#N/A,TRUE,"INT-Table";#N/A,#N/A,TRUE,"STEEL";#N/A,#N/A,TRUE,"Door"}</definedName>
    <definedName name="dx_shape">#REF!</definedName>
    <definedName name="E">#REF!</definedName>
    <definedName name="e_margin">#REF!</definedName>
    <definedName name="EC" hidden="1">{#N/A,#N/A,FALSE,"CCTV"}</definedName>
    <definedName name="ECF">#REF!</definedName>
    <definedName name="eCIiIi¨­A_I¨￡">#N/A</definedName>
    <definedName name="eCIiIiÞA_Iª">#N/A</definedName>
    <definedName name="èÇÍïÍïÞÀ_Íª">#N/A</definedName>
    <definedName name="ED" hidden="1">{#N/A,#N/A,FALSE,"CCTV"}</definedName>
    <definedName name="EE">#REF!</definedName>
    <definedName name="eee">'[37]h-013211-2'!$Q$4</definedName>
    <definedName name="Ef">#REF!</definedName>
    <definedName name="EFFECT">#REF!</definedName>
    <definedName name="EH_001_1">#REF!</definedName>
    <definedName name="EH_001_10">#REF!</definedName>
    <definedName name="EH_001_11">#REF!</definedName>
    <definedName name="EH_001_12">#REF!</definedName>
    <definedName name="EH_001_13">#REF!</definedName>
    <definedName name="EH_001_14">#REF!</definedName>
    <definedName name="EH_001_15">#REF!</definedName>
    <definedName name="EH_001_16">#REF!</definedName>
    <definedName name="EH_001_17">#REF!</definedName>
    <definedName name="EH_001_18">#REF!</definedName>
    <definedName name="EH_001_2">#REF!</definedName>
    <definedName name="EH_001_3">#REF!</definedName>
    <definedName name="EH_001_4">#REF!</definedName>
    <definedName name="EH_001_5">#REF!</definedName>
    <definedName name="EH_001_6">#REF!</definedName>
    <definedName name="EH_001_7">#REF!</definedName>
    <definedName name="EH_001_8">#REF!</definedName>
    <definedName name="EH_001_9">#REF!</definedName>
    <definedName name="EH_002_1">#REF!</definedName>
    <definedName name="EH_002_10">#REF!</definedName>
    <definedName name="EH_002_11">#REF!</definedName>
    <definedName name="EH_002_12">#REF!</definedName>
    <definedName name="EH_002_13">#REF!</definedName>
    <definedName name="EH_002_14">#REF!</definedName>
    <definedName name="EH_002_15">#REF!</definedName>
    <definedName name="EH_002_16">#REF!</definedName>
    <definedName name="EH_002_17">#REF!</definedName>
    <definedName name="EH_002_18">#REF!</definedName>
    <definedName name="EH_002_2">#REF!</definedName>
    <definedName name="EH_002_3">#REF!</definedName>
    <definedName name="EH_002_4">#REF!</definedName>
    <definedName name="EH_002_5">#REF!</definedName>
    <definedName name="EH_002_6">#REF!</definedName>
    <definedName name="EH_002_7">#REF!</definedName>
    <definedName name="EH_002_8">#REF!</definedName>
    <definedName name="EH_002_9">#REF!</definedName>
    <definedName name="ELEC">[38]ELEC_DCI!#REF!</definedName>
    <definedName name="ELEC_DO">[38]ELEC_DCI!#REF!</definedName>
    <definedName name="ELEC1">#REF!</definedName>
    <definedName name="ELEC1_MCI">#REF!</definedName>
    <definedName name="ELEC2">#REF!</definedName>
    <definedName name="ELEC2_MCI">#REF!</definedName>
    <definedName name="ELEC3">[38]ELEC_DCI!#REF!</definedName>
    <definedName name="ELEC3_MCI">#REF!</definedName>
    <definedName name="ELEC4">#REF!</definedName>
    <definedName name="ELEC4_MCI">#REF!</definedName>
    <definedName name="ELEC5">#REF!</definedName>
    <definedName name="ELEC5_MCI">#REF!</definedName>
    <definedName name="elec6">#REF!</definedName>
    <definedName name="ELEC6_MCI">#REF!</definedName>
    <definedName name="elec7">#REF!</definedName>
    <definedName name="ELEC7_MCI">#REF!</definedName>
    <definedName name="ELEC8">[31]ELEC_MCI!#REF!</definedName>
    <definedName name="ELEC9">[31]ELEC_MCI!#REF!</definedName>
    <definedName name="ELECT">#N/A</definedName>
    <definedName name="elect_equip_id_001">#REF!</definedName>
    <definedName name="elect_load_equip_id_001">#REF!</definedName>
    <definedName name="ELECTSUM">#REF!</definedName>
    <definedName name="EM_001_1">#REF!</definedName>
    <definedName name="EM_001_10">#REF!</definedName>
    <definedName name="EM_001_11">#REF!</definedName>
    <definedName name="EM_001_12">#REF!</definedName>
    <definedName name="EM_001_13">#REF!</definedName>
    <definedName name="EM_001_14">#REF!</definedName>
    <definedName name="EM_001_15">#REF!</definedName>
    <definedName name="EM_001_16">#REF!</definedName>
    <definedName name="EM_001_17">#REF!</definedName>
    <definedName name="EM_001_18">#REF!</definedName>
    <definedName name="EM_001_2">#REF!</definedName>
    <definedName name="EM_001_3">#REF!</definedName>
    <definedName name="EM_001_4">#REF!</definedName>
    <definedName name="EM_001_5">#REF!</definedName>
    <definedName name="EM_001_6">#REF!</definedName>
    <definedName name="EM_001_7">#REF!</definedName>
    <definedName name="EM_001_8">#REF!</definedName>
    <definedName name="EM_001_9">#REF!</definedName>
    <definedName name="EM_002_1">#REF!</definedName>
    <definedName name="EM_002_10">#REF!</definedName>
    <definedName name="EM_002_11">#REF!</definedName>
    <definedName name="EM_002_12">#REF!</definedName>
    <definedName name="EM_002_13">#REF!</definedName>
    <definedName name="EM_002_14">#REF!</definedName>
    <definedName name="EM_002_15">#REF!</definedName>
    <definedName name="EM_002_16">#REF!</definedName>
    <definedName name="EM_002_17">#REF!</definedName>
    <definedName name="EM_002_18">#REF!</definedName>
    <definedName name="EM_002_2">#REF!</definedName>
    <definedName name="EM_002_3">#REF!</definedName>
    <definedName name="EM_002_4">#REF!</definedName>
    <definedName name="EM_002_5">#REF!</definedName>
    <definedName name="EM_002_6">#REF!</definedName>
    <definedName name="EM_002_7">#REF!</definedName>
    <definedName name="EM_002_8">#REF!</definedName>
    <definedName name="EM_002_9">#REF!</definedName>
    <definedName name="EM_003_1">#REF!</definedName>
    <definedName name="EM_003_10">#REF!</definedName>
    <definedName name="EM_003_11">#REF!</definedName>
    <definedName name="EM_003_12">#REF!</definedName>
    <definedName name="EM_003_13">#REF!</definedName>
    <definedName name="EM_003_14">#REF!</definedName>
    <definedName name="EM_003_15">#REF!</definedName>
    <definedName name="EM_003_16">#REF!</definedName>
    <definedName name="EM_003_17">#REF!</definedName>
    <definedName name="EM_003_18">#REF!</definedName>
    <definedName name="EM_003_2">#REF!</definedName>
    <definedName name="EM_003_3">#REF!</definedName>
    <definedName name="EM_003_4">#REF!</definedName>
    <definedName name="EM_003_5">#REF!</definedName>
    <definedName name="EM_003_6">#REF!</definedName>
    <definedName name="EM_003_7">#REF!</definedName>
    <definedName name="EM_003_8">#REF!</definedName>
    <definedName name="EM_003_9">#REF!</definedName>
    <definedName name="EM_004_1">#REF!</definedName>
    <definedName name="EM_004_10">#REF!</definedName>
    <definedName name="EM_004_11">#REF!</definedName>
    <definedName name="EM_004_12">#REF!</definedName>
    <definedName name="EM_004_13">#REF!</definedName>
    <definedName name="EM_004_14">#REF!</definedName>
    <definedName name="EM_004_15">#REF!</definedName>
    <definedName name="EM_004_16">#REF!</definedName>
    <definedName name="EM_004_17">#REF!</definedName>
    <definedName name="EM_004_18">#REF!</definedName>
    <definedName name="EM_004_2">#REF!</definedName>
    <definedName name="EM_004_3">#REF!</definedName>
    <definedName name="EM_004_4">#REF!</definedName>
    <definedName name="EM_004_5">#REF!</definedName>
    <definedName name="EM_004_6">#REF!</definedName>
    <definedName name="EM_004_7">#REF!</definedName>
    <definedName name="EM_004_8">#REF!</definedName>
    <definedName name="EM_004_9">#REF!</definedName>
    <definedName name="EM_005_1">#REF!</definedName>
    <definedName name="EM_005_10">#REF!</definedName>
    <definedName name="EM_005_11">#REF!</definedName>
    <definedName name="EM_005_12">#REF!</definedName>
    <definedName name="EM_005_13">#REF!</definedName>
    <definedName name="EM_005_14">#REF!</definedName>
    <definedName name="EM_005_15">#REF!</definedName>
    <definedName name="EM_005_16">#REF!</definedName>
    <definedName name="EM_005_17">#REF!</definedName>
    <definedName name="EM_005_18">#REF!</definedName>
    <definedName name="EM_005_2">#REF!</definedName>
    <definedName name="EM_005_3">#REF!</definedName>
    <definedName name="EM_005_4">#REF!</definedName>
    <definedName name="EM_005_5">#REF!</definedName>
    <definedName name="EM_005_6">#REF!</definedName>
    <definedName name="EM_005_7">#REF!</definedName>
    <definedName name="EM_005_8">#REF!</definedName>
    <definedName name="EM_005_9">#REF!</definedName>
    <definedName name="EM_006_1">#REF!</definedName>
    <definedName name="EM_006_10">#REF!</definedName>
    <definedName name="EM_006_11">#REF!</definedName>
    <definedName name="EM_006_12">#REF!</definedName>
    <definedName name="EM_006_13">#REF!</definedName>
    <definedName name="EM_006_14">#REF!</definedName>
    <definedName name="EM_006_15">#REF!</definedName>
    <definedName name="EM_006_16">#REF!</definedName>
    <definedName name="EM_006_17">#REF!</definedName>
    <definedName name="EM_006_18">#REF!</definedName>
    <definedName name="EM_006_2">#REF!</definedName>
    <definedName name="EM_006_3">#REF!</definedName>
    <definedName name="EM_006_4">#REF!</definedName>
    <definedName name="EM_006_5">#REF!</definedName>
    <definedName name="EM_006_6">#REF!</definedName>
    <definedName name="EM_006_7">#REF!</definedName>
    <definedName name="EM_006_8">#REF!</definedName>
    <definedName name="EM_006_9">#REF!</definedName>
    <definedName name="EM_007_1">#REF!</definedName>
    <definedName name="EM_007_10">#REF!</definedName>
    <definedName name="EM_007_11">#REF!</definedName>
    <definedName name="EM_007_12">#REF!</definedName>
    <definedName name="EM_007_13">#REF!</definedName>
    <definedName name="EM_007_14">#REF!</definedName>
    <definedName name="EM_007_15">#REF!</definedName>
    <definedName name="EM_007_16">#REF!</definedName>
    <definedName name="EM_007_17">#REF!</definedName>
    <definedName name="EM_007_18">#REF!</definedName>
    <definedName name="EM_007_2">#REF!</definedName>
    <definedName name="EM_007_3">#REF!</definedName>
    <definedName name="EM_007_4">#REF!</definedName>
    <definedName name="EM_007_5">#REF!</definedName>
    <definedName name="EM_007_6">#REF!</definedName>
    <definedName name="EM_007_7">#REF!</definedName>
    <definedName name="EM_007_8">#REF!</definedName>
    <definedName name="EM_007_9">#REF!</definedName>
    <definedName name="EM_008_1">#REF!</definedName>
    <definedName name="EM_008_10">#REF!</definedName>
    <definedName name="EM_008_11">#REF!</definedName>
    <definedName name="EM_008_12">#REF!</definedName>
    <definedName name="EM_008_13">#REF!</definedName>
    <definedName name="EM_008_14">#REF!</definedName>
    <definedName name="EM_008_15">#REF!</definedName>
    <definedName name="EM_008_16">#REF!</definedName>
    <definedName name="EM_008_17">#REF!</definedName>
    <definedName name="EM_008_18">#REF!</definedName>
    <definedName name="EM_008_2">#REF!</definedName>
    <definedName name="EM_008_3">#REF!</definedName>
    <definedName name="EM_008_4">#REF!</definedName>
    <definedName name="EM_008_5">#REF!</definedName>
    <definedName name="EM_008_6">#REF!</definedName>
    <definedName name="EM_008_7">#REF!</definedName>
    <definedName name="EM_008_8">#REF!</definedName>
    <definedName name="EM_008_9">#REF!</definedName>
    <definedName name="EM_009_1">#REF!</definedName>
    <definedName name="EM_009_10">#REF!</definedName>
    <definedName name="EM_009_11">#REF!</definedName>
    <definedName name="EM_009_12">#REF!</definedName>
    <definedName name="EM_009_13">#REF!</definedName>
    <definedName name="EM_009_14">#REF!</definedName>
    <definedName name="EM_009_15">#REF!</definedName>
    <definedName name="EM_009_16">#REF!</definedName>
    <definedName name="EM_009_17">#REF!</definedName>
    <definedName name="EM_009_18">#REF!</definedName>
    <definedName name="EM_009_2">#REF!</definedName>
    <definedName name="EM_009_3">#REF!</definedName>
    <definedName name="EM_009_4">#REF!</definedName>
    <definedName name="EM_009_5">#REF!</definedName>
    <definedName name="EM_009_6">#REF!</definedName>
    <definedName name="EM_009_7">#REF!</definedName>
    <definedName name="EM_009_8">#REF!</definedName>
    <definedName name="EM_009_9">#REF!</definedName>
    <definedName name="EM_010_1">#REF!</definedName>
    <definedName name="EM_010_10">#REF!</definedName>
    <definedName name="EM_010_11">#REF!</definedName>
    <definedName name="EM_010_12">#REF!</definedName>
    <definedName name="EM_010_13">#REF!</definedName>
    <definedName name="EM_010_14">#REF!</definedName>
    <definedName name="EM_010_15">#REF!</definedName>
    <definedName name="EM_010_16">#REF!</definedName>
    <definedName name="EM_010_17">#REF!</definedName>
    <definedName name="EM_010_18">#REF!</definedName>
    <definedName name="EM_010_2">#REF!</definedName>
    <definedName name="EM_010_3">#REF!</definedName>
    <definedName name="EM_010_4">#REF!</definedName>
    <definedName name="EM_010_5">#REF!</definedName>
    <definedName name="EM_010_6">#REF!</definedName>
    <definedName name="EM_010_7">#REF!</definedName>
    <definedName name="EM_010_8">#REF!</definedName>
    <definedName name="EM_010_9">#REF!</definedName>
    <definedName name="EM_011_1">#REF!</definedName>
    <definedName name="EM_011_10">#REF!</definedName>
    <definedName name="EM_011_11">#REF!</definedName>
    <definedName name="EM_011_12">#REF!</definedName>
    <definedName name="EM_011_13">#REF!</definedName>
    <definedName name="EM_011_14">#REF!</definedName>
    <definedName name="EM_011_15">#REF!</definedName>
    <definedName name="EM_011_16">#REF!</definedName>
    <definedName name="EM_011_17">#REF!</definedName>
    <definedName name="EM_011_18">#REF!</definedName>
    <definedName name="EM_011_2">#REF!</definedName>
    <definedName name="EM_011_3">#REF!</definedName>
    <definedName name="EM_011_4">#REF!</definedName>
    <definedName name="EM_011_5">#REF!</definedName>
    <definedName name="EM_011_6">#REF!</definedName>
    <definedName name="EM_011_7">#REF!</definedName>
    <definedName name="EM_011_8">#REF!</definedName>
    <definedName name="EM_011_9">#REF!</definedName>
    <definedName name="EM_012_1">#REF!</definedName>
    <definedName name="EM_012_10">#REF!</definedName>
    <definedName name="EM_012_11">#REF!</definedName>
    <definedName name="EM_012_12">#REF!</definedName>
    <definedName name="EM_012_13">#REF!</definedName>
    <definedName name="EM_012_14">#REF!</definedName>
    <definedName name="EM_012_15">#REF!</definedName>
    <definedName name="EM_012_16">#REF!</definedName>
    <definedName name="EM_012_17">#REF!</definedName>
    <definedName name="EM_012_18">#REF!</definedName>
    <definedName name="EM_012_2">#REF!</definedName>
    <definedName name="EM_012_3">#REF!</definedName>
    <definedName name="EM_012_4">#REF!</definedName>
    <definedName name="EM_012_5">#REF!</definedName>
    <definedName name="EM_012_6">#REF!</definedName>
    <definedName name="EM_012_7">#REF!</definedName>
    <definedName name="EM_012_8">#REF!</definedName>
    <definedName name="EM_012_9">#REF!</definedName>
    <definedName name="EM_013_1">#REF!</definedName>
    <definedName name="EM_013_10">#REF!</definedName>
    <definedName name="EM_013_11">#REF!</definedName>
    <definedName name="EM_013_12">#REF!</definedName>
    <definedName name="EM_013_13">#REF!</definedName>
    <definedName name="EM_013_14">#REF!</definedName>
    <definedName name="EM_013_15">#REF!</definedName>
    <definedName name="EM_013_16">#REF!</definedName>
    <definedName name="EM_013_17">#REF!</definedName>
    <definedName name="EM_013_18">#REF!</definedName>
    <definedName name="EM_013_2">#REF!</definedName>
    <definedName name="EM_013_3">#REF!</definedName>
    <definedName name="EM_013_4">#REF!</definedName>
    <definedName name="EM_013_5">#REF!</definedName>
    <definedName name="EM_013_6">#REF!</definedName>
    <definedName name="EM_013_7">#REF!</definedName>
    <definedName name="EM_013_8">#REF!</definedName>
    <definedName name="EM_013_9">#REF!</definedName>
    <definedName name="EM_014_1">#REF!</definedName>
    <definedName name="EM_014_10">#REF!</definedName>
    <definedName name="EM_014_11">#REF!</definedName>
    <definedName name="EM_014_12">#REF!</definedName>
    <definedName name="EM_014_13">#REF!</definedName>
    <definedName name="EM_014_14">#REF!</definedName>
    <definedName name="EM_014_15">#REF!</definedName>
    <definedName name="EM_014_16">#REF!</definedName>
    <definedName name="EM_014_17">#REF!</definedName>
    <definedName name="EM_014_18">#REF!</definedName>
    <definedName name="EM_014_2">#REF!</definedName>
    <definedName name="EM_014_3">#REF!</definedName>
    <definedName name="EM_014_4">#REF!</definedName>
    <definedName name="EM_014_5">#REF!</definedName>
    <definedName name="EM_014_6">#REF!</definedName>
    <definedName name="EM_014_7">#REF!</definedName>
    <definedName name="EM_014_8">#REF!</definedName>
    <definedName name="EM_014_9">#REF!</definedName>
    <definedName name="EM_015_1">#REF!</definedName>
    <definedName name="EM_015_10">#REF!</definedName>
    <definedName name="EM_015_11">#REF!</definedName>
    <definedName name="EM_015_12">#REF!</definedName>
    <definedName name="EM_015_13">#REF!</definedName>
    <definedName name="EM_015_14">#REF!</definedName>
    <definedName name="EM_015_15">#REF!</definedName>
    <definedName name="EM_015_16">#REF!</definedName>
    <definedName name="EM_015_17">#REF!</definedName>
    <definedName name="EM_015_18">#REF!</definedName>
    <definedName name="EM_015_2">#REF!</definedName>
    <definedName name="EM_015_3">#REF!</definedName>
    <definedName name="EM_015_4">#REF!</definedName>
    <definedName name="EM_015_5">#REF!</definedName>
    <definedName name="EM_015_6">#REF!</definedName>
    <definedName name="EM_015_7">#REF!</definedName>
    <definedName name="EM_015_8">#REF!</definedName>
    <definedName name="EM_015_9">#REF!</definedName>
    <definedName name="EM_016_1">#REF!</definedName>
    <definedName name="EM_016_10">#REF!</definedName>
    <definedName name="EM_016_11">#REF!</definedName>
    <definedName name="EM_016_12">#REF!</definedName>
    <definedName name="EM_016_13">#REF!</definedName>
    <definedName name="EM_016_14">#REF!</definedName>
    <definedName name="EM_016_15">#REF!</definedName>
    <definedName name="EM_016_16">#REF!</definedName>
    <definedName name="EM_016_17">#REF!</definedName>
    <definedName name="EM_016_18">#REF!</definedName>
    <definedName name="EM_016_2">#REF!</definedName>
    <definedName name="EM_016_3">#REF!</definedName>
    <definedName name="EM_016_4">#REF!</definedName>
    <definedName name="EM_016_5">#REF!</definedName>
    <definedName name="EM_016_6">#REF!</definedName>
    <definedName name="EM_016_7">#REF!</definedName>
    <definedName name="EM_016_8">#REF!</definedName>
    <definedName name="EM_016_9">#REF!</definedName>
    <definedName name="EM_017_1">#REF!</definedName>
    <definedName name="EM_017_10">#REF!</definedName>
    <definedName name="EM_017_11">#REF!</definedName>
    <definedName name="EM_017_12">#REF!</definedName>
    <definedName name="EM_017_13">#REF!</definedName>
    <definedName name="EM_017_14">#REF!</definedName>
    <definedName name="EM_017_15">#REF!</definedName>
    <definedName name="EM_017_16">#REF!</definedName>
    <definedName name="EM_017_17">#REF!</definedName>
    <definedName name="EM_017_18">#REF!</definedName>
    <definedName name="EM_017_2">#REF!</definedName>
    <definedName name="EM_017_3">#REF!</definedName>
    <definedName name="EM_017_4">#REF!</definedName>
    <definedName name="EM_017_5">#REF!</definedName>
    <definedName name="EM_017_6">#REF!</definedName>
    <definedName name="EM_017_7">#REF!</definedName>
    <definedName name="EM_017_8">#REF!</definedName>
    <definedName name="EM_017_9">#REF!</definedName>
    <definedName name="EM_018_1">#REF!</definedName>
    <definedName name="EM_018_10">#REF!</definedName>
    <definedName name="EM_018_11">#REF!</definedName>
    <definedName name="EM_018_12">#REF!</definedName>
    <definedName name="EM_018_13">#REF!</definedName>
    <definedName name="EM_018_14">#REF!</definedName>
    <definedName name="EM_018_15">#REF!</definedName>
    <definedName name="EM_018_16">#REF!</definedName>
    <definedName name="EM_018_17">#REF!</definedName>
    <definedName name="EM_018_18">#REF!</definedName>
    <definedName name="EM_018_2">#REF!</definedName>
    <definedName name="EM_018_3">#REF!</definedName>
    <definedName name="EM_018_4">#REF!</definedName>
    <definedName name="EM_018_5">#REF!</definedName>
    <definedName name="EM_018_6">#REF!</definedName>
    <definedName name="EM_018_7">#REF!</definedName>
    <definedName name="EM_018_8">#REF!</definedName>
    <definedName name="EM_018_9">#REF!</definedName>
    <definedName name="EM_019_1">#REF!</definedName>
    <definedName name="EM_019_10">#REF!</definedName>
    <definedName name="EM_019_11">#REF!</definedName>
    <definedName name="EM_019_12">#REF!</definedName>
    <definedName name="EM_019_13">#REF!</definedName>
    <definedName name="EM_019_14">#REF!</definedName>
    <definedName name="EM_019_15">#REF!</definedName>
    <definedName name="EM_019_16">#REF!</definedName>
    <definedName name="EM_019_17">#REF!</definedName>
    <definedName name="EM_019_18">#REF!</definedName>
    <definedName name="EM_019_2">#REF!</definedName>
    <definedName name="EM_019_3">#REF!</definedName>
    <definedName name="EM_019_4">#REF!</definedName>
    <definedName name="EM_019_5">#REF!</definedName>
    <definedName name="EM_019_6">#REF!</definedName>
    <definedName name="EM_019_7">#REF!</definedName>
    <definedName name="EM_019_8">#REF!</definedName>
    <definedName name="EM_019_9">#REF!</definedName>
    <definedName name="EM_020_1">#REF!</definedName>
    <definedName name="EM_020_10">#REF!</definedName>
    <definedName name="EM_020_11">#REF!</definedName>
    <definedName name="EM_020_12">#REF!</definedName>
    <definedName name="EM_020_13">#REF!</definedName>
    <definedName name="EM_020_14">#REF!</definedName>
    <definedName name="EM_020_15">#REF!</definedName>
    <definedName name="EM_020_16">#REF!</definedName>
    <definedName name="EM_020_17">#REF!</definedName>
    <definedName name="EM_020_18">#REF!</definedName>
    <definedName name="EM_020_2">#REF!</definedName>
    <definedName name="EM_020_3">#REF!</definedName>
    <definedName name="EM_020_4">#REF!</definedName>
    <definedName name="EM_020_5">#REF!</definedName>
    <definedName name="EM_020_6">#REF!</definedName>
    <definedName name="EM_020_7">#REF!</definedName>
    <definedName name="EM_020_8">#REF!</definedName>
    <definedName name="EM_020_9">#REF!</definedName>
    <definedName name="EM_021_1">#REF!</definedName>
    <definedName name="EM_021_10">#REF!</definedName>
    <definedName name="EM_021_11">#REF!</definedName>
    <definedName name="EM_021_12">#REF!</definedName>
    <definedName name="EM_021_13">#REF!</definedName>
    <definedName name="EM_021_14">#REF!</definedName>
    <definedName name="EM_021_15">#REF!</definedName>
    <definedName name="EM_021_16">#REF!</definedName>
    <definedName name="EM_021_17">#REF!</definedName>
    <definedName name="EM_021_18">#REF!</definedName>
    <definedName name="EM_021_2">#REF!</definedName>
    <definedName name="EM_021_3">#REF!</definedName>
    <definedName name="EM_021_4">#REF!</definedName>
    <definedName name="EM_021_5">#REF!</definedName>
    <definedName name="EM_021_6">#REF!</definedName>
    <definedName name="EM_021_7">#REF!</definedName>
    <definedName name="EM_021_8">#REF!</definedName>
    <definedName name="EM_021_9">#REF!</definedName>
    <definedName name="EM_022_1">#REF!</definedName>
    <definedName name="EM_022_10">#REF!</definedName>
    <definedName name="EM_022_11">#REF!</definedName>
    <definedName name="EM_022_12">#REF!</definedName>
    <definedName name="EM_022_13">#REF!</definedName>
    <definedName name="EM_022_14">#REF!</definedName>
    <definedName name="EM_022_15">#REF!</definedName>
    <definedName name="EM_022_16">#REF!</definedName>
    <definedName name="EM_022_17">#REF!</definedName>
    <definedName name="EM_022_18">#REF!</definedName>
    <definedName name="EM_022_2">#REF!</definedName>
    <definedName name="EM_022_3">#REF!</definedName>
    <definedName name="EM_022_4">#REF!</definedName>
    <definedName name="EM_022_5">#REF!</definedName>
    <definedName name="EM_022_6">#REF!</definedName>
    <definedName name="EM_022_7">#REF!</definedName>
    <definedName name="EM_022_8">#REF!</definedName>
    <definedName name="EM_022_9">#REF!</definedName>
    <definedName name="EM_023_1">#REF!</definedName>
    <definedName name="EM_023_10">#REF!</definedName>
    <definedName name="EM_023_11">#REF!</definedName>
    <definedName name="EM_023_12">#REF!</definedName>
    <definedName name="EM_023_13">#REF!</definedName>
    <definedName name="EM_023_14">#REF!</definedName>
    <definedName name="EM_023_15">#REF!</definedName>
    <definedName name="EM_023_16">#REF!</definedName>
    <definedName name="EM_023_17">#REF!</definedName>
    <definedName name="EM_023_18">#REF!</definedName>
    <definedName name="EM_023_2">#REF!</definedName>
    <definedName name="EM_023_3">#REF!</definedName>
    <definedName name="EM_023_4">#REF!</definedName>
    <definedName name="EM_023_5">#REF!</definedName>
    <definedName name="EM_023_6">#REF!</definedName>
    <definedName name="EM_023_7">#REF!</definedName>
    <definedName name="EM_023_8">#REF!</definedName>
    <definedName name="EM_023_9">#REF!</definedName>
    <definedName name="EM_024_1">#REF!</definedName>
    <definedName name="EM_024_10">#REF!</definedName>
    <definedName name="EM_024_11">#REF!</definedName>
    <definedName name="EM_024_12">#REF!</definedName>
    <definedName name="EM_024_13">#REF!</definedName>
    <definedName name="EM_024_14">#REF!</definedName>
    <definedName name="EM_024_15">#REF!</definedName>
    <definedName name="EM_024_16">#REF!</definedName>
    <definedName name="EM_024_17">#REF!</definedName>
    <definedName name="EM_024_18">#REF!</definedName>
    <definedName name="EM_024_2">#REF!</definedName>
    <definedName name="EM_024_3">#REF!</definedName>
    <definedName name="EM_024_4">#REF!</definedName>
    <definedName name="EM_024_5">#REF!</definedName>
    <definedName name="EM_024_6">#REF!</definedName>
    <definedName name="EM_024_7">#REF!</definedName>
    <definedName name="EM_024_8">#REF!</definedName>
    <definedName name="EM_024_9">#REF!</definedName>
    <definedName name="EM_025_1">#REF!</definedName>
    <definedName name="EM_025_10">#REF!</definedName>
    <definedName name="EM_025_11">#REF!</definedName>
    <definedName name="EM_025_12">#REF!</definedName>
    <definedName name="EM_025_13">#REF!</definedName>
    <definedName name="EM_025_14">#REF!</definedName>
    <definedName name="EM_025_15">#REF!</definedName>
    <definedName name="EM_025_16">#REF!</definedName>
    <definedName name="EM_025_17">#REF!</definedName>
    <definedName name="EM_025_18">#REF!</definedName>
    <definedName name="EM_025_2">#REF!</definedName>
    <definedName name="EM_025_3">#REF!</definedName>
    <definedName name="EM_025_4">#REF!</definedName>
    <definedName name="EM_025_5">#REF!</definedName>
    <definedName name="EM_025_6">#REF!</definedName>
    <definedName name="EM_025_7">#REF!</definedName>
    <definedName name="EM_025_8">#REF!</definedName>
    <definedName name="EM_025_9">#REF!</definedName>
    <definedName name="EM_026_1">#REF!</definedName>
    <definedName name="EM_026_10">#REF!</definedName>
    <definedName name="EM_026_11">#REF!</definedName>
    <definedName name="EM_026_12">#REF!</definedName>
    <definedName name="EM_026_13">#REF!</definedName>
    <definedName name="EM_026_14">#REF!</definedName>
    <definedName name="EM_026_15">#REF!</definedName>
    <definedName name="EM_026_16">#REF!</definedName>
    <definedName name="EM_026_17">#REF!</definedName>
    <definedName name="EM_026_18">#REF!</definedName>
    <definedName name="EM_026_2">#REF!</definedName>
    <definedName name="EM_026_3">#REF!</definedName>
    <definedName name="EM_026_4">#REF!</definedName>
    <definedName name="EM_026_5">#REF!</definedName>
    <definedName name="EM_026_6">#REF!</definedName>
    <definedName name="EM_026_7">#REF!</definedName>
    <definedName name="EM_026_8">#REF!</definedName>
    <definedName name="EM_026_9">#REF!</definedName>
    <definedName name="EM_027_1">#REF!</definedName>
    <definedName name="EM_027_10">#REF!</definedName>
    <definedName name="EM_027_11">#REF!</definedName>
    <definedName name="EM_027_12">#REF!</definedName>
    <definedName name="EM_027_13">#REF!</definedName>
    <definedName name="EM_027_14">#REF!</definedName>
    <definedName name="EM_027_15">#REF!</definedName>
    <definedName name="EM_027_16">#REF!</definedName>
    <definedName name="EM_027_17">#REF!</definedName>
    <definedName name="EM_027_18">#REF!</definedName>
    <definedName name="EM_027_2">#REF!</definedName>
    <definedName name="EM_027_3">#REF!</definedName>
    <definedName name="EM_027_4">#REF!</definedName>
    <definedName name="EM_027_5">#REF!</definedName>
    <definedName name="EM_027_6">#REF!</definedName>
    <definedName name="EM_027_7">#REF!</definedName>
    <definedName name="EM_027_8">#REF!</definedName>
    <definedName name="EM_027_9">#REF!</definedName>
    <definedName name="EM_028_1">#REF!</definedName>
    <definedName name="EM_028_10">#REF!</definedName>
    <definedName name="EM_028_11">#REF!</definedName>
    <definedName name="EM_028_12">#REF!</definedName>
    <definedName name="EM_028_13">#REF!</definedName>
    <definedName name="EM_028_14">#REF!</definedName>
    <definedName name="EM_028_15">#REF!</definedName>
    <definedName name="EM_028_16">#REF!</definedName>
    <definedName name="EM_028_17">#REF!</definedName>
    <definedName name="EM_028_18">#REF!</definedName>
    <definedName name="EM_028_2">#REF!</definedName>
    <definedName name="EM_028_3">#REF!</definedName>
    <definedName name="EM_028_4">#REF!</definedName>
    <definedName name="EM_028_5">#REF!</definedName>
    <definedName name="EM_028_6">#REF!</definedName>
    <definedName name="EM_028_7">#REF!</definedName>
    <definedName name="EM_028_8">#REF!</definedName>
    <definedName name="EM_028_9">#REF!</definedName>
    <definedName name="EM_029_1">#REF!</definedName>
    <definedName name="EM_029_10">#REF!</definedName>
    <definedName name="EM_029_11">#REF!</definedName>
    <definedName name="EM_029_12">#REF!</definedName>
    <definedName name="EM_029_13">#REF!</definedName>
    <definedName name="EM_029_14">#REF!</definedName>
    <definedName name="EM_029_15">#REF!</definedName>
    <definedName name="EM_029_16">#REF!</definedName>
    <definedName name="EM_029_17">#REF!</definedName>
    <definedName name="EM_029_18">#REF!</definedName>
    <definedName name="EM_029_2">#REF!</definedName>
    <definedName name="EM_029_3">#REF!</definedName>
    <definedName name="EM_029_4">#REF!</definedName>
    <definedName name="EM_029_5">#REF!</definedName>
    <definedName name="EM_029_6">#REF!</definedName>
    <definedName name="EM_029_7">#REF!</definedName>
    <definedName name="EM_029_8">#REF!</definedName>
    <definedName name="EM_029_9">#REF!</definedName>
    <definedName name="EM_030_1">#REF!</definedName>
    <definedName name="EM_030_10">#REF!</definedName>
    <definedName name="EM_030_11">#REF!</definedName>
    <definedName name="EM_030_12">#REF!</definedName>
    <definedName name="EM_030_13">#REF!</definedName>
    <definedName name="EM_030_14">#REF!</definedName>
    <definedName name="EM_030_15">#REF!</definedName>
    <definedName name="EM_030_16">#REF!</definedName>
    <definedName name="EM_030_17">#REF!</definedName>
    <definedName name="EM_030_18">#REF!</definedName>
    <definedName name="EM_030_2">#REF!</definedName>
    <definedName name="EM_030_3">#REF!</definedName>
    <definedName name="EM_030_4">#REF!</definedName>
    <definedName name="EM_030_5">#REF!</definedName>
    <definedName name="EM_030_6">#REF!</definedName>
    <definedName name="EM_030_7">#REF!</definedName>
    <definedName name="EM_030_8">#REF!</definedName>
    <definedName name="EM_030_9">#REF!</definedName>
    <definedName name="EM_031_1">#REF!</definedName>
    <definedName name="EM_031_10">#REF!</definedName>
    <definedName name="EM_031_11">#REF!</definedName>
    <definedName name="EM_031_12">#REF!</definedName>
    <definedName name="EM_031_13">#REF!</definedName>
    <definedName name="EM_031_14">#REF!</definedName>
    <definedName name="EM_031_15">#REF!</definedName>
    <definedName name="EM_031_16">#REF!</definedName>
    <definedName name="EM_031_17">#REF!</definedName>
    <definedName name="EM_031_18">#REF!</definedName>
    <definedName name="EM_031_2">#REF!</definedName>
    <definedName name="EM_031_3">#REF!</definedName>
    <definedName name="EM_031_4">#REF!</definedName>
    <definedName name="EM_031_5">#REF!</definedName>
    <definedName name="EM_031_6">#REF!</definedName>
    <definedName name="EM_031_7">#REF!</definedName>
    <definedName name="EM_031_8">#REF!</definedName>
    <definedName name="EM_031_9">#REF!</definedName>
    <definedName name="EM_032_1">#REF!</definedName>
    <definedName name="EM_032_10">#REF!</definedName>
    <definedName name="EM_032_11">#REF!</definedName>
    <definedName name="EM_032_12">#REF!</definedName>
    <definedName name="EM_032_13">#REF!</definedName>
    <definedName name="EM_032_14">#REF!</definedName>
    <definedName name="EM_032_15">#REF!</definedName>
    <definedName name="EM_032_16">#REF!</definedName>
    <definedName name="EM_032_17">#REF!</definedName>
    <definedName name="EM_032_18">#REF!</definedName>
    <definedName name="EM_032_2">#REF!</definedName>
    <definedName name="EM_032_3">#REF!</definedName>
    <definedName name="EM_032_4">#REF!</definedName>
    <definedName name="EM_032_5">#REF!</definedName>
    <definedName name="EM_032_6">#REF!</definedName>
    <definedName name="EM_032_7">#REF!</definedName>
    <definedName name="EM_032_8">#REF!</definedName>
    <definedName name="EM_032_9">#REF!</definedName>
    <definedName name="EM_033_1">#REF!</definedName>
    <definedName name="EM_033_10">#REF!</definedName>
    <definedName name="EM_033_11">#REF!</definedName>
    <definedName name="EM_033_12">#REF!</definedName>
    <definedName name="EM_033_13">#REF!</definedName>
    <definedName name="EM_033_14">#REF!</definedName>
    <definedName name="EM_033_15">#REF!</definedName>
    <definedName name="EM_033_16">#REF!</definedName>
    <definedName name="EM_033_17">#REF!</definedName>
    <definedName name="EM_033_18">#REF!</definedName>
    <definedName name="EM_033_2">#REF!</definedName>
    <definedName name="EM_033_3">#REF!</definedName>
    <definedName name="EM_033_4">#REF!</definedName>
    <definedName name="EM_033_5">#REF!</definedName>
    <definedName name="EM_033_6">#REF!</definedName>
    <definedName name="EM_033_7">#REF!</definedName>
    <definedName name="EM_033_8">#REF!</definedName>
    <definedName name="EM_033_9">#REF!</definedName>
    <definedName name="EM_034_1">#REF!</definedName>
    <definedName name="EM_034_10">#REF!</definedName>
    <definedName name="EM_034_11">#REF!</definedName>
    <definedName name="EM_034_12">#REF!</definedName>
    <definedName name="EM_034_13">#REF!</definedName>
    <definedName name="EM_034_14">#REF!</definedName>
    <definedName name="EM_034_15">#REF!</definedName>
    <definedName name="EM_034_16">#REF!</definedName>
    <definedName name="EM_034_17">#REF!</definedName>
    <definedName name="EM_034_18">#REF!</definedName>
    <definedName name="EM_034_2">#REF!</definedName>
    <definedName name="EM_034_3">#REF!</definedName>
    <definedName name="EM_034_4">#REF!</definedName>
    <definedName name="EM_034_5">#REF!</definedName>
    <definedName name="EM_034_6">#REF!</definedName>
    <definedName name="EM_034_7">#REF!</definedName>
    <definedName name="EM_034_8">#REF!</definedName>
    <definedName name="EM_034_9">#REF!</definedName>
    <definedName name="EM_035_1">#REF!</definedName>
    <definedName name="EM_035_10">#REF!</definedName>
    <definedName name="EM_035_11">#REF!</definedName>
    <definedName name="EM_035_12">#REF!</definedName>
    <definedName name="EM_035_13">#REF!</definedName>
    <definedName name="EM_035_14">#REF!</definedName>
    <definedName name="EM_035_15">#REF!</definedName>
    <definedName name="EM_035_16">#REF!</definedName>
    <definedName name="EM_035_17">#REF!</definedName>
    <definedName name="EM_035_18">#REF!</definedName>
    <definedName name="EM_035_2">#REF!</definedName>
    <definedName name="EM_035_3">#REF!</definedName>
    <definedName name="EM_035_4">#REF!</definedName>
    <definedName name="EM_035_5">#REF!</definedName>
    <definedName name="EM_035_6">#REF!</definedName>
    <definedName name="EM_035_7">#REF!</definedName>
    <definedName name="EM_035_8">#REF!</definedName>
    <definedName name="EM_035_9">#REF!</definedName>
    <definedName name="EM_036_1">#REF!</definedName>
    <definedName name="EM_036_10">#REF!</definedName>
    <definedName name="EM_036_11">#REF!</definedName>
    <definedName name="EM_036_12">#REF!</definedName>
    <definedName name="EM_036_13">#REF!</definedName>
    <definedName name="EM_036_14">#REF!</definedName>
    <definedName name="EM_036_15">#REF!</definedName>
    <definedName name="EM_036_16">#REF!</definedName>
    <definedName name="EM_036_17">#REF!</definedName>
    <definedName name="EM_036_18">#REF!</definedName>
    <definedName name="EM_036_2">#REF!</definedName>
    <definedName name="EM_036_3">#REF!</definedName>
    <definedName name="EM_036_4">#REF!</definedName>
    <definedName name="EM_036_5">#REF!</definedName>
    <definedName name="EM_036_6">#REF!</definedName>
    <definedName name="EM_036_7">#REF!</definedName>
    <definedName name="EM_036_8">#REF!</definedName>
    <definedName name="EM_036_9">#REF!</definedName>
    <definedName name="EM_037_1">#REF!</definedName>
    <definedName name="EM_037_10">#REF!</definedName>
    <definedName name="EM_037_11">#REF!</definedName>
    <definedName name="EM_037_12">#REF!</definedName>
    <definedName name="EM_037_13">#REF!</definedName>
    <definedName name="EM_037_14">#REF!</definedName>
    <definedName name="EM_037_15">#REF!</definedName>
    <definedName name="EM_037_16">#REF!</definedName>
    <definedName name="EM_037_17">#REF!</definedName>
    <definedName name="EM_037_18">#REF!</definedName>
    <definedName name="EM_037_2">#REF!</definedName>
    <definedName name="EM_037_3">#REF!</definedName>
    <definedName name="EM_037_4">#REF!</definedName>
    <definedName name="EM_037_5">#REF!</definedName>
    <definedName name="EM_037_6">#REF!</definedName>
    <definedName name="EM_037_7">#REF!</definedName>
    <definedName name="EM_037_8">#REF!</definedName>
    <definedName name="EM_037_9">#REF!</definedName>
    <definedName name="EM_038_1">#REF!</definedName>
    <definedName name="EM_038_10">#REF!</definedName>
    <definedName name="EM_038_11">#REF!</definedName>
    <definedName name="EM_038_12">#REF!</definedName>
    <definedName name="EM_038_13">#REF!</definedName>
    <definedName name="EM_038_14">#REF!</definedName>
    <definedName name="EM_038_15">#REF!</definedName>
    <definedName name="EM_038_16">#REF!</definedName>
    <definedName name="EM_038_17">#REF!</definedName>
    <definedName name="EM_038_18">#REF!</definedName>
    <definedName name="EM_038_2">#REF!</definedName>
    <definedName name="EM_038_3">#REF!</definedName>
    <definedName name="EM_038_4">#REF!</definedName>
    <definedName name="EM_038_5">#REF!</definedName>
    <definedName name="EM_038_6">#REF!</definedName>
    <definedName name="EM_038_7">#REF!</definedName>
    <definedName name="EM_038_8">#REF!</definedName>
    <definedName name="EM_038_9">#REF!</definedName>
    <definedName name="EM_039_1">#REF!</definedName>
    <definedName name="EM_039_10">#REF!</definedName>
    <definedName name="EM_039_11">#REF!</definedName>
    <definedName name="EM_039_12">#REF!</definedName>
    <definedName name="EM_039_13">#REF!</definedName>
    <definedName name="EM_039_14">#REF!</definedName>
    <definedName name="EM_039_15">#REF!</definedName>
    <definedName name="EM_039_16">#REF!</definedName>
    <definedName name="EM_039_17">#REF!</definedName>
    <definedName name="EM_039_18">#REF!</definedName>
    <definedName name="EM_039_2">#REF!</definedName>
    <definedName name="EM_039_3">#REF!</definedName>
    <definedName name="EM_039_4">#REF!</definedName>
    <definedName name="EM_039_5">#REF!</definedName>
    <definedName name="EM_039_6">#REF!</definedName>
    <definedName name="EM_039_7">#REF!</definedName>
    <definedName name="EM_039_8">#REF!</definedName>
    <definedName name="EM_039_9">#REF!</definedName>
    <definedName name="EM_051_14">#REF!</definedName>
    <definedName name="EM_051_15">#REF!</definedName>
    <definedName name="EM_051_16">#REF!</definedName>
    <definedName name="EM_051_17">#REF!</definedName>
    <definedName name="EM_051_18">#REF!</definedName>
    <definedName name="EM_052_14">#REF!</definedName>
    <definedName name="EM_052_15">#REF!</definedName>
    <definedName name="EM_052_16">#REF!</definedName>
    <definedName name="EM_052_17">#REF!</definedName>
    <definedName name="EM_052_18">#REF!</definedName>
    <definedName name="EM_053_14">#REF!</definedName>
    <definedName name="EM_053_15">#REF!</definedName>
    <definedName name="EM_053_16">#REF!</definedName>
    <definedName name="EM_053_17">#REF!</definedName>
    <definedName name="EM_053_18">#REF!</definedName>
    <definedName name="EM_054_14">#REF!</definedName>
    <definedName name="EM_054_15">#REF!</definedName>
    <definedName name="EM_054_16">#REF!</definedName>
    <definedName name="EM_054_17">#REF!</definedName>
    <definedName name="EM_054_18">#REF!</definedName>
    <definedName name="EM_055_14">#REF!</definedName>
    <definedName name="EM_055_15">#REF!</definedName>
    <definedName name="EM_055_16">#REF!</definedName>
    <definedName name="EM_055_17">#REF!</definedName>
    <definedName name="EM_055_18">#REF!</definedName>
    <definedName name="EM_056_14">#REF!</definedName>
    <definedName name="EM_056_15">#REF!</definedName>
    <definedName name="EM_056_16">#REF!</definedName>
    <definedName name="EM_056_17">#REF!</definedName>
    <definedName name="EM_056_18">#REF!</definedName>
    <definedName name="EM_057_14">#REF!</definedName>
    <definedName name="EM_057_15">#REF!</definedName>
    <definedName name="EM_057_16">#REF!</definedName>
    <definedName name="EM_057_17">#REF!</definedName>
    <definedName name="EM_057_18">#REF!</definedName>
    <definedName name="EM_058_14">#REF!</definedName>
    <definedName name="EM_058_15">#REF!</definedName>
    <definedName name="EM_058_16">#REF!</definedName>
    <definedName name="EM_058_17">#REF!</definedName>
    <definedName name="EM_058_18">#REF!</definedName>
    <definedName name="EM_059_14">#REF!</definedName>
    <definedName name="EM_059_15">#REF!</definedName>
    <definedName name="EM_059_16">#REF!</definedName>
    <definedName name="EM_059_17">#REF!</definedName>
    <definedName name="EM_059_18">#REF!</definedName>
    <definedName name="EM_060_14">#REF!</definedName>
    <definedName name="EM_060_15">#REF!</definedName>
    <definedName name="EM_060_16">#REF!</definedName>
    <definedName name="EM_060_17">#REF!</definedName>
    <definedName name="EM_060_18">#REF!</definedName>
    <definedName name="EM_061_14">#REF!</definedName>
    <definedName name="EM_061_15">#REF!</definedName>
    <definedName name="EM_061_16">#REF!</definedName>
    <definedName name="EM_061_17">#REF!</definedName>
    <definedName name="EM_061_18">#REF!</definedName>
    <definedName name="EM_062_14">#REF!</definedName>
    <definedName name="EM_062_15">#REF!</definedName>
    <definedName name="EM_062_16">#REF!</definedName>
    <definedName name="EM_062_17">#REF!</definedName>
    <definedName name="EM_062_18">#REF!</definedName>
    <definedName name="EM_063_14">#REF!</definedName>
    <definedName name="EM_063_15">#REF!</definedName>
    <definedName name="EM_063_16">#REF!</definedName>
    <definedName name="EM_063_17">#REF!</definedName>
    <definedName name="EM_063_18">#REF!</definedName>
    <definedName name="EM_064_14">#REF!</definedName>
    <definedName name="EM_064_15">#REF!</definedName>
    <definedName name="EM_064_16">#REF!</definedName>
    <definedName name="EM_064_17">#REF!</definedName>
    <definedName name="EM_064_18">#REF!</definedName>
    <definedName name="EM_065_14">#REF!</definedName>
    <definedName name="EM_065_15">#REF!</definedName>
    <definedName name="EM_065_16">#REF!</definedName>
    <definedName name="EM_065_17">#REF!</definedName>
    <definedName name="EM_065_18">#REF!</definedName>
    <definedName name="EM_066_14">#REF!</definedName>
    <definedName name="EM_066_15">#REF!</definedName>
    <definedName name="EM_066_16">#REF!</definedName>
    <definedName name="EM_066_17">#REF!</definedName>
    <definedName name="EM_066_18">#REF!</definedName>
    <definedName name="EM_067_14">#REF!</definedName>
    <definedName name="EM_067_15">#REF!</definedName>
    <definedName name="EM_067_16">#REF!</definedName>
    <definedName name="EM_067_17">#REF!</definedName>
    <definedName name="EM_067_18">#REF!</definedName>
    <definedName name="EM_068_14">#REF!</definedName>
    <definedName name="EM_068_15">#REF!</definedName>
    <definedName name="EM_068_16">#REF!</definedName>
    <definedName name="EM_068_17">#REF!</definedName>
    <definedName name="EM_068_18">#REF!</definedName>
    <definedName name="EM_069_14">#REF!</definedName>
    <definedName name="EM_069_15">#REF!</definedName>
    <definedName name="EM_069_16">#REF!</definedName>
    <definedName name="EM_069_17">#REF!</definedName>
    <definedName name="EM_069_18">#REF!</definedName>
    <definedName name="EM_070_14">#REF!</definedName>
    <definedName name="EM_070_15">#REF!</definedName>
    <definedName name="EM_070_16">#REF!</definedName>
    <definedName name="EM_070_17">#REF!</definedName>
    <definedName name="EM_070_18">#REF!</definedName>
    <definedName name="EM_071_14">#REF!</definedName>
    <definedName name="EM_071_15">#REF!</definedName>
    <definedName name="EM_071_16">#REF!</definedName>
    <definedName name="EM_071_17">#REF!</definedName>
    <definedName name="EM_071_18">#REF!</definedName>
    <definedName name="EM_072_14">#REF!</definedName>
    <definedName name="EM_072_15">#REF!</definedName>
    <definedName name="EM_072_16">#REF!</definedName>
    <definedName name="EM_072_17">#REF!</definedName>
    <definedName name="EM_072_18">#REF!</definedName>
    <definedName name="EM_073_14">#REF!</definedName>
    <definedName name="EM_073_15">#REF!</definedName>
    <definedName name="EM_073_16">#REF!</definedName>
    <definedName name="EM_073_17">#REF!</definedName>
    <definedName name="EM_073_18">#REF!</definedName>
    <definedName name="EM_074_14">#REF!</definedName>
    <definedName name="EM_074_15">#REF!</definedName>
    <definedName name="EM_074_16">#REF!</definedName>
    <definedName name="EM_074_17">#REF!</definedName>
    <definedName name="EM_074_18">#REF!</definedName>
    <definedName name="EMF">#REF!</definedName>
    <definedName name="EMFR">#REF!</definedName>
    <definedName name="EMFS">#REF!</definedName>
    <definedName name="END">#REF!</definedName>
    <definedName name="EndCell">#REF!</definedName>
    <definedName name="eng_proj_id_001">#REF!</definedName>
    <definedName name="eng_ref_id_001">#REF!</definedName>
    <definedName name="EOL">#REF!</definedName>
    <definedName name="EQ">[39]eq_data!$C$5:$C$54</definedName>
    <definedName name="eq_index">#REF!</definedName>
    <definedName name="eq_name">[39]eq_data!$C$5:$C$54</definedName>
    <definedName name="eqname">[40]eq_data!$C$5:$C$54</definedName>
    <definedName name="EQPT_Rate">#REF!</definedName>
    <definedName name="equip_id_001">#REF!</definedName>
    <definedName name="EQUIPMENT_____LIST">#REF!</definedName>
    <definedName name="ER">#REF!</definedName>
    <definedName name="ErrName301948010">{0,0,0,0;0,0,0,0;0,0,0,0;0,0,0,0;0,0,0,0;0,0,0,0}</definedName>
    <definedName name="Escalation">#REF!</definedName>
    <definedName name="ET" hidden="1">{#N/A,#N/A,FALSE,"CCTV"}</definedName>
    <definedName name="EU">#REF!</definedName>
    <definedName name="EUR">#REF!</definedName>
    <definedName name="EW">#REF!</definedName>
    <definedName name="EWQEQ"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EX" hidden="1">{#N/A,#N/A,FALSE,"CCTV"}</definedName>
    <definedName name="ex_joint">#REF!</definedName>
    <definedName name="Exca_D">[41]Basic!$B$46</definedName>
    <definedName name="Excav">#REF!</definedName>
    <definedName name="Exchangerate">#REF!</definedName>
    <definedName name="ExpRate">#REF!</definedName>
    <definedName name="Ext_Paint_Final">#REF!</definedName>
    <definedName name="Ext_Paint_Intermediate">#REF!</definedName>
    <definedName name="Ext_Paint_Primer">#REF!</definedName>
    <definedName name="F">[42]영업소실적!#REF!</definedName>
    <definedName name="f_shape">#REF!</definedName>
    <definedName name="FA">#REF!</definedName>
    <definedName name="FACL">#REF!</definedName>
    <definedName name="FACL2">#REF!</definedName>
    <definedName name="FACL3">#REF!</definedName>
    <definedName name="FACP2">#REF!</definedName>
    <definedName name="FACP3">#REF!</definedName>
    <definedName name="FACS">#REF!</definedName>
    <definedName name="fact">#REF!</definedName>
    <definedName name="Factor">[43]PumpSpec!$U$2:$V$5</definedName>
    <definedName name="factor_wt">#REF!</definedName>
    <definedName name="factor_wt1">#REF!</definedName>
    <definedName name="factor1">#REF!</definedName>
    <definedName name="FAEL2">#REF!</definedName>
    <definedName name="FAEL3">#REF!</definedName>
    <definedName name="FAEP2">#REF!</definedName>
    <definedName name="FAEP3">#REF!</definedName>
    <definedName name="FAIL2">#REF!</definedName>
    <definedName name="FAIL3">#REF!</definedName>
    <definedName name="FAIP2">#REF!</definedName>
    <definedName name="FAIP3">#REF!</definedName>
    <definedName name="FAMC3">#REF!</definedName>
    <definedName name="FAME3">#REF!</definedName>
    <definedName name="FAMG3">#REF!</definedName>
    <definedName name="FAMP3">#REF!</definedName>
    <definedName name="FAMT3">#REF!</definedName>
    <definedName name="FAPL2">#REF!</definedName>
    <definedName name="FAPL3">#REF!</definedName>
    <definedName name="FAPP2">#REF!</definedName>
    <definedName name="FAPP3">#REF!</definedName>
    <definedName name="FARL2">#REF!</definedName>
    <definedName name="FARL3">#REF!</definedName>
    <definedName name="FARP2">#REF!</definedName>
    <definedName name="FARP3">#REF!</definedName>
    <definedName name="fasfsdfsdfasdfsdfsd" hidden="1">{#N/A,#N/A,TRUE,"Basic";#N/A,#N/A,TRUE,"EXT-TABLE";#N/A,#N/A,TRUE,"STEEL";#N/A,#N/A,TRUE,"INT-Table";#N/A,#N/A,TRUE,"STEEL";#N/A,#N/A,TRUE,"Door"}</definedName>
    <definedName name="FASL2">#REF!</definedName>
    <definedName name="FASL3">#REF!</definedName>
    <definedName name="FASP2">#REF!</definedName>
    <definedName name="FASP3">#REF!</definedName>
    <definedName name="FB">[4]집계표!#REF!</definedName>
    <definedName name="fb_dc_cur_001">#REF!</definedName>
    <definedName name="fb_dev_address_001">#REF!</definedName>
    <definedName name="fb_dev_id_001">#REF!</definedName>
    <definedName name="fb_max_volt_001">#REF!</definedName>
    <definedName name="fb_min_transmit_level_001">#REF!</definedName>
    <definedName name="fb_min_volt_001">#REF!</definedName>
    <definedName name="fb_standard_001">#REF!</definedName>
    <definedName name="fb_tag_no_001">#REF!</definedName>
    <definedName name="FBF">[4]집계표!#REF!</definedName>
    <definedName name="FBK">[4]집계표!#REF!</definedName>
    <definedName name="FC">#REF!</definedName>
    <definedName name="FD">#REF!</definedName>
    <definedName name="FDDS"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fdn_no">#REF!</definedName>
    <definedName name="FDSA" hidden="1">{#N/A,#N/A,FALSE,"CCTV"}</definedName>
    <definedName name="FE">#REF!</definedName>
    <definedName name="fe_isize_decplaces_001">#REF!</definedName>
    <definedName name="FEEF">#REF!</definedName>
    <definedName name="FF">#REF!</definedName>
    <definedName name="ffefsdfsdfsdf" hidden="1">{#N/A,#N/A,TRUE,"Basic";#N/A,#N/A,TRUE,"EXT-TABLE";#N/A,#N/A,TRUE,"STEEL";#N/A,#N/A,TRUE,"INT-Table";#N/A,#N/A,TRUE,"STEEL";#N/A,#N/A,TRUE,"Door"}</definedName>
    <definedName name="fff" hidden="1">#REF!</definedName>
    <definedName name="fffff" hidden="1">{#N/A,#N/A,TRUE,"Basic";#N/A,#N/A,TRUE,"EXT-TABLE";#N/A,#N/A,TRUE,"STEEL";#N/A,#N/A,TRUE,"INT-Table";#N/A,#N/A,TRUE,"STEEL";#N/A,#N/A,TRUE,"Door"}</definedName>
    <definedName name="ffg">BlankMacro1</definedName>
    <definedName name="FG">#REF!</definedName>
    <definedName name="fg1314TBTB4RTDKDKDKRT">#REF!</definedName>
    <definedName name="FG20TBTB2RT">#REF!</definedName>
    <definedName name="fg28TBTB2RTDKDK">#REF!</definedName>
    <definedName name="FG28TBTB2RTDKDKRT">#REF!</definedName>
    <definedName name="FG28TBTB4RTDK">#REF!</definedName>
    <definedName name="FG44TBTB4RTDKDK">#REF!</definedName>
    <definedName name="FG46TBTB4RTDKDK">#REF!</definedName>
    <definedName name="FGPRPRRKRKRKTBTB2RTDKDK">#REF!</definedName>
    <definedName name="FGPRTBTB1RTDKDK">#REF!</definedName>
    <definedName name="FGRKRKRKRKRKRKRKRKRKRKRKRKRKRKT">#REF!</definedName>
    <definedName name="FGRKRKRKRKRKRKRKRKRKRKRKRKTBTB3">#REF!</definedName>
    <definedName name="FH">[4]집계표!#REF!</definedName>
    <definedName name="FI">#REF!</definedName>
    <definedName name="Field_Erection">#REF!</definedName>
    <definedName name="Field_Internals">#REF!</definedName>
    <definedName name="Field_Platform">#REF!</definedName>
    <definedName name="fieldbus_device_rev_001">#REF!</definedName>
    <definedName name="FieldFab">#REF!</definedName>
    <definedName name="Fill" hidden="1">#REF!</definedName>
    <definedName name="FIRE_AREA">#REF!</definedName>
    <definedName name="Fire_Proofing">#REF!</definedName>
    <definedName name="FITTING" hidden="1">{#N/A,#N/A,FALSE,"CCTV"}</definedName>
    <definedName name="FITTYPE">#REF!</definedName>
    <definedName name="FJ">#REF!</definedName>
    <definedName name="FK">#REF!</definedName>
    <definedName name="FL">#REF!</definedName>
    <definedName name="FLANGE_AREA">#REF!</definedName>
    <definedName name="FLG">#REF!</definedName>
    <definedName name="FLG_Orifice">#REF!</definedName>
    <definedName name="flow_flag_001">#REF!</definedName>
    <definedName name="fluid_id_001">#REF!</definedName>
    <definedName name="FM">[4]집계표!#REF!</definedName>
    <definedName name="FN">#REF!</definedName>
    <definedName name="FO">#REF!</definedName>
    <definedName name="FOB">#REF!</definedName>
    <definedName name="Form">#REF!</definedName>
    <definedName name="FP">#REF!</definedName>
    <definedName name="FQ">#REF!</definedName>
    <definedName name="FR">#REF!</definedName>
    <definedName name="frequency_id_001">#REF!</definedName>
    <definedName name="from">[26]Main!$C$8</definedName>
    <definedName name="FROM_C">[31]MAIN!$E$7</definedName>
    <definedName name="FS">[4]집계표!#REF!</definedName>
    <definedName name="FS_2">[0]!ClearSheet</definedName>
    <definedName name="FS_3">[0]!ClearSheet</definedName>
    <definedName name="FSA">[4]집계표!#REF!</definedName>
    <definedName name="fsda" hidden="1">{#N/A,#N/A,TRUE,"Basic";#N/A,#N/A,TRUE,"EXT-TABLE";#N/A,#N/A,TRUE,"STEEL";#N/A,#N/A,TRUE,"INT-Table";#N/A,#N/A,TRUE,"STEEL";#N/A,#N/A,TRUE,"Door"}</definedName>
    <definedName name="fsdaa" hidden="1">{#N/A,#N/A,TRUE,"Basic";#N/A,#N/A,TRUE,"EXT-TABLE";#N/A,#N/A,TRUE,"STEEL";#N/A,#N/A,TRUE,"INT-Table";#N/A,#N/A,TRUE,"STEEL";#N/A,#N/A,TRUE,"Door"}</definedName>
    <definedName name="FSD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FSDFF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FSG">#REF!</definedName>
    <definedName name="FT">#REF!</definedName>
    <definedName name="Ft_Matl">[44]Proposal!#REF!</definedName>
    <definedName name="Ft_Zone_A">[44]Proposal!#REF!</definedName>
    <definedName name="Ft_Zone_B">[44]Proposal!#REF!</definedName>
    <definedName name="Ft_Zone_C">[44]Proposal!#REF!</definedName>
    <definedName name="Ft_Zone_D">[44]Proposal!#REF!</definedName>
    <definedName name="Ft_Zone_E">[44]Proposal!#REF!</definedName>
    <definedName name="full_load_current_001">#REF!</definedName>
    <definedName name="full_weight_001">#REF!</definedName>
    <definedName name="Furniture" hidden="1">{#N/A,#N/A,TRUE,"Basic";#N/A,#N/A,TRUE,"EXT-TABLE";#N/A,#N/A,TRUE,"STEEL";#N/A,#N/A,TRUE,"INT-Table";#N/A,#N/A,TRUE,"STEEL";#N/A,#N/A,TRUE,"Door"}</definedName>
    <definedName name="FV">#REF!</definedName>
    <definedName name="fwbs_name">#REF!</definedName>
    <definedName name="G">#REF!</definedName>
    <definedName name="G_P_P">#N/A</definedName>
    <definedName name="GA">#REF!</definedName>
    <definedName name="galvanised_all_in_rates">#REF!</definedName>
    <definedName name="GASUL">#REF!</definedName>
    <definedName name="gate">#REF!</definedName>
    <definedName name="GB">#REF!</definedName>
    <definedName name="GC">#REF!</definedName>
    <definedName name="GD">#REF!</definedName>
    <definedName name="GDFG"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GDG"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GFDGD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GFDS" hidden="1">{#N/A,#N/A,FALSE,"CCTV"}</definedName>
    <definedName name="GFG"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gg">'[14]h-013211-2'!$Q$3</definedName>
    <definedName name="ggg">[0]!ClearSheet</definedName>
    <definedName name="GGGGG">BlankMacro1</definedName>
    <definedName name="gh">#REF!</definedName>
    <definedName name="GJ1M">#REF!</definedName>
    <definedName name="GJ1Y">#REF!</definedName>
    <definedName name="GJ3M">#REF!</definedName>
    <definedName name="GJ3Y">#REF!</definedName>
    <definedName name="GJ5P">'[8]95삼성급(본사)'!#REF!</definedName>
    <definedName name="GJ5Y">'[8]95삼성급(본사)'!#REF!</definedName>
    <definedName name="GJG">BlankMacro1</definedName>
    <definedName name="GK">#REF!</definedName>
    <definedName name="GLAND">{0,0,0,0;0,0,0,0;0,0,0,0;0,0,0,0;0,0,0,0;0,0,0,0}</definedName>
    <definedName name="GLAND600V">#REF!</definedName>
    <definedName name="GLAND6KV">#REF!</definedName>
    <definedName name="gland적용">BlankMacro1</definedName>
    <definedName name="globe">#REF!</definedName>
    <definedName name="GO">#REF!</definedName>
    <definedName name="GoForm">[45]!GoForm</definedName>
    <definedName name="GoList">[2]!GoList</definedName>
    <definedName name="GoSpec">[45]!GoSpec</definedName>
    <definedName name="GoTop">[45]!GoTop</definedName>
    <definedName name="governing_case_001">#REF!</definedName>
    <definedName name="GROUP">[20]회사99!#REF!</definedName>
    <definedName name="grout_type">#REF!</definedName>
    <definedName name="Grouting">#REF!</definedName>
    <definedName name="GrphActSales">#REF!</definedName>
    <definedName name="GrphActStk">#REF!</definedName>
    <definedName name="GrphPlanSales">#REF!</definedName>
    <definedName name="GrphTgtStk">#REF!</definedName>
    <definedName name="GW">#REF!</definedName>
    <definedName name="H">#REF!</definedName>
    <definedName name="h_af">#REF!</definedName>
    <definedName name="h_bf">#REF!</definedName>
    <definedName name="HapCKVA">#REF!</definedName>
    <definedName name="HapCKvar">#REF!</definedName>
    <definedName name="HapCKW">#REF!</definedName>
    <definedName name="HapIKVA">#REF!</definedName>
    <definedName name="HapIKvar">#REF!</definedName>
    <definedName name="HapIKW">#REF!</definedName>
    <definedName name="HapKVA">#REF!</definedName>
    <definedName name="HapSKVA">#REF!</definedName>
    <definedName name="HapSKW">#REF!</definedName>
    <definedName name="HAUS">[20]회사99!#REF!</definedName>
    <definedName name="HB">[4]집계표!#REF!</definedName>
    <definedName name="HBF">[4]집계표!#REF!</definedName>
    <definedName name="HBK">[4]집계표!#REF!</definedName>
    <definedName name="Hboard">#REF!</definedName>
    <definedName name="HEI">#REF!</definedName>
    <definedName name="hf">#REF!</definedName>
    <definedName name="HG">#REF!</definedName>
    <definedName name="HGFDDD">#REF!</definedName>
    <definedName name="HH">#REF!</definedName>
    <definedName name="HHH" hidden="1">{#N/A,#N/A,TRUE,"Basic";#N/A,#N/A,TRUE,"EXT-TABLE";#N/A,#N/A,TRUE,"STEEL";#N/A,#N/A,TRUE,"INT-Table";#N/A,#N/A,TRUE,"STEEL";#N/A,#N/A,TRUE,"Door"}</definedName>
    <definedName name="HI">#REF!</definedName>
    <definedName name="HM">[4]집계표!#REF!</definedName>
    <definedName name="HOME">#REF!</definedName>
    <definedName name="HOME1">'[4]개시대사 (2)'!$A$1</definedName>
    <definedName name="HOME2">'[4]개시대사 (2)'!$H$1</definedName>
    <definedName name="Hot_Insulation">#REF!</definedName>
    <definedName name="HS">[4]집계표!#REF!</definedName>
    <definedName name="HS20LOAD">#REF!</definedName>
    <definedName name="HSA">[4]집계표!#REF!</definedName>
    <definedName name="HTML_CodePage" hidden="1">949</definedName>
    <definedName name="HTML_Control" hidden="1">{"'디자인'!$A$2:$K$20"}</definedName>
    <definedName name="HTML_Description" hidden="1">""</definedName>
    <definedName name="HTML_Email" hidden="1">""</definedName>
    <definedName name="HTML_Header" hidden="1">"디자인"</definedName>
    <definedName name="HTML_LastUpdate" hidden="1">"99-04-07"</definedName>
    <definedName name="HTML_LineAfter" hidden="1">FALSE</definedName>
    <definedName name="HTML_LineBefore" hidden="1">FALSE</definedName>
    <definedName name="HTML_Name" hidden="1">".."</definedName>
    <definedName name="HTML_OBDlg2" hidden="1">TRUE</definedName>
    <definedName name="HTML_OBDlg4" hidden="1">TRUE</definedName>
    <definedName name="HTML_OS" hidden="1">0</definedName>
    <definedName name="HTML_PathFile" hidden="1">"D:\문서\전자통합\MyHTML.htm"</definedName>
    <definedName name="HTML_Title" hidden="1">"전자통합"</definedName>
    <definedName name="HTS">#REF!</definedName>
    <definedName name="hybrid_max_001">#REF!</definedName>
    <definedName name="hybrid_min_001">#REF!</definedName>
    <definedName name="hybrid_norm_001">#REF!</definedName>
    <definedName name="Hyd_P">#REF!</definedName>
    <definedName name="HYOUSHI">#REF!</definedName>
    <definedName name="I">#REF!</definedName>
    <definedName name="IB">[4]집계표!#REF!</definedName>
    <definedName name="IBF">[4]집계표!#REF!</definedName>
    <definedName name="IBK">[4]집계표!#REF!</definedName>
    <definedName name="ICF">#REF!</definedName>
    <definedName name="ID600V">#REF!</definedName>
    <definedName name="ID6KV">#REF!</definedName>
    <definedName name="idrx">#REF!</definedName>
    <definedName name="IELWSALES">#REF!</definedName>
    <definedName name="IELYSALES">#REF!</definedName>
    <definedName name="IEPLANSALES">#REF!</definedName>
    <definedName name="IESP">#REF!</definedName>
    <definedName name="IF">[4]집계표!#REF!</definedName>
    <definedName name="ifa">[26]data_dci!$I$8:$I$746</definedName>
    <definedName name="IFC">[26]data_dci!$J$8:$J$746</definedName>
    <definedName name="IH">[4]집계표!#REF!</definedName>
    <definedName name="II">#REF!</definedName>
    <definedName name="iii">#REF!</definedName>
    <definedName name="IM">[4]집계표!#REF!</definedName>
    <definedName name="IMF">#REF!</definedName>
    <definedName name="IMSI">#REF!</definedName>
    <definedName name="imsi2">#REF!</definedName>
    <definedName name="imsi3">#REF!</definedName>
    <definedName name="IMSI4">#REF!</definedName>
    <definedName name="IN">[4]집계표!#REF!</definedName>
    <definedName name="IN_EL_CPC">#REF!</definedName>
    <definedName name="IN_EL_CPC1">#REF!</definedName>
    <definedName name="Inc_Sup_Matl">[46]BQ!#REF!</definedName>
    <definedName name="Inc_Sup_MD">[46]BQ!#REF!</definedName>
    <definedName name="Inc_Sup_Total_Matl">[46]BQ!#REF!</definedName>
    <definedName name="Inc_Sup_Total_MD">[46]BQ!#REF!</definedName>
    <definedName name="INCH_MM">#REF!</definedName>
    <definedName name="inci11">#REF!</definedName>
    <definedName name="inci12">#REF!</definedName>
    <definedName name="ind">#REF!</definedName>
    <definedName name="INDEX_QRY">#REF!</definedName>
    <definedName name="INDEX22222" hidden="1">#REF!</definedName>
    <definedName name="indirect">#REF!</definedName>
    <definedName name="Inq_List">#REF!</definedName>
    <definedName name="Inq_No">#REF!</definedName>
    <definedName name="Inq_No.">#REF!</definedName>
    <definedName name="INQ3100BQ">#REF!</definedName>
    <definedName name="INQ3200BQ">#REF!</definedName>
    <definedName name="INQ3300BQ">#REF!</definedName>
    <definedName name="INQ3400BQ">#REF!</definedName>
    <definedName name="INQ3500BQ">#REF!</definedName>
    <definedName name="INQ3600BQ">#REF!</definedName>
    <definedName name="INQ3700BQ">#REF!</definedName>
    <definedName name="INQ3800BQ">#REF!</definedName>
    <definedName name="Ins_Exp_Index">#REF!</definedName>
    <definedName name="Ins_Lab_Index">#REF!</definedName>
    <definedName name="Ins_Mat_Index">#REF!</definedName>
    <definedName name="INST">#REF!</definedName>
    <definedName name="INST_1">#REF!</definedName>
    <definedName name="INST_DCI_심의">#REF!</definedName>
    <definedName name="INST_LIST">#REF!</definedName>
    <definedName name="inst_range_max">#REF!</definedName>
    <definedName name="inst_range_max_001">#REF!</definedName>
    <definedName name="inst_range_min">#REF!</definedName>
    <definedName name="inst_range_min_001">#REF!</definedName>
    <definedName name="inst_range_uflg_max_001">#REF!</definedName>
    <definedName name="inst_range_uflg_min_001">#REF!</definedName>
    <definedName name="inst_range_uom_max_001">#REF!</definedName>
    <definedName name="inst_range_uom_min_001">#REF!</definedName>
    <definedName name="inst1">#REF!</definedName>
    <definedName name="INST1_MCI">#REF!</definedName>
    <definedName name="INST2">#REF!</definedName>
    <definedName name="INST2_MCI">#REF!</definedName>
    <definedName name="inst3">[13]INST_DCI!#REF!</definedName>
    <definedName name="INST3_MCI">#REF!</definedName>
    <definedName name="inst4">#REF!</definedName>
    <definedName name="INST4_MCI">#REF!</definedName>
    <definedName name="inst5">#REF!</definedName>
    <definedName name="INST5_MCI">#REF!</definedName>
    <definedName name="inst6">#REF!</definedName>
    <definedName name="INST6_MCI">#REF!</definedName>
    <definedName name="inst7">#REF!</definedName>
    <definedName name="INST7_MCI">#REF!</definedName>
    <definedName name="INST8">[31]INST_MCI!#REF!</definedName>
    <definedName name="INST9">[31]INST_MCI!#REF!</definedName>
    <definedName name="INSTDKADU">#REF!</definedName>
    <definedName name="INSTNFGP">#REF!</definedName>
    <definedName name="INSTNGL4">#REF!</definedName>
    <definedName name="INSTPGM">#REF!</definedName>
    <definedName name="INSTPIPELINE">#REF!</definedName>
    <definedName name="instr_pd_flg_001">#REF!</definedName>
    <definedName name="Instrument_Database1">#REF!</definedName>
    <definedName name="Instrument_Database2">#REF!</definedName>
    <definedName name="Instrument_Index">#REF!</definedName>
    <definedName name="INSTTANK">#REF!</definedName>
    <definedName name="INSTYPE">#REF!</definedName>
    <definedName name="INSUL">#REF!</definedName>
    <definedName name="insulation">#REF!</definedName>
    <definedName name="Insulation_bm">#REF!</definedName>
    <definedName name="Int_Paint_Final">#REF!</definedName>
    <definedName name="Int_Paint_Intermediate">#REF!</definedName>
    <definedName name="Int_Paint_Primer">#REF!</definedName>
    <definedName name="Intercon" hidden="1">{#N/A,#N/A,FALSE,"CCTV"}</definedName>
    <definedName name="IntFreeCred">#REF!</definedName>
    <definedName name="IO">{"Book1","AP-37.xls"}</definedName>
    <definedName name="IO_SIGNALS">#REF!</definedName>
    <definedName name="IS">[4]집계표!#REF!</definedName>
    <definedName name="IS_DCI">[38]INST_DCI!#REF!</definedName>
    <definedName name="ISA">[4]집계표!#REF!</definedName>
    <definedName name="ISSUE">[26]data_dci!$L$8:$L$746</definedName>
    <definedName name="Item_name">#REF!</definedName>
    <definedName name="Item_No">#REF!</definedName>
    <definedName name="ITEMDESC">[32]Sheet5!#REF!</definedName>
    <definedName name="J"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j_filler">#REF!</definedName>
    <definedName name="JB">{0,0,0,0;0,0,0,0;0,0,0,0;0,0,0,0;0,0,0,0;0,0,0,0}</definedName>
    <definedName name="JH">[47]정부노임단가!$A$5:$F$215</definedName>
    <definedName name="JJ">#REF!</definedName>
    <definedName name="JPY">#REF!</definedName>
    <definedName name="jwd">#REF!</definedName>
    <definedName name="K">#REF!</definedName>
    <definedName name="K_TBM2">#REF!</definedName>
    <definedName name="KA">#REF!</definedName>
    <definedName name="KB">#REF!</definedName>
    <definedName name="KC">#REF!</definedName>
    <definedName name="KD">#REF!</definedName>
    <definedName name="kj" hidden="1">#REF!</definedName>
    <definedName name="kjl">#REF!</definedName>
    <definedName name="KK">#N/A</definedName>
    <definedName name="KKK" hidden="1">{#N/A,#N/A,FALSE,"CCTV"}</definedName>
    <definedName name="kkkk" hidden="1">{#N/A,#N/A,TRUE,"Basic";#N/A,#N/A,TRUE,"EXT-TABLE";#N/A,#N/A,TRUE,"STEEL";#N/A,#N/A,TRUE,"INT-Table";#N/A,#N/A,TRUE,"STEEL";#N/A,#N/A,TRUE,"Door"}</definedName>
    <definedName name="knh">#REF!</definedName>
    <definedName name="KR">#REF!</definedName>
    <definedName name="KT">[0]!_KT66</definedName>
    <definedName name="KTA">#REF!</definedName>
    <definedName name="KTB">#REF!</definedName>
    <definedName name="KTLEE">[0]!_KT66</definedName>
    <definedName name="KTX">#REF!</definedName>
    <definedName name="L">#REF!</definedName>
    <definedName name="LA">#REF!</definedName>
    <definedName name="LABA1">#REF!</definedName>
    <definedName name="Labor_Rate">#REF!</definedName>
    <definedName name="Labor_Unit_Rate">#REF!</definedName>
    <definedName name="LABOUR_RATE">#REF!</definedName>
    <definedName name="LABOUR_UPLIFT_BEND_C17">#REF!</definedName>
    <definedName name="LABOUR_UPLIFT_BEND_C17A">#REF!</definedName>
    <definedName name="LABOUR_UPLIFT_BEND_C4">#REF!</definedName>
    <definedName name="LABOUR_UPLIFT_FLANGE_C17">#REF!</definedName>
    <definedName name="LABOUR_UPLIFT_FLANGE_C17A">#REF!</definedName>
    <definedName name="LABOUR_UPLIFT_FLANGE_C4">#REF!</definedName>
    <definedName name="LABOUR_UPLIFT_PIPE_C17">#REF!</definedName>
    <definedName name="LABOUR_UPLIFT_PIPE_C17A">#REF!</definedName>
    <definedName name="LABOUR_UPLIFT_PIPE_C4">#REF!</definedName>
    <definedName name="LABOUR_UPLIFT_VALVE_C17">#REF!</definedName>
    <definedName name="LABOUR_UPLIFT_VALVE_C17A">#REF!</definedName>
    <definedName name="LABOUR_UPLIFT_VALVE_C4">#REF!</definedName>
    <definedName name="LabRate">#REF!</definedName>
    <definedName name="LAST">#REF!</definedName>
    <definedName name="LB">[4]집계표!#REF!</definedName>
    <definedName name="LBF">[4]집계표!#REF!</definedName>
    <definedName name="LBK">[4]집계표!#REF!</definedName>
    <definedName name="Ld">#REF!</definedName>
    <definedName name="le">#REF!</definedName>
    <definedName name="lean">#REF!</definedName>
    <definedName name="LEE" hidden="1">{#N/A,#N/A,TRUE,"Basic";#N/A,#N/A,TRUE,"EXT-TABLE";#N/A,#N/A,TRUE,"STEEL";#N/A,#N/A,TRUE,"INT-Table";#N/A,#N/A,TRUE,"STEEL";#N/A,#N/A,TRUE,"Door"}</definedName>
    <definedName name="LEGEND">#REF!</definedName>
    <definedName name="LES">#REF!</definedName>
    <definedName name="LF">[4]집계표!#REF!</definedName>
    <definedName name="Lg">#REF!</definedName>
    <definedName name="LH">[4]집계표!#REF!</definedName>
    <definedName name="line">#REF!</definedName>
    <definedName name="line_cmpnt_id_001">#REF!</definedName>
    <definedName name="line_i_d_001">#REF!</definedName>
    <definedName name="line_id_001">#REF!</definedName>
    <definedName name="LINE_NO">#REF!</definedName>
    <definedName name="line_num_001">#REF!</definedName>
    <definedName name="line_sched_001">#REF!</definedName>
    <definedName name="line_size_001">#REF!</definedName>
    <definedName name="line_uom_001">#REF!</definedName>
    <definedName name="LINE1">#REF!</definedName>
    <definedName name="liquid_compres_calc_flg_001">#REF!</definedName>
    <definedName name="list" hidden="1">{#N/A,#N/A,TRUE,"Basic";#N/A,#N/A,TRUE,"EXT-TABLE";#N/A,#N/A,TRUE,"STEEL";#N/A,#N/A,TRUE,"INT-Table";#N/A,#N/A,TRUE,"STEEL";#N/A,#N/A,TRUE,"Door"}</definedName>
    <definedName name="list_1" hidden="1">{#N/A,#N/A,TRUE,"Basic";#N/A,#N/A,TRUE,"EXT-TABLE";#N/A,#N/A,TRUE,"STEEL";#N/A,#N/A,TRUE,"INT-Table";#N/A,#N/A,TRUE,"STEEL";#N/A,#N/A,TRUE,"Door"}</definedName>
    <definedName name="list01" hidden="1">{#N/A,#N/A,TRUE,"Basic";#N/A,#N/A,TRUE,"EXT-TABLE";#N/A,#N/A,TRUE,"STEEL";#N/A,#N/A,TRUE,"INT-Table";#N/A,#N/A,TRUE,"STEEL";#N/A,#N/A,TRUE,"Door"}</definedName>
    <definedName name="list01_1" hidden="1">{#N/A,#N/A,TRUE,"Basic";#N/A,#N/A,TRUE,"EXT-TABLE";#N/A,#N/A,TRUE,"STEEL";#N/A,#N/A,TRUE,"INT-Table";#N/A,#N/A,TRUE,"STEEL";#N/A,#N/A,TRUE,"Door"}</definedName>
    <definedName name="list02" hidden="1">{#N/A,#N/A,TRUE,"Basic";#N/A,#N/A,TRUE,"EXT-TABLE";#N/A,#N/A,TRUE,"STEEL";#N/A,#N/A,TRUE,"INT-Table";#N/A,#N/A,TRUE,"STEEL";#N/A,#N/A,TRUE,"Door"}</definedName>
    <definedName name="LK" hidden="1">{#N/A,#N/A,FALSE,"CCTV"}</definedName>
    <definedName name="LL">#REF!</definedName>
    <definedName name="lll" hidden="1">#REF!</definedName>
    <definedName name="LLLL" hidden="1">{#N/A,#N/A,FALSE,"CCTV"}</definedName>
    <definedName name="LM">[4]집계표!#REF!</definedName>
    <definedName name="LOAD">#REF!</definedName>
    <definedName name="load_watt_001">#REF!</definedName>
    <definedName name="LOAD1">#REF!</definedName>
    <definedName name="LOB_90_BEND">#REF!</definedName>
    <definedName name="LOC_90_BEND">#REF!</definedName>
    <definedName name="logo_001">#REF!</definedName>
    <definedName name="LookUp_Range">[48]Units!$B$3:$DA$8</definedName>
    <definedName name="lop">#REF!</definedName>
    <definedName name="lpo">#REF!</definedName>
    <definedName name="LS">[4]집계표!#REF!</definedName>
    <definedName name="LSA">[4]집계표!#REF!</definedName>
    <definedName name="LT">#REF!</definedName>
    <definedName name="LTR_현바제_93113_93.10.07">#REF!</definedName>
    <definedName name="LWSALES">#REF!</definedName>
    <definedName name="lx">#REF!</definedName>
    <definedName name="ly">#REF!</definedName>
    <definedName name="LYBin">#REF!</definedName>
    <definedName name="LYHolds">#REF!</definedName>
    <definedName name="LYNet">#REF!</definedName>
    <definedName name="LYoos">#REF!</definedName>
    <definedName name="LYReselects">#REF!</definedName>
    <definedName name="LYReturns">#REF!</definedName>
    <definedName name="LYSales">#REF!</definedName>
    <definedName name="LYTotal">#REF!</definedName>
    <definedName name="M">#REF!</definedName>
    <definedName name="M_A_L_G_A">#N/A</definedName>
    <definedName name="m_disc">[26]data_mci!$E$8:$E$126</definedName>
    <definedName name="M_L_N_G">#N/A</definedName>
    <definedName name="M_P_D_P">#N/A</definedName>
    <definedName name="m_start">[26]data_mci!$G$8:$G$126</definedName>
    <definedName name="main">[49]!main</definedName>
    <definedName name="MAINT1">[4]집계표!#REF!</definedName>
    <definedName name="MAINT5">[4]집계표!#REF!</definedName>
    <definedName name="MAINTB">[4]집계표!#REF!</definedName>
    <definedName name="MAINTBF">[4]집계표!#REF!</definedName>
    <definedName name="MAINTBK">[4]집계표!#REF!</definedName>
    <definedName name="MAINTF">[4]집계표!#REF!</definedName>
    <definedName name="MAINTH">[4]집계표!#REF!</definedName>
    <definedName name="MAINTM">[4]집계표!#REF!</definedName>
    <definedName name="MAINTS">[4]집계표!#REF!</definedName>
    <definedName name="MAINTSA">[4]집계표!#REF!</definedName>
    <definedName name="MANHOUR_AEROFLEX_NA_1LAYER">#REF!</definedName>
    <definedName name="MANHOUR_C17_FG_SS_1LAYER">#REF!</definedName>
    <definedName name="MANHOUR_C17_FG_SS_2LAYER">#REF!</definedName>
    <definedName name="MANHOUR_C17A_AEROFLEX_SS_1LAYER">#REF!</definedName>
    <definedName name="MANHOUR_C4_FG_SS_1LAYER">#REF!</definedName>
    <definedName name="MANHOUR_C4_FG_SS_2LAYER">#REF!</definedName>
    <definedName name="MARGIN_LABOUR">#REF!</definedName>
    <definedName name="MARGIN_MATERIAL">#REF!</definedName>
    <definedName name="MARGINPLAN">#REF!</definedName>
    <definedName name="MARGINPROJ">#REF!</definedName>
    <definedName name="master_cmpnt_id_001">#REF!</definedName>
    <definedName name="MASTYPE">#REF!</definedName>
    <definedName name="MATA1">#REF!</definedName>
    <definedName name="MATB1">#REF!</definedName>
    <definedName name="MATC1">#REF!</definedName>
    <definedName name="MATC10">#REF!</definedName>
    <definedName name="MATC2">#REF!</definedName>
    <definedName name="MATC3">#REF!</definedName>
    <definedName name="MATC4">#REF!</definedName>
    <definedName name="MATC5">#REF!</definedName>
    <definedName name="MATC6">#REF!</definedName>
    <definedName name="MATC7">#REF!</definedName>
    <definedName name="MATC8">#REF!</definedName>
    <definedName name="MATC9">#REF!</definedName>
    <definedName name="MATD1">#REF!</definedName>
    <definedName name="MATD2">#REF!</definedName>
    <definedName name="MATD3">#REF!</definedName>
    <definedName name="MATD4">#REF!</definedName>
    <definedName name="MATD5">#REF!</definedName>
    <definedName name="MATD6">#REF!</definedName>
    <definedName name="MATE1">#REF!</definedName>
    <definedName name="MATE2">#REF!</definedName>
    <definedName name="MATE3">#REF!</definedName>
    <definedName name="MATE4">#REF!</definedName>
    <definedName name="MATE5">#REF!</definedName>
    <definedName name="MATE6">#REF!</definedName>
    <definedName name="MATE7">#REF!</definedName>
    <definedName name="material">#REF!</definedName>
    <definedName name="MATERIAL_RATE_C17_BEND">#REF!</definedName>
    <definedName name="MATERIAL_RATE_C17_FLANGE">#REF!</definedName>
    <definedName name="MATERIAL_RATE_C17_PIPE">#REF!</definedName>
    <definedName name="MATERIAL_RATE_C17_VALVE">#REF!</definedName>
    <definedName name="MATERIAL_RATE_C17A_BEND">#REF!</definedName>
    <definedName name="MATERIAL_RATE_C17A_FLANGE">#REF!</definedName>
    <definedName name="MATERIAL_RATE_C17A_PIPE">#REF!</definedName>
    <definedName name="MATERIAL_RATE_C17A_VALVE">#REF!</definedName>
    <definedName name="MATERIAL_RATE_C17B_BEND">#REF!</definedName>
    <definedName name="MATERIAL_RATE_C17B_FLANGE">#REF!</definedName>
    <definedName name="MATERIAL_RATE_C17B_PIPE">#REF!</definedName>
    <definedName name="MATERIAL_RATE_C17B_VALVE">#REF!</definedName>
    <definedName name="MATERIAL_RATE_C4_BEND">#REF!</definedName>
    <definedName name="MATERIAL_RATE_C4_FLANGE">#REF!</definedName>
    <definedName name="MATERIAL_RATE_C4_PIPE">#REF!</definedName>
    <definedName name="MATERIAL_RATE_C4_VALVE">#REF!</definedName>
    <definedName name="MATF1">#REF!</definedName>
    <definedName name="MATF2">#REF!</definedName>
    <definedName name="MATF3">#REF!</definedName>
    <definedName name="MATF4">#REF!</definedName>
    <definedName name="MATF5">#REF!</definedName>
    <definedName name="MATF6">#REF!</definedName>
    <definedName name="MATF7">#REF!</definedName>
    <definedName name="MATL_Rate">#REF!</definedName>
    <definedName name="Max._Water">#REF!</definedName>
    <definedName name="MB">[4]집계표!#REF!</definedName>
    <definedName name="MBF">[4]집계표!#REF!</definedName>
    <definedName name="MBK">[4]집계표!#REF!</definedName>
    <definedName name="MCF">#REF!</definedName>
    <definedName name="MEASURE">[32]Sheet5!#REF!</definedName>
    <definedName name="measured_works_comparison_by_bills">#REF!</definedName>
    <definedName name="Measured_works_comparison_by_company">#REF!</definedName>
    <definedName name="MECH">[13]HVAC_DCI!#REF!</definedName>
    <definedName name="mech_CPC">#REF!</definedName>
    <definedName name="mech_CPC1">#REF!</definedName>
    <definedName name="mech1">#REF!</definedName>
    <definedName name="mech1_mci">#REF!</definedName>
    <definedName name="mech2">#REF!</definedName>
    <definedName name="mech2_mci">#REF!</definedName>
    <definedName name="mech3">[13]HVAC_DCI!#REF!</definedName>
    <definedName name="mech3_mci">#REF!</definedName>
    <definedName name="mech4">#REF!</definedName>
    <definedName name="mech4_mci">#REF!</definedName>
    <definedName name="mech5">#REF!</definedName>
    <definedName name="mech5_mci">#REF!</definedName>
    <definedName name="MECH6">#REF!</definedName>
    <definedName name="mech6_mci">#REF!</definedName>
    <definedName name="mech7">#REF!</definedName>
    <definedName name="mecH7_mci">#REF!</definedName>
    <definedName name="MECH8">[31]MECH_MCI!#REF!</definedName>
    <definedName name="MECH9">[31]MECH_MCI!#REF!</definedName>
    <definedName name="meci7_mci">#REF!</definedName>
    <definedName name="MEMO">#REF!</definedName>
    <definedName name="MEMO1">#REF!</definedName>
    <definedName name="MENU">[2]!MENU</definedName>
    <definedName name="MergeComments">#REF!</definedName>
    <definedName name="MergeCritRating">#REF!</definedName>
    <definedName name="MergeDesPress">#REF!</definedName>
    <definedName name="MergeDesTemp">#REF!</definedName>
    <definedName name="MergeFluid">#REF!</definedName>
    <definedName name="MergeFrom">#REF!</definedName>
    <definedName name="MergeInsulCode">#REF!</definedName>
    <definedName name="MergeInsulThk">#REF!</definedName>
    <definedName name="MergeLine">#REF!</definedName>
    <definedName name="MergeLineNumber">#REF!</definedName>
    <definedName name="MergeLineSize">#REF!</definedName>
    <definedName name="MergeMatClass">#REF!</definedName>
    <definedName name="MergeNDE">#REF!</definedName>
    <definedName name="MergeOperPress">#REF!</definedName>
    <definedName name="MergeOperTemp">#REF!</definedName>
    <definedName name="MergePaintCode">#REF!</definedName>
    <definedName name="MergePIDNumber">#REF!</definedName>
    <definedName name="MergeRev">#REF!</definedName>
    <definedName name="MergeStressAnalysis">#REF!</definedName>
    <definedName name="MergeTestMedia">#REF!</definedName>
    <definedName name="MergeTestPress">#REF!</definedName>
    <definedName name="MergeTo">#REF!</definedName>
    <definedName name="MF">[4]집계표!#REF!</definedName>
    <definedName name="MFAC1">#REF!</definedName>
    <definedName name="MFAC2">#REF!</definedName>
    <definedName name="MH">[4]집계표!#REF!</definedName>
    <definedName name="MH_소수점">[48]Total!$D$3</definedName>
    <definedName name="mhr">#REF!</definedName>
    <definedName name="MHRate">#REF!</definedName>
    <definedName name="MIOLO">#REF!</definedName>
    <definedName name="mis">BlankMacro1</definedName>
    <definedName name="MISA1">#REF!</definedName>
    <definedName name="Misc_Matl_Rate">#REF!</definedName>
    <definedName name="Miscel">BlankMacro1</definedName>
    <definedName name="miss2">BlankMacro1</definedName>
    <definedName name="MM">[4]집계표!#REF!</definedName>
    <definedName name="MMM">#REF!</definedName>
    <definedName name="MMMMMMMM">#REF!</definedName>
    <definedName name="MN" hidden="1">{#N/A,#N/A,FALSE,"CCTV"}</definedName>
    <definedName name="mnnb">'[14]h-013211-2'!$Q$2</definedName>
    <definedName name="MODE보정">#REF!</definedName>
    <definedName name="Motorrating">[43]PumpSpec!$Y$3:$Z$25</definedName>
    <definedName name="ＭＲ" hidden="1">{#N/A,#N/A,TRUE,"Basic";#N/A,#N/A,TRUE,"EXT-TABLE";#N/A,#N/A,TRUE,"STEEL";#N/A,#N/A,TRUE,"INT-Table";#N/A,#N/A,TRUE,"STEEL";#N/A,#N/A,TRUE,"Door"}</definedName>
    <definedName name="mrate">#REF!</definedName>
    <definedName name="MS">[4]집계표!#REF!</definedName>
    <definedName name="MSA">[4]집계표!#REF!</definedName>
    <definedName name="MTO_A">[31]PRO_A!$D$133:$AL$148</definedName>
    <definedName name="mto_s">[31]PRO!$D$117:$AL$132</definedName>
    <definedName name="mu">#REF!</definedName>
    <definedName name="N">#REF!,#REF!</definedName>
    <definedName name="NAM_1">#N/A</definedName>
    <definedName name="name">#REF!</definedName>
    <definedName name="needle">#REF!</definedName>
    <definedName name="NET">#REF!</definedName>
    <definedName name="NEW">ROUND([0]!NEW*0.0254,3)</definedName>
    <definedName name="NEWNAME" hidden="1">{#N/A,#N/A,FALSE,"CCTV"}</definedName>
    <definedName name="NHHNHNHHHHH">#REF!</definedName>
    <definedName name="NIPP">#REF!</definedName>
    <definedName name="NLG">[34]환율!#REF!</definedName>
    <definedName name="NMMNM">#REF!</definedName>
    <definedName name="NN">'[21]97 사업추정(WEKI)'!#REF!</definedName>
    <definedName name="NNN">'[10]97 사업추정(WEKI)'!#REF!</definedName>
    <definedName name="NO">#N/A</definedName>
    <definedName name="no.순">#REF!</definedName>
    <definedName name="NOCB">[4]집계표!#REF!</definedName>
    <definedName name="NOCBF">[4]집계표!#REF!</definedName>
    <definedName name="NOCBK">[4]집계표!#REF!</definedName>
    <definedName name="NOCF">[4]집계표!#REF!</definedName>
    <definedName name="NOCH">[4]집계표!#REF!</definedName>
    <definedName name="NOCM">[4]집계표!#REF!</definedName>
    <definedName name="NOCS">[4]집계표!#REF!</definedName>
    <definedName name="NOCSA">[4]집계표!#REF!</definedName>
    <definedName name="note_note">#REF!</definedName>
    <definedName name="Nshrkge">#REF!</definedName>
    <definedName name="num">#REF!</definedName>
    <definedName name="Number">#REF!</definedName>
    <definedName name="number_of_phases_id_001">#REF!</definedName>
    <definedName name="NW">#REF!</definedName>
    <definedName name="O">[17]상반기손익차2총괄!#REF!</definedName>
    <definedName name="OBJ">#REF!</definedName>
    <definedName name="OL">#REF!</definedName>
    <definedName name="OLD">ROUND([0]!OLD*0.0254,3)</definedName>
    <definedName name="oo">'[37]h-013211-2'!$Q$3</definedName>
    <definedName name="OP">#REF!</definedName>
    <definedName name="operating_mode_id_001">#REF!</definedName>
    <definedName name="OSBL" hidden="1">{#N/A,#N/A,FALSE,"CCTV"}</definedName>
    <definedName name="OTHTYPE">#REF!</definedName>
    <definedName name="OUT">[4]집계표!#REF!</definedName>
    <definedName name="OUTA">[4]집계표!#REF!</definedName>
    <definedName name="OUTB">[4]집계표!#REF!</definedName>
    <definedName name="OUTBF">[4]집계표!#REF!</definedName>
    <definedName name="OUTBK">[4]집계표!#REF!</definedName>
    <definedName name="OUTF">[4]집계표!#REF!</definedName>
    <definedName name="OutField">#REF!</definedName>
    <definedName name="OUTH">[4]집계표!#REF!</definedName>
    <definedName name="OUTK">[4]집계표!#REF!</definedName>
    <definedName name="OUTM">[4]집계표!#REF!</definedName>
    <definedName name="OUTN">[4]집계표!#REF!</definedName>
    <definedName name="OUTR">[4]집계표!#REF!</definedName>
    <definedName name="OUTS">[4]집계표!#REF!</definedName>
    <definedName name="OUTSA">[4]집계표!#REF!</definedName>
    <definedName name="OUTW">[4]집계표!#REF!</definedName>
    <definedName name="OUTY">[4]집계표!#REF!</definedName>
    <definedName name="OVER">#REF!</definedName>
    <definedName name="P">#REF!</definedName>
    <definedName name="p_shape">#REF!</definedName>
    <definedName name="PA">#REF!</definedName>
    <definedName name="PAGE1">#N/A</definedName>
    <definedName name="PAGE11">#N/A</definedName>
    <definedName name="PAGE12">#N/A</definedName>
    <definedName name="PAGE2">#N/A</definedName>
    <definedName name="PAGE21">#N/A</definedName>
    <definedName name="PAGE22">#N/A</definedName>
    <definedName name="PAGE3">#N/A</definedName>
    <definedName name="PAGE31">#N/A</definedName>
    <definedName name="PAGE32">#N/A</definedName>
    <definedName name="PAGE41">#N/A</definedName>
    <definedName name="PAGE42">#N/A</definedName>
    <definedName name="PageNo1">#REF!</definedName>
    <definedName name="Panel" hidden="1">{#N/A,#N/A,TRUE,"Basic";#N/A,#N/A,TRUE,"EXT-TABLE";#N/A,#N/A,TRUE,"STEEL";#N/A,#N/A,TRUE,"INT-Table";#N/A,#N/A,TRUE,"STEEL";#N/A,#N/A,TRUE,"Door"}</definedName>
    <definedName name="panel_id_001">#REF!</definedName>
    <definedName name="PB">#REF!</definedName>
    <definedName name="PC">#REF!</definedName>
    <definedName name="PCF">#REF!</definedName>
    <definedName name="PCK">#REF!</definedName>
    <definedName name="PCP">#REF!</definedName>
    <definedName name="PD">#REF!</definedName>
    <definedName name="pd_angle_of_repose_001">#REF!</definedName>
    <definedName name="pd_api_calc_type_001">#REF!</definedName>
    <definedName name="pd_api_degree_max_001">#REF!</definedName>
    <definedName name="pd_api_degree_min_001">#REF!</definedName>
    <definedName name="pd_api_degree_nor_001">#REF!</definedName>
    <definedName name="pd_api_group_id_001">#REF!</definedName>
    <definedName name="pd_bubble_pt_max_001">#REF!</definedName>
    <definedName name="pd_bubble_pt_min_001">#REF!</definedName>
    <definedName name="pd_bubble_pt_nor_001">#REF!</definedName>
    <definedName name="pd_bubble_pt_uid_001">#REF!</definedName>
    <definedName name="pd_build_tend_001">#REF!</definedName>
    <definedName name="pd_chim_abstr_num_001">#REF!</definedName>
    <definedName name="pd_coagulat_001">#REF!</definedName>
    <definedName name="pd_colored_001">#REF!</definedName>
    <definedName name="pd_compres_base_001">#REF!</definedName>
    <definedName name="pd_compres_flow_max_001">#REF!</definedName>
    <definedName name="pd_compres_flow_min_001">#REF!</definedName>
    <definedName name="pd_compres_flow_nor_001">#REF!</definedName>
    <definedName name="pd_conduct_resist_flg_001">#REF!</definedName>
    <definedName name="pd_conductivity_max_001">#REF!</definedName>
    <definedName name="pd_conductivity_min_001">#REF!</definedName>
    <definedName name="pd_conductivity_nor_001">#REF!</definedName>
    <definedName name="pd_conductivity_uid_001">#REF!</definedName>
    <definedName name="pd_contain_parts_001">#REF!</definedName>
    <definedName name="pd_corrosive_001">#REF!</definedName>
    <definedName name="pd_cp_cv_max_001">#REF!</definedName>
    <definedName name="pd_cp_cv_min_001">#REF!</definedName>
    <definedName name="pd_cp_cv_nor_001">#REF!</definedName>
    <definedName name="pd_critic_press_001">#REF!</definedName>
    <definedName name="pd_critic_press_uflg_001">#REF!</definedName>
    <definedName name="pd_critic_press_uid_001">#REF!</definedName>
    <definedName name="pd_dens_at_bas_uid_001">#REF!</definedName>
    <definedName name="pd_dens_at_base_001">#REF!</definedName>
    <definedName name="pd_dens_comp_base_flg_001">#REF!</definedName>
    <definedName name="pd_dens_grav_base_flg_001">#REF!</definedName>
    <definedName name="pd_dens_grav_flg_001">#REF!</definedName>
    <definedName name="pd_dens_max_001">#REF!</definedName>
    <definedName name="pd_dens_min_001">#REF!</definedName>
    <definedName name="pd_dens_nor_001">#REF!</definedName>
    <definedName name="pd_dens_ref_001">#REF!</definedName>
    <definedName name="pd_dens_ref_uid_001">#REF!</definedName>
    <definedName name="pd_dens_uid_001">#REF!</definedName>
    <definedName name="pd_design_temp_max">#REF!</definedName>
    <definedName name="pd_design_temp_max_001">#REF!</definedName>
    <definedName name="pd_design_temp_min">#REF!</definedName>
    <definedName name="pd_design_temp_min_001">#REF!</definedName>
    <definedName name="pd_design_temp_uid_001">#REF!</definedName>
    <definedName name="pd_dew_pt_max_001">#REF!</definedName>
    <definedName name="pd_dew_pt_min_001">#REF!</definedName>
    <definedName name="pd_dew_pt_nor_001">#REF!</definedName>
    <definedName name="pd_dew_pt_uid_001">#REF!</definedName>
    <definedName name="pd_erosive_001">#REF!</definedName>
    <definedName name="pd_flow_add_flag_001">#REF!</definedName>
    <definedName name="pd_flow_alarm_flag_001">#REF!</definedName>
    <definedName name="pd_flow_flag_001">#REF!</definedName>
    <definedName name="pd_flow_max_001">#REF!</definedName>
    <definedName name="pd_flow_min_001">#REF!</definedName>
    <definedName name="pd_flow_nor_001">#REF!</definedName>
    <definedName name="pd_flow_uflg_001">#REF!</definedName>
    <definedName name="pd_flow_uid_001">#REF!</definedName>
    <definedName name="pd_fluid_name">#REF!</definedName>
    <definedName name="pd_fluid_name_001">#REF!</definedName>
    <definedName name="pd_fluid_phase_001">#REF!</definedName>
    <definedName name="pd_fluid_stat_001">#REF!</definedName>
    <definedName name="pd_gas_comp_dens_flg_001">#REF!</definedName>
    <definedName name="pd_gas_mm_grav_flg_001">#REF!</definedName>
    <definedName name="pd_gas_sg_as_mm_001">#REF!</definedName>
    <definedName name="pd_heat_max_001">#REF!</definedName>
    <definedName name="pd_heat_min_001">#REF!</definedName>
    <definedName name="pd_heat_nor_001">#REF!</definedName>
    <definedName name="pd_heat_uid_001">#REF!</definedName>
    <definedName name="pd_isize_phase_001">#REF!</definedName>
    <definedName name="pd_latent_heat_max_001">#REF!</definedName>
    <definedName name="pd_latent_heat_min_001">#REF!</definedName>
    <definedName name="pd_latent_heat_nor_001">#REF!</definedName>
    <definedName name="pd_latent_heat_uid_001">#REF!</definedName>
    <definedName name="pd_line_eq_flg_001">#REF!</definedName>
    <definedName name="pd_molecular_mass_001">#REF!</definedName>
    <definedName name="pd_note_001">#REF!</definedName>
    <definedName name="pd_oxidizing_001">#REF!</definedName>
    <definedName name="pd_p_alarm_high_001">#REF!</definedName>
    <definedName name="pd_p_alarm_high_high_001">#REF!</definedName>
    <definedName name="pd_p_alarm_high_high_high_001">#REF!</definedName>
    <definedName name="pd_p_alarm_low_001">#REF!</definedName>
    <definedName name="pd_p_alarm_low_low_001">#REF!</definedName>
    <definedName name="pd_p_alarm_low_low_low_001">#REF!</definedName>
    <definedName name="pd_p_cntrl_pnt_max_001">#REF!</definedName>
    <definedName name="pd_p_cntrl_pnt_min_001">#REF!</definedName>
    <definedName name="pd_p_cntrl_pnt_nor_001">#REF!</definedName>
    <definedName name="pd_p_cntrl_pnt_uid_001">#REF!</definedName>
    <definedName name="pd_p_dif_press_uid_001">#REF!</definedName>
    <definedName name="pd_p_dif_range_uid_001">#REF!</definedName>
    <definedName name="pd_p_dif_trip_alarm_uid_001">#REF!</definedName>
    <definedName name="pd_p_kind_of_pressure_001">#REF!</definedName>
    <definedName name="pd_p_range_max_001">#REF!</definedName>
    <definedName name="pd_p_range_min_001">#REF!</definedName>
    <definedName name="pd_p_range_nor_001">#REF!</definedName>
    <definedName name="pd_p_range_uflg_001">#REF!</definedName>
    <definedName name="pd_p_range_uid_001">#REF!</definedName>
    <definedName name="pd_p_trac_jacet_001">#REF!</definedName>
    <definedName name="pd_p_trip_alarm_uflg_001">#REF!</definedName>
    <definedName name="pd_p_trip_alarm_uid_001">#REF!</definedName>
    <definedName name="pd_p_trip_high_001">#REF!</definedName>
    <definedName name="pd_p_trip_high_high_001">#REF!</definedName>
    <definedName name="pd_p_trip_high_high_high_001">#REF!</definedName>
    <definedName name="pd_p_trip_low_001">#REF!</definedName>
    <definedName name="pd_p_trip_low_low_001">#REF!</definedName>
    <definedName name="pd_p_trip_low_low_low_001">#REF!</definedName>
    <definedName name="pd_p_valvtend_001">#REF!</definedName>
    <definedName name="pd_p_view_dif_pressure_flag_001">#REF!</definedName>
    <definedName name="pd_p_view_dif_range_flag_001">#REF!</definedName>
    <definedName name="pd_p_view_dif_trip_alarm_flag_001">#REF!</definedName>
    <definedName name="pd_ph_orp_max_001">#REF!</definedName>
    <definedName name="pd_ph_orp_min_001">#REF!</definedName>
    <definedName name="pd_ph_orp_nor_001">#REF!</definedName>
    <definedName name="pd_ph_orp_uid_001">#REF!</definedName>
    <definedName name="pd_press_base_001">#REF!</definedName>
    <definedName name="pd_press_base_uid_001">#REF!</definedName>
    <definedName name="pd_press_des">#REF!</definedName>
    <definedName name="pd_press_des_001">#REF!</definedName>
    <definedName name="pd_press_des_min">#REF!</definedName>
    <definedName name="pd_press_des_min_001">#REF!</definedName>
    <definedName name="pd_press_des_min_uflg_001">#REF!</definedName>
    <definedName name="pd_press_des_min_uid_001">#REF!</definedName>
    <definedName name="pd_press_des_uflg_001">#REF!</definedName>
    <definedName name="pd_press_des_uid_001">#REF!</definedName>
    <definedName name="pd_press_drp_max_001">#REF!</definedName>
    <definedName name="pd_press_drp_min_001">#REF!</definedName>
    <definedName name="pd_press_drp_nor_001">#REF!</definedName>
    <definedName name="pd_press_drp_uid_001">#REF!</definedName>
    <definedName name="pd_press_max">#REF!</definedName>
    <definedName name="pd_press_max_001">#REF!</definedName>
    <definedName name="pd_press_min_001">#REF!</definedName>
    <definedName name="pd_press_nor">#REF!</definedName>
    <definedName name="pd_press_nor_001">#REF!</definedName>
    <definedName name="pd_press_uflg_001">#REF!</definedName>
    <definedName name="pd_press_uid_001">#REF!</definedName>
    <definedName name="pd_pulsation_001">#REF!</definedName>
    <definedName name="pd_resistivity_max_001">#REF!</definedName>
    <definedName name="pd_resistivity_min_001">#REF!</definedName>
    <definedName name="pd_resistivity_nor_001">#REF!</definedName>
    <definedName name="pd_resistivity_uid_001">#REF!</definedName>
    <definedName name="pd_return_pres_design_001">#REF!</definedName>
    <definedName name="pd_return_pres_design_uflg_001">#REF!</definedName>
    <definedName name="pd_return_pres_design_uid_001">#REF!</definedName>
    <definedName name="pd_return_pres_max_001">#REF!</definedName>
    <definedName name="pd_return_pres_min_001">#REF!</definedName>
    <definedName name="pd_return_pres_nor_001">#REF!</definedName>
    <definedName name="pd_return_pres_uflg_001">#REF!</definedName>
    <definedName name="pd_return_pres_uid_001">#REF!</definedName>
    <definedName name="pd_return_temp_design_001">#REF!</definedName>
    <definedName name="pd_return_temp_max_001">#REF!</definedName>
    <definedName name="pd_return_temp_min_001">#REF!</definedName>
    <definedName name="pd_return_temp_nor_001">#REF!</definedName>
    <definedName name="pd_return_temp_uid_001">#REF!</definedName>
    <definedName name="pd_saturat_temp_001">#REF!</definedName>
    <definedName name="pd_schedul_001">#REF!</definedName>
    <definedName name="pd_size_001">#REF!</definedName>
    <definedName name="pd_size_uid_001">#REF!</definedName>
    <definedName name="pd_solidfy_001">#REF!</definedName>
    <definedName name="pd_solids_qt_001">#REF!</definedName>
    <definedName name="pd_solids_qt_uid_001">#REF!</definedName>
    <definedName name="pd_solids_size_001">#REF!</definedName>
    <definedName name="pd_solids_size_uid_001">#REF!</definedName>
    <definedName name="pd_source_001">#REF!</definedName>
    <definedName name="pd_source_type_001">#REF!</definedName>
    <definedName name="pd_spec_grav_base_001">#REF!</definedName>
    <definedName name="pd_spec_grav_max_001">#REF!</definedName>
    <definedName name="pd_spec_grav_min_001">#REF!</definedName>
    <definedName name="pd_spec_grav_nor_001">#REF!</definedName>
    <definedName name="pd_spec_grav_ref_001">#REF!</definedName>
    <definedName name="pd_stat_001">#REF!</definedName>
    <definedName name="pd_temp_base_001">#REF!</definedName>
    <definedName name="pd_temp_base_uid_001">#REF!</definedName>
    <definedName name="pd_temp_max">#REF!</definedName>
    <definedName name="pd_temp_max_001">#REF!</definedName>
    <definedName name="pd_temp_min_001">#REF!</definedName>
    <definedName name="pd_temp_nor">#REF!</definedName>
    <definedName name="pd_temp_nor_001">#REF!</definedName>
    <definedName name="pd_temp_ref_001">#REF!</definedName>
    <definedName name="pd_temp_ref_uid_001">#REF!</definedName>
    <definedName name="pd_temp_uid_001">#REF!</definedName>
    <definedName name="pd_term_shock_001">#REF!</definedName>
    <definedName name="pd_toxic_001">#REF!</definedName>
    <definedName name="pd_transparent_001">#REF!</definedName>
    <definedName name="pd_udf_c01_001">#REF!</definedName>
    <definedName name="pd_udf_c02_001">#REF!</definedName>
    <definedName name="pd_udf_c03_001">#REF!</definedName>
    <definedName name="pd_udf_c04_001">#REF!</definedName>
    <definedName name="pd_udf_c05_001">#REF!</definedName>
    <definedName name="pd_udf_c06_001">#REF!</definedName>
    <definedName name="pd_udf_c07_001">#REF!</definedName>
    <definedName name="pd_udf_c08_001">#REF!</definedName>
    <definedName name="pd_udf_c09_001">#REF!</definedName>
    <definedName name="pd_udf_c10_001">#REF!</definedName>
    <definedName name="pd_udf_c11_001">#REF!</definedName>
    <definedName name="pd_udf_c12_001">#REF!</definedName>
    <definedName name="pd_udf_c13_001">#REF!</definedName>
    <definedName name="pd_udf_c14_001">#REF!</definedName>
    <definedName name="pd_udf_c15_001">#REF!</definedName>
    <definedName name="pd_udf_c16_001">#REF!</definedName>
    <definedName name="pd_udf_c17_001">#REF!</definedName>
    <definedName name="pd_udf_c18_001">#REF!</definedName>
    <definedName name="pd_udf_c19_001">#REF!</definedName>
    <definedName name="pd_udf_c20_001">#REF!</definedName>
    <definedName name="pd_unit_percent_001">#REF!</definedName>
    <definedName name="pd_vap_press_max_001">#REF!</definedName>
    <definedName name="pd_vap_press_min_001">#REF!</definedName>
    <definedName name="pd_vap_press_nor_001">#REF!</definedName>
    <definedName name="pd_vap_press_uflg_001">#REF!</definedName>
    <definedName name="pd_vap_press_uid_001">#REF!</definedName>
    <definedName name="pd_velocity_max_001">#REF!</definedName>
    <definedName name="pd_velocity_min_001">#REF!</definedName>
    <definedName name="pd_velocity_nor_001">#REF!</definedName>
    <definedName name="pd_velocity_uid_001">#REF!</definedName>
    <definedName name="pd_vibration_001">#REF!</definedName>
    <definedName name="pd_visc_max_001">#REF!</definedName>
    <definedName name="pd_visc_min_001">#REF!</definedName>
    <definedName name="pd_visc_nor">#REF!</definedName>
    <definedName name="pd_visc_nor_001">#REF!</definedName>
    <definedName name="pd_visc_uid_001">#REF!</definedName>
    <definedName name="PE">#REF!</definedName>
    <definedName name="ped_no">#REF!</definedName>
    <definedName name="PER">#REF!</definedName>
    <definedName name="peroxide" hidden="1">{#N/A,#N/A,FALSE,"CCTV"}</definedName>
    <definedName name="PF">#REF!</definedName>
    <definedName name="PG">#REF!</definedName>
    <definedName name="PH">#REF!</definedName>
    <definedName name="PHASE" hidden="1">{#N/A,#N/A,TRUE,"Basic";#N/A,#N/A,TRUE,"EXT-TABLE";#N/A,#N/A,TRUE,"STEEL";#N/A,#N/A,TRUE,"INT-Table";#N/A,#N/A,TRUE,"STEEL";#N/A,#N/A,TRUE,"Door"}</definedName>
    <definedName name="phase1_001">#REF!</definedName>
    <definedName name="phase2_001">#REF!</definedName>
    <definedName name="phase3_001">#REF!</definedName>
    <definedName name="Physical_Scope">[50]eq_data!$C$5:$C$54</definedName>
    <definedName name="pi">ROUND([0]!pi*0.0254,3)</definedName>
    <definedName name="pid_no_001">#REF!</definedName>
    <definedName name="pile_no">#REF!</definedName>
    <definedName name="PIPE">[13]PIPE_DCI!#REF!</definedName>
    <definedName name="pipe_class_001">#REF!</definedName>
    <definedName name="pipe_class_id_001">#REF!</definedName>
    <definedName name="pipe_CPC">#REF!</definedName>
    <definedName name="pipe_CPC1">#REF!</definedName>
    <definedName name="Pipe_Name">#REF!</definedName>
    <definedName name="pipe1">#REF!</definedName>
    <definedName name="pipe2">#REF!</definedName>
    <definedName name="pipe3">[13]PIPE_DCI!#REF!</definedName>
    <definedName name="pipe4">#REF!</definedName>
    <definedName name="pipe5">#REF!</definedName>
    <definedName name="pipe6">#REF!</definedName>
    <definedName name="pipe7">#REF!</definedName>
    <definedName name="Piped_systems">#REF!</definedName>
    <definedName name="PJ">#REF!</definedName>
    <definedName name="PK">#REF!</definedName>
    <definedName name="PKG">#REF!</definedName>
    <definedName name="PL">#REF!</definedName>
    <definedName name="plant_id_001">#REF!</definedName>
    <definedName name="PLANT_JE_GWAN_GONG">#REF!</definedName>
    <definedName name="PLUG">#REF!</definedName>
    <definedName name="PM">#REF!</definedName>
    <definedName name="PN">#REF!</definedName>
    <definedName name="PNS">#REF!</definedName>
    <definedName name="PO">[26]data_mci!$L$8:$L$126</definedName>
    <definedName name="poa1RTRTpoa2RTRT">#REF!</definedName>
    <definedName name="poaaRTRTpobbRTRT">#REF!</definedName>
    <definedName name="POARTM0TB0TB0TB0TB4.8TB55TB175R">[51]영업소실적!#REF!</definedName>
    <definedName name="POARTM0TB0TB0TB0TB4.8TB55TB200R">#REF!</definedName>
    <definedName name="POARTSQKS15C5LRTRT">#REF!</definedName>
    <definedName name="pound">#REF!</definedName>
    <definedName name="power_distribution_board_001">#REF!</definedName>
    <definedName name="power_factor_full_load_001">#REF!</definedName>
    <definedName name="power_supply_type_flag_001">#REF!</definedName>
    <definedName name="PP">[52]본지점중!#REF!</definedName>
    <definedName name="PPP">[13]PRO_DCI!#REF!,[13]PRO_DCI!#REF!,[13]PRO_DCI!#REF!,[13]PRO_DCI!#REF!,[13]PRO_DCI!#REF!</definedName>
    <definedName name="pppppp">#N/A</definedName>
    <definedName name="PQ">#REF!</definedName>
    <definedName name="PR">#REF!</definedName>
    <definedName name="PRAYER" hidden="1">{#N/A,#N/A,FALSE,"CCTV"}</definedName>
    <definedName name="PRDump">#REF!</definedName>
    <definedName name="PREP">#REF!</definedName>
    <definedName name="PreviousData">#REF!</definedName>
    <definedName name="PRINT_ALL">#REF!</definedName>
    <definedName name="_xlnm.Print_Area">#REF!</definedName>
    <definedName name="Print_Area_1">#REF!</definedName>
    <definedName name="Print_Area_2">#REF!</definedName>
    <definedName name="PRINT_AREA_MI">#REF!</definedName>
    <definedName name="PRINT_AREA_MI1">#REF!</definedName>
    <definedName name="Print_Area_Mi2">#REF!</definedName>
    <definedName name="PRINT_SUM">#REF!</definedName>
    <definedName name="_xlnm.Print_Titles">#REF!</definedName>
    <definedName name="Print_Titles_1">#N/A</definedName>
    <definedName name="Print_Titles_MI">[53]OUT!#REF!</definedName>
    <definedName name="printe">#REF!</definedName>
    <definedName name="PRN_CODE">'[54]IT-BAT'!#REF!</definedName>
    <definedName name="PRO1_MCI">#REF!</definedName>
    <definedName name="PRO2_MCI">#REF!</definedName>
    <definedName name="PRO3_MCI">#REF!</definedName>
    <definedName name="PRO4_MCI">#REF!</definedName>
    <definedName name="PRO5_MCI">#REF!</definedName>
    <definedName name="PRO6_MCI">#REF!</definedName>
    <definedName name="pro7_mci">#REF!</definedName>
    <definedName name="proc_func_id_001">#REF!</definedName>
    <definedName name="PRODUCT">#REF!</definedName>
    <definedName name="PROJ">#REF!</definedName>
    <definedName name="proj_id_001">#REF!</definedName>
    <definedName name="Proj_Num">#REF!</definedName>
    <definedName name="Proj_Title">#REF!</definedName>
    <definedName name="PROJECT">#N/A</definedName>
    <definedName name="Project_Name">#REF!</definedName>
    <definedName name="Prop_Matl">#REF!</definedName>
    <definedName name="Prop_Matl_Rate">#REF!</definedName>
    <definedName name="Prop_MD">#REF!</definedName>
    <definedName name="Prop_MD_Rate">#REF!</definedName>
    <definedName name="Prop_Total_Matl">#REF!</definedName>
    <definedName name="Prop_Total_MD">#REF!</definedName>
    <definedName name="PS">[26]data_mci!$K$8:$K$126</definedName>
    <definedName name="Psheet">#REF!</definedName>
    <definedName name="PSR">#REF!</definedName>
    <definedName name="PSV006AB" hidden="1">{#N/A,#N/A,TRUE,"sheet 1";#N/A,#N/A,TRUE,"sheet 2";#N/A,#N/A,TRUE,"PSV Calculation";#N/A,#N/A,TRUE,"Stoffdaten"}</definedName>
    <definedName name="PT">#REF!</definedName>
    <definedName name="PTN">[5]본지점중!#REF!</definedName>
    <definedName name="PU">#REF!</definedName>
    <definedName name="pump">BlankMacro1</definedName>
    <definedName name="PV">#REF!</definedName>
    <definedName name="PW">#REF!</definedName>
    <definedName name="PWB">[4]집계표!#REF!</definedName>
    <definedName name="PWBF">[4]집계표!#REF!</definedName>
    <definedName name="PWBK">[4]집계표!#REF!</definedName>
    <definedName name="PWF">[4]집계표!#REF!</definedName>
    <definedName name="PWH">[4]집계표!#REF!</definedName>
    <definedName name="PWM">[4]집계표!#REF!</definedName>
    <definedName name="PWPW">#REF!</definedName>
    <definedName name="PWS">[4]집계표!#REF!</definedName>
    <definedName name="PWSA">[4]집계표!#REF!</definedName>
    <definedName name="PX">#REF!</definedName>
    <definedName name="PY">#REF!</definedName>
    <definedName name="q" hidden="1">{#N/A,#N/A,TRUE,"Basic";#N/A,#N/A,TRUE,"EXT-TABLE";#N/A,#N/A,TRUE,"STEEL";#N/A,#N/A,TRUE,"INT-Table";#N/A,#N/A,TRUE,"STEEL";#N/A,#N/A,TRUE,"Door"}</definedName>
    <definedName name="q1u">#REF!</definedName>
    <definedName name="Q2777x2c">#REF!</definedName>
    <definedName name="Q91A">#REF!</definedName>
    <definedName name="q91b">#REF!</definedName>
    <definedName name="QMM">#REF!</definedName>
    <definedName name="QMR">#REF!</definedName>
    <definedName name="QMS">#REF!</definedName>
    <definedName name="QQ">#REF!</definedName>
    <definedName name="qqq" hidden="1">{#N/A,#N/A,TRUE,"Basic";#N/A,#N/A,TRUE,"EXT-TABLE";#N/A,#N/A,TRUE,"STEEL";#N/A,#N/A,TRUE,"INT-Table";#N/A,#N/A,TRUE,"STEEL";#N/A,#N/A,TRUE,"Door"}</definedName>
    <definedName name="QQQQ" hidden="1">{#N/A,#N/A,TRUE,"Basic";#N/A,#N/A,TRUE,"EXT-TABLE";#N/A,#N/A,TRUE,"STEEL";#N/A,#N/A,TRUE,"INT-Table";#N/A,#N/A,TRUE,"STEEL";#N/A,#N/A,TRUE,"Door"}</definedName>
    <definedName name="qqqqq" hidden="1">{#N/A,#N/A,TRUE,"Basic";#N/A,#N/A,TRUE,"EXT-TABLE";#N/A,#N/A,TRUE,"STEEL";#N/A,#N/A,TRUE,"INT-Table";#N/A,#N/A,TRUE,"STEEL";#N/A,#N/A,TRUE,"Door"}</definedName>
    <definedName name="QQQQQQQQ"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QQQQQQQQQQQQQQQQQ">#REF!</definedName>
    <definedName name="qryFGPtoc24aug05_2149">#REF!</definedName>
    <definedName name="Qt">#REF!</definedName>
    <definedName name="QTN">[26]data_mci!$I$8:$I$126</definedName>
    <definedName name="Qty">#REF!</definedName>
    <definedName name="Qty_1">#REF!</definedName>
    <definedName name="Qty_Temp">#REF!</definedName>
    <definedName name="Query1">#REF!</definedName>
    <definedName name="Query2">#REF!</definedName>
    <definedName name="Query3_Manual">#REF!</definedName>
    <definedName name="Query4_mov">#REF!</definedName>
    <definedName name="qw" hidden="1">{#N/A,#N/A,TRUE,"Basic";#N/A,#N/A,TRUE,"EXT-TABLE";#N/A,#N/A,TRUE,"STEEL";#N/A,#N/A,TRUE,"INT-Table";#N/A,#N/A,TRUE,"STEEL";#N/A,#N/A,TRUE,"Door"}</definedName>
    <definedName name="R_">#REF!</definedName>
    <definedName name="R_I_Q_A_S">#N/A</definedName>
    <definedName name="RASCO__3">#N/A</definedName>
    <definedName name="RASCO__A">#N/A</definedName>
    <definedName name="RATE">#REF!</definedName>
    <definedName name="Rate_MD">[44]Proposal!#REF!</definedName>
    <definedName name="rate1">#REF!</definedName>
    <definedName name="rate2">#REF!</definedName>
    <definedName name="rated">[43]PumpSpec!$X$2:$Y$26</definedName>
    <definedName name="rated_active_load_001">#REF!</definedName>
    <definedName name="rated_apparent_load_001">#REF!</definedName>
    <definedName name="rated_reactive_load_001">#REF!</definedName>
    <definedName name="rated_voltage_id_001">#REF!</definedName>
    <definedName name="Rating">[43]PumpSpec!$U$2:$V$5</definedName>
    <definedName name="ratio">#REF!</definedName>
    <definedName name="RawAgencyPrice">#REF!</definedName>
    <definedName name="RB">[4]집계표!#REF!</definedName>
    <definedName name="RBData">#REF!</definedName>
    <definedName name="RCROOF">#REF!</definedName>
    <definedName name="RE">#REF!</definedName>
    <definedName name="re_bar">#REF!</definedName>
    <definedName name="RE_SIZE">#REF!</definedName>
    <definedName name="reac11">#REF!</definedName>
    <definedName name="reac12">#REF!</definedName>
    <definedName name="ReadCaseButton">"Button 19"</definedName>
    <definedName name="ReadItemButton">"Button 18"</definedName>
    <definedName name="ReadSelectByButton">"Button 16"</definedName>
    <definedName name="ReadStatusButton">"Button 17"</definedName>
    <definedName name="ReadWgButton">"Button 15"</definedName>
    <definedName name="RECEIVE">#REF!</definedName>
    <definedName name="RECEIVE_V">[26]data_mci!$N$8:$N$126</definedName>
    <definedName name="_xlnm.Recorder">#REF!</definedName>
    <definedName name="RECOUT">#N/A</definedName>
    <definedName name="RED">#REF!</definedName>
    <definedName name="REJ">#REF!</definedName>
    <definedName name="related_voltage_id_001">#REF!</definedName>
    <definedName name="REMK">#N/A</definedName>
    <definedName name="RemoveDuplicates">#REF!</definedName>
    <definedName name="RemoveLineFrmTo">#REF!</definedName>
    <definedName name="RENT5">[4]집계표!#REF!</definedName>
    <definedName name="Rental">#REF!</definedName>
    <definedName name="RENTBF">[4]집계표!#REF!</definedName>
    <definedName name="RENTBK">[4]집계표!#REF!</definedName>
    <definedName name="RENTS">[4]집계표!#REF!</definedName>
    <definedName name="Req_No.">#REF!</definedName>
    <definedName name="req_no_001">#REF!</definedName>
    <definedName name="requi">#REF!</definedName>
    <definedName name="requires_power_supply_001">#REF!</definedName>
    <definedName name="Reselects">#REF!</definedName>
    <definedName name="Responsible_Company">'[55]Issue Resolution'!#REF!</definedName>
    <definedName name="Rev">#REF!</definedName>
    <definedName name="rev_id_001">#REF!</definedName>
    <definedName name="REV3100BQ">#REF!</definedName>
    <definedName name="REV3110BQ">#REF!</definedName>
    <definedName name="REV3200BQ">#REF!</definedName>
    <definedName name="REV3300BQ">#REF!</definedName>
    <definedName name="REV3400BQ">#REF!</definedName>
    <definedName name="REV3500BQ">#REF!</definedName>
    <definedName name="REV3600BQ">#REF!</definedName>
    <definedName name="REV3700BQ">#REF!</definedName>
    <definedName name="REV3800BQ">#REF!</definedName>
    <definedName name="RevBy">#REF!</definedName>
    <definedName name="RevDate">#REF!</definedName>
    <definedName name="REVISION">#REF!</definedName>
    <definedName name="RevList">#REF!</definedName>
    <definedName name="RevListBy">#REF!</definedName>
    <definedName name="RevListDate">#REF!</definedName>
    <definedName name="RevListNo">#REF!</definedName>
    <definedName name="RevListStatus">#REF!</definedName>
    <definedName name="RevTable">#REF!</definedName>
    <definedName name="REWWQ">#REF!</definedName>
    <definedName name="RF">[4]집계표!#REF!</definedName>
    <definedName name="RFA">#REF!</definedName>
    <definedName name="RFB">#REF!</definedName>
    <definedName name="RFC">#REF!</definedName>
    <definedName name="RFE">#REF!</definedName>
    <definedName name="RFF">#REF!</definedName>
    <definedName name="RFG">#REF!</definedName>
    <definedName name="RFP003A">#REF!</definedName>
    <definedName name="RFP003B">#REF!</definedName>
    <definedName name="RFP003C">#REF!</definedName>
    <definedName name="RFP003D">#REF!</definedName>
    <definedName name="RFP003E">#REF!</definedName>
    <definedName name="RFP003F">#REF!</definedName>
    <definedName name="RFQ">[26]data_mci!$H$8:$H$126</definedName>
    <definedName name="RFV" hidden="1">{#N/A,#N/A,FALSE,"CCTV"}</definedName>
    <definedName name="RH">[4]집계표!#REF!</definedName>
    <definedName name="Risk_Class">[56]Cover!$N$6:$O$14</definedName>
    <definedName name="rkd" hidden="1">{#N/A,#N/A,FALSE,"CCTV"}</definedName>
    <definedName name="RL">#REF!</definedName>
    <definedName name="RLS">[34]환율!#REF!</definedName>
    <definedName name="RM">[4]집계표!#REF!</definedName>
    <definedName name="ROOFT">#REF!</definedName>
    <definedName name="rout_t">#REF!</definedName>
    <definedName name="rr" hidden="1">{#N/A,#N/A,TRUE,"Basic";#N/A,#N/A,TRUE,"EXT-TABLE";#N/A,#N/A,TRUE,"STEEL";#N/A,#N/A,TRUE,"INT-Table";#N/A,#N/A,TRUE,"STEEL";#N/A,#N/A,TRUE,"Door"}</definedName>
    <definedName name="RRE"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RRERW" hidden="1">{#N/A,#N/A,FALSE,"CCTV"}</definedName>
    <definedName name="RRR" hidden="1">{#N/A,#N/A,FALSE,"CCTV"}</definedName>
    <definedName name="RS">[4]집계표!#REF!</definedName>
    <definedName name="RSA">[4]집계표!#REF!</definedName>
    <definedName name="RSD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#REF!</definedName>
    <definedName name="S_M_D_S">#N/A</definedName>
    <definedName name="S41M">#REF!</definedName>
    <definedName name="S41Y">#REF!</definedName>
    <definedName name="S43M">#REF!</definedName>
    <definedName name="S43Y">#REF!</definedName>
    <definedName name="SADAD"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ADASF">#REF!</definedName>
    <definedName name="SAFGS" hidden="1">{#N/A,#N/A,FALSE,"CCTV"}</definedName>
    <definedName name="SALAH" hidden="1">#REF!</definedName>
    <definedName name="SALESPLAN">#REF!</definedName>
    <definedName name="SAM" hidden="1">{#N/A,#N/A,TRUE,"Basic";#N/A,#N/A,TRUE,"EXT-TABLE";#N/A,#N/A,TRUE,"STEEL";#N/A,#N/A,TRUE,"INT-Table";#N/A,#N/A,TRUE,"STEEL";#N/A,#N/A,TRUE,"Door"}</definedName>
    <definedName name="SAMPLE">#REF!</definedName>
    <definedName name="SAPOC">[20]회사99!#REF!</definedName>
    <definedName name="sasa" hidden="1">{#N/A,#N/A,FALSE,"CCTV"}</definedName>
    <definedName name="SB">[4]집계표!#REF!</definedName>
    <definedName name="SBF">[4]집계표!#REF!</definedName>
    <definedName name="SBK">[4]집계표!#REF!</definedName>
    <definedName name="scale">#REF!</definedName>
    <definedName name="sch">#REF!</definedName>
    <definedName name="SCI.2">#REF!</definedName>
    <definedName name="SCII">#REF!</definedName>
    <definedName name="SCIII">#REF!</definedName>
    <definedName name="SCIV">#REF!</definedName>
    <definedName name="SCOPE">[57]eq_data!$C$5:$C$54</definedName>
    <definedName name="SCVI">#REF!</definedName>
    <definedName name="SCVIII">#REF!</definedName>
    <definedName name="SCX">#REF!</definedName>
    <definedName name="Sd">#REF!</definedName>
    <definedName name="SDA">#REF!</definedName>
    <definedName name="sdd">BlankMacro1</definedName>
    <definedName name="sddd">BlankMacro1</definedName>
    <definedName name="sdf" hidden="1">{#N/A,#N/A,TRUE,"Basic";#N/A,#N/A,TRUE,"EXT-TABLE";#N/A,#N/A,TRUE,"STEEL";#N/A,#N/A,TRUE,"INT-Table";#N/A,#N/A,TRUE,"STEEL";#N/A,#N/A,TRUE,"Door"}</definedName>
    <definedName name="SEQU">#N/A</definedName>
    <definedName name="SetWrapText">#REF!</definedName>
    <definedName name="SEXP">#N/A</definedName>
    <definedName name="SF">[4]집계표!#REF!</definedName>
    <definedName name="SFA">#REF!</definedName>
    <definedName name="SFB">#REF!</definedName>
    <definedName name="SFC">#REF!</definedName>
    <definedName name="SG">#REF!</definedName>
    <definedName name="SH">[4]집계표!#REF!</definedName>
    <definedName name="Sheet1Remark0">#REF!</definedName>
    <definedName name="Sheet1Remark1">#REF!</definedName>
    <definedName name="Sheet1Remark10">#REF!</definedName>
    <definedName name="Sheet1Remark11">#REF!</definedName>
    <definedName name="Sheet1Remark12">#REF!</definedName>
    <definedName name="Sheet1Remark13">#REF!</definedName>
    <definedName name="Sheet1Remark14">#REF!</definedName>
    <definedName name="Sheet1Remark15">#REF!</definedName>
    <definedName name="Sheet1Remark16">#REF!</definedName>
    <definedName name="Sheet1Remark17">#REF!</definedName>
    <definedName name="Sheet1Remark18">#REF!</definedName>
    <definedName name="Sheet1Remark19">#REF!</definedName>
    <definedName name="Sheet1Remark2">#REF!</definedName>
    <definedName name="Sheet1Remark20">#REF!</definedName>
    <definedName name="Sheet1Remark21">#REF!</definedName>
    <definedName name="Sheet1Remark22">#REF!</definedName>
    <definedName name="Sheet1Remark3">#REF!</definedName>
    <definedName name="Sheet1Remark4">#REF!</definedName>
    <definedName name="Sheet1Remark5">#REF!</definedName>
    <definedName name="Sheet1Remark6">#REF!</definedName>
    <definedName name="Sheet1Remark7">#REF!</definedName>
    <definedName name="Sheet1Remark8">#REF!</definedName>
    <definedName name="Sheet1Remark9">#REF!</definedName>
    <definedName name="Sheet1Value10">#REF!</definedName>
    <definedName name="Sheet1Value11">#REF!</definedName>
    <definedName name="Sheet1Value12">#REF!</definedName>
    <definedName name="Sheet1Value13">#REF!</definedName>
    <definedName name="Sheet1Value14">#REF!</definedName>
    <definedName name="Sheet1Value15">#REF!</definedName>
    <definedName name="Sheet1Value16">#REF!</definedName>
    <definedName name="Sheet1Value17">#REF!</definedName>
    <definedName name="Sheet1Value18">#REF!</definedName>
    <definedName name="Sheet1Value19">#REF!</definedName>
    <definedName name="Sheet1Value20">#REF!</definedName>
    <definedName name="Sheet1Value21">#REF!</definedName>
    <definedName name="Sheet1Value22">#REF!</definedName>
    <definedName name="Sheet1Value23">#REF!</definedName>
    <definedName name="Sheet1Value24">#REF!</definedName>
    <definedName name="Sheet1Value25">#REF!</definedName>
    <definedName name="Sheet1Value26">#REF!</definedName>
    <definedName name="Sheet1Value27">#REF!</definedName>
    <definedName name="Sheet1Value28">#REF!</definedName>
    <definedName name="Sheet1Value29">#REF!</definedName>
    <definedName name="Sheet1Value30">#REF!</definedName>
    <definedName name="Sheet1Value31">#REF!</definedName>
    <definedName name="Sheet1Value32">#REF!</definedName>
    <definedName name="Sheet1Value33">#REF!</definedName>
    <definedName name="Sheet1Value34">#REF!</definedName>
    <definedName name="Sheet1Value35">#REF!</definedName>
    <definedName name="Sheet1Value36">#REF!</definedName>
    <definedName name="Sheet1Value37">#REF!</definedName>
    <definedName name="Sheet1Value38">#REF!</definedName>
    <definedName name="Sheet1Value39">#REF!</definedName>
    <definedName name="Sheet1Value40">#REF!</definedName>
    <definedName name="Sheet1Value41">#REF!</definedName>
    <definedName name="Sheet1Value42">#REF!</definedName>
    <definedName name="Sheet1Value43">#REF!</definedName>
    <definedName name="Sheet1Value44">#REF!</definedName>
    <definedName name="Sheet1Value45">#REF!</definedName>
    <definedName name="Sheet1Value46">#REF!</definedName>
    <definedName name="Sheet1Value47">#REF!</definedName>
    <definedName name="Sheet1Value48">#REF!</definedName>
    <definedName name="Sheet1Value49">#REF!</definedName>
    <definedName name="Sheet1Value50">#REF!</definedName>
    <definedName name="Sheet1Value51">#REF!</definedName>
    <definedName name="Sheet1Value52">#REF!</definedName>
    <definedName name="Sheet1Value53">#REF!</definedName>
    <definedName name="Sheet1Value54">#REF!</definedName>
    <definedName name="Sheet1Value55">#REF!</definedName>
    <definedName name="Sheet1Value56">#REF!</definedName>
    <definedName name="Sheet1Value57">#REF!</definedName>
    <definedName name="Sheet1Value58">#REF!</definedName>
    <definedName name="Sheet1Value59">#REF!</definedName>
    <definedName name="Sheet1Value60">#REF!</definedName>
    <definedName name="Sheet1Value61">#REF!</definedName>
    <definedName name="Sheet1Value62">#REF!</definedName>
    <definedName name="Sheet1Value9">#REF!</definedName>
    <definedName name="sheet3">#REF!</definedName>
    <definedName name="SHEET8">BlankMacro1</definedName>
    <definedName name="SHELTER" hidden="1">{#N/A,#N/A,TRUE,"Basic";#N/A,#N/A,TRUE,"EXT-TABLE";#N/A,#N/A,TRUE,"STEEL";#N/A,#N/A,TRUE,"INT-Table";#N/A,#N/A,TRUE,"STEEL";#N/A,#N/A,TRUE,"Door"}</definedName>
    <definedName name="Shop_Erection">#REF!</definedName>
    <definedName name="Shop_Internals">#REF!</definedName>
    <definedName name="Shop_Platform">#REF!</definedName>
    <definedName name="shpe">#REF!</definedName>
    <definedName name="SIB">[4]집계표!#REF!</definedName>
    <definedName name="SIBF">[4]집계표!#REF!</definedName>
    <definedName name="SIBK">[4]집계표!#REF!</definedName>
    <definedName name="SIF">[4]집계표!#REF!</definedName>
    <definedName name="SIH">[4]집계표!#REF!</definedName>
    <definedName name="silo11">#REF!</definedName>
    <definedName name="silo12">#REF!</definedName>
    <definedName name="SIM">[4]집계표!#REF!</definedName>
    <definedName name="SIS">[4]집계표!#REF!</definedName>
    <definedName name="SISA">[4]집계표!#REF!</definedName>
    <definedName name="SITE">#REF!</definedName>
    <definedName name="site_id_001">#REF!</definedName>
    <definedName name="SIZE">#N/A</definedName>
    <definedName name="Size_AHU_1">#REF!</definedName>
    <definedName name="size_AHU_2">#REF!</definedName>
    <definedName name="size_AHU_3">#REF!</definedName>
    <definedName name="size_AHU_4">#REF!</definedName>
    <definedName name="size_AHU_5">#REF!</definedName>
    <definedName name="size_AHU_6">#REF!</definedName>
    <definedName name="size1">#REF!</definedName>
    <definedName name="SIZE10">#REF!</definedName>
    <definedName name="size2">#REF!</definedName>
    <definedName name="size3">#REF!</definedName>
    <definedName name="size4">#REF!</definedName>
    <definedName name="size5">#REF!</definedName>
    <definedName name="size6">#REF!</definedName>
    <definedName name="size7">#REF!</definedName>
    <definedName name="SIZE8">#REF!</definedName>
    <definedName name="SIZE9">#REF!</definedName>
    <definedName name="SIZEC">#REF!</definedName>
    <definedName name="SJLKK" hidden="1">{"정욱찬 - 기본 보기",#N/A,TRUE,"몽골향 수출화물"}</definedName>
    <definedName name="SK">#REF!</definedName>
    <definedName name="SL">#REF!</definedName>
    <definedName name="SLAB">#N/A</definedName>
    <definedName name="SLH" hidden="1">#REF!</definedName>
    <definedName name="slope">#REF!</definedName>
    <definedName name="SM">[4]집계표!#REF!</definedName>
    <definedName name="SMAT">#N/A</definedName>
    <definedName name="SMFI.2">#REF!</definedName>
    <definedName name="SMFII">#REF!</definedName>
    <definedName name="SMFIII">#REF!</definedName>
    <definedName name="SMFIV">#REF!</definedName>
    <definedName name="SMFVI">#REF!</definedName>
    <definedName name="SMFVIII">#REF!</definedName>
    <definedName name="SMFX">#REF!</definedName>
    <definedName name="SMHR">#N/A</definedName>
    <definedName name="SMLI.2">#REF!</definedName>
    <definedName name="SMLII">#REF!</definedName>
    <definedName name="SMLIII">#REF!</definedName>
    <definedName name="SMLIV">#REF!</definedName>
    <definedName name="SMLTOOLS">#REF!</definedName>
    <definedName name="SMLVI">#REF!</definedName>
    <definedName name="SMLVIII">#REF!</definedName>
    <definedName name="SMLX">#REF!</definedName>
    <definedName name="SOL">#REF!</definedName>
    <definedName name="sort">#REF!</definedName>
    <definedName name="SORT191">#REF!</definedName>
    <definedName name="SORT194">#REF!</definedName>
    <definedName name="SORT195">#REF!</definedName>
    <definedName name="SORT200">#REF!</definedName>
    <definedName name="SORT201">#REF!</definedName>
    <definedName name="sortedprvlist1">[58]SortedList!$B$2:$D$41</definedName>
    <definedName name="SortRows">#REF!</definedName>
    <definedName name="SOURCE">#REF!</definedName>
    <definedName name="spec_cmpnt_func_001">#REF!</definedName>
    <definedName name="spec_cmpnt_mounting_001">#REF!</definedName>
    <definedName name="spec_cmpnt_po_item_no_001">#REF!</definedName>
    <definedName name="spec_cmpnt_po_no">#REF!</definedName>
    <definedName name="spec_cmpnt_po_no_001">#REF!</definedName>
    <definedName name="spec_cmpnt_power_supply_001">#REF!</definedName>
    <definedName name="spec_cmpnt_price_001">#REF!</definedName>
    <definedName name="spec_cmpnt_sn">#REF!</definedName>
    <definedName name="spec_cmpnt_sn_001">#REF!</definedName>
    <definedName name="spec_cmpnt_type_001">#REF!</definedName>
    <definedName name="spec_enclosure_class_001">#REF!</definedName>
    <definedName name="spec_id_001">#REF!</definedName>
    <definedName name="spec_note">#REF!</definedName>
    <definedName name="spec_note_001">#REF!</definedName>
    <definedName name="spec_sheet_of">#REF!</definedName>
    <definedName name="spec_sheet_of_001">#REF!</definedName>
    <definedName name="spec_sheets">#REF!</definedName>
    <definedName name="spec_sheets_001">#REF!</definedName>
    <definedName name="spec_type_flg_001">#REF!</definedName>
    <definedName name="spec_udf_c01">#REF!</definedName>
    <definedName name="spec_udf_c01_001">#REF!</definedName>
    <definedName name="spec_udf_c04_001">#REF!</definedName>
    <definedName name="spec_udf_c05_001">#REF!</definedName>
    <definedName name="spec_udf_c06">#REF!</definedName>
    <definedName name="spec_udf_c06_001">#REF!</definedName>
    <definedName name="spec_udf_c07_001">#REF!</definedName>
    <definedName name="spec_udf_c13_001">#REF!</definedName>
    <definedName name="spec_udf_c14">#REF!</definedName>
    <definedName name="spec_udf_c14_001">#REF!</definedName>
    <definedName name="spec_udf_c16">#REF!</definedName>
    <definedName name="spec_udf_c16_001">#REF!</definedName>
    <definedName name="spec_udf_c17">#REF!</definedName>
    <definedName name="spec_udf_c17_001">#REF!</definedName>
    <definedName name="spec_udf_c19">#REF!</definedName>
    <definedName name="spec_udf_c19_001">#REF!</definedName>
    <definedName name="spec_udf_c20">#REF!</definedName>
    <definedName name="spec_udf_c20_001">#REF!</definedName>
    <definedName name="spec_udf_c21">#REF!</definedName>
    <definedName name="spec_udf_c21_001">#REF!</definedName>
    <definedName name="spec_udf_c24">#REF!</definedName>
    <definedName name="spec_udf_c24_001">#REF!</definedName>
    <definedName name="spec_udf_c25">#REF!</definedName>
    <definedName name="spec_udf_c25_001">#REF!</definedName>
    <definedName name="spec_udf_c26">#REF!</definedName>
    <definedName name="spec_udf_c26_001">#REF!</definedName>
    <definedName name="spec_udf_c27_001">#REF!</definedName>
    <definedName name="spec_udf_c28">#REF!</definedName>
    <definedName name="spec_udf_c28_001">#REF!</definedName>
    <definedName name="spec_udf_c29">#REF!</definedName>
    <definedName name="spec_udf_c29_001">#REF!</definedName>
    <definedName name="spec_udf_c30">#REF!</definedName>
    <definedName name="spec_udf_c30_001">#REF!</definedName>
    <definedName name="spec_udf_c31">#REF!</definedName>
    <definedName name="spec_udf_c31_001">#REF!</definedName>
    <definedName name="spec_udf_c32">#REF!</definedName>
    <definedName name="spec_udf_c32_001">#REF!</definedName>
    <definedName name="spec_udf_c33">#REF!</definedName>
    <definedName name="spec_udf_c33_001">#REF!</definedName>
    <definedName name="spec_udf_c34">#REF!</definedName>
    <definedName name="spec_udf_c34_001">#REF!</definedName>
    <definedName name="spec_udf_c37">#REF!</definedName>
    <definedName name="spec_udf_c37_001">#REF!</definedName>
    <definedName name="spec_udf_c38">#REF!</definedName>
    <definedName name="spec_udf_c38_001">#REF!</definedName>
    <definedName name="spec_udf_c40">#REF!</definedName>
    <definedName name="spec_udf_c40_001">#REF!</definedName>
    <definedName name="spec_udf_c41">#REF!</definedName>
    <definedName name="spec_udf_c41_001">#REF!</definedName>
    <definedName name="spec_udf_c43">#REF!</definedName>
    <definedName name="spec_udf_c43_001">#REF!</definedName>
    <definedName name="spec_udf_c44">#REF!</definedName>
    <definedName name="spec_udf_c44_001">#REF!</definedName>
    <definedName name="spec_udf_c45">#REF!</definedName>
    <definedName name="spec_udf_c45_001">#REF!</definedName>
    <definedName name="spec_udf_c49">#REF!</definedName>
    <definedName name="spec_udf_c49_001">#REF!</definedName>
    <definedName name="spec_udf_c50">#REF!</definedName>
    <definedName name="spec_udf_c50_001">#REF!</definedName>
    <definedName name="spec_udf_c51">#REF!</definedName>
    <definedName name="spec_udf_c51_001">#REF!</definedName>
    <definedName name="spec_udf_c52">#REF!</definedName>
    <definedName name="spec_udf_c52_001">#REF!</definedName>
    <definedName name="spec_udf_c55">#REF!</definedName>
    <definedName name="spec_udf_c55_001">#REF!</definedName>
    <definedName name="spec_udf_c56">#REF!</definedName>
    <definedName name="spec_udf_c56_001">#REF!</definedName>
    <definedName name="spec_udf_c57">#REF!</definedName>
    <definedName name="spec_udf_c57_001">#REF!</definedName>
    <definedName name="spec_udf_c58">#REF!</definedName>
    <definedName name="spec_udf_c58_001">#REF!</definedName>
    <definedName name="spec_udf_c59">#REF!</definedName>
    <definedName name="spec_udf_c59_001">#REF!</definedName>
    <definedName name="spec_udf_c60">#REF!</definedName>
    <definedName name="spec_udf_c60_001">#REF!</definedName>
    <definedName name="spec_udf_c90">#REF!</definedName>
    <definedName name="spec_udf_c90_001">#REF!</definedName>
    <definedName name="Sprep_E4TK187">'[59]SPrep_E4TK(R187)'!$C$8:$M$112</definedName>
    <definedName name="squad">[26]data_dci!$H$8:$H$746</definedName>
    <definedName name="SR" hidden="1">#REF!</definedName>
    <definedName name="SRU" hidden="1">{#N/A,#N/A,FALSE,"CCTV"}</definedName>
    <definedName name="ss" hidden="1">{"정욱찬 - 기본 보기",#N/A,TRUE,"몽골향 수출화물"}</definedName>
    <definedName name="SSA">[4]집계표!#REF!</definedName>
    <definedName name="ssd">[0]!ClearSheet</definedName>
    <definedName name="sss" hidden="1">{#N/A,#N/A,TRUE,"Basic";#N/A,#N/A,TRUE,"EXT-TABLE";#N/A,#N/A,TRUE,"STEEL";#N/A,#N/A,TRUE,"INT-Table";#N/A,#N/A,TRUE,"STEEL";#N/A,#N/A,TRUE,"Door"}</definedName>
    <definedName name="ssss" hidden="1">{#N/A,#N/A,TRUE,"Basic";#N/A,#N/A,TRUE,"EXT-TABLE";#N/A,#N/A,TRUE,"STEEL";#N/A,#N/A,TRUE,"INT-Table";#N/A,#N/A,TRUE,"STEEL";#N/A,#N/A,TRUE,"Door"}</definedName>
    <definedName name="ssss_1" hidden="1">{#N/A,#N/A,TRUE,"Basic";#N/A,#N/A,TRUE,"EXT-TABLE";#N/A,#N/A,TRUE,"STEEL";#N/A,#N/A,TRUE,"INT-Table";#N/A,#N/A,TRUE,"STEEL";#N/A,#N/A,TRUE,"Door"}</definedName>
    <definedName name="sssssssssss">BlankMacro1</definedName>
    <definedName name="stainless_steel_all_in_rates">#REF!</definedName>
    <definedName name="start">[26]data_dci!$G$8:$G$746</definedName>
    <definedName name="StartCell">#REF!</definedName>
    <definedName name="starting_current_001">#REF!</definedName>
    <definedName name="STAS_Design_Capacity">#REF!</definedName>
    <definedName name="STAS_Weight_Empty">#REF!</definedName>
    <definedName name="STAS_Weight_Operating">#REF!</definedName>
    <definedName name="steam_trap">#REF!</definedName>
    <definedName name="step">#REF!</definedName>
    <definedName name="stmx11">#REF!</definedName>
    <definedName name="strip_id_001">#REF!</definedName>
    <definedName name="SUB">#REF!</definedName>
    <definedName name="Subject_2_Electrical">#REF!</definedName>
    <definedName name="Subject_3_Electrical">#REF!</definedName>
    <definedName name="Subject_5_Electrical">#REF!</definedName>
    <definedName name="sum">{#N/A,#N/A,TRUE,"Basic";#N/A,#N/A,TRUE,"EXT-TABLE";#N/A,#N/A,TRUE,"STEEL";#N/A,#N/A,TRUE,"INT-Table";#N/A,#N/A,TRUE,"STEEL";#N/A,#N/A,TRUE,"Door"}</definedName>
    <definedName name="Sum_Inst"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UMARY">#REF!</definedName>
    <definedName name="summary">#REF!</definedName>
    <definedName name="summary_sheet">#REF!</definedName>
    <definedName name="SUMMARY1"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UMPREVIEWS">'[60]INPUT DATA'!$AM$8,'[60]INPUT DATA'!$AI$8,'[60]INPUT DATA'!$AI$8,'[60]INPUT DATA'!$AJ$8,'[60]INPUT DATA'!$AJ$8,'[60]INPUT DATA'!$AK$8,'[60]INPUT DATA'!$AK$8,'[60]INPUT DATA'!$AL$8,'[60]INPUT DATA'!$AL$8</definedName>
    <definedName name="Sup_MATL_Rate">#REF!</definedName>
    <definedName name="Sup_MD_Rate">#REF!</definedName>
    <definedName name="Sup_Total_WT">[46]BQ!#REF!</definedName>
    <definedName name="Sup_WT">[46]BQ!#REF!</definedName>
    <definedName name="SWBR_5021A">#REF!</definedName>
    <definedName name="SWSU" hidden="1">{#N/A,#N/A,FALSE,"CCTV"}</definedName>
    <definedName name="SX" hidden="1">{#N/A,#N/A,FALSE,"CCTV"}</definedName>
    <definedName name="T">[61]경제지표!$A$3:$D$52</definedName>
    <definedName name="T_2">#N/A</definedName>
    <definedName name="T_3">#N/A</definedName>
    <definedName name="T_4">#N/A</definedName>
    <definedName name="T2_">#N/A</definedName>
    <definedName name="TA" hidden="1">{#N/A,#N/A,FALSE,"CCTV"}</definedName>
    <definedName name="Table">#REF!</definedName>
    <definedName name="Table1">#REF!</definedName>
    <definedName name="tableau1">#REF!</definedName>
    <definedName name="tag_number_note">#REF!</definedName>
    <definedName name="TAX">#REF!</definedName>
    <definedName name="TB">[4]집계표!#REF!</definedName>
    <definedName name="TBA">[26]data_mci!$J$8:$J$126</definedName>
    <definedName name="TBF">[4]집계표!#REF!</definedName>
    <definedName name="TBK">[4]집계표!#REF!</definedName>
    <definedName name="tblCOLD">#REF!</definedName>
    <definedName name="tblHOT">#REF!</definedName>
    <definedName name="tblPTrating">#REF!</definedName>
    <definedName name="tblSizeIndexCOLD">#REF!</definedName>
    <definedName name="tblSizeIndexHOT">#REF!</definedName>
    <definedName name="tblSTRESS_A">#REF!</definedName>
    <definedName name="tblSTRESS_B">#REF!</definedName>
    <definedName name="tblSTRESS_C">#REF!</definedName>
    <definedName name="tblSTRESS_D">#REF!</definedName>
    <definedName name="tblSTRESS_E">#REF!</definedName>
    <definedName name="tblSTRESS_F">#REF!</definedName>
    <definedName name="tblTempCOLD">#REF!</definedName>
    <definedName name="TC">#REF!</definedName>
    <definedName name="tc_field_equipment_id_001">#REF!</definedName>
    <definedName name="tc_fire_area_001">#REF!</definedName>
    <definedName name="tc_line_number_id_001">#REF!</definedName>
    <definedName name="tc_location_layout_001">#REF!</definedName>
    <definedName name="tc_signal_id_001">#REF!</definedName>
    <definedName name="TC2C">#REF!</definedName>
    <definedName name="TC3C">#REF!</definedName>
    <definedName name="TC7C">#REF!</definedName>
    <definedName name="TC9C">#REF!</definedName>
    <definedName name="TD">#REF!</definedName>
    <definedName name="TE">#REF!</definedName>
    <definedName name="team">#REF!</definedName>
    <definedName name="TEE">#REF!</definedName>
    <definedName name="TEMP">#REF!</definedName>
    <definedName name="temp_strainer">#REF!</definedName>
    <definedName name="TEMP1">#REF!</definedName>
    <definedName name="tempL">#REF!</definedName>
    <definedName name="tempS">#REF!</definedName>
    <definedName name="teri" hidden="1">{#N/A,#N/A,TRUE,"Basic";#N/A,#N/A,TRUE,"EXT-TABLE";#N/A,#N/A,TRUE,"STEEL";#N/A,#N/A,TRUE,"INT-Table";#N/A,#N/A,TRUE,"STEEL";#N/A,#N/A,TRUE,"Door"}</definedName>
    <definedName name="TEST">#REF!</definedName>
    <definedName name="TEWRE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TF">[4]집계표!#REF!</definedName>
    <definedName name="TG" hidden="1">{#N/A,#N/A,FALSE,"CCTV"}</definedName>
    <definedName name="TH">[4]집계표!#REF!</definedName>
    <definedName name="theta">#REF!</definedName>
    <definedName name="thickness">#REF!</definedName>
    <definedName name="THK">#REF!</definedName>
    <definedName name="THK_CODE">#REF!</definedName>
    <definedName name="THK_CODE_INS_MATERIAL">#REF!</definedName>
    <definedName name="TI">#REF!</definedName>
    <definedName name="TidyUpFrom">#REF!</definedName>
    <definedName name="TidyUpTo">#REF!</definedName>
    <definedName name="TIT">#REF!</definedName>
    <definedName name="title">#REF!</definedName>
    <definedName name="TITLES_PRINT">#REF!</definedName>
    <definedName name="TITRE">#REF!</definedName>
    <definedName name="TJ">#REF!</definedName>
    <definedName name="TK">#REF!</definedName>
    <definedName name="TKTOP">#REF!</definedName>
    <definedName name="TL">#REF!</definedName>
    <definedName name="TM">[4]집계표!#REF!</definedName>
    <definedName name="TN">#REF!</definedName>
    <definedName name="to">[26]Main!$C$9</definedName>
    <definedName name="TO_C">[31]MAIN!$E$8</definedName>
    <definedName name="TOL">#REF!</definedName>
    <definedName name="TOT_MATL">[44]Proposal!#REF!</definedName>
    <definedName name="TOTAL">#REF!</definedName>
    <definedName name="tower11">#REF!</definedName>
    <definedName name="tower12">#REF!</definedName>
    <definedName name="tower21">#REF!</definedName>
    <definedName name="tower22">#REF!</definedName>
    <definedName name="tray11">#REF!</definedName>
    <definedName name="tray12">#REF!</definedName>
    <definedName name="TRAY중량">#REF!</definedName>
    <definedName name="TRAY해체조립">#REF!</definedName>
    <definedName name="TRIP1">#REF!</definedName>
    <definedName name="TRIP2">#REF!</definedName>
    <definedName name="TRIP3">#REF!</definedName>
    <definedName name="TS">[4]집계표!#REF!</definedName>
    <definedName name="TSA">[4]집계표!#REF!</definedName>
    <definedName name="TSUPPOT" hidden="1">{#N/A,#N/A,FALSE,"CCTV"}</definedName>
    <definedName name="tt">#REF!</definedName>
    <definedName name="TUBE" hidden="1">{#N/A,#N/A,FALSE,"CCTV"}</definedName>
    <definedName name="tur">#REF!</definedName>
    <definedName name="turbine">#REF!</definedName>
    <definedName name="TV" hidden="1">{#N/A,#N/A,FALSE,"CCTV"}</definedName>
    <definedName name="TVB">[4]집계표!#REF!</definedName>
    <definedName name="TVBF">[4]집계표!#REF!</definedName>
    <definedName name="TVBK">[4]집계표!#REF!</definedName>
    <definedName name="TVF">[4]집계표!#REF!</definedName>
    <definedName name="TVH">[4]집계표!#REF!</definedName>
    <definedName name="TVM">[4]집계표!#REF!</definedName>
    <definedName name="TVS">[4]집계표!#REF!</definedName>
    <definedName name="TVSA">[4]집계표!#REF!</definedName>
    <definedName name="TX">#REF!</definedName>
    <definedName name="Type">'[62]Maintenance Work Order'!#REF!</definedName>
    <definedName name="TYPE10">#REF!</definedName>
    <definedName name="typical_schematic_001">#REF!</definedName>
    <definedName name="UB" hidden="1">{#N/A,#N/A,FALSE,"CCTV"}</definedName>
    <definedName name="UD">#REF!</definedName>
    <definedName name="udt_support_id1_001">#REF!</definedName>
    <definedName name="udt_support_id10_001">#REF!</definedName>
    <definedName name="udt_support_id11_001">#REF!</definedName>
    <definedName name="udt_support_id12_001">#REF!</definedName>
    <definedName name="udt_support_id13_001">#REF!</definedName>
    <definedName name="udt_support_id14_001">#REF!</definedName>
    <definedName name="udt_support_id15_001">#REF!</definedName>
    <definedName name="udt_support_id16_001">#REF!</definedName>
    <definedName name="udt_support_id2_001">#REF!</definedName>
    <definedName name="udt_support_id3_001">#REF!</definedName>
    <definedName name="udt_support_id4_001">#REF!</definedName>
    <definedName name="udt_support_id5_001">#REF!</definedName>
    <definedName name="udt_support_id6_001">#REF!</definedName>
    <definedName name="udt_support_id7_001">#REF!</definedName>
    <definedName name="udt_support_id8_001">#REF!</definedName>
    <definedName name="udt_support_id9_001">#REF!</definedName>
    <definedName name="ue____I¨￡">#N/A</definedName>
    <definedName name="ue____Iª">#N/A</definedName>
    <definedName name="ùê____Íª">#N/A</definedName>
    <definedName name="UIU"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UKKY"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UKUYK"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ul">#REF!</definedName>
    <definedName name="UNI_FILT_OFFSPEC">2</definedName>
    <definedName name="UNI_FILT_ONSPEC">1</definedName>
    <definedName name="UNI_NOTHING">0</definedName>
    <definedName name="UNI_PRES_FILTER">1</definedName>
    <definedName name="UNI_PRES_HEADINGS">16</definedName>
    <definedName name="UNI_PRES_INVERT">2</definedName>
    <definedName name="UNI_PRES_MATRIX">4</definedName>
    <definedName name="UNI_PRES_MERGED">8</definedName>
    <definedName name="UNI_PRES_OUTLIERS">32</definedName>
    <definedName name="UNI_RET_ATTRIB">64</definedName>
    <definedName name="UNI_RET_CONF">32</definedName>
    <definedName name="UNI_RET_DESC">4</definedName>
    <definedName name="UNI_RET_EQUIP">1</definedName>
    <definedName name="UNI_RET_OFFSPEC">512</definedName>
    <definedName name="UNI_RET_ONSPEC">256</definedName>
    <definedName name="UNI_RET_PROP">32</definedName>
    <definedName name="UNI_RET_PROPDESC">64</definedName>
    <definedName name="UNI_RET_SMPLPNT">4</definedName>
    <definedName name="UNI_RET_SPECMAX">2048</definedName>
    <definedName name="UNI_RET_SPECMIN">1024</definedName>
    <definedName name="UNI_RET_TAG">1</definedName>
    <definedName name="UNI_RET_TESTTIME">128</definedName>
    <definedName name="UNI_RET_TIME">8</definedName>
    <definedName name="UNI_RET_UNIT">2</definedName>
    <definedName name="UNI_RET_VALUE">16</definedName>
    <definedName name="UNION">#REF!</definedName>
    <definedName name="Unique">#REF!</definedName>
    <definedName name="UniqueFrom">#REF!</definedName>
    <definedName name="UniqueTo">#REF!</definedName>
    <definedName name="UNIT">#N/A</definedName>
    <definedName name="unit_id_001">#REF!</definedName>
    <definedName name="Unit_Matl">[44]Proposal!#REF!</definedName>
    <definedName name="Unit_MD">[44]Proposal!#REF!</definedName>
    <definedName name="Unit100">[59]U00!$C$8:$M$107</definedName>
    <definedName name="Unit101">[59]U01!$C$8:$M$107</definedName>
    <definedName name="Unit102">[59]U02!$C$8:$M$107</definedName>
    <definedName name="Unit103">[59]U03!$C$8:$M$107</definedName>
    <definedName name="Unit106">[59]U06!$C$8:$M$107</definedName>
    <definedName name="Unit107">[59]U07!$C$8:$M$107</definedName>
    <definedName name="Unit108">[59]U08!$C$8:$M$107</definedName>
    <definedName name="Unit109">[59]U09!$C$8:$M$107</definedName>
    <definedName name="Unit110">[59]U10!$C$8:$M$107</definedName>
    <definedName name="Unit111">[59]U11!$C$8:$M$107</definedName>
    <definedName name="Unit113">[59]U13!$C$8:$M$107</definedName>
    <definedName name="Unit120">#REF!</definedName>
    <definedName name="Unit121">[59]U21!$C$8:$M$107</definedName>
    <definedName name="Unit125">[59]U25!$C$8:$M$107</definedName>
    <definedName name="Unit126">[59]U26!$C$8:$M$107</definedName>
    <definedName name="Unit129">[59]U29!$C$8:$M$107</definedName>
    <definedName name="Unit130">[59]U30!$C$8:$M$107</definedName>
    <definedName name="Unit131">[59]U31_Base!$C$8:$M$107</definedName>
    <definedName name="Unit140">[59]U40!$C$8:$M$107</definedName>
    <definedName name="Unit142">[59]U42!$C$8:$M$107</definedName>
    <definedName name="Unit143">[59]U43!$C$8:$M$107</definedName>
    <definedName name="Unit145">[59]U45!$C$8:$M$107</definedName>
    <definedName name="Unit147">[59]U47!$C$8:$M$107</definedName>
    <definedName name="Unit148">[59]U48!$C$8:$M$107</definedName>
    <definedName name="Unit160">[59]U60!$C$8:$M$107</definedName>
    <definedName name="UNITNO">#REF!</definedName>
    <definedName name="Units_Value">[48]Instructions!$AO$18</definedName>
    <definedName name="uom_id_001">#REF!</definedName>
    <definedName name="UP">#REF!</definedName>
    <definedName name="USD">#REF!</definedName>
    <definedName name="user_name_001">#REF!</definedName>
    <definedName name="UTILITY_ELECTRICAL_MATERIAL">#REF!</definedName>
    <definedName name="v">#REF!</definedName>
    <definedName name="VALVE_AREA">#REF!</definedName>
    <definedName name="VB">[4]집계표!#REF!</definedName>
    <definedName name="VBF">[4]집계표!#REF!</definedName>
    <definedName name="VBK">[4]집계표!#REF!</definedName>
    <definedName name="VD">#REF!</definedName>
    <definedName name="VDL">#REF!</definedName>
    <definedName name="VF">[4]집계표!#REF!</definedName>
    <definedName name="vffsfs" hidden="1">{#N/A,#N/A,TRUE,"Basic";#N/A,#N/A,TRUE,"EXT-TABLE";#N/A,#N/A,TRUE,"STEEL";#N/A,#N/A,TRUE,"INT-Table";#N/A,#N/A,TRUE,"STEEL";#N/A,#N/A,TRUE,"Door"}</definedName>
    <definedName name="vffsfs_1" hidden="1">{#N/A,#N/A,TRUE,"Basic";#N/A,#N/A,TRUE,"EXT-TABLE";#N/A,#N/A,TRUE,"STEEL";#N/A,#N/A,TRUE,"INT-Table";#N/A,#N/A,TRUE,"STEEL";#N/A,#N/A,TRUE,"Door"}</definedName>
    <definedName name="VH">[4]집계표!#REF!</definedName>
    <definedName name="VM">[4]집계표!#REF!</definedName>
    <definedName name="VOLUME_90_ELBOW">#REF!</definedName>
    <definedName name="VOLUME_STR_PIPE">#REF!</definedName>
    <definedName name="vpstatus">#REF!</definedName>
    <definedName name="VS">[4]집계표!#REF!</definedName>
    <definedName name="VSA">[4]집계표!#REF!</definedName>
    <definedName name="VV">#REF!</definedName>
    <definedName name="VVV">#REF!</definedName>
    <definedName name="vvvv">#REF!</definedName>
    <definedName name="VXCVXVXCV"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W">#REF!</definedName>
    <definedName name="WAGE">#REF!</definedName>
    <definedName name="Warehouse">[19]상반기손익차2총괄!#REF!</definedName>
    <definedName name="Waste" hidden="1">{#N/A,#N/A,TRUE,"Basic";#N/A,#N/A,TRUE,"EXT-TABLE";#N/A,#N/A,TRUE,"STEEL";#N/A,#N/A,TRUE,"INT-Table";#N/A,#N/A,TRUE,"STEEL";#N/A,#N/A,TRUE,"Door"}</definedName>
    <definedName name="WB">[4]집계표!#REF!</definedName>
    <definedName name="WBF">[4]집계표!#REF!</definedName>
    <definedName name="WBK">[4]집계표!#REF!</definedName>
    <definedName name="wdj">#REF!</definedName>
    <definedName name="WE">#REF!</definedName>
    <definedName name="WEEE"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WEIGHT">#REF!</definedName>
    <definedName name="WEQWE"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WF">[4]집계표!#REF!</definedName>
    <definedName name="WFC" hidden="1">#REF!</definedName>
    <definedName name="WH">[4]집계표!#REF!</definedName>
    <definedName name="wire_group_id_001">#REF!</definedName>
    <definedName name="WM">[4]집계표!#REF!</definedName>
    <definedName name="WOL">#REF!</definedName>
    <definedName name="won">#REF!</definedName>
    <definedName name="WORKSHOP" hidden="1">{#N/A,#N/A,TRUE,"Basic";#N/A,#N/A,TRUE,"EXT-TABLE";#N/A,#N/A,TRUE,"STEEL";#N/A,#N/A,TRUE,"INT-Table";#N/A,#N/A,TRUE,"STEEL";#N/A,#N/A,TRUE,"Door"}</definedName>
    <definedName name="WORLDBEST">BlankMacro1</definedName>
    <definedName name="WR" hidden="1">{#N/A,#N/A,FALSE,"CCTV"}</definedName>
    <definedName name="WRITE" hidden="1">{#N/A,#N/A,FALSE,"CCTV"}</definedName>
    <definedName name="wrn.BM." hidden="1">{#N/A,#N/A,TRUE,"Basic";#N/A,#N/A,TRUE,"EXT-TABLE";#N/A,#N/A,TRUE,"STEEL";#N/A,#N/A,TRUE,"INT-Table";#N/A,#N/A,TRUE,"STEEL";#N/A,#N/A,TRUE,"Door"}</definedName>
    <definedName name="wrn.BM._1" hidden="1">{#N/A,#N/A,TRUE,"Basic";#N/A,#N/A,TRUE,"EXT-TABLE";#N/A,#N/A,TRUE,"STEEL";#N/A,#N/A,TRUE,"INT-Table";#N/A,#N/A,TRUE,"STEEL";#N/A,#N/A,TRUE,"Door"}</definedName>
    <definedName name="wrn.CBA."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wrn.CBA_RO." hidden="1">{#N/A,#N/A,FALSE,"C-001";#N/A,#N/A,FALSE,"C-002";#N/A,#N/A,FALSE,"C-003";#N/A,#N/A,FALSE,"C-004";#N/A,#N/A,FALSE,"C-005";#N/A,#N/A,FALSE,"C-006";#N/A,#N/A,FALSE,"C-007";#N/A,#N/A,FALSE,"C-008";#N/A,#N/A,FALSE,"CF-001";#N/A,#N/A,FALSE,"H-001";#N/A,#N/A,FALSE,"P-001";#N/A,#N/A,FALSE,"P-002";#N/A,#N/A,FALSE,"P-003";#N/A,#N/A,FALSE,"P-004";#N/A,#N/A,FALSE,"P-005";#N/A,#N/A,FALSE,"P-006";#N/A,#N/A,FALSE,"P-001,2,3,4,5";#N/A,#N/A,FALSE,"P-007";#N/A,#N/A,FALSE,"X-001";#N/A,#N/A,FALSE,"X-004"}</definedName>
    <definedName name="wrn.CBA_ST."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wrn.PSV." hidden="1">{#N/A,#N/A,TRUE,"sheet 1";#N/A,#N/A,TRUE,"sheet 2";#N/A,#N/A,TRUE,"PSV Calculation";#N/A,#N/A,TRUE,"Stoffdaten"}</definedName>
    <definedName name="wrn.SRU._.CONDENSER." hidden="1">{#N/A,#N/A,FALSE,"HXSheet1";#N/A,#N/A,FALSE,"Sheet2";#N/A,#N/A,FALSE,"Sheet3";#N/A,#N/A,FALSE,"Sheet4"}</definedName>
    <definedName name="wrn.몽골향._.CONTAINER._.INVENTORY." hidden="1">{"정욱찬 - 기본 보기",#N/A,TRUE,"몽골향 수출화물"}</definedName>
    <definedName name="WS">[4]집계표!#REF!</definedName>
    <definedName name="WSA">[4]집계표!#REF!</definedName>
    <definedName name="WV">#REF!</definedName>
    <definedName name="ww" hidden="1">{#N/A,#N/A,FALSE,"CCTV"}</definedName>
    <definedName name="www" hidden="1">{#N/A,#N/A,TRUE,"Basic";#N/A,#N/A,TRUE,"EXT-TABLE";#N/A,#N/A,TRUE,"STEEL";#N/A,#N/A,TRUE,"INT-Table";#N/A,#N/A,TRUE,"STEEL";#N/A,#N/A,TRUE,"Door"}</definedName>
    <definedName name="WZ" hidden="1">{#N/A,#N/A,FALSE,"CCTV"}</definedName>
    <definedName name="X">#REF!</definedName>
    <definedName name="XC" hidden="1">{#N/A,#N/A,FALSE,"CCTV"}</definedName>
    <definedName name="xcoincidencefactor_001">#REF!</definedName>
    <definedName name="XCZCZ"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XX">BlankMacro1</definedName>
    <definedName name="XXX">#REF!</definedName>
    <definedName name="XXXXX">#REF!</definedName>
    <definedName name="Y"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y_strainer">#REF!</definedName>
    <definedName name="ycoincidencefactor_001">#REF!</definedName>
    <definedName name="YN">#REF!</definedName>
    <definedName name="ynkim" hidden="1">{#N/A,#N/A,TRUE,"Basic";#N/A,#N/A,TRUE,"EXT-TABLE";#N/A,#N/A,TRUE,"STEEL";#N/A,#N/A,TRUE,"INT-Table";#N/A,#N/A,TRUE,"STEEL";#N/A,#N/A,TRUE,"Door"}</definedName>
    <definedName name="ys">#REF!</definedName>
    <definedName name="YSB">#REF!</definedName>
    <definedName name="YU"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yy">#REF!</definedName>
    <definedName name="Z">BlankMacro1</definedName>
    <definedName name="Z_L_I_T_E_N">#N/A</definedName>
    <definedName name="zaa" hidden="1">{#N/A,#N/A,FALSE,"CCTV"}</definedName>
    <definedName name="zcoincidencefactor_001">#REF!</definedName>
    <definedName name="ZOKI">[20]회사99!#REF!</definedName>
    <definedName name="ZONE">#REF!</definedName>
    <definedName name="ZONE_IMP">#REF!</definedName>
    <definedName name="Zone_impres_MI">#REF!</definedName>
    <definedName name="zz">'[63]h-013211-2'!$Q$5</definedName>
    <definedName name="zzcoincidencefactor_001">#REF!</definedName>
    <definedName name="zzz" hidden="1">{#N/A,#N/A,TRUE,"Basic";#N/A,#N/A,TRUE,"EXT-TABLE";#N/A,#N/A,TRUE,"STEEL";#N/A,#N/A,TRUE,"INT-Table";#N/A,#N/A,TRUE,"STEEL";#N/A,#N/A,TRUE,"Door"}</definedName>
    <definedName name="ZZZZ">#REF!</definedName>
    <definedName name="ZZZZZ">#REF!</definedName>
    <definedName name="ZZZZZZZZ">#REF!</definedName>
    <definedName name="π">PI()</definedName>
    <definedName name="ㄱ">#REF!</definedName>
    <definedName name="ㄱ미" hidden="1">{#N/A,#N/A,TRUE,"Basic";#N/A,#N/A,TRUE,"EXT-TABLE";#N/A,#N/A,TRUE,"STEEL";#N/A,#N/A,TRUE,"INT-Table";#N/A,#N/A,TRUE,"STEEL";#N/A,#N/A,TRUE,"Door"}</definedName>
    <definedName name="ㄱ미_1" hidden="1">{#N/A,#N/A,TRUE,"Basic";#N/A,#N/A,TRUE,"EXT-TABLE";#N/A,#N/A,TRUE,"STEEL";#N/A,#N/A,TRUE,"INT-Table";#N/A,#N/A,TRUE,"STEEL";#N/A,#N/A,TRUE,"Door"}</definedName>
    <definedName name="가">#REF!</definedName>
    <definedName name="가공조립보통인부공수">#REF!</definedName>
    <definedName name="가공조립용접공공수">#REF!</definedName>
    <definedName name="가공조립철공공수">#REF!</definedName>
    <definedName name="가져오기">INDEX(사진,MATCH([64]주간행사내부용!#REF!,넘버,0))</definedName>
    <definedName name="간접노무비">#REF!</definedName>
    <definedName name="간접노무비계">#REF!</definedName>
    <definedName name="갈바후렉스_돌출">#REF!</definedName>
    <definedName name="갈바후렉스_전면">#REF!</definedName>
    <definedName name="감" hidden="1">{#N/A,#N/A,TRUE,"Basic";#N/A,#N/A,TRUE,"EXT-TABLE";#N/A,#N/A,TRUE,"STEEL";#N/A,#N/A,TRUE,"INT-Table";#N/A,#N/A,TRUE,"STEEL";#N/A,#N/A,TRUE,"Door"}</definedName>
    <definedName name="감리비">#REF!</definedName>
    <definedName name="감리비용">#REF!</definedName>
    <definedName name="감리비적용">#REF!</definedName>
    <definedName name="감리적용">#REF!</definedName>
    <definedName name="감리적용1">#REF!</definedName>
    <definedName name="감리적용비">#REF!</definedName>
    <definedName name="감리적용요금1">#REF!</definedName>
    <definedName name="감리적용요금2">#REF!</definedName>
    <definedName name="감리적용요금3">#REF!</definedName>
    <definedName name="감리적용요금4">#REF!</definedName>
    <definedName name="감리적용요금5">#REF!</definedName>
    <definedName name="감리적용요금6">#REF!</definedName>
    <definedName name="감리적용요금7">#REF!</definedName>
    <definedName name="감리적용요율">#REF!</definedName>
    <definedName name="감리최고1">#REF!</definedName>
    <definedName name="감리최고2">#REF!</definedName>
    <definedName name="감리최고3">#REF!</definedName>
    <definedName name="감리최고4">#REF!</definedName>
    <definedName name="감리최고5">#REF!</definedName>
    <definedName name="감리최고6">#REF!</definedName>
    <definedName name="감리최고7">#REF!</definedName>
    <definedName name="감리최고요율">#REF!</definedName>
    <definedName name="감리최저1">#REF!</definedName>
    <definedName name="감리최저2">#REF!</definedName>
    <definedName name="감리최저3">#REF!</definedName>
    <definedName name="감리최저4">#REF!</definedName>
    <definedName name="감리최저5">#REF!</definedName>
    <definedName name="감리최저6">#REF!</definedName>
    <definedName name="감리최저7">#REF!</definedName>
    <definedName name="감리최저요율">#REF!</definedName>
    <definedName name="갑">#REF!</definedName>
    <definedName name="갑지" hidden="1">{#N/A,#N/A,FALSE,"CCTV"}</definedName>
    <definedName name="강1">#REF!</definedName>
    <definedName name="강2">#REF!</definedName>
    <definedName name="강3">#REF!</definedName>
    <definedName name="개발비">#REF!</definedName>
    <definedName name="개수">#REF!</definedName>
    <definedName name="개조내화실">#REF!</definedName>
    <definedName name="개조락울">#REF!</definedName>
    <definedName name="개조방화도료">#REF!</definedName>
    <definedName name="개조방화판">#REF!</definedName>
    <definedName name="개조볼트">#REF!</definedName>
    <definedName name="거리">#REF!</definedName>
    <definedName name="건">#N/A</definedName>
    <definedName name="건축목공노임">#REF!</definedName>
    <definedName name="겉표지" hidden="1">{#N/A,#N/A,TRUE,"Basic";#N/A,#N/A,TRUE,"EXT-TABLE";#N/A,#N/A,TRUE,"STEEL";#N/A,#N/A,TRUE,"INT-Table";#N/A,#N/A,TRUE,"STEEL";#N/A,#N/A,TRUE,"Door"}</definedName>
    <definedName name="겡오" hidden="1">{#N/A,#N/A,FALSE,"CCTV"}</definedName>
    <definedName name="견적SHEET" hidden="1">{#N/A,#N/A,FALSE,"CCTV"}</definedName>
    <definedName name="견적기준">#REF!</definedName>
    <definedName name="경비">#REF!</definedName>
    <definedName name="경비계">#REF!</definedName>
    <definedName name="경비조정중기">#REF!</definedName>
    <definedName name="경유">#REF!</definedName>
    <definedName name="경제">[61]세금자료!$A$3:$D$52</definedName>
    <definedName name="계령공노임">#REF!</definedName>
    <definedName name="계설치공노임">#REF!</definedName>
    <definedName name="계장">#REF!</definedName>
    <definedName name="계장공사" hidden="1">{#N/A,#N/A,FALSE,"CCTV"}</definedName>
    <definedName name="계획">#REF!</definedName>
    <definedName name="고급">#REF!</definedName>
    <definedName name="고급감리인건비">#REF!</definedName>
    <definedName name="고압케이블공노임">#REF!</definedName>
    <definedName name="공사_NDE">[65]공사비_NDE!$A$1:$K$6295</definedName>
    <definedName name="공사_PAINT">[65]공사비_NDE!$A$1:$K$6295</definedName>
    <definedName name="공사명">#REF!</definedName>
    <definedName name="공사비">#REF!</definedName>
    <definedName name="공사손익.중국">#REF!</definedName>
    <definedName name="공사원가">#REF!</definedName>
    <definedName name="공일">#REF!</definedName>
    <definedName name="공통부대">#REF!</definedName>
    <definedName name="궤도공노임">#REF!</definedName>
    <definedName name="규모별보정">#REF!</definedName>
    <definedName name="금액">#REF!</definedName>
    <definedName name="기계">#REF!</definedName>
    <definedName name="기계1">#REF!</definedName>
    <definedName name="기계공노임">#REF!</definedName>
    <definedName name="기계기계">{"Book1","AP-37.xls"}</definedName>
    <definedName name="기계설치공노임">#REF!</definedName>
    <definedName name="기사">#REF!</definedName>
    <definedName name="기설">#REF!</definedName>
    <definedName name="기성">#REF!</definedName>
    <definedName name="기준2">ROUND([0]!기준2*0.0254,3)</definedName>
    <definedName name="기타경비">#REF!</definedName>
    <definedName name="기타경비대">#REF!</definedName>
    <definedName name="기타경비요율">#REF!</definedName>
    <definedName name="김" hidden="1">{#N/A,#N/A,TRUE,"Basic";#N/A,#N/A,TRUE,"EXT-TABLE";#N/A,#N/A,TRUE,"STEEL";#N/A,#N/A,TRUE,"INT-Table";#N/A,#N/A,TRUE,"STEEL";#N/A,#N/A,TRUE,"Door"}</definedName>
    <definedName name="김_1" hidden="1">{#N/A,#N/A,TRUE,"Basic";#N/A,#N/A,TRUE,"EXT-TABLE";#N/A,#N/A,TRUE,"STEEL";#N/A,#N/A,TRUE,"INT-Table";#N/A,#N/A,TRUE,"STEEL";#N/A,#N/A,TRUE,"Door"}</definedName>
    <definedName name="김1" hidden="1">{#N/A,#N/A,TRUE,"Basic";#N/A,#N/A,TRUE,"EXT-TABLE";#N/A,#N/A,TRUE,"STEEL";#N/A,#N/A,TRUE,"INT-Table";#N/A,#N/A,TRUE,"STEEL";#N/A,#N/A,TRUE,"Door"}</definedName>
    <definedName name="김1_1" hidden="1">{#N/A,#N/A,TRUE,"Basic";#N/A,#N/A,TRUE,"EXT-TABLE";#N/A,#N/A,TRUE,"STEEL";#N/A,#N/A,TRUE,"INT-Table";#N/A,#N/A,TRUE,"STEEL";#N/A,#N/A,TRUE,"Door"}</definedName>
    <definedName name="김2">#REF!</definedName>
    <definedName name="김3" hidden="1">{#N/A,#N/A,TRUE,"Basic";#N/A,#N/A,TRUE,"EXT-TABLE";#N/A,#N/A,TRUE,"STEEL";#N/A,#N/A,TRUE,"INT-Table";#N/A,#N/A,TRUE,"STEEL";#N/A,#N/A,TRUE,"Door"}</definedName>
    <definedName name="김3_1" hidden="1">{#N/A,#N/A,TRUE,"Basic";#N/A,#N/A,TRUE,"EXT-TABLE";#N/A,#N/A,TRUE,"STEEL";#N/A,#N/A,TRUE,"INT-Table";#N/A,#N/A,TRUE,"STEEL";#N/A,#N/A,TRUE,"Door"}</definedName>
    <definedName name="김김김">#REF!</definedName>
    <definedName name="김성배_상무">#REF!</definedName>
    <definedName name="김전진행">#REF!</definedName>
    <definedName name="김전진행2">#REF!</definedName>
    <definedName name="김전청산">#REF!</definedName>
    <definedName name="김희진행">#REF!</definedName>
    <definedName name="김희진행2">#REF!</definedName>
    <definedName name="김희청산">#REF!</definedName>
    <definedName name="ㄴ">#REF!</definedName>
    <definedName name="ㄴㄴㄴ">#N/A</definedName>
    <definedName name="ㄴㄴㄴㄴㅇ">#N/A</definedName>
    <definedName name="ㄴㄹㅇ" hidden="1">{#N/A,#N/A,TRUE,"Basic";#N/A,#N/A,TRUE,"EXT-TABLE";#N/A,#N/A,TRUE,"STEEL";#N/A,#N/A,TRUE,"INT-Table";#N/A,#N/A,TRUE,"STEEL";#N/A,#N/A,TRUE,"Door"}</definedName>
    <definedName name="ㄴㅁㅁㄴㄴㅁ">#N/A</definedName>
    <definedName name="ㄴㅇㄴㄹ" hidden="1">{#N/A,#N/A,FALSE,"CCTV"}</definedName>
    <definedName name="나">#REF!</definedName>
    <definedName name="내선전공">#REF!</definedName>
    <definedName name="내장공">#REF!</definedName>
    <definedName name="내화실노무비적용">#REF!</definedName>
    <definedName name="내화실적용">#REF!</definedName>
    <definedName name="넘버">[64]주간행사내부용!$A$12:$A$15</definedName>
    <definedName name="네온_갈바_스카시">#REF!</definedName>
    <definedName name="네온_갈바_쟌넬">#REF!</definedName>
    <definedName name="네온_포엠_스카시">#REF!</definedName>
    <definedName name="네온_포엠_쟌넬">#REF!</definedName>
    <definedName name="년초99">#REF!</definedName>
    <definedName name="노무비">#REF!</definedName>
    <definedName name="노무비계">#REF!</definedName>
    <definedName name="노무비총계">#REF!</definedName>
    <definedName name="노출_카테고리명">[66]분류표_변경!$H$3:$H$31</definedName>
    <definedName name="ㄷㄷ">#N/A</definedName>
    <definedName name="ㄷㄷㄷ">#REF!</definedName>
    <definedName name="닥트">#REF!</definedName>
    <definedName name="닥트공노임">#REF!</definedName>
    <definedName name="단가">#REF!</definedName>
    <definedName name="단가적용표">#REF!</definedName>
    <definedName name="단면적">#REF!</definedName>
    <definedName name="달러">#REF!</definedName>
    <definedName name="당초계획" hidden="1">#REF!</definedName>
    <definedName name="대">#REF!</definedName>
    <definedName name="대비">#REF!</definedName>
    <definedName name="대비표">#REF!</definedName>
    <definedName name="대아설계가">'[67]b_balju-단가단가단가'!$A$1:$I$5478</definedName>
    <definedName name="도급공사비">#REF!</definedName>
    <definedName name="도급공사비적용">#REF!</definedName>
    <definedName name="도급재료비">#REF!</definedName>
    <definedName name="도급재료비계">#REF!</definedName>
    <definedName name="도장">#REF!</definedName>
    <definedName name="도장공노임">#REF!</definedName>
    <definedName name="도장면적계">#REF!</definedName>
    <definedName name="도장자재비">#REF!</definedName>
    <definedName name="ㄹㄹㄹㄹㅀㅎ">#N/A</definedName>
    <definedName name="ㄹㅇㅁ">[68]사업부배부A!#REF!</definedName>
    <definedName name="락울적용">#REF!</definedName>
    <definedName name="ㅁ">#N/A</definedName>
    <definedName name="ㅁ1">#REF!</definedName>
    <definedName name="ㅁ1180">#REF!</definedName>
    <definedName name="ㅁ139">#REF!</definedName>
    <definedName name="ㅁ155">#REF!</definedName>
    <definedName name="ㅁ300">#REF!</definedName>
    <definedName name="ㅁ545">#REF!</definedName>
    <definedName name="ㅁㄱ해ㅜ5" hidden="1">[69]PI!#REF!</definedName>
    <definedName name="ㅁㄴㅁㅁ">#N/A</definedName>
    <definedName name="ㅁㄴㅇㄻ">#REF!</definedName>
    <definedName name="ㅁㄹㅇㅁㄹ">#REF!</definedName>
    <definedName name="ㅁㅁㅁ">#REF!</definedName>
    <definedName name="ㅁㅁㅁㅁ">#REF!</definedName>
    <definedName name="먁" hidden="1">#REF!</definedName>
    <definedName name="메모">#REF!</definedName>
    <definedName name="메모3">#REF!</definedName>
    <definedName name="목공">#REF!</definedName>
    <definedName name="목도">#REF!</definedName>
    <definedName name="목도공노임">#REF!</definedName>
    <definedName name="물량">#REF!</definedName>
    <definedName name="물품대">#REF!</definedName>
    <definedName name="뭐야">#REF!</definedName>
    <definedName name="미장공노임">#REF!</definedName>
    <definedName name="ㅂ">#N/A</definedName>
    <definedName name="ㅂㅂㅂ">#N/A</definedName>
    <definedName name="ㅂㅂㅂㅂㅂ">#N/A</definedName>
    <definedName name="바보">#REF!</definedName>
    <definedName name="바이브레이트공노임">#REF!</definedName>
    <definedName name="바인드와이어적용">#REF!</definedName>
    <definedName name="발표양식">#N/A</definedName>
    <definedName name="방수">#REF!</definedName>
    <definedName name="방수공노임">#REF!</definedName>
    <definedName name="방청PAINT단가">#REF!</definedName>
    <definedName name="방청페인트자재비">#REF!</definedName>
    <definedName name="방화노무비">#REF!</definedName>
    <definedName name="방화도료면적적용">#REF!</definedName>
    <definedName name="방화도료적용">#REF!</definedName>
    <definedName name="방화자재비">#REF!</definedName>
    <definedName name="방화판적용">#REF!</definedName>
    <definedName name="방화판할증적용">#REF!</definedName>
    <definedName name="배관">#REF!</definedName>
    <definedName name="배부기준">[70]영업소실적!#REF!</definedName>
    <definedName name="배부내역">[24]주관사업!#REF!</definedName>
    <definedName name="배전전공노임">#REF!</definedName>
    <definedName name="배전활선전공노임">#REF!</definedName>
    <definedName name="버티">#N/A</definedName>
    <definedName name="번호">#REF!</definedName>
    <definedName name="보고양식1">#REF!</definedName>
    <definedName name="보고양식2">#REF!</definedName>
    <definedName name="보고양식3">#REF!</definedName>
    <definedName name="보온">#REF!</definedName>
    <definedName name="보온공">#REF!</definedName>
    <definedName name="보온공노임">#REF!</definedName>
    <definedName name="보인">#REF!</definedName>
    <definedName name="보일">#REF!</definedName>
    <definedName name="보충" hidden="1">#REF!</definedName>
    <definedName name="보통">#REF!</definedName>
    <definedName name="보험료">#REF!</definedName>
    <definedName name="보험료요율">#REF!</definedName>
    <definedName name="복사">#REF!</definedName>
    <definedName name="볼트적용">#REF!</definedName>
    <definedName name="부하전류">#REF!</definedName>
    <definedName name="불러오기">INDEX(사진,match+#REF!(사진,#REF!,0,2))</definedName>
    <definedName name="비계">#REF!</definedName>
    <definedName name="빈칸">#REF!</definedName>
    <definedName name="사">ROUND([0]!사*0.0254,3)</definedName>
    <definedName name="사급공사비">#REF!</definedName>
    <definedName name="사급재료비">#REF!</definedName>
    <definedName name="사급재료비계">#REF!</definedName>
    <definedName name="사급적용">#REF!</definedName>
    <definedName name="사업계획">#REF!</definedName>
    <definedName name="사업부양식2" hidden="1">#REF!</definedName>
    <definedName name="사진">[64]주간행사내부용!$A$12:$C$15</definedName>
    <definedName name="사진가져오기">INDEX(사진,MATCH(#REF!,넘버,0),3)</definedName>
    <definedName name="사진가져오기2">INDEX(사진,MATCH(#REF!,넘버,0),3)</definedName>
    <definedName name="산소단가">#REF!</definedName>
    <definedName name="산소물량">#REF!</definedName>
    <definedName name="산소자재비">#REF!</definedName>
    <definedName name="산출" hidden="1">#REF!</definedName>
    <definedName name="산출기준">ROUND([0]!산출기준*0.0254,3)</definedName>
    <definedName name="상">#REF!</definedName>
    <definedName name="상각비2" hidden="1">#REF!</definedName>
    <definedName name="상온C">#REF!</definedName>
    <definedName name="선투입추정">#REF!</definedName>
    <definedName name="설계비">#REF!</definedName>
    <definedName name="설계비2">#REF!</definedName>
    <definedName name="설계용역비">#REF!</definedName>
    <definedName name="설계집계">'[67]b_balju-단가단가단가'!$A$1:$I$5478</definedName>
    <definedName name="설비물량">#REF!</definedName>
    <definedName name="세원중공업">#REF!</definedName>
    <definedName name="소모비">#REF!</definedName>
    <definedName name="손익계산서" hidden="1">#REF!</definedName>
    <definedName name="수" hidden="1">{#N/A,#N/A,TRUE,"Basic";#N/A,#N/A,TRUE,"EXT-TABLE";#N/A,#N/A,TRUE,"STEEL";#N/A,#N/A,TRUE,"INT-Table";#N/A,#N/A,TRUE,"STEEL";#N/A,#N/A,TRUE,"Door"}</definedName>
    <definedName name="수_1" hidden="1">{#N/A,#N/A,TRUE,"Basic";#N/A,#N/A,TRUE,"EXT-TABLE";#N/A,#N/A,TRUE,"STEEL";#N/A,#N/A,TRUE,"INT-Table";#N/A,#N/A,TRUE,"STEEL";#N/A,#N/A,TRUE,"Door"}</definedName>
    <definedName name="수목">#REF!</definedName>
    <definedName name="수수">#N/A</definedName>
    <definedName name="수수수">#N/A</definedName>
    <definedName name="수수실적7월">#N/A</definedName>
    <definedName name="신규">#REF!</definedName>
    <definedName name="신규계획97">#REF!</definedName>
    <definedName name="新規工事__小計">#REF!</definedName>
    <definedName name="新規工事_計">#N/A</definedName>
    <definedName name="新規工事_小計">#REF!</definedName>
    <definedName name="신규사업97">#REF!</definedName>
    <definedName name="新規推進__小計">#REF!</definedName>
    <definedName name="신너단가">#REF!</definedName>
    <definedName name="신너자재비">#REF!</definedName>
    <definedName name="신설내화실">#REF!</definedName>
    <definedName name="신진공사">#REF!</definedName>
    <definedName name="신진자금">#REF!</definedName>
    <definedName name="실적">#N/A</definedName>
    <definedName name="싫다">{"Book1","AP-37.xls"}</definedName>
    <definedName name="ㅇ">#N/A</definedName>
    <definedName name="ㅇ191">#REF!</definedName>
    <definedName name="ㅇㄴㅁㄴㅁㄴㅇㄴㅇㅁㄴㅇㅁㄴㅇㅁㄴㅇㅇㄴㄴㅇㅇㄴㅁ">#N/A</definedName>
    <definedName name="ㅇㄴㅇ">#N/A</definedName>
    <definedName name="ㅇㄹㄹ">#N/A</definedName>
    <definedName name="ㅇㅇ">#N/A</definedName>
    <definedName name="ㅇㅇㅇ">#N/A</definedName>
    <definedName name="ㅇㅇㅇㅇ" hidden="1">{"정욱찬 - 기본 보기",#N/A,TRUE,"몽골향 수출화물"}</definedName>
    <definedName name="ㅇㅇㅇㅇㅇㅇ" hidden="1">{"정욱찬 - 기본 보기",#N/A,TRUE,"몽골향 수출화물"}</definedName>
    <definedName name="아아">#REF!</definedName>
    <definedName name="안성진행">#REF!</definedName>
    <definedName name="안성진행2">#REF!</definedName>
    <definedName name="안성청산">#REF!</definedName>
    <definedName name="안전관리">#REF!</definedName>
    <definedName name="안전관리비">#REF!</definedName>
    <definedName name="안전관리비대">#REF!</definedName>
    <definedName name="안전관리비요율">#REF!</definedName>
    <definedName name="안효진행">#REF!</definedName>
    <definedName name="안효청산">#REF!</definedName>
    <definedName name="알미늄후렉스_돌출">#REF!</definedName>
    <definedName name="알미늄후렉스_전면">#REF!</definedName>
    <definedName name="약수">#N/A</definedName>
    <definedName name="역율">#REF!</definedName>
    <definedName name="연마공노임">#REF!</definedName>
    <definedName name="연마지단가">#REF!</definedName>
    <definedName name="연마지석단가">#REF!</definedName>
    <definedName name="연마지석자재비">#REF!</definedName>
    <definedName name="연마지자재비">#REF!</definedName>
    <definedName name="연습">#REF!</definedName>
    <definedName name="오1">#REF!</definedName>
    <definedName name="오2">#REF!</definedName>
    <definedName name="오3">#REF!</definedName>
    <definedName name="완공">#REF!</definedName>
    <definedName name="完工工事_計">#N/A</definedName>
    <definedName name="완제품철거물량">#REF!</definedName>
    <definedName name="용량">#REF!</definedName>
    <definedName name="용역비">#REF!</definedName>
    <definedName name="용역비1">#REF!</definedName>
    <definedName name="용역비이윤적용">#REF!</definedName>
    <definedName name="용역비적용">#REF!</definedName>
    <definedName name="용역할증">#REF!</definedName>
    <definedName name="용접">#REF!</definedName>
    <definedName name="용접봉단가">#REF!</definedName>
    <definedName name="용접봉자재비">#REF!</definedName>
    <definedName name="우성공사">#REF!</definedName>
    <definedName name="운반">#REF!</definedName>
    <definedName name="운전">#REF!</definedName>
    <definedName name="운전기계노임">#REF!</definedName>
    <definedName name="운전운반차노임">#REF!</definedName>
    <definedName name="원가계산서" hidden="1">{#N/A,#N/A,FALSE,"CCTV"}</definedName>
    <definedName name="원가네온">#REF!</definedName>
    <definedName name="원가쟌넬">#REF!</definedName>
    <definedName name="원가포엠">#REF!</definedName>
    <definedName name="원가프랑카드">#REF!</definedName>
    <definedName name="원가플랙스">#REF!</definedName>
    <definedName name="월별영업">#REF!</definedName>
    <definedName name="위생">#REF!</definedName>
    <definedName name="유1">#REF!</definedName>
    <definedName name="유2">#REF!</definedName>
    <definedName name="유3">#REF!</definedName>
    <definedName name="有價__券.1.A">#REF!</definedName>
    <definedName name="유용율보정">#REF!</definedName>
    <definedName name="유진모">#REF!</definedName>
    <definedName name="유형별보정">#REF!</definedName>
    <definedName name="이1">#REF!</definedName>
    <definedName name="이2">#REF!</definedName>
    <definedName name="이3">#REF!</definedName>
    <definedName name="이름충돌"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이식">#REF!</definedName>
    <definedName name="移越工事__小計">#REF!</definedName>
    <definedName name="이윤">#REF!</definedName>
    <definedName name="이윤요율">#REF!</definedName>
    <definedName name="이윤적용">#REF!</definedName>
    <definedName name="이추웅">#REF!</definedName>
    <definedName name="이태원">'[54]IT-BAT'!#REF!</definedName>
    <definedName name="인력투입">#REF!</definedName>
    <definedName name="인원2">[71]인원계획!#REF!</definedName>
    <definedName name="일" hidden="1">{#N/A,#N/A,TRUE,"Basic";#N/A,#N/A,TRUE,"EXT-TABLE";#N/A,#N/A,TRUE,"STEEL";#N/A,#N/A,TRUE,"INT-Table";#N/A,#N/A,TRUE,"STEEL";#N/A,#N/A,TRUE,"Door"}</definedName>
    <definedName name="일반관리비">#REF!</definedName>
    <definedName name="일반관리비요율">#REF!</definedName>
    <definedName name="ㅈ">[19]상반기손익차2총괄!#REF!</definedName>
    <definedName name="ㅈㄷㅈㄷ">#N/A</definedName>
    <definedName name="ㅈㅈㅈ">#REF!</definedName>
    <definedName name="자금수급">#REF!</definedName>
    <definedName name="작성">#REF!</definedName>
    <definedName name="잔액">#REF!</definedName>
    <definedName name="장ㅎ">ROUND([0]!장ㅎ*0.0254,3)</definedName>
    <definedName name="재료비">#REF!</definedName>
    <definedName name="재료비계">#REF!</definedName>
    <definedName name="재료비내역4">{"Book1","AP-37.xls"}</definedName>
    <definedName name="재정부">#REF!</definedName>
    <definedName name="저사양PC사용자">#REF!</definedName>
    <definedName name="적용요금">#REF!</definedName>
    <definedName name="적용요금1">#REF!</definedName>
    <definedName name="적용요금2">#REF!</definedName>
    <definedName name="적용요금3">#REF!</definedName>
    <definedName name="적용요금4">#REF!</definedName>
    <definedName name="적용요금5">#REF!</definedName>
    <definedName name="적용요금6">#REF!</definedName>
    <definedName name="적용요금7">#REF!</definedName>
    <definedName name="적용요금8">#REF!</definedName>
    <definedName name="적용요율">#REF!</definedName>
    <definedName name="전">#REF!</definedName>
    <definedName name="전기">#REF!</definedName>
    <definedName name="전기공사">#REF!</definedName>
    <definedName name="전기공사기사1급노임">#REF!</definedName>
    <definedName name="전기공사기사2급노임">#REF!</definedName>
    <definedName name="전기내역">#REF!</definedName>
    <definedName name="전기총괄">#REF!</definedName>
    <definedName name="전압강하">#REF!</definedName>
    <definedName name="전체sum">#REF!</definedName>
    <definedName name="절단공노임">#REF!</definedName>
    <definedName name="정격전압">#REF!</definedName>
    <definedName name="정격출력">#REF!</definedName>
    <definedName name="정전무사업">#REF!</definedName>
    <definedName name="정전무사업계획97">#REF!</definedName>
    <definedName name="제목">#REF!</definedName>
    <definedName name="조수">#REF!</definedName>
    <definedName name="조장">#REF!</definedName>
    <definedName name="조합1">#REF!</definedName>
    <definedName name="조합페인트자재비">#REF!</definedName>
    <definedName name="조합평균">#REF!</definedName>
    <definedName name="조합폐인트1">#REF!</definedName>
    <definedName name="조합폐인트2">#REF!</definedName>
    <definedName name="조합폐인트합">#REF!</definedName>
    <definedName name="주택사업본부">#REF!</definedName>
    <definedName name="중경">#REF!</definedName>
    <definedName name="중급">#REF!</definedName>
    <definedName name="중기">#REF!</definedName>
    <definedName name="중기운전기사노임">#REF!</definedName>
    <definedName name="중기운전조수노임">#REF!</definedName>
    <definedName name="중기조장노임">#REF!</definedName>
    <definedName name="중단공사">#REF!</definedName>
    <definedName name="中斷工事__小計">#REF!</definedName>
    <definedName name="중재">#REF!</definedName>
    <definedName name="지급임차료">#REF!</definedName>
    <definedName name="지급임차료대">#REF!</definedName>
    <definedName name="지급임차료요율">#REF!</definedName>
    <definedName name="직원">OFFSET(#REF!,1,0,COUNTA(#REF!))</definedName>
    <definedName name="직접노무비">#REF!</definedName>
    <definedName name="직접노무비계">#REF!</definedName>
    <definedName name="직접재료비">#REF!</definedName>
    <definedName name="직종별">#REF!</definedName>
    <definedName name="직종별SORT">#REF!</definedName>
    <definedName name="진행">#REF!</definedName>
    <definedName name="진행1">#REF!</definedName>
    <definedName name="進行工事__小計">#REF!</definedName>
    <definedName name="進行工事__小計1">#REF!</definedName>
    <definedName name="ㅊ1555">#REF!</definedName>
    <definedName name="ㅊ2409">#REF!</definedName>
    <definedName name="ㅊㅊ">#REF!</definedName>
    <definedName name="착암공노임">#REF!</definedName>
    <definedName name="철강보정">#REF!</definedName>
    <definedName name="철거절재물량">#REF!</definedName>
    <definedName name="철골">#REF!</definedName>
    <definedName name="철골공노임">#REF!</definedName>
    <definedName name="철공">#REF!</definedName>
    <definedName name="철구사업본부">#REF!</definedName>
    <definedName name="철근공노임">#REF!</definedName>
    <definedName name="철도신호공">#REF!</definedName>
    <definedName name="철도신호공노임">#REF!</definedName>
    <definedName name="철재가공">#REF!</definedName>
    <definedName name="철재가공물량">#REF!</definedName>
    <definedName name="철재소모자재비">#REF!</definedName>
    <definedName name="철재자재비">#REF!</definedName>
    <definedName name="철재철거물량">#REF!</definedName>
    <definedName name="철재철거보통인부공수">#REF!</definedName>
    <definedName name="철재철거비계공공수">#REF!</definedName>
    <definedName name="철재철거산소">#REF!</definedName>
    <definedName name="철재철거연마지석">#REF!</definedName>
    <definedName name="철재철거용접봉">#REF!</definedName>
    <definedName name="철재철거프랜트전공공수">#REF!</definedName>
    <definedName name="철재철거프로판">#REF!</definedName>
    <definedName name="철판공노임">#REF!</definedName>
    <definedName name="淸算工事__小計">#REF!</definedName>
    <definedName name="청상과부">#REF!</definedName>
    <definedName name="청상과부1">#REF!</definedName>
    <definedName name="초급">#REF!</definedName>
    <definedName name="총STET">#REF!</definedName>
    <definedName name="총공사비">#REF!</definedName>
    <definedName name="총공사비적용">#REF!</definedName>
    <definedName name="총락울적용">#REF!</definedName>
    <definedName name="총원가">#REF!</definedName>
    <definedName name="최건진행">#REF!</definedName>
    <definedName name="최건청산">#REF!</definedName>
    <definedName name="최건청산2">#REF!</definedName>
    <definedName name="최고요율">#REF!</definedName>
    <definedName name="최저요율">#REF!</definedName>
    <definedName name="추가">#REF!</definedName>
    <definedName name="추정사업계획">#REF!</definedName>
    <definedName name="추정손익3">{"Book1","AP-37.xls"}</definedName>
    <definedName name="추진">#REF!</definedName>
    <definedName name="측량">#REF!</definedName>
    <definedName name="커버">BlankMacro1</definedName>
    <definedName name="케이블공">#REF!</definedName>
    <definedName name="콘크리트공노임">#REF!</definedName>
    <definedName name="쾌속견적">{"Book1","AP-37.xls"}</definedName>
    <definedName name="클_레_임">#N/A</definedName>
    <definedName name="ㅌㅌㅌㅌ">{"Book1","AP-37.xls"}</definedName>
    <definedName name="태광공사">#REF!</definedName>
    <definedName name="템플리트모듈1">BlankMacro1</definedName>
    <definedName name="템플리트모듈2">BlankMacro1</definedName>
    <definedName name="템플리트모듈3">BlankMacro1</definedName>
    <definedName name="템플리트모듈4">BlankMacro1</definedName>
    <definedName name="템플리트모듈5">BlankMacro1</definedName>
    <definedName name="템플리트모듈6">BlankMacro1</definedName>
    <definedName name="토">#N/A</definedName>
    <definedName name="토목">#REF!</definedName>
    <definedName name="토목p">#REF!</definedName>
    <definedName name="토목이월">#REF!</definedName>
    <definedName name="토목이월1">#REF!</definedName>
    <definedName name="토목지입재료비">#REF!</definedName>
    <definedName name="통신외선공노임">#REF!</definedName>
    <definedName name="특고압케이블공노임">#REF!</definedName>
    <definedName name="특별">#REF!</definedName>
    <definedName name="특수비계공노임">#REF!</definedName>
    <definedName name="특용">#REF!</definedName>
    <definedName name="특인">#REF!</definedName>
    <definedName name="ㅍㅍㅍ">#N/A</definedName>
    <definedName name="표지" hidden="1">{#N/A,#N/A,TRUE,"Basic";#N/A,#N/A,TRUE,"EXT-TABLE";#N/A,#N/A,TRUE,"STEEL";#N/A,#N/A,TRUE,"INT-Table";#N/A,#N/A,TRUE,"STEEL";#N/A,#N/A,TRUE,"Door"}</definedName>
    <definedName name="표지2" hidden="1">#REF!</definedName>
    <definedName name="표지3">#REF!</definedName>
    <definedName name="품셈단가표">#REF!</definedName>
    <definedName name="프로그램비">#REF!</definedName>
    <definedName name="프로그램비적용">#REF!</definedName>
    <definedName name="프로판단가">#REF!</definedName>
    <definedName name="프로판자재비">#REF!</definedName>
    <definedName name="플">#N/A</definedName>
    <definedName name="플기">#REF!</definedName>
    <definedName name="플랜트기계설치공노임">#REF!</definedName>
    <definedName name="플랜트배관공">#REF!</definedName>
    <definedName name="플랜트배관공노임">#REF!</definedName>
    <definedName name="플랜트용접공">#REF!</definedName>
    <definedName name="플랜트용접공노임">#REF!</definedName>
    <definedName name="플랜트제관공노임">#REF!</definedName>
    <definedName name="플배">#REF!</definedName>
    <definedName name="플용">#REF!</definedName>
    <definedName name="플제">#REF!</definedName>
    <definedName name="ㅎㅎ">#N/A</definedName>
    <definedName name="한강진">#N/A</definedName>
    <definedName name="할">#REF!</definedName>
    <definedName name="함석">#REF!</definedName>
    <definedName name="함석공노임">#REF!</definedName>
    <definedName name="合____計">#N/A</definedName>
    <definedName name="합계">#REF!</definedName>
    <definedName name="해외인원추이">[33]요약배부!#REF!</definedName>
    <definedName name="해체_조립물량">#REF!</definedName>
    <definedName name="現代綜合商事經由分">[72]수입!#REF!</definedName>
    <definedName name="형틀목공노임">#REF!</definedName>
    <definedName name="활석공노임">#REF!</definedName>
    <definedName name="효성견적">#REF!</definedName>
    <definedName name="휴가">OFFSET(#REF!,1,0,COUNTA(#REF!))</definedName>
    <definedName name="ㅏㅏ">#REF!</definedName>
    <definedName name="ㅏㅏㅏㅏㅏ">#N/A</definedName>
    <definedName name="ㅐㅗㅅ">#REF!</definedName>
    <definedName name="ㅑ3081">#REF!</definedName>
    <definedName name="ㅓ17">#REF!</definedName>
    <definedName name="ㅓㅓㅓㅓㅓ">#N/A</definedName>
    <definedName name="ㅓㅓㅗ라ㅓㄴ오라ㅓㅁㄴ오라넘오람ㄴ엄ㄴㅇㅇㄴㅁㅁㄴㅇㅇㄴㄴㅇㅁ">#N/A</definedName>
    <definedName name="ㅗ50">[73]연습!#REF!</definedName>
    <definedName name="ㅗㅗㅗㅗ">#N/A</definedName>
    <definedName name="ㅛㅕㅕㅕ">#N/A</definedName>
    <definedName name="ㅜ">'[28]9-1차이내역'!#REF!</definedName>
    <definedName name="ㅜㅜㅜ">#N/A</definedName>
    <definedName name="ㅠ">#REF!</definedName>
    <definedName name="ㅠ121">#REF!</definedName>
    <definedName name="ㅠㅜㅠㅜㅜㅜ">#N/A</definedName>
    <definedName name="ㅠㅠㅠ"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ㅡ506">#REF!</definedName>
    <definedName name="ㅣㅣ">#REF!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3" i="7" l="1"/>
  <c r="I47" i="7"/>
  <c r="G57" i="7"/>
  <c r="I57" i="7" s="1"/>
  <c r="G56" i="7"/>
  <c r="I56" i="7" s="1"/>
  <c r="G55" i="7"/>
  <c r="I55" i="7" s="1"/>
  <c r="G54" i="7"/>
  <c r="I54" i="7" s="1"/>
  <c r="G53" i="7"/>
  <c r="G52" i="7"/>
  <c r="I52" i="7" s="1"/>
  <c r="G51" i="7"/>
  <c r="I51" i="7" s="1"/>
  <c r="G50" i="7"/>
  <c r="I50" i="7" s="1"/>
  <c r="G49" i="7"/>
  <c r="I49" i="7" s="1"/>
  <c r="G48" i="7"/>
  <c r="I48" i="7" s="1"/>
  <c r="G47" i="7"/>
  <c r="G6" i="7"/>
  <c r="I6" i="7" s="1"/>
  <c r="G7" i="7"/>
  <c r="I7" i="7" s="1"/>
  <c r="G8" i="7"/>
  <c r="I8" i="7" s="1"/>
  <c r="G9" i="7"/>
  <c r="I9" i="7" s="1"/>
  <c r="G10" i="7"/>
  <c r="I10" i="7" s="1"/>
  <c r="G11" i="7"/>
  <c r="I11" i="7" s="1"/>
  <c r="G12" i="7"/>
  <c r="I12" i="7" s="1"/>
  <c r="G13" i="7"/>
  <c r="I13" i="7" s="1"/>
  <c r="G14" i="7"/>
  <c r="I14" i="7" s="1"/>
  <c r="G15" i="7"/>
  <c r="I15" i="7" s="1"/>
  <c r="G16" i="7"/>
  <c r="I16" i="7" s="1"/>
  <c r="G17" i="7"/>
  <c r="I17" i="7" s="1"/>
  <c r="G18" i="7"/>
  <c r="I18" i="7" s="1"/>
  <c r="G19" i="7"/>
  <c r="I19" i="7" s="1"/>
  <c r="G20" i="7"/>
  <c r="I20" i="7" s="1"/>
  <c r="G21" i="7"/>
  <c r="I21" i="7" s="1"/>
  <c r="G22" i="7"/>
  <c r="I22" i="7" s="1"/>
  <c r="G23" i="7"/>
  <c r="I23" i="7" s="1"/>
  <c r="G24" i="7"/>
  <c r="I24" i="7" s="1"/>
  <c r="G25" i="7"/>
  <c r="I25" i="7" s="1"/>
  <c r="G26" i="7"/>
  <c r="I26" i="7" s="1"/>
  <c r="G27" i="7"/>
  <c r="I27" i="7" s="1"/>
  <c r="G28" i="7"/>
  <c r="I28" i="7" s="1"/>
  <c r="G29" i="7"/>
  <c r="I29" i="7" s="1"/>
  <c r="G30" i="7"/>
  <c r="I30" i="7" s="1"/>
  <c r="G31" i="7"/>
  <c r="I31" i="7" s="1"/>
  <c r="G32" i="7"/>
  <c r="I32" i="7" s="1"/>
  <c r="G33" i="7"/>
  <c r="I33" i="7" s="1"/>
  <c r="G34" i="7"/>
  <c r="I34" i="7" s="1"/>
  <c r="G35" i="7"/>
  <c r="I35" i="7" s="1"/>
  <c r="G36" i="7"/>
  <c r="I36" i="7" s="1"/>
  <c r="G37" i="7"/>
  <c r="I37" i="7" s="1"/>
  <c r="G38" i="7"/>
  <c r="I38" i="7" s="1"/>
  <c r="G39" i="7"/>
  <c r="I39" i="7" s="1"/>
  <c r="G40" i="7"/>
  <c r="I40" i="7" s="1"/>
  <c r="G41" i="7"/>
  <c r="I41" i="7" s="1"/>
  <c r="G42" i="7"/>
  <c r="I42" i="7" s="1"/>
  <c r="G5" i="7"/>
  <c r="I5" i="7" s="1"/>
  <c r="H57" i="7"/>
  <c r="H56" i="7"/>
  <c r="H55" i="7"/>
  <c r="H54" i="7"/>
  <c r="H53" i="7"/>
  <c r="H52" i="7"/>
  <c r="H51" i="7"/>
  <c r="H50" i="7"/>
  <c r="H49" i="7"/>
  <c r="H48" i="7"/>
  <c r="H47" i="7"/>
  <c r="H6" i="7"/>
  <c r="H7" i="7"/>
  <c r="H8" i="7"/>
  <c r="H9" i="7"/>
  <c r="H10" i="7"/>
  <c r="H11" i="7"/>
  <c r="H12" i="7"/>
  <c r="H13" i="7"/>
  <c r="H14" i="7"/>
  <c r="H15" i="7"/>
  <c r="H16" i="7"/>
  <c r="H17" i="7"/>
  <c r="H18" i="7"/>
  <c r="H19" i="7"/>
  <c r="H20" i="7"/>
  <c r="H21" i="7"/>
  <c r="H22" i="7"/>
  <c r="H23" i="7"/>
  <c r="H24" i="7"/>
  <c r="H25" i="7"/>
  <c r="H26" i="7"/>
  <c r="H27" i="7"/>
  <c r="H28" i="7"/>
  <c r="H29" i="7"/>
  <c r="H30" i="7"/>
  <c r="H31" i="7"/>
  <c r="H32" i="7"/>
  <c r="H33" i="7"/>
  <c r="H34" i="7"/>
  <c r="H35" i="7"/>
  <c r="H36" i="7"/>
  <c r="H37" i="7"/>
  <c r="H38" i="7"/>
  <c r="H39" i="7"/>
  <c r="H40" i="7"/>
  <c r="H41" i="7"/>
  <c r="H42" i="7"/>
  <c r="H5" i="7"/>
  <c r="D57" i="7"/>
  <c r="E57" i="7" s="1"/>
  <c r="D56" i="7"/>
  <c r="E56" i="7" s="1"/>
  <c r="D55" i="7"/>
  <c r="E55" i="7" s="1"/>
  <c r="D54" i="7"/>
  <c r="E54" i="7" s="1"/>
  <c r="D53" i="7"/>
  <c r="E53" i="7" s="1"/>
  <c r="D52" i="7"/>
  <c r="E52" i="7" s="1"/>
  <c r="D51" i="7"/>
  <c r="E51" i="7" s="1"/>
  <c r="D50" i="7"/>
  <c r="E50" i="7" s="1"/>
  <c r="D49" i="7"/>
  <c r="E49" i="7" s="1"/>
  <c r="D48" i="7"/>
  <c r="E48" i="7" s="1"/>
  <c r="D47" i="7"/>
  <c r="E47" i="7" s="1"/>
  <c r="D6" i="7"/>
  <c r="E6" i="7" s="1"/>
  <c r="D7" i="7"/>
  <c r="E7" i="7" s="1"/>
  <c r="D8" i="7"/>
  <c r="E8" i="7" s="1"/>
  <c r="D9" i="7"/>
  <c r="E9" i="7" s="1"/>
  <c r="D10" i="7"/>
  <c r="E10" i="7" s="1"/>
  <c r="D11" i="7"/>
  <c r="E11" i="7" s="1"/>
  <c r="D12" i="7"/>
  <c r="E12" i="7" s="1"/>
  <c r="D13" i="7"/>
  <c r="E13" i="7" s="1"/>
  <c r="D14" i="7"/>
  <c r="E14" i="7" s="1"/>
  <c r="D15" i="7"/>
  <c r="E15" i="7" s="1"/>
  <c r="D16" i="7"/>
  <c r="E16" i="7" s="1"/>
  <c r="D17" i="7"/>
  <c r="E17" i="7" s="1"/>
  <c r="D18" i="7"/>
  <c r="E18" i="7" s="1"/>
  <c r="D19" i="7"/>
  <c r="E19" i="7" s="1"/>
  <c r="D20" i="7"/>
  <c r="E20" i="7" s="1"/>
  <c r="D21" i="7"/>
  <c r="E21" i="7" s="1"/>
  <c r="D22" i="7"/>
  <c r="E22" i="7" s="1"/>
  <c r="D23" i="7"/>
  <c r="E23" i="7" s="1"/>
  <c r="D24" i="7"/>
  <c r="E24" i="7" s="1"/>
  <c r="D25" i="7"/>
  <c r="E25" i="7" s="1"/>
  <c r="D26" i="7"/>
  <c r="E26" i="7" s="1"/>
  <c r="D27" i="7"/>
  <c r="E27" i="7" s="1"/>
  <c r="D28" i="7"/>
  <c r="E28" i="7" s="1"/>
  <c r="D29" i="7"/>
  <c r="E29" i="7" s="1"/>
  <c r="D30" i="7"/>
  <c r="E30" i="7" s="1"/>
  <c r="D31" i="7"/>
  <c r="E31" i="7" s="1"/>
  <c r="D32" i="7"/>
  <c r="E32" i="7" s="1"/>
  <c r="D33" i="7"/>
  <c r="E33" i="7" s="1"/>
  <c r="D34" i="7"/>
  <c r="E34" i="7" s="1"/>
  <c r="D35" i="7"/>
  <c r="E35" i="7" s="1"/>
  <c r="D36" i="7"/>
  <c r="E36" i="7" s="1"/>
  <c r="D37" i="7"/>
  <c r="E37" i="7" s="1"/>
  <c r="D38" i="7"/>
  <c r="E38" i="7" s="1"/>
  <c r="D39" i="7"/>
  <c r="E39" i="7" s="1"/>
  <c r="D40" i="7"/>
  <c r="E40" i="7" s="1"/>
  <c r="D41" i="7"/>
  <c r="E41" i="7" s="1"/>
  <c r="D42" i="7"/>
  <c r="E42" i="7" s="1"/>
  <c r="D5" i="7"/>
  <c r="E5" i="7" s="1"/>
  <c r="F57" i="7"/>
  <c r="F56" i="7"/>
  <c r="F55" i="7"/>
  <c r="F54" i="7"/>
  <c r="F53" i="7"/>
  <c r="F52" i="7"/>
  <c r="F51" i="7"/>
  <c r="F50" i="7"/>
  <c r="F49" i="7"/>
  <c r="F48" i="7"/>
  <c r="F47" i="7"/>
  <c r="F6" i="7"/>
  <c r="F7" i="7"/>
  <c r="F8" i="7"/>
  <c r="F9" i="7"/>
  <c r="F10" i="7"/>
  <c r="F11" i="7"/>
  <c r="F12" i="7"/>
  <c r="F13" i="7"/>
  <c r="F14" i="7"/>
  <c r="F15" i="7"/>
  <c r="F16" i="7"/>
  <c r="F17" i="7"/>
  <c r="F18" i="7"/>
  <c r="F19" i="7"/>
  <c r="F20" i="7"/>
  <c r="F21" i="7"/>
  <c r="F22" i="7"/>
  <c r="F23" i="7"/>
  <c r="F24" i="7"/>
  <c r="F25" i="7"/>
  <c r="F26" i="7"/>
  <c r="F27" i="7"/>
  <c r="F28" i="7"/>
  <c r="F29" i="7"/>
  <c r="F30" i="7"/>
  <c r="F31" i="7"/>
  <c r="F32" i="7"/>
  <c r="F33" i="7"/>
  <c r="F34" i="7"/>
  <c r="F35" i="7"/>
  <c r="F36" i="7"/>
  <c r="F37" i="7"/>
  <c r="F38" i="7"/>
  <c r="F39" i="7"/>
  <c r="F40" i="7"/>
  <c r="F41" i="7"/>
  <c r="F42" i="7"/>
  <c r="F5" i="7"/>
  <c r="G45" i="7" l="1"/>
  <c r="I45" i="7" s="1"/>
  <c r="G3" i="7"/>
  <c r="I3"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C1F46BF8-79FF-48BD-97DC-409BFCF2C149}">
      <text>
        <r>
          <rPr>
            <sz val="11"/>
            <color theme="1"/>
            <rFont val="맑은 고딕"/>
            <family val="2"/>
            <scheme val="minor"/>
          </rPr>
          <t>업체명 수정 금지</t>
        </r>
      </text>
    </comment>
  </commentList>
</comments>
</file>

<file path=xl/sharedStrings.xml><?xml version="1.0" encoding="utf-8"?>
<sst xmlns="http://schemas.openxmlformats.org/spreadsheetml/2006/main" count="44170" uniqueCount="10093">
  <si>
    <t>플랫폼</t>
  </si>
  <si>
    <t>주문월</t>
  </si>
  <si>
    <t>주문번호</t>
  </si>
  <si>
    <t>상품코드</t>
  </si>
  <si>
    <t>주문일</t>
  </si>
  <si>
    <t>업체명</t>
  </si>
  <si>
    <t>상품명</t>
  </si>
  <si>
    <t>단품명</t>
  </si>
  <si>
    <t>수량</t>
  </si>
  <si>
    <t>매출기준액</t>
  </si>
  <si>
    <t>매출원가</t>
  </si>
  <si>
    <t>수수료</t>
  </si>
  <si>
    <t>지정수수료</t>
  </si>
  <si>
    <t>매출총이익</t>
  </si>
  <si>
    <t>이익률</t>
  </si>
  <si>
    <t>삼성베네포유</t>
  </si>
  <si>
    <t>BA251202091249482</t>
  </si>
  <si>
    <t>WP230101488372</t>
  </si>
  <si>
    <t>덴티코어</t>
  </si>
  <si>
    <t>특허 구강관리 필수 치간칫솔 (L타입, 30개) / 충치예방 잇몸건강 입냄새제거 치석예방</t>
  </si>
  <si>
    <t>사이즈 - SSS</t>
  </si>
  <si>
    <t>BA251202111200399</t>
  </si>
  <si>
    <t>WP230101493989</t>
  </si>
  <si>
    <t>퓨리온</t>
  </si>
  <si>
    <t>비말차단 김서림없고 얇은 귀안아픈 KF-AD 대형 마스크 50매 흰색</t>
  </si>
  <si>
    <t>애니타임 비말차단마스크 KF-AD 흰색 50매</t>
  </si>
  <si>
    <t>BA251202091249011</t>
  </si>
  <si>
    <t>WP241002065752</t>
  </si>
  <si>
    <t>기장끝집</t>
  </si>
  <si>
    <t>[네이버 판매량 압도적1위] 오직 전복죽196g 3팩/ 미역국180g 3팩 / 특전복죽 265g 5팩 세트 밀키트 건강 보양식 요리</t>
  </si>
  <si>
    <t>오직 미역국 밀키트 3팩</t>
  </si>
  <si>
    <t>BA251202091249492</t>
  </si>
  <si>
    <t>WP230501613365</t>
  </si>
  <si>
    <t>스피드랙</t>
  </si>
  <si>
    <t>[네이버 선반 진열대 1위] 무볼트 간편 조립식 선반 수납장 앵글</t>
  </si>
  <si>
    <t>[스피드랙] 가로 700 / 폭 300 / 높이 1200 / 선반 수량 3개</t>
  </si>
  <si>
    <t>BA251202091249470</t>
  </si>
  <si>
    <t>WP230101494049</t>
  </si>
  <si>
    <t>피오</t>
  </si>
  <si>
    <t>[비염 구내염 여드름] 브로세틴 항염영양제 820mg x 40정 2박스</t>
  </si>
  <si>
    <t>브로세틴 2박스</t>
  </si>
  <si>
    <t>BA251202101200232</t>
  </si>
  <si>
    <t>WP240802016413</t>
  </si>
  <si>
    <t>친한F&amp;B</t>
  </si>
  <si>
    <t>[고단백 저지방] 부드럽고 촉촉한 닭가슴살 스테이크 10팩/ 다이어트 헬스 음식 간편식요리 아침식사대용</t>
  </si>
  <si>
    <t>닭가슴살 찹 스테이크 10팩</t>
  </si>
  <si>
    <t>BA251202091249405</t>
  </si>
  <si>
    <t>WP240802013548</t>
  </si>
  <si>
    <t>일농</t>
  </si>
  <si>
    <t>15~18브릭스 높은당도 경북 청송 사과 시나노골드 3kg</t>
  </si>
  <si>
    <t>시나노골드 3kg</t>
  </si>
  <si>
    <t>BA251202101200231</t>
  </si>
  <si>
    <t>WP241102097605</t>
  </si>
  <si>
    <t>오가닉K 2</t>
  </si>
  <si>
    <t>[1+1] 티트리 앤 로즈마리 대용량 바디워시 1500ml 2개/ 8가지 히루론산 5가지 세라마이드 함유</t>
  </si>
  <si>
    <t>티트리 바디워시 1500ml 프렌치라벤더 x 2개</t>
  </si>
  <si>
    <t>BA251202091249071</t>
  </si>
  <si>
    <t>WP240401944724</t>
  </si>
  <si>
    <t>블루인더스</t>
  </si>
  <si>
    <t>[PM0.3 프리+활성탄+헤파필터] 99% 미세먼지차단 차량용 자동차 에어컨필터</t>
  </si>
  <si>
    <t>MC-008</t>
  </si>
  <si>
    <t>BA251202101249578</t>
  </si>
  <si>
    <t>WP230401549917</t>
  </si>
  <si>
    <t>솔루엠</t>
  </si>
  <si>
    <t>분실방지 위치 추적 스마트태그 갤럭시 연동 Smart Tag BLE, UWB / 미아방지 반려견 반려묘 지갑차키 가방</t>
  </si>
  <si>
    <t>Smart Tag BLE 블랙</t>
  </si>
  <si>
    <t>BA251202091249149</t>
  </si>
  <si>
    <t>WP240101804279</t>
  </si>
  <si>
    <t>청숨</t>
  </si>
  <si>
    <t>발효 약도라지 농축액 5호세트/ 어버이날 스승의날 부모님 선생님 선물셋트</t>
  </si>
  <si>
    <t>발효 약도라지 농축액 5호세트</t>
  </si>
  <si>
    <t>BA251202091249219</t>
  </si>
  <si>
    <t>WP230501608374</t>
  </si>
  <si>
    <t>휴대폰 핸드폰 25W 초고속충전기 어댑터 stripe + C타입 케이블</t>
  </si>
  <si>
    <t>솔루엠 25W 초고속충전기 stripe + C타입 케이블</t>
  </si>
  <si>
    <t>BA251202101249613</t>
  </si>
  <si>
    <t>WP230601636154</t>
  </si>
  <si>
    <t>사임당푸드</t>
  </si>
  <si>
    <t>블루베리 생크림케익 찹쌀떡 (40g x 9개)</t>
  </si>
  <si>
    <t>BA251202101200236</t>
  </si>
  <si>
    <t>WP230501609178</t>
  </si>
  <si>
    <t>[국산차용] 3단필터 PM 0.3 프리미엄 항바이러스 콤비 차량용 에어컨필터 자동차</t>
  </si>
  <si>
    <t>BCV002</t>
  </si>
  <si>
    <t>BA251202101200126</t>
  </si>
  <si>
    <t>BCV022</t>
  </si>
  <si>
    <t>BA251202091249348</t>
  </si>
  <si>
    <t>WP250702395288</t>
  </si>
  <si>
    <t>9중효소함유 트리플 액션 고농축 캡슐세제 100개입/ 일반 드럼세탁기 겸용사용</t>
  </si>
  <si>
    <t>트리플 액션 고농축 캡슐세제 100개입</t>
  </si>
  <si>
    <t>BA251202121201406</t>
  </si>
  <si>
    <t>WP230401553311</t>
  </si>
  <si>
    <t>크리오디엔에스</t>
  </si>
  <si>
    <t>천연비누 내추럴마일드 모이스처 에센셜 고급 향수 비누 100g 4입</t>
  </si>
  <si>
    <t>Lime Basil &amp; Mandarin(라임 바질&amp;만다린향) 100g 4입 2+1세트</t>
  </si>
  <si>
    <t>BA251202111201027</t>
  </si>
  <si>
    <t>WP230101492619</t>
  </si>
  <si>
    <t>오가닉K</t>
  </si>
  <si>
    <t>살림백서 세탁세제 리필형 2L x 3개입</t>
  </si>
  <si>
    <t>BA251202121201209</t>
  </si>
  <si>
    <t>WP230401573241</t>
  </si>
  <si>
    <t>건강생활연구소</t>
  </si>
  <si>
    <t>[홈쇼핑완판] 씨에코 설거지바 (1종주방세제 / 아이식기+과일세척 가능)</t>
  </si>
  <si>
    <t>8종 세트 (베이킹3+커피2+깻묵3)</t>
  </si>
  <si>
    <t>BA251202121201494</t>
  </si>
  <si>
    <t>WP231001760858</t>
  </si>
  <si>
    <t>1+1 액티브B7 맥주효모 비오틴 탈모 완화 샴푸 1L</t>
  </si>
  <si>
    <t>액티브B7 맥주효모 비오틴 탈모완화샴푸 1L 2개</t>
  </si>
  <si>
    <t>BA251202111200478</t>
  </si>
  <si>
    <t>WP231001745940</t>
  </si>
  <si>
    <t>식물유래성분 베이비&amp;키즈 유아 욕조 클리너 500ml 2개</t>
  </si>
  <si>
    <t>살림백서 베이비&amp;키즈 욕조 클리너 500ml 2개</t>
  </si>
  <si>
    <t>BA251202111200705</t>
  </si>
  <si>
    <t>WP230501619378</t>
  </si>
  <si>
    <t>휴대폰 핸드폰 25W 초고속충전기 어댑터 / C타입 케이블</t>
  </si>
  <si>
    <t>솔루엠 25W 초고속충전기 slim + C타입 케이블</t>
  </si>
  <si>
    <t>BA251202111200768</t>
  </si>
  <si>
    <t>WP230501619382</t>
  </si>
  <si>
    <t>휴대폰 핸드폰 65W 초고속 멀티 3P 충전기 어댑터 / C타입 케이블</t>
  </si>
  <si>
    <t>솔루엠 65W 초고속충전기 + C타입 케이블</t>
  </si>
  <si>
    <t>BA251202111201155</t>
  </si>
  <si>
    <t>WP230101496053</t>
  </si>
  <si>
    <t>천년홍삼</t>
  </si>
  <si>
    <t>국내산 인삼 100% 허니 홍삼청 750ml / 면역력증가 피로회복 독소제거</t>
  </si>
  <si>
    <t>홍삼청 330ml</t>
  </si>
  <si>
    <t>BA251202121201555</t>
  </si>
  <si>
    <t>WP230201525356</t>
  </si>
  <si>
    <t>한울생약</t>
  </si>
  <si>
    <t>변기에 버리는 리꼬 레디투플러쉬 비데물티슈 / 일반형 휴대용</t>
  </si>
  <si>
    <t>변기에 버리는 리꼬 레디투플러쉬 비데물티슈 60매x10팩</t>
  </si>
  <si>
    <t>BA251202111200897</t>
  </si>
  <si>
    <t>BCV004</t>
  </si>
  <si>
    <t>BA251202121201812</t>
  </si>
  <si>
    <t>WP241102104440</t>
  </si>
  <si>
    <t>[9중 복합 효소] 트리플 액션 고농축 수용성 캡슐세제 100개입 / 일반 드럼 세탁기 사용가능</t>
  </si>
  <si>
    <t>BA251202111201167</t>
  </si>
  <si>
    <t>WP241102102703</t>
  </si>
  <si>
    <t>[식품첨가물 향료] 베이킹소다 구연산 식기세척기 린스 1L</t>
  </si>
  <si>
    <t>베이킹소다 식기세척기 린스 1L X 1개</t>
  </si>
  <si>
    <t>BA251202121201836</t>
  </si>
  <si>
    <t>솔루엠 65W 초고속충전기</t>
  </si>
  <si>
    <t>BA251202111201181</t>
  </si>
  <si>
    <t>WP230101500511</t>
  </si>
  <si>
    <t>고수록식품</t>
  </si>
  <si>
    <t>고수록 모시떡 세트 70개입 모음 생모시 검정깨 찹쌀 콩고물 앙금절편 백절편</t>
  </si>
  <si>
    <t>생모시 콩고물 찹쌀떡 400g(1봉/10개) x 7봉</t>
  </si>
  <si>
    <t>BA251202121201274</t>
  </si>
  <si>
    <t>WP250702420280</t>
  </si>
  <si>
    <t>촉촉입술 끈적임 없는 오브제 제로 모이스처 립 에센스10ml 4개/ 입술건조예방</t>
  </si>
  <si>
    <t>오브제 제로 모이스처 립 에센스 4개입 세트</t>
  </si>
  <si>
    <t>BA251202121201796</t>
  </si>
  <si>
    <t>WP230101485003</t>
  </si>
  <si>
    <t>고삼농협</t>
  </si>
  <si>
    <t>더착한 한우사골고기곰탕 500g x 6팩</t>
  </si>
  <si>
    <t>BA251202141203251</t>
  </si>
  <si>
    <t>WP240401924975</t>
  </si>
  <si>
    <t>앤제이컴퍼니</t>
  </si>
  <si>
    <t>[스트레스위염, 역류성식도염 예방개선] 활력비책 10포 /양배추즙 스피룰리나 맥문동 치자 삽주 소회향 첨가</t>
  </si>
  <si>
    <t>활력비책 2+1</t>
  </si>
  <si>
    <t>BA251202141203227</t>
  </si>
  <si>
    <t>BA251202141203217</t>
  </si>
  <si>
    <t>WP230101505374</t>
  </si>
  <si>
    <t>건영크린텍</t>
  </si>
  <si>
    <t>KF80 건영3단 황사 방역 마스크 대형 40매</t>
  </si>
  <si>
    <t>KF80 건영3단황사방역마스크 대형 40매 - 검정색</t>
  </si>
  <si>
    <t>BA251202131202552</t>
  </si>
  <si>
    <t>WP240802014823</t>
  </si>
  <si>
    <t>제주 서귀포 과즙 가득 12brix 브릭스 후숙 황금향 중과 대과 2.5kg 4.5kg</t>
  </si>
  <si>
    <t>4.5kg 가정용 황금향 대과 9-17과</t>
  </si>
  <si>
    <t>BA251202131201993</t>
  </si>
  <si>
    <t>WP241102102010</t>
  </si>
  <si>
    <t>[1+1] 보습효과 딥 모이스춰 바세린 바디로션 1,000ml</t>
  </si>
  <si>
    <t>딥 모이스춰 바세린 바디로션 1,000ml x 2개</t>
  </si>
  <si>
    <t>BA251202141202688</t>
  </si>
  <si>
    <t>WP240201856355</t>
  </si>
  <si>
    <t>모닛</t>
  </si>
  <si>
    <t>순면 아기띠 침받이세트</t>
  </si>
  <si>
    <t>침받이세트(숄더패드+페이스패드)</t>
  </si>
  <si>
    <t>BA251202131201913</t>
  </si>
  <si>
    <t>WP250702420238</t>
  </si>
  <si>
    <t>[1+1]생크림 버블 쫀쫀 밀착 미셀라 휩 클렌징폼 500ml/ 미세먼지세정 테스트완료 7종콜라겐 함유</t>
  </si>
  <si>
    <t>마이크로 미셀라 휩 클렌징폼 500ml 2개</t>
  </si>
  <si>
    <t>BA251202131202167</t>
  </si>
  <si>
    <t>WP241102102356</t>
  </si>
  <si>
    <t>99% 탈취력 식물유래 퍼퓸 드 섬유향수 룸스프레이 250ml 1개</t>
  </si>
  <si>
    <t>퍼퓸 드 섬유향수 룸스프레이 250ml 1개 (화이트머스크향)</t>
  </si>
  <si>
    <t>BA251202131202257</t>
  </si>
  <si>
    <t>WP250102156748</t>
  </si>
  <si>
    <t>에코맘의산골이유식</t>
  </si>
  <si>
    <t>글루텐無 어른아이간식 산골 쌀과자 10봉 세트 (쌀계란과자/쌀초코쿠키)</t>
  </si>
  <si>
    <t>쌀계란 과자 5봉 + 쌀초코쿠키 5봉</t>
  </si>
  <si>
    <t>BA251202131202563</t>
  </si>
  <si>
    <t>BA251202131202576</t>
  </si>
  <si>
    <t>BA251202141203120</t>
  </si>
  <si>
    <t>활력비책</t>
  </si>
  <si>
    <t>BA251202141203287</t>
  </si>
  <si>
    <t>WP241002062560</t>
  </si>
  <si>
    <t>[99.9%살균소독] 의약외품 도톰한 60평량 휴대용 손소독물티슈 10매 20개</t>
  </si>
  <si>
    <t>손소독티슈 휴대용 10매 20개</t>
  </si>
  <si>
    <t>BA251202141203161</t>
  </si>
  <si>
    <t>WP230501628033</t>
  </si>
  <si>
    <t>백제(케이씨물류)</t>
  </si>
  <si>
    <t>저칼로리 건면 쌀국수 18개 30개 / 멸치 김치 육개장 얼큰 파곰탕면</t>
  </si>
  <si>
    <t>백제 쌀국수 멸치맛 92g x 30개</t>
  </si>
  <si>
    <t>BA251202131202168</t>
  </si>
  <si>
    <t>WP250302226790</t>
  </si>
  <si>
    <t>[베이킹소다 함유] 마마프랑 대용량 주방세제 1종 500ml 캡형 펌프형/ 과일 채소 세척가능 리필형</t>
  </si>
  <si>
    <t>마마프랑 주방세제 레몬향 500ml X 1개</t>
  </si>
  <si>
    <t>BA251202151203387</t>
  </si>
  <si>
    <t>WP250302230505</t>
  </si>
  <si>
    <t>유해세균 99.9% 데일리 소독티슈 캡형 60매 9개/ 손소독</t>
  </si>
  <si>
    <t>데일리 소독티슈 캡형 60매 9개</t>
  </si>
  <si>
    <t>BA251202151203852</t>
  </si>
  <si>
    <t>WP230701683907</t>
  </si>
  <si>
    <t>바이오뷰텍</t>
  </si>
  <si>
    <t>특허 미백 주름개선 남성 올인원 골저스 바이탈 케어 에센스</t>
  </si>
  <si>
    <t>골저스 바이탈 케어 에센스 올인원 150ml</t>
  </si>
  <si>
    <t>BA251202161204218</t>
  </si>
  <si>
    <t>WP230501619377</t>
  </si>
  <si>
    <t>휴대폰 핸드폰 15W 고속충전기 어댑터 / C타입 케이블</t>
  </si>
  <si>
    <t>솔루엠 15W 고속충전기 stripe</t>
  </si>
  <si>
    <t>BA251202161204409</t>
  </si>
  <si>
    <t>WP230101505925</t>
  </si>
  <si>
    <t>1+1 천연유래성분 오푼티아 &amp; 밤부 바디워시 500ml</t>
  </si>
  <si>
    <t>유칼립투스향</t>
  </si>
  <si>
    <t>WP230101505926</t>
  </si>
  <si>
    <t>1+1 천연유래성분 오푼티아 &amp; 밤부 바디로션 500ml</t>
  </si>
  <si>
    <t>무향</t>
  </si>
  <si>
    <t>BA251202161203990</t>
  </si>
  <si>
    <t>WP241102102024</t>
  </si>
  <si>
    <t>[1+1] 보습효과 바세린 세라마이드 핸드크림 500ml</t>
  </si>
  <si>
    <t>바세린 세라마이드 핸드크림 500ml x 2개</t>
  </si>
  <si>
    <t>BA251202151203434</t>
  </si>
  <si>
    <t>BA251202151203753</t>
  </si>
  <si>
    <t>BA251202151203620</t>
  </si>
  <si>
    <t>WP231201799355</t>
  </si>
  <si>
    <t>한국맥널티</t>
  </si>
  <si>
    <t>스테비아 제로슈가 호두 아몬드 율무차 30T</t>
  </si>
  <si>
    <t>BA251202151203839</t>
  </si>
  <si>
    <t>WP230701689937</t>
  </si>
  <si>
    <t>화산</t>
  </si>
  <si>
    <t>[스팀오븐공법] 국내산 맛있는 치큐 닭가슴살 3종 100g</t>
  </si>
  <si>
    <t>치큐 닭가슴살 오리지널 x 10팩</t>
  </si>
  <si>
    <t>치큐 닭가슴살 훈제 x 10팩</t>
  </si>
  <si>
    <t>BA251202151203916</t>
  </si>
  <si>
    <t>WP241102102541</t>
  </si>
  <si>
    <t>데일리 이중 미세모 칫솔 20개입</t>
  </si>
  <si>
    <t>마마프랑 부드러운 이중 미세모 칫솔 20개입 1세트</t>
  </si>
  <si>
    <t>BA251202161204352</t>
  </si>
  <si>
    <t>티트리 바디워시 1500ml 화이트머스크 x 2개</t>
  </si>
  <si>
    <t>BA251202151203634</t>
  </si>
  <si>
    <t>WP240802016196</t>
  </si>
  <si>
    <t>오복농산영농조합법인</t>
  </si>
  <si>
    <t>[100%국내산 첨가제 NO] 저온냉압착 생들기름 참기름 180ml</t>
  </si>
  <si>
    <t>생들기름180ml</t>
  </si>
  <si>
    <t>BA251202151203609</t>
  </si>
  <si>
    <t>WP230201524422</t>
  </si>
  <si>
    <t>행복에스앤피제지</t>
  </si>
  <si>
    <t>무형광 천연펄프 3겹 행복을 주는 나무 순백 30m x 30롤 (높이107mm)</t>
  </si>
  <si>
    <t>행복을 주는 나무 순백 30m x 30롤 (높이107mm) 1팩</t>
  </si>
  <si>
    <t>BA251202161204231</t>
  </si>
  <si>
    <t>WP230101488972</t>
  </si>
  <si>
    <t>위랩</t>
  </si>
  <si>
    <t>식물성 알티지 오메가3 500mg x 60캡슐</t>
  </si>
  <si>
    <t>닥터파이토 식물성 알티지 오메가3 500mg x 60캡슐</t>
  </si>
  <si>
    <t>BA251202151203901</t>
  </si>
  <si>
    <t>WP230201523342</t>
  </si>
  <si>
    <t>한국펄프</t>
  </si>
  <si>
    <t>대박나는집 무형광 천연펄프 3겹 화장지 25m x 30롤/ 휴지</t>
  </si>
  <si>
    <t>대박나는집 순수 30m 30롤 /2팩</t>
  </si>
  <si>
    <t>BA251202151203828</t>
  </si>
  <si>
    <t>WP230901727193</t>
  </si>
  <si>
    <t>거문도해풍쑥</t>
  </si>
  <si>
    <t>국산찹쌀 무농약 해풍쑥 인절미 2kg</t>
  </si>
  <si>
    <t>쑥인절미 2kg 무당</t>
  </si>
  <si>
    <t>BA251202151203699</t>
  </si>
  <si>
    <t>WP230501608749</t>
  </si>
  <si>
    <t>코리아식품</t>
  </si>
  <si>
    <t>쫄깃 최상급 앞발 순살 냉장족발 200g 3팩</t>
  </si>
  <si>
    <t>냉장 순살족발 200g x 3팩</t>
  </si>
  <si>
    <t>WP230101503670</t>
  </si>
  <si>
    <t>기사식당 돈육 돼지불백 (간장 300g x3팩+고추장 300g x3팩)/ 불고기 캠핑요리 술안주 아이 반찬 야식</t>
  </si>
  <si>
    <t>기사식당 돼지불백 (간장 300g x 3팩+고추장 300g x 3팩)</t>
  </si>
  <si>
    <t>BA251202161204335</t>
  </si>
  <si>
    <t>WP230501627353</t>
  </si>
  <si>
    <t>우리쌀 햅쌀 떡국 컵라면 163g x 6개/ 우골엑기스 분말을 사용</t>
  </si>
  <si>
    <t>우리쌀 햅쌀 떡국 163g x 16개</t>
  </si>
  <si>
    <t>BA251202201206376</t>
  </si>
  <si>
    <t>WP250902493636</t>
  </si>
  <si>
    <t>대용량 아메리카노 블랙 커피 1L 12개입 / 무라벨 아메리카노 400ML 20개입</t>
  </si>
  <si>
    <t>아메리카노 블랙커피 1L 12개입</t>
  </si>
  <si>
    <t>BA251202191206125</t>
  </si>
  <si>
    <t>WP240902046109</t>
  </si>
  <si>
    <t>별식품</t>
  </si>
  <si>
    <t>[3스타인증] AAA+원초 광천 재래 파래 도시락김 32봉 / 밥반찬 아이 어린이 조미김</t>
  </si>
  <si>
    <t>재래도시락김 32봉 x 1박스</t>
  </si>
  <si>
    <t>BA251202201206794</t>
  </si>
  <si>
    <t>WP250902499333</t>
  </si>
  <si>
    <t>소노스퀘어</t>
  </si>
  <si>
    <t>[더마테스트 최고등급] NO알러지 NO진드기 밴드형 탈착방식 항균 침대 매트리스 방수 이너 커버</t>
  </si>
  <si>
    <t>소노시즌 매트리스 방수 이너커버 LK</t>
  </si>
  <si>
    <t>BA251203001209500</t>
  </si>
  <si>
    <t>WP240702005094</t>
  </si>
  <si>
    <t>둥지쌍화탕</t>
  </si>
  <si>
    <t>[정읍숙지황100%] 25년 전통 둥지쌍화차 대용량 (1L X 1팩) / 쌍화탕</t>
  </si>
  <si>
    <t>쌍화차 1L X 1팩</t>
  </si>
  <si>
    <t>BA251203051210154</t>
  </si>
  <si>
    <t>BA251202221208577</t>
  </si>
  <si>
    <t>WP230201524033</t>
  </si>
  <si>
    <t>굿매너 빨아쓰는 행주 타올 50매 6롤 / 45매 3롤 / 65매 2롤</t>
  </si>
  <si>
    <t>굿매너 빨아쓰는 행주 타올 65매*2롤 2팩</t>
  </si>
  <si>
    <t>BA251202181205357</t>
  </si>
  <si>
    <t>WP230101505326</t>
  </si>
  <si>
    <t>시노텍스</t>
  </si>
  <si>
    <t>KF94 숨쉬기편한 귀편한마스크 50매 XS SS S M L</t>
  </si>
  <si>
    <t>M / 블랙 KF94M50BK</t>
  </si>
  <si>
    <t>BA251202231208834</t>
  </si>
  <si>
    <t>WP230201526175</t>
  </si>
  <si>
    <t>케이알시고려</t>
  </si>
  <si>
    <t>성인용 청광 블루라이트 차단 투명 보호안경</t>
  </si>
  <si>
    <t>청광 블루라이트 차단 투명 보호안경 (성인용)</t>
  </si>
  <si>
    <t>BA251202231209138</t>
  </si>
  <si>
    <t>BA251203001209558</t>
  </si>
  <si>
    <t>WP230101484942</t>
  </si>
  <si>
    <t>한우사골 진한곰탕 500ml x 4팩</t>
  </si>
  <si>
    <t>BA251203001209634</t>
  </si>
  <si>
    <t>WP230201524395</t>
  </si>
  <si>
    <t>무잉크 3겹 무향 숲속여행 천연 피톤치드 원액 순백 30m x 30롤</t>
  </si>
  <si>
    <t>피톤치드 원액 순백 30m x 30롤 3팩</t>
  </si>
  <si>
    <t>BA251202211207772</t>
  </si>
  <si>
    <t>WP250302223981</t>
  </si>
  <si>
    <t>100% 국내산 쌀조청함유 3년근 약도라지 배도라지청 600g</t>
  </si>
  <si>
    <t>배도라지청 600g</t>
  </si>
  <si>
    <t>BA251202211207352</t>
  </si>
  <si>
    <t>WP230501613920</t>
  </si>
  <si>
    <t>신우피앤씨</t>
  </si>
  <si>
    <t>톡톡한장 뽑아쓰는 일회용 행주 수세미 일반형 고급형</t>
  </si>
  <si>
    <t>빨아쓰는 행주 레드 50매</t>
  </si>
  <si>
    <t>빨아쓰는 행주 민트 50매</t>
  </si>
  <si>
    <t>BA251202231208670</t>
  </si>
  <si>
    <t>L / 화이트 KF94L50W</t>
  </si>
  <si>
    <t>BA251202181205376</t>
  </si>
  <si>
    <t>WP241102097455</t>
  </si>
  <si>
    <t>[1+1] 8가지 히알루론산 함유 코코넛오일 딥클렌징 바디워시 1.5L / pH 5.5 미산성 바디제품</t>
  </si>
  <si>
    <t>코코넛 바디워시 1500ml X 2개(베이비파우더향)</t>
  </si>
  <si>
    <t>BA251203001209479</t>
  </si>
  <si>
    <t>BA251202231208990</t>
  </si>
  <si>
    <t>WP240702005114</t>
  </si>
  <si>
    <t>한우물</t>
  </si>
  <si>
    <t>구운주먹밥 100g 4종류 세트/ 치즈닭갈비 참치마요 소불고기 김치지즈 삼각김밥/즉석간편식사식품음식</t>
  </si>
  <si>
    <t>511141 참치마요구운주먹밥R 9개+치즈닭갈비구운주먹밥R 9개</t>
  </si>
  <si>
    <t>BA251203001209452</t>
  </si>
  <si>
    <t>BA251202191205778</t>
  </si>
  <si>
    <t>오직 전복죽 밀키트 3팩</t>
  </si>
  <si>
    <t>BA251202231209215</t>
  </si>
  <si>
    <t>WP240301909021</t>
  </si>
  <si>
    <t>선일금고</t>
  </si>
  <si>
    <t>메타셀 가정용금고 40L / 내부 LED조명 지문인식/내화성능 경보기시스템</t>
  </si>
  <si>
    <t>MC-40AL(KY) 그레이</t>
  </si>
  <si>
    <t>BA251202211207489</t>
  </si>
  <si>
    <t>WP240501956618</t>
  </si>
  <si>
    <t>새비</t>
  </si>
  <si>
    <t>최상급 향료 블렌딩 향기 룸앤패브릭 스프레이/ 정전기 방지 냄새제거</t>
  </si>
  <si>
    <t>룸앤패브릭 블랙베리 앤 우드 1개</t>
  </si>
  <si>
    <t>BA251202171204956</t>
  </si>
  <si>
    <t>BA251202211207623</t>
  </si>
  <si>
    <t>들기름180ml</t>
  </si>
  <si>
    <t>BA251202231209182</t>
  </si>
  <si>
    <t>WP250102156333</t>
  </si>
  <si>
    <t>에스씨컴퍼니</t>
  </si>
  <si>
    <t>멥쌀로 만든 우유 꿀백설기 떡 45g 35개입 / 간식 답례품 선물</t>
  </si>
  <si>
    <t>꿀백설기 35개입</t>
  </si>
  <si>
    <t>BA251203061210284</t>
  </si>
  <si>
    <t>BA251202181205431</t>
  </si>
  <si>
    <t>BA251202181205448</t>
  </si>
  <si>
    <t>BA251202201206605</t>
  </si>
  <si>
    <t>WP231001760733</t>
  </si>
  <si>
    <t>1+1 베이비&amp;키즈 아기 젖병 주방세제 500ml 무향/ 유아 식기</t>
  </si>
  <si>
    <t>아기 젖병 주방세제 500ml 2개 무향</t>
  </si>
  <si>
    <t>BA251202211207107</t>
  </si>
  <si>
    <t>WP241102101337</t>
  </si>
  <si>
    <t>[하이드롤라이드 실크+케라틴 함유] 퍼퓸 미산성 샴푸 1,000ml</t>
  </si>
  <si>
    <t>퍼퓸 샴푸 1L_화이트머스크 x 1개</t>
  </si>
  <si>
    <t>BA251202211207216</t>
  </si>
  <si>
    <t>Floral Bouquet(플로럴 부케향) 100g 4입 2+1세트</t>
  </si>
  <si>
    <t>BA251202221208430</t>
  </si>
  <si>
    <t>BA251203001209660</t>
  </si>
  <si>
    <t>WP250102156673</t>
  </si>
  <si>
    <t>쫀득 말랑 팥앙금 가득 찹쌀 콩쑥개떡 60g 16개입/ 간식 답례품 선물</t>
  </si>
  <si>
    <t>콩쑥개떡 16개입</t>
  </si>
  <si>
    <t>BA251202181205115</t>
  </si>
  <si>
    <t>WP230201524366</t>
  </si>
  <si>
    <t>천연펄프 3겹 무형광 화장지 비데겸용 더 화이트 27m x 36롤</t>
  </si>
  <si>
    <t>더 화이트 27m x 36롤 1팩</t>
  </si>
  <si>
    <t>BA251202221208356</t>
  </si>
  <si>
    <t>WP241202112865</t>
  </si>
  <si>
    <t>과일드림</t>
  </si>
  <si>
    <t>경북 안동 고당도 저탄소 부사 세척 사과 개별포장 2kg</t>
  </si>
  <si>
    <t>부사 2kg 소과 (9~13과)</t>
  </si>
  <si>
    <t>BA251203011209726</t>
  </si>
  <si>
    <t>WP250402270545</t>
  </si>
  <si>
    <t>솜씨협동조합</t>
  </si>
  <si>
    <t>[밀키트 2종세트] 고추잡채와꽃빵700g+해물누룽지탕540g/ 간편식조리식품 야식 술안주 캠핑음식 중국중화요리 홈파티 집들이</t>
  </si>
  <si>
    <t>고추잡채와꽃빵+해물누룽지탕</t>
  </si>
  <si>
    <t>BA251203011209811</t>
  </si>
  <si>
    <t>특전복죽 5팩 보냉백세트</t>
  </si>
  <si>
    <t>BA251203001209294</t>
  </si>
  <si>
    <t>WP230501624506</t>
  </si>
  <si>
    <t>나리찬</t>
  </si>
  <si>
    <t>[유튜브 조회 2000만] 전라도 진 갓김치</t>
  </si>
  <si>
    <t>나리찬 진 갓김치 800g(클립)</t>
  </si>
  <si>
    <t>BA251202231209246</t>
  </si>
  <si>
    <t>WP230101505224</t>
  </si>
  <si>
    <t>ePTFE 프리미엄라이트 숨쉬기편한 50매 XS SS S M L</t>
  </si>
  <si>
    <t>중형 베이지 50매 ePTFEM50B</t>
  </si>
  <si>
    <t>BA251202221208018</t>
  </si>
  <si>
    <t>WP240601977730</t>
  </si>
  <si>
    <t>해담솔</t>
  </si>
  <si>
    <t>[최고원초] 스틱김자반 10g 15봉 2세트 /불닭맛 야채견과 제로슈가 /어린이용 야채 새우멸치</t>
  </si>
  <si>
    <t>스틱김자반 [10g x 15개] (오리지널) 2개세트</t>
  </si>
  <si>
    <t>BA251202191206136</t>
  </si>
  <si>
    <t>WP230101504197</t>
  </si>
  <si>
    <t>경동한과</t>
  </si>
  <si>
    <t>[한과명인] 강릉 경동한과 수제 커피한과 찹쌀</t>
  </si>
  <si>
    <t>커피한과</t>
  </si>
  <si>
    <t>BA251202231208717</t>
  </si>
  <si>
    <t>WP231201798757</t>
  </si>
  <si>
    <t>고기마을</t>
  </si>
  <si>
    <t>(무항생제) 한돈 생삼겹살 1kg /생목살 1kg</t>
  </si>
  <si>
    <t>생삼겹살 500g+생목살500g</t>
  </si>
  <si>
    <t>BA251202201206371</t>
  </si>
  <si>
    <t>WP241202129336</t>
  </si>
  <si>
    <t>티쉬</t>
  </si>
  <si>
    <t>실바노가르시아 최상급 엑스트라버진 유기농 올리브오일 250ml+500ml 선물세트 셋트</t>
  </si>
  <si>
    <t>실바노가르시아 올리브오일 500ml+500ml 세트</t>
  </si>
  <si>
    <t>BA251202221208089</t>
  </si>
  <si>
    <t>WP230501608369</t>
  </si>
  <si>
    <t>휴대폰 핸드폰 25W 초고속 충전기 어댑터 slim + C타입 케이블</t>
  </si>
  <si>
    <t>BA251202221208496</t>
  </si>
  <si>
    <t>BA251202171204833</t>
  </si>
  <si>
    <t>BA251202221207896</t>
  </si>
  <si>
    <t>WP230101492867</t>
  </si>
  <si>
    <t>네이처팜</t>
  </si>
  <si>
    <t>청도 감말랭이 선물세트 (청도 감말랭이 250g x 4팩)</t>
  </si>
  <si>
    <t>네이처팜 감말랭이 선물세트 (청도 감말랭이 250g x 4팩)</t>
  </si>
  <si>
    <t>BA251202171204798</t>
  </si>
  <si>
    <t>WP230101505509</t>
  </si>
  <si>
    <t>제이피썸</t>
  </si>
  <si>
    <t>HACCP 화학첨가물 ZERO 미스터빠삭 김부각/다시마부각 수량별 할인 특가</t>
  </si>
  <si>
    <t>미스터빠삭 다시마부각 25g / 3개</t>
  </si>
  <si>
    <t>BA251202171205085</t>
  </si>
  <si>
    <t>WP230701674887</t>
  </si>
  <si>
    <t>윤선애선인장</t>
  </si>
  <si>
    <t>[무농약 인증 국내산] 100% 가시오가피 80ml 30포/ 어버이날 스승의날 부모님 선생님 선물셋트 세트</t>
  </si>
  <si>
    <t>무농약 가시오가피 100% 추출액 80ml x 30포</t>
  </si>
  <si>
    <t>BA251202191205868</t>
  </si>
  <si>
    <t>BA251202221208251</t>
  </si>
  <si>
    <t>Lime Basil &amp; Mandarin(라임 바질&amp;만다린향) 100g 4입 1세트</t>
  </si>
  <si>
    <t>BA251202221208004</t>
  </si>
  <si>
    <t>WP230501613861</t>
  </si>
  <si>
    <t>KF80 3단 황사방역마스크 대형/소형 40매</t>
  </si>
  <si>
    <t>KF80 건영3단황사방역마스크 소형 40매 - 흰색</t>
  </si>
  <si>
    <t>BA251202191206133</t>
  </si>
  <si>
    <t>BA251202221207825</t>
  </si>
  <si>
    <t>WP230101505532</t>
  </si>
  <si>
    <t>참손푸드</t>
  </si>
  <si>
    <t>HACCP 인증 속초식 저온숙성 명태 초무침 400g</t>
  </si>
  <si>
    <t>속초식명태초무침 400g</t>
  </si>
  <si>
    <t>BA251202171204806</t>
  </si>
  <si>
    <t>WP230101503640</t>
  </si>
  <si>
    <t>좋은영농조합법인</t>
  </si>
  <si>
    <t>배박추출농축액 간편 배도라지진액스틱 10g x 45포</t>
  </si>
  <si>
    <t>배도라지진액스틱 10g x 45포</t>
  </si>
  <si>
    <t>BA251202181205557</t>
  </si>
  <si>
    <t>BA251202181205603</t>
  </si>
  <si>
    <t>WP241102102050</t>
  </si>
  <si>
    <t>[보습효과] 바세린 세라마이드 핸드크림 60ml 5개</t>
  </si>
  <si>
    <t>바세린 세라마이드 핸드크림 60ml x 5개</t>
  </si>
  <si>
    <t>BA251202201206750</t>
  </si>
  <si>
    <t>WP250102156351</t>
  </si>
  <si>
    <t>팔곡 찹쌀 약밥 45g 30개입 영양간식/ 답례품 선물</t>
  </si>
  <si>
    <t>팔곡약밥 30개입</t>
  </si>
  <si>
    <t>BA251203061210193</t>
  </si>
  <si>
    <t>WP240902046221</t>
  </si>
  <si>
    <t>과일드림2</t>
  </si>
  <si>
    <t>100% 국내산 영양 고춧가루 500g 1kg 3kg / 지퍼백용 스틱용 매운맛 순한맛 양념용 고추가루 김장김치용</t>
  </si>
  <si>
    <t>빛깔찬 고춧가루 (지퍼백용)500g 보통맛 양념용</t>
  </si>
  <si>
    <t>BA251202231208874</t>
  </si>
  <si>
    <t>WP231201799891</t>
  </si>
  <si>
    <t>한울 농업회사법인</t>
  </si>
  <si>
    <t>[특허제조] 촉촉달달 국산 꿀고구마 말랭이 60g 10봉지 / 다이어트 어린이 간식</t>
  </si>
  <si>
    <t>꿀고구마말랭이 60g 10봉지</t>
  </si>
  <si>
    <t>BA251202181205109</t>
  </si>
  <si>
    <t>WP240902046084</t>
  </si>
  <si>
    <t>곰소천년</t>
  </si>
  <si>
    <t>천일염으로 만든 프리미엄 젓갈 280g 모음 (비빔오징어젓 창란젓 낙지 꼴뚜기젓)/ 밥반찬</t>
  </si>
  <si>
    <t>오징어젓 280g</t>
  </si>
  <si>
    <t>BA251202231208724</t>
  </si>
  <si>
    <t>생들기름250ml</t>
  </si>
  <si>
    <t>BA251202211207521</t>
  </si>
  <si>
    <t>WP250802434342</t>
  </si>
  <si>
    <t>쿠첸</t>
  </si>
  <si>
    <t>[에너지효율1등급] 슬립 저소음 20L 제습기 /물통수위 외관학인 대용량 차일드락 기술</t>
  </si>
  <si>
    <t>CDH-BF200W</t>
  </si>
  <si>
    <t>BA251202201206704</t>
  </si>
  <si>
    <t>WP230501624450</t>
  </si>
  <si>
    <t>[유튜브 조회 2000만] 전라도 진 포기김치</t>
  </si>
  <si>
    <t>나리찬 진 포기김치 5kg(클립)</t>
  </si>
  <si>
    <t>BA251202201206867</t>
  </si>
  <si>
    <t>BA251202211207361</t>
  </si>
  <si>
    <t>화이트머스크향</t>
  </si>
  <si>
    <t>BA251202211207497</t>
  </si>
  <si>
    <t>WP230501613882</t>
  </si>
  <si>
    <t>에어박스</t>
  </si>
  <si>
    <t>네이버 1위 캠핑용품 차박 실내용 에어메트리스</t>
  </si>
  <si>
    <t>에어로네스트 200cmⅩ200cmⅩ40cm 올리브카키</t>
  </si>
  <si>
    <t>BA251202221207948</t>
  </si>
  <si>
    <t>WP250302259385</t>
  </si>
  <si>
    <t>어메스</t>
  </si>
  <si>
    <t>[국산 통감자 쏘옥~] NO밀가루 NO방부제 꾼감자빵 10개입/ 아이 어르신간식 캠핑안주 아침대용</t>
  </si>
  <si>
    <t>꾼감자빵 10개입</t>
  </si>
  <si>
    <t>BA251202171204926</t>
  </si>
  <si>
    <t>BA251203031209971</t>
  </si>
  <si>
    <t>BA251202201206538</t>
  </si>
  <si>
    <t>WP241202143321</t>
  </si>
  <si>
    <t>꿀팁몰</t>
  </si>
  <si>
    <t>[화학첨가물 ZERO] 야채 멸치 사골 분말육수 3종</t>
  </si>
  <si>
    <t>혼합(야채1/멸치1/사골1)</t>
  </si>
  <si>
    <t>BA251202211207173</t>
  </si>
  <si>
    <t>WP250902500514</t>
  </si>
  <si>
    <t>100%식물추출 룸 &amp; 패브릭 피톤치드 99%탈취 소취 스프레이</t>
  </si>
  <si>
    <t>소노시즌 피톤치드 3.0 리츄얼 스프레이 시더우드(세트)</t>
  </si>
  <si>
    <t>BA251202191206015</t>
  </si>
  <si>
    <t>BA251202201206483</t>
  </si>
  <si>
    <t>WP231201798901</t>
  </si>
  <si>
    <t>정성드리</t>
  </si>
  <si>
    <t>100% 국산재료 섬진강 하동 재첩국 (2인분 500g/5팩)</t>
  </si>
  <si>
    <t>하동 재첩국(500g/5팩)</t>
  </si>
  <si>
    <t>BA251203061210186</t>
  </si>
  <si>
    <t>WP241102102017</t>
  </si>
  <si>
    <t>[1+1] 보습효과 딥 모이스춰 바세린 바디워시 1,000ml</t>
  </si>
  <si>
    <t>딥 모이스춰 바세린 바디워시 1,000ml, x 2개</t>
  </si>
  <si>
    <t>BA251202171204728</t>
  </si>
  <si>
    <t>WP230201519776</t>
  </si>
  <si>
    <t>미성영어조합법인</t>
  </si>
  <si>
    <t>국내산 바다향기 머금은 영광 함초 굴비 70g - 20미</t>
  </si>
  <si>
    <t>바다향기 머금은 영광 함초 굴비 70g - 20미</t>
  </si>
  <si>
    <t>BA251202191205717</t>
  </si>
  <si>
    <t>BA251203071210516</t>
  </si>
  <si>
    <t>BA251203071210587</t>
  </si>
  <si>
    <t>WP250302225727</t>
  </si>
  <si>
    <t>65W 접지형 초고속충전기 노트북 PD 3.0 PPS GaN 어댑터/ 핸드폰 휴대폰</t>
  </si>
  <si>
    <t>65W 1P 화이트 접지형 (케이블미포함)</t>
  </si>
  <si>
    <t>BA251203081210843</t>
  </si>
  <si>
    <t>WP240702004853</t>
  </si>
  <si>
    <t>참식품</t>
  </si>
  <si>
    <t>HACCP 국내산 전라도 동치미 무김치1kg 3kg 5kg/ 물김치</t>
  </si>
  <si>
    <t>동치미 3kg</t>
  </si>
  <si>
    <t>BA251203071210659</t>
  </si>
  <si>
    <t>WP250302234443</t>
  </si>
  <si>
    <t>천연펄프 두루마리 화장지 비데 겸용 무형광 굿매너 30롤/36롤 9종모음</t>
  </si>
  <si>
    <t>퓨어&amp;소프트 18m x 30롤 1팩</t>
  </si>
  <si>
    <t>BA251203071210427</t>
  </si>
  <si>
    <t>BA251203071210415</t>
  </si>
  <si>
    <t>BA251203071210552</t>
  </si>
  <si>
    <t>BA251203081210965</t>
  </si>
  <si>
    <t>BA251203071210677</t>
  </si>
  <si>
    <t>생모시 두텁떡 400g(1봉/10개) x 7봉</t>
  </si>
  <si>
    <t>BA251203071210604</t>
  </si>
  <si>
    <t>BA251203081210957</t>
  </si>
  <si>
    <t>WP230101489083</t>
  </si>
  <si>
    <t>드림라임</t>
  </si>
  <si>
    <t>오쉘 항균 일회용마스크 유해균 99.9제거 50매 x 2박스</t>
  </si>
  <si>
    <t>오쉘 항균 일회용마스크 50매 x 2박스</t>
  </si>
  <si>
    <t>BA251203071210403</t>
  </si>
  <si>
    <t>WP240201862701</t>
  </si>
  <si>
    <t>[의약외품 99.9%살균] 손소독티슈 대용량 통타입 100매x 2개</t>
  </si>
  <si>
    <t>리꼬 손소독티슈 대용량 통타입 100매x 2개</t>
  </si>
  <si>
    <t>삼성카드몰</t>
  </si>
  <si>
    <t>AA251202101249908</t>
  </si>
  <si>
    <t>SP230501603413</t>
  </si>
  <si>
    <t>솔루엠 65W3P 초고속 멀티충전기</t>
  </si>
  <si>
    <t>AA251202161204523</t>
  </si>
  <si>
    <t>SP250302226797</t>
  </si>
  <si>
    <t>마마프랑 PH중성 대용량 액체 울세제/ 산소표백제 3000ml 일반 드럼세탁기 겸용</t>
  </si>
  <si>
    <t>마마프랑 대용량 액체 울세제 3000ml X 1개</t>
  </si>
  <si>
    <t>AA251202231209236</t>
  </si>
  <si>
    <t>SP231101771743</t>
  </si>
  <si>
    <t>귀 안아픈 새부리형 김서림방지 2D 황사 KF94 마스크 대형 50매 흰색 검정색</t>
  </si>
  <si>
    <t>제로 황사방역마스크 KF94 흰색 50매</t>
  </si>
  <si>
    <t>AA251202171204739</t>
  </si>
  <si>
    <t>SP231101768808</t>
  </si>
  <si>
    <t>AA251202211207702</t>
  </si>
  <si>
    <t>SP230701672123</t>
  </si>
  <si>
    <t>[스피드랙] 가로 1000 / 폭 500 / 높이 1800 / 선반 수량 5개</t>
  </si>
  <si>
    <t>AA251202221208290</t>
  </si>
  <si>
    <t>SP230701675077</t>
  </si>
  <si>
    <t>[살림백서] 주방세제 1L x 2개입 청귤향 자몽향</t>
  </si>
  <si>
    <t>주방세제 1L x 2개입 청귤향</t>
  </si>
  <si>
    <t>AA251202221208405</t>
  </si>
  <si>
    <t>SP231101769332</t>
  </si>
  <si>
    <t>국내산 황토 삶은 무청 시래기 / 배추 우거지</t>
  </si>
  <si>
    <t>황토 삶은 무청시래기 300g x 4팩</t>
  </si>
  <si>
    <t>쿠팡</t>
  </si>
  <si>
    <t>G0191</t>
  </si>
  <si>
    <t>제니스</t>
  </si>
  <si>
    <t>제니스 트라이 60수 런닝 TMRSB09 (화이트 100)</t>
  </si>
  <si>
    <t>트라이 국산 100%순면 60수 디럭스 남성런닝셔츠 5매 세트 민소매 남자나시,60수 런닝 5매세트 RST09_100</t>
  </si>
  <si>
    <t>G0187</t>
  </si>
  <si>
    <t>제니스 트라이 100수 런닝 TMRSB08 (화이트 100)</t>
  </si>
  <si>
    <t>트라이 국산 100%순면 100수 프리미엄 남성런닝셔츠 3매 세트 민소매 남자나시,100수 런닝 3매세트 RST08_100</t>
  </si>
  <si>
    <t>G0192</t>
  </si>
  <si>
    <t>제니스 트라이 60수 런닝 TMRSB09 (화이트 105)</t>
  </si>
  <si>
    <t>트라이 국산 100%순면 60수 디럭스 남성런닝셔츠 3매 세트 민소매 남자나시,60수 런닝 3매세트 RST09_105</t>
  </si>
  <si>
    <t>G0190</t>
  </si>
  <si>
    <t>제니스 트라이 60수 런닝 TMRSB09 (화이트 95)</t>
  </si>
  <si>
    <t>트라이 국산 100%순면 60수 디럭스 남성런닝셔츠 5매 세트 민소매 남자나시,60수 런닝 5매세트 RST09_95</t>
  </si>
  <si>
    <t>네이버-제니스월드</t>
  </si>
  <si>
    <t>G0011</t>
  </si>
  <si>
    <t>제니스 한비나 노니 비누 100g 1개</t>
  </si>
  <si>
    <t>제품선택: 옵션 01 베트남노니비누6개</t>
  </si>
  <si>
    <t>ESM</t>
  </si>
  <si>
    <t>G0217</t>
  </si>
  <si>
    <t>제니스 이어홀 클리너 귀걸이구멍 클렌징 세트 60회, 1개 핑크색 피치향</t>
  </si>
  <si>
    <t>제품옵션:1세트/1개</t>
  </si>
  <si>
    <t>롯데온</t>
  </si>
  <si>
    <t>복숭아향</t>
  </si>
  <si>
    <t>도매꾹</t>
  </si>
  <si>
    <t>G0014</t>
  </si>
  <si>
    <t>제니스 화이트 타이거 밤 티그레 블랑 20g 1개</t>
  </si>
  <si>
    <t>본품 (1개)</t>
  </si>
  <si>
    <t>알리</t>
  </si>
  <si>
    <t>호랑이 연고 타이거밤 20g 6개 세트</t>
  </si>
  <si>
    <t>토스</t>
  </si>
  <si>
    <t>T8003</t>
  </si>
  <si>
    <t>한국펄프 사랑이 가득한 집 부드러운 3겹 데코 화장지 시그니쳐 순수 (3겹 30롤 30m x 1팩)</t>
  </si>
  <si>
    <t>프리미엄 3겹 천연펄프 광폭 화장지 시그니쳐 순수 휴지 / 무형광 무포름알데히드 무색 무향,1개 30롤 30m</t>
  </si>
  <si>
    <t>20251202-0001567</t>
  </si>
  <si>
    <t>T46969</t>
  </si>
  <si>
    <t>오가닉K 오브제 제로 핸드워시 300ml 1개입 모겐향</t>
  </si>
  <si>
    <t>제품옵션=오브제 제로 핸드워시 300ml 1개입 모겐향</t>
  </si>
  <si>
    <t>T7874</t>
  </si>
  <si>
    <t>루플</t>
  </si>
  <si>
    <t>루플 올리 데이 옐로우 라임</t>
  </si>
  <si>
    <t>제품옵션=옐로우 라임</t>
  </si>
  <si>
    <t>20251202-0001795</t>
  </si>
  <si>
    <t>T45121</t>
  </si>
  <si>
    <t>도아드림</t>
  </si>
  <si>
    <t>도아드림 듀얼 구스 90베개 50x70 낮은형(커버1개증정)</t>
  </si>
  <si>
    <t>제품옵션=듀얼 구스 90베개 50x70 낮은형(커버1개증정)</t>
  </si>
  <si>
    <t>애터미아자</t>
  </si>
  <si>
    <t>T39212</t>
  </si>
  <si>
    <t>일농 땅콩호박 3kg</t>
  </si>
  <si>
    <t>제품선택:땅콩호박 3kg 1 개 (+0 원)</t>
  </si>
  <si>
    <t>T39320</t>
  </si>
  <si>
    <t>둥지쌍화탕 쌍화차 1L X 1팩</t>
  </si>
  <si>
    <t>제품선택:쌍화차 1L X 1팩 2 개 (+0 원)</t>
  </si>
  <si>
    <t>T46973</t>
  </si>
  <si>
    <t>한우물 511401 닭가슴살 간장계란 곤약잡곡볶음밥 210g 6개+닭가슴살 쫄깃잡채 곤약잡곡볶음밥 210g 6개</t>
  </si>
  <si>
    <t>제품선택:511401 닭가슴살 간장계란 곤약잡곡볶음밥 210g 6개+닭가슴살 쫄깃잡채 곤약잡곡볶음밥 210g 6개 1 개 (-300 원)</t>
  </si>
  <si>
    <t>T39446</t>
  </si>
  <si>
    <t>더젓갈</t>
  </si>
  <si>
    <t>더젓갈 녹차 갈치속젓 230g</t>
  </si>
  <si>
    <t>제품선택:녹차 갈치속젓 230g 1 개 (+0 원)</t>
  </si>
  <si>
    <t>T44959</t>
  </si>
  <si>
    <t>곰소천년의젓갈</t>
  </si>
  <si>
    <t>곰소천년의젓갈 창란젓 280g</t>
  </si>
  <si>
    <t>제품선택:창란젓 280g 1 개 (+0 원)</t>
  </si>
  <si>
    <t>T46828</t>
  </si>
  <si>
    <t>일농 서리태가루300g</t>
  </si>
  <si>
    <t>제품선택:서리태가루300g 1 개 (+0 원)</t>
  </si>
  <si>
    <t>T46878</t>
  </si>
  <si>
    <t>더젓갈 국내산 새우추젓(특) 500g</t>
  </si>
  <si>
    <t>제품선택:국내산 새우추젓(특) 500g 1 개 (+0 원)</t>
  </si>
  <si>
    <t>T39777</t>
  </si>
  <si>
    <t>에스씨컴퍼니 팔곡약밥 30개입</t>
  </si>
  <si>
    <t>제품선택:팔곡약밥 30개입 1 개 (+0 원)</t>
  </si>
  <si>
    <t>T44848</t>
  </si>
  <si>
    <t>이비채</t>
  </si>
  <si>
    <t>이비채 홍삼액에 인삼이 뿌리채 120ml × 12개</t>
  </si>
  <si>
    <t>홍삼액에 인삼이 뿌리채 120ml × 12개</t>
  </si>
  <si>
    <t>P0189</t>
  </si>
  <si>
    <t>쿠첸 CRS-WK1010FSPW 10인용 밥솥</t>
  </si>
  <si>
    <t>S0030</t>
  </si>
  <si>
    <t>쿠첸 CRS-FCWK0671K 6인용밥솥</t>
  </si>
  <si>
    <t>T45545</t>
  </si>
  <si>
    <t>백제(케이씨물류) 백제 쌀국수 멸치맛 92g x 30개</t>
  </si>
  <si>
    <t>올웨이즈</t>
  </si>
  <si>
    <t>a15c2dad-94b7-4690-8ede-9e4c44189b3e</t>
  </si>
  <si>
    <t>T38764</t>
  </si>
  <si>
    <t>엠케이엠</t>
  </si>
  <si>
    <t>엠케이엠 문경 자일로스 생강청 (1000ml x 1개)</t>
  </si>
  <si>
    <t>0. [무첨가] 문경 자일로스 생강청 1000ml: 문경 자일로스 생강청 1000ml</t>
  </si>
  <si>
    <t>이제너두</t>
  </si>
  <si>
    <t>2025120300472573377F</t>
  </si>
  <si>
    <t>T45774</t>
  </si>
  <si>
    <t>오가닉K 마이크로 미셀라 휩 클렌징폼 500ml 2개입</t>
  </si>
  <si>
    <t>마이크로 미셀라 휩 클렌징폼 500ml 2개입</t>
  </si>
  <si>
    <t>2025120222384971068F</t>
  </si>
  <si>
    <t>2025120209171349494F</t>
  </si>
  <si>
    <t>P0129</t>
  </si>
  <si>
    <t>오가닉K 살림백서 욕실세정제 (1+1) 800ml</t>
  </si>
  <si>
    <t>살림백서 욕실세정제 800ml 2개</t>
  </si>
  <si>
    <t>풀무원</t>
  </si>
  <si>
    <t>K1000024854</t>
  </si>
  <si>
    <t>T39190</t>
  </si>
  <si>
    <t>위랩 닥터파이토 칼슘 마그네슘 비타민 D 800mg X 90정</t>
  </si>
  <si>
    <t>닥터파이토 칼슘 마그네슘 비타민D 800mg x 90정</t>
  </si>
  <si>
    <t>티딜</t>
  </si>
  <si>
    <t>T46645</t>
  </si>
  <si>
    <t>케이알시고려 청광 블루라이트 차단 투명 보호안경 (성인용)</t>
  </si>
  <si>
    <t>[케이알시고려] 성인용 청광 블루라이트 차단 투명 보호안경 옵션: 청광 블루라이트 차단 투명 보호안경 (성인용)</t>
  </si>
  <si>
    <t>기아샵</t>
  </si>
  <si>
    <t>S0034</t>
  </si>
  <si>
    <t>쿠첸 CRH-VWZD0640KFNW 6인용밥솥</t>
  </si>
  <si>
    <t>듀얼프레셔 초고압 IH 전기압력밥솥 6인용 10인용 베스트 모음 상품: CRH-VWZD0640KFNW 6인용밥솥</t>
  </si>
  <si>
    <t>S0031</t>
  </si>
  <si>
    <t>쿠첸 CRS-FCWK1071K 10인용밥솥</t>
  </si>
  <si>
    <t>듀얼프레셔 초고압 IH 전기압력밥솥 6인용 10인용 베스트 모음 상품: CRS-FCWK1071K 10인용밥솥</t>
  </si>
  <si>
    <t>캐시딜</t>
  </si>
  <si>
    <t>T39186</t>
  </si>
  <si>
    <t>화산 치업 소스 닭가슴살 그릴바베큐 X 10팩</t>
  </si>
  <si>
    <t>상품:치업 소스 닭가슴살 그릴바베큐 x 10팩</t>
  </si>
  <si>
    <t>제이슨딜</t>
  </si>
  <si>
    <t>J10117646866731389710169414</t>
  </si>
  <si>
    <t>T0047</t>
  </si>
  <si>
    <t>에이스라이프</t>
  </si>
  <si>
    <t>에이스라이프 트레비 비데 ALB-R3600 IPX4 등급 1개</t>
  </si>
  <si>
    <t>J10317646776861262913147972</t>
  </si>
  <si>
    <t>S0112</t>
  </si>
  <si>
    <t>정성드리 하동 섬진강 재첩국 500g 10팩</t>
  </si>
  <si>
    <t>제품옵션/하동 섬진강 재첩국 500g 10팩</t>
  </si>
  <si>
    <t>J10317646741081436113147972</t>
  </si>
  <si>
    <t>J10317646463951905513147972</t>
  </si>
  <si>
    <t>자연이랑</t>
  </si>
  <si>
    <t>O25120280233</t>
  </si>
  <si>
    <t>T44995</t>
  </si>
  <si>
    <t>오가닉K 오브제 퍼퓸 트리트먼트 1L 1개입 화이트머스크향</t>
  </si>
  <si>
    <t>T39704</t>
  </si>
  <si>
    <t>오가닉K 오브제 퍼퓸 트리트먼트 1L 1개입 라벤더퍼퓸향</t>
  </si>
  <si>
    <t>LG</t>
  </si>
  <si>
    <t>T39369</t>
  </si>
  <si>
    <t>케이알시고려 B14G 편광 블랙</t>
  </si>
  <si>
    <t>B14G 편광 블랙</t>
  </si>
  <si>
    <t>P0105</t>
  </si>
  <si>
    <t>블루인더스 [특가] 항바이러스 콤비 차량용 에어컨필터 BCV009 [4월말]</t>
  </si>
  <si>
    <t>BCV009</t>
  </si>
  <si>
    <t>T39613</t>
  </si>
  <si>
    <t>블루인더스 휴대용 필터 샤워기 세트/ 화이트</t>
  </si>
  <si>
    <t>휴대용 필터 샤워기 세트/ 화이트</t>
  </si>
  <si>
    <t>T45012</t>
  </si>
  <si>
    <t>블루인더스 링크 / 프로 휴대용 샤워기용 리필필터 2개입</t>
  </si>
  <si>
    <t>링크 프로 휴대용 샤워기용 리필필터 2개입</t>
  </si>
  <si>
    <t>S0095</t>
  </si>
  <si>
    <t>부각마을</t>
  </si>
  <si>
    <t>부각마을 대 기프트세트(40g 10p)</t>
  </si>
  <si>
    <t>대 기프트세트(40g 10p)</t>
  </si>
  <si>
    <t>비즈마켓</t>
  </si>
  <si>
    <t>M2512M010599677649</t>
  </si>
  <si>
    <t>T39364</t>
  </si>
  <si>
    <t>기장끝집 오직 전복죽 밀키트 3팩</t>
  </si>
  <si>
    <t>옵션 : 오직 전복죽 밀키트 3팩</t>
  </si>
  <si>
    <t>네티웰</t>
  </si>
  <si>
    <t>NW2025120210555867</t>
  </si>
  <si>
    <t>복지드림</t>
  </si>
  <si>
    <t>C253363739591</t>
  </si>
  <si>
    <t>T45115</t>
  </si>
  <si>
    <t>행복에스앤피제지 행복한집 키친타올130매 x 6롤 2팩</t>
  </si>
  <si>
    <t>/ [행복에스앤피제지] 행복한집 키친타올130매 x 6롤 2팩</t>
  </si>
  <si>
    <t>C253364690982</t>
  </si>
  <si>
    <t>T46744</t>
  </si>
  <si>
    <t>일농 감귤 4.5kg 로얄과 S-M</t>
  </si>
  <si>
    <t>/ 감귤 4.5kg 로얄과 S-M</t>
  </si>
  <si>
    <t>C253372035949</t>
  </si>
  <si>
    <t>T46743</t>
  </si>
  <si>
    <t>일농 감귤 4.5kg 대과 L-2L</t>
  </si>
  <si>
    <t>/ 감귤 4.5kg 대과 L-2L</t>
  </si>
  <si>
    <t>BA251128091101018</t>
  </si>
  <si>
    <t>WP230201524338</t>
  </si>
  <si>
    <t>천연펄프 3겹 무형광 화장지 비데겸용 더 화이트 25m x 30롤</t>
  </si>
  <si>
    <t>더 화이트 25m x 30롤 1팩</t>
  </si>
  <si>
    <t>BA251128091101388</t>
  </si>
  <si>
    <t>BA251128091101053</t>
  </si>
  <si>
    <t>WP230901723545</t>
  </si>
  <si>
    <t>한일전자</t>
  </si>
  <si>
    <t>한일전자 저소음 방수 애견 펫 반려동물 애견 부분이발기 PC-B160</t>
  </si>
  <si>
    <t>애견 부분이발기 PC-B160</t>
  </si>
  <si>
    <t>BA251128091101358</t>
  </si>
  <si>
    <t>4.5kg 가정용 황금향 중과 18-28과</t>
  </si>
  <si>
    <t>BA251128091101465</t>
  </si>
  <si>
    <t>WP241102102002</t>
  </si>
  <si>
    <t>[8중 히알루론산 함유]식물유래 그린티 바하 버블 저자극 클렌징폼 500ml</t>
  </si>
  <si>
    <t>그린티 바하 버블 클렌징폼 500ml x 2개</t>
  </si>
  <si>
    <t>BA251128101101563</t>
  </si>
  <si>
    <t>WP240902046314</t>
  </si>
  <si>
    <t>[시각장애인용 점자표기] EWG 그린등급 저자극 엠보싱 도톰한 물티슈 100매 10개 (50gsm)</t>
  </si>
  <si>
    <t>랄랄라 당근 물티슈 100매 10개</t>
  </si>
  <si>
    <t>BA251128101101722</t>
  </si>
  <si>
    <t>WP230701691528</t>
  </si>
  <si>
    <t>제주특산</t>
  </si>
  <si>
    <t>제주 유자차/ 한라봉차/ 청귤청/ 뎅유지차/ 레몬차 1kg</t>
  </si>
  <si>
    <t>유자차 2.2kg</t>
  </si>
  <si>
    <t>BA251128091101319</t>
  </si>
  <si>
    <t>WP250802432598</t>
  </si>
  <si>
    <t>위드라이크</t>
  </si>
  <si>
    <t>히밥 제주 통등심 치즈돈까스 쌀 밀떡볶이 커리 밀키트 간편식 냉동식품</t>
  </si>
  <si>
    <t>히밥의 제주통등심 빅돈까스x어묵쏙 누들떡볶이</t>
  </si>
  <si>
    <t>BA251128121102906</t>
  </si>
  <si>
    <t>BA251128111102524</t>
  </si>
  <si>
    <t>BA251128121102750</t>
  </si>
  <si>
    <t>BA251128121103042</t>
  </si>
  <si>
    <t>KF80 건영3단황사방역마스크 대형 40매 - 흰색</t>
  </si>
  <si>
    <t>BA251128111102595</t>
  </si>
  <si>
    <t>BA251128121103045</t>
  </si>
  <si>
    <t>WP240201862687</t>
  </si>
  <si>
    <t>[물풀림성 인증] 변기클리너 일회용 세정제 브러쉬 4팩+핸들 / 화장실 청소</t>
  </si>
  <si>
    <t>변기클리너 허브향 4팩</t>
  </si>
  <si>
    <t>변기클리너 레몬향 4팩</t>
  </si>
  <si>
    <t>BA251128121102681</t>
  </si>
  <si>
    <t>WP250902492783</t>
  </si>
  <si>
    <t>[찬물OK 3초만에 제조] 티브루 헛개수 / 옥수수수염차 / 보리차 원액 액기스 액상스틱 30개입</t>
  </si>
  <si>
    <t>티브루 헛개수 액상스틱 30개입</t>
  </si>
  <si>
    <t>티브루 옥수수수염차 액상스틱 30개입</t>
  </si>
  <si>
    <t>티브루 보리차 액상스틱 30개입</t>
  </si>
  <si>
    <t>BA251128111102079</t>
  </si>
  <si>
    <t>WP241102102500</t>
  </si>
  <si>
    <t>[인공향료 무첨가] 세정과 보습 2중케어 에키네시아 마일드 미산성 여성청결제 200ml</t>
  </si>
  <si>
    <t>에키네시아 마일드 여성청결제 200ml 1개</t>
  </si>
  <si>
    <t>BA251128121102841</t>
  </si>
  <si>
    <t>WP240201872619</t>
  </si>
  <si>
    <t>[무첨가] 순오미자/ 자일로스 햇오미자청/ 햇복분자청/ 순생강청</t>
  </si>
  <si>
    <t>문경 자일로스 오미자청 1000ml</t>
  </si>
  <si>
    <t>BA251128121103028</t>
  </si>
  <si>
    <t>유자차 1kg</t>
  </si>
  <si>
    <t>BA251128141103744</t>
  </si>
  <si>
    <t>WP230101492661</t>
  </si>
  <si>
    <t>살림백서 퍼퓸 섬유유연제 리필형 2L x 3개입 일랑일랑향 베베코튼향</t>
  </si>
  <si>
    <t>일랑일랑향</t>
  </si>
  <si>
    <t>BA251128141103582</t>
  </si>
  <si>
    <t>WP230401596535</t>
  </si>
  <si>
    <t>금호조침</t>
  </si>
  <si>
    <t>[새우액젓 절임어피 특허] 이카킬러S 2.2 5개 1세트 야광 매그먼훅/ 한치 갑오징어 오징어 쭈꾸미 낚시 미끼 에기 루어</t>
  </si>
  <si>
    <t>WP240301906851</t>
  </si>
  <si>
    <t>[한치 쭈꾸미 갑오징어 문어 낚시]이카킬러 슬림3D 슷테 8컬러 1세트/ 미끼 액젓어피 집어제 래틀 에기 야광</t>
  </si>
  <si>
    <t>이카킬러 슬림3D 75 (8컬러 1세트)</t>
  </si>
  <si>
    <t>BA251128131103561</t>
  </si>
  <si>
    <t>WP230501608405</t>
  </si>
  <si>
    <t>무궁화전자</t>
  </si>
  <si>
    <t>3 in 1 무선 진공 물걸레 청소기/ 진공청소, 물걸레청소, 핸드청소</t>
  </si>
  <si>
    <t>무선 진공 물걸레 청소기</t>
  </si>
  <si>
    <t>BA251128151104077</t>
  </si>
  <si>
    <t>WP230101489792</t>
  </si>
  <si>
    <t>더드립</t>
  </si>
  <si>
    <t>에이티플러스 SCA 80점 이상 스페셜 커피 / 브라질 콜림비아 에티오피아 드립백세트 30개</t>
  </si>
  <si>
    <t>에이티플러스 스페셜 커피 - 네이비 데일리팩 3종 10g x 30개입</t>
  </si>
  <si>
    <t>BA251128131103545</t>
  </si>
  <si>
    <t>WP240601972693</t>
  </si>
  <si>
    <t>현대비데</t>
  </si>
  <si>
    <t>[전기료 0원] 스마트 수동 기계식 직수 필터없는 비데 HB-5023W / 방수 노필터</t>
  </si>
  <si>
    <t>HB-5023W</t>
  </si>
  <si>
    <t>BA251128131103549</t>
  </si>
  <si>
    <t>빛깔찬 고춧가루 (지퍼백용)1kg 순한맛 양념용</t>
  </si>
  <si>
    <t>BA251128141103794</t>
  </si>
  <si>
    <t>WP241102080591</t>
  </si>
  <si>
    <t>미세먼지99%차단 4중필터구조 PM2.5 차량용 에어컨필터 자동차 활성탄 필터</t>
  </si>
  <si>
    <t>CGO-03</t>
  </si>
  <si>
    <t>WP241102080594</t>
  </si>
  <si>
    <t>미세먼지99%차단 자동차 차량용 에어컨필터 교체 PM2.5 파티클</t>
  </si>
  <si>
    <t>PGO-03</t>
  </si>
  <si>
    <t>PGO-02</t>
  </si>
  <si>
    <t>BA251128131103390</t>
  </si>
  <si>
    <t>WP230501608375</t>
  </si>
  <si>
    <t>휴대폰 핸드폰 25W 초고속충전기 어댑터 stripe</t>
  </si>
  <si>
    <t>솔루엠 25W 초고속충전기 stripe</t>
  </si>
  <si>
    <t>BA251128131103331</t>
  </si>
  <si>
    <t>WP250702420372</t>
  </si>
  <si>
    <t>[1+1]모발빠짐 두피치밀도개선 흑곡 지성 두피케어 약산성 탈모샴푸 1L</t>
  </si>
  <si>
    <t>흑곡 지성 두피케어 탈모샴푸 1L 2개</t>
  </si>
  <si>
    <t>BA251128131103412</t>
  </si>
  <si>
    <t>WP240601972696</t>
  </si>
  <si>
    <t>IPX5 방수 FULL스텐노즐 비데 HB-8123 /키즈어린이 난방 인체감지 소프트개폐</t>
  </si>
  <si>
    <t>HB-8123</t>
  </si>
  <si>
    <t>BA251128131103200</t>
  </si>
  <si>
    <t>WP240401923609</t>
  </si>
  <si>
    <t>오그래</t>
  </si>
  <si>
    <t>햄프씨드 식물성 단백질 쉐이크(곡물, 흑임자) 7팩 /다이어트 식사대용 한끼식사</t>
  </si>
  <si>
    <t>햄프씨드쉐이크 곡물맛x7팩</t>
  </si>
  <si>
    <t>BA251128161105077</t>
  </si>
  <si>
    <t>WP241102101374</t>
  </si>
  <si>
    <t>[인체저자극 테스트 완료] 맥주효모 바이오틴 탈모증상완화 저자극 샴푸 1000ML</t>
  </si>
  <si>
    <t>맥주효모 탈모샴푸 1L X 1개</t>
  </si>
  <si>
    <t>BA251128151104368</t>
  </si>
  <si>
    <t>WP251002516282</t>
  </si>
  <si>
    <t>월드웨이</t>
  </si>
  <si>
    <t>[만성피로] 피로 회복 천연 아미노포켓10000 1세트(50포)</t>
  </si>
  <si>
    <t>아미노포켓10000 1세트</t>
  </si>
  <si>
    <t>BA251128231110407</t>
  </si>
  <si>
    <t>화이트머스크</t>
  </si>
  <si>
    <t>베베머스크</t>
  </si>
  <si>
    <t>BA251128191108454</t>
  </si>
  <si>
    <t>WP240802014266</t>
  </si>
  <si>
    <t>더 핏 듀얼프레셔 실속형 6인용 10인용 밥솥 에너지 1등급</t>
  </si>
  <si>
    <t>CRS-WK1010FSPW 10인용 밥솥</t>
  </si>
  <si>
    <t>BA251128221109773</t>
  </si>
  <si>
    <t>WP230101503674</t>
  </si>
  <si>
    <t>제로 황사방역마스크 KF94 검정색 50매</t>
  </si>
  <si>
    <t>BA251128211109405</t>
  </si>
  <si>
    <t>WP240702004650</t>
  </si>
  <si>
    <t>HACCP 국내산 전라도 오이소박이 김치1kg 2kg 3kg 5kg</t>
  </si>
  <si>
    <t>오이소박이 5kg</t>
  </si>
  <si>
    <t>BA251129011110981</t>
  </si>
  <si>
    <t>피톤치드 원액 순백 30m x 30롤 1팩</t>
  </si>
  <si>
    <t>BA251128231110488</t>
  </si>
  <si>
    <t>BA251128201108939</t>
  </si>
  <si>
    <t>WP240702005012</t>
  </si>
  <si>
    <t>이셀</t>
  </si>
  <si>
    <t>[리포좀 제형기술] 비타민C&amp;비타민D 1100mg 30정</t>
  </si>
  <si>
    <t>리포좀 비타민C&amp;비타민D 30정 3개</t>
  </si>
  <si>
    <t>BA251128211109310</t>
  </si>
  <si>
    <t>WP230201523538</t>
  </si>
  <si>
    <t>전통 수제 김부각 세트모음/ 미쉐린 레스토랑 수출제품</t>
  </si>
  <si>
    <t>65g x 5팩 선물세트 -홈</t>
  </si>
  <si>
    <t>BA251128231110578</t>
  </si>
  <si>
    <t>WP230201524585</t>
  </si>
  <si>
    <t>균주 6종 99.9% 살균력 테스트 완료 /리꼬 손소독티슈</t>
  </si>
  <si>
    <t>리꼬 손소독티슈 50매x10팩</t>
  </si>
  <si>
    <t>BA251128181107454</t>
  </si>
  <si>
    <t>BA251128181107607</t>
  </si>
  <si>
    <t>WP241102100961</t>
  </si>
  <si>
    <t>국내최초 3중 파워패킹 10인용 전기 압력밥솥/ 29분 잡곡밥 에너지효율 1등급</t>
  </si>
  <si>
    <t>CRS-FCWK1071K</t>
  </si>
  <si>
    <t>BA251128231110468</t>
  </si>
  <si>
    <t>WP241202112892</t>
  </si>
  <si>
    <t>샘골잣집</t>
  </si>
  <si>
    <t>국산볶음땅콩 250g 볶음캐슈넛 260g 볶은아몬드 270g 볶음피스타치오 230g 3개묶음</t>
  </si>
  <si>
    <t>볶음캐슈넛 260g 3개 묶음</t>
  </si>
  <si>
    <t>BA251128221109933</t>
  </si>
  <si>
    <t>WP240201859618</t>
  </si>
  <si>
    <t>딥클린 더블 고농축 캡슐세제 60개입 / 중성세제 섬유보호 드럼 일반겸용</t>
  </si>
  <si>
    <t>1+1 딥클린 더블 고농축 캡슐세제 60개입</t>
  </si>
  <si>
    <t>WP230701674990</t>
  </si>
  <si>
    <t>[살림백서] 주방세제 500ml x 4개입 청귤향</t>
  </si>
  <si>
    <t>주방세제 500ml x 4개입 청귤향</t>
  </si>
  <si>
    <t>BA251128231110349</t>
  </si>
  <si>
    <t>BA251129001110755</t>
  </si>
  <si>
    <t>WP230401589195</t>
  </si>
  <si>
    <t>감코리아</t>
  </si>
  <si>
    <t>★백화점 인기★디저트 곶감 / 가장 높은 당도 촉촉하고 젤리같은 식감 곶감 세트</t>
  </si>
  <si>
    <t>디저트 곶감 (월하 3구) 4개모음</t>
  </si>
  <si>
    <t>BA251128191108281</t>
  </si>
  <si>
    <t>BA251128231110461</t>
  </si>
  <si>
    <t>WP250302226120</t>
  </si>
  <si>
    <t>방수등급 5단계 저소음 방수형 애견이발기 바리깡 PC-B430 / 강아지 고양이 반려동물 미용기</t>
  </si>
  <si>
    <t>PC-B430</t>
  </si>
  <si>
    <t>BA251128211109555</t>
  </si>
  <si>
    <t>BA251129001110702</t>
  </si>
  <si>
    <t>WP240702004640</t>
  </si>
  <si>
    <t>HACCP 국내산 전라도 파김치 1kg 2kg 3kg 5kg</t>
  </si>
  <si>
    <t>파김치 1kg</t>
  </si>
  <si>
    <t>BA251129051111223</t>
  </si>
  <si>
    <t>BA251128211109515</t>
  </si>
  <si>
    <t>WP230501624515</t>
  </si>
  <si>
    <t>[유튜브 조회 2000만]전라도 진 파김치</t>
  </si>
  <si>
    <t>나리찬 진 파김치 800g(클립)</t>
  </si>
  <si>
    <t>나리찬 진 포기김치 5kg (벌크)</t>
  </si>
  <si>
    <t>BA251128181107447</t>
  </si>
  <si>
    <t>WP250702421427</t>
  </si>
  <si>
    <t>[1+1]등드름 여드름성 피부완화 기능성 아크네 바디워시 1000ml/ 피지세정완화 약산성</t>
  </si>
  <si>
    <t>아크네 바하 등드름완화 바디워시 1000ml 3개</t>
  </si>
  <si>
    <t>BA251128211109245</t>
  </si>
  <si>
    <t>BA251129061111321</t>
  </si>
  <si>
    <t>창란젓 280g</t>
  </si>
  <si>
    <t>BA251128211109172</t>
  </si>
  <si>
    <t>체리블라썸</t>
  </si>
  <si>
    <t>BA251128181107926</t>
  </si>
  <si>
    <t>WP230201519439</t>
  </si>
  <si>
    <t>지닉스</t>
  </si>
  <si>
    <t>의료용 스테인리스 통 3중 압력솥 / 3인용 5인용</t>
  </si>
  <si>
    <t>쉐프레 압력솥 3인용</t>
  </si>
  <si>
    <t>BA251128211109193</t>
  </si>
  <si>
    <t>WP230201524399</t>
  </si>
  <si>
    <t>무형광 3겹 천연펄프 자연에서 온 녹차 25m x 30롤</t>
  </si>
  <si>
    <t>자연에서 온 녹차 25m x 30롤 1팩</t>
  </si>
  <si>
    <t>BA251128201109093</t>
  </si>
  <si>
    <t>BA251128201109036</t>
  </si>
  <si>
    <t>BA251128191108003</t>
  </si>
  <si>
    <t>WP250102156750</t>
  </si>
  <si>
    <t>수제 쌀참15봉 (사과당근/시금치/자색고구마)&amp; 떡뻥15봉(사과/단호박/백미) 아이간식 과자세트</t>
  </si>
  <si>
    <t>산골 쌀참 3종 x 5봉</t>
  </si>
  <si>
    <t>BA251128231110310</t>
  </si>
  <si>
    <t>WP241102083904</t>
  </si>
  <si>
    <t>새콤달콤 제주 서귀포 귤 프리미엄 당도선별 후숙 감귤 대과 로얄과 2kg 4.5kg</t>
  </si>
  <si>
    <t>감귤 4.5kg 로얄과 S-M</t>
  </si>
  <si>
    <t>BA251128191108074</t>
  </si>
  <si>
    <t>BA251128191108436</t>
  </si>
  <si>
    <t>BA251128201109082</t>
  </si>
  <si>
    <t>WP250302225621</t>
  </si>
  <si>
    <t>[불만족시 환불보장] 근적외선 손목찜질기 온열 LED 케어 밴드/ 발목 무릎 관절관리</t>
  </si>
  <si>
    <t>러브맘 근적외선 밴드</t>
  </si>
  <si>
    <t>BA251128201108875</t>
  </si>
  <si>
    <t>BA251129061111291</t>
  </si>
  <si>
    <t>BA251128181107989</t>
  </si>
  <si>
    <t>BA251128221109857</t>
  </si>
  <si>
    <t>[스피드랙] 가로 900 / 폭 500 / 높이 1950 / 선반 수량 3개</t>
  </si>
  <si>
    <t>BA251128211109260</t>
  </si>
  <si>
    <t>나리찬 진 포기김치 1kg(클립)</t>
  </si>
  <si>
    <t>BA251128221110012</t>
  </si>
  <si>
    <t>BA251129011110993</t>
  </si>
  <si>
    <t>WP251002516307</t>
  </si>
  <si>
    <t>[성적up 졸음 out] 수험생 학생 비타민 청소년 필수 영양제 어텐션T 1세트(60포)</t>
  </si>
  <si>
    <t>어텐션T 1세트</t>
  </si>
  <si>
    <t>BA251128221110152</t>
  </si>
  <si>
    <t>WP241102102697</t>
  </si>
  <si>
    <t>[베이킹소다&amp;7종 효모 함유] 세탁세제 2.5L X 4개 / 드럼 일반세탁기 겸용</t>
  </si>
  <si>
    <t>베이킹소다 세탁세제 2.5L X 4개</t>
  </si>
  <si>
    <t>BA251128231110290</t>
  </si>
  <si>
    <t>베베머스크향</t>
  </si>
  <si>
    <t>BA251129011110909</t>
  </si>
  <si>
    <t>BA251128171106861</t>
  </si>
  <si>
    <t>빛깔찬 고춧가루 (지퍼백용)500g 순한맛 양념용</t>
  </si>
  <si>
    <t>BA251128171106634</t>
  </si>
  <si>
    <t>WP251002511129</t>
  </si>
  <si>
    <t>마루컴퍼니</t>
  </si>
  <si>
    <t>저온숙성 국내산 수제 한우 부드러운 육포 30g 5개</t>
  </si>
  <si>
    <t>서서갈비 수제한우육포 30g 5개</t>
  </si>
  <si>
    <t>BA251128171107367</t>
  </si>
  <si>
    <t>BA251128191108459</t>
  </si>
  <si>
    <t>WP240201871554</t>
  </si>
  <si>
    <t>생활공감ON 미용티슈 220매 2겹 x 3개</t>
  </si>
  <si>
    <t>생활공감ON 미용티슈 220매 3개</t>
  </si>
  <si>
    <t>BA251128191108188</t>
  </si>
  <si>
    <t>WP250302223951</t>
  </si>
  <si>
    <t>국내산 과일과즙 푸딩 3종 4세트(사과당근, 귤한알, 포도송이)/ 디저트 간식</t>
  </si>
  <si>
    <t>산골푸딩 사과당근4팩+귤한알4팩+포도송이4팩</t>
  </si>
  <si>
    <t>BA251129021111082</t>
  </si>
  <si>
    <t>BA251128231110272</t>
  </si>
  <si>
    <t>생활공감ON 미용티슈 220매 6개</t>
  </si>
  <si>
    <t>BA251128231110474</t>
  </si>
  <si>
    <t>볶음아몬드 270g 3개 묶음</t>
  </si>
  <si>
    <t>BA251129001110805</t>
  </si>
  <si>
    <t>빛깔찬 고춧가루 (지퍼백용)1kg 보통맛 김치용</t>
  </si>
  <si>
    <t>BA251128181107517</t>
  </si>
  <si>
    <t>WP241202143359</t>
  </si>
  <si>
    <t>[SNS 핫템] 레스토랑급 리얼 우리별 수제 미니 화덕피자(고르곤졸라 마르게리따 페페로니 불고기 치즈 베이컨쉬림프)</t>
  </si>
  <si>
    <t>미니피자 리얼불고기</t>
  </si>
  <si>
    <t>미니피자 고르곤졸라</t>
  </si>
  <si>
    <t>미니피자 로제 베이컨 쉬림프</t>
  </si>
  <si>
    <t>BA251128201108650</t>
  </si>
  <si>
    <t>[스피드랙] 가로 1000 / 폭 400 / 높이 1800 / 선반 수량 4개</t>
  </si>
  <si>
    <t>BA251129021111040</t>
  </si>
  <si>
    <t>WP230201524622</t>
  </si>
  <si>
    <t>국내산 NFC착즙 아이 임산부 배도라지 쥬스/ 아기 달콤사과 주스</t>
  </si>
  <si>
    <t>헬로아이 달콤사과 100ml x 20포</t>
  </si>
  <si>
    <t>BA251129061111310</t>
  </si>
  <si>
    <t>BA251129081111821</t>
  </si>
  <si>
    <t>WP230801719499</t>
  </si>
  <si>
    <t>농업회사법인 대흥</t>
  </si>
  <si>
    <t>특허 비건스낵 건조 슬라이스 경산 원물 대추칩 80g * 4개입</t>
  </si>
  <si>
    <t>비건스낵 건조 슬라이스 대추칩 80g * 4개입</t>
  </si>
  <si>
    <t>BA251129071111472</t>
  </si>
  <si>
    <t>BA251129071111396</t>
  </si>
  <si>
    <t>WP240802014125</t>
  </si>
  <si>
    <t>볶아서 더 고소한 국산 서리태 가루 300g / 건강 선식 분말</t>
  </si>
  <si>
    <t>서리태가루300g</t>
  </si>
  <si>
    <t>BA251129071111451</t>
  </si>
  <si>
    <t>WP250702421431</t>
  </si>
  <si>
    <t>식물유래 바세린 모이스처 립밤 에센스 10ml 4개</t>
  </si>
  <si>
    <t>바세린 모이스처 립밤 에센스 10ml 4개</t>
  </si>
  <si>
    <t>BA251129101112421</t>
  </si>
  <si>
    <t>BA251129091112106</t>
  </si>
  <si>
    <t>BA251129091112174</t>
  </si>
  <si>
    <t>WP230201524445</t>
  </si>
  <si>
    <t>블루인더스 예쁜언니 KF94 마스크 50매</t>
  </si>
  <si>
    <t>블루인더스 예쁜언니 KF94 마스크 50매 - 화이트</t>
  </si>
  <si>
    <t>BA251129091111894</t>
  </si>
  <si>
    <t>WP230901736287</t>
  </si>
  <si>
    <t>엠에프비컴퍼니</t>
  </si>
  <si>
    <t>유해성분 불검출 / 위생적인 일회용 엠보싱 원단 롤타입 수세미 대형 소형</t>
  </si>
  <si>
    <t>일회용수세미 60매 x 4입 대형 [다크그린]</t>
  </si>
  <si>
    <t>BA251129101112969</t>
  </si>
  <si>
    <t>WP230601653122</t>
  </si>
  <si>
    <t>[3중파워패킹] 6인용 전기 압력밥솥 / 29분 잡곡취사 에너지효율 1등급</t>
  </si>
  <si>
    <t>CRS-FCWK0671K</t>
  </si>
  <si>
    <t>BA251129101112309</t>
  </si>
  <si>
    <t>BA251129101112894</t>
  </si>
  <si>
    <t>BA251129101112388</t>
  </si>
  <si>
    <t>PGO-01</t>
  </si>
  <si>
    <t>BA251129111113577</t>
  </si>
  <si>
    <t>BA251129121114485</t>
  </si>
  <si>
    <t>WP250302241669</t>
  </si>
  <si>
    <t>초경량24g B24G 편광선글라스 안경 스포츠 패션 썬글라스/ 골프 낚시 등산 런닝 자전거</t>
  </si>
  <si>
    <t>B24G 편광_블랙(스모그)렌즈/프레임 블랙(무광)</t>
  </si>
  <si>
    <t>BA251129121114440</t>
  </si>
  <si>
    <t>WP250902488224</t>
  </si>
  <si>
    <t>5분컷! 초강력 음이온 에어 헤어드라이기 1600w / 1년 무상AS</t>
  </si>
  <si>
    <t>코나에코 헤어드라이기 베이비핑크</t>
  </si>
  <si>
    <t>BA251129121114283</t>
  </si>
  <si>
    <t>BA251129111113480</t>
  </si>
  <si>
    <t>BA251129121114813</t>
  </si>
  <si>
    <t>청귤청 1kg</t>
  </si>
  <si>
    <t>BA251129121114482</t>
  </si>
  <si>
    <t>WP230801692750</t>
  </si>
  <si>
    <t>친정농업회사법인</t>
  </si>
  <si>
    <t>[전통방식 임순희식혜/ 단호박식혜] 청도 우렁이 쌀 무방부제 할머니가 만들어 주시던 그맛</t>
  </si>
  <si>
    <t>임순희식혜 1.5L x 3병</t>
  </si>
  <si>
    <t>BA251129131115492</t>
  </si>
  <si>
    <t>WP250402320136</t>
  </si>
  <si>
    <t>농업회사법인 대본</t>
  </si>
  <si>
    <t>원물100% 갓볶은 삼각티백차 모음/계피생강 대추 당귀 도라지생강모과 민들레 캐모마일 구기자비트 작두콩 결명자 전통차</t>
  </si>
  <si>
    <t>티플레이스 결명자 삼각티백</t>
  </si>
  <si>
    <t>BA251129141115527</t>
  </si>
  <si>
    <t>BA251129131114973</t>
  </si>
  <si>
    <t>WP230101491245</t>
  </si>
  <si>
    <t>서전지구</t>
  </si>
  <si>
    <t>LED 조명 타임다이얼 브라운 지구본 / 직경26cm</t>
  </si>
  <si>
    <t>브라운 등 지구본</t>
  </si>
  <si>
    <t>BA251129131114992</t>
  </si>
  <si>
    <t>BA251129141115888</t>
  </si>
  <si>
    <t>헬로아이 배도라지 80ml x 20포</t>
  </si>
  <si>
    <t>BA251129131115077</t>
  </si>
  <si>
    <t>BA251129131115420</t>
  </si>
  <si>
    <t>낙지젓 280g</t>
  </si>
  <si>
    <t>BA251129141115836</t>
  </si>
  <si>
    <t>BA251129151116482</t>
  </si>
  <si>
    <t>BA251129161116541</t>
  </si>
  <si>
    <t>BA251129151116353</t>
  </si>
  <si>
    <t>WP230101492738</t>
  </si>
  <si>
    <t>살림백서 액체 세탁세제 2L 2개 / 액체 섬유유연제 2L 2개</t>
  </si>
  <si>
    <t>액체세탁세제 2L x 2개입</t>
  </si>
  <si>
    <t>BA251129161116819</t>
  </si>
  <si>
    <t>BA251129151116054</t>
  </si>
  <si>
    <t>BA251129151116243</t>
  </si>
  <si>
    <t>나리찬 진 포기김치 10kg (벌크)</t>
  </si>
  <si>
    <t>BA251129161116588</t>
  </si>
  <si>
    <t>WP251002517167</t>
  </si>
  <si>
    <t>닭가슴살 곤약 잡곡 볶음밥 210g 2종 ( 간장 계란 / 쫄깃 잡채) 다이어트 간편식사</t>
  </si>
  <si>
    <t>511399 닭가슴살 간장계란 곤약잡곡볶음밥 210g 12개</t>
  </si>
  <si>
    <t>BA251129171117048</t>
  </si>
  <si>
    <t>WP230701683599</t>
  </si>
  <si>
    <t>3단필터 PM 0.3 캐빈 콤비 차량용 에어컨필터 자동차</t>
  </si>
  <si>
    <t>BC 008</t>
  </si>
  <si>
    <t>BA251129151116335</t>
  </si>
  <si>
    <t>그린티 바하 버블 클렌징폼 500ml x 1개</t>
  </si>
  <si>
    <t>BA251129231120558</t>
  </si>
  <si>
    <t>WP231001746040</t>
  </si>
  <si>
    <t>신생아 유아 대용량 도톰한 엠보싱 물티슈 캡형 100매 10팩</t>
  </si>
  <si>
    <t>살림백서 물티슈 캡형 100매 10팩</t>
  </si>
  <si>
    <t>BA251129191118182</t>
  </si>
  <si>
    <t>WP230201525354</t>
  </si>
  <si>
    <t>121도씨 멸균제품 오가닉코튼 / 리꼬베이비 구강청결티슈</t>
  </si>
  <si>
    <t>121도씨 구강청결티슈 50매x2팩</t>
  </si>
  <si>
    <t>BA251129191118545</t>
  </si>
  <si>
    <t>BA251130031121537</t>
  </si>
  <si>
    <t>BA251129181117867</t>
  </si>
  <si>
    <t>WP230101497451</t>
  </si>
  <si>
    <t>핸드드립 버라이어티팩 5종 x 30개입 원두 커피</t>
  </si>
  <si>
    <t>핸드드립 버라이어티팩 5종 x 30개입</t>
  </si>
  <si>
    <t>BA251130021121444</t>
  </si>
  <si>
    <t>BA251129201118809</t>
  </si>
  <si>
    <t>아크네 바하 등드름완화 바디워시 1000ml 2개</t>
  </si>
  <si>
    <t>BA251130001120936</t>
  </si>
  <si>
    <t>나리찬 진 갓김치 1kg(클립)</t>
  </si>
  <si>
    <t>BA251130011121303</t>
  </si>
  <si>
    <t>우유백설기 35개입</t>
  </si>
  <si>
    <t>BA251129211119598</t>
  </si>
  <si>
    <t>감귤 2kg 로얄과 S-M</t>
  </si>
  <si>
    <t>BA251130061121699</t>
  </si>
  <si>
    <t>데일리 이중 미세모 칫솔 20개입 1세트</t>
  </si>
  <si>
    <t>BA251129221119884</t>
  </si>
  <si>
    <t>WP241102097489</t>
  </si>
  <si>
    <t>EWG 그린등급 히알루론산 함유 프리미엄 핸드워시 300ml x 3개</t>
  </si>
  <si>
    <t>핸드워시 300ml 만다린바움 (우디향) x 2개</t>
  </si>
  <si>
    <t>BA251129211119554</t>
  </si>
  <si>
    <t>BA251129221120394</t>
  </si>
  <si>
    <t>WP230101503278</t>
  </si>
  <si>
    <t>KFAD 비말차단 입체마스크 50매입(5매입 x 5입) 대형 중형</t>
  </si>
  <si>
    <t>닥터퓨리 KFAD 비말차단 입체마스크 50매입(5매입x5입 포장) 대형</t>
  </si>
  <si>
    <t>BA251129191118077</t>
  </si>
  <si>
    <t>WP230601636422</t>
  </si>
  <si>
    <t>[불만족시 무료반품] 수제 건강차 여주차 / 작두콩차 / 돼지감자차</t>
  </si>
  <si>
    <t>볶은 작두콩차 70g x 4팩</t>
  </si>
  <si>
    <t>BA251130021121437</t>
  </si>
  <si>
    <t>WP250802443056</t>
  </si>
  <si>
    <t>국내산 매콤 단백 밥도둑 명란김 4g 60봉 명절 선물세트 추석 부모님 선물 셋트</t>
  </si>
  <si>
    <t>김서방 바다다 명란김 선물세트 (60봉) 선물박스</t>
  </si>
  <si>
    <t>WP250602392211</t>
  </si>
  <si>
    <t>[네이버후기 400개] 저온압착 참기름 들기름 350ml 1+1</t>
  </si>
  <si>
    <t>더맑음 들기름 350ml 1+1</t>
  </si>
  <si>
    <t>티브루 보리차 원액 400ml</t>
  </si>
  <si>
    <t>BA251129211119198</t>
  </si>
  <si>
    <t>BA251129211119371</t>
  </si>
  <si>
    <t>BA251129181117592</t>
  </si>
  <si>
    <t>WP230901727283</t>
  </si>
  <si>
    <t>숲속 맑은 칼슘 먹인 유정란(30구) 52g이상 대란</t>
  </si>
  <si>
    <t>숲속 맑은 칼슘 먹인 황색 유정란(30구)</t>
  </si>
  <si>
    <t>BA251129211119270</t>
  </si>
  <si>
    <t>WP251002516358</t>
  </si>
  <si>
    <t>[시니어 단백질 필수 아미노산] 약국판매 먹는 링거 실크아미노산 프라임실크A 1세트(60포) 시니어 영양제 부모님</t>
  </si>
  <si>
    <t>프라임실크A플러스 1세트</t>
  </si>
  <si>
    <t>BA251129231120864</t>
  </si>
  <si>
    <t>WP250802432604</t>
  </si>
  <si>
    <t>언더액티브</t>
  </si>
  <si>
    <t>코지 모달팬티 여성 심리스 속옷 Y존 편한 여자 순면 드로즈 일주일팩 7장세트</t>
  </si>
  <si>
    <t>프리미엄 코지모달팬티 7종세트 L(95)</t>
  </si>
  <si>
    <t>BA251129181117883</t>
  </si>
  <si>
    <t>WP241102102475</t>
  </si>
  <si>
    <t>옥수수 에탄올 베이스 퍼퓸 드 차량용 방향제 디퓨저 80ml (2개입)/ 자동차 흔들림 방지 부착 스티커</t>
  </si>
  <si>
    <t>퍼퓸 드 차량용 방향제 디퓨저 80ml ( 2개입) 화이트머스크</t>
  </si>
  <si>
    <t>BA251129231120875</t>
  </si>
  <si>
    <t>WP240802033274</t>
  </si>
  <si>
    <t>[헝가리/폴란드 80%구스] 털빠짐 걱정없는 알러지노 및 리버서블 구스다운이불(간절기 사계절 겨울용)</t>
  </si>
  <si>
    <t>알러지노 헝가리 구스다운이불 간절기용 S</t>
  </si>
  <si>
    <t>BA251129221120186</t>
  </si>
  <si>
    <t>BA251129201118592</t>
  </si>
  <si>
    <t>피톤치드 원액 순백 30m x 30롤 2팩</t>
  </si>
  <si>
    <t>BA251129201118639</t>
  </si>
  <si>
    <t>BA251129191118036</t>
  </si>
  <si>
    <t>BA251129211119716</t>
  </si>
  <si>
    <t>BA251129211119410</t>
  </si>
  <si>
    <t>BA251129221119980</t>
  </si>
  <si>
    <t>WP230401571737</t>
  </si>
  <si>
    <t>비데겸용 3겹 무향 천연펄프 행복을 주는 나무 오리지널 27m*30롤 (높이 95mm)</t>
  </si>
  <si>
    <t>행복을 주는 나무 오리지널 27m x 30롤 (높이 95mm) 1팩</t>
  </si>
  <si>
    <t>BA251130011121324</t>
  </si>
  <si>
    <t>체리블라썸향</t>
  </si>
  <si>
    <t>퍼퓸 드 섬유향수 룸스프레이 250ml 1개 (소프트코튼향)</t>
  </si>
  <si>
    <t>BA251129191117971</t>
  </si>
  <si>
    <t>WP251102537093</t>
  </si>
  <si>
    <t>올 스테인레스스 121 마스터플러스 2.1 초고압 6인용 IH 전기 밥솥</t>
  </si>
  <si>
    <t>CRT-PWPS0612SR</t>
  </si>
  <si>
    <t>BA251129191118078</t>
  </si>
  <si>
    <t>BA251129201118629</t>
  </si>
  <si>
    <t>파래도시락김 32봉 x 1박스</t>
  </si>
  <si>
    <t>BA251130001121080</t>
  </si>
  <si>
    <t>WP251102537142</t>
  </si>
  <si>
    <t>ALL IH 프리미엄 3구 인덕션 전기레인지</t>
  </si>
  <si>
    <t>CIR-B3IH341DSBI</t>
  </si>
  <si>
    <t>BA251129211119782</t>
  </si>
  <si>
    <t>BA251129221120102</t>
  </si>
  <si>
    <t>BA251129191118200</t>
  </si>
  <si>
    <t>BA251129201118921</t>
  </si>
  <si>
    <t>WP230101503839</t>
  </si>
  <si>
    <t>순천엔매실</t>
  </si>
  <si>
    <t>[견과류 듬뿍] 쫄깃달달한 국내산 매실 왕 씨앗수제호떡 20개/ 아이 간식 간편식사 디저트</t>
  </si>
  <si>
    <t>매실씨앗호떡 20개</t>
  </si>
  <si>
    <t>BA251129221120406</t>
  </si>
  <si>
    <t>BA251129221119845</t>
  </si>
  <si>
    <t>WP250702421486</t>
  </si>
  <si>
    <t>[1+1]녹차 병풀추출물 옴므 워터 그린티 스킨/로션200ml 남성스킨케어</t>
  </si>
  <si>
    <t>옴므 워터 그린티 스킨 200ml 2개</t>
  </si>
  <si>
    <t>BA251129181117914</t>
  </si>
  <si>
    <t>WP230101488386</t>
  </si>
  <si>
    <t>특허 구강관리 필수 치간칫솔 (I타입, 50개) / 충치예방 잇몸건강 입냄새제거 치석예방</t>
  </si>
  <si>
    <t>사이즈 - SSSS</t>
  </si>
  <si>
    <t>BA251129211119435</t>
  </si>
  <si>
    <t>WP230501613965</t>
  </si>
  <si>
    <t>인산가</t>
  </si>
  <si>
    <t>국산 천일염 9회 죽염 자죽염 분말형 고체형 / 구내염, 인후염, 풍치, 안과질환, 잇몸질환, 항암작용, 당뇨병에 효과</t>
  </si>
  <si>
    <t>9회 죽염 분말 / 80g</t>
  </si>
  <si>
    <t>BA251130021121470</t>
  </si>
  <si>
    <t>BA251129201118883</t>
  </si>
  <si>
    <t>BA251129171117225</t>
  </si>
  <si>
    <t>WP230501613406</t>
  </si>
  <si>
    <t>★DIY 선반 1위 ★ 홈던트하우스 간편 조립식 인테리어 선반 행거</t>
  </si>
  <si>
    <t>[홈던트] 가로 800 / 폭 500 / 높이 1950 / 행거단 1개 / 선반단 0개</t>
  </si>
  <si>
    <t>[홈던트] 가로 600 / 폭 500 / 높이 1950 / 행거단 0개 / 선반단 0개</t>
  </si>
  <si>
    <t>BA251130011121298</t>
  </si>
  <si>
    <t>WP240201871862</t>
  </si>
  <si>
    <t>[공군사령부 납품] 군용 편광 파일럿 선글라스</t>
  </si>
  <si>
    <t>KREX P11</t>
  </si>
  <si>
    <t>BA251129201119035</t>
  </si>
  <si>
    <t>WP230701658502</t>
  </si>
  <si>
    <t>오지케이</t>
  </si>
  <si>
    <t>낚시 등산 아웃도어 스포츠 편광 미러 선글라스_로빈 ROBBIN</t>
  </si>
  <si>
    <t>로빈 카키/골드</t>
  </si>
  <si>
    <t>BA251129201119083</t>
  </si>
  <si>
    <t>WP230201523630</t>
  </si>
  <si>
    <t>47brix 못난이 둥시 월하시 옥천준시 곶감</t>
  </si>
  <si>
    <t>못난이 월하시 곶감 450g (일반 size)</t>
  </si>
  <si>
    <t>BA251129211119273</t>
  </si>
  <si>
    <t>BA251129221119990</t>
  </si>
  <si>
    <t>행복을 주는 나무 오리지널 27m x 30롤 (높이 95mm) 2팩</t>
  </si>
  <si>
    <t>BA251129231120430</t>
  </si>
  <si>
    <t>BA251130001120934</t>
  </si>
  <si>
    <t>WP230501613972</t>
  </si>
  <si>
    <t>국산 천일염 프리미엄 알칼리 죽염 분말 미세과립 / 안과질환, 잇몸질환, 항암작용, 당뇨병 효과</t>
  </si>
  <si>
    <t>프리미엄 알칼리 죽염 미세과립 1kg</t>
  </si>
  <si>
    <t>BA251129201118634</t>
  </si>
  <si>
    <t>WP230101500397</t>
  </si>
  <si>
    <t>귀 안아픈 숨쉬기 편한 새부리형 2D KF80 대형 흰색 마스크 50매</t>
  </si>
  <si>
    <t>보건용 마스크 50매</t>
  </si>
  <si>
    <t>BA251130021121454</t>
  </si>
  <si>
    <t>BA251129181117839</t>
  </si>
  <si>
    <t>BA251129191118480</t>
  </si>
  <si>
    <t>BA251129191118211</t>
  </si>
  <si>
    <t>WP240702005107</t>
  </si>
  <si>
    <t>냉동김밥 230g 4종류 세트/ 야채 당근 유부비건 참치마요김밥</t>
  </si>
  <si>
    <t>511134 야채김밥2개+당근김밥2개+유부비건김밥2개+참치마요김밥2개</t>
  </si>
  <si>
    <t>BA251129201118968</t>
  </si>
  <si>
    <t>WP230901731200</t>
  </si>
  <si>
    <t>방진 특급 배기 마스크 (KRO 20)</t>
  </si>
  <si>
    <t>방진 특급 배기 마스크(KRO 20) 대형 20매</t>
  </si>
  <si>
    <t>BA251129221119970</t>
  </si>
  <si>
    <t>WP231101780315</t>
  </si>
  <si>
    <t>에어 2겹 엠보싱 천연펄프 무형광 키친타올 130매 6롤</t>
  </si>
  <si>
    <t>행복한집 키친타올 130매 x 6롤 1팩</t>
  </si>
  <si>
    <t>BA251130081121945</t>
  </si>
  <si>
    <t>BA251130071121757</t>
  </si>
  <si>
    <t>더 화이트 27m x 36롤 2팩</t>
  </si>
  <si>
    <t>BA251130071121887</t>
  </si>
  <si>
    <t>WP231101780277</t>
  </si>
  <si>
    <t>아세아도 주식회사</t>
  </si>
  <si>
    <t>[유아용] 갓 태어난 매우 두꺼운 물티슈 80gsm 블루 72매 (12개입)</t>
  </si>
  <si>
    <t>미마 갓 태어난 물티슈 블루 72매 (12개입)</t>
  </si>
  <si>
    <t>BA251130081121993</t>
  </si>
  <si>
    <t>BA251130081122197</t>
  </si>
  <si>
    <t>WP230101498231</t>
  </si>
  <si>
    <t>유기농 현미 아이간식 산골떡뻥 과자 15봉 패키지 (사과5봉+단호박5봉+백미5봉)</t>
  </si>
  <si>
    <t>산골떡뻥15봉 패키지 (사과5봉+단호박5봉+백미쌀눈5봉)</t>
  </si>
  <si>
    <t>BA251130071121869</t>
  </si>
  <si>
    <t>WP240201858776</t>
  </si>
  <si>
    <t>딥클린 액체 울세제 3L / 드라이크리닝 클리닝 중성세제</t>
  </si>
  <si>
    <t>살림백서 딥클린 액체 울세제 3L</t>
  </si>
  <si>
    <t>나리찬 진 포기김치 3kg (벌크)</t>
  </si>
  <si>
    <t>BA251130071121843</t>
  </si>
  <si>
    <t>WP250802433962</t>
  </si>
  <si>
    <t>엔릿</t>
  </si>
  <si>
    <t>10배강력한 빠른흡수력 빠른건조 빠르미 아쿠아타올 42cm x 65cm/ 영유아사용가능</t>
  </si>
  <si>
    <t>빠르미 아쿠아타올 그레이</t>
  </si>
  <si>
    <t>BA251130091122546</t>
  </si>
  <si>
    <t>BA251130101122671</t>
  </si>
  <si>
    <t>BA251130101122725</t>
  </si>
  <si>
    <t>한라봉차 1kg</t>
  </si>
  <si>
    <t>BA251130101123013</t>
  </si>
  <si>
    <t>BA251130101122861</t>
  </si>
  <si>
    <t>나리찬 진 포기김치 800g(클립)</t>
  </si>
  <si>
    <t>BA251130091122224</t>
  </si>
  <si>
    <t>WP231101781281</t>
  </si>
  <si>
    <t>낚시 등산 트레킹 스포츠 미러 편광 선글라스-도리 7colors / 고글 안경 자전거 골프</t>
  </si>
  <si>
    <t>선글라스-도리 네온옐로우</t>
  </si>
  <si>
    <t>BA251130091122378</t>
  </si>
  <si>
    <t>511401 닭가슴살 간장계란 곤약잡곡볶음밥 210g 6개+닭가슴살 쫄깃잡채 곤약잡곡볶음밥 210g 6개</t>
  </si>
  <si>
    <t>BA251130101122635</t>
  </si>
  <si>
    <t>WP230501619369</t>
  </si>
  <si>
    <t>★삼성 공식제조사★ 무선 충전기 올인원 충전 패드 (6mm슬림 C타입 고속충전) / 15W 고속충전 어댑터</t>
  </si>
  <si>
    <t>무선 충전기 + 15W 고속충전기 어댑터 세트</t>
  </si>
  <si>
    <t>BA251130101122794</t>
  </si>
  <si>
    <t>WP240201871831</t>
  </si>
  <si>
    <t>초경량 스포츠 선글라스 안경 편광변색 자외선차단 렌즈 고글/ 자전거 싸이클 골프 등산 낚시 조깅러닝 런닝달리기</t>
  </si>
  <si>
    <t>B14G 편광변색 블랙</t>
  </si>
  <si>
    <t>BA251130091122238</t>
  </si>
  <si>
    <t>WP230901727327</t>
  </si>
  <si>
    <t>케냐 더블에이 / 에티오피아 예가체프 핸드드립 커피 8g x 36개입</t>
  </si>
  <si>
    <t>에티오피아 예가체프 8g x 36개입</t>
  </si>
  <si>
    <t>케냐 더블에이 8g x 36개입</t>
  </si>
  <si>
    <t>BA251130091122308</t>
  </si>
  <si>
    <t>WP230201524390</t>
  </si>
  <si>
    <t>천연펄프 3겹 무향 화장지 비데겸용 네이처&amp;바스룸 30m x 30롤</t>
  </si>
  <si>
    <t>네이처&amp;바스룸 30m x 30롤 2팩</t>
  </si>
  <si>
    <t>BA251130101122664</t>
  </si>
  <si>
    <t>WP241102085563</t>
  </si>
  <si>
    <t>[내셔널지오그래픽] 65W 멀티 3포트 초고속 핸드폰충전기 PD GaN 노트북 휴대폰 C타입 어댑터 케이블 포함</t>
  </si>
  <si>
    <t>Nat Geo 65W 3P 블랙+케이블 포함</t>
  </si>
  <si>
    <t>BA251130121123875</t>
  </si>
  <si>
    <t>BA251130111123370</t>
  </si>
  <si>
    <t>BA251130111123477</t>
  </si>
  <si>
    <t>BA251130111123150</t>
  </si>
  <si>
    <t>옴므 워터 그린티 스킨 200ml+로션 200ml</t>
  </si>
  <si>
    <t>BA251130121123913</t>
  </si>
  <si>
    <t>BA251130121123680</t>
  </si>
  <si>
    <t>BA251130121123701</t>
  </si>
  <si>
    <t>BA251130111123130</t>
  </si>
  <si>
    <t>BA251130121124128</t>
  </si>
  <si>
    <t>BA251130121123905</t>
  </si>
  <si>
    <t>BA251130111123409</t>
  </si>
  <si>
    <t>BA251130111123579</t>
  </si>
  <si>
    <t>WP240201871546</t>
  </si>
  <si>
    <t>행복을주는나무 미용티슈 180매 2겹 x 3개</t>
  </si>
  <si>
    <t>행복을주는나무 미용티슈 180매 6개</t>
  </si>
  <si>
    <t>BA251130121124153</t>
  </si>
  <si>
    <t>BA251130111123649</t>
  </si>
  <si>
    <t>WP230601636363</t>
  </si>
  <si>
    <t>대풍년영농조합법인</t>
  </si>
  <si>
    <t>100% 국내산 건고추 고춧가루 500g 1kg</t>
  </si>
  <si>
    <t>대풍년 고추이야기 국내산 고춧가루 1kg</t>
  </si>
  <si>
    <t>BA251130111123337</t>
  </si>
  <si>
    <t>WP250102156341</t>
  </si>
  <si>
    <t>멥쌀로 만든 제주해풍쑥개떡 60g 1kg/ 간식 답례품 선물</t>
  </si>
  <si>
    <t>제주해풍쑥개떡 1kg</t>
  </si>
  <si>
    <t>BA251130141125067</t>
  </si>
  <si>
    <t>WP240401944364</t>
  </si>
  <si>
    <t>[곡물 추출]라이스&amp;허브 대용량주방세제 4L+750ml/ 쌀뜨물 아기용품 식기야채과일 세척가능/ 베이킹소다</t>
  </si>
  <si>
    <t>주방세제 4L+750ml 석류 향</t>
  </si>
  <si>
    <t>BA251130141124878</t>
  </si>
  <si>
    <t>WP230901727339</t>
  </si>
  <si>
    <t>[원두 분말 커피] 블랙 아이리쉬크림향 / 헤이즐넛향 50g 3개입 / 가루 아메리카노</t>
  </si>
  <si>
    <t>병커피 헤이즐넛향 50g 3개</t>
  </si>
  <si>
    <t>BA251130141125036</t>
  </si>
  <si>
    <t>BA251130131124662</t>
  </si>
  <si>
    <t>BA251130141125181</t>
  </si>
  <si>
    <t>WP230101503287</t>
  </si>
  <si>
    <t>닥터파이토 파이토블락 20ml x 10병</t>
  </si>
  <si>
    <t>BA251130131124560</t>
  </si>
  <si>
    <t>WP230101499647</t>
  </si>
  <si>
    <t>그라스메디</t>
  </si>
  <si>
    <t>덴탈케어브러쉬 강아지 고양이 애견 칫솔 양치 소형견 미세모 치석제거</t>
  </si>
  <si>
    <t>자유펫 덴탈케어브러쉬</t>
  </si>
  <si>
    <t>BA251130141125178</t>
  </si>
  <si>
    <t>BA251130131124663</t>
  </si>
  <si>
    <t>수세미 고급형 와인 50매</t>
  </si>
  <si>
    <t>BA251130131124421</t>
  </si>
  <si>
    <t>WP230201523470</t>
  </si>
  <si>
    <t>항아골</t>
  </si>
  <si>
    <t>국산콩 옛맛그대로 자연발효 청국장 / 전통식품인증 고품질 제품</t>
  </si>
  <si>
    <t>옛맛그대로 항아골 청국장 100g x 10입</t>
  </si>
  <si>
    <t>BA251130141124919</t>
  </si>
  <si>
    <t>BA251130131124266</t>
  </si>
  <si>
    <t>BA251130131124438</t>
  </si>
  <si>
    <t>BA251130131124717</t>
  </si>
  <si>
    <t>BA251130131124476</t>
  </si>
  <si>
    <t>WP240401944077</t>
  </si>
  <si>
    <t>[탈취력 테스트완료] 리프레쉬 악취제거 섬유탈취제 500ml 3개입/ 의류옷 신발 냄새제거 침구 커튼</t>
  </si>
  <si>
    <t>섬유탈취제 500ml 3개입 깨끗한 향</t>
  </si>
  <si>
    <t>BA251130131124450</t>
  </si>
  <si>
    <t>WP230101487767</t>
  </si>
  <si>
    <t>만제영어조합법인</t>
  </si>
  <si>
    <t>제주 해녀 직접 물질 작업 한치 300g</t>
  </si>
  <si>
    <t>제주 한치 300g</t>
  </si>
  <si>
    <t>BA251130161125978</t>
  </si>
  <si>
    <t>사이즈 - SS</t>
  </si>
  <si>
    <t>BA251130151125756</t>
  </si>
  <si>
    <t>BA251130151125694</t>
  </si>
  <si>
    <t>WP251102537131</t>
  </si>
  <si>
    <t>[에너지1등급] 상태 표정으로 표시 IH 6인용 전기 압력 밥솥 / 다이킹 코팅내솥</t>
  </si>
  <si>
    <t>CRH-VWZD0640KFNW</t>
  </si>
  <si>
    <t>BA251130151125256</t>
  </si>
  <si>
    <t>BA251130161126169</t>
  </si>
  <si>
    <t>BA251130161126286</t>
  </si>
  <si>
    <t>BA251130151125372</t>
  </si>
  <si>
    <t>WP230201524571</t>
  </si>
  <si>
    <t>균주 5종 99.9% 살균력 테스트 완료 / 닥터스 손소독티슈 50매x10팩</t>
  </si>
  <si>
    <t>닥터스 손소독티슈 50매x10팩</t>
  </si>
  <si>
    <t>BA251130151125638</t>
  </si>
  <si>
    <t>BA251130151125377</t>
  </si>
  <si>
    <t>WP230101492533</t>
  </si>
  <si>
    <t>살림백서 울세제 1L x 2개입</t>
  </si>
  <si>
    <t>BA251130151125442</t>
  </si>
  <si>
    <t>BA251130151125575</t>
  </si>
  <si>
    <t>WP240802012519</t>
  </si>
  <si>
    <t>정읍 둥지 쌍화차 간편세트 1호 (쌍화차10팩+고명10개) 선물셋트</t>
  </si>
  <si>
    <t>정읍 둥지 쌍화차 간편세트 1호</t>
  </si>
  <si>
    <t>BA251130161125832</t>
  </si>
  <si>
    <t>BA251130201128908</t>
  </si>
  <si>
    <t>WP230501624470</t>
  </si>
  <si>
    <t>[유튜브 조회 2000만] 전라도 진 총각김치</t>
  </si>
  <si>
    <t>나리찬 진 총각김치 800g(클립)</t>
  </si>
  <si>
    <t>BA251130191127817</t>
  </si>
  <si>
    <t>BA251130221130458</t>
  </si>
  <si>
    <t>WP240702005288</t>
  </si>
  <si>
    <t>볶음밥 17종류 세트/햄야채 참치김치 소불고기 새우 치킨카레 낙지 데리야끼 해물</t>
  </si>
  <si>
    <t>511346 치킨카레볶음밥 6개+소불고기볶음밥 6개</t>
  </si>
  <si>
    <t>BA251130191127570</t>
  </si>
  <si>
    <t>BA251130211129469</t>
  </si>
  <si>
    <t>BA251130231130979</t>
  </si>
  <si>
    <t>BA251130191127633</t>
  </si>
  <si>
    <t>생활공감ON 미용티슈 220매 12개</t>
  </si>
  <si>
    <t>BA251130191128004</t>
  </si>
  <si>
    <t>BA251201041233635</t>
  </si>
  <si>
    <t>WP230201525358</t>
  </si>
  <si>
    <t>아기용품 소독용 / 리꼬 유아용품 세정제균 소독티슈</t>
  </si>
  <si>
    <t>리꼬 유아용품 세정제균 소독티슈 50매 x 10팩</t>
  </si>
  <si>
    <t>BA251201051233693</t>
  </si>
  <si>
    <t>BA251130221130805</t>
  </si>
  <si>
    <t>[스피드랙] 가로 1000 / 폭 400 / 높이 1650 / 선반 수량 4개</t>
  </si>
  <si>
    <t>BA251201001232879</t>
  </si>
  <si>
    <t>나리찬 진 총각김치 1kg(클립)</t>
  </si>
  <si>
    <t>WP230501624496</t>
  </si>
  <si>
    <t>[유튜브 조회 2000만] 전라도 진 열무김치</t>
  </si>
  <si>
    <t>나리찬 진 열무김치 1kg(클립)</t>
  </si>
  <si>
    <t>BA251130191128120</t>
  </si>
  <si>
    <t>WP230101504123</t>
  </si>
  <si>
    <t>국내산 최상급 원물 산골 도라지배즙 80ml x 20포</t>
  </si>
  <si>
    <t>산골 도라지배즙 20포 4세트</t>
  </si>
  <si>
    <t>BA251201011233000</t>
  </si>
  <si>
    <t>BA251130181127423</t>
  </si>
  <si>
    <t>WP241202112873</t>
  </si>
  <si>
    <t>늘푸른</t>
  </si>
  <si>
    <t>[1kg+1kg] 무항생제 표고버섯 메추리알 비법소스 장조림 2종 밑반찬</t>
  </si>
  <si>
    <t>메추리알 장조림 1kg 2개</t>
  </si>
  <si>
    <t>BA251130221130264</t>
  </si>
  <si>
    <t>BA251130221130902</t>
  </si>
  <si>
    <t>WP250202221422</t>
  </si>
  <si>
    <t>실온이유식 중기 후기 완료기 단계별 100g 20팩 세트</t>
  </si>
  <si>
    <t>[완료기/진밥/12개월] 전복10봉+한우오트밀10봉</t>
  </si>
  <si>
    <t>BA251130221130191</t>
  </si>
  <si>
    <t>BA251201011233232</t>
  </si>
  <si>
    <t>WP230601653087</t>
  </si>
  <si>
    <t>홈던트하우스 선반단 행거단 추가구매 400mm~1200mm</t>
  </si>
  <si>
    <t>[홈던트] 선반단 / 가로 800 / 폭 600</t>
  </si>
  <si>
    <t>BA251130221130667</t>
  </si>
  <si>
    <t>BA251130201128240</t>
  </si>
  <si>
    <t>WP230101495455</t>
  </si>
  <si>
    <t>살림백서 베이비&amp;키즈 유아 아기로션 500ml</t>
  </si>
  <si>
    <t>베이비&amp;키즈 아기로션 500ml</t>
  </si>
  <si>
    <t>WP240201852393</t>
  </si>
  <si>
    <t>인공향료 free 임산부 매터니티 인텐시브 케어 오일 120ml / 산전 산후 산모</t>
  </si>
  <si>
    <t>매터니티 인텐시브 케어 오일 120ml</t>
  </si>
  <si>
    <t>BA251130181126919</t>
  </si>
  <si>
    <t>BA251201001232077</t>
  </si>
  <si>
    <t>WP241102101351</t>
  </si>
  <si>
    <t>[세라마이드+히알루론산 함유] 퍼퓸 미산성 바디워시 1,000ml</t>
  </si>
  <si>
    <t>퍼퓸 바디워시 1L_화이트솝 x 1개</t>
  </si>
  <si>
    <t>BA251201001232332</t>
  </si>
  <si>
    <t>WP250902481049</t>
  </si>
  <si>
    <t>유원</t>
  </si>
  <si>
    <t>[무형광 무포름알데히드] 먼지최소화 저자극 천연펄프 보습로션 미용티슈 200매/ 각티슈 예민피부 아이휴지 화장지</t>
  </si>
  <si>
    <t>양샹테 보습로션 미용티슈 200매 6곽 (2팩)</t>
  </si>
  <si>
    <t>BA251201001231824</t>
  </si>
  <si>
    <t>WP230201523390</t>
  </si>
  <si>
    <t>발효홍삼정 하루활력스틱(15ml x 60포) +쇼핑백 / 기력회복 면역력증가 피로회복</t>
  </si>
  <si>
    <t>발효홍삼정 하루활력스틱(15ml x 60포) +쇼핑백</t>
  </si>
  <si>
    <t>BA251201001231884</t>
  </si>
  <si>
    <t>WP230901730343</t>
  </si>
  <si>
    <t>맥널티 (홀빈) 싱글오리진 클래식 원두 블렌드 6종 200g</t>
  </si>
  <si>
    <t>(홀빈) 시그니처 블렌드 1kg</t>
  </si>
  <si>
    <t>BA251130201128350</t>
  </si>
  <si>
    <t>BA251201001232432</t>
  </si>
  <si>
    <t>BA251201061233929</t>
  </si>
  <si>
    <t>WP250302223977</t>
  </si>
  <si>
    <t>실바노가르시아 최상급 엑스트라버진 유기농 올리브오일 250ml</t>
  </si>
  <si>
    <t>실바노가르시아 올리브오일 500ml</t>
  </si>
  <si>
    <t>BA251130191128113</t>
  </si>
  <si>
    <t>WP241102102039</t>
  </si>
  <si>
    <t>[1+1] 보습효과 바세린 세라마이드 핸드워시 500ml</t>
  </si>
  <si>
    <t>바세린 세라마이드 핸드워시 500ml x 2개</t>
  </si>
  <si>
    <t>BA251130171126405</t>
  </si>
  <si>
    <t>BA251130171126318</t>
  </si>
  <si>
    <t>BA251130201128532</t>
  </si>
  <si>
    <t>BA251130191128186</t>
  </si>
  <si>
    <t>BA251130171126590</t>
  </si>
  <si>
    <t>BA251130231131305</t>
  </si>
  <si>
    <t>BA251130211129939</t>
  </si>
  <si>
    <t>BA251130191127620</t>
  </si>
  <si>
    <t>BA251201021233319</t>
  </si>
  <si>
    <t>2.5kg 가정용 황금향 중과 10-14과</t>
  </si>
  <si>
    <t>BA251130231131154</t>
  </si>
  <si>
    <t>BA251130231131078</t>
  </si>
  <si>
    <t>WP230101503298</t>
  </si>
  <si>
    <t>BA251130211129937</t>
  </si>
  <si>
    <t>BA251130201128314</t>
  </si>
  <si>
    <t>CGO-02</t>
  </si>
  <si>
    <t>BA251130171126785</t>
  </si>
  <si>
    <t>BA251130171126669</t>
  </si>
  <si>
    <t>WP230901736348</t>
  </si>
  <si>
    <t>[고순도 진제놀 함유] 위콤 생강뿌리추출물 / 위장케어 입냄새 소화작용 효과</t>
  </si>
  <si>
    <t>위콤 2박스</t>
  </si>
  <si>
    <t>BA251201011233131</t>
  </si>
  <si>
    <t>BA251130221130920</t>
  </si>
  <si>
    <t>WP251002517741</t>
  </si>
  <si>
    <t>MZ 트렌디 금고 메타셀015 14.4L 내화기능 방도성 충격경보기 지문인식</t>
  </si>
  <si>
    <t>메타셀 MC-15C1 (BQ)</t>
  </si>
  <si>
    <t>BA251201001232014</t>
  </si>
  <si>
    <t>WP230501609286</t>
  </si>
  <si>
    <t>디프로매트</t>
  </si>
  <si>
    <t>명작 아트 미니금고 16L 아뜰리에 빌트인구조 LED조명 디지털락</t>
  </si>
  <si>
    <t>미니금고 아뜰리에3 명화디자인 / 몬드리안 구성</t>
  </si>
  <si>
    <t>BA251130181127428</t>
  </si>
  <si>
    <t>BA251130201128978</t>
  </si>
  <si>
    <t>BA251130211129288</t>
  </si>
  <si>
    <t>생삼겹살 1Kg</t>
  </si>
  <si>
    <t>BA251130211129304</t>
  </si>
  <si>
    <t>BA251130181127021</t>
  </si>
  <si>
    <t>더 화이트 25m x 30롤 2팩</t>
  </si>
  <si>
    <t>BA251130221130148</t>
  </si>
  <si>
    <t>BA251201061233928</t>
  </si>
  <si>
    <t>BA251130211129290</t>
  </si>
  <si>
    <t>BA251130181126958</t>
  </si>
  <si>
    <t>BA251130191127493</t>
  </si>
  <si>
    <t>BA251130211129462</t>
  </si>
  <si>
    <t>BA251130231131468</t>
  </si>
  <si>
    <t>BA251130231131416</t>
  </si>
  <si>
    <t>BA251130211129608</t>
  </si>
  <si>
    <t>BA251130231131211</t>
  </si>
  <si>
    <t>[홈던트] 가로 800 / 폭 600 / 높이 1950 / 행거단 2개 / 선반단 1개</t>
  </si>
  <si>
    <t>BA251130221130547</t>
  </si>
  <si>
    <t>BA251201051233713</t>
  </si>
  <si>
    <t>일회용수세미 60매 x 4입 소형 [다크그린]</t>
  </si>
  <si>
    <t>BA251130181126891</t>
  </si>
  <si>
    <t>WP230201524666</t>
  </si>
  <si>
    <t>피부테스트 천연유래 성분 / 리꼬베이비 프리미엄 시그니처 물티슈 10팩</t>
  </si>
  <si>
    <t>리꼬베이비 그린물티슈 100매x10팩</t>
  </si>
  <si>
    <t>BA251201061234062</t>
  </si>
  <si>
    <t>BA251201001232786</t>
  </si>
  <si>
    <t>BA251201061234043</t>
  </si>
  <si>
    <t>WP240401944181</t>
  </si>
  <si>
    <t>[피부자극/유해성분 테스트완료] 식물유래 세수세안 비누 100g 10개입</t>
  </si>
  <si>
    <t>소프트 모이스처 비누 10개입</t>
  </si>
  <si>
    <t>BA251130221130129</t>
  </si>
  <si>
    <t>WP230201523030</t>
  </si>
  <si>
    <t>간편식 맛조은 국내산 고등어 / 삼치 구이 300g 가시제거 진공포장</t>
  </si>
  <si>
    <t>맛조은고등어구이 300g(30g x 10입)</t>
  </si>
  <si>
    <t>BA251201041233558</t>
  </si>
  <si>
    <t>BA251130201128876</t>
  </si>
  <si>
    <t>BA251130201129033</t>
  </si>
  <si>
    <t>BA251201001231803</t>
  </si>
  <si>
    <t>WP250702421497</t>
  </si>
  <si>
    <t>[탈취력 피부자극테스트완료]올 데이 필로우미스트 200ml 방향제 탈취제 섬유스프레이 탈취스프레이</t>
  </si>
  <si>
    <t>올데이 필로우미스트 200ml 2개 코지 라벤더</t>
  </si>
  <si>
    <t>BA251130231131502</t>
  </si>
  <si>
    <t>리꼬 손소독티슈 70매x10팩</t>
  </si>
  <si>
    <t>BA251130181127338</t>
  </si>
  <si>
    <t>빛깔찬 고춧가루3kg 보통맛 김치용</t>
  </si>
  <si>
    <t>BA251130191127970</t>
  </si>
  <si>
    <t>BA251130171126463</t>
  </si>
  <si>
    <t>BA251130231131146</t>
  </si>
  <si>
    <t>BA251201001231927</t>
  </si>
  <si>
    <t>BA251201061234012</t>
  </si>
  <si>
    <t>BA251130181127461</t>
  </si>
  <si>
    <t>BA251130191127560</t>
  </si>
  <si>
    <t>볶음피스타치오 230g 3개 묶음</t>
  </si>
  <si>
    <t>BA251130211129713</t>
  </si>
  <si>
    <t>BA251130221130316</t>
  </si>
  <si>
    <t>BA251130221130391</t>
  </si>
  <si>
    <t>BA251201001232446</t>
  </si>
  <si>
    <t>BA251130231131087</t>
  </si>
  <si>
    <t>BA251130191127626</t>
  </si>
  <si>
    <t>BA251130181127114</t>
  </si>
  <si>
    <t>BA251130181127193</t>
  </si>
  <si>
    <t>WP231001761066</t>
  </si>
  <si>
    <t>뽑아쓰는 천연 100% 펄프 키친타월 3겹 100매 9개입</t>
  </si>
  <si>
    <t>뽑아쓰는 키친타월 3겹 100매 9개입</t>
  </si>
  <si>
    <t>BA251130211129788</t>
  </si>
  <si>
    <t>WP241102097800</t>
  </si>
  <si>
    <t>케이센스</t>
  </si>
  <si>
    <t>1+1+성냥증정/ 카라영 인센스 꽃향기 차연의 싱그러움</t>
  </si>
  <si>
    <t>산벚꽃 / 라벤더(플로라)</t>
  </si>
  <si>
    <t>BA251130201128574</t>
  </si>
  <si>
    <t>행복을 주는 나무 순백 30m x 30롤 (높이107mm) 2팩</t>
  </si>
  <si>
    <t>BA251130211129757</t>
  </si>
  <si>
    <t>WP250702421482</t>
  </si>
  <si>
    <t>[1+1]수분케어 해양심층수 병풀추출물 옴므 워터 아쿠아 스킨/로션 200ml (알란토인+판테놀+세라마이드엔지)</t>
  </si>
  <si>
    <t>옴므 워터 아쿠아 스킨 200ml+로션 200ml</t>
  </si>
  <si>
    <t>BA251201051233681</t>
  </si>
  <si>
    <t>WP230101480967</t>
  </si>
  <si>
    <t>향기좋은 대용량 고농축 섬유유연제 1L X 3개입</t>
  </si>
  <si>
    <t>에어프릴코튼 1L x 3개입</t>
  </si>
  <si>
    <t>BA251130211129479</t>
  </si>
  <si>
    <t>BA251130211129487</t>
  </si>
  <si>
    <t>WP230101491271</t>
  </si>
  <si>
    <t>스마트 LED 별자리 지구본 / 직경32cm</t>
  </si>
  <si>
    <t>스마트 별자리 지구본</t>
  </si>
  <si>
    <t>BA251201001232104</t>
  </si>
  <si>
    <t>WP230101491251</t>
  </si>
  <si>
    <t>LED조명 별자리 720도 회전 스마트 트래블 지구본 / 직경 32cm</t>
  </si>
  <si>
    <t>스마트 트래블 지구본</t>
  </si>
  <si>
    <t>BA251130231131118</t>
  </si>
  <si>
    <t>솔루엠 25W 초고속충전기 slim</t>
  </si>
  <si>
    <t>BA251130231131643</t>
  </si>
  <si>
    <t>BA251201081235033</t>
  </si>
  <si>
    <t>변기에 버리는 리꼬 레디투플러쉬 비데물티슈 20매x30팩</t>
  </si>
  <si>
    <t>BA251201071234162</t>
  </si>
  <si>
    <t>BA251201081234965</t>
  </si>
  <si>
    <t>BA251201081234822</t>
  </si>
  <si>
    <t>BA251201081235029</t>
  </si>
  <si>
    <t>BA251201071234302</t>
  </si>
  <si>
    <t>WP250702409565</t>
  </si>
  <si>
    <t>오유</t>
  </si>
  <si>
    <t>[300만개판매] 끈적임 없는 블랙헤드 오코텍스 코팩 5매</t>
  </si>
  <si>
    <t>노모어 블랙헤드 코팩 5매</t>
  </si>
  <si>
    <t>BA251201081235290</t>
  </si>
  <si>
    <t>WP240401944594</t>
  </si>
  <si>
    <t>[1+1] 대박나는집 무형광 천연펄프 3겹 화장지 25m x 30롤 / 휴지</t>
  </si>
  <si>
    <t>대박나는집 천연펄프 25m 30롤 /2팩</t>
  </si>
  <si>
    <t>BA251201081235386</t>
  </si>
  <si>
    <t>WP230701684181</t>
  </si>
  <si>
    <t>맛있는 밥도둑 녹차 젓갈 모음전 200~230g 구성</t>
  </si>
  <si>
    <t>녹차 창란젓 230g</t>
  </si>
  <si>
    <t>녹차 낙지젓 230g</t>
  </si>
  <si>
    <t>BA251201081235182</t>
  </si>
  <si>
    <t>CRS-WK0610FSPW 6인용 밥솥</t>
  </si>
  <si>
    <t>BA251201071234445</t>
  </si>
  <si>
    <t>BA251201081235020</t>
  </si>
  <si>
    <t>BA251201081235258</t>
  </si>
  <si>
    <t>WP251102554627</t>
  </si>
  <si>
    <t>전문가용 헤어 커트 앞머리 숱가위 컷팅 미용가위 세트</t>
  </si>
  <si>
    <t>제니스 유틸론 전문가용 미용가위 세트</t>
  </si>
  <si>
    <t>BA251201081235230</t>
  </si>
  <si>
    <t>BA251201081235309</t>
  </si>
  <si>
    <t>WP230401552876</t>
  </si>
  <si>
    <t>와이제이랩</t>
  </si>
  <si>
    <t>인텐시브 크림 맥스 45ml / EGF 피부 영양 안면홍조 여드름흉터 피부과 레이저 연고 점 재생 홍조</t>
  </si>
  <si>
    <t>인텐시브 크림 맥스 45ml</t>
  </si>
  <si>
    <t>AA251128091101484</t>
  </si>
  <si>
    <t>SP240501963043</t>
  </si>
  <si>
    <t>AA251128151104101</t>
  </si>
  <si>
    <t>SP250702426683</t>
  </si>
  <si>
    <t>[미백주름 2중기능성] 저자극 초저분자 콜라겐 집중크림 30ml/ 피부탄력 펩타이드 글루타티온 함유</t>
  </si>
  <si>
    <t>리얼 콜라겐 집중크림 30ml 2개</t>
  </si>
  <si>
    <t>AA251128151104235</t>
  </si>
  <si>
    <t>SP230701670602</t>
  </si>
  <si>
    <t>AA251128151104336</t>
  </si>
  <si>
    <t>SP241202112866</t>
  </si>
  <si>
    <t>AA251128221109994</t>
  </si>
  <si>
    <t>SP240702005115</t>
  </si>
  <si>
    <t>511136 소불고기구운주먹밥R 10개+김치치즈 구운주먹밥R 10개</t>
  </si>
  <si>
    <t>AA251129031111151</t>
  </si>
  <si>
    <t>SP240401942065</t>
  </si>
  <si>
    <t>1+1 차량용 방향제 디퓨저 80ml 6종향</t>
  </si>
  <si>
    <t>차량용 디퓨저 80ml X 2개입 포레스트가든(향)</t>
  </si>
  <si>
    <t>AA251128201109060</t>
  </si>
  <si>
    <t>SP230701670195</t>
  </si>
  <si>
    <t>무뼈 양념닭발300g 2팩 /국물닭발900g 2팩 /무뼈국물닭발 500g 2팩 /무뼈불닭발 200g 3팩 야식 매운 양념 캠핑 혼술 안주 간편식</t>
  </si>
  <si>
    <t>청춘불판 무뼈 양념 닭발 300g 2팩</t>
  </si>
  <si>
    <t>AA251128201108679</t>
  </si>
  <si>
    <t>SP250302227129</t>
  </si>
  <si>
    <t>[무형광/비스코스원단] 깨끗한 이염방지시트 100매/ 세탁티슈 빨래 이염제거 일반 드럼세탁기 사용 가능</t>
  </si>
  <si>
    <t>깨끗한 이염방지시트 100매 2개</t>
  </si>
  <si>
    <t>AA251129041111163</t>
  </si>
  <si>
    <t>SP240701992669</t>
  </si>
  <si>
    <t>18브릭스 이상 고당도 망고 포도 샤인머스켓 4kg</t>
  </si>
  <si>
    <t>샤인머스켓 4kg</t>
  </si>
  <si>
    <t>AA251129081111585</t>
  </si>
  <si>
    <t>SP230801719182</t>
  </si>
  <si>
    <t>AA251129071111442</t>
  </si>
  <si>
    <t>[스피드랙] 가로 1000 / 폭 500 / 높이 1800 / 선반 수량 3개</t>
  </si>
  <si>
    <t>AA251129081111768</t>
  </si>
  <si>
    <t>SP240101844071</t>
  </si>
  <si>
    <t>바로먹는 슬라이스 국산 촉촉달달 꿀고구마120g 10개 / 다이어트 어린이 간식</t>
  </si>
  <si>
    <t>슬라이스 꿀고구마120g 10개</t>
  </si>
  <si>
    <t>AA251129101112623</t>
  </si>
  <si>
    <t>[스피드랙] 가로 1100 / 폭 600 / 높이 2100 / 선반 수량 6개</t>
  </si>
  <si>
    <t>AA251129161116902</t>
  </si>
  <si>
    <t>SP231101781163</t>
  </si>
  <si>
    <t>AA251129151116246</t>
  </si>
  <si>
    <t>SP230801697767</t>
  </si>
  <si>
    <t>원물 그대로 통째로 과일칩 산골과일참15봉 패키지 (사과참5봉+배참5봉+딸기참5봉)</t>
  </si>
  <si>
    <t>산골과일참15봉 패키지 (사과참5봉+배참5봉+딸기참5봉)</t>
  </si>
  <si>
    <t>AA251129161116616</t>
  </si>
  <si>
    <t>AA251129151116474</t>
  </si>
  <si>
    <t>SP230601647841</t>
  </si>
  <si>
    <t>나리찬 진 총각김치 3kg (벌크)</t>
  </si>
  <si>
    <t>AA251129161116801</t>
  </si>
  <si>
    <t>SP240802014268</t>
  </si>
  <si>
    <t>AA251129181117514</t>
  </si>
  <si>
    <t>SP240301911008</t>
  </si>
  <si>
    <t>올레바당</t>
  </si>
  <si>
    <t>[뚝배기맛 or 3배 매운맛] 제주 딱새우 컵라면 블랙/레드 (6개입/번들)</t>
  </si>
  <si>
    <t>제주딱새우라면 블랙/레드 혼합(각6개입, 총 12개입/박스)</t>
  </si>
  <si>
    <t>제주딱새우라면 블랙_(6개입/번들)</t>
  </si>
  <si>
    <t>AA251129221120232</t>
  </si>
  <si>
    <t>AA251129201119043</t>
  </si>
  <si>
    <t>SP241002063040</t>
  </si>
  <si>
    <t>무향 무취 습기먹는 제습제 520ml 24개 / 신발 옷장용 탈취 곰팡이 제거</t>
  </si>
  <si>
    <t>제습제 520ml 24개입</t>
  </si>
  <si>
    <t>AA251129181117556</t>
  </si>
  <si>
    <t>SP240802016198</t>
  </si>
  <si>
    <t>AA251129181117919</t>
  </si>
  <si>
    <t>AA251130051121647</t>
  </si>
  <si>
    <t>SP241202112869</t>
  </si>
  <si>
    <t>[14 BRIX 이상] 경북 고당도 시나노골드 저탄소 세척사과 개별포장 3kg</t>
  </si>
  <si>
    <t>시나노골드 3KG 소과 (15-18과)</t>
  </si>
  <si>
    <t>AA251129201118786</t>
  </si>
  <si>
    <t>AA251130001120919</t>
  </si>
  <si>
    <t>SP240702005293</t>
  </si>
  <si>
    <t>511221 감자탕볶음밥 6개+차돌김치볶음밥 6개</t>
  </si>
  <si>
    <t>AA251129181117868</t>
  </si>
  <si>
    <t>SP230601654185</t>
  </si>
  <si>
    <t>AA251130071121897</t>
  </si>
  <si>
    <t>SP230601642985</t>
  </si>
  <si>
    <t>한손에 들어오는 작은 사이즈 휴대용 전기 면도기 M0</t>
  </si>
  <si>
    <t>휴대용전기면도기 M0</t>
  </si>
  <si>
    <t>AA251130081122167</t>
  </si>
  <si>
    <t>SP230601643473</t>
  </si>
  <si>
    <t>트루나스</t>
  </si>
  <si>
    <t>★600만병 돌파★ 5無 원물 동결건조 조미료/ 자연한포 마늘한알 해산물 자연한알 비건 한우</t>
  </si>
  <si>
    <t>자연한포 2봉+마늘한알 1봉</t>
  </si>
  <si>
    <t>AA251130091122403</t>
  </si>
  <si>
    <t>SP240902046222</t>
  </si>
  <si>
    <t>빛깔찬 고춧가루 (지퍼백용)1kg 보통맛 양념용</t>
  </si>
  <si>
    <t>AA251130091122519</t>
  </si>
  <si>
    <t>SP230501603434</t>
  </si>
  <si>
    <t>AA251130091122328</t>
  </si>
  <si>
    <t>SP230501603507</t>
  </si>
  <si>
    <t>SP230501603503</t>
  </si>
  <si>
    <t>AA251130121123775</t>
  </si>
  <si>
    <t>SP230601642740</t>
  </si>
  <si>
    <t>AA251130111123471</t>
  </si>
  <si>
    <t>SP251002517170</t>
  </si>
  <si>
    <t>AA251130131124380</t>
  </si>
  <si>
    <t>SP240101835179</t>
  </si>
  <si>
    <t>AA251130131124452</t>
  </si>
  <si>
    <t>AA251130131124363</t>
  </si>
  <si>
    <t>SP241002062988</t>
  </si>
  <si>
    <t>휴대폰 일체형 어댑터 15W 고속 핸드폰 충전기 C타입 및 8핀 애플 아이폰 1.2M 케이블 /군대반입가능</t>
  </si>
  <si>
    <t>솔루엠 15W 일체형 C타입</t>
  </si>
  <si>
    <t>AA251130131124615</t>
  </si>
  <si>
    <t>511334 참치김치볶음밥 6개+해물볶음밥 6개</t>
  </si>
  <si>
    <t>AA251130131124355</t>
  </si>
  <si>
    <t>SP240101841811</t>
  </si>
  <si>
    <t>예당식품</t>
  </si>
  <si>
    <t>국내산 착즙 유기농 양배추즙 - 100ml x 28팩(4주)</t>
  </si>
  <si>
    <t>유기농 양배추즙 - 100ml x 28팩(4주)</t>
  </si>
  <si>
    <t>AA251130151125543</t>
  </si>
  <si>
    <t>SP240501953823</t>
  </si>
  <si>
    <t>AA251201021233297</t>
  </si>
  <si>
    <t>SP230501603657</t>
  </si>
  <si>
    <t>섬유유연제 리필형 2L x 3개입 일랑일랑향</t>
  </si>
  <si>
    <t>AA251201001232877</t>
  </si>
  <si>
    <t>AA251130211130033</t>
  </si>
  <si>
    <t>SP250402271733</t>
  </si>
  <si>
    <t>[밀키트 2종세트] 왕십리야채곱창695g+해물파전425g/ 간편식조리식품 야식 술안주 캠핑요리 홈파티 집들이음식</t>
  </si>
  <si>
    <t>왕십리야채곱창+해물파전</t>
  </si>
  <si>
    <t>AA251201061234034</t>
  </si>
  <si>
    <t>SP241002063350</t>
  </si>
  <si>
    <t>AA251130221130798</t>
  </si>
  <si>
    <t>SP230801700218</t>
  </si>
  <si>
    <t>삼일비앤씨</t>
  </si>
  <si>
    <t>[해외 극찬] 몬스터 자동차 핸들 그립 / 지압 졸음운전 방지</t>
  </si>
  <si>
    <t>몬스터 핸들 그립 - 블랙</t>
  </si>
  <si>
    <t>AA251130181127235</t>
  </si>
  <si>
    <t>SP241202112507</t>
  </si>
  <si>
    <t>[정전기 방지] 클리어 섬유탈취제 500ml 2개 / 의류 침구 커튼 신발 등 다양한 섬유 사용</t>
  </si>
  <si>
    <t>쉼표365 클리어 섬유탈취제 500ml 2개 시그니처솝</t>
  </si>
  <si>
    <t>AA251130221130528</t>
  </si>
  <si>
    <t>AA251130201128930</t>
  </si>
  <si>
    <t>[스피드랙] 가로 500 / 폭 400 / 높이 1200 / 선반 수량 3개</t>
  </si>
  <si>
    <t>AA251130221130173</t>
  </si>
  <si>
    <t>SP251102535890</t>
  </si>
  <si>
    <t>오브제디자인 브레인 mini 풀 스테인리스 내솥 3인용 ih 압력 전기 밥솥</t>
  </si>
  <si>
    <t>CRT-WS0340TW</t>
  </si>
  <si>
    <t>AA251130221130139</t>
  </si>
  <si>
    <t>SP241002063108</t>
  </si>
  <si>
    <t>프리미엄 풀스테인리스 내솥 음성안내 6인용 10인용 전기 밥솥 밥통 백미10분 혼합잡곡19분</t>
  </si>
  <si>
    <t>CRT-OPXD0620IEMI</t>
  </si>
  <si>
    <t>AA251201081235127</t>
  </si>
  <si>
    <t>SP250902494451</t>
  </si>
  <si>
    <t>지리산한봉</t>
  </si>
  <si>
    <t>명품 천연숙성 약선꿀 (밤꿀 400g + 헛개나무꿀 400g) 선물 세트 추석 명절 셋트</t>
  </si>
  <si>
    <t>밤꿀 400g + 헛개나무꿀 400g 보자기 선물 포장</t>
  </si>
  <si>
    <t>AA251201071234389</t>
  </si>
  <si>
    <t>SP240101836794</t>
  </si>
  <si>
    <t>TRY 순면 스포츠 60수 남성 남자 나시 티 메리야스 민소매 면티,100런닝 60수 5개</t>
  </si>
  <si>
    <t>G0189</t>
  </si>
  <si>
    <t>제니스 트라이 100수 런닝 TMRSB08 (화이트 110)</t>
  </si>
  <si>
    <t>트라이 국산 100%순면 100수 프리미엄 남성런닝셔츠 3매 세트 민소매 남자나시,100수 런닝 3매세트 RST08_110</t>
  </si>
  <si>
    <t>G0181</t>
  </si>
  <si>
    <t>제니스 트라이 남성 런닝 TMRSB01 (화이트 95)</t>
  </si>
  <si>
    <t>런닝 5매세트 RSB01_95</t>
  </si>
  <si>
    <t>100수 런닝 5매세트 RST08_100</t>
  </si>
  <si>
    <t>호랑이 연고 타이거밤 20g 1개</t>
  </si>
  <si>
    <t>유콕딜</t>
  </si>
  <si>
    <t>G0182</t>
  </si>
  <si>
    <t>제니스 트라이 남성 런닝 TMRSB01 (화이트 100)</t>
  </si>
  <si>
    <t>[트라이] 면100% 베이직 런닝 3매 세트 트라이 면100% 베이직 런닝 3매 세트 SB01_100</t>
  </si>
  <si>
    <t>G0195</t>
  </si>
  <si>
    <t>제니스 2팩 티셔츠(반팔) 4계절용 (화이트 + 화이트 100)</t>
  </si>
  <si>
    <t>화이트+화이트 100</t>
  </si>
  <si>
    <t>G0194</t>
  </si>
  <si>
    <t>제니스 2팩 티셔츠(반팔) 4계절용 (화이트 + 화이트 95)</t>
  </si>
  <si>
    <t>화이트+화이트 95</t>
  </si>
  <si>
    <t>G0200</t>
  </si>
  <si>
    <t>제니스 2팩 티셔츠(반팔) 4계절용 (화이트 + 블랙 100)</t>
  </si>
  <si>
    <t>화이트+블랙 100</t>
  </si>
  <si>
    <t>T0093</t>
  </si>
  <si>
    <t>한국맥널티 아이리쉬 크림 향 커피 (50g x 3개입)</t>
  </si>
  <si>
    <t>맥널티 인스턴트 병커피 아이리쉬크림향 병커피 x 3개,50g 1세트 3개입</t>
  </si>
  <si>
    <t>T39504</t>
  </si>
  <si>
    <t>한국펄프 대박나는집 천연펄프 25m 30롤 /2팩</t>
  </si>
  <si>
    <t>무형광 천연펄프 순수 3겹 30롤 고급 롤 화장지,2개 30롤 25m</t>
  </si>
  <si>
    <t>T46911</t>
  </si>
  <si>
    <t>한우물 511406 백의민족 백미주먹밥 100g 8개 + 다시마 간장 주먹밥 100g 8개 + 베이컨 까르보 주먹밥 100g 9개</t>
  </si>
  <si>
    <t>제품선택:511406 백의민족 백미주먹밥 100g 8개 + 다시마 간장 주먹밥 100g 8개 + 베이컨 까르보 주먹밥 100g 9개 1 개 (+0 원)</t>
  </si>
  <si>
    <t>T38549</t>
  </si>
  <si>
    <t>한우물 511235 김치 볶음밥 (300g x 6개) + 잡채 볶음밥 (300g x 6개)</t>
  </si>
  <si>
    <t>제품선택:511235 김치볶음밥 6개+잡채볶음밥 6개 1 개 (-5,000 원)</t>
  </si>
  <si>
    <t>T38560</t>
  </si>
  <si>
    <t>한우물 511246 낙지 볶음밥 (300g x 6개) + 소불고기 볶음밥 (300g x 6개)</t>
  </si>
  <si>
    <t>제품선택:511246 낙지볶음밥 6개+소불고기볶음밥 6개 1 개 (-2,600 원)</t>
  </si>
  <si>
    <t>T39352</t>
  </si>
  <si>
    <t>트루나스 마늘한알 5봉</t>
  </si>
  <si>
    <t>제품선택:마늘한알 5봉 1 개 (+0 원)</t>
  </si>
  <si>
    <t>T45500</t>
  </si>
  <si>
    <t>일농 당근 상특과 3kg</t>
  </si>
  <si>
    <t>제품선택:당근 상특과 3kg 1 개 (+6,100 원)</t>
  </si>
  <si>
    <t>제품선택:트레비 호텔식 리모컨 비데 ALB-R3600 1 개 (+0 원)</t>
  </si>
  <si>
    <t>T46915</t>
  </si>
  <si>
    <t>농업회사법인 대흥 비건스낵 건조 슬라이스 대추칩 80g * 4개입</t>
  </si>
  <si>
    <t>제품선택:비건스낵 건조 슬라이스 대추칩 80g * 4개입 1 개 (+0 원)</t>
  </si>
  <si>
    <t>T38899</t>
  </si>
  <si>
    <t>소백산아래</t>
  </si>
  <si>
    <t>소백산아래 우엉차 (60gx3봉)</t>
  </si>
  <si>
    <t>제품선택:우엉차 60g x 3봉 1 개 (+0 원)</t>
  </si>
  <si>
    <t>제품선택:감귤 4.5kg 대과 L-2L 1 개 (+2,500 원)</t>
  </si>
  <si>
    <t>T46564</t>
  </si>
  <si>
    <t>솜씨협동조합 알고니탕+동태탕+해물파전</t>
  </si>
  <si>
    <t>제품선택:알고니탕+동태탕+해물파전 1 개 (+0 원)</t>
  </si>
  <si>
    <t>P0002</t>
  </si>
  <si>
    <t>솔루엠 (※특가※) 65W 초고속 충전기 + C타입 케이블</t>
  </si>
  <si>
    <t>제품선택:솔루엠 65W 초고속충전기 + C타입 케이블 1 개 (+3,800 원)</t>
  </si>
  <si>
    <t>T45956</t>
  </si>
  <si>
    <t>유원 하얀티슈 25m 30R 2팩</t>
  </si>
  <si>
    <t>제품선택:하얀티슈 25m 30R 2팩 1 개 (+11,000 원)</t>
  </si>
  <si>
    <t>T45958</t>
  </si>
  <si>
    <t>유원 하얀티슈 18m 30R 1팩</t>
  </si>
  <si>
    <t>제품선택:하얀티슈 18m 30R 1팩 1 개 (+0 원)</t>
  </si>
  <si>
    <t>T46739</t>
  </si>
  <si>
    <t>일농 4.5kg 가정용 황금향 중과 18-28과</t>
  </si>
  <si>
    <t>제품선택:4.5kg 가정용 황금향 중과 18-28과 1 개 (+13,100 원)</t>
  </si>
  <si>
    <t>T8337</t>
  </si>
  <si>
    <t>한국맥널티 스테비아 디카페인 커피믹스 (9.5g x 100개입)</t>
  </si>
  <si>
    <t>제품선택:스테비아 디카페인 커피믹스 100개입 1 개 (+0 원)</t>
  </si>
  <si>
    <t>T39641</t>
  </si>
  <si>
    <t>한일전자 전문가용 고출력 디퓨저 헤어 드라이기 PD-N2370</t>
  </si>
  <si>
    <t>제품선택:전문가용 고출력 디퓨저 헤어 드라이기 PD-N2370 1 개 (+0 원)</t>
  </si>
  <si>
    <t>T46879</t>
  </si>
  <si>
    <t>더젓갈 국내산 새우추젓(특) 1kg</t>
  </si>
  <si>
    <t>제품선택:국내산 새우추젓(특) 1kg 1 개 (+12,000 원)</t>
  </si>
  <si>
    <t>제품선택:쌍화차 1L X 1팩 1 개 (+0 원)</t>
  </si>
  <si>
    <t>인터엠디</t>
  </si>
  <si>
    <t>하얀티슈 18m 30R 1팩</t>
  </si>
  <si>
    <t>S0039</t>
  </si>
  <si>
    <t>도아드림 보일러 덕앤 구스이불 화이트 Q</t>
  </si>
  <si>
    <t>보일러 덕앤 구스이불 화이트 Q</t>
  </si>
  <si>
    <t>T46959</t>
  </si>
  <si>
    <t>엔릿 아이 테크타올 블루 XL(63.5x150)</t>
  </si>
  <si>
    <t>아이 테크타올 블루 XL(63.5x150)</t>
  </si>
  <si>
    <t>T46960</t>
  </si>
  <si>
    <t>엔릿 아이 테크타올 그린 XL(63.5x150)</t>
  </si>
  <si>
    <t>아이 테크타올 그린 XL(63.5x150)</t>
  </si>
  <si>
    <t>T46961</t>
  </si>
  <si>
    <t>엔릿 아이 테크타올 그레이 XL(63.5x150)</t>
  </si>
  <si>
    <t>아이 테크타올 그레이 XL(63.5x150)</t>
  </si>
  <si>
    <t>T46584</t>
  </si>
  <si>
    <t>오가닉K 뽀드득 프레쉬 풋샴푸 레드자몽 400m 2구</t>
  </si>
  <si>
    <t>뽀드득 프레쉬 풋샴푸 레드자몽 400m 2구</t>
  </si>
  <si>
    <t>T39678</t>
  </si>
  <si>
    <t>한울농업</t>
  </si>
  <si>
    <t>한울농업 흑찰옥수수 5입</t>
  </si>
  <si>
    <t>흑찰옥수수 5입</t>
  </si>
  <si>
    <t>T39502</t>
  </si>
  <si>
    <t>친한F&amp;B 자메이카 조각 닭가슴살 10팩</t>
  </si>
  <si>
    <t>자메이카 조각 닭가슴살 10팩</t>
  </si>
  <si>
    <t>T0094</t>
  </si>
  <si>
    <t>한국맥널티 스테비아 커피믹스 (9.5g x 130개입)</t>
  </si>
  <si>
    <t>T39775</t>
  </si>
  <si>
    <t>에스씨컴퍼니 꿀백설기 35개입</t>
  </si>
  <si>
    <t>T39335</t>
  </si>
  <si>
    <t>오가닉K 1+1 센스티브 탈모샴푸 1000ml</t>
  </si>
  <si>
    <t>센스티브 탈모샴푸 1000ml 2개입</t>
  </si>
  <si>
    <t>T46965</t>
  </si>
  <si>
    <t>케이터커머스</t>
  </si>
  <si>
    <t>케이터커머스 벌레잡는총각들 지속성 살충제 500ml</t>
  </si>
  <si>
    <t>지속성 살충제 500ml</t>
  </si>
  <si>
    <t>T46601</t>
  </si>
  <si>
    <t>꿀팁몰 대가방 해물짬뽕 528g 1팩</t>
  </si>
  <si>
    <t>대가방 해물짬뽕 528g 1팩</t>
  </si>
  <si>
    <t>T46962</t>
  </si>
  <si>
    <t>미마인터네셔널</t>
  </si>
  <si>
    <t>미마인터네셔널 스팀 에어프라이어 HMS-C102BK</t>
  </si>
  <si>
    <t>스팀 에어프라이어 HMS-C102BK</t>
  </si>
  <si>
    <t>T45955</t>
  </si>
  <si>
    <t>유원 하얀티슈 25m 30R 1팩</t>
  </si>
  <si>
    <t>하얀티슈 25m 30R 1팩</t>
  </si>
  <si>
    <t>18f5bd0b-be92-4030-91ba-f0b5216b4b09</t>
  </si>
  <si>
    <t>0. 당제로 스테비아 디카페인 믹스커피 100개입: 당제로 스테비아 디카페인 믹스커피 100개입</t>
  </si>
  <si>
    <t>1538af16-653a-4965-808c-7d8c0302413d</t>
  </si>
  <si>
    <t>T0269</t>
  </si>
  <si>
    <t>트루나스 자연한알 2병 (90g 30알) + 휴대용 1병 (22g 7알)</t>
  </si>
  <si>
    <t>0. 해산물 자연한알 2병+휴대용 1병: 해산물 자연한알 2병+휴대용 1병</t>
  </si>
  <si>
    <t>T0354</t>
  </si>
  <si>
    <t>화산 치큐 닭가슴살 오리지널 (100g x 10팩)</t>
  </si>
  <si>
    <t>[스팀오븐공법] 국내산 맛있는 치큐 닭가슴살 3종 100g 치큐 닭가슴살 오리지널 x 10팩</t>
  </si>
  <si>
    <t>T8801</t>
  </si>
  <si>
    <t>고기마을 무항생제 한돈 생삼겹살 (생목살 1kg)</t>
  </si>
  <si>
    <t>[고기마을] 무항생제 한돈 생삼겹살/목살 1kg 2kg 모음 생목살 1kg</t>
  </si>
  <si>
    <t>T0155</t>
  </si>
  <si>
    <t>행복에스앤피제지 굿매너 빨아쓰는 행주타올 (50매 x 6롤) 4팩</t>
  </si>
  <si>
    <t>옵션:굿매너 빨아쓰는 행주 타올 50매*6롤 4팩</t>
  </si>
  <si>
    <t>S0074</t>
  </si>
  <si>
    <t>한국맥널티 핸드드립 버라이어티 세트 5종x6개(총 30봉)</t>
  </si>
  <si>
    <t>제품옵션:핸드드립 버라이어티 세트 5종x6개(총 30봉)</t>
  </si>
  <si>
    <t>T38908</t>
  </si>
  <si>
    <t>퓨리온 애니타임 비말 방지 마스크 (보건용 마스크 KFAD) (흰색 X 50매)</t>
  </si>
  <si>
    <t>옵션:애니타임 비말차단마스크 KF-AD 흰색 50매</t>
  </si>
  <si>
    <t>T0356</t>
  </si>
  <si>
    <t>화산 치큐 닭가슴살 훈제 (100g x 10팩)</t>
  </si>
  <si>
    <t>옵션:치큐 닭가슴살 훈제 x 10팩</t>
  </si>
  <si>
    <t>옵션:치큐 닭가슴살 오리지널 x 10팩</t>
  </si>
  <si>
    <t>T38805</t>
  </si>
  <si>
    <t>퓨리온 플러스 컬러핏 마스크 새부리형 3중구조 2D 코랄핑크 100매</t>
  </si>
  <si>
    <t>옵션:코랄핑크 100매</t>
  </si>
  <si>
    <t>2025113023095616062F</t>
  </si>
  <si>
    <t>T5968</t>
  </si>
  <si>
    <t>스피드랙 화이트 [ 1200 / 300 / 1500 / 5단］</t>
  </si>
  <si>
    <t>스피드랙 가로 1200 / 폭 300 / 높이 1500 / 선반수량 5개</t>
  </si>
  <si>
    <t>2025113021060511499F</t>
  </si>
  <si>
    <t>T40371</t>
  </si>
  <si>
    <t>스피드랙 ★행사★ 홈던트 선반형 [ 500 / 400 / 1800 / 4단 ]</t>
  </si>
  <si>
    <t>[홈던트 선반] 가로 500 / 폭 400 / 높이 1800 / 선반수량 4개</t>
  </si>
  <si>
    <t>2025113011375585708F</t>
  </si>
  <si>
    <t>T39443</t>
  </si>
  <si>
    <t>오가닉K 살림백서 물걸레 청소포 90매 (30매X3팩)</t>
  </si>
  <si>
    <t>살림백서 물걸레 청소포 90매 (30매X3팩)</t>
  </si>
  <si>
    <t>2025113008322882289F</t>
  </si>
  <si>
    <t>T40126</t>
  </si>
  <si>
    <t>스피드랙 ★행사★ 홈던트 선반형 [ 400 / 400 / 1650 / 5단 ]</t>
  </si>
  <si>
    <t>[홈던트 선반] 가로 400 / 폭 400 / 높이 1650 / 선반수량 5개</t>
  </si>
  <si>
    <t>2025113000132679787F</t>
  </si>
  <si>
    <t>T45178</t>
  </si>
  <si>
    <t>누가의료기</t>
  </si>
  <si>
    <t>누가의료기 R모션 시트</t>
  </si>
  <si>
    <t>R모션 시트</t>
  </si>
  <si>
    <t>2025113000031279595F</t>
  </si>
  <si>
    <t>T8306</t>
  </si>
  <si>
    <t>오가닉K 살림백서 피톤치드 편백수 (500ml x 3개)</t>
  </si>
  <si>
    <t>살림백서 피톤치드 편백수 스프레이 500ml 3개</t>
  </si>
  <si>
    <t>2025112923140578598F</t>
  </si>
  <si>
    <t>T45148</t>
  </si>
  <si>
    <t>누가의료기 N라이프 슬림</t>
  </si>
  <si>
    <t>N라이프 슬림</t>
  </si>
  <si>
    <t>2025112922483078069F</t>
  </si>
  <si>
    <t>P0160</t>
  </si>
  <si>
    <t>오가닉K [특가] 딥클린 세탁조 클리너 450g 5개입 [25년 4월]</t>
  </si>
  <si>
    <t>딥클린 세탁조 클리너 450g 5개입</t>
  </si>
  <si>
    <t>2025112922282977639F</t>
  </si>
  <si>
    <t>T8148</t>
  </si>
  <si>
    <t>오가닉K 살림백서 라이스 앤 허브 디퓨저 (200ml x 2개입) 포레스트가든</t>
  </si>
  <si>
    <t>디퓨저 200ml 2개입 포레스트가든</t>
  </si>
  <si>
    <t>2025112922055077085F</t>
  </si>
  <si>
    <t>T7968</t>
  </si>
  <si>
    <t>오가닉K 살림백서 네이처 퓨어 물티슈 340g (100매 x 10팩)</t>
  </si>
  <si>
    <t>2025112900520255740F</t>
  </si>
  <si>
    <t>2025112820512449225F</t>
  </si>
  <si>
    <t>2025112809543527986F</t>
  </si>
  <si>
    <t>퍼스트복지몰</t>
  </si>
  <si>
    <t>T38965</t>
  </si>
  <si>
    <t>참식품 유기농 깍두기 1kg</t>
  </si>
  <si>
    <t>유기농 깍두기 1kg</t>
  </si>
  <si>
    <t>K1000024659</t>
  </si>
  <si>
    <t>T39314</t>
  </si>
  <si>
    <t>오가닉K 딥클린 트리플 액션 고농축 캡슐세제 100개입</t>
  </si>
  <si>
    <t>K1000024446</t>
  </si>
  <si>
    <t>T45775</t>
  </si>
  <si>
    <t>오가닉K 퓨어 마이크로 휩 클렌징폼 230ml 2개입</t>
  </si>
  <si>
    <t>퓨어 마이크로 휩 클렌징폼 230ml 2개입</t>
  </si>
  <si>
    <t>K1000024441</t>
  </si>
  <si>
    <t>T45678</t>
  </si>
  <si>
    <t>행복에스앤피제지 굿매너 프리미엄 엠보 물티슈 100매16팩</t>
  </si>
  <si>
    <t>굿매너 프리미엄 엠보 물티슈 100매16팩</t>
  </si>
  <si>
    <t>T7908</t>
  </si>
  <si>
    <t>오가닉K 살림백서 딥클린 액체 울세제 3L 1개</t>
  </si>
  <si>
    <t>T46634</t>
  </si>
  <si>
    <t>한울생약 변기클리너 레몬향 4팩+핸들</t>
  </si>
  <si>
    <t>변기클리너 레몬향 4팩+핸들</t>
  </si>
  <si>
    <t>K1000024408</t>
  </si>
  <si>
    <t>P0150</t>
  </si>
  <si>
    <t>오가닉K [특가] 1+1 딥클린 대용량 락스 1.87L [25년 4월]</t>
  </si>
  <si>
    <t>1+1 딥클린 대용량 락스 1.87L</t>
  </si>
  <si>
    <t>P0143</t>
  </si>
  <si>
    <t>오가닉K [특가] 1+1 액티브B7 비오틴 샴푸 1L [25년 4월]</t>
  </si>
  <si>
    <t>K1000024375</t>
  </si>
  <si>
    <t>스테비아 디카페인 커피믹스 100개입</t>
  </si>
  <si>
    <t>T8508</t>
  </si>
  <si>
    <t>앤제이컴퍼니 경옥고젤리 20g x 10포 (200g) 2+1 세트</t>
  </si>
  <si>
    <t>[앤제이메디칼] 경옥고 젤리(20g×10포)외 1종 선택: 2. 경옥젤리 2+1(총 30포)</t>
  </si>
  <si>
    <t>T38869</t>
  </si>
  <si>
    <t>한국맥널티 콜롬비아 핸드드립 블렌드 192g (8g x 24개입)</t>
  </si>
  <si>
    <t>[맥널티] 핸드드립 원두커피 24개입 / 콜롬비아, 케냐AA 블렌드 / 에티오피아 예가체프 / 브라질벨라비스타 /과테말라 상품명(단품명): 콜롬비아 블렌드 핸드드립 원두커피 24개입</t>
  </si>
  <si>
    <t>T0415</t>
  </si>
  <si>
    <t>엠에프비컴퍼니 닥터퓨리 렌즈클리너 향균티슈 (100매 x 2개입)</t>
  </si>
  <si>
    <t>[닥터퓨리] 자국없는 세정력 렌즈클리너 항균 티슈 100매×2입 렌즈클리너 항균 티슈: 렌즈클리너 항균 티슈 100매 x 2입</t>
  </si>
  <si>
    <t>[맥널티] 블랙 원두 분말커피 아이리쉬크림향(50g×3개)외 2종 50g 3개: 1. 아이리쉬 크림향</t>
  </si>
  <si>
    <t>T0091</t>
  </si>
  <si>
    <t>한국맥널티 헤이즐넛 향 커피 (50g x 3개입)</t>
  </si>
  <si>
    <t>[맥널티] 블랙 원두 분말커피 아이리쉬크림향(50g×3개)외 2종 50g 3개: 3. 헤이즐넛</t>
  </si>
  <si>
    <t>[화산] 스팀오븐공법 국내산 맛있는 치큐 닭가슴살 (3종/100g) 옵션: 치큐 닭가슴살 훈제 x 10팩</t>
  </si>
  <si>
    <t>[맥널티] 당제로 스테비아 믹스커피 (100개입 + 30개입) 100개입+30개입: [맥널티] 당제로 스테비아 믹스커피 (100개입 + 30개입)</t>
  </si>
  <si>
    <t>T38744</t>
  </si>
  <si>
    <t>한우물 511144 치즈닭갈비 구운주먹밥 (100g 12개) + 김치치즈 구운주먹밥 (100g 6개)</t>
  </si>
  <si>
    <t>[한우물] 구운주먹밥 (100g) 4종 세트 모음 선택1: 치즈닭갈비구운주먹밥R 12개+김치치즈 구운주먹밥R 6개</t>
  </si>
  <si>
    <t>T38868</t>
  </si>
  <si>
    <t>한국맥널티 케냐AA핸드드립 블렌드 192g (8g x 24개입)</t>
  </si>
  <si>
    <t>[맥널티] 핸드드립 원두커피 24개입 / 콜롬비아, 케냐AA 블렌드 / 에티오피아 예가체프 / 브라질벨라비스타 /과테말라 상품명(단품명): 케냐AA 블렌드 핸드드립 원두커피 24개입</t>
  </si>
  <si>
    <t>현대샵</t>
  </si>
  <si>
    <t>T7736</t>
  </si>
  <si>
    <t>고기마을 무항생제 한돈 생삼겹살 1kg</t>
  </si>
  <si>
    <t>한돈 생삼겹살/생목살(1kg) 6종 골라담기 옵션: 0.2 생삼겹살 1Kg</t>
  </si>
  <si>
    <t>P0034</t>
  </si>
  <si>
    <t>블루인더스 모모토 향균 차량용 에어컨 필터 MC-009 1개 + 1개</t>
  </si>
  <si>
    <t>1+1 PM0.3 프리+활성탄+헤파필터 자동차 에어컨필터 상품선택: 1+1 MC-009</t>
  </si>
  <si>
    <t>T39148</t>
  </si>
  <si>
    <t>한울농업 촉촉 고구마스틱 20g 20개입</t>
  </si>
  <si>
    <t>상품:한울 고구마스틱20g 20개입</t>
  </si>
  <si>
    <t>상품:병커피 헤이즐넛향 50g 3개</t>
  </si>
  <si>
    <t>T39727</t>
  </si>
  <si>
    <t>한울농업 꿀고구마말랭이 40g X 7입</t>
  </si>
  <si>
    <t>상품:꿀고구마말랭이 40g X 7입</t>
  </si>
  <si>
    <t>T46858</t>
  </si>
  <si>
    <t>한울농업 고구마스틱20g 5입</t>
  </si>
  <si>
    <t>상품:한울 고구마스틱20g 5개입</t>
  </si>
  <si>
    <t>T8101</t>
  </si>
  <si>
    <t>한울농업 촉촉한 꿀고구마 말랭이 (60g x 10개입)</t>
  </si>
  <si>
    <t>상품:꿀고구마말랭이 60g 10봉지</t>
  </si>
  <si>
    <t>J50117645172031557610326223</t>
  </si>
  <si>
    <t>T37943</t>
  </si>
  <si>
    <t>건강생활연구소 [2+2] 예민한피부 씨에코 클렌징바 / 수제비누 트러블비누 [모공쫀쫀] 레몬그라스바 2+2 코드 수정해야함</t>
  </si>
  <si>
    <t>[모공쫀쫀] 레몬그라스바 2+2</t>
  </si>
  <si>
    <t>J10317643047011551913069564</t>
  </si>
  <si>
    <t>T38967</t>
  </si>
  <si>
    <t>참식품 유기농 깍두기 3kg</t>
  </si>
  <si>
    <t>유기농 깍두기 3kg</t>
  </si>
  <si>
    <t>J10117643028561569413115198</t>
  </si>
  <si>
    <t>S0321</t>
  </si>
  <si>
    <t>엠케이엠 햇복분자청 700ml 2개 세트 + 종이가방 증정</t>
  </si>
  <si>
    <t>제품옵션/햇복분자청 700ml 2개 세트+종이가방</t>
  </si>
  <si>
    <t>O25113066570</t>
  </si>
  <si>
    <t>T39569</t>
  </si>
  <si>
    <t>오가닉K 제습제 520ml 24개입</t>
  </si>
  <si>
    <t>T45167</t>
  </si>
  <si>
    <t>한울생약 데일리 소독티슈 캡형 60매 9개</t>
  </si>
  <si>
    <t>T9132</t>
  </si>
  <si>
    <t>덴티코어 치간칫솔 I타입 50개 사이즈 - SSSS</t>
  </si>
  <si>
    <t>T38619</t>
  </si>
  <si>
    <t>한우물 511305 소불고기 볶음밥 (300g x 6개) + 치킨카레 볶음밥 (300g x 6개)</t>
  </si>
  <si>
    <t>511305 소불고기볶음밥 6개+치킨카레볶음밥 6개</t>
  </si>
  <si>
    <t>T39524</t>
  </si>
  <si>
    <t>행복에스앤피제지 퓨어&amp;소프트 18m x 30롤 1팩</t>
  </si>
  <si>
    <t>T39362</t>
  </si>
  <si>
    <t>과일드림 몽실언니 사과즙 100ml 40포</t>
  </si>
  <si>
    <t>애플진 몽실언니 사과즙 1박스(100ml 40봉)</t>
  </si>
  <si>
    <t>T8740</t>
  </si>
  <si>
    <t>T39240</t>
  </si>
  <si>
    <t>한울생약 121도씨 구강청결티슈 50매x2팩</t>
  </si>
  <si>
    <t>T7978</t>
  </si>
  <si>
    <t>고기마을 무항생제 한돈 생삼겹살, 생목살 (생삼겹살 500g + 생목살 500g)</t>
  </si>
  <si>
    <t>T44978</t>
  </si>
  <si>
    <t>어메스 꾼치즈감자빵 10개입</t>
  </si>
  <si>
    <t>꾼치즈감자빵 10개입</t>
  </si>
  <si>
    <t>생목살 1kg</t>
  </si>
  <si>
    <t>한울 고구마스틱 20g 20입</t>
  </si>
  <si>
    <t>T39444</t>
  </si>
  <si>
    <t>좋은영농조합법인 헬로아이 달콤사과 100ml x 20포</t>
  </si>
  <si>
    <t>T45479</t>
  </si>
  <si>
    <t>좋은영농조합법인 헬로아이 배도라지 80ml x 20포</t>
  </si>
  <si>
    <t>T38541</t>
  </si>
  <si>
    <t>한우물 511227 김치 볶음밥 (300g x 6개) + 감자탕 볶음밥 (300g x 6개)</t>
  </si>
  <si>
    <t>511227 김치볶음밥 6개+감자탕볶음밥 6개</t>
  </si>
  <si>
    <t>M2511M010599663098</t>
  </si>
  <si>
    <t>T39365</t>
  </si>
  <si>
    <t>기장끝집 오직 미역국 밀키트 3팩</t>
  </si>
  <si>
    <t>옵션 : 오직 미역국 밀키트 3팩</t>
  </si>
  <si>
    <t>M2511M010599661347</t>
  </si>
  <si>
    <t>T44864</t>
  </si>
  <si>
    <t>오가닉K 2 트리플 액션 고농축 캡슐세제 100개입</t>
  </si>
  <si>
    <t>옵션 : 트리플 액션 고농축 캡슐세제 100개입</t>
  </si>
  <si>
    <t>M2511M010599660857</t>
  </si>
  <si>
    <t>T46963</t>
  </si>
  <si>
    <t>새벽마을홍삼</t>
  </si>
  <si>
    <t>새벽마을홍삼 노니원액 1000ml노니</t>
  </si>
  <si>
    <t>옵션 : 노니원액 1000ml노니</t>
  </si>
  <si>
    <t>M2511H820599659176</t>
  </si>
  <si>
    <t>T45222</t>
  </si>
  <si>
    <t>한울생약 리꼬 유아용품 세정제균 소독티슈 50매 x 10팩</t>
  </si>
  <si>
    <t>옵션 : 리꼬유아용품 세정제균소독티슈 50매 x 10팩</t>
  </si>
  <si>
    <t>M2511M010599658025</t>
  </si>
  <si>
    <t>M2511M010599656802</t>
  </si>
  <si>
    <t>M2511M010599655530</t>
  </si>
  <si>
    <t>옵션 : 생삼겹살 1Kg (+3880)</t>
  </si>
  <si>
    <t>M2511M010599655116</t>
  </si>
  <si>
    <t>T39110</t>
  </si>
  <si>
    <t>행복에스앤피제지 행복을 주는 나무 오리지널 (3겹 27m 30롤 x 2팩)</t>
  </si>
  <si>
    <t>옵션 : 행복을 주는 나무 오리지널 27m x 30롤 (높이95mm) 2팩 (+12000)</t>
  </si>
  <si>
    <t>M2511M010599654951</t>
  </si>
  <si>
    <t>T39152</t>
  </si>
  <si>
    <t>아이보리</t>
  </si>
  <si>
    <t>아이보리 사과퓨레 10개</t>
  </si>
  <si>
    <t>옵션 : 사과퓨레 10개</t>
  </si>
  <si>
    <t>T39050</t>
  </si>
  <si>
    <t>한울생약 리꼬베이비 구강청결티슈 30개입 X 4팩</t>
  </si>
  <si>
    <t>옵션 : 리꼬베이비 구강청결티슈 30매x4팩 (+2350)</t>
  </si>
  <si>
    <t>웰포인트</t>
  </si>
  <si>
    <t>T39724</t>
  </si>
  <si>
    <t>친한F&amp;B 닭가슴살 소이갈릭 스테이크 10팩</t>
  </si>
  <si>
    <t>닭가슴살 소이갈릭 스테이크 10팩</t>
  </si>
  <si>
    <t>NW202511301826023</t>
  </si>
  <si>
    <t>P0188</t>
  </si>
  <si>
    <t>쿠첸 CRS-WK0610FSPW 6인용 밥솥</t>
  </si>
  <si>
    <t>NW2025112813182070</t>
  </si>
  <si>
    <t>T46841</t>
  </si>
  <si>
    <t>늘푸른우리</t>
  </si>
  <si>
    <t>늘푸른우리 (정품) 엔비사과 중소과 1kg</t>
  </si>
  <si>
    <t>NW2025112812524521</t>
  </si>
  <si>
    <t>T45117</t>
  </si>
  <si>
    <t>행복에스앤피제지 행복한집 키친타올 130매 x 6롤 4팩</t>
  </si>
  <si>
    <t>바로팜</t>
  </si>
  <si>
    <t>P0138</t>
  </si>
  <si>
    <t>오가닉K [특가] 1+1 오푼티아&amp;밤부 바디워시 500ml 베베머스크 [25년 4월]</t>
  </si>
  <si>
    <t>옵션 :[살림백서] 1+1 천연유래성분 오푼티아 &amp; 밤부 바디워시 500ml 베베머스크향 베베머스크향</t>
  </si>
  <si>
    <t>P0141</t>
  </si>
  <si>
    <t>오가닉K [특가] 1+1 오푼티아&amp;밤부 바디워시 500ml 일랑일랑 [25년 4월]</t>
  </si>
  <si>
    <t>옵션 :[살림백서] 1+1 천연유래성분 오푼티아 &amp; 밤부 바디워시 500ml 일랑일랑향 일랑일랑향</t>
  </si>
  <si>
    <t>베네피아</t>
  </si>
  <si>
    <t>T39495</t>
  </si>
  <si>
    <t>모닛 ally_bag_full 올리브베이지(기본세트+보냉백+유모차고리)</t>
  </si>
  <si>
    <t>올리브베이지(기본세트+보냉백+유모차고리)/ +9500</t>
  </si>
  <si>
    <t>C253344161294</t>
  </si>
  <si>
    <t>T38807</t>
  </si>
  <si>
    <t>생생찬</t>
  </si>
  <si>
    <t>생생찬 소래찬 국내산 포기김치 5kg</t>
  </si>
  <si>
    <t>/ [생생찬] 소래찬 국내산 포기김치 5kg</t>
  </si>
  <si>
    <t>C253335017692</t>
  </si>
  <si>
    <t>T38966</t>
  </si>
  <si>
    <t>참식품 유기농 깍두기 2kg</t>
  </si>
  <si>
    <t>/ 유기농 깍두기 2kg</t>
  </si>
  <si>
    <t>A253325891525</t>
  </si>
  <si>
    <t>T46753</t>
  </si>
  <si>
    <t>늘푸른우리 가정용 황금향 중대과 5kg (12과-17과) (실중량 4.5kg)</t>
  </si>
  <si>
    <t>/ 가정용 황금향 중대과 4.5kg (12과-17과)</t>
  </si>
  <si>
    <t>C253327898684</t>
  </si>
  <si>
    <t>T45316</t>
  </si>
  <si>
    <t>오가닉K 2 딥 모이스춰 바세린 바디워시 1,000ml, x 2개</t>
  </si>
  <si>
    <t>/ 바세린 바디워시 1000ml X 3개</t>
  </si>
  <si>
    <t>C253328134673</t>
  </si>
  <si>
    <t>T45430</t>
  </si>
  <si>
    <t>오가닉K 2 티트리 바디로션 1500ml 프렌치라벤더 x 1개</t>
  </si>
  <si>
    <t>/ 티트리 바디로션 1500ml 프렌치라벤더 x 1개</t>
  </si>
  <si>
    <t>C253334132828</t>
  </si>
  <si>
    <t>C253346330894</t>
  </si>
  <si>
    <t>T46901</t>
  </si>
  <si>
    <t>늘푸른우리 (특가) 활전복 대사이즈 1kg (11~13미)</t>
  </si>
  <si>
    <t>/ [제니스] 늘푸른 (특가) 활전복 대사이즈 1kg (11~13미)</t>
  </si>
  <si>
    <t>C253347406013</t>
  </si>
  <si>
    <t>T45434</t>
  </si>
  <si>
    <t>오가닉K 2 티트리 바디로션 1500ml 프렌치라벤더 x 3개</t>
  </si>
  <si>
    <t>/ 티트리 바디로션 1500ml 프렌치라벤더 x 3개</t>
  </si>
  <si>
    <t>C253344046810</t>
  </si>
  <si>
    <t>T46886</t>
  </si>
  <si>
    <t>늘푸른우리 레드키위 중과 2kg</t>
  </si>
  <si>
    <t>/ 레드키위 중과 2kg</t>
  </si>
  <si>
    <t>C253344853837</t>
  </si>
  <si>
    <t>A253344960211</t>
  </si>
  <si>
    <t>/ 생삼겹살 1Kg</t>
  </si>
  <si>
    <t>C253347002062</t>
  </si>
  <si>
    <t>C253348119385</t>
  </si>
  <si>
    <t>C253350640087</t>
  </si>
  <si>
    <t>T45623</t>
  </si>
  <si>
    <t>오가닉K 2 깔끔말끔 대용량 욕실세정제 750ml x 2개</t>
  </si>
  <si>
    <t>/ 깔끔말끔 대용량 욕실세정제 750ml x 2개</t>
  </si>
  <si>
    <t>C253343144897</t>
  </si>
  <si>
    <t>T38806</t>
  </si>
  <si>
    <t>생생찬 소래찬 국내산 포기김치 3kg</t>
  </si>
  <si>
    <t>/ [생생찬] 소래찬 국내산 포기김치 3kg</t>
  </si>
  <si>
    <t>C253345788099</t>
  </si>
  <si>
    <t>C253346232358</t>
  </si>
  <si>
    <t>P0135</t>
  </si>
  <si>
    <t>오가닉K [특가] 1+1 오푼티아&amp;밤부 바디로션 500ml 체리블라썸 [25년 4월]</t>
  </si>
  <si>
    <t>/ 오푼티아 &amp; 밤부 바디로션 500ml 체리블라썸</t>
  </si>
  <si>
    <t>A253346239530</t>
  </si>
  <si>
    <t>T38808</t>
  </si>
  <si>
    <t>생생찬 소래찬 국내산 포기김치 10kg</t>
  </si>
  <si>
    <t>/ [생생찬] 소래찬 국내산 포기김치 10kg</t>
  </si>
  <si>
    <t>C253328605819</t>
  </si>
  <si>
    <t>T46823</t>
  </si>
  <si>
    <t>늘푸른우리 (정품) 엔비사과 소과 2kg</t>
  </si>
  <si>
    <t>/ (정품) 엔비사과 소과 2kg</t>
  </si>
  <si>
    <t>C253335408893</t>
  </si>
  <si>
    <t>C253336292422</t>
  </si>
  <si>
    <t>T39548</t>
  </si>
  <si>
    <t>한일전자 접이식 2100W 고출력 헤어드라이기 PD-Y1342</t>
  </si>
  <si>
    <t>C253326133997</t>
  </si>
  <si>
    <t>T46964</t>
  </si>
  <si>
    <t>생생찬 얼갈이김치 1kg</t>
  </si>
  <si>
    <t>본품 (2개)</t>
  </si>
  <si>
    <t>T0089</t>
  </si>
  <si>
    <t>한국맥널티 ZERO 청포도 아이스티 제로 (240ml x 30개입)</t>
  </si>
  <si>
    <t>상품:청포도 아이스티 제로 240ml x 30개입</t>
  </si>
  <si>
    <t>BA251201091235852</t>
  </si>
  <si>
    <t>BA251201101236754</t>
  </si>
  <si>
    <t>BA251201091235684</t>
  </si>
  <si>
    <t>BA251201101237165</t>
  </si>
  <si>
    <t>참기름180ml</t>
  </si>
  <si>
    <t>BA251201091235705</t>
  </si>
  <si>
    <t>WP250802433487</t>
  </si>
  <si>
    <t>친환경 흡속건 쿨링 냉감원단 기능성 헤드밴드</t>
  </si>
  <si>
    <t>쿨링 헤드밴드 블랙라운드(친환경)</t>
  </si>
  <si>
    <t>BA251201091235650</t>
  </si>
  <si>
    <t>BA251201101236784</t>
  </si>
  <si>
    <t>BA251201091235756</t>
  </si>
  <si>
    <t>BA251201101237000</t>
  </si>
  <si>
    <t>BA251201101237055</t>
  </si>
  <si>
    <t>BA251201091235725</t>
  </si>
  <si>
    <t>BA251201101236283</t>
  </si>
  <si>
    <t>WP241102104377</t>
  </si>
  <si>
    <t>[1+1] 에어컨 탈취제 차량 자동차 일반 겸용 500ml / 3대 냄새 원인 탈취력 테스트 완료</t>
  </si>
  <si>
    <t>에어컨 탈취제 차량 일반 겸용 500ml x 2개</t>
  </si>
  <si>
    <t>BA251201091235402</t>
  </si>
  <si>
    <t>XS / 화이트 KF94XS50W</t>
  </si>
  <si>
    <t>BA251201101236939</t>
  </si>
  <si>
    <t>BCV006</t>
  </si>
  <si>
    <t>BC 009</t>
  </si>
  <si>
    <t>BA251201101236299</t>
  </si>
  <si>
    <t>BA251201101236569</t>
  </si>
  <si>
    <t>들기름250ml</t>
  </si>
  <si>
    <t>BA251201101236230</t>
  </si>
  <si>
    <t>BA251201101236651</t>
  </si>
  <si>
    <t>BA251201111237876</t>
  </si>
  <si>
    <t>BA251201111237999</t>
  </si>
  <si>
    <t>BA251201111237603</t>
  </si>
  <si>
    <t>BA251201111237507</t>
  </si>
  <si>
    <t>BA251201121238705</t>
  </si>
  <si>
    <t>BA251201121238311</t>
  </si>
  <si>
    <t>WP231201799893</t>
  </si>
  <si>
    <t>BA251201121238466</t>
  </si>
  <si>
    <t>WP230601646425</t>
  </si>
  <si>
    <t>해산물 자연한알 2병+휴대용 1병</t>
  </si>
  <si>
    <t>BA251201121238624</t>
  </si>
  <si>
    <t>BA251201111237402</t>
  </si>
  <si>
    <t>WP250402320010</t>
  </si>
  <si>
    <t>찰떡 3종(모듬떡+호박모듬떡+팔곡약식) 27개/ 선물세트 간식</t>
  </si>
  <si>
    <t>찰떡 3종세트 27개입</t>
  </si>
  <si>
    <t>BA251201111237724</t>
  </si>
  <si>
    <t>BA251201111237945</t>
  </si>
  <si>
    <t>WP240301906857</t>
  </si>
  <si>
    <t>[쭈꾸미 갑오징 문어낚시] 이카킬러 삼봉에기 11cm 5개 세트 미끼/ 채비 야광</t>
  </si>
  <si>
    <t>이카킬러 삼봉에기 11cm 5개 세트(5컬러 1세트)</t>
  </si>
  <si>
    <t>BA251201111237791</t>
  </si>
  <si>
    <t>BA251201111237380</t>
  </si>
  <si>
    <t>BA251201111237362</t>
  </si>
  <si>
    <t>BA251201111237847</t>
  </si>
  <si>
    <t>BA251201111238035</t>
  </si>
  <si>
    <t>WP241102084468</t>
  </si>
  <si>
    <t>[최상등급] 無MSG 국내산 새우추젓(특) 500g~5kg/ 국내산 천일염 염장</t>
  </si>
  <si>
    <t>국내산 새우추젓(특) 500g</t>
  </si>
  <si>
    <t>BA251201121238697</t>
  </si>
  <si>
    <t>BA251201121238370</t>
  </si>
  <si>
    <t>WP230101488967</t>
  </si>
  <si>
    <t>루테인 지아잔틴 아스타잔틴 500mg x 30캡슐</t>
  </si>
  <si>
    <t>닥터파이토 루테인 지아잔틴 아스타잔틴 500mg x 30캡슐</t>
  </si>
  <si>
    <t>BA251201121238405</t>
  </si>
  <si>
    <t>BA251201121238099</t>
  </si>
  <si>
    <t>녹차 오징어젓 230g</t>
  </si>
  <si>
    <t>녹차 가리비젓 230g</t>
  </si>
  <si>
    <t>BA251201131239608</t>
  </si>
  <si>
    <t>BA251201131239213</t>
  </si>
  <si>
    <t>섬유탈취제 500ml 3개입 깔끔한 향</t>
  </si>
  <si>
    <t>BA251201141240119</t>
  </si>
  <si>
    <t>BA251201131239550</t>
  </si>
  <si>
    <t>BA251201141239744</t>
  </si>
  <si>
    <t>WP240201871435</t>
  </si>
  <si>
    <t>차량용 디퓨저 80ml X 2개입 화이트머스크(향)</t>
  </si>
  <si>
    <t>BA251201131239308</t>
  </si>
  <si>
    <t>BA251201141240400</t>
  </si>
  <si>
    <t>BA251201131239105</t>
  </si>
  <si>
    <t>Nat Geo 65W 3P 화이트+케이블 포함</t>
  </si>
  <si>
    <t>BA251201131239141</t>
  </si>
  <si>
    <t>BA251201141240021</t>
  </si>
  <si>
    <t>BA251201131238944</t>
  </si>
  <si>
    <t>BA251201151240885</t>
  </si>
  <si>
    <t>WP230201526161</t>
  </si>
  <si>
    <t>조종사용 선글라스 편광렌즈 파일럿 썬글라스 보잉안경</t>
  </si>
  <si>
    <t>조종사용 선글라스 편광렌즈 KREX P3</t>
  </si>
  <si>
    <t>BA251201151241029</t>
  </si>
  <si>
    <t>BA251201161241173</t>
  </si>
  <si>
    <t>BA251201161241442</t>
  </si>
  <si>
    <t>BA251201161241723</t>
  </si>
  <si>
    <t>BA251201161241535</t>
  </si>
  <si>
    <t>BA251201161241473</t>
  </si>
  <si>
    <t>BA251201151240751</t>
  </si>
  <si>
    <t>나리찬 진 파김치 3kg (벌크)</t>
  </si>
  <si>
    <t>BA251201151240645</t>
  </si>
  <si>
    <t>BA251201151240616</t>
  </si>
  <si>
    <t>BA251201151240529</t>
  </si>
  <si>
    <t>BA251201151240663</t>
  </si>
  <si>
    <t>BA251201151241046</t>
  </si>
  <si>
    <t>BA251201161241310</t>
  </si>
  <si>
    <t>생활공감ON 미용티슈 220매 9개</t>
  </si>
  <si>
    <t>BA251201151240771</t>
  </si>
  <si>
    <t>행복을주는나무 미용티슈 180매 3개</t>
  </si>
  <si>
    <t>BA251201161241564</t>
  </si>
  <si>
    <t>WP250302228247</t>
  </si>
  <si>
    <t>베이킹소다 담은 주방세제 레몬향 500ml 4개입/ 1종 과일 체소세척가능 대용량</t>
  </si>
  <si>
    <t>베이킹소다 담은 주방세제 레몬향 500ml 4개입</t>
  </si>
  <si>
    <t>BA251201211245502</t>
  </si>
  <si>
    <t>BA251201191243356</t>
  </si>
  <si>
    <t>BA251202011247523</t>
  </si>
  <si>
    <t>WP240702009956</t>
  </si>
  <si>
    <t>기쁨기업</t>
  </si>
  <si>
    <t>원목 수제 디자인 낙관도장(주문제작)+인주/ 캘리그라피 글씨체</t>
  </si>
  <si>
    <t>도장+잉크 4푼 / 양각 / 원형</t>
  </si>
  <si>
    <t>BA251201211244823</t>
  </si>
  <si>
    <t>BA251201211245163</t>
  </si>
  <si>
    <t>BA251202061248043</t>
  </si>
  <si>
    <t>BA251201231247113</t>
  </si>
  <si>
    <t>WP251002518060</t>
  </si>
  <si>
    <t>체중조절용 단백질 쉐이크 딥초코 라떼(40g) x 5팩 / 아침식사 간펵식 식사 다이어트 산양유 초유 분말사용</t>
  </si>
  <si>
    <t>딥초코 라떼(40g) x 5팩</t>
  </si>
  <si>
    <t>BA251202061247949</t>
  </si>
  <si>
    <t>BA251202051247867</t>
  </si>
  <si>
    <t>BA251202021247691</t>
  </si>
  <si>
    <t>WP230501608365</t>
  </si>
  <si>
    <t>휴대폰 핸드폰 65W 3P 초고속 멀티충전기 어댑터 + C타입 케이블</t>
  </si>
  <si>
    <t>솔루엠 65W3P 초고속 멀티충전기 + C타입 케이블</t>
  </si>
  <si>
    <t>BA251201221245562</t>
  </si>
  <si>
    <t>BA251201221246444</t>
  </si>
  <si>
    <t>WP230401597999</t>
  </si>
  <si>
    <t>★400만병 돌파★ 특허 한알로 요리 끝! 자연종합 A B C 선물세트 / 자연한알 한우한알 마늘 한알 레시피북 쇼핑백 증정</t>
  </si>
  <si>
    <t>자연종합B</t>
  </si>
  <si>
    <t>BA251201171242298</t>
  </si>
  <si>
    <t>BA251201201244222</t>
  </si>
  <si>
    <t>BA251201211244695</t>
  </si>
  <si>
    <t>BA251201171242225</t>
  </si>
  <si>
    <t>BA251201211244790</t>
  </si>
  <si>
    <t>BA251201191243080</t>
  </si>
  <si>
    <t>WP230601653079</t>
  </si>
  <si>
    <t>100% 유기농 비타민D3 300mg 60정</t>
  </si>
  <si>
    <t>유기농 비타민D3 300mg 60정 x 2개</t>
  </si>
  <si>
    <t>BA251201181242539</t>
  </si>
  <si>
    <t>BCV003</t>
  </si>
  <si>
    <t>BA251201221245607</t>
  </si>
  <si>
    <t>BA251201211244924</t>
  </si>
  <si>
    <t>BA251202011247625</t>
  </si>
  <si>
    <t>리꼬베이비 센서티브물티슈 80매x10팩</t>
  </si>
  <si>
    <t>BA251201171242004</t>
  </si>
  <si>
    <t>BA251202061248104</t>
  </si>
  <si>
    <t>WP230501608467</t>
  </si>
  <si>
    <t>부전전자</t>
  </si>
  <si>
    <t>삼성 갤럭시 버즈 라이브 / 버즈 프로 / 버즈2 스킨캡 이어팁</t>
  </si>
  <si>
    <t>GALAXY BUDS 2 이어팁 / 마시멜로 이어팁 (S/M/L)</t>
  </si>
  <si>
    <t>BA251201191243479</t>
  </si>
  <si>
    <t>WP231201799741</t>
  </si>
  <si>
    <t>유산균 발효 4년근 약도라지 농축액 220g</t>
  </si>
  <si>
    <t>약도라지 농축액 220g</t>
  </si>
  <si>
    <t>BA251201201244118</t>
  </si>
  <si>
    <t>생모시 검정깨 두텁떡 400g(1봉/10개) x 7봉</t>
  </si>
  <si>
    <t>BA251201211245435</t>
  </si>
  <si>
    <t>BA251201201243929</t>
  </si>
  <si>
    <t>BA251201211245238</t>
  </si>
  <si>
    <t>맥주효모 탈모샴푸 1L X 2개</t>
  </si>
  <si>
    <t>BA251201191243316</t>
  </si>
  <si>
    <t>BA251201201244019</t>
  </si>
  <si>
    <t>BA251202061248019</t>
  </si>
  <si>
    <t>BA251201231247097</t>
  </si>
  <si>
    <t>WP230101505787</t>
  </si>
  <si>
    <t>미진화장품</t>
  </si>
  <si>
    <t>1일1팩 데일리 모이스트 수딩 마스크팩 시카 30매</t>
  </si>
  <si>
    <t>데일리 모이스트 수딩 마스크 시카 30매</t>
  </si>
  <si>
    <t>BA251201231247076</t>
  </si>
  <si>
    <t>BA251201181243001</t>
  </si>
  <si>
    <t>BA251201211244546</t>
  </si>
  <si>
    <t>WP230201524604</t>
  </si>
  <si>
    <t>스테비아 제로슈가 핫초코라떼 30개입x2개 +리유저블컵</t>
  </si>
  <si>
    <t>스테비아 제로슈가 핫초코라떼 30개입 x 2개 +리유저블컵</t>
  </si>
  <si>
    <t>BA251201231246735</t>
  </si>
  <si>
    <t>BA251201201244255</t>
  </si>
  <si>
    <t>WP240702004281</t>
  </si>
  <si>
    <t>HACCP 국내산 유기농 전라도 포기 백김치 1kg 2kg 3kg 5kg</t>
  </si>
  <si>
    <t>유기농 백김치 3kg</t>
  </si>
  <si>
    <t>BA251201211244876</t>
  </si>
  <si>
    <t>BA251201221245720</t>
  </si>
  <si>
    <t>WP230101495086</t>
  </si>
  <si>
    <t>복숭아 자몽 청포도 제로칼로리 아이스티 다이어트 음료 500ml 24개</t>
  </si>
  <si>
    <t>자몽아이스티 12입+청포도아이스티 12입</t>
  </si>
  <si>
    <t>BA251201211244960</t>
  </si>
  <si>
    <t>BA251201191243176</t>
  </si>
  <si>
    <t>BA251201211245106</t>
  </si>
  <si>
    <t>WP240201861962</t>
  </si>
  <si>
    <t>[한국전통 조향 전문가 개발] 사상체질 인센스 4종(홀더 포함) / 선물세트 집들이 아로마테라피</t>
  </si>
  <si>
    <t>사상 인센스 태음감국+홀더 1개</t>
  </si>
  <si>
    <t>사상 인센스 소음작약+홀더 1개</t>
  </si>
  <si>
    <t>WP230501625066</t>
  </si>
  <si>
    <t>[천상의향] 인센스 스틱 오묘 침향 2종 + 홀더 포함</t>
  </si>
  <si>
    <t>오 침향 / 묘 침향 2종 + 미니 홀더 2개</t>
  </si>
  <si>
    <t>BA251201231247087</t>
  </si>
  <si>
    <t>BA251201201243760</t>
  </si>
  <si>
    <t>BA251201211244926</t>
  </si>
  <si>
    <t>WP230201524599</t>
  </si>
  <si>
    <t>두툼한 물걸레 / 정전기 / 손걸레 청소포 캡형 [대형, 표준형]</t>
  </si>
  <si>
    <t>스완렉스 물걸레 청소포 25매 x 4팩(대형/캡형)</t>
  </si>
  <si>
    <t>BA251201221246410</t>
  </si>
  <si>
    <t>WP241102104592</t>
  </si>
  <si>
    <t>색상 구분없이 세탁 티슈형 이염방지시트 100매입 / 일반 드럼 세탁기 사용가능</t>
  </si>
  <si>
    <t>이염방지시트 100매입 x 1개</t>
  </si>
  <si>
    <t>BA251202001247295</t>
  </si>
  <si>
    <t>BA251201231246824</t>
  </si>
  <si>
    <t>9회 죽염 고체 / 500g</t>
  </si>
  <si>
    <t>BA251201191243077</t>
  </si>
  <si>
    <t>BA251201221245696</t>
  </si>
  <si>
    <t>WP240301910727</t>
  </si>
  <si>
    <t>국내산 매운 불오돌뼈 400g 2팩 대구진매운 양념 캠핑 혼술 술안주 요리</t>
  </si>
  <si>
    <t>불오돌뼈 400g 2팩</t>
  </si>
  <si>
    <t>BA251201211245015</t>
  </si>
  <si>
    <t>WP230501613967</t>
  </si>
  <si>
    <t>[미쉐린 수출] 100% 찹쌀 김부각 65g x 5ea</t>
  </si>
  <si>
    <t>김부각 65g x 5ea</t>
  </si>
  <si>
    <t>BA251201231247134</t>
  </si>
  <si>
    <t>BA251201211245282</t>
  </si>
  <si>
    <t>WP230701691422</t>
  </si>
  <si>
    <t>명품 국내산 우엉차 / 찌고 말리고 로스팅 하여 풍미 극대화</t>
  </si>
  <si>
    <t>우엉차 60g x 3봉</t>
  </si>
  <si>
    <t>BA251201211244769</t>
  </si>
  <si>
    <t>BA251201211245411</t>
  </si>
  <si>
    <t>WP230401554921</t>
  </si>
  <si>
    <t>BA251201211245501</t>
  </si>
  <si>
    <t>BA251201171242032</t>
  </si>
  <si>
    <t>WP240201858578</t>
  </si>
  <si>
    <t>[치아 잇몸 구취 케어] 하루세번 덴탈 케어 치약 250g 4개입</t>
  </si>
  <si>
    <t>하루세번 덴탈 케어 치약 250g 8개입</t>
  </si>
  <si>
    <t>WP240401944196</t>
  </si>
  <si>
    <t>풍성한 거품 소프트 버블 메쉬 샤워볼 4개입</t>
  </si>
  <si>
    <t>소프트 버블 샤워볼 4개입</t>
  </si>
  <si>
    <t>BA251201191243549</t>
  </si>
  <si>
    <t>BA251201191243661</t>
  </si>
  <si>
    <t>BA251201171242201</t>
  </si>
  <si>
    <t>WP241202121499</t>
  </si>
  <si>
    <t>[첨가제NO] 생과일즙 NFC 착즙 씨 제거 100% 사과즙100ml 40봉 안동사과즙/ 아이주스 아기쥬스</t>
  </si>
  <si>
    <t>몽실언니 사과즙 100ml 40포</t>
  </si>
  <si>
    <t>BA251201221245577</t>
  </si>
  <si>
    <t>BA251201221245687</t>
  </si>
  <si>
    <t>BA251201211244577</t>
  </si>
  <si>
    <t>BA251201221246478</t>
  </si>
  <si>
    <t>BA251201171241975</t>
  </si>
  <si>
    <t>WP230601629900</t>
  </si>
  <si>
    <t>쫀득 달콤 촉촉한 꿀고구마 선물세트 /고구마스틱 20입 + 고구마말랭이 6입</t>
  </si>
  <si>
    <t>꿀고구마 선물세트 /고구마스틱 20입 + 고구마말랭이 6입</t>
  </si>
  <si>
    <t>BA251201231246742</t>
  </si>
  <si>
    <t>WP250402320247</t>
  </si>
  <si>
    <t>이집트 대추야자 아몬드 초콜릿 60g 파우치형 3개/ 간식</t>
  </si>
  <si>
    <t>골든데이츠 60g 파우치형 3개</t>
  </si>
  <si>
    <t>BA251201211245359</t>
  </si>
  <si>
    <t>BA251201211244646</t>
  </si>
  <si>
    <t>BA251201231246521</t>
  </si>
  <si>
    <t>BA251201211244877</t>
  </si>
  <si>
    <t>BA251201201244049</t>
  </si>
  <si>
    <t>차량용 디퓨저 80ml X 2개입 클린솝(향)</t>
  </si>
  <si>
    <t>BA251201201244434</t>
  </si>
  <si>
    <t>KF80 건영3단황사방역마스크 소형 40매 - 검정색</t>
  </si>
  <si>
    <t>BA251201221245849</t>
  </si>
  <si>
    <t>WP250602369126</t>
  </si>
  <si>
    <t>장가</t>
  </si>
  <si>
    <t>20년 전통 수제 달콤한 꿀백설기 1.5kg 간식 개별포장 한끼아침식사음식대용 떡</t>
  </si>
  <si>
    <t>꿀백설기 1.5kg</t>
  </si>
  <si>
    <t>BA251201201243696</t>
  </si>
  <si>
    <t>BA251202011247570</t>
  </si>
  <si>
    <t>WP230401562267</t>
  </si>
  <si>
    <t>국내산 복분자 추출액즙 유리병 500ml x 2병</t>
  </si>
  <si>
    <t>복분자즙 유리병 500ml x 2병</t>
  </si>
  <si>
    <t>BA251202021247642</t>
  </si>
  <si>
    <t>BA251201211245290</t>
  </si>
  <si>
    <t>BA251201231246991</t>
  </si>
  <si>
    <t>BA251201231246629</t>
  </si>
  <si>
    <t>BA251201171241919</t>
  </si>
  <si>
    <t>WP230101495583</t>
  </si>
  <si>
    <t>법성포 국산 참굴비 실속세트</t>
  </si>
  <si>
    <t>법성포참굴비 실속3호 (700g) * 2팩</t>
  </si>
  <si>
    <t>BA251202081248826</t>
  </si>
  <si>
    <t>WP230401597164</t>
  </si>
  <si>
    <t>주식회사 대왕</t>
  </si>
  <si>
    <t>참치 야채 추출액 / 참치진국 900ml 2병 + 참치한스푼 500ml / 국내산 천일염과 국내산 야채, 영저버섯 표고버섯</t>
  </si>
  <si>
    <t>참치진국900ml 2병 + 참치한스푼500ml 1병</t>
  </si>
  <si>
    <t>BA251202071248235</t>
  </si>
  <si>
    <t>WP250702414322</t>
  </si>
  <si>
    <t>대구 동인동식 소갈비찜 780g 2팩/ 집들이 밀키트 캠핑요리 혼술 안주 간편식음식</t>
  </si>
  <si>
    <t>청춘불판 동인동식 소갈비찜 780g 2팩</t>
  </si>
  <si>
    <t>BA251202071248282</t>
  </si>
  <si>
    <t>WP250902494637</t>
  </si>
  <si>
    <t>탄자니아 AA 카라투 마라하바 드립백 커피 10g 30개입 선물 세트 명절 셋트</t>
  </si>
  <si>
    <t>탄자니아AA카라투 선물세트 10g*30개입</t>
  </si>
  <si>
    <t>BA251202071248294</t>
  </si>
  <si>
    <t>나리찬 진 열무김치 3kg (벌크)</t>
  </si>
  <si>
    <t>BA251202081248577</t>
  </si>
  <si>
    <t>BA251202081248874</t>
  </si>
  <si>
    <t>BA251202071248161</t>
  </si>
  <si>
    <t>BA251202071248212</t>
  </si>
  <si>
    <t>WP240802016554</t>
  </si>
  <si>
    <t>[제로슈가 저칼로리]칼로버닝 프로틴 스파클링 음료 250ml 24캔/ 단백질 피로회복</t>
  </si>
  <si>
    <t>칼로버닝 프로틴 스파클링 음료 250ml 24캔 복숭아</t>
  </si>
  <si>
    <t>BA251202081248617</t>
  </si>
  <si>
    <t>BA251202081248606</t>
  </si>
  <si>
    <t>감귤 4.5kg 대과 L-2L</t>
  </si>
  <si>
    <t>BA251202071248489</t>
  </si>
  <si>
    <t>WP230501613858</t>
  </si>
  <si>
    <t>건영 3단마스크 KF-94 대형/소형 30매 블랙 화이트 어린이용</t>
  </si>
  <si>
    <t>건영 3단마스크 KF94 대형 30매 (검정)</t>
  </si>
  <si>
    <t>BA251202071248216</t>
  </si>
  <si>
    <t>BA251202071248352</t>
  </si>
  <si>
    <t>WP230401552913</t>
  </si>
  <si>
    <t>프락셔널 크림 60ml / 피부보호크림 피부결케어 얼굴 목 케어</t>
  </si>
  <si>
    <t>프락셔널 크림 60ml</t>
  </si>
  <si>
    <t>BA251202081248900</t>
  </si>
  <si>
    <t>[스피드랙] 가로 400 / 폭 400 / 높이 1200 / 선반 수량 2개</t>
  </si>
  <si>
    <t>BA251202071248168</t>
  </si>
  <si>
    <t>WP241202112506</t>
  </si>
  <si>
    <t>BA251202081248886</t>
  </si>
  <si>
    <t>핸드워시 300ml 바먼모겐 (블랑쉬향) x 2개</t>
  </si>
  <si>
    <t>핸드워시 300ml 만다린바움 (우디향) x 1개</t>
  </si>
  <si>
    <t>AA251201101236379</t>
  </si>
  <si>
    <t>SP250402320140</t>
  </si>
  <si>
    <t>티플레이스 도라지생강모과차 삼각티백</t>
  </si>
  <si>
    <t>AA251201091236028</t>
  </si>
  <si>
    <t>[스피드랙] 가로 800 / 폭 600 / 높이 2100 / 선반 수량 4개</t>
  </si>
  <si>
    <t>AA251201101236487</t>
  </si>
  <si>
    <t>SP241002065754</t>
  </si>
  <si>
    <t>AA251201091236002</t>
  </si>
  <si>
    <t>AA251201111237781</t>
  </si>
  <si>
    <t>SP241102101998</t>
  </si>
  <si>
    <t>[1+1] 8중 히알루론산 함유 마이크로 미셀라 딥 클렌징폼 230ml</t>
  </si>
  <si>
    <t>마이크로 미셀라 딥 클렌징폼 230ml x 2개</t>
  </si>
  <si>
    <t>AA251201131239507</t>
  </si>
  <si>
    <t>AA251201141239837</t>
  </si>
  <si>
    <t>SP250702395305</t>
  </si>
  <si>
    <t>7중효소 딥클린 고농축 디바인 캡슐세제 100개입 /일반 드럼세탁기 겸용사용</t>
  </si>
  <si>
    <t>딥클린 고농축 디바인 캡슐세제 100개입</t>
  </si>
  <si>
    <t>AA251201131239316</t>
  </si>
  <si>
    <t>AA251201211245061</t>
  </si>
  <si>
    <t>AA251201221246299</t>
  </si>
  <si>
    <t>AA251201221245725</t>
  </si>
  <si>
    <t>AA251202011247546</t>
  </si>
  <si>
    <t>SP230601647852</t>
  </si>
  <si>
    <t>AA251201221246460</t>
  </si>
  <si>
    <t>AA251202011247562</t>
  </si>
  <si>
    <t>SP251002516732</t>
  </si>
  <si>
    <t>토리식품</t>
  </si>
  <si>
    <t>국내산 호박죽 250g 5개 + 무설탕 전통 팥죽 230g 5개</t>
  </si>
  <si>
    <t>호박죽250g 5개+전통팥죽230g 5개</t>
  </si>
  <si>
    <t>AA251202081248958</t>
  </si>
  <si>
    <t>G0193</t>
  </si>
  <si>
    <t>제니스 트라이 60수 런닝 TMRSB09 (화이트 110)</t>
  </si>
  <si>
    <t>TRY 순면 스포츠 60수 남성 남자 나시 티 메리야스 민소매 면티,110런닝 60수 1개</t>
  </si>
  <si>
    <t>제품선택:제니스 한비나 노니 비누 100g 1개 1 개 (+0 원)</t>
  </si>
  <si>
    <t>제품선택: 옵션 01 베트남노니비누</t>
  </si>
  <si>
    <t>G0188</t>
  </si>
  <si>
    <t>제니스 트라이 100수 런닝 TMRSB08 (화이트 105)</t>
  </si>
  <si>
    <t>100수 런닝 5매세트 RST08_105</t>
  </si>
  <si>
    <t>60수 런닝 3매세트 RST09_105</t>
  </si>
  <si>
    <t>100수 런닝 3매세트 RST08_105</t>
  </si>
  <si>
    <t>20251201-0001997</t>
  </si>
  <si>
    <t>T45294</t>
  </si>
  <si>
    <t>진스마트팜</t>
  </si>
  <si>
    <t>진스마트팜 프리미엄 유러피안 샐러드 원물 1kg</t>
  </si>
  <si>
    <t>제품선택:프리미엄 유러피안 샐러드 원물 1kg 1 개 (+2,600 원)</t>
  </si>
  <si>
    <t>T46742</t>
  </si>
  <si>
    <t>일농 감귤 2kg 로얄과 S-M</t>
  </si>
  <si>
    <t>제품선택:감귤 2kg 로얄과 S-M 1 개 (+2,600 원)</t>
  </si>
  <si>
    <t>T39100</t>
  </si>
  <si>
    <t>과일드림2 빛깔찬 고춧가루 순한맛 김치용 1kg (지퍼백)</t>
  </si>
  <si>
    <t>빛깔찬 고춧가루 (지퍼백용)1kg 순한맛 김치용</t>
  </si>
  <si>
    <t>0da3de9e-ae34-4625-87e2-77580aed7505</t>
  </si>
  <si>
    <t>0. 당제로 스테비아 믹스커피 100개입 + 30개입: 당제로 스테비아 믹스커피 100개입 + 30개입</t>
  </si>
  <si>
    <t>2025120109564422530F</t>
  </si>
  <si>
    <t>T45576</t>
  </si>
  <si>
    <t>인산가 9회 자죽염 고체 / 80g</t>
  </si>
  <si>
    <t>9회 자죽염 고체 / 80g</t>
  </si>
  <si>
    <t>K1000024747</t>
  </si>
  <si>
    <t>T39506</t>
  </si>
  <si>
    <t>참식품 파김치 2kg</t>
  </si>
  <si>
    <t>파김치 2kg</t>
  </si>
  <si>
    <t>K1000024745</t>
  </si>
  <si>
    <t>K1000024725</t>
  </si>
  <si>
    <t>T38938</t>
  </si>
  <si>
    <t>한국맥널티 스테비아 커피믹스 1L X 12개입</t>
  </si>
  <si>
    <t>[맥널티] 제로슈가 스테비아 커피믹스 음료 1L (12개입) 옵션: [제로슈가 스테비아]커피믹스 음료 1L 12개입</t>
  </si>
  <si>
    <t>T0105</t>
  </si>
  <si>
    <t>한국맥널티 행복을 주는 커피 아이스 아메리카노 블랙 (1L x 6개입)</t>
  </si>
  <si>
    <t>[맥널티] 대용량 아이스 아메리카노 블랙/스위트/헤이즐넛(1L×6개) 대용량: 02. 아이스 아메리카노 블랙 1L 6개</t>
  </si>
  <si>
    <t>T0104</t>
  </si>
  <si>
    <t>고삼농협 한우진한사골곰탕 (500ml x 4개입)</t>
  </si>
  <si>
    <t>[고삼농협] 한우사골 진한곰탕 500ml×4팩 선택: 한우사골 진한곰탕 500ml x 4팩</t>
  </si>
  <si>
    <t>T44834</t>
  </si>
  <si>
    <t>언더액티브 프리미엄 코지모달팬티 7종세트 L(95)</t>
  </si>
  <si>
    <t>코지 모달팬티 여성 심리스 속옷 Y존 편한 여자 순면 드로즈 일주일팩 7장세트 제품옵션: 프리미엄 코지모달팬티 7종세트 L(95)</t>
  </si>
  <si>
    <t>듀얼프레셔 초고압 IH 전기압력밥솥 6인용 10인용 베스트 모음 상품: CRS-FCWK0671K 6인용밥솥</t>
  </si>
  <si>
    <t>T45050</t>
  </si>
  <si>
    <t>트루나스 해산물 자연한알 2병+휴대용 1병</t>
  </si>
  <si>
    <t>상품:해산물 자연한알 2병+휴대용 1병</t>
  </si>
  <si>
    <t>T39188</t>
  </si>
  <si>
    <t>화산 치업 소스 닭가슴살 불화산 X 10팩</t>
  </si>
  <si>
    <t>상품:치업 소스 닭가슴살 불화산 x 10팩</t>
  </si>
  <si>
    <t>J10217646162971385513109727</t>
  </si>
  <si>
    <t>T45557</t>
  </si>
  <si>
    <t>씨엔씨 인터네셔널</t>
  </si>
  <si>
    <t>씨엔씨 인터네셔널 히토미 혼마 2스타 83cm</t>
  </si>
  <si>
    <t>제품옵션/히토미 혼마 2스타 83cm</t>
  </si>
  <si>
    <t>J10117645929581152513115773</t>
  </si>
  <si>
    <t>T45220</t>
  </si>
  <si>
    <t>에스지커뮤니케이션 (DH글로벌)</t>
  </si>
  <si>
    <t>에스지커뮤니케이션 (DH글로벌) 더명작 산양삼 장뇌삼 20g 1팩</t>
  </si>
  <si>
    <t>더명작 산양삼 장뇌삼 20g 1팩</t>
  </si>
  <si>
    <t>J50220251201151752526113066563</t>
  </si>
  <si>
    <t>T38631</t>
  </si>
  <si>
    <t>한우물 511317 야채 볶음밥 (300g x 6개) + 해물 볶음밥 (300g x 6개)</t>
  </si>
  <si>
    <t>야채볶음밥 6개+해물볶음밥 6개</t>
  </si>
  <si>
    <t>J10117645383221715813147459</t>
  </si>
  <si>
    <t>T38790</t>
  </si>
  <si>
    <t>솜씨협동조합 고추잡채와꽃빵 700g &amp; 해물누룽지탕 540g &amp; 마파두부 800g 3종세트</t>
  </si>
  <si>
    <t>고추잡채와꽃빵+해물누룽지탕+마파두부</t>
  </si>
  <si>
    <t>M2512H750599672989</t>
  </si>
  <si>
    <t>M2512M010599671352</t>
  </si>
  <si>
    <t>T0180</t>
  </si>
  <si>
    <t>한울농업 촉촉한 꿀 고구마 말랭이 (40g x 7개입)</t>
  </si>
  <si>
    <t>옵션 : 꿀고구마말랭이 40g X 7입</t>
  </si>
  <si>
    <t>T7882</t>
  </si>
  <si>
    <t>오가닉K 살림백서 라이스 &amp; 허브 핸드워시 그린포레스트 리필 (200ml x 10개)</t>
  </si>
  <si>
    <t>옵션 :[살림백서] 핸드워시 리필 200ml 10개 그린포레스트 그린포레스트</t>
  </si>
  <si>
    <t>C253361339433</t>
  </si>
  <si>
    <t>C253362898077</t>
  </si>
  <si>
    <t>T46741</t>
  </si>
  <si>
    <t>일농 감귤 2kg 대과 L-2L</t>
  </si>
  <si>
    <t>/ 감귤 2kg 대과 L-2L</t>
  </si>
  <si>
    <t>C253357161002</t>
  </si>
  <si>
    <t>T46966</t>
  </si>
  <si>
    <t>늘푸른우리 아보카도 중과 (180g내외) 5개입</t>
  </si>
  <si>
    <t>/ [제니스] 늘푸른 아보카도 중과 (180g내외) 5개입</t>
  </si>
  <si>
    <t>C253356123528</t>
  </si>
  <si>
    <t>T8229</t>
  </si>
  <si>
    <t>행복에스앤피제지 굿매너 네이처&amp;바스룸 (3겹 30m 30롤 x 1팩)</t>
  </si>
  <si>
    <t>/ [행복에스앤피제지] 네이처&amp;바스룸 30m x 30롤 1팩</t>
  </si>
  <si>
    <t>C253353491231</t>
  </si>
  <si>
    <t>T45431</t>
  </si>
  <si>
    <t>오가닉K 2 티트리 바디로션 1500ml 화이트머스크 x 1개</t>
  </si>
  <si>
    <t>/ 티트리 바디로션 1500ml 화이트머스크 x 1개</t>
  </si>
  <si>
    <t>제품선택:런닝 5매세트 RSB01_100/1개</t>
  </si>
  <si>
    <t>파트</t>
    <phoneticPr fontId="1" type="noConversion"/>
  </si>
  <si>
    <t>1파트</t>
    <phoneticPr fontId="1" type="noConversion"/>
  </si>
  <si>
    <t>2파트</t>
  </si>
  <si>
    <t>2파트</t>
    <phoneticPr fontId="1" type="noConversion"/>
  </si>
  <si>
    <t>로켓그로스</t>
  </si>
  <si>
    <t>삼성기타수입</t>
  </si>
  <si>
    <t>한화기획전</t>
  </si>
  <si>
    <t>오토앤</t>
  </si>
  <si>
    <t>톡스토어</t>
  </si>
  <si>
    <t>홈닉</t>
  </si>
  <si>
    <t>네이버-제니스셀러</t>
  </si>
  <si>
    <t>네이버-제니스그린</t>
  </si>
  <si>
    <t>11번가</t>
  </si>
  <si>
    <t>오너클랜</t>
  </si>
  <si>
    <t>엔비티</t>
  </si>
  <si>
    <t>셀러즈</t>
  </si>
  <si>
    <t>아이엠스쿨</t>
  </si>
  <si>
    <t>빌리지베이비</t>
  </si>
  <si>
    <t>이패밀리샵</t>
  </si>
  <si>
    <t>비즈마켓(삼성생명)</t>
  </si>
  <si>
    <t>테무</t>
  </si>
  <si>
    <t>지라이프</t>
  </si>
  <si>
    <t>WAC</t>
  </si>
  <si>
    <t>BA251105091109882</t>
  </si>
  <si>
    <t>BA251105101110649</t>
  </si>
  <si>
    <t>BA251105091110054</t>
  </si>
  <si>
    <t>BA251105111110877</t>
  </si>
  <si>
    <t>BA251105091109743</t>
  </si>
  <si>
    <t>BA251105101110202</t>
  </si>
  <si>
    <t>BA251105091109943</t>
  </si>
  <si>
    <t>BA251105101110855</t>
  </si>
  <si>
    <t>BA251105121111863</t>
  </si>
  <si>
    <t>[스피드랙] 가로 800 / 폭 600 / 높이 2400 / 선반 수량 2개</t>
  </si>
  <si>
    <t>BA251105121111991</t>
  </si>
  <si>
    <t>BA251105111110951</t>
  </si>
  <si>
    <t>BA251105121111997</t>
  </si>
  <si>
    <t>BA251105121111772</t>
  </si>
  <si>
    <t>WP231001760874</t>
  </si>
  <si>
    <t>데일리 이중미세모 초극세모 부드러운 칫솔 32개입</t>
  </si>
  <si>
    <t>데일리 이중미세모 칫솔 32개입 파스텔핏</t>
  </si>
  <si>
    <t>BA251105111111082</t>
  </si>
  <si>
    <t>BA251105111111364</t>
  </si>
  <si>
    <t>BA251105121111978</t>
  </si>
  <si>
    <t>BA251105121112032</t>
  </si>
  <si>
    <t>WP250702421505</t>
  </si>
  <si>
    <t>[1+1]식약처 보고완료 맥주효모 바이오틴 탈모증상완화 대용량 샴푸 1,000ml</t>
  </si>
  <si>
    <t>센티베르 맥주효모 바이오틴 탈모증상완화 대용량 샴푸 1,000ml 2개</t>
  </si>
  <si>
    <t>BA251105121111537</t>
  </si>
  <si>
    <t>BA251105121111754</t>
  </si>
  <si>
    <t>BA251105131112362</t>
  </si>
  <si>
    <t>BA251105151113162</t>
  </si>
  <si>
    <t>BA251105131112075</t>
  </si>
  <si>
    <t>국산볶음땅콩 250g 3개 묶음</t>
  </si>
  <si>
    <t>BA251105141112617</t>
  </si>
  <si>
    <t>BA251105141112931</t>
  </si>
  <si>
    <t>WP250102163816</t>
  </si>
  <si>
    <t>IPX5 방수 더블필터 리모컨 직수비데+정수필터 세트/ 자가설치</t>
  </si>
  <si>
    <t>TB-DX5R20J</t>
  </si>
  <si>
    <t>BA251105131112192</t>
  </si>
  <si>
    <t>BA251105141112793</t>
  </si>
  <si>
    <t>[홈던트] 가로 800 / 폭 500 / 높이 2100 / 행거단 1개 / 선반단 0개</t>
  </si>
  <si>
    <t>[홈던트] 가로 700 / 폭 500 / 높이 2100 / 행거단 1개 / 선반단 0개</t>
  </si>
  <si>
    <t>BA251105131112271</t>
  </si>
  <si>
    <t>BA251105141112994</t>
  </si>
  <si>
    <t>WP240902039384</t>
  </si>
  <si>
    <t>휴대용 여행용 초소형사이즈 필터샤워기(샤워기+필터) 세트 / 항바이러스 옴니아 필터기술 적용</t>
  </si>
  <si>
    <t>BA251105131112558</t>
  </si>
  <si>
    <t>사이즈 - S</t>
  </si>
  <si>
    <t>BA251105151113277</t>
  </si>
  <si>
    <t>BA251105161113849</t>
  </si>
  <si>
    <t>BA251105151113443</t>
  </si>
  <si>
    <t>WP230201525282</t>
  </si>
  <si>
    <t>구강스프레이 구취제거 입냄새 청결제 10ml</t>
  </si>
  <si>
    <t>구강청결제 10ml 청포도향</t>
  </si>
  <si>
    <t>구강청결제 10ml 쿨민트향</t>
  </si>
  <si>
    <t>BA251105151113230</t>
  </si>
  <si>
    <t>WP230201523114</t>
  </si>
  <si>
    <t>접이식 2100W 고출력 헤어드라이기 PD-Y1342</t>
  </si>
  <si>
    <t>BA251105161113843</t>
  </si>
  <si>
    <t>WP240401944739</t>
  </si>
  <si>
    <t>1+1 [PM0.3 프리+활성탄+헤파필터] 99% 미세먼지차단 차량용 자동차 에어컨필터</t>
  </si>
  <si>
    <t>MC-009 / MC-009</t>
  </si>
  <si>
    <t>BA251105161114084</t>
  </si>
  <si>
    <t>경북 안동 고당도 저탄소 제철 세척 사과 개별포장 2kg</t>
  </si>
  <si>
    <t>제철사과 2kg 소과 (9~13과)</t>
  </si>
  <si>
    <t>BA251105151113323</t>
  </si>
  <si>
    <t>BA251105161113837</t>
  </si>
  <si>
    <t>[스피드랙] 가로 1200 / 폭 300 / 높이 1500 / 선반 수량 4개</t>
  </si>
  <si>
    <t>BA251105161114012</t>
  </si>
  <si>
    <t>BA251105161113893</t>
  </si>
  <si>
    <t>BA251105161113803</t>
  </si>
  <si>
    <t>WP231201799359</t>
  </si>
  <si>
    <t>BA251105161114086</t>
  </si>
  <si>
    <t>BA251105161114157</t>
  </si>
  <si>
    <t>BA251105151113166</t>
  </si>
  <si>
    <t>BA251105151113176</t>
  </si>
  <si>
    <t>BA251106011118705</t>
  </si>
  <si>
    <t>BCV001</t>
  </si>
  <si>
    <t>BA251106001118472</t>
  </si>
  <si>
    <t>BA251105201116385</t>
  </si>
  <si>
    <t>BA251105171114513</t>
  </si>
  <si>
    <t>511120 야채김밥 4개+당근김밥 4개</t>
  </si>
  <si>
    <t>BA251105171114791</t>
  </si>
  <si>
    <t>BA251105211116846</t>
  </si>
  <si>
    <t>BA251105171114384</t>
  </si>
  <si>
    <t>BA251105201116183</t>
  </si>
  <si>
    <t>BA251105211117022</t>
  </si>
  <si>
    <t>[스피드랙] 가로 1100 / 폭 500 / 높이 1800 / 선반 수량 4개</t>
  </si>
  <si>
    <t>BA251105211116873</t>
  </si>
  <si>
    <t>BA251105211117105</t>
  </si>
  <si>
    <t>나리찬 진 파김치 1kg(클립)</t>
  </si>
  <si>
    <t>BA251105191115254</t>
  </si>
  <si>
    <t>WP240201860369</t>
  </si>
  <si>
    <t>1+1 딥클린 대용량 락스 1.87L / 표백제 화장실청소</t>
  </si>
  <si>
    <t>WP231001745785</t>
  </si>
  <si>
    <t>1+1 화장실 욕실세정제 800ml 청소세제 곰팡이제거 소독제</t>
  </si>
  <si>
    <t>WP231001745797</t>
  </si>
  <si>
    <t>배수구 클리너 싱크대 청소 150g 8회분 (총 2박스)</t>
  </si>
  <si>
    <t>살림백서 배수구 클리너 150g 8회분 (총 2박스)</t>
  </si>
  <si>
    <t>BA251105191115462</t>
  </si>
  <si>
    <t>BA251105201116256</t>
  </si>
  <si>
    <t>BA251105211117076</t>
  </si>
  <si>
    <t>BA251105221117259</t>
  </si>
  <si>
    <t>BA251105171114738</t>
  </si>
  <si>
    <t>BA251106061119119</t>
  </si>
  <si>
    <t>BA251105201115834</t>
  </si>
  <si>
    <t>BA251105221117219</t>
  </si>
  <si>
    <t>511228 김치볶음밥 6개+낙지볶음밥 6개</t>
  </si>
  <si>
    <t>BA251105221117755</t>
  </si>
  <si>
    <t>휴대폰 핸드폰 15W 고속충전기 어댑터 + C타입 케이블</t>
  </si>
  <si>
    <t>BA251105191115506</t>
  </si>
  <si>
    <t>BA251105191115547</t>
  </si>
  <si>
    <t>BA251105231118306</t>
  </si>
  <si>
    <t>BA251105191115433</t>
  </si>
  <si>
    <t>BA251106001118505</t>
  </si>
  <si>
    <t>WP230201524442</t>
  </si>
  <si>
    <t>블루인더스 블루방역마스크 KF94 소형 50매</t>
  </si>
  <si>
    <t>블루인더스 블루방역마스크 KF94 소형 50매 - 화이트</t>
  </si>
  <si>
    <t>BA251105181114885</t>
  </si>
  <si>
    <t>BA251105181115135</t>
  </si>
  <si>
    <t>WP230101497501</t>
  </si>
  <si>
    <t>리얼 에스프레소샷 15ml 30개입 2개 (블랙/헤이즐넛)+아이스보틀</t>
  </si>
  <si>
    <t>에스프레소 헤이즐넛 2개+보틀</t>
  </si>
  <si>
    <t>BA251105211116491</t>
  </si>
  <si>
    <t>BA251105201115858</t>
  </si>
  <si>
    <t>B24G 편광_실버미러렌즈/프레임 블랙(무광)</t>
  </si>
  <si>
    <t>BA251105211116451</t>
  </si>
  <si>
    <t>BA251105211116663</t>
  </si>
  <si>
    <t>9회 죽염 분말 / 1kg</t>
  </si>
  <si>
    <t>BA251105211117129</t>
  </si>
  <si>
    <t>BA251105231118262</t>
  </si>
  <si>
    <t>WP230101492881</t>
  </si>
  <si>
    <t>청도 생생 곶감 24과 세트 (청도 반건시 60g이상)</t>
  </si>
  <si>
    <t>네이처팜 청도 생생 곶감 24과 세트 (청도 반건시 60g이상)</t>
  </si>
  <si>
    <t>BA251105211116941</t>
  </si>
  <si>
    <t>BA251105221117138</t>
  </si>
  <si>
    <t>WP230401544035</t>
  </si>
  <si>
    <t>사랑감잡았어 씨없는 청도 반건시 50g 이상 35과 고급형 선물세트</t>
  </si>
  <si>
    <t>사랑감잡았어 청도 반건시 50g 이상 35과</t>
  </si>
  <si>
    <t>BA251105231118213</t>
  </si>
  <si>
    <t>CGO-05</t>
  </si>
  <si>
    <t>BA251105231117817</t>
  </si>
  <si>
    <t>코코넛 바디워시 1500ml X 2개(모링가향)</t>
  </si>
  <si>
    <t>BA251106051119080</t>
  </si>
  <si>
    <t>(홀빈) 브라질 산토스 내추럴 1kg</t>
  </si>
  <si>
    <t>BA251106061119184</t>
  </si>
  <si>
    <t>WP241102102478</t>
  </si>
  <si>
    <t>옥수수 에탄올 베이스 퍼퓸 드 디퓨저 500ml X 2개 방향제</t>
  </si>
  <si>
    <t>퍼퓸 드 디퓨저 500ml X 2개 / 준포레스트</t>
  </si>
  <si>
    <t>BA251105191115551</t>
  </si>
  <si>
    <t>BA251105201116370</t>
  </si>
  <si>
    <t>BA251105221117238</t>
  </si>
  <si>
    <t>BA251105171114759</t>
  </si>
  <si>
    <t>BA251105221117806</t>
  </si>
  <si>
    <t>알러지노 헝가리 구스다운이불 겨울용 S</t>
  </si>
  <si>
    <t>BA251105191115583</t>
  </si>
  <si>
    <t>BA251105201115992</t>
  </si>
  <si>
    <t>WP240401944111</t>
  </si>
  <si>
    <t>[1+1] 식물유래 식기세척기 전용세제 액상형 1L/ 베이킹소다</t>
  </si>
  <si>
    <t>식기세척기 세제(액상형) 2개입</t>
  </si>
  <si>
    <t>WP240401944118</t>
  </si>
  <si>
    <t>식기세척기 액체형 린스 헹굼보조제 1L/ 얼룩제거 광택유지 세제</t>
  </si>
  <si>
    <t>식기세척기 헹굼보조제 1개입</t>
  </si>
  <si>
    <t>WP231001760620</t>
  </si>
  <si>
    <t>딥클린 코코넛 주방 설거지 수세미 6개 1세트</t>
  </si>
  <si>
    <t>딥클린 코코넛 수세미 6개 1세트</t>
  </si>
  <si>
    <t>BA251105211116803</t>
  </si>
  <si>
    <t>BA251105211117037</t>
  </si>
  <si>
    <t>WP231001745895</t>
  </si>
  <si>
    <t>머리카락 털까지 싹/ 정전기 청소포 1박스 (200매)</t>
  </si>
  <si>
    <t>살림백서 정전기 청소포 1박스 (200매)</t>
  </si>
  <si>
    <t>BA251105221117594</t>
  </si>
  <si>
    <t>BA251106011118834</t>
  </si>
  <si>
    <t>BA251106011118835</t>
  </si>
  <si>
    <t>BA251105171114526</t>
  </si>
  <si>
    <t>WP251002517172</t>
  </si>
  <si>
    <t>어묵과 무말랭이의 쫄깃한 식감 매콤 어묵 김밥 230g 8개</t>
  </si>
  <si>
    <t>511402 매콤어묵김밥 230g 8개</t>
  </si>
  <si>
    <t>BA251105201116113</t>
  </si>
  <si>
    <t>BA251106051119066</t>
  </si>
  <si>
    <t>BA251105221117672</t>
  </si>
  <si>
    <t>BA251105211117107</t>
  </si>
  <si>
    <t>WP230501613894</t>
  </si>
  <si>
    <t>국내산100% 프리미엄 순천 순매실 &amp; 매실청 세트</t>
  </si>
  <si>
    <t>매실청 500ml x 1입 + 매실청 500ml x 1입</t>
  </si>
  <si>
    <t>BA251105171114717</t>
  </si>
  <si>
    <t>BA251105191115412</t>
  </si>
  <si>
    <t>WP230101500518</t>
  </si>
  <si>
    <t>건영3단 마스크 KF-AD 대형 흰색 40매</t>
  </si>
  <si>
    <t>KF-AD 건영 3단 마스크 대형 흰색 40매</t>
  </si>
  <si>
    <t>BA251106011118735</t>
  </si>
  <si>
    <t>BA251105221117312</t>
  </si>
  <si>
    <t>BA251106001118480</t>
  </si>
  <si>
    <t>BA251105191115476</t>
  </si>
  <si>
    <t>BA251105221117808</t>
  </si>
  <si>
    <t>오이소박이 2kg</t>
  </si>
  <si>
    <t>BA251105231118119</t>
  </si>
  <si>
    <t>WP230901727314</t>
  </si>
  <si>
    <t>제로 칼로리 아이스티 240ml 30캔 (복숭아/청포도)</t>
  </si>
  <si>
    <t>복숭아 아이스티 제로 240ml x 30개입</t>
  </si>
  <si>
    <t>BA251105221117239</t>
  </si>
  <si>
    <t>WP240201862582</t>
  </si>
  <si>
    <t>[더마테스트 5스타 획득] 리즈 필터 샤워기</t>
  </si>
  <si>
    <t>리즈 필터 샤워기 투명</t>
  </si>
  <si>
    <t>BA251105211117125</t>
  </si>
  <si>
    <t>BA251105211117116</t>
  </si>
  <si>
    <t>WP240401944151</t>
  </si>
  <si>
    <t>[1+1]식기세척기 분말형 세제 1kg/ 조리기구 접시 컵 기름때 음식물 세정</t>
  </si>
  <si>
    <t>식기세척기 세제(분말형) 1kg 2개입</t>
  </si>
  <si>
    <t>BA251105181114940</t>
  </si>
  <si>
    <t>BA251105191115440</t>
  </si>
  <si>
    <t>BA251105201116210</t>
  </si>
  <si>
    <t>BA251105221117438</t>
  </si>
  <si>
    <t>BA251106021118916</t>
  </si>
  <si>
    <t>BA251106061119255</t>
  </si>
  <si>
    <t>BA251106011118791</t>
  </si>
  <si>
    <t>선글라스-도리 스모크로즈골드</t>
  </si>
  <si>
    <t>BA251105211116666</t>
  </si>
  <si>
    <t>CGO-01</t>
  </si>
  <si>
    <t>BA251106071119298</t>
  </si>
  <si>
    <t>BA251106071119293</t>
  </si>
  <si>
    <t>BA251106071119302</t>
  </si>
  <si>
    <t>BA251106081119695</t>
  </si>
  <si>
    <t>WP230701684179</t>
  </si>
  <si>
    <t>맛있는 밥도둑 녹차 젓갈 모음전 350~400g</t>
  </si>
  <si>
    <t>녹차 가리비젓 400g</t>
  </si>
  <si>
    <t>BA251106081119936</t>
  </si>
  <si>
    <t>BA251106081119554</t>
  </si>
  <si>
    <t>BA251106081119668</t>
  </si>
  <si>
    <t>BA251106071119273</t>
  </si>
  <si>
    <t>BA251106081119692</t>
  </si>
  <si>
    <t>BA251106071119323</t>
  </si>
  <si>
    <t>BA251106081119845</t>
  </si>
  <si>
    <t>WP250802438662</t>
  </si>
  <si>
    <t>[추석선물] 기능성특허 구스이불 /헝가리산 구스다운 이불+베개세트 부모님 명절셋트</t>
  </si>
  <si>
    <t>BA251106081120014</t>
  </si>
  <si>
    <t>WP230201524405</t>
  </si>
  <si>
    <t>비데겸용 3겹 천연펄프 행복나무 25m x 30롤</t>
  </si>
  <si>
    <t>천연펄프 행복나무 25m x 30롤 1팩</t>
  </si>
  <si>
    <t>BA251106081119952</t>
  </si>
  <si>
    <t>BA251106081119725</t>
  </si>
  <si>
    <t>WP250702409413</t>
  </si>
  <si>
    <t>[블랙헤드임상완료]피지쓱싹 딥 클렌징 오일 200ml</t>
  </si>
  <si>
    <t>피지쓱싹 딥 클렌징 오일 200ml 2개</t>
  </si>
  <si>
    <t>BA251106071119305</t>
  </si>
  <si>
    <t>BA251106071119446</t>
  </si>
  <si>
    <t>WP250802439590</t>
  </si>
  <si>
    <t>[추석선물] 최상급 향료 블렌딩 향기 룸앤패브릭 스프레이 300ml 2개세트 명절셋트/ 정전기 방지 냄새제거</t>
  </si>
  <si>
    <t>룸앤패브릭 / 파인 베르가못 2개 선물세트</t>
  </si>
  <si>
    <t>BA251106071119505</t>
  </si>
  <si>
    <t>BA251106081119860</t>
  </si>
  <si>
    <t>BA251106091120066</t>
  </si>
  <si>
    <t>AA251105091109846</t>
  </si>
  <si>
    <t>SP250802439586</t>
  </si>
  <si>
    <t>룸앤패브릭 / 머스크 프리지아 2개 선물세트</t>
  </si>
  <si>
    <t>AA251105101110235</t>
  </si>
  <si>
    <t>AA251105091110014</t>
  </si>
  <si>
    <t>AA251105121111594</t>
  </si>
  <si>
    <t>AA251105131112187</t>
  </si>
  <si>
    <t>SP250702420255</t>
  </si>
  <si>
    <t>[1+1] 8중 히알루론산 쫀득 거품 휩 클렌징폼 230ml/ 노폐물 미세먼지 세정 효과</t>
  </si>
  <si>
    <t>퓨어 마이크로 휩 클렌징폼 230ml 4개</t>
  </si>
  <si>
    <t>AA251106021118844</t>
  </si>
  <si>
    <t>SP250802432605</t>
  </si>
  <si>
    <t>AA251105181115083</t>
  </si>
  <si>
    <t>AA251105211116513</t>
  </si>
  <si>
    <t>AA251105191115701</t>
  </si>
  <si>
    <t>AA251105201116255</t>
  </si>
  <si>
    <t>룸앤패브릭 / 화이트 블랑 2개 선물세트</t>
  </si>
  <si>
    <t>AA251105191115713</t>
  </si>
  <si>
    <t>SP231101771817</t>
  </si>
  <si>
    <t>옛맛그대로 항아골 청국장 100g x 20입</t>
  </si>
  <si>
    <t>이어홀 피어싱홀 클리너 클렌징 워터 귀걸이 구멍 청소 15ml (60개입) 세트,1세트 복숭아향</t>
  </si>
  <si>
    <t>TRY 순면 스포츠 60수 남성 남자 나시 티 메리야스 민소매 면티,110런닝 60수 5개</t>
  </si>
  <si>
    <t>G0221</t>
  </si>
  <si>
    <t>제니스 이어홀 클리너 귀걸이구멍 클렌징 세트 60회, 1개 노란색 캐모마일향</t>
  </si>
  <si>
    <t>제품옵션: 1세트 / 향: 캐모마일</t>
  </si>
  <si>
    <t>G0019</t>
  </si>
  <si>
    <t>제니스 FAME 쏘팔메토 160mg 60캡슐</t>
  </si>
  <si>
    <t>[제니스] FAME 전립선 쏘팔메토 영양제 쏘팔메토 1개</t>
  </si>
  <si>
    <t>T46740</t>
  </si>
  <si>
    <t>일농 4.5kg 가정용 황금향 대과 9-17과</t>
  </si>
  <si>
    <t>제품옵션:4.5kg 가정용 황금향 대과 9-17과</t>
  </si>
  <si>
    <t>T39313</t>
  </si>
  <si>
    <t>한국맥널티 당제로 스테비아 믹스커피 100개입 + 30개입</t>
  </si>
  <si>
    <t>S0101</t>
  </si>
  <si>
    <t>에스씨컴퍼니 착한떡 소담세트</t>
  </si>
  <si>
    <t>제품옵션:소담세트 떡선물세트 총 30개</t>
  </si>
  <si>
    <t>P0186</t>
  </si>
  <si>
    <t>마루컴퍼니 1등급이상 한돈 선물세트 4호(삼겹살500g+목살500g/1kg)</t>
  </si>
  <si>
    <t>제품옵션:1등급이상 한돈 선물세트 4호(삼겹살500g+목살500g/1kg)</t>
  </si>
  <si>
    <t>제품옵션:하동 섬진강 재첩국 500g 10팩</t>
  </si>
  <si>
    <t>S0219</t>
  </si>
  <si>
    <t>소셜빈</t>
  </si>
  <si>
    <t>소셜빈 이뮨 멀티 비타민 미네랄 원샷 스틱 올인원 종합비타민 50개입</t>
  </si>
  <si>
    <t>제품옵션:이뮨 멀티 비타민 미네랄 원샷 스틱 올인원 종합비타민 50개입</t>
  </si>
  <si>
    <t>S0268</t>
  </si>
  <si>
    <t>씨월드</t>
  </si>
  <si>
    <t>씨월드 티각태각 부각 60g 6봉 선물세트 3호</t>
  </si>
  <si>
    <t>제품옵션:티각태각 부각 60g 6봉 선물세트 3호</t>
  </si>
  <si>
    <t>2025110516581042209F</t>
  </si>
  <si>
    <t>T5357</t>
  </si>
  <si>
    <t>스피드랙 화이트 [ 1100 / 500 / 2100 / 5단］</t>
  </si>
  <si>
    <t>스피드랙 가로 1100 / 폭 500 / 높이 2100 / 선반수량 5개</t>
  </si>
  <si>
    <t>T5936</t>
  </si>
  <si>
    <t>스피드랙 화이트 [ 1200 / 300 / 900 / 3단］</t>
  </si>
  <si>
    <t>스피드랙 가로 1200 / 폭 300 / 높이 900 / 선반수량 3개</t>
  </si>
  <si>
    <t>2025110515494540535F</t>
  </si>
  <si>
    <t>T45776</t>
  </si>
  <si>
    <t>오가닉K 퓨어 마이크로 휩 클렌징폼 230ml 4개입</t>
  </si>
  <si>
    <t>퓨어 마이크로 휩 클렌징폼 230ml 4개입</t>
  </si>
  <si>
    <t>2025110513142137568F</t>
  </si>
  <si>
    <t>T39468</t>
  </si>
  <si>
    <t>오가닉K 오푼티아&amp;밤부 바디워시 1L 2개입 유칼립투스향</t>
  </si>
  <si>
    <t>오푼티아엔밤부 바디워시 1L 2개입 유칼립투스향</t>
  </si>
  <si>
    <t>2025110512270936668F</t>
  </si>
  <si>
    <t>K1000022101</t>
  </si>
  <si>
    <t>T45627</t>
  </si>
  <si>
    <t>장가 꿀백설기 1.5kg</t>
  </si>
  <si>
    <t>K1000022064</t>
  </si>
  <si>
    <t>T45359</t>
  </si>
  <si>
    <t>오가닉K 2 산양유 우유 단백질 샴푸 2000ML 1개</t>
  </si>
  <si>
    <t>산양유 우유 단백질 샴푸 2000ML 1개</t>
  </si>
  <si>
    <t>T39086</t>
  </si>
  <si>
    <t>참식품 총각김치 3kg</t>
  </si>
  <si>
    <t>총각김치 3kg</t>
  </si>
  <si>
    <t>T45242</t>
  </si>
  <si>
    <t>참식품 유기배추 포기김치 5kg</t>
  </si>
  <si>
    <t>유기배추 포기김치 5kg</t>
  </si>
  <si>
    <t>T38726</t>
  </si>
  <si>
    <t>신우피앤씨 카네이션 효은 와이드 매직테이프 대형 남녀공용 80매 (80~120cm)</t>
  </si>
  <si>
    <t>[신우피앤씨] 친환경 성인용 기저귀 (80매) 선택: 효은 성인용 겉기저귀 와이드 매직 대형 (80매)</t>
  </si>
  <si>
    <t>당제로 스테비아 믹스커피 130개입 옵션: [맥널티] 당제로 스테비아 믹스커피 (100개입 + 30개입)</t>
  </si>
  <si>
    <t>T44835</t>
  </si>
  <si>
    <t>언더액티브 프리미엄 코지모달팬티 7종세트 XL(100)</t>
  </si>
  <si>
    <t>코지 모달팬티 여성 심리스 속옷 Y존 편한 여자 순면 드로즈 일주일팩 7장세트 제품옵션: 프리미엄 코지모달팬티 7종세트 XL(100)</t>
  </si>
  <si>
    <t>T8804</t>
  </si>
  <si>
    <t>고기마을 무항생제 한돈 생삼겹살 (생삼겹살 1kg + 생목살 1kg)</t>
  </si>
  <si>
    <t>한돈 생삼겹살/생목살(1kg) 6종 골라담기 옵션: 05. 생삼겹살 1kg+생목살1kg</t>
  </si>
  <si>
    <t>상품:한울 고구마스틱20g 20입</t>
  </si>
  <si>
    <t>T39518</t>
  </si>
  <si>
    <t>백제(케이씨물류) 우리쌀 햅쌀 떡국 163g x 6개</t>
  </si>
  <si>
    <t>상품:우리쌀 햅쌀 떡국 163g x 6개</t>
  </si>
  <si>
    <t>T44792</t>
  </si>
  <si>
    <t>케이알시고려 B14G 편광변색 화이트</t>
  </si>
  <si>
    <t>B14G 편광변색 화이트</t>
  </si>
  <si>
    <t>T39333</t>
  </si>
  <si>
    <t>케이알시고려 KREX P11</t>
  </si>
  <si>
    <t>T39286</t>
  </si>
  <si>
    <t>한국맥널티 핸드드립 버라이어티팩 5종 x 30개입</t>
  </si>
  <si>
    <t>핸드드립 버라이어티 세트 5종x6개(총 30봉)</t>
  </si>
  <si>
    <t>S0148</t>
  </si>
  <si>
    <t>일농 청송사과 홍로 5kg 선물세트</t>
  </si>
  <si>
    <t>청송사과 홍로 5kg 선물세트</t>
  </si>
  <si>
    <t>T38672</t>
  </si>
  <si>
    <t>한우물 511358 햄야채 볶음밥 (300g x 6개) + 차돌김치 볶음밥 (300g x 6개)</t>
  </si>
  <si>
    <t>511358 햄야채볶음밥 6개+차돌김치볶음밥 6개</t>
  </si>
  <si>
    <t>A2511H720599528987</t>
  </si>
  <si>
    <t>T45223</t>
  </si>
  <si>
    <t>한울생약 리꼬 유아용품 세정제균 소독티슈 20매 x 30팩</t>
  </si>
  <si>
    <t>옵션 : 리꼬유아용품 세정제균소독티슈 20매 x 30팩 (+4710)</t>
  </si>
  <si>
    <t>M2511M010599524615</t>
  </si>
  <si>
    <t>T0344</t>
  </si>
  <si>
    <t>고삼농협 농협 한우곰탕 (500g x 6팩)</t>
  </si>
  <si>
    <t>옵션 : 농협한우곰탕 500g x 6팩</t>
  </si>
  <si>
    <t>S0221</t>
  </si>
  <si>
    <t>천년홍삼 발효홍삼정과 8P 300g 쇼핑백 포함</t>
  </si>
  <si>
    <t>옵션 :[천년홍삼] [추석선물] 6년근 발효홍삼정과 한가위 명절 선물세트 홍삼정과 8p 300g (쇼핑백포함)</t>
  </si>
  <si>
    <t>T45180</t>
  </si>
  <si>
    <t>에코맘의산골이유식 산골 떡뻥 3종 x 5봉</t>
  </si>
  <si>
    <t>옵션 :[에코맘의산골이유식] 유기농 산골떡뻥15봉 패키지(사과 5봉+단호박 5봉+백미쌀눈 5봉) 떡뻥 패키지</t>
  </si>
  <si>
    <t>C253093441986</t>
  </si>
  <si>
    <t>T46567</t>
  </si>
  <si>
    <t>늘푸른우리 총각김치(알타리김치) 5kg</t>
  </si>
  <si>
    <t>/ [제니스] 늘푸른 총각김치(알타리김치) 5kg</t>
  </si>
  <si>
    <t>C253093670181</t>
  </si>
  <si>
    <t>/ 트리플 액션 고농축 캡슐세제 100개입</t>
  </si>
  <si>
    <t>C253097262541</t>
  </si>
  <si>
    <t>T46738</t>
  </si>
  <si>
    <t>일농 2.5kg 가정용 황금향 대과 5-9과</t>
  </si>
  <si>
    <t>/ 2.5kg 가정용 황금향 대과 5-9과</t>
  </si>
  <si>
    <t>C253097426441</t>
  </si>
  <si>
    <t>A253096924424</t>
  </si>
  <si>
    <t>T0124</t>
  </si>
  <si>
    <t>한일전자 네오 센즈 T15 블랙</t>
  </si>
  <si>
    <t>/ 네오센스 T15 블랙</t>
  </si>
  <si>
    <t>A253097065952</t>
  </si>
  <si>
    <t>/ 4.5kg 로얄과 S-M</t>
  </si>
  <si>
    <t>C253098385302</t>
  </si>
  <si>
    <t>C253103216505</t>
  </si>
  <si>
    <t>C253100247949</t>
  </si>
  <si>
    <t>T39083</t>
  </si>
  <si>
    <t>대풍년영농조합법인 대풍년 고추이야기 청양고춧가루 스틱 80g (4g X 20스틱)</t>
  </si>
  <si>
    <t>C253103434289</t>
  </si>
  <si>
    <t>G0235</t>
  </si>
  <si>
    <t>제니스 타인즈 9부 레깅스 (블랙 M)</t>
  </si>
  <si>
    <t>색상: 9부레깅스 / 사이즈: M</t>
  </si>
  <si>
    <t>AA251106091120196</t>
  </si>
  <si>
    <t>SP241202129338</t>
  </si>
  <si>
    <t>실바노가르시아 올리브오일 250ml+500ml 세트</t>
  </si>
  <si>
    <t>AA251106121122566</t>
  </si>
  <si>
    <t>SP240101843482</t>
  </si>
  <si>
    <t>아이브루 플러스 브라질산 모카골드 50개입 2개</t>
  </si>
  <si>
    <t>아이브루 플러스 모카골드 50개입 2개</t>
  </si>
  <si>
    <t>AA251106111121492</t>
  </si>
  <si>
    <t>SP230501616521</t>
  </si>
  <si>
    <t>AA251106121122481</t>
  </si>
  <si>
    <t>AA251106111121349</t>
  </si>
  <si>
    <t>SP231001748355</t>
  </si>
  <si>
    <t>프리미엄 IPX5방수 투케어 살균 비데 ALB-5580T / 스테인레스노즐 어린이모드</t>
  </si>
  <si>
    <t>트레비 프리미엄 IPX5방수 투케어 살균비데 ALB-5580T</t>
  </si>
  <si>
    <t>AA251106161124640</t>
  </si>
  <si>
    <t>SP230701672323</t>
  </si>
  <si>
    <t>AA251106181125816</t>
  </si>
  <si>
    <t>AA251106191126416</t>
  </si>
  <si>
    <t>SP230601645448</t>
  </si>
  <si>
    <t>99.9% 세균제거 자국없는 세정력 렌즈 항균클리너 / 스마트폰 모니터 안경 액정 카메라</t>
  </si>
  <si>
    <t>렌즈클리너 항균 티슈 100매 x 2입</t>
  </si>
  <si>
    <t>AA251107011129488</t>
  </si>
  <si>
    <t>SP230701670191</t>
  </si>
  <si>
    <t>[막창세트]훈제 돼지막창 250g 2개+초벌납작 돼지막창 250g2개 / 술안주 야식 간편식 캠핑요리 밀키트</t>
  </si>
  <si>
    <t>막창세트1 (훈제막창 2개+초벌납작막창 2개)</t>
  </si>
  <si>
    <t>AA251106221128205</t>
  </si>
  <si>
    <t>SP230601648422</t>
  </si>
  <si>
    <t>AA251106191126232</t>
  </si>
  <si>
    <t>SP230901730361</t>
  </si>
  <si>
    <t>AA251107011129424</t>
  </si>
  <si>
    <t>SP240601984115</t>
  </si>
  <si>
    <t>친환경 성인용 겉,속기저귀,언더웨어형 80매/ 대형 특대형 팬티형 와이드 일자 라운드형 어른용 요실금패드</t>
  </si>
  <si>
    <t>효은 성인용기저귀 언더웨어 대형 (80매)</t>
  </si>
  <si>
    <t>AA251107001129307</t>
  </si>
  <si>
    <t>AA251106201127056</t>
  </si>
  <si>
    <t>SP240101843912</t>
  </si>
  <si>
    <t>[30년 한과명인] 강릉 경동한과 찹쌀쑥강정(단품) 300g</t>
  </si>
  <si>
    <t>찹쌀쑥강정(단품) 300g</t>
  </si>
  <si>
    <t>AA251107011129480</t>
  </si>
  <si>
    <t>SP241102102041</t>
  </si>
  <si>
    <t>BA251106111121360</t>
  </si>
  <si>
    <t>문경 자일로스 생강청 1000ml</t>
  </si>
  <si>
    <t>BA251106091120327</t>
  </si>
  <si>
    <t>WP240702004630</t>
  </si>
  <si>
    <t>HACCP 국내산 전라도 갓김치 1kg 2kg 3kg 5kg</t>
  </si>
  <si>
    <t>갓김치 1kg</t>
  </si>
  <si>
    <t>BA251106091120146</t>
  </si>
  <si>
    <t>BA251106101121295</t>
  </si>
  <si>
    <t>BA251106091120418</t>
  </si>
  <si>
    <t>BA251106101120934</t>
  </si>
  <si>
    <t>BA251106101121149</t>
  </si>
  <si>
    <t>BA251106101120758</t>
  </si>
  <si>
    <t>WP230901727427</t>
  </si>
  <si>
    <t>핸드메이드 비건 가죽 시그니처 스타일 토트백/ 생활방수</t>
  </si>
  <si>
    <t>시그니처 토트백 골든카멜</t>
  </si>
  <si>
    <t>BA251106091120205</t>
  </si>
  <si>
    <t>BA251106091120151</t>
  </si>
  <si>
    <t>BA251106111121574</t>
  </si>
  <si>
    <t>BA251106111121462</t>
  </si>
  <si>
    <t>BA251106111121767</t>
  </si>
  <si>
    <t>WP230501625509</t>
  </si>
  <si>
    <t>서서 편한 사용 인체공학 내화금고 펄 Pearl 36L / 스크래치, 충격에 강한 무광 강화유리</t>
  </si>
  <si>
    <t>화이트도어+화이트바디</t>
  </si>
  <si>
    <t>BA251106131122708</t>
  </si>
  <si>
    <t>BA251106121122318</t>
  </si>
  <si>
    <t>BA251106111121749</t>
  </si>
  <si>
    <t>BA251106111121800</t>
  </si>
  <si>
    <t>(홀빈) 마일드 미디움 블렌드 1kg</t>
  </si>
  <si>
    <t>BA251106121122346</t>
  </si>
  <si>
    <t>CGO-08</t>
  </si>
  <si>
    <t>CGO-04</t>
  </si>
  <si>
    <t>BA251106111122012</t>
  </si>
  <si>
    <t>양샹테 보습로션 미용티슈 200매 3곽 (1팩)</t>
  </si>
  <si>
    <t>BA251106131122713</t>
  </si>
  <si>
    <t>BA251106111121373</t>
  </si>
  <si>
    <t>WP231001745872</t>
  </si>
  <si>
    <t>간편 위생 물걸레 청소포 150매/ 도톰하고 양면사용 가능</t>
  </si>
  <si>
    <t>살림백서 물걸레 청소포 150매 (30매X5팩)</t>
  </si>
  <si>
    <t>BA251106111121537</t>
  </si>
  <si>
    <t>BA251106111121460</t>
  </si>
  <si>
    <t>옴므 워터 아쿠아 스킨 200ml 2개</t>
  </si>
  <si>
    <t>BA251106131123057</t>
  </si>
  <si>
    <t>볶은 돼지감자차 150g x 3팩</t>
  </si>
  <si>
    <t>BA251106141123904</t>
  </si>
  <si>
    <t>WP250802433481</t>
  </si>
  <si>
    <t>국내산 냉감원단 향균처리 경량 아이스메이트 기능성 쿨타올 (싱글) 20x80cm</t>
  </si>
  <si>
    <t>아이스메이트 쿨타올 (싱글)형광그린</t>
  </si>
  <si>
    <t>아이스메이트 쿨타올 (싱글)핑크</t>
  </si>
  <si>
    <t>BA251106131123171</t>
  </si>
  <si>
    <t>BA251106141123982</t>
  </si>
  <si>
    <t>WP230101487518</t>
  </si>
  <si>
    <t>동아교재</t>
  </si>
  <si>
    <t>창의력 쑥쑥 토루 어린이 학용품 아이 문구 8종 고급 선물세트</t>
  </si>
  <si>
    <t>동아 토루 문구선물세트</t>
  </si>
  <si>
    <t>BA251106131123244</t>
  </si>
  <si>
    <t>WP230401597861</t>
  </si>
  <si>
    <t>★400만병 돌파★ 동결건조 생 과일칩 TROO12봉 세트 / 딸기 바나나 사과 파인애플 블루베리 망고</t>
  </si>
  <si>
    <t>생 과일칩 TROO12봉 세트</t>
  </si>
  <si>
    <t>BA251106131123028</t>
  </si>
  <si>
    <t>BA251106141123524</t>
  </si>
  <si>
    <t>BA251106131123031</t>
  </si>
  <si>
    <t>BA251106141123416</t>
  </si>
  <si>
    <t>BA251106141123404</t>
  </si>
  <si>
    <t>BA251106141123795</t>
  </si>
  <si>
    <t>BA251106131122849</t>
  </si>
  <si>
    <t>BA251106131123066</t>
  </si>
  <si>
    <t>BA251106131123289</t>
  </si>
  <si>
    <t>WP230101484947</t>
  </si>
  <si>
    <t>한우사골 진한곰탕 500ml x 5팩</t>
  </si>
  <si>
    <t>BA251106141123441</t>
  </si>
  <si>
    <t>WP230401544455</t>
  </si>
  <si>
    <t>제주 찹쑥 밥알찹쌀떡 세트 1.2kg (24개)</t>
  </si>
  <si>
    <t>BA251106131122739</t>
  </si>
  <si>
    <t>BA251106131123010</t>
  </si>
  <si>
    <t>BA251106131123152</t>
  </si>
  <si>
    <t>WP230601636153</t>
  </si>
  <si>
    <t>리얼 티라미슈 인절미 (40g x 9개)</t>
  </si>
  <si>
    <t>WP230601636162</t>
  </si>
  <si>
    <t>리얼 바나나 인절미 (40g x 9개)</t>
  </si>
  <si>
    <t>WP230601636164</t>
  </si>
  <si>
    <t>딸기 생크림케익 찹쌀떡 (40g x 9개)</t>
  </si>
  <si>
    <t>BA251106131123246</t>
  </si>
  <si>
    <t>섬유탈취제 500ml 3개입 에이프릴코튼 향</t>
  </si>
  <si>
    <t>BA251106161124915</t>
  </si>
  <si>
    <t>WP241202113188</t>
  </si>
  <si>
    <t>전주한옥 국내산 한우 한돈 떡갈비 350g(70g 5개) 4~5인분</t>
  </si>
  <si>
    <t>떡갈비 350g 2개</t>
  </si>
  <si>
    <t>BA251106161125060</t>
  </si>
  <si>
    <t>BA251106161124925</t>
  </si>
  <si>
    <t>BA251106161124897</t>
  </si>
  <si>
    <t>WP250302240935</t>
  </si>
  <si>
    <t>단차조절/거치용/가지형/직결형 오모리그 2단 3단 채비 5개세트 / 한치 오징어 낚시용품</t>
  </si>
  <si>
    <t>거치용 오모리그 가지형 2단 5개세트</t>
  </si>
  <si>
    <t>거치용 오모리그 직결형 2단 5개세트</t>
  </si>
  <si>
    <t>BA251106151124162</t>
  </si>
  <si>
    <t>BA251106161124701</t>
  </si>
  <si>
    <t>BA251106161125020</t>
  </si>
  <si>
    <t>WP250802438515</t>
  </si>
  <si>
    <t>[추석선물] 천년의젓갈 선물세트/ 오징어젓 낙지젓 갈치속젓 새우젓 300g씩</t>
  </si>
  <si>
    <t>천년의젓갈 선물세트 [오징어/낙지/갈치속/새우(육젓)300g씩] + 선물세트 4구</t>
  </si>
  <si>
    <t>BA251106151124248</t>
  </si>
  <si>
    <t>BA251106161124804</t>
  </si>
  <si>
    <t>BA251106161125007</t>
  </si>
  <si>
    <t>WP231001760752</t>
  </si>
  <si>
    <t>1+1 베이비&amp;키즈 토이클리너 500ml / 장난감 세척 제균 스프레이</t>
  </si>
  <si>
    <t>베이비&amp;키즈 토이클리너 500ml 2개</t>
  </si>
  <si>
    <t>BA251106161124642</t>
  </si>
  <si>
    <t>BA251106161124902</t>
  </si>
  <si>
    <t>BA251106161124776</t>
  </si>
  <si>
    <t>대형 화이트 50매 ePTFEL50W</t>
  </si>
  <si>
    <t>BA251106151124056</t>
  </si>
  <si>
    <t>511153 치즈닭갈비구운주먹밥R5개+참치마요구운주먹밥R5개+소불고기구운주먹밥R5개+김치치즈구운주먹밥R5개</t>
  </si>
  <si>
    <t>BA251106161125093</t>
  </si>
  <si>
    <t>BA251106161125031</t>
  </si>
  <si>
    <t>BA251106151124055</t>
  </si>
  <si>
    <t>WP230701690017</t>
  </si>
  <si>
    <t>[스팀오븐공법] 국내산 맛있는 치업 특제소스 닭가슴살 3종 100g</t>
  </si>
  <si>
    <t>치업 소스 닭가슴살 그릴바베큐 x 10팩</t>
  </si>
  <si>
    <t>BA251106161124807</t>
  </si>
  <si>
    <t>WP230701661094</t>
  </si>
  <si>
    <t>이카킬러 카멜레온 캔디슷테 70 야광/ 쭈꾸미 갑오징어 한치 오징어 루어미끼 낚시용품</t>
  </si>
  <si>
    <t>이카킬러 카멜레온 캔디슷테 70 (6컬러 1세트)</t>
  </si>
  <si>
    <t>BA251106151124228</t>
  </si>
  <si>
    <t>[홈던트] 가로 600 / 폭 600 / 높이 1200 / 행거단 0개 / 선반단 4개</t>
  </si>
  <si>
    <t>BA251106151124494</t>
  </si>
  <si>
    <t>WP230101505861</t>
  </si>
  <si>
    <t>신라당베이커리</t>
  </si>
  <si>
    <t>100% 수제 명품 구미 특산물 베이쿠미 구미빵 팥 멜론 /거북이알 빵</t>
  </si>
  <si>
    <t>베이쿠미 구미빵 8개 (팥4개 멜론4개)</t>
  </si>
  <si>
    <t>BA251106161124648</t>
  </si>
  <si>
    <t>WP240702005194</t>
  </si>
  <si>
    <t>국밥 210g 4종류 세트/ 미역국 육개장 차동짬뽕 차돌된장 /즉석간편식사식품음식</t>
  </si>
  <si>
    <t>511195 미역국밥 5개+차돌짬뽕국밥 5개</t>
  </si>
  <si>
    <t>BA251106161124589</t>
  </si>
  <si>
    <t>BA251106171125489</t>
  </si>
  <si>
    <t>BA251106211127567</t>
  </si>
  <si>
    <t>BA251106191126477</t>
  </si>
  <si>
    <t>BA251106201126762</t>
  </si>
  <si>
    <t>BA251106211127357</t>
  </si>
  <si>
    <t>WP230101498285</t>
  </si>
  <si>
    <t>무선 진공 자동 포장기 냄새 수분 차단 간편정리</t>
  </si>
  <si>
    <t>무선 진공 포장기 MVP-2510</t>
  </si>
  <si>
    <t>BA251106181125766</t>
  </si>
  <si>
    <t>BA251106181125893</t>
  </si>
  <si>
    <t>BA251106191126474</t>
  </si>
  <si>
    <t>WP230701664045</t>
  </si>
  <si>
    <t>[피로회복 감기예방] 제주 과실차(뎅유지 한라봉 레몬) 선물세트 /어버이날 스승의날 부모님 선생님 선물셋트</t>
  </si>
  <si>
    <t>제주 과실차 4호 선물세트</t>
  </si>
  <si>
    <t>BA251106201126910</t>
  </si>
  <si>
    <t>BA251106231128686</t>
  </si>
  <si>
    <t>BA251107001129317</t>
  </si>
  <si>
    <t>WP231201799888</t>
  </si>
  <si>
    <t>[특허제조] 자연 국산 꿀고구마 촉촉달달 고구마 스틱 20g 20입 / 다이어트 어린이 간식</t>
  </si>
  <si>
    <t>한울 고구마스틱20g 20입</t>
  </si>
  <si>
    <t>BA251106221128535</t>
  </si>
  <si>
    <t>BA251106221127916</t>
  </si>
  <si>
    <t>BA251106231129026</t>
  </si>
  <si>
    <t>휴대폰 핸드폰 65W 초고속 멀티 3P 충전기 어댑터 + C타입 케이블</t>
  </si>
  <si>
    <t>BA251106221128324</t>
  </si>
  <si>
    <t>BA251107001129355</t>
  </si>
  <si>
    <t>WP230201518743</t>
  </si>
  <si>
    <t>카소돔</t>
  </si>
  <si>
    <t>카소 칸디큐 무자극 버블 Y존 청결제 식물성 성분</t>
  </si>
  <si>
    <t>카소 칸디큐 버블 150ml</t>
  </si>
  <si>
    <t>BA251106231128632</t>
  </si>
  <si>
    <t>WP240201858509</t>
  </si>
  <si>
    <t>미고가</t>
  </si>
  <si>
    <t>[특허] 저온숙성 CP 천연비누 허브녹차 9+1 / 고보습 트러블 항균력 인증</t>
  </si>
  <si>
    <t>우리애 허브녹차비누 9+1</t>
  </si>
  <si>
    <t>BA251106221128544</t>
  </si>
  <si>
    <t>BA251106221128172</t>
  </si>
  <si>
    <t>WP230701661231</t>
  </si>
  <si>
    <t>진생바이팜</t>
  </si>
  <si>
    <t>[약사개발] 숙취해소제 흑삼과 헛개열매 (50ml×10포)</t>
  </si>
  <si>
    <t>숙취해소제 흑삼과 헛개열매(50ml×10포)</t>
  </si>
  <si>
    <t>BA251106221128270</t>
  </si>
  <si>
    <t>BA251106211127772</t>
  </si>
  <si>
    <t>BA251107031129620</t>
  </si>
  <si>
    <t>BA251106231129041</t>
  </si>
  <si>
    <t>WP250302235340</t>
  </si>
  <si>
    <t>피어싱홀 청결 클리너 이어홀 이어스틱 15ml+한지실 60개 /귀걸이 구멍청소 냄새 소독 청소 세정제</t>
  </si>
  <si>
    <t>피어싱홀 클리너</t>
  </si>
  <si>
    <t>BA251107021129607</t>
  </si>
  <si>
    <t>WP250802438899</t>
  </si>
  <si>
    <t>[추석선물] 병커피50g 4병 선물세트 (에스프레소 헤이즐넛) 명절 선물셋트</t>
  </si>
  <si>
    <t>병커피 선물세트</t>
  </si>
  <si>
    <t>BA251107061129872</t>
  </si>
  <si>
    <t>빨아쓰는 대나무 행주 50매</t>
  </si>
  <si>
    <t>BA251106221127955</t>
  </si>
  <si>
    <t>511237 김치볶음밥 6개+참치김치볶음밥 6개</t>
  </si>
  <si>
    <t>BA251106221128055</t>
  </si>
  <si>
    <t>치업 소스 닭가슴살 불화산 x 10팩</t>
  </si>
  <si>
    <t>BA251106221127998</t>
  </si>
  <si>
    <t>BA251106221128330</t>
  </si>
  <si>
    <t>BA251106231128683</t>
  </si>
  <si>
    <t>퍼퓸 바디워시 1L_화이트머스크 x 1개</t>
  </si>
  <si>
    <t>BA251107001129269</t>
  </si>
  <si>
    <t>BA251107061129865</t>
  </si>
  <si>
    <t>WP240401924023</t>
  </si>
  <si>
    <t>시그니처 디카페인 핸드드립 원두커피 24개입</t>
  </si>
  <si>
    <t>BA251107061129867</t>
  </si>
  <si>
    <t>BA251106211127655</t>
  </si>
  <si>
    <t>BA251106211127653</t>
  </si>
  <si>
    <t>BA251106231128849</t>
  </si>
  <si>
    <t>WP230101497516</t>
  </si>
  <si>
    <t>당제로 스테비아 믹스커피 100개입 + 30개입</t>
  </si>
  <si>
    <t>BA251107061129843</t>
  </si>
  <si>
    <t>BA251106211127693</t>
  </si>
  <si>
    <t>휴대폰 핸드폰 25W 초고속충전기 어댑터 + C타입 케이블</t>
  </si>
  <si>
    <t>BA251107081130193</t>
  </si>
  <si>
    <t>WP250902493239</t>
  </si>
  <si>
    <t>스테비아 당제로 커피 믹스 헤이즐넛 30개입</t>
  </si>
  <si>
    <t>스테비아 당제로 커피믹스 헤이즐넛향 30개입</t>
  </si>
  <si>
    <t>BA251107081130327</t>
  </si>
  <si>
    <t>더맑음 참기름 350ml 1+1</t>
  </si>
  <si>
    <t>BA251107071129972</t>
  </si>
  <si>
    <t>BA251107081130424</t>
  </si>
  <si>
    <t>WP250102163675</t>
  </si>
  <si>
    <t>17인용 21인용 35인용 대용량 전기밥솥 / 업소용 대형보온밥통</t>
  </si>
  <si>
    <t>17인용 밥솥 CJE-A1701</t>
  </si>
  <si>
    <t>BA251107081130513</t>
  </si>
  <si>
    <t>BA251107081130253</t>
  </si>
  <si>
    <t>WP240401924538</t>
  </si>
  <si>
    <t>제주 양배추 3.5kg 채소</t>
  </si>
  <si>
    <t>제주 양배추 3.5kg</t>
  </si>
  <si>
    <t>BA251107081130183</t>
  </si>
  <si>
    <t>BA251107071130072</t>
  </si>
  <si>
    <t>BA251107071130045</t>
  </si>
  <si>
    <t>BA251107081130198</t>
  </si>
  <si>
    <t>WP230901727290</t>
  </si>
  <si>
    <t>숲속 맑은 칼슘 먹인 유정란(60구) 52g이상 대란</t>
  </si>
  <si>
    <t>숲속 맑은 칼슘 먹인 황색 유정란(60구)</t>
  </si>
  <si>
    <t>11/6 로켓그로스 정산내역</t>
  </si>
  <si>
    <t>-</t>
  </si>
  <si>
    <t>판매가 15100원 - 5115원 (정산금액 9985원 / 원가 5790원)</t>
  </si>
  <si>
    <t>TRY 순면 스포츠 60수 남성 남자 나시 티 메리야스 민소매 면티,105런닝 60수 3개</t>
  </si>
  <si>
    <t>제품옵션: 1세트 / 향: 복숭아</t>
  </si>
  <si>
    <t>G0258</t>
  </si>
  <si>
    <t>제니스 타인즈 데일리 손목보호대 그레이 1개입</t>
  </si>
  <si>
    <t>데일리:그레이/1개</t>
  </si>
  <si>
    <t>G0202</t>
  </si>
  <si>
    <t>제니스 2팩 티셔츠(반팔) 4계절용 (화이트 + 블랙 110)</t>
  </si>
  <si>
    <t>화이트+블랙 110</t>
  </si>
  <si>
    <t>G0201</t>
  </si>
  <si>
    <t>제니스 2팩 티셔츠(반팔) 4계절용 (화이트 + 블랙 105)</t>
  </si>
  <si>
    <t>화이트+블랙 105</t>
  </si>
  <si>
    <t>T46737</t>
  </si>
  <si>
    <t>일농 2.5kg 가정용 황금향 중과 10-14과</t>
  </si>
  <si>
    <t>제품선택:2.5kg 가정용 황금향 중과 10-14과 1 개 (+0 원)</t>
  </si>
  <si>
    <t>T9133</t>
  </si>
  <si>
    <t>덴티코어 치간칫솔 I타입 50개 사이즈 - SSS</t>
  </si>
  <si>
    <t>제품선택:사이즈 - SSS 1 개 (+0 원)</t>
  </si>
  <si>
    <t>T45499</t>
  </si>
  <si>
    <t>일농 당근 중과 3kg</t>
  </si>
  <si>
    <t>제품선택:당근 중과 3kg 1 개 (+0 원)</t>
  </si>
  <si>
    <t>T46747</t>
  </si>
  <si>
    <t>일농 제주 양배추 3.5kg</t>
  </si>
  <si>
    <t>제품선택:제주 양배추 3.5kg 1 개 (+0 원)</t>
  </si>
  <si>
    <t>S0055</t>
  </si>
  <si>
    <t>새비 룸앤패브릭 플로럴 프레쉬 피오니 2개 선물세트</t>
  </si>
  <si>
    <t>선택:플로럴 프레쉬 피오니</t>
  </si>
  <si>
    <t>S0051</t>
  </si>
  <si>
    <t>새비 룸앤패브릭 화이트 블랑 2개 선물세트</t>
  </si>
  <si>
    <t>선택:화이트 블랑</t>
  </si>
  <si>
    <t>S0085</t>
  </si>
  <si>
    <t>항아골 청국장120g 10개</t>
  </si>
  <si>
    <t>제품옵션:청국장120g 10개</t>
  </si>
  <si>
    <t>2025110623322771363F</t>
  </si>
  <si>
    <t>2025110614354360469F</t>
  </si>
  <si>
    <t>T42039</t>
  </si>
  <si>
    <t>스피드랙 ★행사★ 홈던트 선반형 [ 1200 / 400 / 1500 / 4단 ]</t>
  </si>
  <si>
    <t>[홈던트 선반] 가로 1200 / 폭 400 / 높이 1500 / 선반수량 4개</t>
  </si>
  <si>
    <t>T45240</t>
  </si>
  <si>
    <t>참식품 유기배추 포기김치 2kg</t>
  </si>
  <si>
    <t>유기배추 포기김치 2kg</t>
  </si>
  <si>
    <t>K1000022305</t>
  </si>
  <si>
    <t>S0317</t>
  </si>
  <si>
    <t>에코맘의산골이유식 2025 하동햇배 7.5kg</t>
  </si>
  <si>
    <t>2025 하동햇배 7.5kg</t>
  </si>
  <si>
    <t>K1000022223</t>
  </si>
  <si>
    <t>T46750</t>
  </si>
  <si>
    <t>한일전자 반려동물 이발기 PC-D972</t>
  </si>
  <si>
    <t>진공 털 흡입식 애완 이발기 PC-D972</t>
  </si>
  <si>
    <t>T38902</t>
  </si>
  <si>
    <t>한국맥널티 아이브루 플러스 헤이즐넛 블랙커피 (펭수 피규어증정) 100개입</t>
  </si>
  <si>
    <t>[맥널티] 공정무역 아이브루 플러스 오리지널/헤이즐넛 블랙커피 100개+팽수피규어 상품명(단품명): 아이브루 플러스 헤이즐넛 블랙커피 100개입(펭수 피규어 증정)</t>
  </si>
  <si>
    <t>T45403</t>
  </si>
  <si>
    <t>한울농업 골든데이츠 60g 파우치형 3개</t>
  </si>
  <si>
    <t>[한울농업] 이집트 대추야자 아몬드 초콜릿 60g 파우치형 3개 상품: 1. 골든데이츠 60g 파우치형 3개</t>
  </si>
  <si>
    <t>T39328</t>
  </si>
  <si>
    <t>한국맥널티 에티오피아 예가체프 핸드드립 원두커피 24개입</t>
  </si>
  <si>
    <t>[맥널티] 핸드드립 원두커피 24개입 / 콜롬비아, 케냐AA 블렌드 / 에티오피아 예가체프 / 브라질벨라비스타 /과테말라 상품명(단품명): 에티오피아 예가체프 핸드드립 원두커피 24개입</t>
  </si>
  <si>
    <t>T38750</t>
  </si>
  <si>
    <t>한우물 511150 치즈닭갈비 구운주먹밥 (100g 6개) + 참치마요 구운주먹밥 (100g 6개) + 김치치즈 구운주먹밥 (100g 6개)</t>
  </si>
  <si>
    <t>[한우물] 구운주먹밥 (100g) 4종 세트 모음 선택1: 치즈닭갈비구운주먹밥R 6개+참치마요구운주먹밥R 6개+김치치즈 구운주먹밥R 6개</t>
  </si>
  <si>
    <t>T1433</t>
  </si>
  <si>
    <t>스피드랙 화이트 [ 600 / 400 / 1800 / 6단］</t>
  </si>
  <si>
    <t>무볼트 간편 조립식 선반 수납장 가로 400~800 모음 가로/폭 사이즈: [스피드랙] 가로 600_폭 400 | 높이: 높이 1800 | 선반 수량: 선반 수량 6개</t>
  </si>
  <si>
    <t>T39624</t>
  </si>
  <si>
    <t>블루인더스 MC-008 단품</t>
  </si>
  <si>
    <t>PM0.3 프리+활성탄+헤파필터 자동차 에어컨필터 상품: MC-008</t>
  </si>
  <si>
    <t>P0168</t>
  </si>
  <si>
    <t>블루인더스 1+1 PM0.3 항바이러스+활성탄+헤파필터 자동차 에어컨필터 MCV 1+1 [25년 9월]</t>
  </si>
  <si>
    <t>[균일가전] 1+1 PM0.3 항바이러스+활성탄+헤파필터 자동차 에어컨필터 상품선택: 1+1 MCV-009</t>
  </si>
  <si>
    <t>[균일가전] 1+1 PM0.3 항바이러스+활성탄+헤파필터 자동차 에어컨필터 상품선택: 1+1 MCV-004</t>
  </si>
  <si>
    <t>[균일가전] 1+1 PM0.3 항바이러스+활성탄+헤파필터 자동차 에어컨필터 상품선택: 1+1 MCV-006</t>
  </si>
  <si>
    <t>T45533</t>
  </si>
  <si>
    <t>라라스팜</t>
  </si>
  <si>
    <t>라라스팜 두부곤약면 얇은면 20개</t>
  </si>
  <si>
    <t>옵션:두부곤약면 얇은면 20개</t>
  </si>
  <si>
    <t>T45534</t>
  </si>
  <si>
    <t>라라스팜 두부곤약면 넓은면 20개</t>
  </si>
  <si>
    <t>옵션:두부곤약면 넓은면 20개</t>
  </si>
  <si>
    <t>T0097</t>
  </si>
  <si>
    <t>한국맥널티 행복을 주는 커피 아이스 헤이즐넛향 커피 (190ml x 30개입)</t>
  </si>
  <si>
    <t>상품:아이스 헤이즐넛향 커피 190ml x 10개입 3개</t>
  </si>
  <si>
    <t>제품옵션:하얀티슈 25m 30R 1팩</t>
  </si>
  <si>
    <t>J10117624236511918413147472</t>
  </si>
  <si>
    <t>S0318</t>
  </si>
  <si>
    <t>엠에스글로벌바이오</t>
  </si>
  <si>
    <t>엠에스글로벌바이오 노니원액 100% 로얄통가노니 750ml 2병</t>
  </si>
  <si>
    <t>제품옵션/노니원액 100% 로얄통가노니 750ml 2병</t>
  </si>
  <si>
    <t>O25110610505</t>
  </si>
  <si>
    <t>T8129</t>
  </si>
  <si>
    <t>오가닉K 오브제 스카치 디퓨저 (200ml x 2개입) 오크앤헤이즐리</t>
  </si>
  <si>
    <t>T39101</t>
  </si>
  <si>
    <t>과일드림2 빛깔찬 고춧가루 보통맛 김치용 1kg (지퍼백)</t>
  </si>
  <si>
    <t>T38570</t>
  </si>
  <si>
    <t>한우물 511256 닭가슴살 볶음밥 (300g x 6개) + 새우 볶음밥 (300g x 6개)</t>
  </si>
  <si>
    <t>511256 닭가슴살볶음밥 6개+새우볶음밥 6개</t>
  </si>
  <si>
    <t>NW2025110606560840</t>
  </si>
  <si>
    <t>T46222</t>
  </si>
  <si>
    <t>오아</t>
  </si>
  <si>
    <t>오아 에너지젤 45g 7포 (1박스)</t>
  </si>
  <si>
    <t>옵션:에너지젤 45g 7포 (1박스)</t>
  </si>
  <si>
    <t>T7861</t>
  </si>
  <si>
    <t>오가닉K 살림백서 데일리 이중 미세모 모던핏 (32개입)</t>
  </si>
  <si>
    <t>옵션 :[살림백서] 데일리 이중미세모 초극세모 부드러운 칫솔 32개입 모던핏 모던핏</t>
  </si>
  <si>
    <t>T45763</t>
  </si>
  <si>
    <t>오가닉K 2 고농축 디바인 캡슐세제 100개입</t>
  </si>
  <si>
    <t>C253107948046</t>
  </si>
  <si>
    <t>T45986</t>
  </si>
  <si>
    <t>오가닉K 2 주방세제 750ml x 4개 라즈베리향</t>
  </si>
  <si>
    <t>/ 주방세제 750ml x 4개 라즈베리향</t>
  </si>
  <si>
    <t>C253108386245</t>
  </si>
  <si>
    <t>/ 2.5kg 가정용 황금향 중과 10-14과</t>
  </si>
  <si>
    <t>C253107684880</t>
  </si>
  <si>
    <t>T7983</t>
  </si>
  <si>
    <t>행복에스앤피제지 자연에서 온 녹차 (3겹 25m 30롤 x 2팩)</t>
  </si>
  <si>
    <t>/ [행복에스앤피제지] 자연에서 온 녹차 25m x 30롤 2팩</t>
  </si>
  <si>
    <t>11/3~11/7 업체지급금액 차액분 계</t>
  </si>
  <si>
    <t>11/3~11/7</t>
  </si>
  <si>
    <t>G0230</t>
  </si>
  <si>
    <t>제니스 타인즈 투인원 레깅스 스커트 (퍼플 L)</t>
  </si>
  <si>
    <t>색상: 투피스퍼플 / 사이즈: L</t>
  </si>
  <si>
    <t>BA251107101131201</t>
  </si>
  <si>
    <t>BA251107101131645</t>
  </si>
  <si>
    <t>BA251107091130730</t>
  </si>
  <si>
    <t>BA251107091130912</t>
  </si>
  <si>
    <t>[스피드랙] 가로 1000 / 폭 400 / 높이 1500 / 선반 수량 6개</t>
  </si>
  <si>
    <t>BA251107091130748</t>
  </si>
  <si>
    <t>BA251107101131109</t>
  </si>
  <si>
    <t>BA251107101131610</t>
  </si>
  <si>
    <t>BA251107091130767</t>
  </si>
  <si>
    <t>WP251102537104</t>
  </si>
  <si>
    <t>BA251107111132175</t>
  </si>
  <si>
    <t>룸앤패브릭 / 블랙베리 앤 우드 2개 선물세트</t>
  </si>
  <si>
    <t>BA251107121132549</t>
  </si>
  <si>
    <t>BA251107111132110</t>
  </si>
  <si>
    <t>WP250802439112</t>
  </si>
  <si>
    <t>[추석선물] NFC 100% 물타지 않은 머루 포도즙 100ml 30포 포도주스</t>
  </si>
  <si>
    <t>머루포도즙 100ml 30포 1박스</t>
  </si>
  <si>
    <t>BA251107111131878</t>
  </si>
  <si>
    <t>BA251107111131991</t>
  </si>
  <si>
    <t>골저스 바이탈 케어 에센스 올인원 150ml 2개</t>
  </si>
  <si>
    <t>BA251107121132560</t>
  </si>
  <si>
    <t>BA251107121132757</t>
  </si>
  <si>
    <t>WP240702009895</t>
  </si>
  <si>
    <t>[한달에 한번 청소] 딥클린 세탁조 클리너 450g 5개입 통돌이 일반/드럼 겸용</t>
  </si>
  <si>
    <t>BA251107121132711</t>
  </si>
  <si>
    <t>WP250602366476</t>
  </si>
  <si>
    <t>20년 전통 수제 약식 약밥 1.5kg 간식 개별포장 한끼아침식사음식대용 떡</t>
  </si>
  <si>
    <t>약밥 1.5kg</t>
  </si>
  <si>
    <t>BA251107111132307</t>
  </si>
  <si>
    <t>[스피드랙] 가로 600 / 폭 400 / 높이 1200 / 선반 수량 4개</t>
  </si>
  <si>
    <t>BA251107111132338</t>
  </si>
  <si>
    <t>BA251107141133754</t>
  </si>
  <si>
    <t>WP230401545517</t>
  </si>
  <si>
    <t>[세척완료] 6종 중기잡곡가루 모듬 (현미+찹쌀+흑미+녹미+차조+보리)</t>
  </si>
  <si>
    <t>6종 중기잡곡가루 모듬</t>
  </si>
  <si>
    <t>BA251107141133906</t>
  </si>
  <si>
    <t>BA251107131133077</t>
  </si>
  <si>
    <t>참기름250ml</t>
  </si>
  <si>
    <t>BA251107141133949</t>
  </si>
  <si>
    <t>WP250902492840</t>
  </si>
  <si>
    <t>리얼 에스프레소 샷 블랙 디카페인 액상커피 30개입</t>
  </si>
  <si>
    <t>BA251107141133888</t>
  </si>
  <si>
    <t>BA251107131132937</t>
  </si>
  <si>
    <t>BA251107131133341</t>
  </si>
  <si>
    <t>BA251107141133506</t>
  </si>
  <si>
    <t>아이보리 22m x 36롤 1팩</t>
  </si>
  <si>
    <t>BA251107141133508</t>
  </si>
  <si>
    <t>WP230101491504</t>
  </si>
  <si>
    <t>속초 명물 찹쌀부각 4종 (김 30g+호박 30g+ 연근 30g+고구마 30g)</t>
  </si>
  <si>
    <t>농산물 부각 3종 (호박 60g 2봉+연근 60g 2봉+고구마 60g 2봉)</t>
  </si>
  <si>
    <t>BA251107141133689</t>
  </si>
  <si>
    <t>BA251107131133127</t>
  </si>
  <si>
    <t>BA251107131132879</t>
  </si>
  <si>
    <t>WP240601972699</t>
  </si>
  <si>
    <t>IPX5 방수 FULL스텐노즐 비데 HB-8023 /건조 키즈어린이 난방 인체감지 소프트개폐</t>
  </si>
  <si>
    <t>HB-8023</t>
  </si>
  <si>
    <t>BA251107131133396</t>
  </si>
  <si>
    <t>BA251107151134463</t>
  </si>
  <si>
    <t>BA251107151134244</t>
  </si>
  <si>
    <t>BA251107161134873</t>
  </si>
  <si>
    <t>WP230101503304</t>
  </si>
  <si>
    <t>닥터파이토 파이토블락 20ml 10병 x 4박스</t>
  </si>
  <si>
    <t>BA251107151134260</t>
  </si>
  <si>
    <t>BA251107161134522</t>
  </si>
  <si>
    <t>BA251107151134165</t>
  </si>
  <si>
    <t>BA251107151134075</t>
  </si>
  <si>
    <t>WP240601977295</t>
  </si>
  <si>
    <t>장흥식품</t>
  </si>
  <si>
    <t>[5년숙성 천일염사용] 국산콩 전통 된장450g/ 태양초 고추장450g/ 전통한식간장500ml</t>
  </si>
  <si>
    <t>햇콩마루 고추장 900g</t>
  </si>
  <si>
    <t>BA251107161134625</t>
  </si>
  <si>
    <t>WP240301910688</t>
  </si>
  <si>
    <t>훈제 돼지막창 300g (막창소스 포함) + 무뼈불닭발 200g 간편조리 캠핑 야식 술안주 요리</t>
  </si>
  <si>
    <t>훈제막창 + 무뼈불닭발</t>
  </si>
  <si>
    <t>BA251107151134458</t>
  </si>
  <si>
    <t>WP230201524443</t>
  </si>
  <si>
    <t>블루인더스 블루본 마스크 KF80 소형 50매</t>
  </si>
  <si>
    <t>블루인더스 블루본 마스크 KF80 소형 50매 - 화이트</t>
  </si>
  <si>
    <t>BA251107161134729</t>
  </si>
  <si>
    <t>센티베르 맥주효모 바이오틴 탈모증상완화 대용량 샴푸 1,000ml 3개</t>
  </si>
  <si>
    <t>BA251107151134008</t>
  </si>
  <si>
    <t>BA251107151134210</t>
  </si>
  <si>
    <t>BA251107161134890</t>
  </si>
  <si>
    <t>BA251107151134289</t>
  </si>
  <si>
    <t>[스피드랙] 가로 600 / 폭 600 / 높이 900 / 선반 수량 3개</t>
  </si>
  <si>
    <t>BA251107171134951</t>
  </si>
  <si>
    <t>WP250702395294</t>
  </si>
  <si>
    <t>[염화칼슘100% 탈취력테스트완료] 딥클린 제습제 습기제거제 515ml 12개 250g /신발장 옷장 화장실 주방 욕실</t>
  </si>
  <si>
    <t>딥클린 제습제 250g x12개</t>
  </si>
  <si>
    <t>BA251107201136397</t>
  </si>
  <si>
    <t>BA251107231137779</t>
  </si>
  <si>
    <t>BA251107191135733</t>
  </si>
  <si>
    <t>WP230401597443</t>
  </si>
  <si>
    <t>헵시바F&amp;B</t>
  </si>
  <si>
    <t>유기농 백미와 과일의 만남/ 달콤 바삭한 쌀과자 / 딸기 단호박 후르츠</t>
  </si>
  <si>
    <t>아비삭라이스볼 후르츠 5봉</t>
  </si>
  <si>
    <t>BA251107171135224</t>
  </si>
  <si>
    <t>BA251107181135498</t>
  </si>
  <si>
    <t>BA251107211136879</t>
  </si>
  <si>
    <t>WP240401944506</t>
  </si>
  <si>
    <t>[1+1]베이비&amp;키즈 아기 세탁세제 리필형 1800ml/ 유아 중성세제 베이킹소다 구연산 함유</t>
  </si>
  <si>
    <t>아기 세탁세제 리필형 1800ml 2개입</t>
  </si>
  <si>
    <t>BA251107231137737</t>
  </si>
  <si>
    <t>BA251107231137713</t>
  </si>
  <si>
    <t>BA251108011138148</t>
  </si>
  <si>
    <t>BA251107221137414</t>
  </si>
  <si>
    <t>BA251107211136512</t>
  </si>
  <si>
    <t>BA251108061138449</t>
  </si>
  <si>
    <t>BA251107221137415</t>
  </si>
  <si>
    <t>WP230501600165</t>
  </si>
  <si>
    <t>국내산 법성포 매실 고추장 굴비 500g</t>
  </si>
  <si>
    <t>BA251107191135721</t>
  </si>
  <si>
    <t>WP230501608397</t>
  </si>
  <si>
    <t>건조 전자식 비데 ALB-3600 자가설치 / 어린이기능 마사지기능</t>
  </si>
  <si>
    <t>트레비 건조 전자식비데 ALB-3600</t>
  </si>
  <si>
    <t>BA251107191135870</t>
  </si>
  <si>
    <t>BA251107201136422</t>
  </si>
  <si>
    <t>WP241102102208</t>
  </si>
  <si>
    <t>[손상모발 윤기제공] 데미지 리페어링 컬링 헤어 에센스 150ml/ 웨이브 고정효과 볼륨효과</t>
  </si>
  <si>
    <t>데미지 리페어링 컬링 에센스 150ml x 2개</t>
  </si>
  <si>
    <t>BA251107231137619</t>
  </si>
  <si>
    <t>WP230501608396</t>
  </si>
  <si>
    <t>호텔식 리모컨 전자식 비데 ALB-R3600 / 필터가 필요없는 비데</t>
  </si>
  <si>
    <t>트레비 호텔식 리모컨 비데 ALB-R3600</t>
  </si>
  <si>
    <t>BA251107221137134</t>
  </si>
  <si>
    <t>BA251107231137747</t>
  </si>
  <si>
    <t>[스피드랙] 가로 700 / 폭 400 / 높이 1650 / 선반 수량 6개</t>
  </si>
  <si>
    <t>BA251107201136375</t>
  </si>
  <si>
    <t>BA251107211136507</t>
  </si>
  <si>
    <t>BA251107231137688</t>
  </si>
  <si>
    <t>BA251108001138088</t>
  </si>
  <si>
    <t>BA251108041138333</t>
  </si>
  <si>
    <t>수세미 일반형 핑크 50매</t>
  </si>
  <si>
    <t>BA251107191135854</t>
  </si>
  <si>
    <t>굿매너 천연 대나무 화장지 30m x 30롤 2팩</t>
  </si>
  <si>
    <t>WP230101505549</t>
  </si>
  <si>
    <t>HACCP 간편한 100% 국내산 청양고춧가루 스틱</t>
  </si>
  <si>
    <t>대풍년 청양스틱 4g x 20개</t>
  </si>
  <si>
    <t>BA251107171135278</t>
  </si>
  <si>
    <t>WP230101500836</t>
  </si>
  <si>
    <t>국산 통곡물 잡곡 간편 세척 바로바로잡곡 30개입</t>
  </si>
  <si>
    <t>간편 세척 바로바로잡곡 30개입</t>
  </si>
  <si>
    <t>BA251107181135586</t>
  </si>
  <si>
    <t>BA251108051138365</t>
  </si>
  <si>
    <t>WP230101494076</t>
  </si>
  <si>
    <t>비타큐민 브라이트닝 안티에이징 앰플 파워 브라이트닝 고농축 앰플 에센스</t>
  </si>
  <si>
    <t>파워 브라이트닝 앰플 에센스 8ml x 2개</t>
  </si>
  <si>
    <t>BA251107211136741</t>
  </si>
  <si>
    <t>WP230601629781</t>
  </si>
  <si>
    <t>촉촉한 국내산 꿀고구마 말랭이 7입</t>
  </si>
  <si>
    <t>꿀고구마말랭이 40g X 7입</t>
  </si>
  <si>
    <t>BA251108041138330</t>
  </si>
  <si>
    <t>BA251107171135110</t>
  </si>
  <si>
    <t>무설탕 무첨가 문경 순오미자 1000ml</t>
  </si>
  <si>
    <t>BA251107181135414</t>
  </si>
  <si>
    <t>BA251107191136004</t>
  </si>
  <si>
    <t>BA251107211136936</t>
  </si>
  <si>
    <t>BA251107231137552</t>
  </si>
  <si>
    <t>BA251107231137598</t>
  </si>
  <si>
    <t>BA251107231137607</t>
  </si>
  <si>
    <t>BA251107171135205</t>
  </si>
  <si>
    <t>WP230101491720</t>
  </si>
  <si>
    <t>소래찬 국내산 포기김치 3kg 5kg 10kg</t>
  </si>
  <si>
    <t>소래찬 국내산 포기김치 10kg</t>
  </si>
  <si>
    <t>BA251107181135491</t>
  </si>
  <si>
    <t>BA251107191135737</t>
  </si>
  <si>
    <t>BA251107211136706</t>
  </si>
  <si>
    <t>WP250702395286</t>
  </si>
  <si>
    <t>[탈취련 항균 99%]알레르기 제로 올인원 건조기용 섬유유연제 시트 80매 x3입</t>
  </si>
  <si>
    <t>건조기용 섬유유연제 시트 80매 x3입 프리지아향</t>
  </si>
  <si>
    <t>BA251107221137059</t>
  </si>
  <si>
    <t>WP230601636159</t>
  </si>
  <si>
    <t>팥빙크림 우유 인절미 (40g x 9개)</t>
  </si>
  <si>
    <t>BA251107231137525</t>
  </si>
  <si>
    <t>511140 참치마요구운주먹밥R 20개</t>
  </si>
  <si>
    <t>511138 소불고기구운주먹밥R 9개+치즈닭갈비구운주먹밥R 9개</t>
  </si>
  <si>
    <t>BA251108001137932</t>
  </si>
  <si>
    <t>WP240301910908</t>
  </si>
  <si>
    <t>웰빙가든</t>
  </si>
  <si>
    <t>[저칼로리] 튀기지 않은 멸치 해물 사골 쌀국수 컵라면/ 다이어트 식사대용</t>
  </si>
  <si>
    <t>멸치 30개</t>
  </si>
  <si>
    <t>BA251107221137126</t>
  </si>
  <si>
    <t>BA251107211136689</t>
  </si>
  <si>
    <t>BA251107211137035</t>
  </si>
  <si>
    <t>BA251108041138344</t>
  </si>
  <si>
    <t>BA251107181135369</t>
  </si>
  <si>
    <t>BA251107171135337</t>
  </si>
  <si>
    <t>WP230601629933</t>
  </si>
  <si>
    <t>달콤쫀득한 청도 감말랭이 3봉지</t>
  </si>
  <si>
    <t>감말랭이 60g X 3봉지</t>
  </si>
  <si>
    <t>BA251107201136410</t>
  </si>
  <si>
    <t>L / 블랙 KF94L50BK</t>
  </si>
  <si>
    <t>BA251107201136103</t>
  </si>
  <si>
    <t>WP240401944524</t>
  </si>
  <si>
    <t>[1+1]식물유래 베이비&amp;키즈 아기 버블 엉덩이 세정제 300ml/ 유아 습진 방지</t>
  </si>
  <si>
    <t>버블 아기 엉덩이세정제 300ml 2개입</t>
  </si>
  <si>
    <t>WP230101495483</t>
  </si>
  <si>
    <t>살림백서 베이비&amp;키즈 아기 유아 바디워시 500ml</t>
  </si>
  <si>
    <t>베이비&amp;키즈 아기 바디워시 500ml</t>
  </si>
  <si>
    <t>BA251107201136114</t>
  </si>
  <si>
    <t>WP250702414347</t>
  </si>
  <si>
    <t>잡내없는 인생 숙성 소막창 200g 2팩/ 막창구이 캠핑요리 혼술 안주 간편식음식</t>
  </si>
  <si>
    <t>청춘불판 숙성소막창 250g 2팩</t>
  </si>
  <si>
    <t>BA251107231137660</t>
  </si>
  <si>
    <t>BA251108031138289</t>
  </si>
  <si>
    <t>BA251107181135642</t>
  </si>
  <si>
    <t>BA251107201136164</t>
  </si>
  <si>
    <t>WP240201877982</t>
  </si>
  <si>
    <t>올계</t>
  </si>
  <si>
    <t>[유기농 인증] 치킨스톡 140g 3개</t>
  </si>
  <si>
    <t>올계 유기농 치킨스톡 140g x 3</t>
  </si>
  <si>
    <t>BA251107211136949</t>
  </si>
  <si>
    <t>BA251108081138743</t>
  </si>
  <si>
    <t>BA251108071138618</t>
  </si>
  <si>
    <t>BA251108071138591</t>
  </si>
  <si>
    <t>BA251108071138586</t>
  </si>
  <si>
    <t>BA251108081138714</t>
  </si>
  <si>
    <t>BA251108081138902</t>
  </si>
  <si>
    <t>BA251108081138887</t>
  </si>
  <si>
    <t>M / 베이지 KF94M50B</t>
  </si>
  <si>
    <t>SS / 베이지 KF94SS50B</t>
  </si>
  <si>
    <t>BA251108081138679</t>
  </si>
  <si>
    <t>WP230801703370</t>
  </si>
  <si>
    <t>★삼성 공식제조사★ A to C / C to C 15W~100W 고속충전 케이블 A, C타입 3A 삼성 동일사양 벌크</t>
  </si>
  <si>
    <t>C to C 60W 고속 충전케이블 C타입 1m 3A</t>
  </si>
  <si>
    <t>BA251108071138544</t>
  </si>
  <si>
    <t>WP231201799808</t>
  </si>
  <si>
    <t>유산균 발효 4년근 약도라지 농축액 10g x 30포</t>
  </si>
  <si>
    <t>약도라지 농축액 10g x 30포</t>
  </si>
  <si>
    <t>BA251108101139760</t>
  </si>
  <si>
    <t>WP230701674992</t>
  </si>
  <si>
    <t>BA251108091139002</t>
  </si>
  <si>
    <t>BA251108091139118</t>
  </si>
  <si>
    <t>BA251108101139773</t>
  </si>
  <si>
    <t>BA251108091139061</t>
  </si>
  <si>
    <t>BA251108091139013</t>
  </si>
  <si>
    <t>꼴뚜기젓 280g</t>
  </si>
  <si>
    <t>비빔낙지젓 280g</t>
  </si>
  <si>
    <t>BA251108091139149</t>
  </si>
  <si>
    <t>BA251108101139350</t>
  </si>
  <si>
    <t>BA251108091138986</t>
  </si>
  <si>
    <t>BA251108111140126</t>
  </si>
  <si>
    <t>WP250902493667</t>
  </si>
  <si>
    <t>순창성가정식품</t>
  </si>
  <si>
    <t>성가정 국산 진간장 전통간장 420ml 2개/ 찹쌀 보리 매실 고추장 1kg/ 된장 쌈장 1kg</t>
  </si>
  <si>
    <t>담가 보리 고추장 1kg</t>
  </si>
  <si>
    <t>담가 매실 고추장 1kg</t>
  </si>
  <si>
    <t>BA251108121140333</t>
  </si>
  <si>
    <t>BA251108121140313</t>
  </si>
  <si>
    <t>BA251108121140363</t>
  </si>
  <si>
    <t>섬유유연제 2L x 2개입</t>
  </si>
  <si>
    <t>BA251108121140294</t>
  </si>
  <si>
    <t>BA251108121140483</t>
  </si>
  <si>
    <t>WP240702004605</t>
  </si>
  <si>
    <t>HACCP 국내산 전라도 총각무김치 1kg 2kg 3kg 5kg</t>
  </si>
  <si>
    <t>총각김치 1kg</t>
  </si>
  <si>
    <t>BA251108111140173</t>
  </si>
  <si>
    <t>A to C 15W 고속 충전케이블 A타입 1.5m</t>
  </si>
  <si>
    <t>BA251108111139882</t>
  </si>
  <si>
    <t>BA251108121140218</t>
  </si>
  <si>
    <t>BA251108121140224</t>
  </si>
  <si>
    <t>대박나는집 천연펄프 3겹 25m x 30롤</t>
  </si>
  <si>
    <t>BA251108121140497</t>
  </si>
  <si>
    <t>BA251108121140517</t>
  </si>
  <si>
    <t>녹차 청어알젓 400g</t>
  </si>
  <si>
    <t>녹차 명태회무침 400g</t>
  </si>
  <si>
    <t>BA251108121140491</t>
  </si>
  <si>
    <t>WP230101499670</t>
  </si>
  <si>
    <t>덴탈겔 강아지 고양이 애견 바르는 치약 입냄새 제거 치석 예방</t>
  </si>
  <si>
    <t>자유펫 덴탈겔</t>
  </si>
  <si>
    <t>BA251108111140144</t>
  </si>
  <si>
    <t>BA251108111139887</t>
  </si>
  <si>
    <t>BA251108121140389</t>
  </si>
  <si>
    <t>BA251108141141423</t>
  </si>
  <si>
    <t>BC 001</t>
  </si>
  <si>
    <t>BA251108141141087</t>
  </si>
  <si>
    <t>[홈던트] 가로 700 / 폭 600 / 높이 1500 / 행거단 1개 / 선반단 0개</t>
  </si>
  <si>
    <t>[홈던트] 가로 700 / 폭 600 / 높이 1500 / 행거단 1개 / 선반단 1개</t>
  </si>
  <si>
    <t>BA251108141141224</t>
  </si>
  <si>
    <t>녹차 멍게젓 350g</t>
  </si>
  <si>
    <t>BA251108141141425</t>
  </si>
  <si>
    <t>WP240702004675</t>
  </si>
  <si>
    <t>HACCP 국내산 전라도 쌈배추 겉절이 김치1kg 2kg 3kg 5kg</t>
  </si>
  <si>
    <t>쌈배추겉절이김치 3kg</t>
  </si>
  <si>
    <t>BA251108131140860</t>
  </si>
  <si>
    <t>WP230101500302</t>
  </si>
  <si>
    <t>KF-AD 뽑아쓰는 번들형 비말차단 입체마스크 100매입</t>
  </si>
  <si>
    <t>대형 100매입</t>
  </si>
  <si>
    <t>BA251108141141106</t>
  </si>
  <si>
    <t>BA251108141141297</t>
  </si>
  <si>
    <t>BA251108141141086</t>
  </si>
  <si>
    <t>BA251108141141116</t>
  </si>
  <si>
    <t>BA251108131140876</t>
  </si>
  <si>
    <t>BA251108161141970</t>
  </si>
  <si>
    <t>BA251108151141685</t>
  </si>
  <si>
    <t>[스피드랙] 가로 500 / 폭 300 / 높이 1950 / 선반 수량 5개</t>
  </si>
  <si>
    <t>BA251108151141575</t>
  </si>
  <si>
    <t>BA251108151141598</t>
  </si>
  <si>
    <t>WP230901731216</t>
  </si>
  <si>
    <t>프리미엄 3겹 천연펄프 광폭 화장지 시그니쳐 순수 30m 30롤 휴지/ 무형광 무포름알데히드 무색 무향</t>
  </si>
  <si>
    <t>시그니쳐 순수 30m x 30롤 /2팩</t>
  </si>
  <si>
    <t>BA251108161142276</t>
  </si>
  <si>
    <t>BA251108161141889</t>
  </si>
  <si>
    <t>BA251108151141760</t>
  </si>
  <si>
    <t>WP230701663828</t>
  </si>
  <si>
    <t>[황매실 3년숙성] 포코테라 국내산 100% 순매실청 900ml</t>
  </si>
  <si>
    <t>황매실 순매실청 900ml x 2</t>
  </si>
  <si>
    <t>BA251108161141933</t>
  </si>
  <si>
    <t>BA251108151141682</t>
  </si>
  <si>
    <t>BA251108151141777</t>
  </si>
  <si>
    <t>WP230101500546</t>
  </si>
  <si>
    <t>두원농협</t>
  </si>
  <si>
    <t>갈아만든 액상차 선물세트 (유자차 3병, 모과차 1병, 생강차 1병)</t>
  </si>
  <si>
    <t>두원농협 액상차 세트 (유자차 3병, 모과차 1병, 생강차 1병)</t>
  </si>
  <si>
    <t>BA251108151141843</t>
  </si>
  <si>
    <t>BA251109011145982</t>
  </si>
  <si>
    <t>B14G 투명변색 블랙</t>
  </si>
  <si>
    <t>BA251108211144460</t>
  </si>
  <si>
    <t>WP251002516023</t>
  </si>
  <si>
    <t>국내산 한돈 저온숙성 LA 양념 돼지 갈비 600g x 2팩</t>
  </si>
  <si>
    <t>서서갈비 LA돼지갈비 600g x 2팩</t>
  </si>
  <si>
    <t>BA251108191143428</t>
  </si>
  <si>
    <t>랄랄라 토마토 물티슈 100매 20개</t>
  </si>
  <si>
    <t>BA251109001145758</t>
  </si>
  <si>
    <t>BA251108221144857</t>
  </si>
  <si>
    <t>BA251108201143876</t>
  </si>
  <si>
    <t>M / 라이트그레이 KF94M50LG</t>
  </si>
  <si>
    <t>BA251108221145127</t>
  </si>
  <si>
    <t>WP240701993511</t>
  </si>
  <si>
    <t>쿠키아</t>
  </si>
  <si>
    <t>두부과자 뚜부칩 6봉 (오리지널 어니언 옥수수&amp;카카오 떡볶이 김)/ 건강한 다이어트 스낵</t>
  </si>
  <si>
    <t>뚜부칩 오리지널 50g 6ea</t>
  </si>
  <si>
    <t>BA251109021146167</t>
  </si>
  <si>
    <t>[스피드랙] 가로 1000 / 폭 500 / 높이 1800 / 선반 수량 4개</t>
  </si>
  <si>
    <t>BA251108231145433</t>
  </si>
  <si>
    <t>BCV018</t>
  </si>
  <si>
    <t>BA251108201144003</t>
  </si>
  <si>
    <t>511319 잡채볶음밥 6개+낙지볶음밥 6개</t>
  </si>
  <si>
    <t>511298 새우볶음밥 6개+치킨카레볶음밥 6개</t>
  </si>
  <si>
    <t>BA251108191143609</t>
  </si>
  <si>
    <t>BA251108231145409</t>
  </si>
  <si>
    <t>BCV021</t>
  </si>
  <si>
    <t>BA251108171142620</t>
  </si>
  <si>
    <t>오이소박이 1kg</t>
  </si>
  <si>
    <t>BA251108211144477</t>
  </si>
  <si>
    <t>국내산 새우추젓(특) 5kg</t>
  </si>
  <si>
    <t>BA251108181143068</t>
  </si>
  <si>
    <t>BA251108181142945</t>
  </si>
  <si>
    <t>BA251108171142696</t>
  </si>
  <si>
    <t>BA251108201144155</t>
  </si>
  <si>
    <t>BA251108211144323</t>
  </si>
  <si>
    <t>BA251108211144734</t>
  </si>
  <si>
    <t>BA251108221144756</t>
  </si>
  <si>
    <t>BA251108181143106</t>
  </si>
  <si>
    <t>BA251109031146234</t>
  </si>
  <si>
    <t>BA251108211144649</t>
  </si>
  <si>
    <t>BA251108221145054</t>
  </si>
  <si>
    <t>BA251108191143523</t>
  </si>
  <si>
    <t>BA251109041146263</t>
  </si>
  <si>
    <t>BA251109011145979</t>
  </si>
  <si>
    <t>BA251108211144237</t>
  </si>
  <si>
    <t>BA251108211144282</t>
  </si>
  <si>
    <t>BA251108211144241</t>
  </si>
  <si>
    <t>BA251108211144446</t>
  </si>
  <si>
    <t>BA251108211144496</t>
  </si>
  <si>
    <t>하루세번 덴탈 케어 치약 250g 4개입</t>
  </si>
  <si>
    <t>BA251109051146305</t>
  </si>
  <si>
    <t>BA251108201144036</t>
  </si>
  <si>
    <t>WP230101498221</t>
  </si>
  <si>
    <t>유기농 현미 아이간식 산골쌀참 15봉 패키지 (사과당근스틱5봉+자색고구마스틱5봉+시금치스틱5봉)</t>
  </si>
  <si>
    <t>산골쌀참15봉 패키지 (사과당근스틱5봉+자색고구마스틱5봉+시금치스틱5봉)</t>
  </si>
  <si>
    <t>BA251108211144338</t>
  </si>
  <si>
    <t>BA251108211144398</t>
  </si>
  <si>
    <t>데일리 이중미세모 칫솔 32개입 모던핏</t>
  </si>
  <si>
    <t>BA251109051146316</t>
  </si>
  <si>
    <t>CGO-09</t>
  </si>
  <si>
    <t>BA251109001145718</t>
  </si>
  <si>
    <t>BA251109011146081</t>
  </si>
  <si>
    <t>BA251108211144292</t>
  </si>
  <si>
    <t>BA251108211144500</t>
  </si>
  <si>
    <t>BA251108231145260</t>
  </si>
  <si>
    <t>PGO-12</t>
  </si>
  <si>
    <t>BA251108231145376</t>
  </si>
  <si>
    <t>BA251108191143362</t>
  </si>
  <si>
    <t>BA251108221145008</t>
  </si>
  <si>
    <t>BA251108221145007</t>
  </si>
  <si>
    <t>BA251108191143649</t>
  </si>
  <si>
    <t>BA251108191143411</t>
  </si>
  <si>
    <t>BA251108201144117</t>
  </si>
  <si>
    <t>BA251108211144503</t>
  </si>
  <si>
    <t>WP241202112867</t>
  </si>
  <si>
    <t>시나노골드 2KG (9-13과)</t>
  </si>
  <si>
    <t>BA251108221144844</t>
  </si>
  <si>
    <t>BA251108191143360</t>
  </si>
  <si>
    <t>BA251108211144434</t>
  </si>
  <si>
    <t>BA251108221145048</t>
  </si>
  <si>
    <t>BA251108211144221</t>
  </si>
  <si>
    <t>BA251108171142538</t>
  </si>
  <si>
    <t>BA251108191143421</t>
  </si>
  <si>
    <t>511139 참치마요구운주먹밥R 10개+김치치즈 구운주먹밥R 10개</t>
  </si>
  <si>
    <t>BA251109011145968</t>
  </si>
  <si>
    <t>BA251108171142706</t>
  </si>
  <si>
    <t>BA251109001145921</t>
  </si>
  <si>
    <t>WP230101499629</t>
  </si>
  <si>
    <t>딥클린 식기세척기 주방세제 올인원 타블렛 50개입 SK LG 밀레 삼성 호환</t>
  </si>
  <si>
    <t>살림백서 딥클린 타블렛 식기세척기 세제 50개입</t>
  </si>
  <si>
    <t>BA251109011146065</t>
  </si>
  <si>
    <t>WP250702420437</t>
  </si>
  <si>
    <t>[홈쇼핑 인기상품] 고감도충격기 지문인식 소프트터치 내화금고 20L 40L</t>
  </si>
  <si>
    <t>MC-40AL(M4)</t>
  </si>
  <si>
    <t>BA251108191143663</t>
  </si>
  <si>
    <t>BA251109071146421</t>
  </si>
  <si>
    <t>WP230101504161</t>
  </si>
  <si>
    <t>최상급 원초 광천 식탁김 12봉 x 3박스 재래김 파래김</t>
  </si>
  <si>
    <t>파래식탁김 12봉 x 3박스</t>
  </si>
  <si>
    <t>BA251109081146743</t>
  </si>
  <si>
    <t>BA251109071146490</t>
  </si>
  <si>
    <t>BA251109081146684</t>
  </si>
  <si>
    <t>WP250602366411</t>
  </si>
  <si>
    <t>[넓은 얇은 두부곤약면 20개 /팔도비빔장 두부곤약면 3개 /두부곤약쌀 20개 /두부곤약 현미귀리즉석밥 20개] 국산콩 저칼로리 다이어트 한끼식사음식 잡곡 햇반</t>
  </si>
  <si>
    <t>두부곤약면 비빔의정석 3개</t>
  </si>
  <si>
    <t>BA251109071146528</t>
  </si>
  <si>
    <t>BA251109081146595</t>
  </si>
  <si>
    <t>BA251109101147586</t>
  </si>
  <si>
    <t>BA251109091147207</t>
  </si>
  <si>
    <t>BA251109091146979</t>
  </si>
  <si>
    <t>BA251109101147636</t>
  </si>
  <si>
    <t>BA251109091147165</t>
  </si>
  <si>
    <t>BA251109101147403</t>
  </si>
  <si>
    <t>BA251109091146864</t>
  </si>
  <si>
    <t>BA251109091146963</t>
  </si>
  <si>
    <t>BA251109101147604</t>
  </si>
  <si>
    <t>BA251109091146865</t>
  </si>
  <si>
    <t>BA251109101147287</t>
  </si>
  <si>
    <t>BA251109091146908</t>
  </si>
  <si>
    <t>WP250202221478</t>
  </si>
  <si>
    <t>인산선생 한끼맛김 도시락김 12봉X4개 / 유아 아기 밥반찬</t>
  </si>
  <si>
    <t>인산선생 한끼맛김 12봉 X 4세트</t>
  </si>
  <si>
    <t>BA251109091147126</t>
  </si>
  <si>
    <t>MC-009 / MC-015</t>
  </si>
  <si>
    <t>BA251109101147507</t>
  </si>
  <si>
    <t>WP240702009946</t>
  </si>
  <si>
    <t>[1+1]플라이스틱 날벌레 끈끈이 트랩 벌레퇴치제/ 초파리 유인</t>
  </si>
  <si>
    <t>플라이스틱 끈끈이 트랩 2개</t>
  </si>
  <si>
    <t>WP250302227707</t>
  </si>
  <si>
    <t>1+1 오브제 퍼퓸 필로우미스트 200ml/ 룸스프레이 섬유탈취제</t>
  </si>
  <si>
    <t>1+1 필로우미스트 히노키가든</t>
  </si>
  <si>
    <t>BA251109091147012</t>
  </si>
  <si>
    <t>BA251109091147135</t>
  </si>
  <si>
    <t>BA251109101147525</t>
  </si>
  <si>
    <t>BA251109101147685</t>
  </si>
  <si>
    <t>BA251109091147094</t>
  </si>
  <si>
    <t>BA251109121148421</t>
  </si>
  <si>
    <t>WP250902480969</t>
  </si>
  <si>
    <t>[EWG그린 더마테스트 최고등급] 55gsm 약산성 엠보싱 아기 유아 물티슈 80매 5팩 / 저자극 베이비 4중레이어</t>
  </si>
  <si>
    <t>앙샹테 물티슈 80매 5팩</t>
  </si>
  <si>
    <t>BA251109111147975</t>
  </si>
  <si>
    <t>BA251109121148657</t>
  </si>
  <si>
    <t>BA251109121148695</t>
  </si>
  <si>
    <t>BA251109111147783</t>
  </si>
  <si>
    <t>BA251109111147940</t>
  </si>
  <si>
    <t>BA251109121148614</t>
  </si>
  <si>
    <t>WP250802443817</t>
  </si>
  <si>
    <t>그래피놀 호텔 베딩 풀세트 (이불속통+커버)+(베개속통+커버) S/S Q/K 알러지케어 / 부모님 선물세트 명절 침구류 선물세트</t>
  </si>
  <si>
    <t>그래피놀 호텔 베딩 풀세트-2 Q/K</t>
  </si>
  <si>
    <t>BA251109121148630</t>
  </si>
  <si>
    <t>WP240401914922</t>
  </si>
  <si>
    <t>오브제 퍼퓸 트리트먼트 샴푸 바디워시/ 향기 로션 보습효과</t>
  </si>
  <si>
    <t>오브제 퍼퓸 바디로션 1L 1개입 화이트머스크향</t>
  </si>
  <si>
    <t>BA251109111147775</t>
  </si>
  <si>
    <t>[홈던트] 가로 1200 / 폭 600 / 높이 2100 / 행거단 1개 / 선반단 0개</t>
  </si>
  <si>
    <t>BA251109121148376</t>
  </si>
  <si>
    <t>랄랄라 토마토 물티슈 100매 10개</t>
  </si>
  <si>
    <t>BA251109121148600</t>
  </si>
  <si>
    <t>BA251109121148413</t>
  </si>
  <si>
    <t>BA251109121148680</t>
  </si>
  <si>
    <t>WP250602376487</t>
  </si>
  <si>
    <t>65W 140W 초고속 충전기 멀티3포트 GaN PD PPS 어댑터 C타입 USB A/케이블 미포함(핸드폰 휴대폰 노트북 태블릿 스마트폰)</t>
  </si>
  <si>
    <t>65W 3포트 화이트</t>
  </si>
  <si>
    <t>BA251109111147851</t>
  </si>
  <si>
    <t>BA251109141149314</t>
  </si>
  <si>
    <t>[스피드랙] 가로 1200 / 폭 300 / 높이 900 / 선반 수량 4개</t>
  </si>
  <si>
    <t>BA251109141149616</t>
  </si>
  <si>
    <t>BA251109151149736</t>
  </si>
  <si>
    <t>BA251109141149566</t>
  </si>
  <si>
    <t>WP250302234466</t>
  </si>
  <si>
    <t>★DIY 선반1위 ★ 홈던트하우스 틈새 슬림 수납 선반</t>
  </si>
  <si>
    <t>[홈던트 틈새선반] 가로 200 / 폭 1000 / 높이 600 / 선반수량 3개</t>
  </si>
  <si>
    <t>[홈던트 틈새선반] 가로 200 / 폭 1000 / 높이 600 / 선반수량 4개</t>
  </si>
  <si>
    <t>BA251109141149690</t>
  </si>
  <si>
    <t>퍼퓸 드 섬유향수 룸스프레이 250ml 2개 (베이비파우더향)</t>
  </si>
  <si>
    <t>BA251109141149280</t>
  </si>
  <si>
    <t>WP251002518067</t>
  </si>
  <si>
    <t>고단백 저지방 단백질 스낵 스낵틴(50g)x5팩 마라맛 바베큐맛 어니언맛 칠리맛 / 저당 과자 영양 간식</t>
  </si>
  <si>
    <t>스낵틴 어니언맛x5팩</t>
  </si>
  <si>
    <t>WP250602392209</t>
  </si>
  <si>
    <t>[30만개 판매 정남미명과] TV반영 강릉 원조 수제 구황작물빵(고구마 감자 옥수수 밤 단호박 양파 마늘 대파 고추 단감) 간식 선물세트</t>
  </si>
  <si>
    <t>구황작물빵 10종세트(감자+밤+호박+마늘+양파+고구마+옥수수+대파+단감+고추)</t>
  </si>
  <si>
    <t>BA251109141149711</t>
  </si>
  <si>
    <t>WP240401931235</t>
  </si>
  <si>
    <t>통째로 갈아만든 매실/오미자/유자/청귤/생강/아로니아 과즙과일청 선물세트</t>
  </si>
  <si>
    <t>프리미엄 생강71 1호</t>
  </si>
  <si>
    <t>BA251109131148905</t>
  </si>
  <si>
    <t>황매실 순매실청 900ml</t>
  </si>
  <si>
    <t>BA251109141149364</t>
  </si>
  <si>
    <t>511278 대패삼겹볶음밥 6개+야채볶음밥 6개</t>
  </si>
  <si>
    <t>BA251109131148990</t>
  </si>
  <si>
    <t>WP241102097738</t>
  </si>
  <si>
    <t>[시어버터 함유] 티트리 앤 로즈마리 대용량 바디로션 1500ml</t>
  </si>
  <si>
    <t>티트리 바디로션 1500ml 프렌치라벤더 x 2개</t>
  </si>
  <si>
    <t>BA251109131148820</t>
  </si>
  <si>
    <t>BA251109131149093</t>
  </si>
  <si>
    <t>BA251109131148774</t>
  </si>
  <si>
    <t>WP231201799724</t>
  </si>
  <si>
    <t>발효 칼슘 배배망고 홍도라지 100ml x 10포</t>
  </si>
  <si>
    <t>배배망고 홍도라지 100ml x 30포</t>
  </si>
  <si>
    <t>BA251109141149450</t>
  </si>
  <si>
    <t>[홈던트] 가로 1000 / 폭 500 / 높이 1950 / 행거단 0개 / 선반단 6개</t>
  </si>
  <si>
    <t>[홈던트] 가로 400 / 폭 500 / 높이 1950 / 행거단 0개 / 선반단 4개</t>
  </si>
  <si>
    <t>[홈던트] 선반단 / 가로 1000 / 폭 500</t>
  </si>
  <si>
    <t>BA251109131149158</t>
  </si>
  <si>
    <t>시그니처 토트백 핑키그레이</t>
  </si>
  <si>
    <t>BA251109131148795</t>
  </si>
  <si>
    <t>BA251109141149613</t>
  </si>
  <si>
    <t>BA251109141149689</t>
  </si>
  <si>
    <t>BA251109141149356</t>
  </si>
  <si>
    <t>BA251109151149729</t>
  </si>
  <si>
    <t>BA251109141149349</t>
  </si>
  <si>
    <t>WP230501600059</t>
  </si>
  <si>
    <t>비케이바이오</t>
  </si>
  <si>
    <t>깜빡깜빡 두뇌영양제 두뇌만사성 스마트/ 두뇌건강 스트레스 완화</t>
  </si>
  <si>
    <t>두뇌만사성 6개월분</t>
  </si>
  <si>
    <t>BA251109161100513</t>
  </si>
  <si>
    <t>BA251109151149759</t>
  </si>
  <si>
    <t>BA251109151100150</t>
  </si>
  <si>
    <t>BA251109161100354</t>
  </si>
  <si>
    <t>BA251109161100693</t>
  </si>
  <si>
    <t>BA251109151149934</t>
  </si>
  <si>
    <t>BA251109151100202</t>
  </si>
  <si>
    <t>BA251109151149998</t>
  </si>
  <si>
    <t>BA251109151149980</t>
  </si>
  <si>
    <t>BA251109161100448</t>
  </si>
  <si>
    <t>티트리 바디로션 1500ml 프렌치라벤더 x 1개</t>
  </si>
  <si>
    <t>티트리 바디로션 1500ml 화이트머스크 x 1개</t>
  </si>
  <si>
    <t>BA251109151149903</t>
  </si>
  <si>
    <t>BA251109151149959</t>
  </si>
  <si>
    <t>BA251109161100248</t>
  </si>
  <si>
    <t>WP240401915072</t>
  </si>
  <si>
    <t>식물유래 약산성 오푼티아&amp;밤부 샴푸 트리트먼트 바디워시</t>
  </si>
  <si>
    <t>오푼티아&amp;밤부 샴푸 1L 1개입 화이트머스크향</t>
  </si>
  <si>
    <t>오푼티아&amp;밤부 바디워시 1L 1개입 화이트머스크향</t>
  </si>
  <si>
    <t>BA251109161100457</t>
  </si>
  <si>
    <t>BA251109151100042</t>
  </si>
  <si>
    <t>WP230701656427</t>
  </si>
  <si>
    <t>찐쑥개떡/ 찐쑥송편/ 생쑥개떡/ 생쑥송편/ 쑥절편 1kg</t>
  </si>
  <si>
    <t>생쑥개떡 1kg</t>
  </si>
  <si>
    <t>BA251109151100167</t>
  </si>
  <si>
    <t>BCV013</t>
  </si>
  <si>
    <t>BA251109151100120</t>
  </si>
  <si>
    <t>BA251109161100291</t>
  </si>
  <si>
    <t>BA251109201103221</t>
  </si>
  <si>
    <t>BA251109211103750</t>
  </si>
  <si>
    <t>BA251109171100820</t>
  </si>
  <si>
    <t>WP230201524436</t>
  </si>
  <si>
    <t>블루인더스 블루방역마스크 KF94 대형 50매</t>
  </si>
  <si>
    <t>화이트</t>
  </si>
  <si>
    <t>BA251109201102792</t>
  </si>
  <si>
    <t>BA251109181101469</t>
  </si>
  <si>
    <t>B14G 편광변색 레드</t>
  </si>
  <si>
    <t>BA251109191102569</t>
  </si>
  <si>
    <t>BA251109201103450</t>
  </si>
  <si>
    <t>BA251109201102950</t>
  </si>
  <si>
    <t>BA251109221105452</t>
  </si>
  <si>
    <t>BA251109201102940</t>
  </si>
  <si>
    <t>BA251109201103399</t>
  </si>
  <si>
    <t>BA251109231105934</t>
  </si>
  <si>
    <t>WP230401573101</t>
  </si>
  <si>
    <t>지원상사</t>
  </si>
  <si>
    <t>의약외품 독일 원료 헤이트벅스 모기기피제 이카리딘 원료 70ml</t>
  </si>
  <si>
    <t>헤이트벅스 모기기피제 70ml</t>
  </si>
  <si>
    <t>BA251109201103641</t>
  </si>
  <si>
    <t>BA251109211104402</t>
  </si>
  <si>
    <t>BA251110061107348</t>
  </si>
  <si>
    <t>BA251109181101603</t>
  </si>
  <si>
    <t>BA251109231105879</t>
  </si>
  <si>
    <t>BA251109191102062</t>
  </si>
  <si>
    <t>에어로네스트 200cmⅩ300cmⅩ40cm 샌드베이지/올리브카키</t>
  </si>
  <si>
    <t>BA251110051107240</t>
  </si>
  <si>
    <t>BA251110051107233</t>
  </si>
  <si>
    <t>WP231001745969</t>
  </si>
  <si>
    <t>피톤치드 편백수 스프레이 500ml 3개/ 새집증후군 집먼지 진드기 퇴치제</t>
  </si>
  <si>
    <t>BA251109211103938</t>
  </si>
  <si>
    <t>BA251109171101234</t>
  </si>
  <si>
    <t>WP240601984107</t>
  </si>
  <si>
    <t>효은 성인용 속기저귀 일자형 (240매)</t>
  </si>
  <si>
    <t>BA251110011106958</t>
  </si>
  <si>
    <t>BA251109191102470</t>
  </si>
  <si>
    <t>BA251109201103687</t>
  </si>
  <si>
    <t>BA251109211104342</t>
  </si>
  <si>
    <t>BA251109211103952</t>
  </si>
  <si>
    <t>BA251109221104931</t>
  </si>
  <si>
    <t>BA251109181101414</t>
  </si>
  <si>
    <t>WP231201798900</t>
  </si>
  <si>
    <t>100% 국산재료 섬진강 하동 재첩국 (1인분 320g/5팩)</t>
  </si>
  <si>
    <t>하동 재첩국(320g/5팩)</t>
  </si>
  <si>
    <t>BA251109191102562</t>
  </si>
  <si>
    <t>BA251109201103330</t>
  </si>
  <si>
    <t>WP250802438632</t>
  </si>
  <si>
    <t>[추석선물] 원물 건강 간식스틱 3종(고구마20g 8개+고구마샌드20g 6개+고구마코코20g 8개)세트 부모님 명절셋트</t>
  </si>
  <si>
    <t>한울푸드 꿀고구마 선물세트</t>
  </si>
  <si>
    <t>BA251109201103373</t>
  </si>
  <si>
    <t>BA251109211103696</t>
  </si>
  <si>
    <t>BA251109191102684</t>
  </si>
  <si>
    <t>BA251110061107317</t>
  </si>
  <si>
    <t>BA251109201103512</t>
  </si>
  <si>
    <t>BA251109171100908</t>
  </si>
  <si>
    <t>BA251109211103913</t>
  </si>
  <si>
    <t>BA251109191102674</t>
  </si>
  <si>
    <t>굿매너 빨아쓰는 행주 타올 45매*3롤 2팩</t>
  </si>
  <si>
    <t>BA251109191102668</t>
  </si>
  <si>
    <t>BA251109201102920</t>
  </si>
  <si>
    <t>BA251109201103343</t>
  </si>
  <si>
    <t>BA251109221104949</t>
  </si>
  <si>
    <t>BA251109181101855</t>
  </si>
  <si>
    <t>WP250302226747</t>
  </si>
  <si>
    <t>히알루론산 함유 바세린 미산성 고보습 바디워시/ 로션 1000ml 대용량</t>
  </si>
  <si>
    <t>바세린 바디로션 1000ml X 1개</t>
  </si>
  <si>
    <t>BA251110001106768</t>
  </si>
  <si>
    <t>BA251110061107402</t>
  </si>
  <si>
    <t>BA251110011106966</t>
  </si>
  <si>
    <t>BA251109171100785</t>
  </si>
  <si>
    <t>511117 야채김밥 2개+유부비건김밥 2개+참치마요김밥 2개</t>
  </si>
  <si>
    <t>BA251109201102752</t>
  </si>
  <si>
    <t>BA251109201102809</t>
  </si>
  <si>
    <t>WP230501613885</t>
  </si>
  <si>
    <t>[100% 제주 청귤 감귤] 새콤달콤 NFC 착즙 주스 100ml 10개/ 과일 건강 아이 아기 어린이음료 쥬스</t>
  </si>
  <si>
    <t>감귤 담은 청귤주스100ml 10입 x 4</t>
  </si>
  <si>
    <t>BA251109171101215</t>
  </si>
  <si>
    <t>BA251109181101395</t>
  </si>
  <si>
    <t>BA251109221104945</t>
  </si>
  <si>
    <t>BA251109201103452</t>
  </si>
  <si>
    <t>BA251109221105415</t>
  </si>
  <si>
    <t>21인용 밥솥 CJE-A2101</t>
  </si>
  <si>
    <t>BA251109181101871</t>
  </si>
  <si>
    <t>BA251109201102739</t>
  </si>
  <si>
    <t>BA251109201102918</t>
  </si>
  <si>
    <t>BA251109201103070</t>
  </si>
  <si>
    <t>BA251109171100973</t>
  </si>
  <si>
    <t>BA251109211104411</t>
  </si>
  <si>
    <t>[스피드랙] 가로 800 / 폭 400 / 높이 1800 / 선반 수량 5개</t>
  </si>
  <si>
    <t>BA251109181101752</t>
  </si>
  <si>
    <t>BA251109231105801</t>
  </si>
  <si>
    <t>섬유탈취제 500ml 3개입 라벤더브리즈 향</t>
  </si>
  <si>
    <t>BA251110061107375</t>
  </si>
  <si>
    <t>PGO-04</t>
  </si>
  <si>
    <t>BA251110061107311</t>
  </si>
  <si>
    <t>BA251109201103240</t>
  </si>
  <si>
    <t>베이킹소다 식기세척기 린스 1L X 2개</t>
  </si>
  <si>
    <t>BA251109221105314</t>
  </si>
  <si>
    <t>BA251109221105041</t>
  </si>
  <si>
    <t>베베코튼향</t>
  </si>
  <si>
    <t>BA251110021107052</t>
  </si>
  <si>
    <t>BA251109171100876</t>
  </si>
  <si>
    <t>BA251110061107382</t>
  </si>
  <si>
    <t>BA251109201103677</t>
  </si>
  <si>
    <t>BA251109211104445</t>
  </si>
  <si>
    <t>BA251109211103785</t>
  </si>
  <si>
    <t>WP231001755703</t>
  </si>
  <si>
    <t>가성비 노미러 와이드 트레이닝용 수경-아쿠아/ 실내수영장 물안경</t>
  </si>
  <si>
    <t>수경-아쿠아 블랙</t>
  </si>
  <si>
    <t>BA251109221105169</t>
  </si>
  <si>
    <t>BA251109231105845</t>
  </si>
  <si>
    <t>WP250702420252</t>
  </si>
  <si>
    <t>퓨어 마이크로 휩 클렌징폼 230ml 2개</t>
  </si>
  <si>
    <t>BA251109211104558</t>
  </si>
  <si>
    <t>BA251110001106738</t>
  </si>
  <si>
    <t>WP240301910726</t>
  </si>
  <si>
    <t>직화북성로 돼지불고기 간장맛 350g 2팩 /대구진 연탄 석쇠 술안주 요리 캠핑 간편요리</t>
  </si>
  <si>
    <t>직화북성로불고기 간장맛 2팩</t>
  </si>
  <si>
    <t>BA251109201102904</t>
  </si>
  <si>
    <t>BA251109211104083</t>
  </si>
  <si>
    <t>BA251109231105686</t>
  </si>
  <si>
    <t>BA251109221105465</t>
  </si>
  <si>
    <t>BA251109181101472</t>
  </si>
  <si>
    <t>WP230101487530</t>
  </si>
  <si>
    <t>샘실떡방</t>
  </si>
  <si>
    <t>참모싯잎 동부송편 개떡 흑임자 깨송편 2kg</t>
  </si>
  <si>
    <t>참모싯잎 통동부송편 2kg</t>
  </si>
  <si>
    <t>BA251109211104566</t>
  </si>
  <si>
    <t>BA251109201103369</t>
  </si>
  <si>
    <t>BA251109201103672</t>
  </si>
  <si>
    <t>BA251109231105636</t>
  </si>
  <si>
    <t>B24G 편광_실버미러렌즈/프레임 투명그레이(무광)</t>
  </si>
  <si>
    <t>BA251109211103889</t>
  </si>
  <si>
    <t>BA251109211103964</t>
  </si>
  <si>
    <t>BA251109231106164</t>
  </si>
  <si>
    <t>BA251110071107665</t>
  </si>
  <si>
    <t>WP250702395298</t>
  </si>
  <si>
    <t>BA251110081108016</t>
  </si>
  <si>
    <t>WP250702395290</t>
  </si>
  <si>
    <t>7중효소함유 고농축 올인원 캡슐세제 100개입/ 일반 드럼세탁기 겸용사용</t>
  </si>
  <si>
    <t>고농축 올인원 캡슐세제 100개입</t>
  </si>
  <si>
    <t>BA251110071107500</t>
  </si>
  <si>
    <t>WP230401545468</t>
  </si>
  <si>
    <t>[세척완료] 중기 쌀가루 1단계 +2단계 세트</t>
  </si>
  <si>
    <t>중기쌀가루 [1단계 2팩 + 2단계 3팩]</t>
  </si>
  <si>
    <t>BA251110071107650</t>
  </si>
  <si>
    <t>BA251110081108145</t>
  </si>
  <si>
    <t>솔루엠 15W 고속충전기 stripe + C타입 케이블</t>
  </si>
  <si>
    <t>BA251110081107988</t>
  </si>
  <si>
    <t>WP250802439025</t>
  </si>
  <si>
    <t>[추석선물] 중량1kg 72,000RPM 슬림 라이트 BLDC 진공 무선 청소기 /H13 등급의 헤파필터</t>
  </si>
  <si>
    <t>BLDC청소기 AS-A240WH 크림화이트</t>
  </si>
  <si>
    <t>BA251110081108056</t>
  </si>
  <si>
    <t>WP250902480912</t>
  </si>
  <si>
    <t>[무형광 무포름알데히드] 100%천연펄프 티슈 3겹 30롤 18m 엠보싱 화장지 휴지</t>
  </si>
  <si>
    <t>BA251110081108042</t>
  </si>
  <si>
    <t>BA251110081107986</t>
  </si>
  <si>
    <t>BA251110081108099</t>
  </si>
  <si>
    <t>BA251110071107526</t>
  </si>
  <si>
    <t>BA251110081107780</t>
  </si>
  <si>
    <t>WP230101505291</t>
  </si>
  <si>
    <t>KF80 숨쉬기편한 MB필터 50매 S M L</t>
  </si>
  <si>
    <t>L / 화이트 KF80L50W</t>
  </si>
  <si>
    <t>BA251110081107994</t>
  </si>
  <si>
    <t>BA251110081108143</t>
  </si>
  <si>
    <t>WP230101503271</t>
  </si>
  <si>
    <t>KF94 미세먼지 황사마스크 20매 대형</t>
  </si>
  <si>
    <t>닥터퓨리 KF94 미세먼지 황사마스크 20매 대형</t>
  </si>
  <si>
    <t>WP230401597052</t>
  </si>
  <si>
    <t>귀편한 숨쉬기 편한 KFAD 비키 비말차단 새부리형 마스크 50매(25매 x 2입) / 비말감염 예방 SMS 원단</t>
  </si>
  <si>
    <t>KFAD 비키 베이지(대형)</t>
  </si>
  <si>
    <t>BA251110071107528</t>
  </si>
  <si>
    <t>BA251110081108010</t>
  </si>
  <si>
    <t>BA251110081107887</t>
  </si>
  <si>
    <t>BA251110081108078</t>
  </si>
  <si>
    <t>BA251110071107531</t>
  </si>
  <si>
    <t>WP230101503316</t>
  </si>
  <si>
    <t>비건 멀티비타민 미네랄 700mg x 120정</t>
  </si>
  <si>
    <t>BA251110081107751</t>
  </si>
  <si>
    <t>BA251110081107868</t>
  </si>
  <si>
    <t>AA251107111132036</t>
  </si>
  <si>
    <t>SP230601643851</t>
  </si>
  <si>
    <t>유기농 가래떡쌀과자모둠 (백미+현미+흑미+단호박+아보리새싹+퀴노아)</t>
  </si>
  <si>
    <t>가래떡쌀과자모둠</t>
  </si>
  <si>
    <t>AA251107131133132</t>
  </si>
  <si>
    <t>[스피드랙] 가로 700 / 폭 600 / 높이 2100 / 선반 수량 5개</t>
  </si>
  <si>
    <t>AA251107161134747</t>
  </si>
  <si>
    <t>AA251107181135632</t>
  </si>
  <si>
    <t>SP250702426795</t>
  </si>
  <si>
    <t>[여드름피부 적합 임상완료] 저자극 진정 수분 각질 토탈케어 sos 스팟 클리어링 토너 150ml</t>
  </si>
  <si>
    <t>sos 스팟 클리어링 토너 150ml 2개</t>
  </si>
  <si>
    <t>AA251108031138320</t>
  </si>
  <si>
    <t>AA251107231137782</t>
  </si>
  <si>
    <t>SP230601649301</t>
  </si>
  <si>
    <t>이카킬러 2.2 / 한치 갑오징어 쭈꾸미 오징어 / 전체야광 매그넘훅 사용 낚시 가짜미끼</t>
  </si>
  <si>
    <t>#03 그린 옐로우 (5개 1세트)</t>
  </si>
  <si>
    <t>AA251107231137716</t>
  </si>
  <si>
    <t>SP230701670639</t>
  </si>
  <si>
    <t>AA251107211136624</t>
  </si>
  <si>
    <t>SP230601648387</t>
  </si>
  <si>
    <t>항균력 99.9% 2중 미세모 칫솔 4P</t>
  </si>
  <si>
    <t>항균 2중 미세모 칫솔 4P</t>
  </si>
  <si>
    <t>AA251108081138738</t>
  </si>
  <si>
    <t>SP240101843197</t>
  </si>
  <si>
    <t>AA251108091139335</t>
  </si>
  <si>
    <t>SP240101843928</t>
  </si>
  <si>
    <t>AA251108131140852</t>
  </si>
  <si>
    <t>SP230801703451</t>
  </si>
  <si>
    <t>AA251108131140949</t>
  </si>
  <si>
    <t>AA251108161141940</t>
  </si>
  <si>
    <t>SP230501603653</t>
  </si>
  <si>
    <t>AA251108161142194</t>
  </si>
  <si>
    <t>SP240101843816</t>
  </si>
  <si>
    <t>AA251108161141922</t>
  </si>
  <si>
    <t>AA251108151141549</t>
  </si>
  <si>
    <t>SP240401916184</t>
  </si>
  <si>
    <t>무지개영농조합법인</t>
  </si>
  <si>
    <t>[유산균 증식] 부드러운 우유 99,9%로 만든 콜비치즈 100g 1개</t>
  </si>
  <si>
    <t>콜비치즈 100g 3개</t>
  </si>
  <si>
    <t>AA251108151141637</t>
  </si>
  <si>
    <t>SP240101843855</t>
  </si>
  <si>
    <t>AA251108221145235</t>
  </si>
  <si>
    <t>SP230601643215</t>
  </si>
  <si>
    <t>블랙도어+블랙바디</t>
  </si>
  <si>
    <t>AA251108211144717</t>
  </si>
  <si>
    <t>AA251109001145860</t>
  </si>
  <si>
    <t>SP241102104441</t>
  </si>
  <si>
    <t>AA251108221144918</t>
  </si>
  <si>
    <t>SP230801695365</t>
  </si>
  <si>
    <t>숙면 라이트테라피 디바이스 올리 데이</t>
  </si>
  <si>
    <t>다크그레이</t>
  </si>
  <si>
    <t>AA251108221145087</t>
  </si>
  <si>
    <t>AA251109081146760</t>
  </si>
  <si>
    <t>SP230701670745</t>
  </si>
  <si>
    <t>바닐라 라떼 / 흑임자라떼 / 고구마라떼 2개세트(48개입)</t>
  </si>
  <si>
    <t>흑임자라떼 2개(48개입)</t>
  </si>
  <si>
    <t>AA251109081146809</t>
  </si>
  <si>
    <t>SP241102083902</t>
  </si>
  <si>
    <t>AA251109071146516</t>
  </si>
  <si>
    <t>AA251109131149085</t>
  </si>
  <si>
    <t>AA251109131149179</t>
  </si>
  <si>
    <t>SP230501622167</t>
  </si>
  <si>
    <t>자유펫 시코니딘 고양이 강아지 보습 상처습진 연고 20g</t>
  </si>
  <si>
    <t>시코니딘 연고형 보습제 20g</t>
  </si>
  <si>
    <t>AA251109131149075</t>
  </si>
  <si>
    <t>SP240401942067</t>
  </si>
  <si>
    <t>1+1 [옥수수발효 에탄올] 대용량 디퓨저 500ml / 선물세트 아로마 실내방향제 화장실 </t>
  </si>
  <si>
    <t>디퓨저 500ml 2개입 포레스트 가든</t>
  </si>
  <si>
    <t>AA251109131148765</t>
  </si>
  <si>
    <t>AA251109131148984</t>
  </si>
  <si>
    <t>AA251109221105241</t>
  </si>
  <si>
    <t>SP241202143316</t>
  </si>
  <si>
    <t>AA251109211104368</t>
  </si>
  <si>
    <t>SP250802434347</t>
  </si>
  <si>
    <t>[에너지효율1등급] 슬립 저소음 20L 제습기 / 물통수위 외관학인 대용량 차일드락 기술</t>
  </si>
  <si>
    <t>AA251109181101463</t>
  </si>
  <si>
    <t>AA251109231106415</t>
  </si>
  <si>
    <t>SP250802439032</t>
  </si>
  <si>
    <t>AA251109181101340</t>
  </si>
  <si>
    <t>511314 야채볶음밥 6개+참치김치볶음밥 6개</t>
  </si>
  <si>
    <t>AA251110001106820</t>
  </si>
  <si>
    <t>SP250402271037</t>
  </si>
  <si>
    <t>[밀키트 2종세트] 매콤깻잎순대볶음640g+매콤제육볶음540g/ 간편식조리식품 야식 술안주 캠핑요리 홈파티음식 집들이</t>
  </si>
  <si>
    <t>매콤깻잎순대볶음+매콤제육볶음</t>
  </si>
  <si>
    <t>AA251109181101840</t>
  </si>
  <si>
    <t>SP230601643367</t>
  </si>
  <si>
    <t>AA251110001106541</t>
  </si>
  <si>
    <t>G0021</t>
  </si>
  <si>
    <t>제니스 JUNE 프로비민 스피루리나 500mg 100캡슐</t>
  </si>
  <si>
    <t>JUNE 프로비민 미얀마 스피루리나 100정,단일상품</t>
  </si>
  <si>
    <t>TRY 순면 스포츠 60수 남성 남자 나시 티 메리야스 민소매 면티,95런닝 60수 3개</t>
  </si>
  <si>
    <t>G0186</t>
  </si>
  <si>
    <t>제니스 트라이 100수 런닝 TMRSB08 (화이트 95)</t>
  </si>
  <si>
    <t>트라이 국산 100%순면 100수 프리미엄 남성런닝셔츠 5매 세트 민소매 남자나시,100수 런닝 5매세트 RST08_95</t>
  </si>
  <si>
    <t>제품옵션: 2세트 / 향: 캐모마일</t>
  </si>
  <si>
    <t>20251107-0000895</t>
  </si>
  <si>
    <t>T39424</t>
  </si>
  <si>
    <t>오가닉K 오브제 스카치 디퓨저 200ml 러브홀릭(향) 2개입</t>
  </si>
  <si>
    <t>제품옵션=오브제 스카치 디퓨저 200ml 러브홀릭(향) 2개입</t>
  </si>
  <si>
    <t>T39107</t>
  </si>
  <si>
    <t>엠에프비컴퍼니 닥터퓨리 거품 핸드워시 파우더향 300ml 2개</t>
  </si>
  <si>
    <t>제품옵션=닥터퓨리 거품형 핸드워시 300ml x 2입 파우더향</t>
  </si>
  <si>
    <t>T45747</t>
  </si>
  <si>
    <t>꿀팁몰 더맑음 들기름, 참기름 350ml 1+1</t>
  </si>
  <si>
    <t>제품옵션=더맑음 들기름 참기름 350ml 1+1</t>
  </si>
  <si>
    <t>T39737</t>
  </si>
  <si>
    <t>친한F&amp;B 닭가슴살 스파이시꼬지 소시지 10팩</t>
  </si>
  <si>
    <t>제품옵션=닭가슴살 스파이시꼬지 소시지 10팩</t>
  </si>
  <si>
    <t>제품옵션=생삼겹살 500g+생목살500g</t>
  </si>
  <si>
    <t>20251107-0001442</t>
  </si>
  <si>
    <t>제품옵션=트레비 호텔식 리모컨 비데 ALB-R3600</t>
  </si>
  <si>
    <t>T45501</t>
  </si>
  <si>
    <t>일농 당근 중과 5kg</t>
  </si>
  <si>
    <t>제품선택:당근 중과 5kg 1 개 (+6,100 원)</t>
  </si>
  <si>
    <t>T46767</t>
  </si>
  <si>
    <t>위드라이크 정지선 토마토탕면x비빔새우완탕</t>
  </si>
  <si>
    <t>제품선택:정지선 토마토탕면x비빔새우완탕 1 개 (+200 원)</t>
  </si>
  <si>
    <t>T46735</t>
  </si>
  <si>
    <t>일농 시나노골드 3kg</t>
  </si>
  <si>
    <t>제품선택:시나노골드 3kg 1 개 (+0 원)</t>
  </si>
  <si>
    <t>T39309</t>
  </si>
  <si>
    <t>덴티코어 치간칫솔 L타입 30개 사이즈 - SS</t>
  </si>
  <si>
    <t>제품선택:사이즈 - SS 3 개 (+0 원)</t>
  </si>
  <si>
    <t>T8475</t>
  </si>
  <si>
    <t>일농 제주 햇 레드비트 3kg</t>
  </si>
  <si>
    <t>제품선택:제주 햇 레드비트 3kg 1 개 (+0 원)</t>
  </si>
  <si>
    <t>T8742</t>
  </si>
  <si>
    <t>덴티코어 항균 2중 미세모 칫솔 4P</t>
  </si>
  <si>
    <t>제품선택:항균 2중 미세모 칫솔 4P 1 개 (+0 원)</t>
  </si>
  <si>
    <t>제품선택:빛깔찬 고춧가루 (지퍼백용)1kg 보통맛 김치용 2 개 (+9,900 원)</t>
  </si>
  <si>
    <t>T44780</t>
  </si>
  <si>
    <t>네이처팜 미니곶감 1kg (냉동)</t>
  </si>
  <si>
    <t>발송일:미니곶감 감말랭이 1kg (냉동)/1개</t>
  </si>
  <si>
    <t>T39647</t>
  </si>
  <si>
    <t>나리찬 김치미 350ml 12개입</t>
  </si>
  <si>
    <t>발송일:김치미 350ml 12개입/1개</t>
  </si>
  <si>
    <t>T39162</t>
  </si>
  <si>
    <t>시노펙스</t>
  </si>
  <si>
    <t>시노펙스 중형 화이트 50매 ePTFEM50W</t>
  </si>
  <si>
    <t>T45553</t>
  </si>
  <si>
    <t>백제(케이씨물류) 백제쌀국수 멸치맛10개+김치맛10개+얼큰한맛10개</t>
  </si>
  <si>
    <t>S0149</t>
  </si>
  <si>
    <t>일농 머루포도즙 100ml 30포 1박스</t>
  </si>
  <si>
    <t>T39527</t>
  </si>
  <si>
    <t>행복에스앤피제지 CIP땡큐 18m x 30롤 1팩</t>
  </si>
  <si>
    <t>CIP땡큐 18m x 30롤 1팩</t>
  </si>
  <si>
    <t>T39536</t>
  </si>
  <si>
    <t>행복에스앤피제지 굿매너 퓨어앤베이직 20m x 30롤 1팩</t>
  </si>
  <si>
    <t>굿매너 퓨어앤베이직 20m x 30롤 1팩</t>
  </si>
  <si>
    <t>S0046</t>
  </si>
  <si>
    <t>미고가 옴므 3W 콜라겐 올인원 세트+향수 증정</t>
  </si>
  <si>
    <t>옴므 3W 콜라겐 올인원 세트+향수 증정</t>
  </si>
  <si>
    <t>병커피 아이리쉬크림향 50g 3개</t>
  </si>
  <si>
    <t>T7911</t>
  </si>
  <si>
    <t>행복에스앤피제지 굿매너 4겹 프리미엄 화장지 (3겹 27m 30롤 x 2팩)</t>
  </si>
  <si>
    <t>굿매너 4겹 프리미엄 화장지 27m x 30롤 2팩</t>
  </si>
  <si>
    <t>bde559b1-e2ca-4a83-86a4-2311aefe2e54</t>
  </si>
  <si>
    <t>T38757</t>
  </si>
  <si>
    <t>엠케이엠 무설탕 무첨가 문경 순오미자 (1000ml x 1개)</t>
  </si>
  <si>
    <t>0. [무첨가] 무설탕 무첨가 문경 순오미자 1000ml: 무설탕 무첨가 문경 순오미자 1000ml</t>
  </si>
  <si>
    <t>[스팀오븐공법] 국내산 맛있는 치큐 닭가슴살 3종 100g 치큐 닭가슴살 훈제 x 10팩</t>
  </si>
  <si>
    <t>T45852</t>
  </si>
  <si>
    <t>한울농업 온플럼 황매실스틱15입</t>
  </si>
  <si>
    <t>옵션:온플럼 황매실스틱15입</t>
  </si>
  <si>
    <t>T39720</t>
  </si>
  <si>
    <t>한울농업 감말랭이 60g X 3봉지</t>
  </si>
  <si>
    <t>옵션:감말랭이 60g X 3봉지</t>
  </si>
  <si>
    <t>T45293</t>
  </si>
  <si>
    <t>진스마트팜 프리미엄 유러피안 컷팅 샐러드 500g</t>
  </si>
  <si>
    <t>제품옵션:프리미엄 유러피안 컷팅 샐러드 500g</t>
  </si>
  <si>
    <t>2025110920103926701F</t>
  </si>
  <si>
    <t>S0089</t>
  </si>
  <si>
    <t>항아골 청국장120g 6개+ 된장1kg+ 고추장1kg</t>
  </si>
  <si>
    <t>청국장120g 6개+ 된장1kg+ 고추장1kg</t>
  </si>
  <si>
    <t>2025110820121611673F</t>
  </si>
  <si>
    <t>2025110811235494543F</t>
  </si>
  <si>
    <t>2025110809141192891F</t>
  </si>
  <si>
    <t>T6387</t>
  </si>
  <si>
    <t>스피드랙 화이트 [ 1200 / 600 / 1950 / 4단］</t>
  </si>
  <si>
    <t>스피드랙 가로 1200 / 폭 600 / 높이 1950 / 선반수량 4개</t>
  </si>
  <si>
    <t>2025110803033991404F</t>
  </si>
  <si>
    <t>2025110720203187225F</t>
  </si>
  <si>
    <t>2025110719520586698F</t>
  </si>
  <si>
    <t>T7909</t>
  </si>
  <si>
    <t>오가닉K 살림백서 주방세제 청귤향 (500ml x 4개입)</t>
  </si>
  <si>
    <t>S0217</t>
  </si>
  <si>
    <t>소셜빈 고려산청 6년근 고려홍삼 원데이스틱 진세노사이드</t>
  </si>
  <si>
    <t>고려산청 6년근 고려홍삼 원데이스틱 진세노사이드</t>
  </si>
  <si>
    <t>T45314</t>
  </si>
  <si>
    <t>에스씨컴퍼니 찰떡 3종세트 27개입</t>
  </si>
  <si>
    <t>T45315</t>
  </si>
  <si>
    <t>오가닉K 2 딥 모이스춰 바세린 바디로션 1,000ml x 2개</t>
  </si>
  <si>
    <t>딥 모이스춰 바세린 바디로션 1000ml x 2개</t>
  </si>
  <si>
    <t>K1000022556</t>
  </si>
  <si>
    <t>P0151</t>
  </si>
  <si>
    <t>오가닉K [특가] 살림백서 울세제 1L x 2개입 [25년 4월]</t>
  </si>
  <si>
    <t>T44987</t>
  </si>
  <si>
    <t>오가닉K 아기 세탁세제 리필형 1800ml 2개입</t>
  </si>
  <si>
    <t>K1000022428</t>
  </si>
  <si>
    <t>T39719</t>
  </si>
  <si>
    <t>이셀 대마종자유 햄프씨드 오일 30캡슐 3개</t>
  </si>
  <si>
    <t>대마종자유 햄프씨드 오일 30캡술 3개</t>
  </si>
  <si>
    <t>K1000022396</t>
  </si>
  <si>
    <t>T45114</t>
  </si>
  <si>
    <t>행복에스앤피제지 행복한집 키친타올 130매 x 6롤 1팩</t>
  </si>
  <si>
    <t>11월24일까지 최다할인 쿠첸 인덕션 가습기 듀얼프레셔 초고압 IH 전기압력밥솥 6인용 10인용 베스트 모음전 제품옵션: CRS-WK1010FSPW 10인용 밥솥</t>
  </si>
  <si>
    <t>T0144</t>
  </si>
  <si>
    <t>크리오디엔에스 내추럴 마일드 향수비누 라임 바질&amp;만다린향 100g 4개입 2+1세트</t>
  </si>
  <si>
    <t>[네츄럴마일드] 모이스처 에센셜 고급 향수 비누 100g 4입 향: 4. 라임바질&amp;만다린향 | 세트: 100g 4입 2+1세트</t>
  </si>
  <si>
    <t>T7926</t>
  </si>
  <si>
    <t>행복에스앤피제지 행복을 주는 나무 미용티슈 [180매 2겹 (215mm x 215mm) x 3개]</t>
  </si>
  <si>
    <t>[행복에스앤피제지] 행복을주는나무 미용티슈 180매 2겹 × 3개 옵션: 행복을주는나무 미용티슈 180매 3개</t>
  </si>
  <si>
    <t>한돈 생삼겹살/생목살(1kg) 6종 골라담기 옵션: 03. 생삼겹살 500g+생목살500g</t>
  </si>
  <si>
    <t>T0154</t>
  </si>
  <si>
    <t>행복에스앤피제지 굿매너 빨아쓰는 행주타올 (50매 x 6롤) 2팩</t>
  </si>
  <si>
    <t>굿매너 빨아쓰는 행주 타올 50매 6롤 옵션: 굿매너 빨아쓰는 행주 타올 50매*6롤 2 팩</t>
  </si>
  <si>
    <t>S0115</t>
  </si>
  <si>
    <t>고기마을 무항생제 한돈선물세트2kg 스킨트레이 삼겹살500g+목살500g+앞다리살500g+갈매기살500g</t>
  </si>
  <si>
    <t>무항생제 한돈 2kg(삼겹살 목살 앞다리살 갈매기살)/ 한우 1+등급 소고기 1.1kg(등심 부채살 채끝 국거리) 명절 돼지고기 추석 세트 소고기 선물 셋트 제품선택: 무항생제 한돈선물세트2kg 스킨트레이 삼겹살500g+목살500g+앞다리살500g+갈매기살500g</t>
  </si>
  <si>
    <t>T39625</t>
  </si>
  <si>
    <t>블루인더스 MC-009 단품</t>
  </si>
  <si>
    <t>PM0.3 프리+활성탄+헤파필터 자동차 에어컨필터 상품: MC-009</t>
  </si>
  <si>
    <t>P0187</t>
  </si>
  <si>
    <t>미고가 오엘라 천연다이아몬드 세트+ 스와로브스키 진주 세트</t>
  </si>
  <si>
    <t>천연 다이아몬드 세트+스와로브스키 진주 목걸이 귀걸이 세트 상품: 오엘라 천연다이아몬드 세트+ 스와로브스키 진주 세트</t>
  </si>
  <si>
    <t>S0381</t>
  </si>
  <si>
    <t>순천엔매실 순매실청세트 (900ml x 2입)</t>
  </si>
  <si>
    <t>추석선물 황매실 3년숙성 순매실청 900ml 2입 선물세트 매실식초 명절 선물셋트 기본: 순매실청세트 (900ml x 2입)</t>
  </si>
  <si>
    <t>상품:치큐 닭가슴살 오리지널 x 10팩</t>
  </si>
  <si>
    <t>T46384</t>
  </si>
  <si>
    <t>인산가 죽염 천마차 20g x 80포</t>
  </si>
  <si>
    <t>상품:죽염 천마차 20g x 80포</t>
  </si>
  <si>
    <t>T46781</t>
  </si>
  <si>
    <t>금호조침 이카킬러 2.2 #08 퍼플 (5개 1세트)</t>
  </si>
  <si>
    <t>상품:#08 퍼플 (5개 1세트)</t>
  </si>
  <si>
    <t>T46786</t>
  </si>
  <si>
    <t>금호조침 이카킬러 시스루 2.2호 (02 레드 그린) 5개세트</t>
  </si>
  <si>
    <t>상품:이카킬러 시스루 2.2호 (02 레드 그린) 5개세트</t>
  </si>
  <si>
    <t>J50117626640141173810337385</t>
  </si>
  <si>
    <t>T38674</t>
  </si>
  <si>
    <t>한우물 511360 햄야채 볶음밥 (300g x 6개) + 치킨데리야끼 볶음밥 (300g x 6개)</t>
  </si>
  <si>
    <t>햄야채볶음밥 6개+치킨데리야끼볶음밥 6개</t>
  </si>
  <si>
    <t>J10117626418591917613147473</t>
  </si>
  <si>
    <t>S0322</t>
  </si>
  <si>
    <t>엠케이엠 햇오미자청 700ml+햇복분자청 700ml 혼합set + 종이가방 증정</t>
  </si>
  <si>
    <t>제품옵션/햇오미자청 700ml+햇복분자청 700ml 혼합set + 종이가방 증정</t>
  </si>
  <si>
    <t>J50220251108193020496413066563</t>
  </si>
  <si>
    <t>T38540</t>
  </si>
  <si>
    <t>한우물 511226 김치 볶음밥 (300g x 12개)</t>
  </si>
  <si>
    <t>김치볶음밥 12개</t>
  </si>
  <si>
    <t>O25110815665</t>
  </si>
  <si>
    <t>T45773</t>
  </si>
  <si>
    <t>오가닉K 1+1 세라 히알루론산 수분크림</t>
  </si>
  <si>
    <t>T39664</t>
  </si>
  <si>
    <t>도아드림 1+1 워셔블구스베개 50x70 중간형</t>
  </si>
  <si>
    <t>O25111020366</t>
  </si>
  <si>
    <t>T8284</t>
  </si>
  <si>
    <t>나리찬 진 총각김치 5kg (벌크)</t>
  </si>
  <si>
    <t>T38936</t>
  </si>
  <si>
    <t>피오 브로세틴 (820mgX40정) 2박스</t>
  </si>
  <si>
    <t>T39711</t>
  </si>
  <si>
    <t>케이알시고려 B14G 편광변색 블랙</t>
  </si>
  <si>
    <t>S0358</t>
  </si>
  <si>
    <t>아리울수산</t>
  </si>
  <si>
    <t>아리울수산 사랑海 반건조 황금박대 4호세트</t>
  </si>
  <si>
    <t>사랑海 반건조 황금박대 4호세트</t>
  </si>
  <si>
    <t>P0001</t>
  </si>
  <si>
    <t>솔루엠 (※특가※) 65W 초고속 충전기</t>
  </si>
  <si>
    <t>T8798</t>
  </si>
  <si>
    <t>아이보리 바로바로잡곡 30g 30개입</t>
  </si>
  <si>
    <t>M2511M010599549933</t>
  </si>
  <si>
    <t>M2511M010599549171</t>
  </si>
  <si>
    <t>옵션 : 사이즈 - SS (L타입 30개)</t>
  </si>
  <si>
    <t>A2511M010599548771</t>
  </si>
  <si>
    <t>T7914</t>
  </si>
  <si>
    <t>행복에스앤피제지 행복을 주는 나무 순백 (3겹 30m 30롤 x 2팩)</t>
  </si>
  <si>
    <t>옵션 : 행복을 주는 나무 순백 30m x 30롤 (높이107mm) 2팩 (+14000)</t>
  </si>
  <si>
    <t>M2511M010599547107</t>
  </si>
  <si>
    <t>T39722</t>
  </si>
  <si>
    <t>친한F&amp;B 닭가슴살 갈비 스테이크 10팩</t>
  </si>
  <si>
    <t>닭가슴살 갈비 스테이크 10팩</t>
  </si>
  <si>
    <t>NW2025110804242981</t>
  </si>
  <si>
    <t>T46757</t>
  </si>
  <si>
    <t>늘푸른우리 타이벡 감귤 로얄과(2S-M) 10kg</t>
  </si>
  <si>
    <t>NW2025110713434391</t>
  </si>
  <si>
    <t>T46754</t>
  </si>
  <si>
    <t>늘푸른우리 타이벡 감귤 로얄과(2S-M) 2kg</t>
  </si>
  <si>
    <t>T39366</t>
  </si>
  <si>
    <t>기장끝집 특전복죽 5팩 보냉백세트</t>
  </si>
  <si>
    <t>옵션 :[기장끝집] 특전복죽 5팩 보냉백세트 265g*5팩</t>
  </si>
  <si>
    <t>T39520</t>
  </si>
  <si>
    <t>행복에스앤피제지 굿매너 천연 대나무 화장지 30m x 30롤 1팩</t>
  </si>
  <si>
    <t>천연 대나무 화장지 30m x 30롤 1팩</t>
  </si>
  <si>
    <t>C253115260693</t>
  </si>
  <si>
    <t>T39401</t>
  </si>
  <si>
    <t>한울생약 _리꼬 손소독티슈 70매 x10팩</t>
  </si>
  <si>
    <t>/ 리꼬 손소독티슈 70매x10팩</t>
  </si>
  <si>
    <t>C253132640313</t>
  </si>
  <si>
    <t>/ 4.5kg 가정용 황금향 중대과 12-17과</t>
  </si>
  <si>
    <t>C253135110715</t>
  </si>
  <si>
    <t>C253116130044</t>
  </si>
  <si>
    <t>T46752</t>
  </si>
  <si>
    <t>늘푸른우리 가정용 황금향 중대과 3kg (6과-10과) (실중량 2.5kg)</t>
  </si>
  <si>
    <t>/ 2.5kg 가정용 황금향 중대과 6-10과</t>
  </si>
  <si>
    <t>C253116140853</t>
  </si>
  <si>
    <t>C253116193423</t>
  </si>
  <si>
    <t>C253116200399</t>
  </si>
  <si>
    <t>A253135928599</t>
  </si>
  <si>
    <t>T45911</t>
  </si>
  <si>
    <t>오가닉K 2 베이킹소다 대용량 세탁세제 3.05L 2개입</t>
  </si>
  <si>
    <t>/ 베이킹소다 대용량 세탁세제 3.05L 2개입</t>
  </si>
  <si>
    <t>C253117263395</t>
  </si>
  <si>
    <t>A253125900817</t>
  </si>
  <si>
    <t>/ 프리미엄 유러피안 샐러드 원물 1kg</t>
  </si>
  <si>
    <t>C253136957620</t>
  </si>
  <si>
    <t>T45428</t>
  </si>
  <si>
    <t>오가닉K 2 티트리 바디워시 1500ml 프렌치라벤더 x 2개</t>
  </si>
  <si>
    <t>/ 티트리 바디워시 1500ml 프렌치라벤더 x 2개</t>
  </si>
  <si>
    <t>C253116616872</t>
  </si>
  <si>
    <t>C253116709796</t>
  </si>
  <si>
    <t>C253116758298</t>
  </si>
  <si>
    <t>A253135998522</t>
  </si>
  <si>
    <t>T39764</t>
  </si>
  <si>
    <t>늘푸른우리 총각김치(알타리김치) 2kg</t>
  </si>
  <si>
    <t>C253122641403</t>
  </si>
  <si>
    <t>C253125791676</t>
  </si>
  <si>
    <t>T39505</t>
  </si>
  <si>
    <t>참식품 파김치 1kg</t>
  </si>
  <si>
    <t>/ 파김치 1kg</t>
  </si>
  <si>
    <t>C253136349743</t>
  </si>
  <si>
    <t>T46364</t>
  </si>
  <si>
    <t>늘푸른우리 홍찰옥수수 / 2kg (15개입) / 유전자 무변형&amp;급속냉동</t>
  </si>
  <si>
    <t>C253127270721</t>
  </si>
  <si>
    <t>/ 유기농 깍두기 1kg</t>
  </si>
  <si>
    <t>C253137946899</t>
  </si>
  <si>
    <t>T39037</t>
  </si>
  <si>
    <t>참식품 동치미 1KG</t>
  </si>
  <si>
    <t>/ 동치미 1kg</t>
  </si>
  <si>
    <t>C253114222973</t>
  </si>
  <si>
    <t>T46597</t>
  </si>
  <si>
    <t>늘푸른우리 국내산 연평도 간장 순살게장 / 250g</t>
  </si>
  <si>
    <t>C253116273684</t>
  </si>
  <si>
    <t>C253116299676</t>
  </si>
  <si>
    <t>C253116448409</t>
  </si>
  <si>
    <t>C253116487680</t>
  </si>
  <si>
    <t>C253116851514</t>
  </si>
  <si>
    <t>C253118462372</t>
  </si>
  <si>
    <t>T39067</t>
  </si>
  <si>
    <t>솔루엠 15W 케이블 일체형 충전기 8 Pin</t>
  </si>
  <si>
    <t>/ 솔루엠 15W 일체형 8핀</t>
  </si>
  <si>
    <t>BA251110101109111</t>
  </si>
  <si>
    <t>BA251110091108580</t>
  </si>
  <si>
    <t>BA251110101109464</t>
  </si>
  <si>
    <t>BA251110091108757</t>
  </si>
  <si>
    <t>BA251110091108717</t>
  </si>
  <si>
    <t>BA251110101109238</t>
  </si>
  <si>
    <t>WP230501608373</t>
  </si>
  <si>
    <t>휴대폰 핸드폰 25W 초고속 충전기 어댑터 slim</t>
  </si>
  <si>
    <t>BA251110091108775</t>
  </si>
  <si>
    <t>산골 떡뻥 3종 x 5봉</t>
  </si>
  <si>
    <t>BA251110091108538</t>
  </si>
  <si>
    <t>BA251110091108331</t>
  </si>
  <si>
    <t>BA251110091108473</t>
  </si>
  <si>
    <t>BA251110091108237</t>
  </si>
  <si>
    <t>BA251110091108610</t>
  </si>
  <si>
    <t>BA251110091108393</t>
  </si>
  <si>
    <t>네이처&amp;바스룸 30m x 30롤 1팩</t>
  </si>
  <si>
    <t>BA251110101109228</t>
  </si>
  <si>
    <t>BA251110101109013</t>
  </si>
  <si>
    <t>WP240201852305</t>
  </si>
  <si>
    <t>1+1 [두피 가려움 비듬개선] 센스티브 탈모완화 샴푸 1000ml</t>
  </si>
  <si>
    <t>BA251110091108289</t>
  </si>
  <si>
    <t>BA251110091108413</t>
  </si>
  <si>
    <t>BA251110091108456</t>
  </si>
  <si>
    <t>BA251110101109276</t>
  </si>
  <si>
    <t>BCV008</t>
  </si>
  <si>
    <t>BA251110121110228</t>
  </si>
  <si>
    <t>BA251110121110460</t>
  </si>
  <si>
    <t>WP240201871685</t>
  </si>
  <si>
    <t>씨엔에스</t>
  </si>
  <si>
    <t>[안티포그] 아프지 않은 보안경/ 초경량 안경겸착 렌즈교체 가능 산업용 의료용 고글</t>
  </si>
  <si>
    <t>김서림 제로 보안경 Softgle Zero 1EA 박스</t>
  </si>
  <si>
    <t>BA251110121110254</t>
  </si>
  <si>
    <t>BA251110111109859</t>
  </si>
  <si>
    <t>BA251110111109769</t>
  </si>
  <si>
    <t>BA251110111109591</t>
  </si>
  <si>
    <t>BA251110121110223</t>
  </si>
  <si>
    <t>BA251110121110590</t>
  </si>
  <si>
    <t>BA251110121110188</t>
  </si>
  <si>
    <t>BA251110121110606</t>
  </si>
  <si>
    <t>BA251110111109834</t>
  </si>
  <si>
    <t>BA251110121110631</t>
  </si>
  <si>
    <t>이염방지시트 100매입 x 2개</t>
  </si>
  <si>
    <t>BA251110121110532</t>
  </si>
  <si>
    <t>WP250302226796</t>
  </si>
  <si>
    <t>BA251110121110336</t>
  </si>
  <si>
    <t>WP230501608367</t>
  </si>
  <si>
    <t>휴대폰 핸드폰 65W 초고속충전기 어댑터 + C타입 케이블</t>
  </si>
  <si>
    <t>BA251110121110579</t>
  </si>
  <si>
    <t>WP240201867569</t>
  </si>
  <si>
    <t>화진산업</t>
  </si>
  <si>
    <t>[친환경인증] 사탕수수 원료 위생 바이오랩 20 x 50cm</t>
  </si>
  <si>
    <t>아임퓨어바이오랩(20cm x 50M)1롤</t>
  </si>
  <si>
    <t>BA251110111110104</t>
  </si>
  <si>
    <t>BA251110121110749</t>
  </si>
  <si>
    <t>BA251110111109593</t>
  </si>
  <si>
    <t>BA251110121110690</t>
  </si>
  <si>
    <t>BA251110131111400</t>
  </si>
  <si>
    <t>BA251110131111137</t>
  </si>
  <si>
    <t>BA251110141111669</t>
  </si>
  <si>
    <t>BA251110141111602</t>
  </si>
  <si>
    <t>BA251110141111671</t>
  </si>
  <si>
    <t>BA251110141111966</t>
  </si>
  <si>
    <t>친정단호박식혜 1.5L x 3병</t>
  </si>
  <si>
    <t>BA251110141111873</t>
  </si>
  <si>
    <t>BA251110141111771</t>
  </si>
  <si>
    <t>WP240802026993</t>
  </si>
  <si>
    <t>만능 문어스커트 5개 1세트 낚시용품 미끼 바늘 / 주꾸미 갑오징어 쭈꾸미</t>
  </si>
  <si>
    <t>만능 문어스커트 5개 1세트 레드</t>
  </si>
  <si>
    <t>만능 문어스커트 5개 1세트 골드레드</t>
  </si>
  <si>
    <t>BA251110131111242</t>
  </si>
  <si>
    <t>WP241102102520</t>
  </si>
  <si>
    <t>[1+1] 흡착형 거품 깔끔말끔 대용량 욕실세정제 750ml</t>
  </si>
  <si>
    <t>깔끔말끔 대용량 욕실세정제 750ml x 2개</t>
  </si>
  <si>
    <t>BA251110141111513</t>
  </si>
  <si>
    <t>BA251110131110902</t>
  </si>
  <si>
    <t>BA251110141111651</t>
  </si>
  <si>
    <t>BA251110161113021</t>
  </si>
  <si>
    <t>BA251110151112420</t>
  </si>
  <si>
    <t>WP240201859721</t>
  </si>
  <si>
    <t>홈드라이 세제 1L 일반/드럼 겸용 니트류 패딩 와이셔츠 운동복</t>
  </si>
  <si>
    <t>홈드라이 세제 1000ml</t>
  </si>
  <si>
    <t>BA251110151112363</t>
  </si>
  <si>
    <t>BA251110171113209</t>
  </si>
  <si>
    <t>WP230701688247</t>
  </si>
  <si>
    <t>[강력 기름때 제거] 오일 클리너 500ml / 인덕션 주방 화장실</t>
  </si>
  <si>
    <t>주방비책 오일 클리너 500ml</t>
  </si>
  <si>
    <t>BA251110171113216</t>
  </si>
  <si>
    <t>맛조은삼치구이 300g(30g x 10입)</t>
  </si>
  <si>
    <t>BA251110151112168</t>
  </si>
  <si>
    <t>BA251110161112868</t>
  </si>
  <si>
    <t>BA251110151112473</t>
  </si>
  <si>
    <t>BA251110161113155</t>
  </si>
  <si>
    <t>BA251110151112297</t>
  </si>
  <si>
    <t>BA251110151112113</t>
  </si>
  <si>
    <t>BA251110161112923</t>
  </si>
  <si>
    <t>[스피드랙] 가로 1200 / 폭 300 / 높이 1800 / 선반 수량 5개</t>
  </si>
  <si>
    <t>[스피드랙] 가로 1100 / 폭 400 / 높이 1800 / 선반 수량 4개</t>
  </si>
  <si>
    <t>BA251110191114564</t>
  </si>
  <si>
    <t>프리미엄 알칼리 죽염 분말 250g</t>
  </si>
  <si>
    <t>BA251110211115836</t>
  </si>
  <si>
    <t>BA251111051118477</t>
  </si>
  <si>
    <t>BA251110171113571</t>
  </si>
  <si>
    <t>BA251111061118600</t>
  </si>
  <si>
    <t>BA251110211116431</t>
  </si>
  <si>
    <t>BA251110201115021</t>
  </si>
  <si>
    <t>BA251110191114868</t>
  </si>
  <si>
    <t>WP250702426813</t>
  </si>
  <si>
    <t>[여드름피부 적합 임상완료] 저자극 진정 수분 각질 토탈케어 sos 스팟 클리어링 크림 25ml</t>
  </si>
  <si>
    <t>sos 스팟 클리어링 크림 25ml 2개</t>
  </si>
  <si>
    <t>BA251110231117601</t>
  </si>
  <si>
    <t>BA251110221117119</t>
  </si>
  <si>
    <t>BA251110221116977</t>
  </si>
  <si>
    <t>BA251110221117196</t>
  </si>
  <si>
    <t>BA251111001118019</t>
  </si>
  <si>
    <t>WP230901727301</t>
  </si>
  <si>
    <t>대용량 제로 칼로리 복숭아 아이스티 1.5L (12개입)</t>
  </si>
  <si>
    <t>복숭아 아이스티 제로 1500ml 12개</t>
  </si>
  <si>
    <t>BA251111041118404</t>
  </si>
  <si>
    <t>BA251110191114460</t>
  </si>
  <si>
    <t>BA251110191114823</t>
  </si>
  <si>
    <t>BA251111011118203</t>
  </si>
  <si>
    <t>BA251110211115807</t>
  </si>
  <si>
    <t>BA251110211115958</t>
  </si>
  <si>
    <t>BA251111011118200</t>
  </si>
  <si>
    <t>BA251111051118461</t>
  </si>
  <si>
    <t>BA251111061118543</t>
  </si>
  <si>
    <t>WP230101487556</t>
  </si>
  <si>
    <t>제주마미</t>
  </si>
  <si>
    <t>제주밥씸 가파도 청보리, 제주 산듸쌀 누룽지 (18g*10ea)</t>
  </si>
  <si>
    <t>제주밥씸 청보리, 제주산듸쌀 누룽지(18G*10ea)</t>
  </si>
  <si>
    <t>BA251110201115591</t>
  </si>
  <si>
    <t>BA251110171113628</t>
  </si>
  <si>
    <t>BA251110191114803</t>
  </si>
  <si>
    <t>BA251110201115287</t>
  </si>
  <si>
    <t>BA251110211115752</t>
  </si>
  <si>
    <t>BA251110171113724</t>
  </si>
  <si>
    <t>BA251110201115502</t>
  </si>
  <si>
    <t>BA251111021118296</t>
  </si>
  <si>
    <t>BA251110181114256</t>
  </si>
  <si>
    <t>BA251110231117331</t>
  </si>
  <si>
    <t>WP240401944218</t>
  </si>
  <si>
    <t>[1+1]딥클린 기름때클리너 800ml/베이킹소다 함유/ 주방벽면 가스렌지 후드 전자레인지 오염물제거</t>
  </si>
  <si>
    <t>딥클린 기름때 세정제 800ml 2개입</t>
  </si>
  <si>
    <t>BA251111001118073</t>
  </si>
  <si>
    <t>9회 죽염 분말 / 230g</t>
  </si>
  <si>
    <t>BA251111061118527</t>
  </si>
  <si>
    <t>WP241002062086</t>
  </si>
  <si>
    <t>루셀 메타쁘레 20 40리터/ 가정용 지문인식 경보기 터치 디스플레이 금고</t>
  </si>
  <si>
    <t>MC-020(HB)</t>
  </si>
  <si>
    <t>BA251110191114877</t>
  </si>
  <si>
    <t>BA251110221116732</t>
  </si>
  <si>
    <t>BA251110221117195</t>
  </si>
  <si>
    <t>WP250602392231</t>
  </si>
  <si>
    <t>연예인극찬 터키 튀르키예 텍서트 카이막 치즈 180g (2개입) 전통발효 발라먹는우유 수제디저트</t>
  </si>
  <si>
    <t>튀르키예 크레막 카이막 180g (2개입)</t>
  </si>
  <si>
    <t>BA251110191114481</t>
  </si>
  <si>
    <t>BA251110201115271</t>
  </si>
  <si>
    <t>BA251111031118334</t>
  </si>
  <si>
    <t>BA251110211115708</t>
  </si>
  <si>
    <t>BA251110181113803</t>
  </si>
  <si>
    <t>BA251110221116606</t>
  </si>
  <si>
    <t>WP240702004269</t>
  </si>
  <si>
    <t>HACCP 국내산 유기농 전라도 포기 배추김치 1kg 2kg 3kg 5kg</t>
  </si>
  <si>
    <t>유기농 포기김치 1kg</t>
  </si>
  <si>
    <t>BA251110211115646</t>
  </si>
  <si>
    <t>BA251110191114620</t>
  </si>
  <si>
    <t>BA251110191114826</t>
  </si>
  <si>
    <t>WP230401597455</t>
  </si>
  <si>
    <t>튀기지 않은 건조 100% 과일그대로 프리미엄 가족 건강간식 과일칩 5봉 / 귤 배 감 사과 딸기 무화과</t>
  </si>
  <si>
    <t>아비삭과일칩 딸기 5봉</t>
  </si>
  <si>
    <t>BA251111031118314</t>
  </si>
  <si>
    <t>WP231201799843</t>
  </si>
  <si>
    <t>홍삼 유산균 발효 4년근 도라지 고 220g</t>
  </si>
  <si>
    <t>홍삼 유산균 발효 도라지 고 220g</t>
  </si>
  <si>
    <t>BA251111031118320</t>
  </si>
  <si>
    <t>BA251111011118167</t>
  </si>
  <si>
    <t>BA251110231117821</t>
  </si>
  <si>
    <t>M / 화이트 KF94M50W</t>
  </si>
  <si>
    <t>S / 화이트 KF94S50W</t>
  </si>
  <si>
    <t>BA251110191114601</t>
  </si>
  <si>
    <t>BA251110221117289</t>
  </si>
  <si>
    <t>BA251110191114522</t>
  </si>
  <si>
    <t>BA251110191114698</t>
  </si>
  <si>
    <t>BA251110201114990</t>
  </si>
  <si>
    <t>BA251110201115228</t>
  </si>
  <si>
    <t>WP230101482091</t>
  </si>
  <si>
    <t>국산 BLDC 드라이기 PD-V1700 반영구적 모터수명</t>
  </si>
  <si>
    <t>PD-V1700DS 다크실버</t>
  </si>
  <si>
    <t>BA251110211116298</t>
  </si>
  <si>
    <t>BA251110231117380</t>
  </si>
  <si>
    <t>BA251111001117946</t>
  </si>
  <si>
    <t>BA251110221116973</t>
  </si>
  <si>
    <t>BA251110221116859</t>
  </si>
  <si>
    <t>BA251110221116808</t>
  </si>
  <si>
    <t>BA251110201115529</t>
  </si>
  <si>
    <t>BA251111011118173</t>
  </si>
  <si>
    <t>임순희식혜 500ml x 10병</t>
  </si>
  <si>
    <t>BA251110171113429</t>
  </si>
  <si>
    <t>티플레이스 당&amp;NO차 삼각티백</t>
  </si>
  <si>
    <t>BA251111011118170</t>
  </si>
  <si>
    <t>BA251111011118177</t>
  </si>
  <si>
    <t>임순희식혜 340ml x 5병+단호박식혜340ml x 5병</t>
  </si>
  <si>
    <t>BA251110171113706</t>
  </si>
  <si>
    <t>BA251110201115024</t>
  </si>
  <si>
    <t>WP241002059110</t>
  </si>
  <si>
    <t>68gsm 레이온 100% 저자극 생분해물티슈 더 플래닛 어스 70매x10팩 아기물티슈</t>
  </si>
  <si>
    <t>리꼬베이비 더 플래닛 어스 물티슈 70매 X 10팩</t>
  </si>
  <si>
    <t>BA251110211116093</t>
  </si>
  <si>
    <t>BA251110171113309</t>
  </si>
  <si>
    <t>BA251110181113960</t>
  </si>
  <si>
    <t>L / 베이지 KF94L50B</t>
  </si>
  <si>
    <t>BA251110191114827</t>
  </si>
  <si>
    <t>WP230501608402</t>
  </si>
  <si>
    <t>프리미엄 도어패널 리얼메탈 지문인식 금고 비욘드 36L 64L / 패널 교체가능</t>
  </si>
  <si>
    <t>BEYOND BY500 소형 내화금고 36L / 티타늄블랙</t>
  </si>
  <si>
    <t>BA251110201115016</t>
  </si>
  <si>
    <t>BA251110211116206</t>
  </si>
  <si>
    <t>BA251110201115138</t>
  </si>
  <si>
    <t>BA251110211116109</t>
  </si>
  <si>
    <t>BA251110221117124</t>
  </si>
  <si>
    <t>BA251110211115722</t>
  </si>
  <si>
    <t>BA251110201115447</t>
  </si>
  <si>
    <t>BA251110211116103</t>
  </si>
  <si>
    <t>BA251110201115362</t>
  </si>
  <si>
    <t>BA251110221117022</t>
  </si>
  <si>
    <t>BA251110231117450</t>
  </si>
  <si>
    <t>WP230501613874</t>
  </si>
  <si>
    <t>가볍고 귀편한 컬러마스크 KF94 KF80 30매 대/ 중/ 소/ 소소/ 초소형</t>
  </si>
  <si>
    <t>미마 컬러마스크 KF94 30개입 - 아이보리 중형(M)</t>
  </si>
  <si>
    <t>BA251110191114545</t>
  </si>
  <si>
    <t>하얀티슈 18m 30R 2팩</t>
  </si>
  <si>
    <t>BA251111061118607</t>
  </si>
  <si>
    <t>BA251111071118691</t>
  </si>
  <si>
    <t>BA251111081119102</t>
  </si>
  <si>
    <t>BA251111071118821</t>
  </si>
  <si>
    <t>BA251111081119210</t>
  </si>
  <si>
    <t>BA251111081119426</t>
  </si>
  <si>
    <t>BA251111071118862</t>
  </si>
  <si>
    <t>BA251111081119236</t>
  </si>
  <si>
    <t>WP230401547475</t>
  </si>
  <si>
    <t>헤모나후코이단 2주의기적 모발 수 빠짐 개선 비듬,가려움완화 두피진정 보습개선 안티 헤어로스 샴푸</t>
  </si>
  <si>
    <t>안티 헤어로스 샴푸 300ml</t>
  </si>
  <si>
    <t>BA251111081119065</t>
  </si>
  <si>
    <t>BA251111071118727</t>
  </si>
  <si>
    <t>WP230401597102</t>
  </si>
  <si>
    <t>BA251111071118806</t>
  </si>
  <si>
    <t>BA251111081119372</t>
  </si>
  <si>
    <t>BA251111081119295</t>
  </si>
  <si>
    <t>BA251111081119499</t>
  </si>
  <si>
    <t>김부각 65g x 11ea</t>
  </si>
  <si>
    <t>BA251111071118989</t>
  </si>
  <si>
    <t>디저트 곶감 (옥천준시 3구) 4개모음</t>
  </si>
  <si>
    <t>BA251111081119379</t>
  </si>
  <si>
    <t>WP230901723535</t>
  </si>
  <si>
    <t>반려동물 저소음 저진동 무선 펫 애완 이발기+2개의 빗살캡</t>
  </si>
  <si>
    <t>저소음 애견이발기 PC-A2501</t>
  </si>
  <si>
    <t>BA251111081119402</t>
  </si>
  <si>
    <t>WP250302241297</t>
  </si>
  <si>
    <t>사계절 무봉제 버프 튜브나인오리지날/ 자외선차단 흡한속건 넥워머</t>
  </si>
  <si>
    <t>튜브나인오리지날 nt07</t>
  </si>
  <si>
    <t>BA251111071118950</t>
  </si>
  <si>
    <t>AA251110121110672</t>
  </si>
  <si>
    <t>AA251110111109725</t>
  </si>
  <si>
    <t>AA251110131110797</t>
  </si>
  <si>
    <t>SP250902488251</t>
  </si>
  <si>
    <t>AA251110131110805</t>
  </si>
  <si>
    <t>AA251110161112603</t>
  </si>
  <si>
    <t>SP251102535835</t>
  </si>
  <si>
    <t>올 스테인레스스 121 마스터플러스 2.1 초고압 10인용 IH 전기 밥솥</t>
  </si>
  <si>
    <t>CRT-PWPS1012SR</t>
  </si>
  <si>
    <t>AA251110161112977</t>
  </si>
  <si>
    <t>AA251110201115057</t>
  </si>
  <si>
    <t>SP250702420394</t>
  </si>
  <si>
    <t>[1+1]모발빠짐 두피 피지 개선 오브제 지성 두피케어 기능성 탈모샴푸 1L /시어버터함유</t>
  </si>
  <si>
    <t>오브제 지성 두피케어 탈모샴푸 1L 2개</t>
  </si>
  <si>
    <t>AA251110221116689</t>
  </si>
  <si>
    <t>AA251110221117228</t>
  </si>
  <si>
    <t>AA251110211116216</t>
  </si>
  <si>
    <t>SP240702005113</t>
  </si>
  <si>
    <t>511126 야채김밥 8개</t>
  </si>
  <si>
    <t>AA251110181114224</t>
  </si>
  <si>
    <t>AA251110231117484</t>
  </si>
  <si>
    <t>SP240101844067</t>
  </si>
  <si>
    <t>AA251110231117362</t>
  </si>
  <si>
    <t>SP230601647840</t>
  </si>
  <si>
    <t>SP231001748618</t>
  </si>
  <si>
    <t>아로마 실내 방향제 디퓨저 200ml 2개입 9종향</t>
  </si>
  <si>
    <t>디퓨저 200ml 2개입 블랙체리</t>
  </si>
  <si>
    <t>AA251110191114386</t>
  </si>
  <si>
    <t>G0198</t>
  </si>
  <si>
    <t>제니스 2팩 티셔츠(반팔) 4계절용 (화이트 + 화이트 120)</t>
  </si>
  <si>
    <t>FAME 유기농 쏘팔메토 1개</t>
  </si>
  <si>
    <t>[트라이] 베이직 런닝 세트 베이직/60수/100수 (3매 5매 /SB01,ST09,ST08)) 상품: 트라이 면100% 베이직 런닝 3매 세트 SB01 | 사이즈: 100</t>
  </si>
  <si>
    <t>G0199</t>
  </si>
  <si>
    <t>제니스 2팩 티셔츠(반팔) 4계절용 (화이트 + 블랙 95)</t>
  </si>
  <si>
    <t>화이트+블랙 95</t>
  </si>
  <si>
    <t>T46811</t>
  </si>
  <si>
    <t>한국맥널티 행복을주는커피 디카페인 헤이즐넛향 분쇄 커피원두 226g</t>
  </si>
  <si>
    <t>제품선택:행복을주는커피 디카페인 헤이즐넛향 분쇄 커피원두 226g 1 개 (+0 원)</t>
  </si>
  <si>
    <t>제품선택:소래찬 국내산 포기김치 5kg 1 개 (+7,900 원)</t>
  </si>
  <si>
    <t>T45783</t>
  </si>
  <si>
    <t>오유 피지쓱싹 딥 클렌징 오일 200ml</t>
  </si>
  <si>
    <t>제품선택:피지쓱싹 딥 클렌징 오일 200ml 1 개 (+0 원)</t>
  </si>
  <si>
    <t>S0211</t>
  </si>
  <si>
    <t>꿀팁몰 [2구]한우혼합선물세트 1호/ 꽃등심300g+양지300g</t>
  </si>
  <si>
    <t>T7755</t>
  </si>
  <si>
    <t>한국맥널티 아메리카노 아이스 블랙 (1g x 100개입) x 2개 + 리유저블컵 (색상랜덤)</t>
  </si>
  <si>
    <t>T46583</t>
  </si>
  <si>
    <t>오가닉K 2 바세린 모이스처 립밤 에센스 10ml 4개</t>
  </si>
  <si>
    <t>T39539</t>
  </si>
  <si>
    <t>행복에스앤피제지 뷰티앤소프트 30m x 30롤 1팩</t>
  </si>
  <si>
    <t>뷰티앤소프트 30m x 30롤 1팩</t>
  </si>
  <si>
    <t>T7877</t>
  </si>
  <si>
    <t>오가닉K 살림백서 라이스 &amp; 허브 핸드워시 (1+1) 딥그린시더우드 500ml</t>
  </si>
  <si>
    <t>핸드워시 500ml 2개입 딥그린시더우드</t>
  </si>
  <si>
    <t>2025111100504650794F</t>
  </si>
  <si>
    <t>P0163</t>
  </si>
  <si>
    <t>오가닉K 살림백서 베이비&amp;키즈 아기 1종 주방세제 무향 500ml 2개입</t>
  </si>
  <si>
    <t>아기주방세제 500ml 2개입</t>
  </si>
  <si>
    <t>2025111020004745872F</t>
  </si>
  <si>
    <t>2025111019533145725F</t>
  </si>
  <si>
    <t>T8154</t>
  </si>
  <si>
    <t>오가닉K 살림백서 라이스 앤 허브 디퓨저 (200ml x 2개입) 모겐</t>
  </si>
  <si>
    <t>디퓨저 200ml 2개입 모겐</t>
  </si>
  <si>
    <t>2025111015023039735F</t>
  </si>
  <si>
    <t>T39327</t>
  </si>
  <si>
    <t>오가닉K 주방세제 1L x 2개입 청귤향</t>
  </si>
  <si>
    <t>2025111012251236519F</t>
  </si>
  <si>
    <t>2025111012043036253F</t>
  </si>
  <si>
    <t>T5496</t>
  </si>
  <si>
    <t>스피드랙 화이트 [ 1100 / 600 / 2400 / 4단］</t>
  </si>
  <si>
    <t>스피드랙 가로 1100 / 폭 600 / 높이 2400 / 선반수량 4개</t>
  </si>
  <si>
    <t>T38617</t>
  </si>
  <si>
    <t>한우물 511303 소불고기 볶음밥 (300g x 6개) + 잡채 볶음밥 (300g x 6개)</t>
  </si>
  <si>
    <t>[한우물] 볶음밥 17종 (12개)세트 선택1: 소불고기볶음밥 6개+잡채볶음밥 6개</t>
  </si>
  <si>
    <t>당제로 스테비아 믹스커피 100개입 + 30개입 상품: 당제로 스테비아 믹스커피 100개입 + 30개입</t>
  </si>
  <si>
    <t>T44977</t>
  </si>
  <si>
    <t>어메스 꾼감자빵 10개입</t>
  </si>
  <si>
    <t>옵션:꾼감자빵 10개입</t>
  </si>
  <si>
    <t>J10217628172621215813116944</t>
  </si>
  <si>
    <t>P0170</t>
  </si>
  <si>
    <t>경동한과 찹쌀혼합세트 1kg 쇼핑백동봉</t>
  </si>
  <si>
    <t>제품옵션/찹쌀혼합세트 1kg 쇼핑백동봉</t>
  </si>
  <si>
    <t>J50220251110183043813313066563</t>
  </si>
  <si>
    <t>T38551</t>
  </si>
  <si>
    <t>한우물 511237 김치 볶음밥 (300g x 6개) + 참치김치 볶음밥 (300g x 6개)</t>
  </si>
  <si>
    <t>김치볶음밥 6개+참치김치볶음밥 6개</t>
  </si>
  <si>
    <t>J50220251104201600298213066563</t>
  </si>
  <si>
    <t>T38629</t>
  </si>
  <si>
    <t>한우물 511315 야채 볶음밥 (300g x 6개) + 치킨데리야끼 볶음밥 (300g x 6개)</t>
  </si>
  <si>
    <t>야채볶음밥 6개+치킨데리야끼볶음밥 6개</t>
  </si>
  <si>
    <t>T39587</t>
  </si>
  <si>
    <t>T44831</t>
  </si>
  <si>
    <t>무지개영농조합법인 생모짜렐라 치즈 200g 3개</t>
  </si>
  <si>
    <t>생모짜렐라 치즈 200g 3개</t>
  </si>
  <si>
    <t>T39586</t>
  </si>
  <si>
    <t>S0323</t>
  </si>
  <si>
    <t>예당식품 통과일 사과주스140mlx40팩 선물용(보자기 포장)</t>
  </si>
  <si>
    <t>맘스초이스 통과일 사과주스 추석 선물세트(140mlx40팩)</t>
  </si>
  <si>
    <t>M2511M010599558237</t>
  </si>
  <si>
    <t>M2511M010599557644</t>
  </si>
  <si>
    <t>NW2025110901435729</t>
  </si>
  <si>
    <t>T45116</t>
  </si>
  <si>
    <t>행복에스앤피제지 행복한집 키친타올 130매 x 6롤 3팩</t>
  </si>
  <si>
    <t>옵션:행복한집 키친타올 130매 x 6롤 3팩</t>
  </si>
  <si>
    <t>G25111100233</t>
  </si>
  <si>
    <t>T45921</t>
  </si>
  <si>
    <t>해미원</t>
  </si>
  <si>
    <t>해미원 완도 활전복 소 17-20미 1kg</t>
  </si>
  <si>
    <t>완도 활전복 소 17-20미 1kg</t>
  </si>
  <si>
    <t>S0179</t>
  </si>
  <si>
    <t>새벽마을홍삼 석류농축액 70ml 30포</t>
  </si>
  <si>
    <t>옵션 :[새벽마을홍삼] [추석선물] 100% 터기산 석류 농축액 명절 선물세트 석류농축액 70ml 30포</t>
  </si>
  <si>
    <t>T8371</t>
  </si>
  <si>
    <t>행복에스앤피제지 더 화이트 3겹 (25M 30롤) 1팩</t>
  </si>
  <si>
    <t>C253146029907</t>
  </si>
  <si>
    <t>T46817</t>
  </si>
  <si>
    <t>늘푸른우리 가정용 시나노골드 소과 2kg (12-14과)</t>
  </si>
  <si>
    <t>/ 가정용 시나노골드 소과 2kg (12-14과)</t>
  </si>
  <si>
    <t>C253145143200</t>
  </si>
  <si>
    <t>C253145145043</t>
  </si>
  <si>
    <t>C253146248371</t>
  </si>
  <si>
    <t>C253144768612</t>
  </si>
  <si>
    <t>/ 딥 모이스춰 바세린 바디워시 1,000ml, x 2개</t>
  </si>
  <si>
    <t>BA251111101120020</t>
  </si>
  <si>
    <t>BA251111091119595</t>
  </si>
  <si>
    <t>BA251111091119861</t>
  </si>
  <si>
    <t>BA251111091119607</t>
  </si>
  <si>
    <t>BA251111101120281</t>
  </si>
  <si>
    <t>BA251111091119680</t>
  </si>
  <si>
    <t>BA251111101120442</t>
  </si>
  <si>
    <t>BA251111091119638</t>
  </si>
  <si>
    <t>BA251111091119631</t>
  </si>
  <si>
    <t>리꼬 손소독티슈 20매x30팩</t>
  </si>
  <si>
    <t>BA251111091119732</t>
  </si>
  <si>
    <t>BA251111091119880</t>
  </si>
  <si>
    <t>BA251111091119547</t>
  </si>
  <si>
    <t>BA251111121122743</t>
  </si>
  <si>
    <t>[홈던트] 가로 800 / 폭 500 / 높이 1650 / 행거단 0개 / 선반단 2개</t>
  </si>
  <si>
    <t>BA251111111122085</t>
  </si>
  <si>
    <t>BA251111121122188</t>
  </si>
  <si>
    <t>BA251111121122778</t>
  </si>
  <si>
    <t>BA251111111121218</t>
  </si>
  <si>
    <t>BA251111111122031</t>
  </si>
  <si>
    <t>BA251111111121520</t>
  </si>
  <si>
    <t>BA251111111122107</t>
  </si>
  <si>
    <t>BA251111111122121</t>
  </si>
  <si>
    <t>BA251111111121704</t>
  </si>
  <si>
    <t>BA251111131123405</t>
  </si>
  <si>
    <t>WP230201525386</t>
  </si>
  <si>
    <t>농업회사법인 이도</t>
  </si>
  <si>
    <t>비움으로서 내면의 아름다움 / 발효 연잎차</t>
  </si>
  <si>
    <t>맑고 깨끗한 이미지 그대로 연잎차</t>
  </si>
  <si>
    <t>BA251111141124927</t>
  </si>
  <si>
    <t>BA251111141124947</t>
  </si>
  <si>
    <t>BA251111131122996</t>
  </si>
  <si>
    <t>WP250302225704</t>
  </si>
  <si>
    <t>방수등급 6단계 트리플헤드 피부밀착 전기면도기 Z7/ 트리머 기능</t>
  </si>
  <si>
    <t>PS-Z730</t>
  </si>
  <si>
    <t>BA251111141124639</t>
  </si>
  <si>
    <t>[스피드랙] 가로 800 / 폭 400 / 높이 1800 / 선반 수량 3개</t>
  </si>
  <si>
    <t>BA251111131123114</t>
  </si>
  <si>
    <t>BA251111141124873</t>
  </si>
  <si>
    <t>BA251111141124771</t>
  </si>
  <si>
    <t>BA251111131123313</t>
  </si>
  <si>
    <t>WP230601636420</t>
  </si>
  <si>
    <t>BA251111141124525</t>
  </si>
  <si>
    <t>BA251111131123328</t>
  </si>
  <si>
    <t>제주 과실차 6호 선물세트</t>
  </si>
  <si>
    <t>BA251111141124953</t>
  </si>
  <si>
    <t>BA251111131122915</t>
  </si>
  <si>
    <t>WP241102097586</t>
  </si>
  <si>
    <t>[1+1] pH 5.5 미산성 티트리 앤 로즈마리 대용량 샴푸 1500ml</t>
  </si>
  <si>
    <t>티트리 샴푸 1500ml 프렌치라벤더 x 2개</t>
  </si>
  <si>
    <t>WP241102097775</t>
  </si>
  <si>
    <t>[판테놀+세라마이드 함유] 티트리 앤 로즈마리 대용량 약산성 트리트먼트 1500ml</t>
  </si>
  <si>
    <t>티트리 트리트먼트 1500ml 프렌치라벤더 x 2개</t>
  </si>
  <si>
    <t>BA251111141124657</t>
  </si>
  <si>
    <t>BA251111141124778</t>
  </si>
  <si>
    <t>MC-40AL(CB)</t>
  </si>
  <si>
    <t>BA251111131123148</t>
  </si>
  <si>
    <t>BA251111131123157</t>
  </si>
  <si>
    <t>BA251111131123153</t>
  </si>
  <si>
    <t>BA251111131123396</t>
  </si>
  <si>
    <t>BA251111141124857</t>
  </si>
  <si>
    <t>BA251111131123113</t>
  </si>
  <si>
    <t>BA251111151125062</t>
  </si>
  <si>
    <t>BA251111161125881</t>
  </si>
  <si>
    <t>BA251111161126000</t>
  </si>
  <si>
    <t>BA251111161125773</t>
  </si>
  <si>
    <t>WP241202143336</t>
  </si>
  <si>
    <t>수제 NO밀가루 생감자 감자채전 500g (5장)</t>
  </si>
  <si>
    <t>100% 국내산 생감자 감자채전 500g (5장)</t>
  </si>
  <si>
    <t>BA251111151125358</t>
  </si>
  <si>
    <t>BA251111151125429</t>
  </si>
  <si>
    <t>BA251111161125767</t>
  </si>
  <si>
    <t>BA251111161125987</t>
  </si>
  <si>
    <t>BA251111151125396</t>
  </si>
  <si>
    <t>BA251111161126145</t>
  </si>
  <si>
    <t>BA251111161126071</t>
  </si>
  <si>
    <t>BA251111151125258</t>
  </si>
  <si>
    <t>BA251111151125351</t>
  </si>
  <si>
    <t>WP230101484962</t>
  </si>
  <si>
    <t>[3분완성] 착한들 농협 100%한우곰탕330ml x 8입</t>
  </si>
  <si>
    <t>농협 한우곰탕330ml 8입세트</t>
  </si>
  <si>
    <t>BA251111151125504</t>
  </si>
  <si>
    <t>BA251111161125712</t>
  </si>
  <si>
    <t>BA251111161125892</t>
  </si>
  <si>
    <t>WP240702005186</t>
  </si>
  <si>
    <t>파스타310g 4종류 세트/ 미트볼로로네 바질포모도로 버섯크림 쉬림프알리오올리오 /즉석간편식사식품음식</t>
  </si>
  <si>
    <t>511155 미트볼볼로네제파스타 3개+바질포모도로파스타 3개</t>
  </si>
  <si>
    <t>BA251111151125142</t>
  </si>
  <si>
    <t>BA251111221129890</t>
  </si>
  <si>
    <t>BA251112021131198</t>
  </si>
  <si>
    <t>BA251111221129477</t>
  </si>
  <si>
    <t>WP230701688033</t>
  </si>
  <si>
    <t>남여공용 자전거 어반 헬멧 크루즈 /벤트홀 통풍</t>
  </si>
  <si>
    <t>크루즈 헬멧 메타블랙 / L</t>
  </si>
  <si>
    <t>크루즈 헬멧 더스트블루 / M</t>
  </si>
  <si>
    <t>BA251111201127954</t>
  </si>
  <si>
    <t>BA251112001130935</t>
  </si>
  <si>
    <t>BA251111181126696</t>
  </si>
  <si>
    <t>행복한집 키친타올 130매 x 6롤 3팩</t>
  </si>
  <si>
    <t>BA251111191127643</t>
  </si>
  <si>
    <t>BA251111221129532</t>
  </si>
  <si>
    <t>BA251111221129842</t>
  </si>
  <si>
    <t>BA251111211129055</t>
  </si>
  <si>
    <t>WP240401934396</t>
  </si>
  <si>
    <t>햄프씨드 식물성 단백질 쉐이크(곡물, 흑임자) 14팩 / 다이어트 식사대용 한끼식사</t>
  </si>
  <si>
    <t>햄프씨드쉐이크 곡물맛x7팩+흑임자x7팩</t>
  </si>
  <si>
    <t>BA251111231130286</t>
  </si>
  <si>
    <t>BA251111191127686</t>
  </si>
  <si>
    <t>BA251112001130908</t>
  </si>
  <si>
    <t>BA251112001130883</t>
  </si>
  <si>
    <t>WP230101497486</t>
  </si>
  <si>
    <t>아이스블랙 100T x 2개 +리유저블컵 (색상랜덤)</t>
  </si>
  <si>
    <t>BA251111181126818</t>
  </si>
  <si>
    <t>BA251111201127969</t>
  </si>
  <si>
    <t>BA251111211128738</t>
  </si>
  <si>
    <t>BA251111231130140</t>
  </si>
  <si>
    <t>BA251111231130248</t>
  </si>
  <si>
    <t>BA251112061131550</t>
  </si>
  <si>
    <t>BA251111211128515</t>
  </si>
  <si>
    <t>BA251111221129926</t>
  </si>
  <si>
    <t>BA251111171126357</t>
  </si>
  <si>
    <t>멸치10개+해물10개+사골10개</t>
  </si>
  <si>
    <t>BA251111191127535</t>
  </si>
  <si>
    <t>BA251111221129714</t>
  </si>
  <si>
    <t>WP241102102529</t>
  </si>
  <si>
    <t>[1+1] 깔끔말끔 뿌리는 곰팡이제거제 750ml/ 아스페르질루스균,대장균,녹농균,황색포도상구균 테스트 완료</t>
  </si>
  <si>
    <t>깔끔말끔 뿌리는 곰팡이제거제 750ml x 2개</t>
  </si>
  <si>
    <t>BA251111221129359</t>
  </si>
  <si>
    <t>WP231101780331</t>
  </si>
  <si>
    <t>프리미엄 비데겸용 천연펄프 무형광 4겹 화장지 27m 30롤</t>
  </si>
  <si>
    <t>굿매너 4겹 프리미엄 화장지 27m x 30롤 1팩</t>
  </si>
  <si>
    <t>BA251111221129843</t>
  </si>
  <si>
    <t>BA251111171126578</t>
  </si>
  <si>
    <t>BA251111221129620</t>
  </si>
  <si>
    <t>BA251111231130639</t>
  </si>
  <si>
    <t>BA251111201128129</t>
  </si>
  <si>
    <t>[스피드랙] 가로 900 / 폭 400 / 높이 2100 / 선반 수량 5개</t>
  </si>
  <si>
    <t>BA251111221129937</t>
  </si>
  <si>
    <t>BA251111201128228</t>
  </si>
  <si>
    <t>BA251111231130354</t>
  </si>
  <si>
    <t>511245 낙지볶음밥 6개+새우볶음밥 6개</t>
  </si>
  <si>
    <t>BA251112001131009</t>
  </si>
  <si>
    <t>BA251111211129225</t>
  </si>
  <si>
    <t>녹차 낙지젓 400g</t>
  </si>
  <si>
    <t>BA251111231130223</t>
  </si>
  <si>
    <t>BA251111181127080</t>
  </si>
  <si>
    <t>BA251111181127109</t>
  </si>
  <si>
    <t>WP230501613887</t>
  </si>
  <si>
    <t>백화점 입점 / 국내산 통과일 어린이 사과 배주스 100mlx18팩 2박스</t>
  </si>
  <si>
    <t>통과일 어린이 사과주스 100mlx18팩 2박스</t>
  </si>
  <si>
    <t>BA251111211128535</t>
  </si>
  <si>
    <t>BA251111221129701</t>
  </si>
  <si>
    <t>WP240201862448</t>
  </si>
  <si>
    <t>링크 필터, 프로 휴대용샤워기 전용 항바이러스 옴니아 리필필터</t>
  </si>
  <si>
    <t>링크 / 프로 휴대용 샤워기용 리필필터 2개입</t>
  </si>
  <si>
    <t>BA251111231130691</t>
  </si>
  <si>
    <t>[스피드랙] 가로 800 / 폭 400 / 높이 1950 / 선반 수량 5개</t>
  </si>
  <si>
    <t>BA251111191127358</t>
  </si>
  <si>
    <t>BA251111211129220</t>
  </si>
  <si>
    <t>빛깔찬 고춧가루 (지퍼백용)1kg 보통맛 고추장용</t>
  </si>
  <si>
    <t>BA251111231130281</t>
  </si>
  <si>
    <t>BA251111191127764</t>
  </si>
  <si>
    <t>BA251111211128661</t>
  </si>
  <si>
    <t>BA251111231130720</t>
  </si>
  <si>
    <t>BA251112021131221</t>
  </si>
  <si>
    <t>[스피드랙] 가로 700 / 폭 400 / 높이 1800 / 선반 수량 3개</t>
  </si>
  <si>
    <t>BA251111211129087</t>
  </si>
  <si>
    <t>BA251111201127935</t>
  </si>
  <si>
    <t>BA251111211128640</t>
  </si>
  <si>
    <t>BA251111171126583</t>
  </si>
  <si>
    <t>BA251111211129235</t>
  </si>
  <si>
    <t>BA251111191127464</t>
  </si>
  <si>
    <t>BA251112031131318</t>
  </si>
  <si>
    <t>BA251111181126702</t>
  </si>
  <si>
    <t>BA251111231130533</t>
  </si>
  <si>
    <t>BA251111221130074</t>
  </si>
  <si>
    <t>BA251111191127388</t>
  </si>
  <si>
    <t>BA251111201127853</t>
  </si>
  <si>
    <t>BA251111231130518</t>
  </si>
  <si>
    <t>WP230101505834</t>
  </si>
  <si>
    <t>농협한우곰탕 500g x 6팩</t>
  </si>
  <si>
    <t>BA251111231130148</t>
  </si>
  <si>
    <t>사이즈 - M</t>
  </si>
  <si>
    <t>BA251111191127261</t>
  </si>
  <si>
    <t>BA251111201127862</t>
  </si>
  <si>
    <t>소노시즌 매트리스 방수 이너커버 SS</t>
  </si>
  <si>
    <t>BA251111201128002</t>
  </si>
  <si>
    <t>대형 라이트그레이 50매 ePTFEL50LG</t>
  </si>
  <si>
    <t>BA251111201128031</t>
  </si>
  <si>
    <t>BA251112001130817</t>
  </si>
  <si>
    <t>소노시즌 피톤치드 3.0 리츄얼 스프레이 파인트리(세트)</t>
  </si>
  <si>
    <t>소노시즌 피톤치드 3.0 리츄얼 스프레이 파인트리(리필)</t>
  </si>
  <si>
    <t>BA251111181126986</t>
  </si>
  <si>
    <t>BA251111211128721</t>
  </si>
  <si>
    <t>WP230501599863</t>
  </si>
  <si>
    <t>[프리미엄 선물세트] 녹차 젓갈 120g 6종 세트 / 오징어젓 낙지젓 창란젓 꼴뚜기젓 가리비젓 갈치속젓</t>
  </si>
  <si>
    <t>[프리미엄 선물세트] 젓갈 120g 6종 세트</t>
  </si>
  <si>
    <t>BA251111221129984</t>
  </si>
  <si>
    <t>WP230501608807</t>
  </si>
  <si>
    <t>국산 유기농 귀리 오트밀포리지 250g x 3봉지</t>
  </si>
  <si>
    <t>아이보리 오트밀 유기농 롤드오트 3봉지</t>
  </si>
  <si>
    <t>BA251111231130513</t>
  </si>
  <si>
    <t>BA251111211129232</t>
  </si>
  <si>
    <t>WP250702409418</t>
  </si>
  <si>
    <t>[피지개선테스트완료] 생크림폼 피지쓱싹 딥 클렌징 폼 150ml</t>
  </si>
  <si>
    <t>피지쓱싹 딥 클렌징 폼 150ml 2개</t>
  </si>
  <si>
    <t>BA251111231130461</t>
  </si>
  <si>
    <t>문경 햇오미자청 700ml Set</t>
  </si>
  <si>
    <t>BA251111171126242</t>
  </si>
  <si>
    <t>BA251111171126311</t>
  </si>
  <si>
    <t>BA251111171126556</t>
  </si>
  <si>
    <t>BA251111221129765</t>
  </si>
  <si>
    <t>BA251112001130753</t>
  </si>
  <si>
    <t>BA251111191127630</t>
  </si>
  <si>
    <t>WP231101785438</t>
  </si>
  <si>
    <t>인체공학적 컬러아트 메탈금고 36L 일체형전자락 LED조명 초고온도 내화인증</t>
  </si>
  <si>
    <t>아트금고 HANA Metal 블랙 / 메탈릭실버</t>
  </si>
  <si>
    <t>BA251111201127966</t>
  </si>
  <si>
    <t>WP230401572673</t>
  </si>
  <si>
    <t>영주전통 국내산 농산물 한부각 채소로 만든 스낵 야채부각 &amp; 김부각 30g x 4봉 / 고추 가지 우엉 당근 호박 감자</t>
  </si>
  <si>
    <t>한부각 김부각 30g x 4봉</t>
  </si>
  <si>
    <t>BA251111201127950</t>
  </si>
  <si>
    <t>BA251112051131422</t>
  </si>
  <si>
    <t>BA251112071131633</t>
  </si>
  <si>
    <t>BA251112071131878</t>
  </si>
  <si>
    <t>BA251112071131750</t>
  </si>
  <si>
    <t>BA251112071131766</t>
  </si>
  <si>
    <t>BA251112071131829</t>
  </si>
  <si>
    <t>BA251112071131757</t>
  </si>
  <si>
    <t>BA251112071131704</t>
  </si>
  <si>
    <t>WP250302226914</t>
  </si>
  <si>
    <t>사선컷팅 테이프 클리너 28m 90g회 본품1개+리필 1팩(3입)/ 돌돌이 털 머리카락 침구 먼지 제거 테이프</t>
  </si>
  <si>
    <t>사선컷팅 테이프 클리너 리필 3팩(9입)</t>
  </si>
  <si>
    <t>BA251112081132313</t>
  </si>
  <si>
    <t>WP230401597118</t>
  </si>
  <si>
    <t>쿨링센스 2중 미세모 칫솔 12p</t>
  </si>
  <si>
    <t>BA251112091132363</t>
  </si>
  <si>
    <t>BLDC청소기 AS-A240WH 베이비핑크</t>
  </si>
  <si>
    <t>BA251112071131894</t>
  </si>
  <si>
    <t>BA251112071131649</t>
  </si>
  <si>
    <t>AA251111101120286</t>
  </si>
  <si>
    <t>AA251111091119824</t>
  </si>
  <si>
    <t>AA251111111121384</t>
  </si>
  <si>
    <t>AA251111111122100</t>
  </si>
  <si>
    <t>AA251111121122494</t>
  </si>
  <si>
    <t>SP250602392212</t>
  </si>
  <si>
    <t>더맑음 들기름, 참기름 350ml 1+1</t>
  </si>
  <si>
    <t>AA251111111121784</t>
  </si>
  <si>
    <t>SP250302228048</t>
  </si>
  <si>
    <t>1+1 세탁조 클리너(총 8회분)/ 드럼 일반 통돌이 세탁기 청소 사용 가능</t>
  </si>
  <si>
    <t>1+1 세탁조 클리너(총 8회분)</t>
  </si>
  <si>
    <t>AA251111131123213</t>
  </si>
  <si>
    <t>SP230801719168</t>
  </si>
  <si>
    <t>위너스타레벡</t>
  </si>
  <si>
    <t>100% 천연향 에어레벡 아로마 팬 방향제</t>
  </si>
  <si>
    <t>에어레벡 (펄색)</t>
  </si>
  <si>
    <t>에어레벡 (펄색+펄색)</t>
  </si>
  <si>
    <t>AA251111141124875</t>
  </si>
  <si>
    <t>SP250102163797</t>
  </si>
  <si>
    <t>IPX8 방수 더블필터 직수비데+정수필터 세트/ 자가설치</t>
  </si>
  <si>
    <t>TB-DX5T20E</t>
  </si>
  <si>
    <t>AA251111161126084</t>
  </si>
  <si>
    <t>에어레벡 (검정색+펄색)</t>
  </si>
  <si>
    <t>AA251111211128856</t>
  </si>
  <si>
    <t>AA251111191127218</t>
  </si>
  <si>
    <t>SP250802443821</t>
  </si>
  <si>
    <t>AA251112011131038</t>
  </si>
  <si>
    <t>행복한집 키친타올 130매 x 6롤 2팩</t>
  </si>
  <si>
    <t>AA251111221129437</t>
  </si>
  <si>
    <t>SP240702005187</t>
  </si>
  <si>
    <t>511157 미트볼볼로네제파스타 3개+쉬림프알리오올리오파스타 3개</t>
  </si>
  <si>
    <t>AA251112081131962</t>
  </si>
  <si>
    <t>SP250802443057</t>
  </si>
  <si>
    <t>트라이 국산 100%순면 100수 프리미엄 남성런닝셔츠 3매 세트 민소매 남자나시,100수 런닝 3매세트 RST08_105</t>
  </si>
  <si>
    <t>본품 (3개)</t>
  </si>
  <si>
    <t>제품선택:시나노골드 3kg 2 개 (+0 원)</t>
  </si>
  <si>
    <t>T45959</t>
  </si>
  <si>
    <t>유원 하얀티슈 18m 30R 2팩</t>
  </si>
  <si>
    <t>제품선택:하얀티슈 18m 30R 2팩 1 개 (+8,800 원)</t>
  </si>
  <si>
    <t>T8173</t>
  </si>
  <si>
    <t>T39578</t>
  </si>
  <si>
    <t>제주특산 한라봉차 2.2kg</t>
  </si>
  <si>
    <t>발송일:제주한라봉차2.2kg x 4병/1개</t>
  </si>
  <si>
    <t>T39702</t>
  </si>
  <si>
    <t>백제(케이씨물류) 저칼로리 건면 쌀국수 멸치맛 15개+파곰탕면 15개</t>
  </si>
  <si>
    <t>T46602</t>
  </si>
  <si>
    <t>꿀팁몰 대가방 해물짬뽕 528g 3팩</t>
  </si>
  <si>
    <t>대가방 해물짬뽕 528g 3팩</t>
  </si>
  <si>
    <t>e62c39f4-c76e-4332-a422-897beae1d863</t>
  </si>
  <si>
    <t>T39483</t>
  </si>
  <si>
    <t>0. 블루인더스 예쁜언니 KF94 마스크 50매: 블루인더스 예쁜언니 KF94 마스크 50매 - 화이트</t>
  </si>
  <si>
    <t>T7918</t>
  </si>
  <si>
    <t>행복에스앤피제지 굿매너 키친타월 (130매 x 6롤 x 2팩)</t>
  </si>
  <si>
    <t>[행복에스앤피제지] 에어 2겹 엠보싱 천연펄프 무형광 키친타올 130매 6롤 굿매너 키친타월 130매 x 6롤 2팩</t>
  </si>
  <si>
    <t>T7917</t>
  </si>
  <si>
    <t>행복에스앤피제지 굿매너 키친타월 (130매 x 6롤 x 1팩)</t>
  </si>
  <si>
    <t>옵션:굿매너 키친타월 130매 x 6롤 1팩</t>
  </si>
  <si>
    <t>T9299</t>
  </si>
  <si>
    <t>무궁화전자 바로바로 3IN1 물걸레 진공 청소기 MDC-900</t>
  </si>
  <si>
    <t>옵션:무선 진공 물걸레 청소기</t>
  </si>
  <si>
    <t>T38958</t>
  </si>
  <si>
    <t>해담솔 스틱김자반 [10g x 15개] (불닭) 2개세트</t>
  </si>
  <si>
    <t>제품옵션:김대감 스틱김자반 불닭 10g*15봉*2세트</t>
  </si>
  <si>
    <t>2025111122354067302F</t>
  </si>
  <si>
    <t>P0159</t>
  </si>
  <si>
    <t>오가닉K [특가] 뿌리는 신발탈취제 200ml 2개입 [25년 4월]</t>
  </si>
  <si>
    <t>뿌리는 신발탈취제 200ml 2개입</t>
  </si>
  <si>
    <t>2025111111500055507F</t>
  </si>
  <si>
    <t>2025111208532070567F</t>
  </si>
  <si>
    <t>T39128</t>
  </si>
  <si>
    <t>한국맥널티 스테비아 꿀 유자차 (450g x 30개입)</t>
  </si>
  <si>
    <t>[맥널티] 저당 저칼로리 스테비아 꿀 유자차 (30T) 상품명(단품명): 스테비아 꿀 유자차 30T</t>
  </si>
  <si>
    <t>[맥널티] 핸드드립 버라이어티 세트 5종×6개 (총 30봉) 상품명(단품명): [맥널티] 핸드드립 버라이어티 세트 5종x6개(총 30봉)</t>
  </si>
  <si>
    <t>[고려산청] 6년근 고려홍삼 원데이스틱 명절 선물세트 (진세노사이드 7mg 100포) 상품: 고려산청 6년근 고려홍삼 원데이스틱 진세노사이드</t>
  </si>
  <si>
    <t>T45900</t>
  </si>
  <si>
    <t>행복에스앤피제지 굿매너 빨아쓰는 행주 타올 50매*6롤 3팩</t>
  </si>
  <si>
    <t>굿매너 빨아쓰는 행주 타올 50매 6롤 옵션: 굿매너 빨아쓰는 행주 타올 50매*6롤 3팩</t>
  </si>
  <si>
    <t>P0053</t>
  </si>
  <si>
    <t>쿠첸 스텐다드 압력밥솥 (10인용 CRS-FCWK1071K )</t>
  </si>
  <si>
    <t>인기제품 6인용 10인용 압력 전기밥솥 밥통 제품옵션: CRS-FCWK1071K 10인용밥솥</t>
  </si>
  <si>
    <t>S0041</t>
  </si>
  <si>
    <t>도아드림 알러지노 헝가리 80% 구스다운이불 사계절용 Q + 워셔블구스베개</t>
  </si>
  <si>
    <t>추석선물 기능성특허 구스이불 /헝가리산 구스다운 이불+베개세트 부모님 명절셋트 상품: 알러지노 헝가리 80% 구스다운이불 사계절용 Q + 워셔블구스베개</t>
  </si>
  <si>
    <t>P0137</t>
  </si>
  <si>
    <t>오가닉K [특가] 1+1 오푼티아&amp;밤부 바디워시 500ml 화이트머스크 [25년 4월]</t>
  </si>
  <si>
    <t>오푼티아＆밤부 바디워시 500ml (1+1) 제품선택: 화이트머스크향</t>
  </si>
  <si>
    <t>P0190</t>
  </si>
  <si>
    <t>제주특산 제주 과실차 선물세트 6호</t>
  </si>
  <si>
    <t>제주 과일 과실차 선물세트 상품: 제주과실차선물세트6호</t>
  </si>
  <si>
    <t>T39417</t>
  </si>
  <si>
    <t>금호조침 삼봉에기 9cm 5개 세트(한치 갑오징어 오징어 낚시 미끼)</t>
  </si>
  <si>
    <t>상품:삼봉에기 9cm 5개 세트</t>
  </si>
  <si>
    <t>T45772</t>
  </si>
  <si>
    <t>한국맥널티 김토끼 비타민 곤약젤리 복숭아맛 10개입+김토끼 키링증정</t>
  </si>
  <si>
    <t>옵션:김토끼 비타민 곤약젤리 복숭아맛 10개입+김토끼 키링증정</t>
  </si>
  <si>
    <t>J50220251112044707521613066563</t>
  </si>
  <si>
    <t>T38557</t>
  </si>
  <si>
    <t>한우물 511243 낙지 볶음밥 (300g x 6개) + 대패삼겹 볶음밥 (300g x 6개)</t>
  </si>
  <si>
    <t>낙지볶음밥 6개+대패삼겹볶음밥 6개</t>
  </si>
  <si>
    <t>J10217628679011512513070794</t>
  </si>
  <si>
    <t>T38941</t>
  </si>
  <si>
    <t>참식품 오이소박이 1kg</t>
  </si>
  <si>
    <t>J50220251110212719454113066563</t>
  </si>
  <si>
    <t>T38665</t>
  </si>
  <si>
    <t>한우물 511351 햄야채 볶음밥 (300g x 6개) + 닭가슴살 볶음밥 (300g x 6개)</t>
  </si>
  <si>
    <t>햄야채볶음밥 6개+닭가슴살볶음밥 6개</t>
  </si>
  <si>
    <t>T38615</t>
  </si>
  <si>
    <t>한우물 511301 소불고기 볶음밥 (300g x 6개) + 대패삼겹 볶음밥 (300g x 6개)</t>
  </si>
  <si>
    <t>소불고기볶음밥 6개+대패삼겹볶음밥 6개</t>
  </si>
  <si>
    <t>T39301</t>
  </si>
  <si>
    <t>에스지커뮤니케이션 (DH글로벌) 저전력 상부급수 가열식 가습기(HGSP-3500R)</t>
  </si>
  <si>
    <t>저전력 상부급수 가열식 가습기(HGSP-3500R)</t>
  </si>
  <si>
    <t>T39614</t>
  </si>
  <si>
    <t>블루인더스 휴대용 필터 샤워기 세트/ 투명</t>
  </si>
  <si>
    <t>휴대용 필터 샤워기 세트/ 투명</t>
  </si>
  <si>
    <t>M2511M010599564617</t>
  </si>
  <si>
    <t>T39244</t>
  </si>
  <si>
    <t>에코맘의산골이유식 옵션 : 산골과일참15봉 패키지 (사과참5봉+배참5봉+딸기참5봉)</t>
  </si>
  <si>
    <t>옵션 : 산골과일참15봉 패키지 (사과참5봉+배참5봉+딸기참5봉)</t>
  </si>
  <si>
    <t>M2511M010599564380</t>
  </si>
  <si>
    <t>M2511M010599563891</t>
  </si>
  <si>
    <t>M2511M010599563814</t>
  </si>
  <si>
    <t>T7767</t>
  </si>
  <si>
    <t>에이스라이프 트레비 비데 ALB-5580T IPX5 등급 1개</t>
  </si>
  <si>
    <t>상품선택 : 트레비 프리미엄 IPX5방수 투케어 살균비데 ALB-5580T</t>
  </si>
  <si>
    <t>T39187</t>
  </si>
  <si>
    <t>화산 치업 소스 닭가슴살 매콘달콘 X 10팩</t>
  </si>
  <si>
    <t>치업 소스 닭가슴살 매콘달콘 x 10팩</t>
  </si>
  <si>
    <t>T44850</t>
  </si>
  <si>
    <t>그라스메디 자유펫 덴탈겔</t>
  </si>
  <si>
    <t>NW2025111106060432</t>
  </si>
  <si>
    <t>T46825</t>
  </si>
  <si>
    <t>늘푸른우리 (정품) 엔비사과 소과 5kg</t>
  </si>
  <si>
    <t>T45411</t>
  </si>
  <si>
    <t>오가닉K 소프트 모이스처 비누 10개입</t>
  </si>
  <si>
    <t>옵션 :[살림백서][피부자극/유해성분 테스트완료] 식물유래 세수세안 소프트 모이스처 비누 10개입 100g</t>
  </si>
  <si>
    <t>C253154483923</t>
  </si>
  <si>
    <t>T46820</t>
  </si>
  <si>
    <t>늘푸른우리 활 숫꽃게 1kg (3-5미)</t>
  </si>
  <si>
    <t>C253158115520</t>
  </si>
  <si>
    <t>/ 유기농 깍두기 3kg</t>
  </si>
  <si>
    <t>C253156277829</t>
  </si>
  <si>
    <t>C253156542709</t>
  </si>
  <si>
    <t>C253157690193</t>
  </si>
  <si>
    <t>트라이 국산 100%순면 100수 프리미엄 남성런닝셔츠 3매 세트 민소매 남자나시,100수 런닝 3매세트 RST08_95</t>
  </si>
  <si>
    <t>BA251112101133482</t>
  </si>
  <si>
    <t>WP250302225661</t>
  </si>
  <si>
    <t>폴더블 2in1 고속 무선 핸드폰 휴대폰 접이식 충전기 스탠드 휴대용 거치대/ 갤럭시 워치 전용</t>
  </si>
  <si>
    <t>폴더블 무선충전기+케이블 포함</t>
  </si>
  <si>
    <t>BA251112101133427</t>
  </si>
  <si>
    <t>BA251112091132748</t>
  </si>
  <si>
    <t>BA251112091132890</t>
  </si>
  <si>
    <t>BA251112101133413</t>
  </si>
  <si>
    <t>WP250702420589</t>
  </si>
  <si>
    <t>[선일금고X김지희작가] 예술 아트 내화금고 20L 40L 64L/ 소프트터치 버튼 지문인식 충격경보기</t>
  </si>
  <si>
    <t>MC-40C1(QC)</t>
  </si>
  <si>
    <t>BA251112111133615</t>
  </si>
  <si>
    <t>WP241002062077</t>
  </si>
  <si>
    <t>[필파워 600이상] 보일러 덕앤구스 이불/ 아토피 안심마크 겨울 사계절이불</t>
  </si>
  <si>
    <t>BA251112101133170</t>
  </si>
  <si>
    <t>MC-040(HB)</t>
  </si>
  <si>
    <t>BA251112101132976</t>
  </si>
  <si>
    <t>BA251112111133616</t>
  </si>
  <si>
    <t>BA251112101133021</t>
  </si>
  <si>
    <t>BA251112101133399</t>
  </si>
  <si>
    <t>BA251112091132618</t>
  </si>
  <si>
    <t>[스피드랙] 가로 900 / 폭 400 / 높이 1950 / 선반 수량 5개</t>
  </si>
  <si>
    <t>BA251112091132872</t>
  </si>
  <si>
    <t>BA251112091132613</t>
  </si>
  <si>
    <t>BA251112101133003</t>
  </si>
  <si>
    <t>BA251112101133577</t>
  </si>
  <si>
    <t>레몬차 1kg</t>
  </si>
  <si>
    <t>BA251112091132433</t>
  </si>
  <si>
    <t>행복한집 키친타올 130매 x 6롤 4팩</t>
  </si>
  <si>
    <t>BA251112111134028</t>
  </si>
  <si>
    <t>BA251112111134012</t>
  </si>
  <si>
    <t>BA251112111133784</t>
  </si>
  <si>
    <t>BA251112111134162</t>
  </si>
  <si>
    <t>WP241202136773</t>
  </si>
  <si>
    <t>홍시궁</t>
  </si>
  <si>
    <t>[평점 4.9] 국내산 청도 홍시로 만든 씨없는 홍시식혜 홍시찹쌀떡 선물세트</t>
  </si>
  <si>
    <t>달콤쫀득 홍시찹쌀떡 27ea</t>
  </si>
  <si>
    <t>BA251112121134293</t>
  </si>
  <si>
    <t>WP240301906657</t>
  </si>
  <si>
    <t>[고양이 스트레스 해소]레드캣볼 마약공 마따따비 캣닢 공 볼 장난감</t>
  </si>
  <si>
    <t>자유펫 레드캣볼</t>
  </si>
  <si>
    <t>BA251112111134246</t>
  </si>
  <si>
    <t>WP230501608368</t>
  </si>
  <si>
    <t>휴대폰 핸드폰 65W 초고속충전기 어댑터</t>
  </si>
  <si>
    <t>BA251112131135019</t>
  </si>
  <si>
    <t>MC-003 / MC-003</t>
  </si>
  <si>
    <t>BA251112141135504</t>
  </si>
  <si>
    <t>BA251112141135830</t>
  </si>
  <si>
    <t>리버서블 폴란드 구스다운이불 사계절용 Q</t>
  </si>
  <si>
    <t>BA251112131135267</t>
  </si>
  <si>
    <t>WP230501608366</t>
  </si>
  <si>
    <t>휴대폰 핸드폰 65W 3P 초고속 멀티충전기 어댑터</t>
  </si>
  <si>
    <t>BA251112141135534</t>
  </si>
  <si>
    <t>BA251112131135056</t>
  </si>
  <si>
    <t>BA251112141135553</t>
  </si>
  <si>
    <t>BA251112131134859</t>
  </si>
  <si>
    <t>BA251112131135264</t>
  </si>
  <si>
    <t>BA251112131135322</t>
  </si>
  <si>
    <t>BA251112131135277</t>
  </si>
  <si>
    <t>BA251112131135272</t>
  </si>
  <si>
    <t>BA251112131135300</t>
  </si>
  <si>
    <t>BA251112131135125</t>
  </si>
  <si>
    <t>BA251112131135105</t>
  </si>
  <si>
    <t>BA251112161136603</t>
  </si>
  <si>
    <t>BA251112151136074</t>
  </si>
  <si>
    <t>BA251112161136954</t>
  </si>
  <si>
    <t>BA251112151136298</t>
  </si>
  <si>
    <t>BA251112161137056</t>
  </si>
  <si>
    <t>BA251112151136314</t>
  </si>
  <si>
    <t>BA251112151136333</t>
  </si>
  <si>
    <t>BA251112161136656</t>
  </si>
  <si>
    <t>BA251112161137098</t>
  </si>
  <si>
    <t>WP241002078416</t>
  </si>
  <si>
    <t>스마트름뱅이</t>
  </si>
  <si>
    <t>99% 건조,살균,탈취 신발관리기 캡슐에스/ 대용량배터리 무선사용가능</t>
  </si>
  <si>
    <t>SY-101+추가어댑터</t>
  </si>
  <si>
    <t>BA251112161137134</t>
  </si>
  <si>
    <t>BA251112151136367</t>
  </si>
  <si>
    <t>BA251113061141867</t>
  </si>
  <si>
    <t>B14G 투명변색 화이트</t>
  </si>
  <si>
    <t>BA251113031141641</t>
  </si>
  <si>
    <t>프리미엄 오미자71 1호</t>
  </si>
  <si>
    <t>BA251112211139715</t>
  </si>
  <si>
    <t>BA251112221140444</t>
  </si>
  <si>
    <t>BA251112211139760</t>
  </si>
  <si>
    <t>알러지노 헝가리 구스다운이불 간절기용 Q</t>
  </si>
  <si>
    <t>BA251112211139803</t>
  </si>
  <si>
    <t>BA251112191138478</t>
  </si>
  <si>
    <t>BA251112211139465</t>
  </si>
  <si>
    <t>BA251113061141827</t>
  </si>
  <si>
    <t>MC-003 / MC-009</t>
  </si>
  <si>
    <t>BA251112221140393</t>
  </si>
  <si>
    <t>WP240401944417</t>
  </si>
  <si>
    <t>[1+1]베이비&amp;키즈 아기 젖병세정제 거품형 500ml/ 주방세제 유아 식기</t>
  </si>
  <si>
    <t>포밍 젖병 아기 주방세제 500ml 2개입</t>
  </si>
  <si>
    <t>BA251112211139294</t>
  </si>
  <si>
    <t>BA251112221140077</t>
  </si>
  <si>
    <t>BA251112201138697</t>
  </si>
  <si>
    <t>WP240401944409</t>
  </si>
  <si>
    <t>[식물유래] 딥클린 주방세제 750ml 3개/ 베이킹소다 과일채소세정 1종</t>
  </si>
  <si>
    <t>딥클린 주방세제 3개입 그린허브 향</t>
  </si>
  <si>
    <t>WP250302228025</t>
  </si>
  <si>
    <t>BA251112181137759</t>
  </si>
  <si>
    <t>BA251112191138376</t>
  </si>
  <si>
    <t>BA251112231140829</t>
  </si>
  <si>
    <t>BA251112231140947</t>
  </si>
  <si>
    <t>BA251112191138197</t>
  </si>
  <si>
    <t>BA251112191138567</t>
  </si>
  <si>
    <t>BA251112221139944</t>
  </si>
  <si>
    <t>BA251113001141324</t>
  </si>
  <si>
    <t>BA251112211139272</t>
  </si>
  <si>
    <t>BA251112171137449</t>
  </si>
  <si>
    <t>BA251113011141471</t>
  </si>
  <si>
    <t>WP230101491298</t>
  </si>
  <si>
    <t>숙면 라이트테라피 디바이스 올리 나이트</t>
  </si>
  <si>
    <t>문그레이</t>
  </si>
  <si>
    <t>BA251112231140676</t>
  </si>
  <si>
    <t>BA251112211139930</t>
  </si>
  <si>
    <t>BA251112211139304</t>
  </si>
  <si>
    <t>BA251113041141672</t>
  </si>
  <si>
    <t>BA251113001141385</t>
  </si>
  <si>
    <t>BA251113041141662</t>
  </si>
  <si>
    <t>BA251112231140982</t>
  </si>
  <si>
    <t>BA251112211139556</t>
  </si>
  <si>
    <t>BA251112211139360</t>
  </si>
  <si>
    <t>WP240401924477</t>
  </si>
  <si>
    <t>제주 햇 레드비트 3kg</t>
  </si>
  <si>
    <t>BA251112221140423</t>
  </si>
  <si>
    <t>BA251112191138446</t>
  </si>
  <si>
    <t>C to C 100W 고속 충전케이블 C타입 1m 5A</t>
  </si>
  <si>
    <t>BA251112211139276</t>
  </si>
  <si>
    <t>WP230501600056</t>
  </si>
  <si>
    <t>[원목받침대+섬유스틱+디퓨저] 두통없는 천연 아로마 디퓨저 / 아로마 테라피스트 블렌딩</t>
  </si>
  <si>
    <t>[에너지업&amp;리프레쉬] 상큼한 레몬그라스향</t>
  </si>
  <si>
    <t>BA251113001141241</t>
  </si>
  <si>
    <t>BA251113031141646</t>
  </si>
  <si>
    <t>BA251112221140163</t>
  </si>
  <si>
    <t>BA251113001141162</t>
  </si>
  <si>
    <t>BA251112191138192</t>
  </si>
  <si>
    <t>WP231201798760</t>
  </si>
  <si>
    <t>(무항생제) 한돈 생삼겹살 2kg / 생목살 2kg</t>
  </si>
  <si>
    <t>(무항생제)한돈 생목살 2kg 수육용</t>
  </si>
  <si>
    <t>BA251112221140200</t>
  </si>
  <si>
    <t>BA251112231141011</t>
  </si>
  <si>
    <t>BA251113001141246</t>
  </si>
  <si>
    <t>BA251112181137805</t>
  </si>
  <si>
    <t>더 화이트 27m x 36롤 3팩</t>
  </si>
  <si>
    <t>BA251112181138040</t>
  </si>
  <si>
    <t>BA251112231140876</t>
  </si>
  <si>
    <t>BA251113061141862</t>
  </si>
  <si>
    <t>BA251112231141008</t>
  </si>
  <si>
    <t>BA251112201139197</t>
  </si>
  <si>
    <t>WP240401923962</t>
  </si>
  <si>
    <t>콜롬비아,케냐AA 블렌드/ 에티오피아 예가체프/ 브라질벨라비스타/과테말라 핸드드립 원두커피 24개입</t>
  </si>
  <si>
    <t>콜롬비아 블렌드 핸드드립 원두커피 24개입</t>
  </si>
  <si>
    <t>케냐AA 블렌드 핸드드립 원두커피 24개입</t>
  </si>
  <si>
    <t>에티오피아 예가체프 핸드드립 원두커피 24개입</t>
  </si>
  <si>
    <t>BA251113001141167</t>
  </si>
  <si>
    <t>BA251112211139932</t>
  </si>
  <si>
    <t>BA251112231140762</t>
  </si>
  <si>
    <t>BA251112191138284</t>
  </si>
  <si>
    <t>BA251113011141400</t>
  </si>
  <si>
    <t>BA251112171137206</t>
  </si>
  <si>
    <t>BA251112221140097</t>
  </si>
  <si>
    <t>BA251112201139061</t>
  </si>
  <si>
    <t>BA251113001141279</t>
  </si>
  <si>
    <t>BA251113081142380</t>
  </si>
  <si>
    <t>블랙</t>
  </si>
  <si>
    <t>BA251113081142598</t>
  </si>
  <si>
    <t>BA251113071142073</t>
  </si>
  <si>
    <t>BA251113081142409</t>
  </si>
  <si>
    <t>BA251113071142008</t>
  </si>
  <si>
    <t>BA251113071142174</t>
  </si>
  <si>
    <t>BA251113081142222</t>
  </si>
  <si>
    <t>BA251113081142347</t>
  </si>
  <si>
    <t>BA251113081142466</t>
  </si>
  <si>
    <t>BA251113071142093</t>
  </si>
  <si>
    <t>BA251113081142341</t>
  </si>
  <si>
    <t>BA251113081142294</t>
  </si>
  <si>
    <t>AA251112121134325</t>
  </si>
  <si>
    <t>SP230601654495</t>
  </si>
  <si>
    <t>씨없는 달콤달달 청도 감말랭이 미니곶감 1kg (냉동)</t>
  </si>
  <si>
    <t>미니곶감 1kg (냉동)</t>
  </si>
  <si>
    <t>AA251112111134083</t>
  </si>
  <si>
    <t>AA251112131135276</t>
  </si>
  <si>
    <t>SP241102102012</t>
  </si>
  <si>
    <t>AA251112131135217</t>
  </si>
  <si>
    <t>AA251112161136673</t>
  </si>
  <si>
    <t>SP251102536110</t>
  </si>
  <si>
    <t>AA251112201139091</t>
  </si>
  <si>
    <t>SP240301910779</t>
  </si>
  <si>
    <t>AA251112211139784</t>
  </si>
  <si>
    <t>SP230601648840</t>
  </si>
  <si>
    <t>AA251112171137517</t>
  </si>
  <si>
    <t>SP230601648439</t>
  </si>
  <si>
    <t>든든한 건강 영양 간식 죽염 천마차</t>
  </si>
  <si>
    <t>죽염 천마차 20g x 80포</t>
  </si>
  <si>
    <t>AA251113071141963</t>
  </si>
  <si>
    <t>SP230701670122</t>
  </si>
  <si>
    <t>[조선왕실 선향] 인센스 스틱 부용향 + 홀더 포함</t>
  </si>
  <si>
    <t>부용향 3종 + 미니 홀더 3개</t>
  </si>
  <si>
    <t>AA251113081142352</t>
  </si>
  <si>
    <t>SP250102163679</t>
  </si>
  <si>
    <t>AA251113071141940</t>
  </si>
  <si>
    <t>이어홀 피어싱홀 클리너 클렌징 워터 귀걸이 구멍 청소 15ml (60개입) 세트,2세트 복숭아향</t>
  </si>
  <si>
    <t>T45583</t>
  </si>
  <si>
    <t>정담김 (에스시디디)</t>
  </si>
  <si>
    <t>정담김 (에스시디디) 올리브 도시락김 24봉</t>
  </si>
  <si>
    <t>제품선택:올리브 도시락김 24봉 1 개 (+0 원)</t>
  </si>
  <si>
    <t>T38736</t>
  </si>
  <si>
    <t>한우물 511136 소불고기 구운주먹밥 (100g 10개) + 김치치즈 구운주먹밥 (100g 10개)</t>
  </si>
  <si>
    <t>제품선택:511136 소불고기구운주먹밥R 10개+김치치즈 구운주먹밥R 10개 1 개 (+0 원)</t>
  </si>
  <si>
    <t>이뮨 멀티 비타민 미네랄 원샷 스틱 올인원 종합비타민 50개입</t>
  </si>
  <si>
    <t>T7910</t>
  </si>
  <si>
    <t>행복에스앤피제지 굿매너 4겹 프리미엄 화장지 (3겹 27m 30롤 x 1팩)</t>
  </si>
  <si>
    <t>옵션:굿매너 4겹 프리미엄 화장지 27m x 30롤 1팩</t>
  </si>
  <si>
    <t>선택:치큐 닭가슴살 오리지널 x 10팩</t>
  </si>
  <si>
    <t>2025111221290186072F</t>
  </si>
  <si>
    <t>T44844</t>
  </si>
  <si>
    <t>언더액티브 하이서포트 스포츠브라 4종세트 XL</t>
  </si>
  <si>
    <t>하이서포트 스포츠브라 4종세트 XL</t>
  </si>
  <si>
    <t>2025111220180684631F</t>
  </si>
  <si>
    <t>2025111214590678370F</t>
  </si>
  <si>
    <t>T40839</t>
  </si>
  <si>
    <t>스피드랙 ★행사★ 홈던트 선반형 [ 700 / 400 / 1500 / 4단 ]</t>
  </si>
  <si>
    <t>[홈던트 선반] 가로 700 / 폭 400 / 높이 1500 / 선반수량 4개</t>
  </si>
  <si>
    <t>T46629</t>
  </si>
  <si>
    <t>도아드림 리버서블 폴란드 구스다운이불 겨울용 Q</t>
  </si>
  <si>
    <t>리버서블 폴란드 구스다운이불 겨울용 Q</t>
  </si>
  <si>
    <t>T0414</t>
  </si>
  <si>
    <t>오그래 오그래퐁 카카오 (30g x 15팩)</t>
  </si>
  <si>
    <t>[오그래] 오그래퐁(35g×15팩) 선택: 귀리가 통째로 오그래퐁(35g) x 15팩</t>
  </si>
  <si>
    <t>T38603</t>
  </si>
  <si>
    <t>한우물 511289 사천중화 볶음밥 (300g x 6개) + 치킨데리야끼 볶음밥 (300g x 6개)</t>
  </si>
  <si>
    <t>[한우물] 볶음밥 17종 (12개)세트 선택1: 사천중화볶음밥 6개+치킨데리야끼볶음밥 6개</t>
  </si>
  <si>
    <t>T38803</t>
  </si>
  <si>
    <t>좋은영농조합법인 나주순수도라지배즙 (100ml x 60포)</t>
  </si>
  <si>
    <t>건강해지는 순수도라지배즙 100ml×60포 외 1종 옵션: 나주이가 건강해지는 순수도라지배즙 100ml x 60포</t>
  </si>
  <si>
    <t>프리미엄 IPX5방수 투케어 살균 비데 / ALB-5580T / 스테인레스노즐 어린이모드 옵션: ALB-5580T</t>
  </si>
  <si>
    <t>상품:치업 소스 닭가슴살 매콘달콘 x 10팩</t>
  </si>
  <si>
    <t>T45249</t>
  </si>
  <si>
    <t>정성드리 하동 재첩국(320g/5팩)</t>
  </si>
  <si>
    <t>옵션:하동 재첩국(320g/5팩)</t>
  </si>
  <si>
    <t>J10317629359651633613082169</t>
  </si>
  <si>
    <t>T38793</t>
  </si>
  <si>
    <t>현대비데 베스코비데 HB-5023W</t>
  </si>
  <si>
    <t>S0207</t>
  </si>
  <si>
    <t>꿀팁몰 [2구]한우선물세트 2호/ 꽃등심300g+눈꽃로스300g</t>
  </si>
  <si>
    <t>[2구]한우선물세트 2호/ 꽃등심300g+눈꽃로스300g</t>
  </si>
  <si>
    <t>T44791</t>
  </si>
  <si>
    <t>케이알시고려 B14G 편광변색 레드</t>
  </si>
  <si>
    <t>T38529</t>
  </si>
  <si>
    <t>한우물 511215 감자탕 볶음밥 (300g x 6개) + 닭가슴살 볶음밥 (300g x 6개)</t>
  </si>
  <si>
    <t>511215 감자탕볶음밥 6개+닭가슴살볶음밥 6개</t>
  </si>
  <si>
    <t>T38970</t>
  </si>
  <si>
    <t>무지개영농조합법인 임실 찢어먹는 스트링 치즈 (20g x 5개입) 100g 1개</t>
  </si>
  <si>
    <t>스트링치즈 100g(20g 5개입) 1개</t>
  </si>
  <si>
    <t>M2511M010599570374</t>
  </si>
  <si>
    <t>T45259</t>
  </si>
  <si>
    <t>쿠첸 CRT-WS0340TW</t>
  </si>
  <si>
    <t>M2511M010599570350</t>
  </si>
  <si>
    <t>옵션 : 특전복죽 5팩 보냉백세트 (+76100)</t>
  </si>
  <si>
    <t>T39725</t>
  </si>
  <si>
    <t>친한F&amp;B 닭가슴살 자메이카 스테이크 10팩</t>
  </si>
  <si>
    <t>닭가슴살 자메이카 스테이크 10팩</t>
  </si>
  <si>
    <t>NW2025111203443532</t>
  </si>
  <si>
    <t>T46223</t>
  </si>
  <si>
    <t>오아 블랙마카 20g 15포 (1박스)</t>
  </si>
  <si>
    <t>옵션:블랙마카 20g 15포 (1박스)</t>
  </si>
  <si>
    <t>T44939</t>
  </si>
  <si>
    <t>한국맥널티 콜롬비아 블렌드 분쇄 원두커피 1kg+드립포트350ml+핸드드립 여과지 100매</t>
  </si>
  <si>
    <t>옵션 :[맥널티]콜롬비아 블렌드 분쇄 원두커피 1kg+드립포트350ml+핸드드립 여과지 100매 콜롬비아 블렌드</t>
  </si>
  <si>
    <t>T8746</t>
  </si>
  <si>
    <t>행복에스앤피제지 행복을 주는 나무 오리지널 (27m 30롤 x 1팩)</t>
  </si>
  <si>
    <t>행복을 주는 나무 순백 27m x 30롤 1팩</t>
  </si>
  <si>
    <t>C253164765566</t>
  </si>
  <si>
    <t>C253165819275</t>
  </si>
  <si>
    <t>C253165687278</t>
  </si>
  <si>
    <t>AA251112161136937</t>
  </si>
  <si>
    <t>SP240401934395</t>
  </si>
  <si>
    <t>부각 선물세트 1호 /김 연근 다시마 호박 고구마/ 어버이날 스승의날 부모님 선생님 셋트</t>
  </si>
  <si>
    <t>티각태각 부각 선물세트 1호</t>
  </si>
  <si>
    <t>BA251113091143014</t>
  </si>
  <si>
    <t>BA251113091142885</t>
  </si>
  <si>
    <t>BA251113091143022</t>
  </si>
  <si>
    <t>BA251113101143308</t>
  </si>
  <si>
    <t>WP240201861863</t>
  </si>
  <si>
    <t>1+1 식물유래 라이스 앤 허브 핸드워시 500ml / 손세정제 거품비누 핸드솝</t>
  </si>
  <si>
    <t>BA251113101143448</t>
  </si>
  <si>
    <t>BA251113101143604</t>
  </si>
  <si>
    <t>WP230101505542</t>
  </si>
  <si>
    <t>비타민C+ 식물성 유산균 / 두힐고흥 유자 유산균 (2g x 30포 x 6박스)</t>
  </si>
  <si>
    <t>두힐고흥 유자 유산균 (2g x 30포 x 6박스)</t>
  </si>
  <si>
    <t>BA251113101143200</t>
  </si>
  <si>
    <t>BA251113091143026</t>
  </si>
  <si>
    <t>WP250902493589</t>
  </si>
  <si>
    <t>분쇄커피 싱글 오리진 &amp; 블렌드 분쇄 커피원두 226g 5종</t>
  </si>
  <si>
    <t>행복을주는커피 디카페인 헤이즐넛향 분쇄 커피원두 226g</t>
  </si>
  <si>
    <t>BA251113101143365</t>
  </si>
  <si>
    <t>WP250802434073</t>
  </si>
  <si>
    <t>[국내제조 98% UV차단] 냉감원단 튜브나인 쿨레그 다리토시 M L 화이트 블랙</t>
  </si>
  <si>
    <t>튜브나인 쿨레그 블랙 L</t>
  </si>
  <si>
    <t>중형 블랙 50매 ePTFEM50BK</t>
  </si>
  <si>
    <t>BA251113111143971</t>
  </si>
  <si>
    <t>BA251113121144730</t>
  </si>
  <si>
    <t>BA251113111143956</t>
  </si>
  <si>
    <t>BA251113121145095</t>
  </si>
  <si>
    <t>BA251113111144576</t>
  </si>
  <si>
    <t>MC-007</t>
  </si>
  <si>
    <t>BA251113111144091</t>
  </si>
  <si>
    <t>WP230201523250</t>
  </si>
  <si>
    <t>1번 구워 만든 다용도죽염 분말 1kg / 양치, 세안, 각종요리</t>
  </si>
  <si>
    <t>1회 다용도죽염 분말 1kg</t>
  </si>
  <si>
    <t>BA251113121144743</t>
  </si>
  <si>
    <t>BA251113121144953</t>
  </si>
  <si>
    <t>511250 낙지볶음밥 6개+해물볶음밥 6개</t>
  </si>
  <si>
    <t>BA251113111144171</t>
  </si>
  <si>
    <t>WP250302230444</t>
  </si>
  <si>
    <t>[에탄올+구연산] 기름때 녹이는 100%순면 세정티슈 캡형 40매 16개 /청소용 물티슈</t>
  </si>
  <si>
    <t>기름때 녹이는 순면 세정티슈 캡형 40매</t>
  </si>
  <si>
    <t>BA251113121144773</t>
  </si>
  <si>
    <t>BA251113111144323</t>
  </si>
  <si>
    <t>[홈던트] 가로 1100 / 폭 600 / 높이 2100 / 행거단 0개 / 선반단 2개</t>
  </si>
  <si>
    <t>BA251113131145324</t>
  </si>
  <si>
    <t>BA251113131145755</t>
  </si>
  <si>
    <t>BA251113141146311</t>
  </si>
  <si>
    <t>BA251113131145544</t>
  </si>
  <si>
    <t>BA251113131145278</t>
  </si>
  <si>
    <t>WP240401924057</t>
  </si>
  <si>
    <t>[공정무역]아이브루 플러스 오리지널/헤이즐넛 블랙커피 100개+팽수피규어</t>
  </si>
  <si>
    <t>아이브루 플러스 헤이즐넛 블랙커피 100개입(펭수 피규어 증정)</t>
  </si>
  <si>
    <t>BA251113141146054</t>
  </si>
  <si>
    <t>BA251113141146079</t>
  </si>
  <si>
    <t>BA251113131145523</t>
  </si>
  <si>
    <t>BA251113151146452</t>
  </si>
  <si>
    <t>BA251113141146448</t>
  </si>
  <si>
    <t>BA251113141145906</t>
  </si>
  <si>
    <t>못난이 상주 둥시곶감 450g (일반 size)</t>
  </si>
  <si>
    <t>BA251113131145529</t>
  </si>
  <si>
    <t>BA251113141146368</t>
  </si>
  <si>
    <t>WP250602365940</t>
  </si>
  <si>
    <t>평창꽃순이</t>
  </si>
  <si>
    <t>100% 우리농산물 강원도 고랭지 호박백김치/ 황태김치 2.5kg 3kg 5kg 10kg</t>
  </si>
  <si>
    <t>평창꽃순이 호박백김치 3kg</t>
  </si>
  <si>
    <t>BA251113131145622</t>
  </si>
  <si>
    <t>BA251113141146351</t>
  </si>
  <si>
    <t>BA251113131145270</t>
  </si>
  <si>
    <t>[스피드랙] 가로 800 / 폭 300 / 높이 900 / 선반 수량 4개</t>
  </si>
  <si>
    <t>BA251113141146023</t>
  </si>
  <si>
    <t>[스피드랙] 가로 800 / 폭 600 / 높이 1800 / 선반 수량 4개</t>
  </si>
  <si>
    <t>BA251113131145460</t>
  </si>
  <si>
    <t>BA251113141146333</t>
  </si>
  <si>
    <t>BA251113151146925</t>
  </si>
  <si>
    <t>BA251113151146781</t>
  </si>
  <si>
    <t>WP230101501540</t>
  </si>
  <si>
    <t>세계최초 접이식 힙시트 시그니처7 아기띠부터 힙시트까지 올인원 아기띠</t>
  </si>
  <si>
    <t>signature7 - 다크그레이</t>
  </si>
  <si>
    <t>BA251113161147383</t>
  </si>
  <si>
    <t>WP240401944785</t>
  </si>
  <si>
    <t>1+1 [PM0.3 항바이러스 활성탄 헤파필터] 99% 미세먼지차단 차량용 자동차 에어컨필터</t>
  </si>
  <si>
    <t>MCV-009 / MCV-009</t>
  </si>
  <si>
    <t>BA251113161147376</t>
  </si>
  <si>
    <t>WP240802016398</t>
  </si>
  <si>
    <t>[당함량 0g] 스테비아 건강 닭가슴살 소시지 10팩/ 다이어트 헬스 당뇨환자 소세지 간식 음식 아침식사대용</t>
  </si>
  <si>
    <t>닭가슴살 청양 소시지 10팩</t>
  </si>
  <si>
    <t>BA251113151146624</t>
  </si>
  <si>
    <t>BA251113161147425</t>
  </si>
  <si>
    <t>BA251113151146726</t>
  </si>
  <si>
    <t>BA251113151146575</t>
  </si>
  <si>
    <t>BA251113211149636</t>
  </si>
  <si>
    <t>WP231101781425</t>
  </si>
  <si>
    <t>간편식 간장 / 고추장 무청 시래기 나물밥 8팩 즉석밥</t>
  </si>
  <si>
    <t>우리쌀 시래기밥 8팩</t>
  </si>
  <si>
    <t>BA251114011101424</t>
  </si>
  <si>
    <t>BA251113231100956</t>
  </si>
  <si>
    <t>BA251113171147899</t>
  </si>
  <si>
    <t>BA251113171147577</t>
  </si>
  <si>
    <t>BA251113171147516</t>
  </si>
  <si>
    <t>BA251113191148397</t>
  </si>
  <si>
    <t>BA251113211149775</t>
  </si>
  <si>
    <t>BA251113201149050</t>
  </si>
  <si>
    <t>BA251113211149910</t>
  </si>
  <si>
    <t>BA251113231101049</t>
  </si>
  <si>
    <t>BA251113171147828</t>
  </si>
  <si>
    <t>WP231001755704</t>
  </si>
  <si>
    <t>가성비 미러 레이싱용 수경-엑스/ 실내수영장 물안경</t>
  </si>
  <si>
    <t>수경-엑스 실버</t>
  </si>
  <si>
    <t>BA251113191148445</t>
  </si>
  <si>
    <t>BA251113201149121</t>
  </si>
  <si>
    <t>초등학생용 베이비핑크 50매 ePTFESS50BP</t>
  </si>
  <si>
    <t>BA251113211149875</t>
  </si>
  <si>
    <t>BA251113211149471</t>
  </si>
  <si>
    <t>BA251113221100445</t>
  </si>
  <si>
    <t>WP230801718336</t>
  </si>
  <si>
    <t>전통 방식 항아리숙성 된장 / 국산 태양초 고추장 500g 1kg</t>
  </si>
  <si>
    <t>항아리 숙성 항아골 된장 1kg</t>
  </si>
  <si>
    <t>BA251113231100922</t>
  </si>
  <si>
    <t>BA251114001101181</t>
  </si>
  <si>
    <t>BA251114031101616</t>
  </si>
  <si>
    <t>BA251113181148215</t>
  </si>
  <si>
    <t>베이비파우더향</t>
  </si>
  <si>
    <t>BA251113221100722</t>
  </si>
  <si>
    <t>BA251113211149897</t>
  </si>
  <si>
    <t>BA251113221100497</t>
  </si>
  <si>
    <t>WP240702004661</t>
  </si>
  <si>
    <t>HACCP 국내산 전라도 열무김치1kg 2kg 3kg 5kg</t>
  </si>
  <si>
    <t>열무김치 2kg</t>
  </si>
  <si>
    <t>WP240702004369</t>
  </si>
  <si>
    <t>HACCP 국내산 유기농 전라도 깍두기 김치 1kg 2kg 3kg 5kg</t>
  </si>
  <si>
    <t>유기농 깍두기 2kg</t>
  </si>
  <si>
    <t>BA251113211149704</t>
  </si>
  <si>
    <t>BA251113181148165</t>
  </si>
  <si>
    <t>BA251113171147539</t>
  </si>
  <si>
    <t>BA251113201149387</t>
  </si>
  <si>
    <t>BA251113171147581</t>
  </si>
  <si>
    <t>BA251113221100583</t>
  </si>
  <si>
    <t>BA251113221100068</t>
  </si>
  <si>
    <t>BA251114061101874</t>
  </si>
  <si>
    <t>BA251114011101475</t>
  </si>
  <si>
    <t>BA251113181148108</t>
  </si>
  <si>
    <t>BA251113181148027</t>
  </si>
  <si>
    <t>BA251113221100330</t>
  </si>
  <si>
    <t>[스피드랙] 가로 600 / 폭 400 / 높이 1650 / 선반 수량 4개</t>
  </si>
  <si>
    <t>BA251113181148007</t>
  </si>
  <si>
    <t>BA251114011101508</t>
  </si>
  <si>
    <t>BA251113201149269</t>
  </si>
  <si>
    <t>BA251113221100341</t>
  </si>
  <si>
    <t>국내산 새우추젓(특) 2kg</t>
  </si>
  <si>
    <t>BA251113221100070</t>
  </si>
  <si>
    <t>WP241002065769</t>
  </si>
  <si>
    <t>[NFC 착즙 제주산] 감귤담은 한라봉주스 100ml 10개입 청귤 주스 340ml 20개입/ 아이 어린이 주스 음료</t>
  </si>
  <si>
    <t>감귤 담은 한라봉주스 10입</t>
  </si>
  <si>
    <t>BA251113221100296</t>
  </si>
  <si>
    <t>BA251114001101388</t>
  </si>
  <si>
    <t>WP230901727369</t>
  </si>
  <si>
    <t>아이스 아메리카노 블랙/스위트 헤이즐넛향 190ml x 10개입 3개</t>
  </si>
  <si>
    <t>아이스 헤이즐넛향 커피 190ml x 10개입 3개</t>
  </si>
  <si>
    <t>BA251113181148261</t>
  </si>
  <si>
    <t>WP250902493655</t>
  </si>
  <si>
    <t>맥널티바이오</t>
  </si>
  <si>
    <t>두뇌건강 인지력 기억력 개선 두뇌엔 PS &amp; 징코 플러스 60캡슐 포스파티딜세린</t>
  </si>
  <si>
    <t>두뇌엔 PS &amp; 징코 플러스 1개월</t>
  </si>
  <si>
    <t>BA251113231100752</t>
  </si>
  <si>
    <t>BA251113191148414</t>
  </si>
  <si>
    <t>BA251113201149225</t>
  </si>
  <si>
    <t>BA251113211149535</t>
  </si>
  <si>
    <t>BA251113211149456</t>
  </si>
  <si>
    <t>BA251113231100968</t>
  </si>
  <si>
    <t>BA251113221100241</t>
  </si>
  <si>
    <t>BA251114001101262</t>
  </si>
  <si>
    <t>중형 허니아이보리 50매 ePTFEM50HI</t>
  </si>
  <si>
    <t>BA251113221100133</t>
  </si>
  <si>
    <t>BA251114081102249</t>
  </si>
  <si>
    <t>PGO-10</t>
  </si>
  <si>
    <t>BA251114081102502</t>
  </si>
  <si>
    <t>BA251114081102434</t>
  </si>
  <si>
    <t>BA251114081102303</t>
  </si>
  <si>
    <t>WP230701658730</t>
  </si>
  <si>
    <t>눈부심최소 미러렌즈 자전거 고글 선글라스_알리 ALI</t>
  </si>
  <si>
    <t>알리 그레이_실버</t>
  </si>
  <si>
    <t>BA251114081102420</t>
  </si>
  <si>
    <t>BA251114081102461</t>
  </si>
  <si>
    <t>BA251114081102374</t>
  </si>
  <si>
    <t>BA251114081102482</t>
  </si>
  <si>
    <t>AA251113101143495</t>
  </si>
  <si>
    <t>SP230601642937</t>
  </si>
  <si>
    <t>AA251113101143379</t>
  </si>
  <si>
    <t>SP240702004434</t>
  </si>
  <si>
    <t>HACCP 국내산 유기 전라도 포기 배추김치 1kg 2kg 3kg 5kg</t>
  </si>
  <si>
    <t>유기배추 포기김치 3kg</t>
  </si>
  <si>
    <t>AA251113101143537</t>
  </si>
  <si>
    <t>AA251113141146028</t>
  </si>
  <si>
    <t>SP231201791396</t>
  </si>
  <si>
    <t>미마 컬러 마스크 6가지색 KF80 30개입 소소형/초소형 [유아/어린이용]</t>
  </si>
  <si>
    <t>KF80 XS 초소형 30개입 옐로우</t>
  </si>
  <si>
    <t>AA251113131145502</t>
  </si>
  <si>
    <t>AA251113141146439</t>
  </si>
  <si>
    <t>AA251113141146379</t>
  </si>
  <si>
    <t>SP231101768717</t>
  </si>
  <si>
    <t>AA251113161147224</t>
  </si>
  <si>
    <t>AA251113151146687</t>
  </si>
  <si>
    <t>SP240501962608</t>
  </si>
  <si>
    <t>[EWG 그린등급] 비건 올인원 보습용 천연샴푸 300ml /강아지 고양이</t>
  </si>
  <si>
    <t>자유펫 데일리 릴리프 샴푸</t>
  </si>
  <si>
    <t>AA251113201149114</t>
  </si>
  <si>
    <t>511216 감자탕볶음밥 6개+닭갈비볶음밥 6개</t>
  </si>
  <si>
    <t>AA251113201149277</t>
  </si>
  <si>
    <t>AA251114011101503</t>
  </si>
  <si>
    <t>AA251114011101521</t>
  </si>
  <si>
    <t>AA251113191148472</t>
  </si>
  <si>
    <t>SP250302228244</t>
  </si>
  <si>
    <t>1+1 오브제 제로 헤어오일 100ml/ 수분 머리 컬크림 컬링 파마 볼륨</t>
  </si>
  <si>
    <t>1+1 오브제 제로 헤어오일 100ml</t>
  </si>
  <si>
    <t>AA251113211149898</t>
  </si>
  <si>
    <t>AA251113181148021</t>
  </si>
  <si>
    <t>SP241102084464</t>
  </si>
  <si>
    <t>AA251113221100678</t>
  </si>
  <si>
    <t>SP230801697684</t>
  </si>
  <si>
    <t>FAME 유기농 쏘팔메토 영양제 전립선 영양제,단일상품</t>
  </si>
  <si>
    <t>G0206</t>
  </si>
  <si>
    <t>제니스 산양유단백질1개총150g반개월</t>
  </si>
  <si>
    <t>산양유단백질4개총600g두달분</t>
  </si>
  <si>
    <t>T46829</t>
  </si>
  <si>
    <t>일농 미니사과 2kg</t>
  </si>
  <si>
    <t>제품선택:미니사과 2kg 1 개 (+0 원)</t>
  </si>
  <si>
    <t>제품선택:감귤 4.5kg 로얄과 S-M 1 개 (+7,100 원)</t>
  </si>
  <si>
    <t>T46834</t>
  </si>
  <si>
    <t>오아 마그네슘H0252 3box=90정 3개월</t>
  </si>
  <si>
    <t>제품선택:마스네슘H0252 3box=90정 3개월 1 개 (+0 원)</t>
  </si>
  <si>
    <t>제품선택:소래찬 국내산 포기김치 3kg 1 개 (+0 원)</t>
  </si>
  <si>
    <t>제품선택:CRS-WK0610FSPW 6인용 밥솥 1 개 (+0 원)</t>
  </si>
  <si>
    <t>제품선택:당제로 스테비아 믹스커피 100개입 + 30개입 1 개 (+0 원)</t>
  </si>
  <si>
    <t>제품선택:솔루엠 65W 초고속충전기 1 개 (+0 원)</t>
  </si>
  <si>
    <t>T46224</t>
  </si>
  <si>
    <t>오아 리바이탈엑스 20g 15포 (1박스)</t>
  </si>
  <si>
    <t>제품선택:리바이탈엑스 20g 15포 (1박스) 2 개 (+0 원)</t>
  </si>
  <si>
    <t>T45295</t>
  </si>
  <si>
    <t>진스마트팜 프리미엄 유러피안 컷팅 샐러드 1kg</t>
  </si>
  <si>
    <t>제품선택:프리미엄 유러피안 컷팅 샐러드 1kg 1 개 (+5,000 원)</t>
  </si>
  <si>
    <t>T45407</t>
  </si>
  <si>
    <t>꿀팁몰 바다다 명란김 4g*6장 (40봉)</t>
  </si>
  <si>
    <t>바다다 명란김 4g*6장 (40봉)</t>
  </si>
  <si>
    <t>T45589</t>
  </si>
  <si>
    <t>정담김 (에스시디디) 더블롤 오리지널 10개+허니버터 10개</t>
  </si>
  <si>
    <t>더블롤 오리지널 10개+허니버터 10개</t>
  </si>
  <si>
    <t>S0267</t>
  </si>
  <si>
    <t>씨월드 티각태각 부각 30g 10봉 선물세트 2호</t>
  </si>
  <si>
    <t>티각태각 부각 30g 10봉 선물세트 2호</t>
  </si>
  <si>
    <t>S0354</t>
  </si>
  <si>
    <t>헵시바F&amp;B 아비삭 라이스볼 6봉 선물세트(단호박2, 딸기2, 후르츠 2)</t>
  </si>
  <si>
    <t>아비삭 라이스볼 6봉 선물세트(단호박2, 딸기2, 후르츠 2)</t>
  </si>
  <si>
    <t>S0047</t>
  </si>
  <si>
    <t>미고가 콜라겐 바디앤풋크림 6종세트</t>
  </si>
  <si>
    <t>콜라겐 바디앤풋크림 6종세트</t>
  </si>
  <si>
    <t>T46179</t>
  </si>
  <si>
    <t>꿀팁몰 할매정성 소갈비찜 500g 1팩</t>
  </si>
  <si>
    <t>할매정성 소갈비찜 500g 1팩</t>
  </si>
  <si>
    <t>2025111402233920292F</t>
  </si>
  <si>
    <t>T39584</t>
  </si>
  <si>
    <t>오가닉K 버블 아기 엉덩이세정제 300ml 2개입</t>
  </si>
  <si>
    <t>2025111322000217388F</t>
  </si>
  <si>
    <t>2025111321352616909F</t>
  </si>
  <si>
    <t>S0064</t>
  </si>
  <si>
    <t>둥지쌍화탕 정읍 둥지 쌍화차 간편세트 1호</t>
  </si>
  <si>
    <t>2025111315054299313F</t>
  </si>
  <si>
    <t>T40970</t>
  </si>
  <si>
    <t>스피드랙 ★행사★ 홈던트 선반형 [ 700 / 600 / 1800 / 3단 ]</t>
  </si>
  <si>
    <t>[홈던트 선반] 가로 700 / 폭 600 / 높이 1800 / 선반수량 3개</t>
  </si>
  <si>
    <t>2025111310314892594F</t>
  </si>
  <si>
    <t>T38931</t>
  </si>
  <si>
    <t>오가닉K 살림백서 베이비&amp;키즈 욕조 클리너 500ml X 2개</t>
  </si>
  <si>
    <t>살림백서 베이비엔키즈 욕조 클리너 500ml 2개</t>
  </si>
  <si>
    <t>2025111310330492628F</t>
  </si>
  <si>
    <t>K1000023028</t>
  </si>
  <si>
    <t>동치미 1kg</t>
  </si>
  <si>
    <t>K1000023023</t>
  </si>
  <si>
    <t>T39615</t>
  </si>
  <si>
    <t>오가닉K 스웨이드 지우개+브러쉬 키트</t>
  </si>
  <si>
    <t>스웨이드 지우개+브러쉬 키트</t>
  </si>
  <si>
    <t>K1000022966</t>
  </si>
  <si>
    <t>T39507</t>
  </si>
  <si>
    <t>참식품 파김치 3kg</t>
  </si>
  <si>
    <t>파김치 3kg</t>
  </si>
  <si>
    <t>T46840</t>
  </si>
  <si>
    <t>에코바이오</t>
  </si>
  <si>
    <t>에코바이오 헤어 스틱 아로마 앰플 10ml x 2개</t>
  </si>
  <si>
    <t>임상TEST 미국식품의약국 인증/ 탈모관리 헤어 스틱 아로마 앰플 - 10mL*2 제품옵션: 헤어 스틱 아로마 앰플 10ml x 2개</t>
  </si>
  <si>
    <t>에어 2겹 엠보싱 천연펄프 무형광 키친타올 130매 6롤 옵션: 굿매너 키친타월 130매 x 6롤 1팩</t>
  </si>
  <si>
    <t>T46425</t>
  </si>
  <si>
    <t>소노스퀘어 그래피놀 호텔 베개솜</t>
  </si>
  <si>
    <t>그래피놀 호텔 베개솜 상품: 그래피놀 호텔 베개솜</t>
  </si>
  <si>
    <t>P0033</t>
  </si>
  <si>
    <t>블루인더스 모모토 향균 차량용 에어컨 필터 MC-008 1개 + 1개</t>
  </si>
  <si>
    <t>1+1 PM0.3 프리+활성탄+헤파필터 자동차 에어컨필터 상품선택: 1+1 MC-008</t>
  </si>
  <si>
    <t>T45966</t>
  </si>
  <si>
    <t>유원 양샹테 미용티슈 180매 3곽 (1팩)</t>
  </si>
  <si>
    <t>제품옵션:양샹테 미용티슈 180매 3곽 (1팩)</t>
  </si>
  <si>
    <t>T44964</t>
  </si>
  <si>
    <t>한울농업 꿀고구마 선물세트 /고구마스틱 20입 + 고구마말랭이 6입</t>
  </si>
  <si>
    <t>상품:고구마스틱 20입 + 고구마말랭이 6입</t>
  </si>
  <si>
    <t>T38654</t>
  </si>
  <si>
    <t>한우물 511340 치킨데리야끼 볶음밥 (300g x 6개) + 소불고기 볶음밥 (300g x 6개)</t>
  </si>
  <si>
    <t>511340 치킨데리야끼볶음밥 6개+소불고기볶음밥 6개</t>
  </si>
  <si>
    <t>T38610</t>
  </si>
  <si>
    <t>한우물 511296 새우 볶음밥 (300g x 6개) + 차돌김치 볶음밥 (300g x 6개)</t>
  </si>
  <si>
    <t>511296 새우볶음밥 6개+차돌김치볶음밥 6개</t>
  </si>
  <si>
    <t>NW2025111309161721</t>
  </si>
  <si>
    <t>T46844</t>
  </si>
  <si>
    <t>늘푸른우리 (정품) 엔비사과 중소과 5kg</t>
  </si>
  <si>
    <t>NW202511120715404</t>
  </si>
  <si>
    <t>T45680</t>
  </si>
  <si>
    <t>트루나스 생 과일칩 TROO12봉 세트</t>
  </si>
  <si>
    <t>옵션 :[트루나스] 동결건조 생과일칩 TROO 12봉세트/딸기 바나나 사과 파인애플 블루베리 망고 [트루나스] 생과일칩 TROO</t>
  </si>
  <si>
    <t>C253173616057</t>
  </si>
  <si>
    <t>C253174860155</t>
  </si>
  <si>
    <t>C253176146817</t>
  </si>
  <si>
    <t>C253176354533</t>
  </si>
  <si>
    <t>P0134</t>
  </si>
  <si>
    <t>오가닉K [특가] 1+1 오푼티아&amp;밤부 바디로션 500ml 베베머스크 [25년 4월]</t>
  </si>
  <si>
    <t>/ 오푼티아 &amp; 밤부 바디로션 500ml 베베머스크</t>
  </si>
  <si>
    <t>11/10~11/14 업체지급금액 차액분 계</t>
  </si>
  <si>
    <t>11/10~11/14</t>
  </si>
  <si>
    <t>사입</t>
  </si>
  <si>
    <t>BA251114091102615</t>
  </si>
  <si>
    <t>BA251114101103081</t>
  </si>
  <si>
    <t>BA251114101103435</t>
  </si>
  <si>
    <t>BA251114091103009</t>
  </si>
  <si>
    <t>WP241102102716</t>
  </si>
  <si>
    <t>[식품첨가물 향료] 베이킹소다 구연산 식기세척기 세제 1L</t>
  </si>
  <si>
    <t>베이킹소다 식기세척기 세제 1L X 2개</t>
  </si>
  <si>
    <t>BA251114091102966</t>
  </si>
  <si>
    <t>BA251114091102814</t>
  </si>
  <si>
    <t>BA251114101103288</t>
  </si>
  <si>
    <t>BA251114111103799</t>
  </si>
  <si>
    <t>BA251114111104226</t>
  </si>
  <si>
    <t>BA251114121104535</t>
  </si>
  <si>
    <t>BA251114111104169</t>
  </si>
  <si>
    <t>안티 헤어로스 샴푸 460ml</t>
  </si>
  <si>
    <t>BA251114121104301</t>
  </si>
  <si>
    <t>BA251114111104185</t>
  </si>
  <si>
    <t>BA251114111104209</t>
  </si>
  <si>
    <t>BA251114121104427</t>
  </si>
  <si>
    <t>BA251114111104032</t>
  </si>
  <si>
    <t>BA251114121104522</t>
  </si>
  <si>
    <t>BA251114111104106</t>
  </si>
  <si>
    <t>BA251114111103779</t>
  </si>
  <si>
    <t>BA251114131104996</t>
  </si>
  <si>
    <t>BA251114141105617</t>
  </si>
  <si>
    <t>프리미엄 알칼리 죽염 분말 1kg</t>
  </si>
  <si>
    <t>BA251114131104884</t>
  </si>
  <si>
    <t>BA251114141105587</t>
  </si>
  <si>
    <t>BA251114141105787</t>
  </si>
  <si>
    <t>BA251114131105253</t>
  </si>
  <si>
    <t>BA251114131104866</t>
  </si>
  <si>
    <t>BA251114131105251</t>
  </si>
  <si>
    <t>BA251114141105351</t>
  </si>
  <si>
    <t>BA251114141105808</t>
  </si>
  <si>
    <t>BA251114141105348</t>
  </si>
  <si>
    <t>BA251114141105687</t>
  </si>
  <si>
    <t>BA251114151105872</t>
  </si>
  <si>
    <t>PGO-13</t>
  </si>
  <si>
    <t>BA251114161106697</t>
  </si>
  <si>
    <t>BA251114161106769</t>
  </si>
  <si>
    <t>BA251114161106800</t>
  </si>
  <si>
    <t>BA251114161106536</t>
  </si>
  <si>
    <t>BA251114161106879</t>
  </si>
  <si>
    <t>BA251114161106642</t>
  </si>
  <si>
    <t>BA251114151106175</t>
  </si>
  <si>
    <t>BA251114161106804</t>
  </si>
  <si>
    <t>BA251114161106524</t>
  </si>
  <si>
    <t>BA251114161106466</t>
  </si>
  <si>
    <t>WP250602392282</t>
  </si>
  <si>
    <t>[네이버리뷰 10000개 돌파] 미슐랭 3대 맛집! 55년 대가방 간짜장 480g 3팩</t>
  </si>
  <si>
    <t>대가방 간짜장 480g 3팩</t>
  </si>
  <si>
    <t>BA251114151106193</t>
  </si>
  <si>
    <t>WP250702409563</t>
  </si>
  <si>
    <t>[블랙헤드 임상완료]끈적임 없는 블랙헤드 블루 앰플 세럼 30ml</t>
  </si>
  <si>
    <t>노모어 블랙헤드 블루 앰플 세럼 30ml</t>
  </si>
  <si>
    <t>BA251114161106465</t>
  </si>
  <si>
    <t>BA251114161106672</t>
  </si>
  <si>
    <t>BA251114161106684</t>
  </si>
  <si>
    <t>BA251114151106054</t>
  </si>
  <si>
    <t>BA251114211108946</t>
  </si>
  <si>
    <t>BA251114211109322</t>
  </si>
  <si>
    <t>BA251115001110317</t>
  </si>
  <si>
    <t>BA251114201108363</t>
  </si>
  <si>
    <t>미니금고 아뜰리에3 명화디자인 / 고흐 아몬드나무</t>
  </si>
  <si>
    <t>BA251114181107550</t>
  </si>
  <si>
    <t>BA251114191108248</t>
  </si>
  <si>
    <t>BA251115061110927</t>
  </si>
  <si>
    <t>BA251114181107445</t>
  </si>
  <si>
    <t>BA251115001110273</t>
  </si>
  <si>
    <t>WP230401544015</t>
  </si>
  <si>
    <t>씨없는 청도 반시 생생곶감 12과 세트 (냉동)</t>
  </si>
  <si>
    <t>청도 반건시 80g 이상 12과</t>
  </si>
  <si>
    <t>BA251114191107787</t>
  </si>
  <si>
    <t>BA251114231110117</t>
  </si>
  <si>
    <t>BA251114201108768</t>
  </si>
  <si>
    <t>BA251114221109442</t>
  </si>
  <si>
    <t>BA251115061110969</t>
  </si>
  <si>
    <t>BEYOND BY700 소형 내화금고 64L / 샴페인골드</t>
  </si>
  <si>
    <t>BA251114201108712</t>
  </si>
  <si>
    <t>티트리 트리트먼트 1500ml 화이트머스크 x 1개</t>
  </si>
  <si>
    <t>BA251114181107683</t>
  </si>
  <si>
    <t>BA251114201108491</t>
  </si>
  <si>
    <t>BA251114191107870</t>
  </si>
  <si>
    <t>BCV015</t>
  </si>
  <si>
    <t>BA251114201108755</t>
  </si>
  <si>
    <t>BA251114231110101</t>
  </si>
  <si>
    <t>BA251114211108860</t>
  </si>
  <si>
    <t>BA251115061110974</t>
  </si>
  <si>
    <t>BA251114211109004</t>
  </si>
  <si>
    <t>BA251115001110392</t>
  </si>
  <si>
    <t>BA251114231109971</t>
  </si>
  <si>
    <t>BA251114181107553</t>
  </si>
  <si>
    <t>BA251114211109045</t>
  </si>
  <si>
    <t>BA251114191108203</t>
  </si>
  <si>
    <t>BA251114201108660</t>
  </si>
  <si>
    <t>BA251114171107345</t>
  </si>
  <si>
    <t>BA251114221109673</t>
  </si>
  <si>
    <t>BA251114201108719</t>
  </si>
  <si>
    <t>BA251114231109889</t>
  </si>
  <si>
    <t>WP230201526009</t>
  </si>
  <si>
    <t>독일 기술합작 천연성분 스킨바이타+스킨바이타 크림</t>
  </si>
  <si>
    <t>스킨바이타+스킨바이타 크림</t>
  </si>
  <si>
    <t>BA251114191107830</t>
  </si>
  <si>
    <t>WP240101804294</t>
  </si>
  <si>
    <t>홍삼 발효 도라지 고 3호세트/ 어버이날 스승의날 부모님 선생님 선물셋트</t>
  </si>
  <si>
    <t>홍삼 발효 도라지 고 3호세트</t>
  </si>
  <si>
    <t>BA251114211108799</t>
  </si>
  <si>
    <t>BA251115021110651</t>
  </si>
  <si>
    <t>BA251115011110649</t>
  </si>
  <si>
    <t>CtoC 100W 고속 충전케이블 C타입 1.8m 5A</t>
  </si>
  <si>
    <t>BA251114231110043</t>
  </si>
  <si>
    <t>리꼬 유아용품 세정제균 소독티슈 20매 x 30팩</t>
  </si>
  <si>
    <t>BA251114191107813</t>
  </si>
  <si>
    <t>WP231201799317</t>
  </si>
  <si>
    <t>[30년 한과명인] 강릉 경동한과 찹쌀강정(단품) 350g</t>
  </si>
  <si>
    <t>찹쌀강정(단품) 350g</t>
  </si>
  <si>
    <t>BA251114231109879</t>
  </si>
  <si>
    <t>WP230101500291</t>
  </si>
  <si>
    <t>어린이용 KF80 캐릭터 황사마스크 25매 소형</t>
  </si>
  <si>
    <t>러블리퍼피 마스크</t>
  </si>
  <si>
    <t>BA251115041110806</t>
  </si>
  <si>
    <t>BA251115061110922</t>
  </si>
  <si>
    <t>옛맛그대로 항아골 청국장 100g x 30입</t>
  </si>
  <si>
    <t>BA251114201108365</t>
  </si>
  <si>
    <t>오브제 퍼퓸 트리트먼트 1L 1개입 라벤더퍼퓸향</t>
  </si>
  <si>
    <t>오브제 퍼퓸 샴푸 1L 2개입 라벤더퍼퓸향</t>
  </si>
  <si>
    <t>오브제 퍼퓸 바디워시 1L 2개입 라벤더퍼퓸향</t>
  </si>
  <si>
    <t>BA251114201108433</t>
  </si>
  <si>
    <t>티플레이스 민들레차 삼각티백</t>
  </si>
  <si>
    <t>BA251114171107060</t>
  </si>
  <si>
    <t>WP240201856353</t>
  </si>
  <si>
    <t>100% 순면 신생아패드 /2가지 높이조절가능</t>
  </si>
  <si>
    <t>베베핏 신생아패드</t>
  </si>
  <si>
    <t>BA251114221109725</t>
  </si>
  <si>
    <t>BA251115071111075</t>
  </si>
  <si>
    <t>BA251115071111080</t>
  </si>
  <si>
    <t>BA251115071111053</t>
  </si>
  <si>
    <t>BA251115081111186</t>
  </si>
  <si>
    <t>BA251115081111192</t>
  </si>
  <si>
    <t>BA251115071111156</t>
  </si>
  <si>
    <t>BA251115071111056</t>
  </si>
  <si>
    <t>BA251115091111499</t>
  </si>
  <si>
    <t>티트리 바디로션 1500ml 화이트머스크 x 2개</t>
  </si>
  <si>
    <t>BA251115101111909</t>
  </si>
  <si>
    <t>BA251115091111781</t>
  </si>
  <si>
    <t>BA251115091111577</t>
  </si>
  <si>
    <t>BA251115091111549</t>
  </si>
  <si>
    <t>BA251115111112360</t>
  </si>
  <si>
    <t>BA251115091111632</t>
  </si>
  <si>
    <t>BA251115091111562</t>
  </si>
  <si>
    <t>BA251115091111684</t>
  </si>
  <si>
    <t>BA251115101112183</t>
  </si>
  <si>
    <t>WP240401944080</t>
  </si>
  <si>
    <t>무향 무취 습기먹는 제습제 520ml 24개/ 신발 옷장용 탈취 곰팡이 제거</t>
  </si>
  <si>
    <t>BA251115091111682</t>
  </si>
  <si>
    <t>WP230501603393</t>
  </si>
  <si>
    <t>분쇄원두커피 1kg+핸드드립 여과지 100매+드립포트 / 헤이즐넛 블루마운틴 콜롬비아 브라질 산토스 블렌드</t>
  </si>
  <si>
    <t>콜롬비아 블렌드 분쇄 원두커피 1kg+드립포트350ml+핸드드립 여과지 100매</t>
  </si>
  <si>
    <t>BA251115101111873</t>
  </si>
  <si>
    <t>BA251115101112048</t>
  </si>
  <si>
    <t>511182 쉬림프알리오올리오파스타 2개+버섯크림파스타R 2개+미트볼볼로네제파스타 2개</t>
  </si>
  <si>
    <t>BA251115121113000</t>
  </si>
  <si>
    <t>BA251115121113038</t>
  </si>
  <si>
    <t>BA251115111112537</t>
  </si>
  <si>
    <t>BA251115111112481</t>
  </si>
  <si>
    <t>WP251102537094</t>
  </si>
  <si>
    <t>BA251115111112571</t>
  </si>
  <si>
    <t>BA251115121112956</t>
  </si>
  <si>
    <t>BA251115111112412</t>
  </si>
  <si>
    <t>BA251115121113093</t>
  </si>
  <si>
    <t>MC-003</t>
  </si>
  <si>
    <t>BA251115121113221</t>
  </si>
  <si>
    <t>BA251115111112558</t>
  </si>
  <si>
    <t>WP250802428060</t>
  </si>
  <si>
    <t>KREX AG 편광변색 초경량 선글라스 안경 썬글라스/ 골프 스포츠 자전거 싸이클 등산 러닝 런닝 고글</t>
  </si>
  <si>
    <t>KREX AG02 편광변색 선글라스</t>
  </si>
  <si>
    <t>BA251115121113137</t>
  </si>
  <si>
    <t>BA251115121113083</t>
  </si>
  <si>
    <t>BA251115111112822</t>
  </si>
  <si>
    <t>BA251115121113079</t>
  </si>
  <si>
    <t>BA251115131113469</t>
  </si>
  <si>
    <t>BA251115131113446</t>
  </si>
  <si>
    <t>WP230101493170</t>
  </si>
  <si>
    <t>독도무역</t>
  </si>
  <si>
    <t>국내산 산마늘 명이절임 1kg, 당귀입 1kg 中 택1</t>
  </si>
  <si>
    <t>산마늘 명이절임 1kg</t>
  </si>
  <si>
    <t>BA251115131113288</t>
  </si>
  <si>
    <t>BA251115131113662</t>
  </si>
  <si>
    <t>WP240201879709</t>
  </si>
  <si>
    <t>[무항생제 1A등급 원유] 구워먹는 할루미치즈 200g 1개</t>
  </si>
  <si>
    <t>할루미치즈 200g(50g 4개입) 1개</t>
  </si>
  <si>
    <t>BA251115131113663</t>
  </si>
  <si>
    <t>BA251115141113943</t>
  </si>
  <si>
    <t>BA251115141114031</t>
  </si>
  <si>
    <t>BA251115131113473</t>
  </si>
  <si>
    <t>BA251115141113751</t>
  </si>
  <si>
    <t>BA251115131113317</t>
  </si>
  <si>
    <t>BA251115131113565</t>
  </si>
  <si>
    <t>BA251115131113502</t>
  </si>
  <si>
    <t>BA251115141113749</t>
  </si>
  <si>
    <t>BA251115141113671</t>
  </si>
  <si>
    <t>BA251115161114556</t>
  </si>
  <si>
    <t>BA251115161114635</t>
  </si>
  <si>
    <t>BA251115161114642</t>
  </si>
  <si>
    <t>BA251115161114857</t>
  </si>
  <si>
    <t>BA251115161114648</t>
  </si>
  <si>
    <t>BA251115151114141</t>
  </si>
  <si>
    <t>BA251115171114932</t>
  </si>
  <si>
    <t>녹차 창란젓 400g</t>
  </si>
  <si>
    <t>BA251115161114880</t>
  </si>
  <si>
    <t>BA251116001118585</t>
  </si>
  <si>
    <t>WP240802016530</t>
  </si>
  <si>
    <t>고단백 한입 큐브조각 닭가슴살 10팩/ 다이어트 헬스 음식 간편식요리 아침식사대용</t>
  </si>
  <si>
    <t>페퍼 조각 닭가슴살 10팩</t>
  </si>
  <si>
    <t>볼케이노 조각 닭가슴살 10팩</t>
  </si>
  <si>
    <t>BA251115181115480</t>
  </si>
  <si>
    <t>BA251115181115762</t>
  </si>
  <si>
    <t>[스피드랙] 가로 900 / 폭 500 / 높이 1950 / 선반 수량 4개</t>
  </si>
  <si>
    <t>BA251115191115997</t>
  </si>
  <si>
    <t>BA251116001118452</t>
  </si>
  <si>
    <t>CtoC 60W 고속 충전케이블 C타입 1.8m 3A</t>
  </si>
  <si>
    <t>BA251115231118254</t>
  </si>
  <si>
    <t>[홈던트] 가로 600 / 폭 600 / 높이 2100 / 행거단 1개 / 선반단 0개</t>
  </si>
  <si>
    <t>BA251115191116037</t>
  </si>
  <si>
    <t>BA251116001118568</t>
  </si>
  <si>
    <t>BA251115221117829</t>
  </si>
  <si>
    <t>BA251115181115788</t>
  </si>
  <si>
    <t>BA251115201116719</t>
  </si>
  <si>
    <t>BA251115211117421</t>
  </si>
  <si>
    <t>BA251115211116971</t>
  </si>
  <si>
    <t>BA251115231118370</t>
  </si>
  <si>
    <t>BA251115181115786</t>
  </si>
  <si>
    <t>BA251116061119153</t>
  </si>
  <si>
    <t>L / 라이트그레이 KF94L50LG</t>
  </si>
  <si>
    <t>BA251115181115696</t>
  </si>
  <si>
    <t>BA251116011118825</t>
  </si>
  <si>
    <t>WP250702395284</t>
  </si>
  <si>
    <t>[국내산 과탄산소다 쉰내고민끝] 캡슐 표백제 30개입 /일반 드럼세탁기 겸용사용</t>
  </si>
  <si>
    <t>닥터퓨리 캡슐 표백제 30개입 x 2개</t>
  </si>
  <si>
    <t>BA251115191116107</t>
  </si>
  <si>
    <t>BA251116001118517</t>
  </si>
  <si>
    <t>BA251115231118312</t>
  </si>
  <si>
    <t>BA251115201116581</t>
  </si>
  <si>
    <t>BA251115211116904</t>
  </si>
  <si>
    <t>스틱김자반 [10g x 15개] (어린이/오리지널) 2개세트</t>
  </si>
  <si>
    <t>BA251115221117588</t>
  </si>
  <si>
    <t>알러지노 헝가리 구스다운이불 겨울용 Q</t>
  </si>
  <si>
    <t>BA251115211116925</t>
  </si>
  <si>
    <t>BA251115201116637</t>
  </si>
  <si>
    <t>BA251115211117385</t>
  </si>
  <si>
    <t>BA251115221117788</t>
  </si>
  <si>
    <t>BA251115221117887</t>
  </si>
  <si>
    <t>BA251115231118170</t>
  </si>
  <si>
    <t>BA251115231118255</t>
  </si>
  <si>
    <t>BA251115211117105</t>
  </si>
  <si>
    <t>WP250202221443</t>
  </si>
  <si>
    <t>강한친구 닭가슴살칩 단백질 과자 (오리지널 양파 김) 25g 3봉 아이간식 스낵</t>
  </si>
  <si>
    <t>강한친구 닭가슴살칩 오리지널3봉+김맛3봉+양파맛3봉</t>
  </si>
  <si>
    <t>BA251115211117281</t>
  </si>
  <si>
    <t>BA251115191116088</t>
  </si>
  <si>
    <t>BA251115211117304</t>
  </si>
  <si>
    <t>BA251115211117428</t>
  </si>
  <si>
    <t>[홈던트] 가로 1200 / 폭 600 / 높이 2100 / 행거단 0개 / 선반단 0개</t>
  </si>
  <si>
    <t>BA251115221117885</t>
  </si>
  <si>
    <t>BA251115231118238</t>
  </si>
  <si>
    <t>BA251116011118752</t>
  </si>
  <si>
    <t>BA251116051119068</t>
  </si>
  <si>
    <t>BA251116041119007</t>
  </si>
  <si>
    <t>BA251115201116491</t>
  </si>
  <si>
    <t>모두의사골육수_1개</t>
  </si>
  <si>
    <t>BA251116021118839</t>
  </si>
  <si>
    <t>BA251115211117389</t>
  </si>
  <si>
    <t>녹차 꼴뚜기젓 230g</t>
  </si>
  <si>
    <t>녹차 멍게젓 200g</t>
  </si>
  <si>
    <t>BA251115171114939</t>
  </si>
  <si>
    <t>BA251115181115721</t>
  </si>
  <si>
    <t>BA251115201116686</t>
  </si>
  <si>
    <t>BA251115231118269</t>
  </si>
  <si>
    <t>BA251116011118807</t>
  </si>
  <si>
    <t>[스피드랙] 가로 1000 / 폭 300 / 높이 1800 / 선반 수량 5개</t>
  </si>
  <si>
    <t>BA251115191115993</t>
  </si>
  <si>
    <t>BA251116061119158</t>
  </si>
  <si>
    <t>대박나는집 순수 3겹 30m x 30롤</t>
  </si>
  <si>
    <t>BA251116001118483</t>
  </si>
  <si>
    <t>BA251115211117195</t>
  </si>
  <si>
    <t>BA251115221117592</t>
  </si>
  <si>
    <t>스완렉스 정전기 청소포 25매 x 6팩(표준형/캡형)</t>
  </si>
  <si>
    <t>BA251115201116641</t>
  </si>
  <si>
    <t>BA251115201116782</t>
  </si>
  <si>
    <t>BA251115201116863</t>
  </si>
  <si>
    <t>BA251115211117402</t>
  </si>
  <si>
    <t>BA251116021118858</t>
  </si>
  <si>
    <t>BA251115231118233</t>
  </si>
  <si>
    <t>BA251115181115382</t>
  </si>
  <si>
    <t>BA251115181115481</t>
  </si>
  <si>
    <t>BA251115181115724</t>
  </si>
  <si>
    <t>못난이 옥천준시곶감 450g (일반 size)</t>
  </si>
  <si>
    <t>BA251115191116100</t>
  </si>
  <si>
    <t>BA251115201116571</t>
  </si>
  <si>
    <t>BA251115221117988</t>
  </si>
  <si>
    <t>BA251115211117430</t>
  </si>
  <si>
    <t>스테비아 당제로 커피믹스 오리지널 250개입</t>
  </si>
  <si>
    <t>BA251115231118396</t>
  </si>
  <si>
    <t>BA251116001118545</t>
  </si>
  <si>
    <t>BA251115181115741</t>
  </si>
  <si>
    <t>BA251116061119124</t>
  </si>
  <si>
    <t>BA251115201116854</t>
  </si>
  <si>
    <t>BA251115201116605</t>
  </si>
  <si>
    <t>BA251115221117514</t>
  </si>
  <si>
    <t>BA251115171115276</t>
  </si>
  <si>
    <t>BA251116001118570</t>
  </si>
  <si>
    <t>BA251116071119207</t>
  </si>
  <si>
    <t>BA251116071119219</t>
  </si>
  <si>
    <t>B14G 투명변색 레드</t>
  </si>
  <si>
    <t>BA251116081119446</t>
  </si>
  <si>
    <t>BA251116081119326</t>
  </si>
  <si>
    <t>WP230701656750</t>
  </si>
  <si>
    <t>[감성테라피] 순도 100% 비타민 샤워기필터 녹물제거 여행용</t>
  </si>
  <si>
    <t>바디수 샤워필터 러블리로즈</t>
  </si>
  <si>
    <t>바디수 샤워필터 써니코튼</t>
  </si>
  <si>
    <t>바디수 샤워필터 썬셋프리지아</t>
  </si>
  <si>
    <t>BA251116071119243</t>
  </si>
  <si>
    <t>BA251116081119475</t>
  </si>
  <si>
    <t>BA251116081119606</t>
  </si>
  <si>
    <t>BA251116071119271</t>
  </si>
  <si>
    <t>BA251116071119227</t>
  </si>
  <si>
    <t>BA251116071119237</t>
  </si>
  <si>
    <t>BA251116081119481</t>
  </si>
  <si>
    <t>WP230401597816</t>
  </si>
  <si>
    <t>★400만병 돌파★ 국내산 원물 동결건조 / 마늘한알 +생강한알 + 청양고추 + 대파 종합선물세트</t>
  </si>
  <si>
    <t>마늘한알 +생강한알 + 청양고추 + 대파 종합선물세트 / 마늘종합E</t>
  </si>
  <si>
    <t>BA251116091119960</t>
  </si>
  <si>
    <t>BA251116091120043</t>
  </si>
  <si>
    <t>BA251116101120499</t>
  </si>
  <si>
    <t>BA251116101120265</t>
  </si>
  <si>
    <t>BA251116101120446</t>
  </si>
  <si>
    <t>BA251116091119988</t>
  </si>
  <si>
    <t>WP230101504176</t>
  </si>
  <si>
    <t>최상급 원초 광천 재래식탁 x 12봉+파래식탁 x 12봉+김자반 x 5봉</t>
  </si>
  <si>
    <t>재래식탁 x 12봉+파래식탁 x 12봉+김자반 x 5봉</t>
  </si>
  <si>
    <t>BA251116101120436</t>
  </si>
  <si>
    <t>BA251116091119882</t>
  </si>
  <si>
    <t>바세린 바디워시 1000ml X 1개</t>
  </si>
  <si>
    <t>BA251116101120348</t>
  </si>
  <si>
    <t>BA251116091119974</t>
  </si>
  <si>
    <t>BA251116091120004</t>
  </si>
  <si>
    <t>BA251116121121239</t>
  </si>
  <si>
    <t>BA251116111121008</t>
  </si>
  <si>
    <t>BA251116111120683</t>
  </si>
  <si>
    <t>BA251116121121073</t>
  </si>
  <si>
    <t>BA251116111120748</t>
  </si>
  <si>
    <t>BA251116111120800</t>
  </si>
  <si>
    <t>BA251116111120918</t>
  </si>
  <si>
    <t>리꼬베이비 시그니처물티슈 70매x10팩</t>
  </si>
  <si>
    <t>WP231001760596</t>
  </si>
  <si>
    <t>베이비 83gsm 저자극 아기물티슈 더 플래닛 비너스 골드 휴대용 20매 x 12팩</t>
  </si>
  <si>
    <t>더플래닛 비너스 골드 83gsm 휴대용 20매 x 12팩</t>
  </si>
  <si>
    <t>BA251116121121087</t>
  </si>
  <si>
    <t>BA251116111120982</t>
  </si>
  <si>
    <t>BA251116121121482</t>
  </si>
  <si>
    <t>BA251116121121536</t>
  </si>
  <si>
    <t>BA251116131121900</t>
  </si>
  <si>
    <t>BA251116131121618</t>
  </si>
  <si>
    <t>BA251116131121651</t>
  </si>
  <si>
    <t>BA251116131121676</t>
  </si>
  <si>
    <t>미스터빠삭 다시마부각 25g / 1개</t>
  </si>
  <si>
    <t>BA251116131121688</t>
  </si>
  <si>
    <t>BA251116131121864</t>
  </si>
  <si>
    <t>BA251116131121761</t>
  </si>
  <si>
    <t>BA251116141122530</t>
  </si>
  <si>
    <t>브라질 산토스 분쇄 원두커피 1kg+드립포트350ml+핸드드립 여과지 100매</t>
  </si>
  <si>
    <t>BA251116131121804</t>
  </si>
  <si>
    <t>BA251116141122456</t>
  </si>
  <si>
    <t>BC 003</t>
  </si>
  <si>
    <t>BA251116131122041</t>
  </si>
  <si>
    <t>BA251116141122528</t>
  </si>
  <si>
    <t>BA251116161123474</t>
  </si>
  <si>
    <t>BA251116151122627</t>
  </si>
  <si>
    <t>WP240701993542</t>
  </si>
  <si>
    <t>전자렌지 3분 참손 민물 장어구이 장어 중량 손실없음 600g 1kg 손질장어</t>
  </si>
  <si>
    <t>참손민물장어구이 1kg (6미)</t>
  </si>
  <si>
    <t>BA251116151122661</t>
  </si>
  <si>
    <t>BA251116161123402</t>
  </si>
  <si>
    <t>BA251116151122637</t>
  </si>
  <si>
    <t>BA251116161123274</t>
  </si>
  <si>
    <t>WP240201858593</t>
  </si>
  <si>
    <t>습기싹 딥클린 제습제 습기제거제 515ml 12개 250g</t>
  </si>
  <si>
    <t>딥클린 제습제 250g x 12개</t>
  </si>
  <si>
    <t>BA251116161123546</t>
  </si>
  <si>
    <t>BA251116161123439</t>
  </si>
  <si>
    <t>WP250902481105</t>
  </si>
  <si>
    <t>[치석 치태 미백효과 임상완료] 독일칫솔 페덱스 엠보싱 슬림&amp;롱 칫솔 5개입</t>
  </si>
  <si>
    <t>페덱스 엠보싱 슬림 칫솔 5개입</t>
  </si>
  <si>
    <t>BA251116151122761</t>
  </si>
  <si>
    <t>WP230401547130</t>
  </si>
  <si>
    <t>헤모나후코이단 모발 강화 두피케어 안티 헤어로스 토닉 100ml</t>
  </si>
  <si>
    <t>안티 헤어로스 토닉 100ml</t>
  </si>
  <si>
    <t>BA251116161123359</t>
  </si>
  <si>
    <t>BA251116171123737</t>
  </si>
  <si>
    <t>BA251116161123705</t>
  </si>
  <si>
    <t>BA251116161123538</t>
  </si>
  <si>
    <t>BA251116151122874</t>
  </si>
  <si>
    <t>BA251116151122720</t>
  </si>
  <si>
    <t>BA251116161123681</t>
  </si>
  <si>
    <t>BA251116151123137</t>
  </si>
  <si>
    <t>BA251116201125903</t>
  </si>
  <si>
    <t>BA251116201126356</t>
  </si>
  <si>
    <t>BA251117021129845</t>
  </si>
  <si>
    <t>BA251116171124206</t>
  </si>
  <si>
    <t>BA251116181124772</t>
  </si>
  <si>
    <t>BA251116191125444</t>
  </si>
  <si>
    <t>WP250102163792</t>
  </si>
  <si>
    <t>BA251116221128239</t>
  </si>
  <si>
    <t>BA251116201125813</t>
  </si>
  <si>
    <t>BA251116231129154</t>
  </si>
  <si>
    <t>WP240201879645</t>
  </si>
  <si>
    <t>[무항생제 1A등급 원유] 찢어먹는 스트링치즈 100g</t>
  </si>
  <si>
    <t>스트링치즈 100g(20g 5개입) 3개</t>
  </si>
  <si>
    <t>BA251116231129126</t>
  </si>
  <si>
    <t>BA251116191125101</t>
  </si>
  <si>
    <t>BA251116231128637</t>
  </si>
  <si>
    <t>511226 김치볶음밥 12개</t>
  </si>
  <si>
    <t>BA251116211127195</t>
  </si>
  <si>
    <t>BA251116221128387</t>
  </si>
  <si>
    <t>BA251116221128299</t>
  </si>
  <si>
    <t>BA251116191125144</t>
  </si>
  <si>
    <t>WP241202110231</t>
  </si>
  <si>
    <t>스페인 최상등급 OA 엑스트라버진 올리브오일 SET 아르베키나 250ml+ 코르네이키 250ml</t>
  </si>
  <si>
    <t>코로네이키 250ml 2병 세트</t>
  </si>
  <si>
    <t>BA251116171123799</t>
  </si>
  <si>
    <t>BA251116201126453</t>
  </si>
  <si>
    <t>BA251116181124369</t>
  </si>
  <si>
    <t>BA251116201126369</t>
  </si>
  <si>
    <t>511354 햄야채볶음밥 6개+사천중화볶음밥 6개</t>
  </si>
  <si>
    <t>BA251116201126500</t>
  </si>
  <si>
    <t>BA251116231128922</t>
  </si>
  <si>
    <t>BA251116211127152</t>
  </si>
  <si>
    <t>WP241102101945</t>
  </si>
  <si>
    <t>마이크로 미셀라 딥 클렌징폼 230ml x 4개</t>
  </si>
  <si>
    <t>BA251116221127752</t>
  </si>
  <si>
    <t>BA251116231128760</t>
  </si>
  <si>
    <t>BA251116201126484</t>
  </si>
  <si>
    <t>BA251116211127262</t>
  </si>
  <si>
    <t>BA251116221127859</t>
  </si>
  <si>
    <t>BA251116231128665</t>
  </si>
  <si>
    <t>BA251116231129053</t>
  </si>
  <si>
    <t>BA251117061130192</t>
  </si>
  <si>
    <t>BA251116181124493</t>
  </si>
  <si>
    <t>BA251116221128254</t>
  </si>
  <si>
    <t>BA251116191125601</t>
  </si>
  <si>
    <t>WP240701993555</t>
  </si>
  <si>
    <t>[복날이벤트 삼계탕재료증정] 홍만집 금산 6년근 수삼 난발삼 14뿌리/ 초중말복 음식 인삼 홍삼</t>
  </si>
  <si>
    <t>난발삼 (14뿌리 내외)</t>
  </si>
  <si>
    <t>BA251116201126047</t>
  </si>
  <si>
    <t>BA251117051130089</t>
  </si>
  <si>
    <t>BA251116221128286</t>
  </si>
  <si>
    <t>BA251116231128557</t>
  </si>
  <si>
    <t>재래식탁김 12봉 x 3박스</t>
  </si>
  <si>
    <t>BA251117041129986</t>
  </si>
  <si>
    <t>BA251116221127936</t>
  </si>
  <si>
    <t>BA251116171124157</t>
  </si>
  <si>
    <t>BA251116201125763</t>
  </si>
  <si>
    <t>BA251116171123985</t>
  </si>
  <si>
    <t>BA251116171124233</t>
  </si>
  <si>
    <t>BA251116201126390</t>
  </si>
  <si>
    <t>할루미치즈 200g(50g 4개입) 3개</t>
  </si>
  <si>
    <t>BA251116201126586</t>
  </si>
  <si>
    <t>BA251116201126255</t>
  </si>
  <si>
    <t>BA251116201125806</t>
  </si>
  <si>
    <t>핸드워시 300ml 바먼모겐 (블랑쉬향) x 1개</t>
  </si>
  <si>
    <t>BA251116201126423</t>
  </si>
  <si>
    <t>BA251116201126526</t>
  </si>
  <si>
    <t>BA251116211127109</t>
  </si>
  <si>
    <t>BA251116221128473</t>
  </si>
  <si>
    <t>BA251116171124232</t>
  </si>
  <si>
    <t>BA251116201126447</t>
  </si>
  <si>
    <t>BA251116221127728</t>
  </si>
  <si>
    <t>BA251116221127938</t>
  </si>
  <si>
    <t>BA251116191125138</t>
  </si>
  <si>
    <t>WP250902488153</t>
  </si>
  <si>
    <t>[에너지효율 1등급] 2.1 초고압 121도 자동스팀세척 자동절전 6인용 전기 밥솥</t>
  </si>
  <si>
    <t>CRH-RPK0682B</t>
  </si>
  <si>
    <t>BA251117011129679</t>
  </si>
  <si>
    <t>BA251116171123765</t>
  </si>
  <si>
    <t>WP230101490787</t>
  </si>
  <si>
    <t>어린이 교육용 브라운 수납형 지구본 직경 21cm</t>
  </si>
  <si>
    <t>브라운 수납형 지구본</t>
  </si>
  <si>
    <t>BA251116221128355</t>
  </si>
  <si>
    <t>[스피드랙] 가로 500 / 폭 500 / 높이 1200 / 선반 수량 3개</t>
  </si>
  <si>
    <t>BA251116191125002</t>
  </si>
  <si>
    <t>WP230101492894</t>
  </si>
  <si>
    <t>혼합 선물세트 (청도 반건시 60g이상 x 12과 + 감말랭이 100g x 4팩)</t>
  </si>
  <si>
    <t>네이처팜 혼합 선물세트 (청도 반건시 60g이상 x 12과 + 감말랭이 100g x 4팩)</t>
  </si>
  <si>
    <t>BA251116191125461</t>
  </si>
  <si>
    <t>BA251116181124643</t>
  </si>
  <si>
    <t>BA251116181124466</t>
  </si>
  <si>
    <t>BA251116201126549</t>
  </si>
  <si>
    <t>BA251116181124896</t>
  </si>
  <si>
    <t>BA251116201126031</t>
  </si>
  <si>
    <t>BA251116201126582</t>
  </si>
  <si>
    <t>BA251116221128034</t>
  </si>
  <si>
    <t>511193 미역국밥 5개+육개국밥 5개</t>
  </si>
  <si>
    <t>BA251117001129403</t>
  </si>
  <si>
    <t>BA251116221128480</t>
  </si>
  <si>
    <t>BA251117001129643</t>
  </si>
  <si>
    <t>WP241102084000</t>
  </si>
  <si>
    <t>BA251116221128008</t>
  </si>
  <si>
    <t>WP241102102726</t>
  </si>
  <si>
    <t>[1+1] 뽀득뽀득 찌든때 클리너 세정제 크림 500g /미네랄 연마제 성분 함유</t>
  </si>
  <si>
    <t>뽀득뽀득 찌든때 클리너 세정제 크림 500g x 2개 1세트</t>
  </si>
  <si>
    <t>BA251116191125516</t>
  </si>
  <si>
    <t>WP240201874345</t>
  </si>
  <si>
    <t>[유기농 인증] 닭정육 300g 4개 / 뼈없는닭다리살</t>
  </si>
  <si>
    <t>올계 유기농 닭정육 300g x 4</t>
  </si>
  <si>
    <t>BA251116191125594</t>
  </si>
  <si>
    <t>BA251116171124054</t>
  </si>
  <si>
    <t>BA251116211126998</t>
  </si>
  <si>
    <t>BA251116201126432</t>
  </si>
  <si>
    <t>BA251116231129160</t>
  </si>
  <si>
    <t>BA251116231129079</t>
  </si>
  <si>
    <t>WP230101484957</t>
  </si>
  <si>
    <t>더 착한 한우 사골곰탕 300ml x 8팩</t>
  </si>
  <si>
    <t>BA251117081130642</t>
  </si>
  <si>
    <t>WP250902492700</t>
  </si>
  <si>
    <t>아이브루 바닐라 라떼 100개입 / 카라멜 마끼아또 100개입</t>
  </si>
  <si>
    <t>아이브루 바닐라 라떼 12g 100개입</t>
  </si>
  <si>
    <t>BA251117071130279</t>
  </si>
  <si>
    <t>BA251117081130802</t>
  </si>
  <si>
    <t>BA251117071130473</t>
  </si>
  <si>
    <t>BA251117071130402</t>
  </si>
  <si>
    <t>BA251117081130923</t>
  </si>
  <si>
    <t>BA251117071130304</t>
  </si>
  <si>
    <t>BA251117071130384</t>
  </si>
  <si>
    <t>BA251117071130549</t>
  </si>
  <si>
    <t>BA251117071130323</t>
  </si>
  <si>
    <t>BA251117081130665</t>
  </si>
  <si>
    <t>BA251117081130786</t>
  </si>
  <si>
    <t>WP230301530381</t>
  </si>
  <si>
    <t>인센스 스틱 한방 전통 선향 2종 골라담기 + 홀더 포함</t>
  </si>
  <si>
    <t>순수 + 향원</t>
  </si>
  <si>
    <t>BA251117081130760</t>
  </si>
  <si>
    <t>BA251117081130839</t>
  </si>
  <si>
    <t>BA251117071130310</t>
  </si>
  <si>
    <t>AA251114101103045</t>
  </si>
  <si>
    <t>AA251114121104596</t>
  </si>
  <si>
    <t>SP241002062094</t>
  </si>
  <si>
    <t>오브제 퍼퓸 트래블 키트 세트/ 여행용 휴대용 샴푸+바디워시+바디로션+클렝징폼+트리트먼트 세면도구</t>
  </si>
  <si>
    <t>오브제 퍼퓸 트래블 키트</t>
  </si>
  <si>
    <t>AA251114141105709</t>
  </si>
  <si>
    <t>SP240401922791</t>
  </si>
  <si>
    <t>참좋은 보스웰리아 90 X 2통 관절 연골 녹색홍합 영양제</t>
  </si>
  <si>
    <t>보스웰리아 2통</t>
  </si>
  <si>
    <t>AA251114151106100</t>
  </si>
  <si>
    <t>AA251115001110356</t>
  </si>
  <si>
    <t>차량용 디퓨저 80ml X 2개입 베이비파우더(향)</t>
  </si>
  <si>
    <t>AA251115061110935</t>
  </si>
  <si>
    <t>AA251114211109031</t>
  </si>
  <si>
    <t>SP240702004374</t>
  </si>
  <si>
    <t>AA251115101111874</t>
  </si>
  <si>
    <t>AA251115121113242</t>
  </si>
  <si>
    <t>SP250602369269</t>
  </si>
  <si>
    <t>무조미 구운 곱창전장김 5매 20봉/ 올리브 도시락김5g 24봉 진도 신안 고흥 완도</t>
  </si>
  <si>
    <t>구운 곱창전장김 5매 20봉</t>
  </si>
  <si>
    <t>AA251115111112524</t>
  </si>
  <si>
    <t>AA251115141113720</t>
  </si>
  <si>
    <t>AA251115141114060</t>
  </si>
  <si>
    <t>SP230601645458</t>
  </si>
  <si>
    <t>특허 습식타입 건조기용 향기 섬유유연제 정전기 방지 시트 80매 x 3입(총 240매)</t>
  </si>
  <si>
    <t>건조기용 섬유유연제 시트 80매 x 3입 (240매) 프리지아향</t>
  </si>
  <si>
    <t>AA251115141114083</t>
  </si>
  <si>
    <t>SP250802444412</t>
  </si>
  <si>
    <t>누적 10만세트돌파 4.8평점 콜드체인 1++ 등급 한우 소고기 구이 선물세트</t>
  </si>
  <si>
    <t>[4구]프리미엄한우모둠세트/ 꽃등심150g+눈꽃로스150g+차돌250g+특수200g+채끝200g</t>
  </si>
  <si>
    <t>AA251115161114825</t>
  </si>
  <si>
    <t>AA251115231118111</t>
  </si>
  <si>
    <t>SP241002062100</t>
  </si>
  <si>
    <t>[피부자극테스트 완료] 딥클린 고농축 올인원 캡슐세탁세제 100개/ 일반 드럼세탁기 겸용</t>
  </si>
  <si>
    <t>딥클린 트리플 액션 고농축 캡슐세제 100개입</t>
  </si>
  <si>
    <t>AA251115201116843</t>
  </si>
  <si>
    <t>SP240501961571</t>
  </si>
  <si>
    <t>AA251116041119028</t>
  </si>
  <si>
    <t>AA251115211117047</t>
  </si>
  <si>
    <t>AA251115221117729</t>
  </si>
  <si>
    <t>AA251115231118362</t>
  </si>
  <si>
    <t>AA251115211117327</t>
  </si>
  <si>
    <t>SP230701672315</t>
  </si>
  <si>
    <t>AA251116011118743</t>
  </si>
  <si>
    <t>SP250602389408</t>
  </si>
  <si>
    <t>혜성이아이엠</t>
  </si>
  <si>
    <t>[하루15분] 허리골반 척추복부 종아리 다리 듀얼콕 안마기/ 발바닥 지압 펌핑운동 마사지기계</t>
  </si>
  <si>
    <t>듀얼콕-BLACK</t>
  </si>
  <si>
    <t>AA251115231118081</t>
  </si>
  <si>
    <t>AA251116111120665</t>
  </si>
  <si>
    <t>SP230601633165</t>
  </si>
  <si>
    <t>저소음 방수 반려동물 애견 부분이발기 무선 PC-B160 / 발 얼굴 항문 꼬리 이발기</t>
  </si>
  <si>
    <t>AA251116121121454</t>
  </si>
  <si>
    <t>AA251116161123656</t>
  </si>
  <si>
    <t>SP231101770852</t>
  </si>
  <si>
    <t>AA251116151123016</t>
  </si>
  <si>
    <t>AA251116151122996</t>
  </si>
  <si>
    <t>AA251117001129590</t>
  </si>
  <si>
    <t>SP250402268208</t>
  </si>
  <si>
    <t>[에너지효율 1등급] 미담 IR센서 6인용 밥솥 무쇠가마 다이킹 코팅내솥 밥통 /잡곡 냉동보관밥 음성안내</t>
  </si>
  <si>
    <t>CRR-HWSK0640BM</t>
  </si>
  <si>
    <t>AA251116221127928</t>
  </si>
  <si>
    <t>SP250902481115</t>
  </si>
  <si>
    <t>AA251117051130076</t>
  </si>
  <si>
    <t>SP230701670208</t>
  </si>
  <si>
    <t>AA251117021129863</t>
  </si>
  <si>
    <t>AA251116231128733</t>
  </si>
  <si>
    <t>AA251116171124313</t>
  </si>
  <si>
    <t>SP240301910911</t>
  </si>
  <si>
    <t>AA251116211126949</t>
  </si>
  <si>
    <t>SP240702004860</t>
  </si>
  <si>
    <t>AA251116181124652</t>
  </si>
  <si>
    <t>TRY 순면 스포츠 60수 남성 남자 나시 티 메리야스 민소매 면티,105런닝 60수 5개</t>
  </si>
  <si>
    <t>G0017</t>
  </si>
  <si>
    <t>제니스 FAME 노니캡슐 면역강화 500mg 60캡슐</t>
  </si>
  <si>
    <t>FAME 유기농 노니캡슐 노니 환 면연력 증진,단일상품</t>
  </si>
  <si>
    <t>사이즈:60수 런닝 5매 100사이즈-1개</t>
  </si>
  <si>
    <t>제품선택:오직 전복죽 밀키트 3팩 1 개 (+0 원)</t>
  </si>
  <si>
    <t>T38558</t>
  </si>
  <si>
    <t>한우물 511244 낙지 볶음밥 (300g x 6개) + 사천중화 볶음밥 (300g x 6개)</t>
  </si>
  <si>
    <t>제품선택:511244 낙지볶음밥 6개+사천중화볶음밥 6개 1 개 (-2,500 원)</t>
  </si>
  <si>
    <t>T45385</t>
  </si>
  <si>
    <t>엠케이엠 순오미자잼 250g</t>
  </si>
  <si>
    <t>제품선택:순오미자잼 250g 1 개 (+10,600 원)</t>
  </si>
  <si>
    <t>제품선택:몽실언니 사과즙 100ml 40포 1 개 (+0 원)</t>
  </si>
  <si>
    <t>T45962</t>
  </si>
  <si>
    <t>유원 앙샹테 30m 30R 2팩</t>
  </si>
  <si>
    <t>제품선택:앙샹테 30m 30R 2팩 1 개 (+12,000 원)</t>
  </si>
  <si>
    <t>T45093</t>
  </si>
  <si>
    <t>T38753</t>
  </si>
  <si>
    <t>한우물 511153 치즈닭갈비 구운주먹밥 (100g 5개) + 참치마요 구운주먹밥 (100g 5개) + 소불고기 구운주먹밥 (100g 5개) + 김치치즈 구운주먹밥 (100g 5개)</t>
  </si>
  <si>
    <t>T39531</t>
  </si>
  <si>
    <t>행복에스앤피제지 골드땡큐 20m x 30롤 2팩</t>
  </si>
  <si>
    <t>골드땡큐 20m x 30롤 2팩</t>
  </si>
  <si>
    <t>T46427</t>
  </si>
  <si>
    <t>소노스퀘어 프리미엄 무봉제패드 퓨어화이트 SS</t>
  </si>
  <si>
    <t>프리미엄 무봉제패드 퓨어화이트 SS</t>
  </si>
  <si>
    <t>T45406</t>
  </si>
  <si>
    <t>꿀팁몰 바다다 명란김 4g*6장 (20봉)</t>
  </si>
  <si>
    <t>제품옵션:바다다 명란김 4g*6장 (20봉)</t>
  </si>
  <si>
    <t>2025111619391798973F</t>
  </si>
  <si>
    <t>T1282</t>
  </si>
  <si>
    <t>스피드랙 화이트 [ 600 / 300 / 1500 / 5단］</t>
  </si>
  <si>
    <t>스피드랙 가로 600 / 폭 300 / 높이 1500 / 선반수량 5개</t>
  </si>
  <si>
    <t>2025111618304196034F</t>
  </si>
  <si>
    <t>T45665</t>
  </si>
  <si>
    <t>케이센스 사상 인센스 소양방풍+홀더 1개</t>
  </si>
  <si>
    <t>사상 인센스 소양방풍+홀더 1개</t>
  </si>
  <si>
    <t>2025111609315777319F</t>
  </si>
  <si>
    <t>2025111520085964326F</t>
  </si>
  <si>
    <t>S0065</t>
  </si>
  <si>
    <t>둥지쌍화탕 정읍 둥지 쌍화차 간편세트 2호</t>
  </si>
  <si>
    <t>정읍 둥지 쌍화차 간편세트 2호</t>
  </si>
  <si>
    <t>2025111517204257923F</t>
  </si>
  <si>
    <t>T6388</t>
  </si>
  <si>
    <t>스피드랙 화이트 [ 1200 / 600 / 1950 / 5단］</t>
  </si>
  <si>
    <t>스피드랙 가로 1200 / 폭 600 / 높이 1950 / 선반수량 5개</t>
  </si>
  <si>
    <t>2025111515135553003F</t>
  </si>
  <si>
    <t>T8152</t>
  </si>
  <si>
    <t>오가닉K 살림백서 라이스 앤 허브 디퓨저 (200ml x 2개입) 베이비파우더</t>
  </si>
  <si>
    <t>디퓨저 200ml 2개입 베이비파우더</t>
  </si>
  <si>
    <t>2025111418265031886F</t>
  </si>
  <si>
    <t>2025111416330129896F</t>
  </si>
  <si>
    <t>2025111411100524375F</t>
  </si>
  <si>
    <t>K1000023267</t>
  </si>
  <si>
    <t>K1000023184</t>
  </si>
  <si>
    <t>T45388</t>
  </si>
  <si>
    <t>한울생약 랄랄라 당근 물티슈 100매 10개</t>
  </si>
  <si>
    <t>T0102</t>
  </si>
  <si>
    <t>한국맥널티 복숭아 아이스티 (1L x 6개입)</t>
  </si>
  <si>
    <t>[맥널티] 대용량 복숭아 아이스티/허니자몽 블랙티(1L×6개) 선택: 01. 복숭아 아이스티 1L 6개</t>
  </si>
  <si>
    <t>[농부야부탁해] 자연 가득 담은 머루 포도즙 (100ml Ｘ 30포) 상품: 머루포도즙 100ml 30포 1박스</t>
  </si>
  <si>
    <t>T8175</t>
  </si>
  <si>
    <t>[나리찬] 전라도 포기김치/열무김치/총각김치/갓김치/파김치 18종 모음전 선택: 12. 진 열무김치 3kg</t>
  </si>
  <si>
    <t>T8171</t>
  </si>
  <si>
    <t>[나리찬] 전라도 포기김치/열무김치/총각김치/갓김치/파김치 18종 모음전 선택: 2. 진 포기김치 3kg</t>
  </si>
  <si>
    <t>T39377</t>
  </si>
  <si>
    <t>쿠첸 CRS-FCWK1071K</t>
  </si>
  <si>
    <t>[쿠첸] 6인용 압력 전기밥솥 / 10인용 밥통 제품옵션: 쿠첸 10인용 밥솥</t>
  </si>
  <si>
    <t>S0113</t>
  </si>
  <si>
    <t>케이센스 카라영 부용향 인센스 3종세트</t>
  </si>
  <si>
    <t>[카라영] 카라영 인센스 부용향 세트 (3종) 상품: 카라영 부용향 인센스 3종세트</t>
  </si>
  <si>
    <t>[한우물] 구운주먹밥 (100g) 4종 세트 모음 선택1: 소불고기구운주먹밥R 10개+김치치즈 구운주먹밥R 10개</t>
  </si>
  <si>
    <t>S0038</t>
  </si>
  <si>
    <t>도아드림 보일러 덕앤 구스이불 화이트 S</t>
  </si>
  <si>
    <t>[도아드림] 기능성 특허 헝가리산 구스다운 이불+베개세트 상품: 1.보일러 덕앤 구스이불 화이트 S</t>
  </si>
  <si>
    <t>T8800</t>
  </si>
  <si>
    <t>백제(케이씨물류) 백제 우리쌀 햅쌀 떡국 (163g x 16개)</t>
  </si>
  <si>
    <t>우리쌀 햅쌀 떡국 컵라면 163g x 6개 16개 / 우골엑기스 분말을 사용 옵션: 우리쌀 햅쌀 떡국 163g x 16개</t>
  </si>
  <si>
    <t>T0128</t>
  </si>
  <si>
    <t>항아골 청국장 (100g x 20개입)</t>
  </si>
  <si>
    <t>옛맛 그대로 담은 청국장 10개 옵션: 2. 항아골 청국장 100g x 20입</t>
  </si>
  <si>
    <t>T46853</t>
  </si>
  <si>
    <t>스피드랙 ★행사★ [홈던트 행거형] 가로 1200 / 폭 400 / 높이 1800 / 행거단 0개 / 선반단 5개</t>
  </si>
  <si>
    <t>홈던트하우스 간편 조립식 인테리어 선반 행거(가로 1200 시리즈1) 선택1: 251. [홈던트] 가로 1200_폭 400_높이 1800_행거단 0개_선반단 5개</t>
  </si>
  <si>
    <t>듀얼프레셔 초고압 IH 전기압력밥솥 6인용 10인용 베스트 모음 상품: CRS-WK0610FSPW 6인용밥솥</t>
  </si>
  <si>
    <t>T9111</t>
  </si>
  <si>
    <t>아이보리 유기농 오트밀 롤드오트 (250g x 3봉지)</t>
  </si>
  <si>
    <t>상품:유기농 오트밀포리지 250g x 3봉지</t>
  </si>
  <si>
    <t>T39097</t>
  </si>
  <si>
    <t>과일드림2 빛깔찬 고춧가루 순한맛 양념용 1kg (지퍼백)</t>
  </si>
  <si>
    <t>옵션:빛깔찬 고춧가루 (지퍼백용)1kg 순한맛 양념용</t>
  </si>
  <si>
    <t>T46832</t>
  </si>
  <si>
    <t>오아 비타민DH0262 3box=90정 3개월</t>
  </si>
  <si>
    <t>상품:비타민D H0262 3box=90정 3개월</t>
  </si>
  <si>
    <t>J50220251113192125518113066563</t>
  </si>
  <si>
    <t>T38556</t>
  </si>
  <si>
    <t>한우물 511242 낙지 볶음밥 (300g x 6개) + 닭갈비 볶음밥 (300g x 6개)</t>
  </si>
  <si>
    <t>낙지볶음밥 6개+닭갈비볶음밥 6개</t>
  </si>
  <si>
    <t>J50220251113190047464813066563</t>
  </si>
  <si>
    <t>T38543</t>
  </si>
  <si>
    <t>한우물 511229 김치 볶음밥 (300g x 6개) + 닭가슴살 볶음밥 (300g x 6개)</t>
  </si>
  <si>
    <t>김치볶음밥 6개+닭가슴살볶음밥 6개</t>
  </si>
  <si>
    <t>J10217632595911898613149206</t>
  </si>
  <si>
    <t>T39095</t>
  </si>
  <si>
    <t>과일드림2 빛깔찬 고춧가루 보통맛 양념용 500g (지퍼백)</t>
  </si>
  <si>
    <t>T8254</t>
  </si>
  <si>
    <t>엠에프비컴퍼니 닥터퓨리 슈퍼드라이 제습제 [서랍용] (30g x 40개입)</t>
  </si>
  <si>
    <t>슈퍼드라이 제습제 30g x 40입</t>
  </si>
  <si>
    <t>T8728</t>
  </si>
  <si>
    <t>크리오디엔에스 내추럴 마일드 향수비누 100g 4개입 플로럴부케, 플로럴알데하이드, 코코마드모아젤, 라임바질&amp;만다린 3종 랜덤 (12개입)</t>
  </si>
  <si>
    <t>플로럴부케, 플로럴알데하이드, 코코마드모아젤, 라임바질&amp;만다린 중 3종 랜덤 (12개입)</t>
  </si>
  <si>
    <t>T9135</t>
  </si>
  <si>
    <t>덴티코어 치간칫솔 I타입 50개 사이즈 - S</t>
  </si>
  <si>
    <t>T38582</t>
  </si>
  <si>
    <t>한우물 511268 닭갈비 볶음밥 (300g x 6개) + 새우 볶음밥 (300g x 6개)</t>
  </si>
  <si>
    <t>511268 닭갈비볶음밥 6개+새우볶음밥 6개</t>
  </si>
  <si>
    <t>T39036</t>
  </si>
  <si>
    <t>피오 위콤 700mg x 60정 x 2박스</t>
  </si>
  <si>
    <t>T39541</t>
  </si>
  <si>
    <t>행복에스앤피제지 뷰티앤소프트 30m x 30롤 3팩</t>
  </si>
  <si>
    <t>뷰티앤소프트 30m x 30롤 3팩</t>
  </si>
  <si>
    <t>P0169</t>
  </si>
  <si>
    <t>블루인더스 3단필터 PM 0.3 항바이러스 콤비 에어컨필터 자동차 BCV [25년 9월]</t>
  </si>
  <si>
    <t>A2511M010599587967</t>
  </si>
  <si>
    <t>옵션 : 옴므 3W 콜라겐 올인원 세트+향수 증정</t>
  </si>
  <si>
    <t>M2511M010599587755</t>
  </si>
  <si>
    <t>M2511H620599587657</t>
  </si>
  <si>
    <t>T46492</t>
  </si>
  <si>
    <t>누가의료기 N라이프 소파</t>
  </si>
  <si>
    <t>옵션 : N라이프 소파</t>
  </si>
  <si>
    <t>M2511M010599586748</t>
  </si>
  <si>
    <t>옵션 : 한울 고구마스틱20g 20입</t>
  </si>
  <si>
    <t>M2511K410599583994</t>
  </si>
  <si>
    <t>T45086</t>
  </si>
  <si>
    <t>쿠첸 CRT-PWPS1012SR</t>
  </si>
  <si>
    <t>M2511M010599582664</t>
  </si>
  <si>
    <t>T0149</t>
  </si>
  <si>
    <t>한일전자 파테크 BLDC 모터 드라이어 플래티넘 PD-V1700W 화이트</t>
  </si>
  <si>
    <t>옵션 : PD-V1700W 화이트</t>
  </si>
  <si>
    <t>A2511M010599581920</t>
  </si>
  <si>
    <t>T45700</t>
  </si>
  <si>
    <t>현대비데 HB-8123</t>
  </si>
  <si>
    <t>옵션 : HB-8123</t>
  </si>
  <si>
    <t>T39688</t>
  </si>
  <si>
    <t>그라스메디 자유펫 덴탈케어브러쉬</t>
  </si>
  <si>
    <t>바로팜 (감잡았스)-1</t>
  </si>
  <si>
    <t>S0394</t>
  </si>
  <si>
    <t>코주부</t>
  </si>
  <si>
    <t>코주부 프리미엄육포세트360g</t>
  </si>
  <si>
    <t>바로팜 (감잡았스)-2</t>
  </si>
  <si>
    <t>바로팜 (감잡았스)-3</t>
  </si>
  <si>
    <t>바로팜 (감잡았스)-4</t>
  </si>
  <si>
    <t>바로팜 (감잡았스)-5</t>
  </si>
  <si>
    <t>바로팜 (감잡았스)-6</t>
  </si>
  <si>
    <t>바로팜 (감잡았스)-7</t>
  </si>
  <si>
    <t>바로팜 (감잡았스)-8</t>
  </si>
  <si>
    <t>바로팜 (감잡았스)-9</t>
  </si>
  <si>
    <t>바로팜 (감잡았스)-10</t>
  </si>
  <si>
    <t>바로팜 (감잡았스)-11</t>
  </si>
  <si>
    <t>바로팜 (감잡았스)-12</t>
  </si>
  <si>
    <t>바로팜 (감잡았스)-13</t>
  </si>
  <si>
    <t>바로팜 (감잡았스)-14</t>
  </si>
  <si>
    <t>바로팜 (감잡았스)-15</t>
  </si>
  <si>
    <t>바로팜 (감잡았스)-16</t>
  </si>
  <si>
    <t>바로팜 (감잡았스)-17</t>
  </si>
  <si>
    <t>바로팜 (감잡았스)-18</t>
  </si>
  <si>
    <t>바로팜 (감잡았스)-19</t>
  </si>
  <si>
    <t>바로팜 (감잡았스)-20</t>
  </si>
  <si>
    <t>바로팜 (감잡았스)-21</t>
  </si>
  <si>
    <t>바로팜 (감잡았스)-22</t>
  </si>
  <si>
    <t>바로팜 (감잡았스)-23</t>
  </si>
  <si>
    <t>바로팜 (감잡았스)-24</t>
  </si>
  <si>
    <t>바로팜 (감잡았스)-25</t>
  </si>
  <si>
    <t>바로팜 (감잡았스)-26</t>
  </si>
  <si>
    <t>바로팜 (감잡았스)-27</t>
  </si>
  <si>
    <t>바로팜 (감잡았스)-28</t>
  </si>
  <si>
    <t>바로팜 (감잡았스)-29</t>
  </si>
  <si>
    <t>바로팜 (감잡았스)-30</t>
  </si>
  <si>
    <t>바로팜 (감잡았스)-31</t>
  </si>
  <si>
    <t>바로팜 (감잡았스)-32</t>
  </si>
  <si>
    <t>바로팜 (감잡았스)-33</t>
  </si>
  <si>
    <t>바로팜 (감잡았스)-34</t>
  </si>
  <si>
    <t>바로팜 (감잡았스)-35</t>
  </si>
  <si>
    <t>바로팜 (감잡았스)-36</t>
  </si>
  <si>
    <t>바로팜 (감잡았스)-37</t>
  </si>
  <si>
    <t>바로팜 (감잡았스)-38</t>
  </si>
  <si>
    <t>바로팜 (감잡았스)-39</t>
  </si>
  <si>
    <t>바로팜 (감잡았스)-40</t>
  </si>
  <si>
    <t>바로팜 (감잡았스)-41</t>
  </si>
  <si>
    <t>바로팜 (감잡았스)-42</t>
  </si>
  <si>
    <t>바로팜 (감잡았스)-43</t>
  </si>
  <si>
    <t>바로팜 (감잡았스)-44</t>
  </si>
  <si>
    <t>바로팜 (감잡았스)-45</t>
  </si>
  <si>
    <t>바로팜 (감잡았스)-46</t>
  </si>
  <si>
    <t>바로팜 (감잡았스)-47</t>
  </si>
  <si>
    <t>바로팜 (감잡았스)-48</t>
  </si>
  <si>
    <t>바로팜 (감잡았스)-49</t>
  </si>
  <si>
    <t>바로팜 (감잡았스)-50</t>
  </si>
  <si>
    <t>바로팜 (감잡았스)-51</t>
  </si>
  <si>
    <t>바로팜 (감잡았스)-52</t>
  </si>
  <si>
    <t>바로팜 (감잡았스)-53</t>
  </si>
  <si>
    <t>바로팜 (감잡았스)-54</t>
  </si>
  <si>
    <t>바로팜 (감잡았스)-55</t>
  </si>
  <si>
    <t>바로팜 (감잡았스)-56</t>
  </si>
  <si>
    <t>바로팜 (감잡았스)-57</t>
  </si>
  <si>
    <t>바로팜 (감잡았스)-58</t>
  </si>
  <si>
    <t>바로팜 (감잡았스)-59</t>
  </si>
  <si>
    <t>바로팜 (감잡았스)-60</t>
  </si>
  <si>
    <t>바로팜 (감잡았스)-61</t>
  </si>
  <si>
    <t>바로팜 (감잡았스)-62</t>
  </si>
  <si>
    <t>바로팜 (감잡았스)-63</t>
  </si>
  <si>
    <t>바로팜 (감잡았스)-64</t>
  </si>
  <si>
    <t>바로팜 (감잡았스)-65</t>
  </si>
  <si>
    <t>바로팜 (감잡았스)-66</t>
  </si>
  <si>
    <t>바로팜 (감잡았스)-67</t>
  </si>
  <si>
    <t>바로팜 (감잡았스)-68</t>
  </si>
  <si>
    <t>바로팜 (감잡았스)-69</t>
  </si>
  <si>
    <t>바로팜 (감잡았스)-70</t>
  </si>
  <si>
    <t>바로팜 (감잡았스)-71</t>
  </si>
  <si>
    <t>바로팜 (감잡았스)-72</t>
  </si>
  <si>
    <t>바로팜 (감잡았스)-73</t>
  </si>
  <si>
    <t>바로팜 (감잡았스)-74</t>
  </si>
  <si>
    <t>바로팜 (감잡았스)-75</t>
  </si>
  <si>
    <t>바로팜 (감잡았스)-76</t>
  </si>
  <si>
    <t>바로팜 (감잡았스)-77</t>
  </si>
  <si>
    <t>바로팜 (감잡았스)-78</t>
  </si>
  <si>
    <t>바로팜 (감잡았스)-79</t>
  </si>
  <si>
    <t>바로팜 (감잡았스)-80</t>
  </si>
  <si>
    <t>바로팜 (감잡았스)-81</t>
  </si>
  <si>
    <t>바로팜 (감잡았스)-82</t>
  </si>
  <si>
    <t>바로팜 (감잡았스)-83</t>
  </si>
  <si>
    <t>바로팜 (감잡았스)-84</t>
  </si>
  <si>
    <t>바로팜 (감잡았스)-85</t>
  </si>
  <si>
    <t>바로팜 (감잡았스)-86</t>
  </si>
  <si>
    <t>바로팜 (감잡았스)-87</t>
  </si>
  <si>
    <t>바로팜 (감잡았스)-88</t>
  </si>
  <si>
    <t>바로팜 (감잡았스)-89</t>
  </si>
  <si>
    <t>바로팜 (감잡았스)-90</t>
  </si>
  <si>
    <t>바로팜 (감잡았스)-91</t>
  </si>
  <si>
    <t>바로팜 (감잡았스)-92</t>
  </si>
  <si>
    <t>바로팜 (감잡았스)-93</t>
  </si>
  <si>
    <t>바로팜 (감잡았스)-94</t>
  </si>
  <si>
    <t>바로팜 (감잡았스)-95</t>
  </si>
  <si>
    <t>바로팜 (감잡았스)-96</t>
  </si>
  <si>
    <t>바로팜 (감잡았스)-97</t>
  </si>
  <si>
    <t>바로팜 (감잡았스)-98</t>
  </si>
  <si>
    <t>바로팜 (감잡았스)-99</t>
  </si>
  <si>
    <t>바로팜 (감잡았스)-100</t>
  </si>
  <si>
    <t>바로팜 (감잡았스)-101</t>
  </si>
  <si>
    <t>바로팜 (감잡았스)-102</t>
  </si>
  <si>
    <t>바로팜 (감잡았스)-103</t>
  </si>
  <si>
    <t>바로팜 (감잡았스)-104</t>
  </si>
  <si>
    <t>바로팜 (감잡았스)-105</t>
  </si>
  <si>
    <t>바로팜 (감잡았스)-106</t>
  </si>
  <si>
    <t>바로팜 (감잡았스)-107</t>
  </si>
  <si>
    <t>바로팜 (감잡았스)-108</t>
  </si>
  <si>
    <t>바로팜 (감잡았스)-109</t>
  </si>
  <si>
    <t>바로팜 (감잡았스)-110</t>
  </si>
  <si>
    <t>바로팜 (감잡았스)-111</t>
  </si>
  <si>
    <t>바로팜 (감잡았스)-112</t>
  </si>
  <si>
    <t>바로팜 (감잡았스)-113</t>
  </si>
  <si>
    <t>바로팜 (감잡았스)-114</t>
  </si>
  <si>
    <t>바로팜 (감잡았스)-115</t>
  </si>
  <si>
    <t>바로팜 (감잡았스)-116</t>
  </si>
  <si>
    <t>바로팜 (감잡았스)-117</t>
  </si>
  <si>
    <t>바로팜 (감잡았스)-118</t>
  </si>
  <si>
    <t>바로팜 (감잡았스)-119</t>
  </si>
  <si>
    <t>바로팜 (감잡았스)-120</t>
  </si>
  <si>
    <t>바로팜 (감잡았스)-121</t>
  </si>
  <si>
    <t>바로팜 (감잡았스)-122</t>
  </si>
  <si>
    <t>바로팜 (감잡았스)-123</t>
  </si>
  <si>
    <t>바로팜 (감잡았스)-124</t>
  </si>
  <si>
    <t>바로팜 (감잡았스)-125</t>
  </si>
  <si>
    <t>바로팜 (감잡았스)-126</t>
  </si>
  <si>
    <t>유아용품 세정제균 소독티슈 20매 x 30팩/ +4190</t>
  </si>
  <si>
    <t>T39494</t>
  </si>
  <si>
    <t>모닛 ally_bag_summer 딥브라운(기본세트+보냉백)</t>
  </si>
  <si>
    <t>딥브라운(기본세트+보냉백)/ +4800</t>
  </si>
  <si>
    <t>T39770</t>
  </si>
  <si>
    <t>한울생약 리꼬 손소독티슈 20매x30팩</t>
  </si>
  <si>
    <t>리꼬 손소독티슈 20매x30팩 / +8500</t>
  </si>
  <si>
    <t>F253185159474</t>
  </si>
  <si>
    <t>C253186069470</t>
  </si>
  <si>
    <t>C253210691315</t>
  </si>
  <si>
    <t>C253196517919</t>
  </si>
  <si>
    <t>A253197401337</t>
  </si>
  <si>
    <t>C253205733210</t>
  </si>
  <si>
    <t>T46365</t>
  </si>
  <si>
    <t>늘푸른우리 매운 실비김치 / 2kg</t>
  </si>
  <si>
    <t>/ [제니스] 늘푸른 매운 실비김치 / 2kg</t>
  </si>
  <si>
    <t>C253204266221</t>
  </si>
  <si>
    <t>C253204583575</t>
  </si>
  <si>
    <t>T39550</t>
  </si>
  <si>
    <t>쿠첸 CRS-FCWK0671K</t>
  </si>
  <si>
    <t>C253197693962</t>
  </si>
  <si>
    <t>A253188316007</t>
  </si>
  <si>
    <t>C253188620389</t>
  </si>
  <si>
    <t>A253194831816</t>
  </si>
  <si>
    <t>C253193393049</t>
  </si>
  <si>
    <t>C253206270636</t>
  </si>
  <si>
    <t>/ 리꼬 유아용품 세정제균 소독티슈 50매 x 10팩</t>
  </si>
  <si>
    <t>C253206440382</t>
  </si>
  <si>
    <t>T46635</t>
  </si>
  <si>
    <t>오가닉K 2 쉼표365 클리어 섬유탈취제 500ml 2개 라벤더우디</t>
  </si>
  <si>
    <t>/ 쉼표365 클리어 섬유탈취제 500ml 2개 라벤더우디</t>
  </si>
  <si>
    <t>C253202537680</t>
  </si>
  <si>
    <t>T46845</t>
  </si>
  <si>
    <t>늘푸른우리 레드키위 특대과 3kg</t>
  </si>
  <si>
    <t>/ 레드키위 특대과 3kg</t>
  </si>
  <si>
    <t>A253183771821</t>
  </si>
  <si>
    <t>제품선택: 60수 런닝 5매세트 RST09_105</t>
  </si>
  <si>
    <t>BA251117091131669</t>
  </si>
  <si>
    <t>뎅유지차 1kg</t>
  </si>
  <si>
    <t>BA251117091131197</t>
  </si>
  <si>
    <t>BA251117091131433</t>
  </si>
  <si>
    <t>BA251117101132101</t>
  </si>
  <si>
    <t>BA251117091131720</t>
  </si>
  <si>
    <t>BA251117091131303</t>
  </si>
  <si>
    <t>WP230401573228</t>
  </si>
  <si>
    <t>[수입차] 3단필터 PM 0.3 프리미엄 항바이러스 콤비 차량용 에어컨필터 자동차</t>
  </si>
  <si>
    <t>BICV 003</t>
  </si>
  <si>
    <t>BA251117101132076</t>
  </si>
  <si>
    <t>BA251117091131605</t>
  </si>
  <si>
    <t>BA251117091131390</t>
  </si>
  <si>
    <t>BA251117101132081</t>
  </si>
  <si>
    <t>BA251117101132473</t>
  </si>
  <si>
    <t>BA251117091131494</t>
  </si>
  <si>
    <t>BA251117091131519</t>
  </si>
  <si>
    <t>BA251117101131865</t>
  </si>
  <si>
    <t>BA251117091131649</t>
  </si>
  <si>
    <t>BA251117101132204</t>
  </si>
  <si>
    <t>BA251117101132405</t>
  </si>
  <si>
    <t>BA251117091131232</t>
  </si>
  <si>
    <t>PGO-08</t>
  </si>
  <si>
    <t>BA251117091131481</t>
  </si>
  <si>
    <t>룸앤패브릭 블랙베리 앤 우드 2개</t>
  </si>
  <si>
    <t>BA251117111133015</t>
  </si>
  <si>
    <t>WP241102102733</t>
  </si>
  <si>
    <t>고농축 캡슐 세탁조 클리너 통돌이 일반 드럼 세탁기 겸용 6개입 / 수용성 필름</t>
  </si>
  <si>
    <t>캡슐 세탁조 클리너 통돌이 드럼 겸용 6개입 X 1세트</t>
  </si>
  <si>
    <t>BA251117111133520</t>
  </si>
  <si>
    <t>BA251117111132696</t>
  </si>
  <si>
    <t>BA251117111133178</t>
  </si>
  <si>
    <t>BA251117121134090</t>
  </si>
  <si>
    <t>BA251117111133123</t>
  </si>
  <si>
    <t>BA251117111133193</t>
  </si>
  <si>
    <t>BA251117111133142</t>
  </si>
  <si>
    <t>BA251117111133237</t>
  </si>
  <si>
    <t>BA251117121133678</t>
  </si>
  <si>
    <t>BA251117121133665</t>
  </si>
  <si>
    <t>BA251117111133205</t>
  </si>
  <si>
    <t>효은 성인용 속기저귀 라운드형 (240매)</t>
  </si>
  <si>
    <t>BA251117111133194</t>
  </si>
  <si>
    <t>BA251117111133425</t>
  </si>
  <si>
    <t>BA251117111133493</t>
  </si>
  <si>
    <t>BA251117111132983</t>
  </si>
  <si>
    <t>BA251117111133491</t>
  </si>
  <si>
    <t>BA251117111133022</t>
  </si>
  <si>
    <t>BA251117121133751</t>
  </si>
  <si>
    <t>WP230401544909</t>
  </si>
  <si>
    <t>유기농 쌀과자세트 3팩세트 [현미 퀴노아 백미 현미 단호박 흑미쌀]</t>
  </si>
  <si>
    <t>현미스틱쌀과자 3팩</t>
  </si>
  <si>
    <t>BA251117111132813</t>
  </si>
  <si>
    <t>BA251117111133082</t>
  </si>
  <si>
    <t>BA251117111133430</t>
  </si>
  <si>
    <t>BA251117141135300</t>
  </si>
  <si>
    <t>BA251117131134812</t>
  </si>
  <si>
    <t>BA251117131134968</t>
  </si>
  <si>
    <t>BA251117131134942</t>
  </si>
  <si>
    <t>BA251117141135718</t>
  </si>
  <si>
    <t>BA251117131134607</t>
  </si>
  <si>
    <t>BA251117141135400</t>
  </si>
  <si>
    <t>BA251117131134646</t>
  </si>
  <si>
    <t>BA251117131134990</t>
  </si>
  <si>
    <t>BA251117141135577</t>
  </si>
  <si>
    <t>BA251117131134846</t>
  </si>
  <si>
    <t>BA251117131134967</t>
  </si>
  <si>
    <t>BA251117141135344</t>
  </si>
  <si>
    <t>BA251117131135045</t>
  </si>
  <si>
    <t>BA251117131134644</t>
  </si>
  <si>
    <t>BA251117141135275</t>
  </si>
  <si>
    <t>BA251117131134797</t>
  </si>
  <si>
    <t>BA251117141135433</t>
  </si>
  <si>
    <t>KREX AG01 편광변색 선글라스</t>
  </si>
  <si>
    <t>BA251117151135985</t>
  </si>
  <si>
    <t>BA251117161137042</t>
  </si>
  <si>
    <t>BA251117161136814</t>
  </si>
  <si>
    <t>BA251117161136725</t>
  </si>
  <si>
    <t>BA251117161136996</t>
  </si>
  <si>
    <t>황토 삶은 배추 우거지 300g x 4팩</t>
  </si>
  <si>
    <t>BA251117151136215</t>
  </si>
  <si>
    <t>BA251117161136704</t>
  </si>
  <si>
    <t>BA251117161137164</t>
  </si>
  <si>
    <t>BA251117151135875</t>
  </si>
  <si>
    <t>두부곤약쌀 20개</t>
  </si>
  <si>
    <t>BA251117151136067</t>
  </si>
  <si>
    <t>[홈던트] 가로 600 / 폭 400 / 높이 1950 / 행거단 1개 / 선반단 0개</t>
  </si>
  <si>
    <t>BA251117161136950</t>
  </si>
  <si>
    <t>BA251117161136539</t>
  </si>
  <si>
    <t>BA251117161136845</t>
  </si>
  <si>
    <t>BA251117151136050</t>
  </si>
  <si>
    <t>BA251117161136921</t>
  </si>
  <si>
    <t>BA251117171137198</t>
  </si>
  <si>
    <t>BA251117181137831</t>
  </si>
  <si>
    <t>WP250702414201</t>
  </si>
  <si>
    <t>인생 고추장 돼지 제육볶음 500g 2팩/ 불고기 두루치기 밀키트 캠핑요리 혼술 안주 간편식음식</t>
  </si>
  <si>
    <t>청춘불판 제육볶음 500g 2팩</t>
  </si>
  <si>
    <t>BA251118011142529</t>
  </si>
  <si>
    <t>BA251118001142292</t>
  </si>
  <si>
    <t>BA251117221141485</t>
  </si>
  <si>
    <t>BA251117201139785</t>
  </si>
  <si>
    <t>복숭아아이스티 12입+청포도아이스티 12입</t>
  </si>
  <si>
    <t>BA251117231141508</t>
  </si>
  <si>
    <t>WP241002066328</t>
  </si>
  <si>
    <t>안동 간장양념 순살 찜닭 900g 2팩/ 특제소스 밀키트 간편조리식 캠핑요리 음식</t>
  </si>
  <si>
    <t>청춘불판 순살 안동 찜닭 900g 2팩</t>
  </si>
  <si>
    <t>BA251117231141642</t>
  </si>
  <si>
    <t>BA251117201139538</t>
  </si>
  <si>
    <t>BA251117181138187</t>
  </si>
  <si>
    <t>BA251117171137767</t>
  </si>
  <si>
    <t>WP240401944337</t>
  </si>
  <si>
    <t>[식물성원료] 실내건조 섬유유연제 1L X 3개 드럼일반 겸용/ 정전기방지 냄새제거</t>
  </si>
  <si>
    <t>실내건조 섬유유연제 1L 3개입 코지 코튼 향</t>
  </si>
  <si>
    <t>WP240702009902</t>
  </si>
  <si>
    <t>[1+1] 딥클리어 섬유2중케어 실내건조 세탁세제 3L/ 일반 드럼 세탁가능</t>
  </si>
  <si>
    <t>딥클리어 실내건조 세탁세제 3L 2개</t>
  </si>
  <si>
    <t>BA251117201139153</t>
  </si>
  <si>
    <t>BA251117221141371</t>
  </si>
  <si>
    <t>BA251118001142494</t>
  </si>
  <si>
    <t>BA251117181138080</t>
  </si>
  <si>
    <t>BA251117211140374</t>
  </si>
  <si>
    <t>오푼티아&amp;밤부 트리트먼트 500ml 2개입 체리블라썸향</t>
  </si>
  <si>
    <t>BA251117231142090</t>
  </si>
  <si>
    <t>BA251117231141656</t>
  </si>
  <si>
    <t>BA251117231142144</t>
  </si>
  <si>
    <t>BA251117221140747</t>
  </si>
  <si>
    <t>BA251117201139322</t>
  </si>
  <si>
    <t>BA251117171137750</t>
  </si>
  <si>
    <t>BA251118021142668</t>
  </si>
  <si>
    <t>511233 김치볶음밥 6개+새우볶음밥 6개</t>
  </si>
  <si>
    <t>511361 햄야채볶음밥 6개+치킨카레볶음밥 6개</t>
  </si>
  <si>
    <t>WP240702009898</t>
  </si>
  <si>
    <t>[1+1] 7종효소 베이킹소다 담은 액체 세탁세제 3L / 일반 드럼 세탁기 공용</t>
  </si>
  <si>
    <t>베이킹소다 담은 액체 세탁세제 3L 2개</t>
  </si>
  <si>
    <t>BA251118051142938</t>
  </si>
  <si>
    <t>BA251117211140208</t>
  </si>
  <si>
    <t>퍼퓸 드 섬유향수 룸스프레이 250ml 1개 (베이비파우더향)</t>
  </si>
  <si>
    <t>BA251117191138535</t>
  </si>
  <si>
    <t>BA251117221140927</t>
  </si>
  <si>
    <t>BA251117231141692</t>
  </si>
  <si>
    <t>BA251117171137225</t>
  </si>
  <si>
    <t>BA251118001142454</t>
  </si>
  <si>
    <t>BA251117181137844</t>
  </si>
  <si>
    <t>WP230101482907</t>
  </si>
  <si>
    <t>BA251117181138002</t>
  </si>
  <si>
    <t>BA251117211139854</t>
  </si>
  <si>
    <t>BA251117211140048</t>
  </si>
  <si>
    <t>BA251117231142033</t>
  </si>
  <si>
    <t>BA251118061143046</t>
  </si>
  <si>
    <t>BA251118011142558</t>
  </si>
  <si>
    <t>WP240902039535</t>
  </si>
  <si>
    <t>무형광 천연펄프100% 뽑아쓰는 도톰한 3겹 키친타올 100매 9팩</t>
  </si>
  <si>
    <t>3겹 뽑아쓰는 키친타올 100매 9팩</t>
  </si>
  <si>
    <t>BA251117201139605</t>
  </si>
  <si>
    <t>BA251118051142907</t>
  </si>
  <si>
    <t>솔루엠 15W 고속충전기 slim</t>
  </si>
  <si>
    <t>BA251117221141216</t>
  </si>
  <si>
    <t>BA251117171137371</t>
  </si>
  <si>
    <t>BA251117181138151</t>
  </si>
  <si>
    <t>BA251117181138220</t>
  </si>
  <si>
    <t>BA251117231141851</t>
  </si>
  <si>
    <t>BA251117231142135</t>
  </si>
  <si>
    <t>WP230501608810</t>
  </si>
  <si>
    <t>[슈퍼푸드 귀리100%] 간편 식사 대용 오트밀 유기농 퀵오트 200g x 3봉지</t>
  </si>
  <si>
    <t>아이보리 오트밀 유기농 퀵오트 3봉지</t>
  </si>
  <si>
    <t>BA251117231142117</t>
  </si>
  <si>
    <t>BA251118011142513</t>
  </si>
  <si>
    <t>WP230101481644</t>
  </si>
  <si>
    <t>릴리커버</t>
  </si>
  <si>
    <t>저자극 클렌징폼 올스킨/여드름 100ml</t>
  </si>
  <si>
    <t>BALANX 클렌징폼 올스킨 100ml</t>
  </si>
  <si>
    <t>BA251117201139123</t>
  </si>
  <si>
    <t>BA251117211140071</t>
  </si>
  <si>
    <t>BA251117181138348</t>
  </si>
  <si>
    <t>BA251117191138445</t>
  </si>
  <si>
    <t>BA251117231142140</t>
  </si>
  <si>
    <t>35인용 밥솥 WM-3503</t>
  </si>
  <si>
    <t>BA251117231142057</t>
  </si>
  <si>
    <t>BA251117181138189</t>
  </si>
  <si>
    <t>BA251117191138791</t>
  </si>
  <si>
    <t>511279 대패삼겹볶음밥 6개+잡채볶음밥 6개</t>
  </si>
  <si>
    <t>BA251117211140096</t>
  </si>
  <si>
    <t>BA251117211140409</t>
  </si>
  <si>
    <t>BA251117211140464</t>
  </si>
  <si>
    <t>BA251117221140769</t>
  </si>
  <si>
    <t>BA251117211140530</t>
  </si>
  <si>
    <t>BA251118001142350</t>
  </si>
  <si>
    <t>BA251117221141453</t>
  </si>
  <si>
    <t>[홈던트] 가로 1100 / 폭 400 / 높이 2100 / 행거단 0개 / 선반단 4개</t>
  </si>
  <si>
    <t>[홈던트] 가로 800 / 폭 500 / 높이 2100 / 행거단 0개 / 선반단 4개</t>
  </si>
  <si>
    <t>BA251117221141475</t>
  </si>
  <si>
    <t>WP250302235148</t>
  </si>
  <si>
    <t>스피드랙 무볼트 철제 선반 추가 부속부품 메쉬보드/ 전용바퀴</t>
  </si>
  <si>
    <t>스피드랙/메쉬보드세트 가로300 세로400 백색</t>
  </si>
  <si>
    <t>BA251117221141492</t>
  </si>
  <si>
    <t>(무항생제)한돈 생삼겹살 2kg 구이용</t>
  </si>
  <si>
    <t>BA251117231141668</t>
  </si>
  <si>
    <t>CGO-12</t>
  </si>
  <si>
    <t>BA251117201139376</t>
  </si>
  <si>
    <t>BCV014</t>
  </si>
  <si>
    <t>BA251117231141797</t>
  </si>
  <si>
    <t>BA251117181138088</t>
  </si>
  <si>
    <t>BA251118061143000</t>
  </si>
  <si>
    <t>KFAD 비키 화이트(대형)</t>
  </si>
  <si>
    <t>KFAD 비키 블랙(대형)</t>
  </si>
  <si>
    <t>BA251117171137388</t>
  </si>
  <si>
    <t>BA251117181137923</t>
  </si>
  <si>
    <t>[스피드랙] 가로 800 / 폭 500 / 높이 1800 / 선반 수량 4개</t>
  </si>
  <si>
    <t>BA251117171137586</t>
  </si>
  <si>
    <t>[스피드랙] 가로 800 / 폭 500 / 높이 1800 / 선반 수량 5개</t>
  </si>
  <si>
    <t>BA251118041142886</t>
  </si>
  <si>
    <t>BA251117221140725</t>
  </si>
  <si>
    <t>초등학생용 화이트 50매 ePTFESS50W</t>
  </si>
  <si>
    <t>BA251117231142002</t>
  </si>
  <si>
    <t>BA251118011142505</t>
  </si>
  <si>
    <t>WP240101804171</t>
  </si>
  <si>
    <t>종합1호 생강500ml + 유자500ml 선물세트/ 어버이날 스승의날 부모님 선생님 셋트</t>
  </si>
  <si>
    <t>종합1호 생강500ml + 유자500ml 선물세트</t>
  </si>
  <si>
    <t>BA251117231141830</t>
  </si>
  <si>
    <t>BA251117181138204</t>
  </si>
  <si>
    <t>BA251117181137973</t>
  </si>
  <si>
    <t>BA251117191138677</t>
  </si>
  <si>
    <t>BA251117221140829</t>
  </si>
  <si>
    <t>[스피드랙] 가로 1000 / 폭 600 / 높이 1650 / 선반 수량 5개</t>
  </si>
  <si>
    <t>BA251117211140222</t>
  </si>
  <si>
    <t>BA251117231141700</t>
  </si>
  <si>
    <t>BA251118001142482</t>
  </si>
  <si>
    <t>BA251118051142935</t>
  </si>
  <si>
    <t>BA251118021142670</t>
  </si>
  <si>
    <t>BA251118051142944</t>
  </si>
  <si>
    <t>BA251117201139071</t>
  </si>
  <si>
    <t>WP250602387094</t>
  </si>
  <si>
    <t>네이버후기 2,000개 별해든 프리미엄 수제 떡갈비 반죽 1kg (한돈 돼지+소고기)</t>
  </si>
  <si>
    <t>한돈떡갈비 반죽형 1kg</t>
  </si>
  <si>
    <t>BA251117201139775</t>
  </si>
  <si>
    <t>BA251117191138611</t>
  </si>
  <si>
    <t>BA251118081143570</t>
  </si>
  <si>
    <t>BA251118071143225</t>
  </si>
  <si>
    <t>BA251118081143746</t>
  </si>
  <si>
    <t>BA251118071143138</t>
  </si>
  <si>
    <t>BA251118071143289</t>
  </si>
  <si>
    <t>BA251118081143607</t>
  </si>
  <si>
    <t>BA251118071143380</t>
  </si>
  <si>
    <t>BA251118081143533</t>
  </si>
  <si>
    <t>한부각 고추부각 30g x 4봉</t>
  </si>
  <si>
    <t>BA251118071143423</t>
  </si>
  <si>
    <t>BA251118081143682</t>
  </si>
  <si>
    <t>홍시찹쌀떡 8구 1set +
홍시식혜 340ml 4병 구성</t>
  </si>
  <si>
    <t>BA251118071143341</t>
  </si>
  <si>
    <t>BA251118081143824</t>
  </si>
  <si>
    <t>AA251117101132276</t>
  </si>
  <si>
    <t>AA251117091131681</t>
  </si>
  <si>
    <t>AA251117101131875</t>
  </si>
  <si>
    <t>SP230601645451</t>
  </si>
  <si>
    <t>AA251117131135054</t>
  </si>
  <si>
    <t>AA251117141135778</t>
  </si>
  <si>
    <t>AA251117131134598</t>
  </si>
  <si>
    <t>AA251117151136167</t>
  </si>
  <si>
    <t>AA251117161137142</t>
  </si>
  <si>
    <t>AA251117151136484</t>
  </si>
  <si>
    <t>AA251117221141151</t>
  </si>
  <si>
    <t>AA251117181138258</t>
  </si>
  <si>
    <t>SP230701669736</t>
  </si>
  <si>
    <t>[ 전통 방식 수제 임순희 식혜 / 단호박 식혜 ] 청도 우렁이 쌀 무방부제 할머니가 만들어 주시던 그맛</t>
  </si>
  <si>
    <t>AA251118001142199</t>
  </si>
  <si>
    <t>AA251118001142265</t>
  </si>
  <si>
    <t>AA251117181138122</t>
  </si>
  <si>
    <t>SP231201791390</t>
  </si>
  <si>
    <t>미마 보건용마스크 KF94 30개입 대형/중형/소형 [화이트/블랙 택1]</t>
  </si>
  <si>
    <t>KF94 L 대형 30개입 검정</t>
  </si>
  <si>
    <t>AA251117171137206</t>
  </si>
  <si>
    <t>AA251117171137547</t>
  </si>
  <si>
    <t>AA251117211140361</t>
  </si>
  <si>
    <t>SP240501953960</t>
  </si>
  <si>
    <t>[최상위 등급 퍼퓸] 1+1 오브제 스카치 프리미엄 디퓨저 200ml/ 선물세트 아로마 실내방향제 화장실 </t>
  </si>
  <si>
    <t>오브제 스카치 디퓨저 200ml 스모키 키스(향) 2개입</t>
  </si>
  <si>
    <t>AA251117171137219</t>
  </si>
  <si>
    <t>AA251117191138758</t>
  </si>
  <si>
    <t>SP240501961374</t>
  </si>
  <si>
    <t>모이식품</t>
  </si>
  <si>
    <t>3대보약 비건 할랄인증 유기농 금관동충하초 절편</t>
  </si>
  <si>
    <t>금관동충하초 절편 3박스</t>
  </si>
  <si>
    <t>AA251118011142639</t>
  </si>
  <si>
    <t>SP241102102521</t>
  </si>
  <si>
    <t>AA251118071143366</t>
  </si>
  <si>
    <t>SP240501953805</t>
  </si>
  <si>
    <t>SP240101834978</t>
  </si>
  <si>
    <t>AA251118071143245</t>
  </si>
  <si>
    <t>베트남 노니비누 6개</t>
  </si>
  <si>
    <t>T45699</t>
  </si>
  <si>
    <t>현대비데 HB-8023</t>
  </si>
  <si>
    <t>제품선택:HB-8023 1 개 (+0 원)</t>
  </si>
  <si>
    <t>T7759</t>
  </si>
  <si>
    <t>한국맥널티 복숭아 아이스티 (190ml x 10개입 3팩)</t>
  </si>
  <si>
    <t>제품선택:복숭아 아이스티 190ml x 10개입 3개 1 개 (+0 원)</t>
  </si>
  <si>
    <t>T7760</t>
  </si>
  <si>
    <t>한국맥널티 블루레몬 에이드 (190ml x 10개입 3팩)</t>
  </si>
  <si>
    <t>제품선택:블루레몬 에이드 190ml x 10개입 3개 1 개 (+0 원)</t>
  </si>
  <si>
    <t>T45091</t>
  </si>
  <si>
    <t>쿠첸 CRT-PWPD1011SFU</t>
  </si>
  <si>
    <t>CRT-PWPD1011SFU</t>
  </si>
  <si>
    <t>T38748</t>
  </si>
  <si>
    <t>한우물 511148 치즈닭갈비 구운주먹밥 (100g 6개) + 소불고기 구운주먹밥 (100g 6개) + 김치치즈 구운주먹밥 (100g 6개)</t>
  </si>
  <si>
    <t>511148 치즈닭갈비구운주먹밥R 6개+소불고기구운주먹밥R 6개+김치치즈 구운주먹밥R 6개</t>
  </si>
  <si>
    <t>T9115</t>
  </si>
  <si>
    <t>쿠키아 뚜부칩 5종 세트 (뚜부칩 50g x 5개, 옥수수&amp;카카오 50g x 5개, 김 50g x 5개, 어니언 50g x 5개, 떡볶이 50g x4 개)</t>
  </si>
  <si>
    <t>[쿠키아] 뚜부 과자칩 5종 모음세트 뚜부칩 50gx5ea+옥수수&amp;카카오 50gx5ea+김 50gx5ea+어니언 50gx5ea+떡볶이 50gx4ea</t>
  </si>
  <si>
    <t>2025111723001855391F</t>
  </si>
  <si>
    <t>T6127</t>
  </si>
  <si>
    <t>스피드랙 화이트 [ 1200 / 400 / 1950 / 4단］</t>
  </si>
  <si>
    <t>스피드랙 가로 1200 / 폭 400 / 높이 1950 / 선반수량 4개</t>
  </si>
  <si>
    <t>2025111721454652333F</t>
  </si>
  <si>
    <t>2025111721442652280F</t>
  </si>
  <si>
    <t>2025111720092647988F</t>
  </si>
  <si>
    <t>T45174</t>
  </si>
  <si>
    <t>누가의료기 R모션 필로우</t>
  </si>
  <si>
    <t>R모션 필로우</t>
  </si>
  <si>
    <t>2025111719320746337F</t>
  </si>
  <si>
    <t>K1000023420</t>
  </si>
  <si>
    <t>K1000023381</t>
  </si>
  <si>
    <t>T45437</t>
  </si>
  <si>
    <t>오가닉K 2 티트리 트리트먼트 1500ml 화이트머스크 x 1개</t>
  </si>
  <si>
    <t>K1000023263</t>
  </si>
  <si>
    <t>T7930</t>
  </si>
  <si>
    <t>한일전자 애완동물용 부분 이발기 PC-B160</t>
  </si>
  <si>
    <t>T43701</t>
  </si>
  <si>
    <t>스피드랙 ★행사★ [홈던트 행거형] 가로 900 / 폭 400 / 높이 1950 / 행거단 0개 / 선반단 2개</t>
  </si>
  <si>
    <t>[스피드랙] 홈던트하우스 간편 조립식 인테리어 선반 행거(가로 900 시리즈1) 선택1: 297. [홈던트] 가로 900_폭 400_높이 1950_행거단 0개_선반단 2개</t>
  </si>
  <si>
    <t>T0425</t>
  </si>
  <si>
    <t>디프로매트 아뜰리에3 몬드리안 16L</t>
  </si>
  <si>
    <t>아뜰리에 미니금고 16L 상품선택: 미니금고 아뜰리에3 몬드리안 구성</t>
  </si>
  <si>
    <t>상품:당제로 스테비아 믹스커피 100개입 + 30개입</t>
  </si>
  <si>
    <t>T44937</t>
  </si>
  <si>
    <t>한국맥널티 헤이즐넛향 분쇄 원두커피 1kg+드립포트350ml+핸드드립 여과지 100매</t>
  </si>
  <si>
    <t>상품:헤이즐넛향 분쇄 원두커피 1kg+드립포트350ml+핸드드립 여과지 100매</t>
  </si>
  <si>
    <t>J10217634215861413313118697</t>
  </si>
  <si>
    <t>T45402</t>
  </si>
  <si>
    <t>미고가 코끼리 흑마늘 진액 60ml X 30포</t>
  </si>
  <si>
    <t>J10117633772291920113147459</t>
  </si>
  <si>
    <t>J10217633432321695213043932</t>
  </si>
  <si>
    <t>T38523</t>
  </si>
  <si>
    <t>오지케이 레이싱용 미러렌즈 X 엑스 실버</t>
  </si>
  <si>
    <t>O25111736880</t>
  </si>
  <si>
    <t>T46340</t>
  </si>
  <si>
    <t>에코맘의산골이유식 [완료기/진밥/12개월] 백숙10봉+알밤단호박10봉</t>
  </si>
  <si>
    <t>[완료기/진밥/12개월] 백숙10봉+알밤단호박10봉</t>
  </si>
  <si>
    <t>T46341</t>
  </si>
  <si>
    <t>에코맘의산골이유식 [완료기/진밥/12개월] 한우채소10봉+한우흑미10봉</t>
  </si>
  <si>
    <t>[완료기/진밥/12개월] 한우채소10봉+한우흑미10봉</t>
  </si>
  <si>
    <t>M2511M010599597314</t>
  </si>
  <si>
    <t>T45981</t>
  </si>
  <si>
    <t>꿀팁몰 밤 티라미수 150g</t>
  </si>
  <si>
    <t>옵션 : 밤 티라미수 150g</t>
  </si>
  <si>
    <t>T45982</t>
  </si>
  <si>
    <t>꿀팁몰 두바이 티라미수 150g</t>
  </si>
  <si>
    <t>옵션 : 두바이 티라미수 150g</t>
  </si>
  <si>
    <t>M2511M010599597121</t>
  </si>
  <si>
    <t>T46856</t>
  </si>
  <si>
    <t>HMO건강드림</t>
  </si>
  <si>
    <t>HMO건강드림 DE단백100골드 2.2g 90포</t>
  </si>
  <si>
    <t>옵션 : DE단백100골드 2.2g 90포 (+51890)</t>
  </si>
  <si>
    <t>T8729</t>
  </si>
  <si>
    <t>한울생약 리꼬 베이비 그린 물티슈 (100매 305g x 10팩)</t>
  </si>
  <si>
    <t>옵션 :[한울생약] 리꼬베이비 그린물티슈 100매x10팩 100매</t>
  </si>
  <si>
    <t>C253216373028</t>
  </si>
  <si>
    <t>T46255</t>
  </si>
  <si>
    <t>오가닉K 2 퍼퓸 바디워시 1L_화이트머스크 x 1개</t>
  </si>
  <si>
    <t>/ 퍼퓸 바디워시 1L_화이트머스크 x 1개</t>
  </si>
  <si>
    <t>T45433</t>
  </si>
  <si>
    <t>오가닉K 2 티트리 바디로션 1500ml 화이트머스크 x 2개</t>
  </si>
  <si>
    <t>/ 티트리 바디로션 1500ml 화이트머스크 x 2개</t>
  </si>
  <si>
    <t>C253216379734</t>
  </si>
  <si>
    <t>T39389</t>
  </si>
  <si>
    <t>고삼농협 한우사골 진한곰탕 500ml x 5팩</t>
  </si>
  <si>
    <t>C253216590128</t>
  </si>
  <si>
    <t>C253217606870</t>
  </si>
  <si>
    <t>C253222895314</t>
  </si>
  <si>
    <t>C253215797229</t>
  </si>
  <si>
    <t>C253215866392</t>
  </si>
  <si>
    <t>C253215962300</t>
  </si>
  <si>
    <t>C253215215469</t>
  </si>
  <si>
    <t>C253215494109</t>
  </si>
  <si>
    <t>C253216156058</t>
  </si>
  <si>
    <t>A253215530780</t>
  </si>
  <si>
    <t>P0067</t>
  </si>
  <si>
    <t>올계 유기농 동물복지 자연방사 유정란 30구</t>
  </si>
  <si>
    <t>/ [올계] 올계 유기농 동물복지 자연방사 유정란 30구</t>
  </si>
  <si>
    <t>C253217188057</t>
  </si>
  <si>
    <t>BA251118101144858</t>
  </si>
  <si>
    <t>갓김치 2kg</t>
  </si>
  <si>
    <t>BA251118101145205</t>
  </si>
  <si>
    <t>WP240802033738</t>
  </si>
  <si>
    <t>최고급 호텔식(100수) 및 워싱배색코튼(30수) 이불 베개 커버</t>
  </si>
  <si>
    <t>호텔식 100수 이불커버 K 220x240cm</t>
  </si>
  <si>
    <t>BA251118091144538</t>
  </si>
  <si>
    <t>BA251118101145237</t>
  </si>
  <si>
    <t>BA251118091144281</t>
  </si>
  <si>
    <t>BA251118091144206</t>
  </si>
  <si>
    <t>BA251118091144653</t>
  </si>
  <si>
    <t>BA251118101145368</t>
  </si>
  <si>
    <t>BA251118091144455</t>
  </si>
  <si>
    <t>BA251118101145357</t>
  </si>
  <si>
    <t>BA251118101144731</t>
  </si>
  <si>
    <t>BA251118091144257</t>
  </si>
  <si>
    <t>B24G 편광_블랙(스모그)렌즈/프레임 투명그레이(무광)</t>
  </si>
  <si>
    <t>BA251118101144707</t>
  </si>
  <si>
    <t>BA251118101144785</t>
  </si>
  <si>
    <t>BA251118101144743</t>
  </si>
  <si>
    <t>BA251118121146560</t>
  </si>
  <si>
    <t>511163 바질포모도로파스타 3개+버섯크림파스타R 3개</t>
  </si>
  <si>
    <t>BA251118111145851</t>
  </si>
  <si>
    <t>BA251118131146798</t>
  </si>
  <si>
    <t>한라봉차 2.2kg</t>
  </si>
  <si>
    <t>BA251118111145868</t>
  </si>
  <si>
    <t>BA251118121146636</t>
  </si>
  <si>
    <t>BA251118121146655</t>
  </si>
  <si>
    <t>BA251118121146222</t>
  </si>
  <si>
    <t>BA251118111145599</t>
  </si>
  <si>
    <t>BA251118121146591</t>
  </si>
  <si>
    <t>BA251118121146419</t>
  </si>
  <si>
    <t>WP230401545367</t>
  </si>
  <si>
    <t>[세척완료] 초기가루 4종세트 [찹쌀200g + 쌀400g + 현미200g+ 오트밀파우더200g]</t>
  </si>
  <si>
    <t>초기가루 4종세트</t>
  </si>
  <si>
    <t>BA251118111145797</t>
  </si>
  <si>
    <t>BA251118131146793</t>
  </si>
  <si>
    <t>BA251118121146648</t>
  </si>
  <si>
    <t>BA251118111145899</t>
  </si>
  <si>
    <t>BA251118111145709</t>
  </si>
  <si>
    <t>BA251118111145495</t>
  </si>
  <si>
    <t>WP230701690775</t>
  </si>
  <si>
    <t>[전통방식] 메주콩 죽염된장 900g</t>
  </si>
  <si>
    <t>메주콩 죽염된장 900g</t>
  </si>
  <si>
    <t>BA251118121146617</t>
  </si>
  <si>
    <t>WP240802016534</t>
  </si>
  <si>
    <t>[고단백 저지방] 부드럽고 촉촉한 통 닭가슴살 10팩/ 다이어트 헬스 음식 간편식요리 아침식사대용</t>
  </si>
  <si>
    <t>오리지널 통닭가슴살 10팩</t>
  </si>
  <si>
    <t>BA251118131147325</t>
  </si>
  <si>
    <t>BA251118141147723</t>
  </si>
  <si>
    <t>BA251118141148168</t>
  </si>
  <si>
    <t>BA251118141147530</t>
  </si>
  <si>
    <t>BA251118141147931</t>
  </si>
  <si>
    <t>BA251118131147428</t>
  </si>
  <si>
    <t>WP250902504518</t>
  </si>
  <si>
    <t>제이온글로벌</t>
  </si>
  <si>
    <t>견100% 트윌리 실크 스카프</t>
  </si>
  <si>
    <t>미쏘니 트윌리 실크 스카프 블랙</t>
  </si>
  <si>
    <t>BA251118131147102</t>
  </si>
  <si>
    <t>BA251118131147247</t>
  </si>
  <si>
    <t>WP240101804266</t>
  </si>
  <si>
    <t>발효 흑마늘 진액 3호 선물세트/ 어버이날 스승의날 부모님 선생님 셋트</t>
  </si>
  <si>
    <t>발효 흑마늘 진액 3호 선물세트</t>
  </si>
  <si>
    <t>BA251118131147522</t>
  </si>
  <si>
    <t>BA251118151148272</t>
  </si>
  <si>
    <t>WP251102537076</t>
  </si>
  <si>
    <t>초고압 2.1기압 6인용 전기 밥솥 프리미엄 오브제 디자인 BLACK 121내솥 48가지 잡곡요리 메뉴 밥통</t>
  </si>
  <si>
    <t>CRT-PIP0640KR</t>
  </si>
  <si>
    <t>BA251118151148507</t>
  </si>
  <si>
    <t>BA251118161148869</t>
  </si>
  <si>
    <t>511190 미트볼볼로네제파스타2개+바질포모도로파스타2개+버섯크림파스타R2개+쉬림프알리오올리오파스타2개</t>
  </si>
  <si>
    <t>BA251118161149182</t>
  </si>
  <si>
    <t>BA251118151148699</t>
  </si>
  <si>
    <t>BA251118151148624</t>
  </si>
  <si>
    <t>BA251118161149147</t>
  </si>
  <si>
    <t>BA251118161149242</t>
  </si>
  <si>
    <t>닭가슴살 깻잎 소시지 10팩</t>
  </si>
  <si>
    <t>BA251118161149063</t>
  </si>
  <si>
    <t>BA251118151148765</t>
  </si>
  <si>
    <t>BA251118151148387</t>
  </si>
  <si>
    <t>BA251118161148833</t>
  </si>
  <si>
    <t>9회 자죽염 고체 / 240g</t>
  </si>
  <si>
    <t>BA251118161148889</t>
  </si>
  <si>
    <t>BA251118151148208</t>
  </si>
  <si>
    <t>BA251118151148740</t>
  </si>
  <si>
    <t>BA251118151148576</t>
  </si>
  <si>
    <t>BA251118151148265</t>
  </si>
  <si>
    <t>BA251118151148496</t>
  </si>
  <si>
    <t>BA251118161148890</t>
  </si>
  <si>
    <t>BA251118151148435</t>
  </si>
  <si>
    <t>BA251118161149366</t>
  </si>
  <si>
    <t>BA251118161148961</t>
  </si>
  <si>
    <t>BA251118151148611</t>
  </si>
  <si>
    <t>BA251118191100720</t>
  </si>
  <si>
    <t>WP250902494641</t>
  </si>
  <si>
    <t>홈쇼핑 50만세트 평점4.8 후기3만개 1++ 투쁠 최고급 한우 명절 선물 세트 셋트 / 꽃등심 눈꽃로스 보섭살 진주살 차돌박이 채끝살 업진살 안심 치마살 살치살</t>
  </si>
  <si>
    <t>1++한우 [특수부위] 4번 세트</t>
  </si>
  <si>
    <t>BA251118181100100</t>
  </si>
  <si>
    <t>BA251118201101078</t>
  </si>
  <si>
    <t>BA251118171149966</t>
  </si>
  <si>
    <t>M / 블랙 KF80M50BK</t>
  </si>
  <si>
    <t>BA251118181100138</t>
  </si>
  <si>
    <t>감귤 2kg 대과 L-2L</t>
  </si>
  <si>
    <t>BA251118231103728</t>
  </si>
  <si>
    <t>BA251118201101303</t>
  </si>
  <si>
    <t>BA251118201101326</t>
  </si>
  <si>
    <t>BA251118211101815</t>
  </si>
  <si>
    <t>BA251118211102046</t>
  </si>
  <si>
    <t>BA251118221103374</t>
  </si>
  <si>
    <t>BA251118171149969</t>
  </si>
  <si>
    <t>BA251119051104580</t>
  </si>
  <si>
    <t>511156 미트볼볼로네제파스타 3개+버섯크림파스타R 3개</t>
  </si>
  <si>
    <t>BA251118211102368</t>
  </si>
  <si>
    <t>BA251118211102498</t>
  </si>
  <si>
    <t>BA251118201101344</t>
  </si>
  <si>
    <t>BA251118201101606</t>
  </si>
  <si>
    <t>BA251118221103398</t>
  </si>
  <si>
    <t>BA251118211102434</t>
  </si>
  <si>
    <t>BA251118191100791</t>
  </si>
  <si>
    <t>BA251118191100810</t>
  </si>
  <si>
    <t>BA251118221102918</t>
  </si>
  <si>
    <t>BA251118221102714</t>
  </si>
  <si>
    <t>BA251118221103220</t>
  </si>
  <si>
    <t>[홈던트] 가로 900 / 폭 600 / 높이 1950 / 행거단 1개 / 선반단 0개</t>
  </si>
  <si>
    <t>BA251118181100284</t>
  </si>
  <si>
    <t>BA251118221102908</t>
  </si>
  <si>
    <t>BA251118221103123</t>
  </si>
  <si>
    <t>WP240802026679</t>
  </si>
  <si>
    <t>삼봉에기 3개 1세트/ 생미끼 + 에기/ 한치 갑오징어 쭈꾸미 낚시용품</t>
  </si>
  <si>
    <t>삼봉에기 3개 1세트 레드그린11cm</t>
  </si>
  <si>
    <t>BA251118201101772</t>
  </si>
  <si>
    <t>BA251118171149722</t>
  </si>
  <si>
    <t>BA251118221103027</t>
  </si>
  <si>
    <t>BA251118191100819</t>
  </si>
  <si>
    <t>BA251119061104698</t>
  </si>
  <si>
    <t>BA251118211101855</t>
  </si>
  <si>
    <t>BA251119061104731</t>
  </si>
  <si>
    <t>BA251118201101257</t>
  </si>
  <si>
    <t>우리쌀 햅쌀 떡국 163g x 6개</t>
  </si>
  <si>
    <t>BA251118211102606</t>
  </si>
  <si>
    <t>BA251118201101468</t>
  </si>
  <si>
    <t>키즈용 베이지 50매 ePTFEXS50B</t>
  </si>
  <si>
    <t>BA251118201101317</t>
  </si>
  <si>
    <t>BA251118221103326</t>
  </si>
  <si>
    <t>BA251119001104036</t>
  </si>
  <si>
    <t>WP250302227128</t>
  </si>
  <si>
    <t>BA251118191100735</t>
  </si>
  <si>
    <t>BA251118191101029</t>
  </si>
  <si>
    <t>BA251118221103388</t>
  </si>
  <si>
    <t>BA251118181100460</t>
  </si>
  <si>
    <t>BA251118231103896</t>
  </si>
  <si>
    <t>BA251118211102504</t>
  </si>
  <si>
    <t>BA251118191100980</t>
  </si>
  <si>
    <t>BA251119061104769</t>
  </si>
  <si>
    <t>BA251118221103016</t>
  </si>
  <si>
    <t>BA251118231103774</t>
  </si>
  <si>
    <t>BA251119001104248</t>
  </si>
  <si>
    <t>BA251118191100854</t>
  </si>
  <si>
    <t>BA251118231103724</t>
  </si>
  <si>
    <t>BA251118171149612</t>
  </si>
  <si>
    <t>BA251118211101929</t>
  </si>
  <si>
    <t>BA251119021104418</t>
  </si>
  <si>
    <t>BA251118221102823</t>
  </si>
  <si>
    <t>BA251118211102429</t>
  </si>
  <si>
    <t>BA251118201101521</t>
  </si>
  <si>
    <t>BA251118211102293</t>
  </si>
  <si>
    <t>BA251118221103409</t>
  </si>
  <si>
    <t>BA251119011104300</t>
  </si>
  <si>
    <t>BA251119081105476</t>
  </si>
  <si>
    <t>WP230601636436</t>
  </si>
  <si>
    <t>흘러내림 방지 플러스 컬러핏 새부리형 3중구조 2D 마스크 100매</t>
  </si>
  <si>
    <t>코랄핑크 100매</t>
  </si>
  <si>
    <t>BA251119071105002</t>
  </si>
  <si>
    <t>SS / 라이트그레이 KF94SS50LG</t>
  </si>
  <si>
    <t>BA251119071105036</t>
  </si>
  <si>
    <t>BA251119071105045</t>
  </si>
  <si>
    <t>BA251119081105634</t>
  </si>
  <si>
    <t>[스피드랙] 가로 1200 / 폭 500 / 높이 1800 / 선반 수량 2개</t>
  </si>
  <si>
    <t>[스피드랙] 가로 800 / 폭 400 / 높이 1800 / 선반 수량 2개</t>
  </si>
  <si>
    <t>[스피드랙] 가로 900 / 폭 400 / 높이 1200 / 선반 수량 2개</t>
  </si>
  <si>
    <t>BA251119071104847</t>
  </si>
  <si>
    <t>BA251119071105106</t>
  </si>
  <si>
    <t>BA251119081105200</t>
  </si>
  <si>
    <t>중형 화이트 50매 ePTFEM50W</t>
  </si>
  <si>
    <t>BA251119081105471</t>
  </si>
  <si>
    <t>BA251119071104890</t>
  </si>
  <si>
    <t>BA251119081105504</t>
  </si>
  <si>
    <t>BA251119091105649</t>
  </si>
  <si>
    <t>BA251119081105424</t>
  </si>
  <si>
    <t>BA251119081105554</t>
  </si>
  <si>
    <t>BA251119071104933</t>
  </si>
  <si>
    <t>BA251119081105222</t>
  </si>
  <si>
    <t>BA251119081105515</t>
  </si>
  <si>
    <t>AA251118091144300</t>
  </si>
  <si>
    <t>AA251118101144759</t>
  </si>
  <si>
    <t>SP250302225740</t>
  </si>
  <si>
    <t>AA251118121146282</t>
  </si>
  <si>
    <t>AA251118111146052</t>
  </si>
  <si>
    <t>SP240601984120</t>
  </si>
  <si>
    <t>[피부보호특허/식약처인증] 니트릴 위생장갑 3.2g 다운블루 100매 S M L / 식품용</t>
  </si>
  <si>
    <t>니트릴위생장갑 다운블루 100매 (S)</t>
  </si>
  <si>
    <t>AA251118111145445</t>
  </si>
  <si>
    <t>(홀빈) 콜롬비아 안데스 오리진 200g</t>
  </si>
  <si>
    <t>(홀빈) 마일드 미디움 블렌드 200g</t>
  </si>
  <si>
    <t>AA251118141147797</t>
  </si>
  <si>
    <t>SP240301891866</t>
  </si>
  <si>
    <t>[물막힘해결사] 배수구 클리너 싱크대 청소 150g 8회분 (총 2박스)</t>
  </si>
  <si>
    <t>AA251118141148120</t>
  </si>
  <si>
    <t>AA251118151148791</t>
  </si>
  <si>
    <t>AA251118181100379</t>
  </si>
  <si>
    <t>AA251118201101158</t>
  </si>
  <si>
    <t>SP250302226792</t>
  </si>
  <si>
    <t>AA251118201101552</t>
  </si>
  <si>
    <t>SP230701670629</t>
  </si>
  <si>
    <t>블루마운틴 블렌드 분쇄 원두커피 1kg+드립포트350ml+핸드드립 여과지 100매</t>
  </si>
  <si>
    <t>AA251118221103443</t>
  </si>
  <si>
    <t>건조기용 섬유유연제 시트 80매 x 3입 (240매) 베이비파우더향</t>
  </si>
  <si>
    <t>AA251119011104294</t>
  </si>
  <si>
    <t>SP230901721065</t>
  </si>
  <si>
    <t>전문가용 반려동물 저소음 무선 이발기 PC-A1901 + 4가지 빗살캡</t>
  </si>
  <si>
    <t>애견이발기 PC-A1901</t>
  </si>
  <si>
    <t>AA251118221102930</t>
  </si>
  <si>
    <t>SP241102102474</t>
  </si>
  <si>
    <t>[오드 퍼퓸 등급의 부향률] 옥수수 에탄올 베이스 퍼퓸 드 디퓨저 200ML (2개입) / 스틱형 방향제</t>
  </si>
  <si>
    <t>퍼퓸 드 디퓨저 200ML (2개입) X 1세트 / 베이비파우더</t>
  </si>
  <si>
    <t>AA251118201101324</t>
  </si>
  <si>
    <t>SP241002063042</t>
  </si>
  <si>
    <t>[유해성분 4無] 천연펄프 보들보들 미용티슈 250매 6개입 / 휴지 화장지</t>
  </si>
  <si>
    <t>미용티슈 250매 6개입</t>
  </si>
  <si>
    <t>1세트:복숭아/1개</t>
  </si>
  <si>
    <t>런닝 5매세트 RSB01_100</t>
  </si>
  <si>
    <t>M2511M010599603152</t>
  </si>
  <si>
    <t>20251118-0001594</t>
  </si>
  <si>
    <t>제품옵션=1+1 워셔블구스베개 50x70 중간형</t>
  </si>
  <si>
    <t>T7835</t>
  </si>
  <si>
    <t>오지케이 크루즈 헬멧 더스트블루 L</t>
  </si>
  <si>
    <t>제품옵션=크루즈 헬멧_더스트블루 L</t>
  </si>
  <si>
    <t>T38990</t>
  </si>
  <si>
    <t>한우물 511157 미트볼볼로네제파스타 3개+쉬림프알리오올리오파스타 3개</t>
  </si>
  <si>
    <t>제품선택:511157 미트볼볼로네제파스타 3개+쉬림프알리오올리오파스타 3개 1 개 (+1,600 원)</t>
  </si>
  <si>
    <t>T46149</t>
  </si>
  <si>
    <t>솜씨협동조합 해물순두부찌개+참치김치찌개</t>
  </si>
  <si>
    <t>제품선택:해물순두부찌개+참치김치찌개 1 개 (+0 원)</t>
  </si>
  <si>
    <t>T39147</t>
  </si>
  <si>
    <t>엠케이엠 문경 건오미자 (500g x 1개)</t>
  </si>
  <si>
    <t>제품선택:건오미자 500g 1 개 (+0 원)</t>
  </si>
  <si>
    <t>T39141</t>
  </si>
  <si>
    <t>한국맥널티 홀빈 다크 클래식 블렌드 1kg</t>
  </si>
  <si>
    <t>제품선택:(홀빈) 다크 클래식 블렌드 1kg 1 개 (+10,000 원)</t>
  </si>
  <si>
    <t>T39140</t>
  </si>
  <si>
    <t>한국맥널티 홀빈 브라질 산토스 내추럴 1kg</t>
  </si>
  <si>
    <t>제품선택:(홀빈) 브라질 산토스 내추럴 1kg 1 개 (+8,300 원)</t>
  </si>
  <si>
    <t>T39144</t>
  </si>
  <si>
    <t>한국맥널티 홀빈 콜롬비아 안데스 오리진 1kg</t>
  </si>
  <si>
    <t>제품선택:(홀빈) 콜롬비아 안데스 오리진 1kg 1 개 (+10,000 원)</t>
  </si>
  <si>
    <t>T39662</t>
  </si>
  <si>
    <t>한국맥널티 케냐 더블에이 8g x 36개입</t>
  </si>
  <si>
    <t>제품선택:케냐 더블에이 8g x 36개입 1 개 (+0 원)</t>
  </si>
  <si>
    <t>T44938</t>
  </si>
  <si>
    <t>한국맥널티 블루마운틴 블렌드 분쇄 원두커피 1kg+드립포트350ml+핸드드립 여과지 100매</t>
  </si>
  <si>
    <t>제품선택:블루마운틴 블렌드 분쇄 원두커피 1kg+드립포트350ml+핸드드립 여과지 100매 1 개 (+0 원)</t>
  </si>
  <si>
    <t>T8791</t>
  </si>
  <si>
    <t>백제(케이씨물류) 백제 쌀국수 멸치맛10개+김치맛10개+파곰탕면10개</t>
  </si>
  <si>
    <t>T39360</t>
  </si>
  <si>
    <t>에스지커뮤니케이션 (DH글로벌) CEH-BP2000S 실버</t>
  </si>
  <si>
    <t>CEH-BP2000S 실버</t>
  </si>
  <si>
    <t>2025111822505585550F</t>
  </si>
  <si>
    <t>T7889</t>
  </si>
  <si>
    <t>오가닉K 살림백서 액체세탁세제 (2L x 2개입)</t>
  </si>
  <si>
    <t>2025111816185773067F</t>
  </si>
  <si>
    <t>T0273</t>
  </si>
  <si>
    <t>에코맘의산골이유식 산골떡뻥 15봉 패키지 [사과+단호박+백미쌀눈] (20g x 각5봉)</t>
  </si>
  <si>
    <t>산골떡뻥15봉 패키지 (사과떡뻥5봉+단호박떡뻥5봉+백미쌀눈떡뻥5봉)</t>
  </si>
  <si>
    <t>K1000023515</t>
  </si>
  <si>
    <t>S0019</t>
  </si>
  <si>
    <t>곰소천년의젓갈 천년의젓갈 선물세트 [오징어/낙지젓 300g씩] + 선물세트 2구</t>
  </si>
  <si>
    <t>[곰소천년] 천년의젓갈 선물세트 (오징어젓 낙지젓 갈치속젓 새우젓 300g씩) 상품: 1.천년의젓갈 선물세트 [오징어/낙지젓 300g씩] + 선물세트 2구</t>
  </si>
  <si>
    <t>O25111840075</t>
  </si>
  <si>
    <t>T45580</t>
  </si>
  <si>
    <t>오가닉K 찌든때 클리너 240g 2개입</t>
  </si>
  <si>
    <t>P0004</t>
  </si>
  <si>
    <t>솔루엠 (※특가※) 65W 3포트 초고속 멀티 충전기 + C타입 케이블</t>
  </si>
  <si>
    <t>A2511M130599601636</t>
  </si>
  <si>
    <t>T39503</t>
  </si>
  <si>
    <t>친한F&amp;B 볼케이노 조각 닭가슴살 10팩</t>
  </si>
  <si>
    <t>옵션 : 볼케이노 조각 닭가슴살 10팩</t>
  </si>
  <si>
    <t>T45330</t>
  </si>
  <si>
    <t>꿀팁몰 메가콰트로 10인치</t>
  </si>
  <si>
    <t>메가콰트로 10인치</t>
  </si>
  <si>
    <t>T45323</t>
  </si>
  <si>
    <t>꿀팁몰 트러플 잠봉뵈르 10인치</t>
  </si>
  <si>
    <t>트러플 잠봉뵈르 10인치</t>
  </si>
  <si>
    <t>NW2025111810020183</t>
  </si>
  <si>
    <t>T44971</t>
  </si>
  <si>
    <t>오가닉K 오브제 퍼퓸 바디로션 1L 2개입 라벤더퍼퓸향</t>
  </si>
  <si>
    <t>옵션 :[살림백서] 오브제 퍼퓸 바디로션 1L 2개입 라벤더퍼퓸향 라벤더퍼퓸향</t>
  </si>
  <si>
    <t>C253225949325</t>
  </si>
  <si>
    <t>T45637</t>
  </si>
  <si>
    <t>해담솔 김대감 발효간장김 4g 12ea x 2set</t>
  </si>
  <si>
    <t>C253226573778</t>
  </si>
  <si>
    <t>C253225873196</t>
  </si>
  <si>
    <t>Y253223412917</t>
  </si>
  <si>
    <t>C253223659325</t>
  </si>
  <si>
    <t>제품옵션 : 복숭아향</t>
  </si>
  <si>
    <t>BA251119091105824</t>
  </si>
  <si>
    <t>BA251119091106002</t>
  </si>
  <si>
    <t>BA251119091105897</t>
  </si>
  <si>
    <t>BA251119101106291</t>
  </si>
  <si>
    <t>BA251119101106457</t>
  </si>
  <si>
    <t>BA251119101106213</t>
  </si>
  <si>
    <t>BA251119091105827</t>
  </si>
  <si>
    <t>BA251119101106474</t>
  </si>
  <si>
    <t>BA251119101106332</t>
  </si>
  <si>
    <t>BA251119101106399</t>
  </si>
  <si>
    <t>소형 화이트 50매 ePTFES50W</t>
  </si>
  <si>
    <t>BA251119091106160</t>
  </si>
  <si>
    <t>BA251119101106735</t>
  </si>
  <si>
    <t>BA251119091105658</t>
  </si>
  <si>
    <t>BA251119091105941</t>
  </si>
  <si>
    <t>BA251119091105915</t>
  </si>
  <si>
    <t>BA251119101106183</t>
  </si>
  <si>
    <t>BA251119101106298</t>
  </si>
  <si>
    <t>WP230601636147</t>
  </si>
  <si>
    <t>뉴텔라 카카오 인절미 (40g x 9개)</t>
  </si>
  <si>
    <t>BA251119101106892</t>
  </si>
  <si>
    <t>BA251119101106519</t>
  </si>
  <si>
    <t>BA251119091105679</t>
  </si>
  <si>
    <t>BA251119111107689</t>
  </si>
  <si>
    <t>511118 야채김밥 2개+참치마요김밥 2개+당근김밥 2개</t>
  </si>
  <si>
    <t>511359 햄야채볶음밥 6개+참치김치볶음밥 6개</t>
  </si>
  <si>
    <t>BA251119121107715</t>
  </si>
  <si>
    <t>BA251119121107759</t>
  </si>
  <si>
    <t>BA251119111107557</t>
  </si>
  <si>
    <t>BA251119121107730</t>
  </si>
  <si>
    <t>BA251119121108062</t>
  </si>
  <si>
    <t>BA251119111106963</t>
  </si>
  <si>
    <t>BA251119111107250</t>
  </si>
  <si>
    <t>BA251119131108704</t>
  </si>
  <si>
    <t>BA251119141109223</t>
  </si>
  <si>
    <t>BA251119141109522</t>
  </si>
  <si>
    <t>WP230401547718</t>
  </si>
  <si>
    <t>여성피부에 좋은 석류노니 750ml 면역력 증강 / 항암효과 / 세포재생</t>
  </si>
  <si>
    <t>석류노니 750ml</t>
  </si>
  <si>
    <t>BA251119151109772</t>
  </si>
  <si>
    <t>BA251119141109307</t>
  </si>
  <si>
    <t>BA251119141109630</t>
  </si>
  <si>
    <t>아비삭라이스볼 딸기 5봉</t>
  </si>
  <si>
    <t>BA251119141109605</t>
  </si>
  <si>
    <t>BA251119131108727</t>
  </si>
  <si>
    <t>BA251119131109060</t>
  </si>
  <si>
    <t>BA251119131108398</t>
  </si>
  <si>
    <t>BA251119131108979</t>
  </si>
  <si>
    <t>BA251119131108729</t>
  </si>
  <si>
    <t>MC-016</t>
  </si>
  <si>
    <t>BA251119141109731</t>
  </si>
  <si>
    <t>평창꽃순이 황태김치 2.5kg</t>
  </si>
  <si>
    <t>BA251119131108483</t>
  </si>
  <si>
    <t>BA251119131108620</t>
  </si>
  <si>
    <t>BA251119141109214</t>
  </si>
  <si>
    <t>BA251119131108959</t>
  </si>
  <si>
    <t>BA251119161110728</t>
  </si>
  <si>
    <t>BA251119161110682</t>
  </si>
  <si>
    <t>닥터퓨리 KFAD 비말차단 입체마스크 50매입(5매입x5입 포장) 중형</t>
  </si>
  <si>
    <t>BA251119151109984</t>
  </si>
  <si>
    <t>BA251119161110716</t>
  </si>
  <si>
    <t>BA251119161111014</t>
  </si>
  <si>
    <t>BA251119151110197</t>
  </si>
  <si>
    <t>BA251119161110637</t>
  </si>
  <si>
    <t>BA251119151110181</t>
  </si>
  <si>
    <t>BA251119161110508</t>
  </si>
  <si>
    <t>BA251119151110072</t>
  </si>
  <si>
    <t>BA251119221114671</t>
  </si>
  <si>
    <t>BA251119231115332</t>
  </si>
  <si>
    <t>WP230401545056</t>
  </si>
  <si>
    <t>유기농 똘똘이세트 [백미 흑미] + [백미 단호박 보리새싹]</t>
  </si>
  <si>
    <t>똘똘이세트 (똘똘이원 2팩+똘똘이투 2팩)</t>
  </si>
  <si>
    <t>BA251120061116164</t>
  </si>
  <si>
    <t>WP230501608364</t>
  </si>
  <si>
    <t>BA251119211113425</t>
  </si>
  <si>
    <t>BA251119211113681</t>
  </si>
  <si>
    <t>BA251119171111102</t>
  </si>
  <si>
    <t>BA251119211113883</t>
  </si>
  <si>
    <t>BA251119211114077</t>
  </si>
  <si>
    <t>BA251119221114329</t>
  </si>
  <si>
    <t>BA251119181111856</t>
  </si>
  <si>
    <t>BA251119181112033</t>
  </si>
  <si>
    <t>BA251119201113133</t>
  </si>
  <si>
    <t>BA251119201113279</t>
  </si>
  <si>
    <t>BA251119201113000</t>
  </si>
  <si>
    <t>BA251119221114672</t>
  </si>
  <si>
    <t>BA251119231114885</t>
  </si>
  <si>
    <t>BA251119201112978</t>
  </si>
  <si>
    <t>BA251119171111374</t>
  </si>
  <si>
    <t>BA251119201113166</t>
  </si>
  <si>
    <t>BA251119231115370</t>
  </si>
  <si>
    <t>BA251119221114423</t>
  </si>
  <si>
    <t>BA251119231115325</t>
  </si>
  <si>
    <t>WP241102101870</t>
  </si>
  <si>
    <t>[피부 수분보충]산양유 밀크 프로틴 미산성 바디워시 2000ML /세라마이드엔지, 소듐하이알루로네이트 함유</t>
  </si>
  <si>
    <t>산양유 밀크프로틴 바디워시 2L x 2개</t>
  </si>
  <si>
    <t>BA251119231115422</t>
  </si>
  <si>
    <t>BA251119201112975</t>
  </si>
  <si>
    <t>BA251119211113751</t>
  </si>
  <si>
    <t>BA251120001115560</t>
  </si>
  <si>
    <t>BA251119181112001</t>
  </si>
  <si>
    <t>BA251119191112361</t>
  </si>
  <si>
    <t>BA251120021115917</t>
  </si>
  <si>
    <t>BA251119211113615</t>
  </si>
  <si>
    <t>WP240201859673</t>
  </si>
  <si>
    <t>[신생아 아기옷 사용가능] 울세제 중성세제 리필형 1L 3개입</t>
  </si>
  <si>
    <t>울세제 중성세제 리필형 1L 3개입</t>
  </si>
  <si>
    <t>BA251119231115256</t>
  </si>
  <si>
    <t>WP241202143347</t>
  </si>
  <si>
    <t>리뷰 1000개 매콤단백 바다다 명란김 (20봉)/ 술안주 밥반찬</t>
  </si>
  <si>
    <t>바다다 명란김 4g*6장 (20봉)</t>
  </si>
  <si>
    <t>BA251120061116340</t>
  </si>
  <si>
    <t>BA251119201112678</t>
  </si>
  <si>
    <t>WP230201524446</t>
  </si>
  <si>
    <t>엠보싱 무형광 일회용 굿매너 뽑아쓰는 / 롤타입 수세미</t>
  </si>
  <si>
    <t>굿매너 뽑아쓰는 일회용 수세미 32매(8개) 1팩</t>
  </si>
  <si>
    <t>BA251119201113288</t>
  </si>
  <si>
    <t>BA251119231114984</t>
  </si>
  <si>
    <t>BA251120061116346</t>
  </si>
  <si>
    <t>BA251119201112995</t>
  </si>
  <si>
    <t>BA251120001115479</t>
  </si>
  <si>
    <t>BA251119181111784</t>
  </si>
  <si>
    <t>BA251119171111228</t>
  </si>
  <si>
    <t>BA251119221114279</t>
  </si>
  <si>
    <t>BA251119201113231</t>
  </si>
  <si>
    <t>BA251119211113410</t>
  </si>
  <si>
    <t>BA251119211114014</t>
  </si>
  <si>
    <t>BA251119221114391</t>
  </si>
  <si>
    <t>[홈던트] 가로 1000 / 폭 600 / 높이 2100 / 행거단 0개 / 선반단 0개</t>
  </si>
  <si>
    <t>BA251119211113864</t>
  </si>
  <si>
    <t>여주차70g x 4팩</t>
  </si>
  <si>
    <t>BA251120051116116</t>
  </si>
  <si>
    <t>BA251119181111999</t>
  </si>
  <si>
    <t>BA251119191112345</t>
  </si>
  <si>
    <t>리꼬베이비 구강청결티슈 30매x4팩</t>
  </si>
  <si>
    <t>BA251119201113215</t>
  </si>
  <si>
    <t>WP241102101851</t>
  </si>
  <si>
    <t>[두피 수분케어] 산양유 우유 단백질 샴푸 2000ML/ 하이드롤라이즈드 실크와 케라틴 함유</t>
  </si>
  <si>
    <t>산양유 우유 단백질 샴푸 2000ML 2개</t>
  </si>
  <si>
    <t>BA251119221114694</t>
  </si>
  <si>
    <t>티플레이스 구기자비트차 삼각티백</t>
  </si>
  <si>
    <t>BA251119211113501</t>
  </si>
  <si>
    <t>BA251119181111643</t>
  </si>
  <si>
    <t>오푼티아&amp;밤부 트리트먼트 500ml 2개입 유칼립투스향</t>
  </si>
  <si>
    <t>BA251119201113170</t>
  </si>
  <si>
    <t>BA251119231115350</t>
  </si>
  <si>
    <t>BA251120021115910</t>
  </si>
  <si>
    <t>WP240401925437</t>
  </si>
  <si>
    <t>문경 건오미자 500g</t>
  </si>
  <si>
    <t>건오미자 500g</t>
  </si>
  <si>
    <t>BA251119181111879</t>
  </si>
  <si>
    <t>BA251119211113487</t>
  </si>
  <si>
    <t>퓨어&amp;소프트 18m x 30롤 3팩</t>
  </si>
  <si>
    <t>BA251119221114534</t>
  </si>
  <si>
    <t>BA251120071116403</t>
  </si>
  <si>
    <t>BA251120071116419</t>
  </si>
  <si>
    <t>BA251120081116779</t>
  </si>
  <si>
    <t>BA251120081117034</t>
  </si>
  <si>
    <t>Smart Tag UWB 블랙</t>
  </si>
  <si>
    <t>Smart Tag UWB 와인</t>
  </si>
  <si>
    <t>BA251120081116973</t>
  </si>
  <si>
    <t>BA251120071116450</t>
  </si>
  <si>
    <t>BA251120071116642</t>
  </si>
  <si>
    <t>BA251120081117037</t>
  </si>
  <si>
    <t>BA251120071116624</t>
  </si>
  <si>
    <t>일회용수세미 60매 x 4입 대형 [그레이]</t>
  </si>
  <si>
    <t>AA251119101106284</t>
  </si>
  <si>
    <t>AA251119121107844</t>
  </si>
  <si>
    <t>AA251119201113305</t>
  </si>
  <si>
    <t>SP231201791392</t>
  </si>
  <si>
    <t>미마 보건용마스크 KF80 30개입 대형/중형/소형 [화이트/블랙 택1]</t>
  </si>
  <si>
    <t>KF80 L 대형 30개입 화이트</t>
  </si>
  <si>
    <t>AA251119221114513</t>
  </si>
  <si>
    <t>AA251119211113827</t>
  </si>
  <si>
    <t>AA251119221114564</t>
  </si>
  <si>
    <t>AA251119211114054</t>
  </si>
  <si>
    <t>AA251120061116238</t>
  </si>
  <si>
    <t>AA251119201112661</t>
  </si>
  <si>
    <t>오브제 스카치 디퓨저 200ml 러브홀릭(향) 2개입</t>
  </si>
  <si>
    <t>AA251119181111684</t>
  </si>
  <si>
    <t>SP240501953793</t>
  </si>
  <si>
    <t>[미백 주름 기능성] 인공향료 free 임산부 매터니티 인텐시브 케어 크림 150ml / 수분 산모 화장품 마사지</t>
  </si>
  <si>
    <t>매터니티 인텐시브 케어 크림 150ml</t>
  </si>
  <si>
    <t>SP240501953792</t>
  </si>
  <si>
    <t>AA251119231115344</t>
  </si>
  <si>
    <t>AA251119171111498</t>
  </si>
  <si>
    <t>AA251119231115275</t>
  </si>
  <si>
    <t>AA251119201113094</t>
  </si>
  <si>
    <t>SP231201791137</t>
  </si>
  <si>
    <t>퓨리온 숨쉬기 편한 황사 방역 마스크 KF94 화이트 / 블랙 100매</t>
  </si>
  <si>
    <t>마스크KF94흰색</t>
  </si>
  <si>
    <t>AA251119211113816</t>
  </si>
  <si>
    <t>제품선택:제니스 한비나 노니 비누 100g 6개 1 개 (+27,400 원)</t>
  </si>
  <si>
    <t>캐모마일향</t>
  </si>
  <si>
    <t>제품선택:병커피 아이리쉬크림향 50g 3개 2 개 (+0 원)</t>
  </si>
  <si>
    <t>T46862</t>
  </si>
  <si>
    <t>누가의료기 T9</t>
  </si>
  <si>
    <t>제품선택:T9 1 개 (+0 원)</t>
  </si>
  <si>
    <t>T8778</t>
  </si>
  <si>
    <t>에코맘의산골이유식 산골과일참15봉 패키지 (사과참5봉+배참5봉+딸기참5봉)</t>
  </si>
  <si>
    <t>S0094</t>
  </si>
  <si>
    <t>부각마을 홈 기프트세트(65g 5p)</t>
  </si>
  <si>
    <t>홈 기프트세트(65g 5p)</t>
  </si>
  <si>
    <t>제품옵션:CRT-WS0340TW</t>
  </si>
  <si>
    <t>선택:치큐 닭가슴살 훈제 x 10팩</t>
  </si>
  <si>
    <t>2025111921113020554F</t>
  </si>
  <si>
    <t>T46107</t>
  </si>
  <si>
    <t>케이센스 카라영 인센스 꽃향기 은방울꽃 + 월하향</t>
  </si>
  <si>
    <t>카라영 인센스 꽃향기 은방울꽃 + 월하향</t>
  </si>
  <si>
    <t>2025111917401914590F</t>
  </si>
  <si>
    <t>무항생제 한돈선물세트2kg 스킨트레이</t>
  </si>
  <si>
    <t>2025111917193414040F</t>
  </si>
  <si>
    <t>T44993</t>
  </si>
  <si>
    <t>씨엔씨 인터네셔널 히토미 혼마 4스타 85cm</t>
  </si>
  <si>
    <t>히토미 혼마 4스타 85cm</t>
  </si>
  <si>
    <t>11월24일까지 최다할인 쿠첸 인덕션 가습기 듀얼프레셔 초고압 IH 전기압력밥솥 6인용 10인용 베스트 모음전 제품옵션: CRS-WK0610FSPW 6인용 밥솥</t>
  </si>
  <si>
    <t>[케이알시고려] 공군사령부 납품 군용 편광 파일럿 선글라스 옵션: KREX P11</t>
  </si>
  <si>
    <t>[한우물] 볶음밥 17종 (12개)세트 선택1: 야채볶음밥 6개+해물볶음밥 6개</t>
  </si>
  <si>
    <t>T39489</t>
  </si>
  <si>
    <t>한국맥널티 아이브루 다크블렌드 200T</t>
  </si>
  <si>
    <t>아이브루 다크블렌드 200T 옵션: 아이브루 다크블렌드 200T</t>
  </si>
  <si>
    <t>P0032</t>
  </si>
  <si>
    <t>블루인더스 모모토 향균 차량용 에어컨 필터 MC-007 1개 + 1개</t>
  </si>
  <si>
    <t>1+1 PM0.3 프리+활성탄+헤파필터 자동차 에어컨필터 상품선택: 1+1 MC-007</t>
  </si>
  <si>
    <t>J10217635568321269010171399</t>
  </si>
  <si>
    <t>T0044</t>
  </si>
  <si>
    <t>에이스라이프 트레비 비데 ALB-3600 IPX4 등급 1개</t>
  </si>
  <si>
    <t>A2511M010599604048</t>
  </si>
  <si>
    <t>C253240018963</t>
  </si>
  <si>
    <t>C253236311273</t>
  </si>
  <si>
    <t>T45991</t>
  </si>
  <si>
    <t>그라스메디 자유펫 레드허니밤 14g</t>
  </si>
  <si>
    <t>/ 자유펫 레드허니밤 14g</t>
  </si>
  <si>
    <t>C253237476948</t>
  </si>
  <si>
    <t>T39470</t>
  </si>
  <si>
    <t>오가닉K 오푼티아&amp;밤부 트리트먼트 1L 1개입 화이트머스크향</t>
  </si>
  <si>
    <t>/ 오푼티아&amp;밤부 트리트먼트 1L 1개입 화이트머스크향</t>
  </si>
  <si>
    <t>T46864</t>
  </si>
  <si>
    <t>오가닉K 오푼티아&amp;밤부 샴푸 1L 1개입 화이트머스크향</t>
  </si>
  <si>
    <t>/ 오푼티아&amp;밤부 샴푸 1L 1개입 화이트머스크향</t>
  </si>
  <si>
    <t>C253234092153</t>
  </si>
  <si>
    <t>A253233939302</t>
  </si>
  <si>
    <t>A253234608483</t>
  </si>
  <si>
    <t>A253238149691</t>
  </si>
  <si>
    <t>BA251120091117302</t>
  </si>
  <si>
    <t>BA251120101118181</t>
  </si>
  <si>
    <t>오푼티아&amp;밤부 트리트먼트 1L 2개입 베이비파우더향</t>
  </si>
  <si>
    <t>BA251120091117421</t>
  </si>
  <si>
    <t>BA251120101117746</t>
  </si>
  <si>
    <t>옴므 워터 그린티 로션 200ml 2개</t>
  </si>
  <si>
    <t>BA251120101118218</t>
  </si>
  <si>
    <t>BA251120091117246</t>
  </si>
  <si>
    <t>BA251120091117173</t>
  </si>
  <si>
    <t>BA251120101118323</t>
  </si>
  <si>
    <t>BA251120091117136</t>
  </si>
  <si>
    <t>BA251120101117885</t>
  </si>
  <si>
    <t>BA251120101118363</t>
  </si>
  <si>
    <t>BA251120091117557</t>
  </si>
  <si>
    <t>BA251120111118656</t>
  </si>
  <si>
    <t>BA251120121119305</t>
  </si>
  <si>
    <t>BA251120121119549</t>
  </si>
  <si>
    <t>BA251120121119427</t>
  </si>
  <si>
    <t>BA251120111118778</t>
  </si>
  <si>
    <t>BA251120121119328</t>
  </si>
  <si>
    <t>BA251120111118438</t>
  </si>
  <si>
    <t>BA251120121119297</t>
  </si>
  <si>
    <t>BA251120111118831</t>
  </si>
  <si>
    <t>BA251120131120018</t>
  </si>
  <si>
    <t>BA251120141120635</t>
  </si>
  <si>
    <t>BA251120131119852</t>
  </si>
  <si>
    <t>BA251120131119845</t>
  </si>
  <si>
    <t>BA251120141120474</t>
  </si>
  <si>
    <t>BA251120131120011</t>
  </si>
  <si>
    <t>BA251120131120172</t>
  </si>
  <si>
    <t>BA251120131119737</t>
  </si>
  <si>
    <t>BA251120141120794</t>
  </si>
  <si>
    <t>BA251120131119862</t>
  </si>
  <si>
    <t>BA251120141120824</t>
  </si>
  <si>
    <t>BA251120141120537</t>
  </si>
  <si>
    <t>BA251120131120233</t>
  </si>
  <si>
    <t>BA251120141120362</t>
  </si>
  <si>
    <t>BA251120141120476</t>
  </si>
  <si>
    <t>BA251120131119730</t>
  </si>
  <si>
    <t>BA251120151121068</t>
  </si>
  <si>
    <t>BA251120151121175</t>
  </si>
  <si>
    <t>시그니쳐 순수 30m x 30롤</t>
  </si>
  <si>
    <t>BA251120151121331</t>
  </si>
  <si>
    <t>사이즈 - L</t>
  </si>
  <si>
    <t>BA251120161121832</t>
  </si>
  <si>
    <t>쌀계란 과자 10봉</t>
  </si>
  <si>
    <t>BA251120151120995</t>
  </si>
  <si>
    <t>BA251120151121342</t>
  </si>
  <si>
    <t>BA251120161121501</t>
  </si>
  <si>
    <t>BA251120151120967</t>
  </si>
  <si>
    <t>BA251120151120908</t>
  </si>
  <si>
    <t>BA251120161121622</t>
  </si>
  <si>
    <t>511352 햄야채볶음밥 6개+닭갈비볶음밥 6개</t>
  </si>
  <si>
    <t>BA251120161121695</t>
  </si>
  <si>
    <t>BA251120151121346</t>
  </si>
  <si>
    <t>BA251120151121031</t>
  </si>
  <si>
    <t>BA251120161121948</t>
  </si>
  <si>
    <t>BA251121001126039</t>
  </si>
  <si>
    <t>BA251120201123696</t>
  </si>
  <si>
    <t>BA251121001126076</t>
  </si>
  <si>
    <t>BA251121011126176</t>
  </si>
  <si>
    <t>BA251120231125464</t>
  </si>
  <si>
    <t>BA251121001125943</t>
  </si>
  <si>
    <t>BA251121061126656</t>
  </si>
  <si>
    <t>BA251121061126595</t>
  </si>
  <si>
    <t>BA251120191123068</t>
  </si>
  <si>
    <t>BA251120201123641</t>
  </si>
  <si>
    <t>BA251120181123006</t>
  </si>
  <si>
    <t>BA251120201123791</t>
  </si>
  <si>
    <t>BA251120221125252</t>
  </si>
  <si>
    <t>BA251121041126380</t>
  </si>
  <si>
    <t>BA251120231125700</t>
  </si>
  <si>
    <t>WP230101498236</t>
  </si>
  <si>
    <t>BA251120211124444</t>
  </si>
  <si>
    <t>[스피드랙] 가로 700 / 폭 500 / 높이 1800 / 선반 수량 5개</t>
  </si>
  <si>
    <t>BA251120191123433</t>
  </si>
  <si>
    <t>BA251120171122356</t>
  </si>
  <si>
    <t>BA251120171122254</t>
  </si>
  <si>
    <t>BA251120171122352</t>
  </si>
  <si>
    <t>BA251120171122617</t>
  </si>
  <si>
    <t>BA251120201123659</t>
  </si>
  <si>
    <t>BA251120181122712</t>
  </si>
  <si>
    <t>BA251121001126094</t>
  </si>
  <si>
    <t>BA251120221125034</t>
  </si>
  <si>
    <t>BA251120221124829</t>
  </si>
  <si>
    <t>BA251120171122440</t>
  </si>
  <si>
    <t>BA251120201123508</t>
  </si>
  <si>
    <t>BA251120201123766</t>
  </si>
  <si>
    <t>BA251120221125161</t>
  </si>
  <si>
    <t>BA251120231125384</t>
  </si>
  <si>
    <t>BA251120181122727</t>
  </si>
  <si>
    <t>GALAXY BUDS PRO 메모리폼팁 / 실리콘 이어팁 / 실리콘 이어팁 블랙 (SML 3set)</t>
  </si>
  <si>
    <t>BA251120191123375</t>
  </si>
  <si>
    <t>BA251120211124184</t>
  </si>
  <si>
    <t>BA251120181123060</t>
  </si>
  <si>
    <t>BA251120201123967</t>
  </si>
  <si>
    <t>BA251120171122116</t>
  </si>
  <si>
    <t>BA251120171122368</t>
  </si>
  <si>
    <t>BA251120221125167</t>
  </si>
  <si>
    <t>WP240601977589</t>
  </si>
  <si>
    <t>국산콩 청국장 타입별모음/ 낫또형, 끊여먹는 생청국장, 알타입 건청국장, 가루타입, 저온건조 가루스틱/ 식이유산균 다이어트식품 아침식사대용</t>
  </si>
  <si>
    <t>건 청국장 알 200g</t>
  </si>
  <si>
    <t>BA251120231125478</t>
  </si>
  <si>
    <t>BA251121001126000</t>
  </si>
  <si>
    <t>BA251120221125105</t>
  </si>
  <si>
    <t>BA251120221125128</t>
  </si>
  <si>
    <t>BA251120221124845</t>
  </si>
  <si>
    <t>BA251120201123653</t>
  </si>
  <si>
    <t>BA251120211124127</t>
  </si>
  <si>
    <t>BA251121011126185</t>
  </si>
  <si>
    <t>BA251120181122750</t>
  </si>
  <si>
    <t>BA251120191123210</t>
  </si>
  <si>
    <t>WP230101493206</t>
  </si>
  <si>
    <t>뿌리는 외음부청결제 프리미엄 칸디큐 플러스 에센스</t>
  </si>
  <si>
    <t>프리미엄 칸디큐 플러스 에센스</t>
  </si>
  <si>
    <t>BA251120211124650</t>
  </si>
  <si>
    <t>BA251120231125405</t>
  </si>
  <si>
    <t>BA251120231125514</t>
  </si>
  <si>
    <t>BA251120231125608</t>
  </si>
  <si>
    <t>BA251120201123539</t>
  </si>
  <si>
    <t>BA251120231125708</t>
  </si>
  <si>
    <t>랄랄라 당근 물티슈 100매 20개</t>
  </si>
  <si>
    <t>BA251121001125924</t>
  </si>
  <si>
    <t>BA251120221124992</t>
  </si>
  <si>
    <t>BA251120231125435</t>
  </si>
  <si>
    <t>BA251121011126200</t>
  </si>
  <si>
    <t>BA251121021126272</t>
  </si>
  <si>
    <t>WP240501970592</t>
  </si>
  <si>
    <t>BA251121021126303</t>
  </si>
  <si>
    <t>BA251120231125706</t>
  </si>
  <si>
    <t>BA251120181122887</t>
  </si>
  <si>
    <t>BA251121031126352</t>
  </si>
  <si>
    <t>BA251120201123739</t>
  </si>
  <si>
    <t>WP230101494347</t>
  </si>
  <si>
    <t>데일리 프레쉬 가든 마스크 시트 70매 선물세트</t>
  </si>
  <si>
    <t>BA251120191123411</t>
  </si>
  <si>
    <t>BA251121051126451</t>
  </si>
  <si>
    <t>BA251121081126976</t>
  </si>
  <si>
    <t>BA251121081126986</t>
  </si>
  <si>
    <t>BA251121081127153</t>
  </si>
  <si>
    <t>BA251121081127210</t>
  </si>
  <si>
    <t>WP230901723163</t>
  </si>
  <si>
    <t>반려동물 이발기 PC-A1901 + 4가지 빗살캡 저소음 저진동 강력한 무선 펫 애완</t>
  </si>
  <si>
    <t>강력한 애견이발기 PC-A1901</t>
  </si>
  <si>
    <t>BA251121081127050</t>
  </si>
  <si>
    <t>BA251121081127208</t>
  </si>
  <si>
    <t>BA251121071126759</t>
  </si>
  <si>
    <t>BA251121081127097</t>
  </si>
  <si>
    <t>AA251120101118165</t>
  </si>
  <si>
    <t>AA251120091117248</t>
  </si>
  <si>
    <t>SP230601642921</t>
  </si>
  <si>
    <t>AA251120091117186</t>
  </si>
  <si>
    <t>AA251120111118755</t>
  </si>
  <si>
    <t>AA251120111118943</t>
  </si>
  <si>
    <t>AA251120131119839</t>
  </si>
  <si>
    <t>AA251120141120465</t>
  </si>
  <si>
    <t>SP250102156343</t>
  </si>
  <si>
    <t>AA251120161121838</t>
  </si>
  <si>
    <t>AA251120201123903</t>
  </si>
  <si>
    <t>SP230601643514</t>
  </si>
  <si>
    <t>AA251120201123856</t>
  </si>
  <si>
    <t>SP240401916200</t>
  </si>
  <si>
    <t>AA251121011126228</t>
  </si>
  <si>
    <t>SP250902493639</t>
  </si>
  <si>
    <t>아메리카노 블랙커피 헤이즐넛향 1L 12개입</t>
  </si>
  <si>
    <t>AA251120191123420</t>
  </si>
  <si>
    <t>SP240501961418</t>
  </si>
  <si>
    <t>[무항생제 1A등급 원유+산양유첨가] 플레인/무가당/딸기 요거트 모음</t>
  </si>
  <si>
    <t>플레인요거트 450ml 3개</t>
  </si>
  <si>
    <t>AA251121001126020</t>
  </si>
  <si>
    <t>SP250702395287</t>
  </si>
  <si>
    <t>건조기용 섬유유연제 시트 80매 x3입 베이비파우더향</t>
  </si>
  <si>
    <t>AA251120211124604</t>
  </si>
  <si>
    <t>트라이 국산 100%순면 100수 프리미엄 남성런닝셔츠 5매 세트 민소매 남자나시,100수 런닝 5매세트 RST08_105</t>
  </si>
  <si>
    <t>베트남 노니비누 1개</t>
  </si>
  <si>
    <t>제품선택:감귤 2kg 대과 L-2L 1 개 (+0 원)</t>
  </si>
  <si>
    <t>T39681</t>
  </si>
  <si>
    <t>순천엔매실 매실씨앗호떡 20개</t>
  </si>
  <si>
    <t>제품선택:매실씨앗호떡 20개 1 개 (+0 원)</t>
  </si>
  <si>
    <t>제품선택:두부곤약면 얇은면 20개 1 개 (+12,500 원)</t>
  </si>
  <si>
    <t>제품선택:서리태가루300g 2 개 (+0 원)</t>
  </si>
  <si>
    <t>T45832</t>
  </si>
  <si>
    <t>오유 헬프미 리얼 콜라겐 패드 70매 2개</t>
  </si>
  <si>
    <t>제품선택:헬프미 리얼 콜라겐 패드 70매 2개 1 개 (+18,500 원)</t>
  </si>
  <si>
    <t>제품선택:511144 치즈닭갈비구운주먹밥R 12개+김치치즈 구운주먹밥R 6개 1 개 (+900 원)</t>
  </si>
  <si>
    <t>T39165</t>
  </si>
  <si>
    <t>시노펙스 중형 라이트그레이 50매 ePTFEM50LG</t>
  </si>
  <si>
    <t>S0203</t>
  </si>
  <si>
    <t>꿀팁몰 김서방 바다다 명란김 선물세트 (60봉) 선물박스</t>
  </si>
  <si>
    <t>T8787</t>
  </si>
  <si>
    <t>백제(케이씨물류) 백제 쌀국수 김치맛 미니컵 58g 6입 x 5개</t>
  </si>
  <si>
    <t>T45965</t>
  </si>
  <si>
    <t>유원 화이트 미용티슈 180매 12곽</t>
  </si>
  <si>
    <t>화이트 미용티슈 180매 12곽</t>
  </si>
  <si>
    <t>☆특가☆CRS-WK0610FSPW 6인용밥솥</t>
  </si>
  <si>
    <t>옵션:KREX P11</t>
  </si>
  <si>
    <t>T39378</t>
  </si>
  <si>
    <t>행복에스앤피제지 굿매너 프리미엄 엠보 물티슈 100매 8팩</t>
  </si>
  <si>
    <t>옵션:굿매너 프리미엄 엠보 물티슈 100매 8팩</t>
  </si>
  <si>
    <t>2025112010114229586F</t>
  </si>
  <si>
    <t>2025112010040529413F</t>
  </si>
  <si>
    <t>T44810</t>
  </si>
  <si>
    <t>언더액티브 코지위생팬티 5종세트 XL</t>
  </si>
  <si>
    <t>코지위생팬티 5종세트 XL</t>
  </si>
  <si>
    <t>T38796</t>
  </si>
  <si>
    <t>오가닉K 삼림백서 베이비 앤 키즈 호호바&amp;시어버터 올인원 클렌저 (500ml x 1개)</t>
  </si>
  <si>
    <t>T39305</t>
  </si>
  <si>
    <t>오가닉K 베이비&amp;키즈 아기로션 500ml</t>
  </si>
  <si>
    <t>T46871</t>
  </si>
  <si>
    <t>쿠첸 CIR-B3IH341DSBI</t>
  </si>
  <si>
    <t>K1000023658</t>
  </si>
  <si>
    <t>S0192</t>
  </si>
  <si>
    <t>떡다움</t>
  </si>
  <si>
    <t>떡다움 랑떡 진1호 초코9개+치즈9개+녹차9개+생크림딸기7개</t>
  </si>
  <si>
    <t>랑떡 진1호 초코9개+치즈9개+녹차9개+생크림딸기7개</t>
  </si>
  <si>
    <t>[쿠첸] 듀얼 프레셔 전기 압력 밥솥 베스트 모음 (6인용 / 10인용) 상품: 1.CRS-FCWK0671K 6인용밥솥</t>
  </si>
  <si>
    <t>M2511M010599613072</t>
  </si>
  <si>
    <t>NW2025112000295264</t>
  </si>
  <si>
    <t>T46870</t>
  </si>
  <si>
    <t>늘푸른우리 흑대추방울토마토 2kg</t>
  </si>
  <si>
    <t>S0059</t>
  </si>
  <si>
    <t>진생바이팜 효소처리홍삼(90mlx30포)</t>
  </si>
  <si>
    <t>옵션 :[진생바이팜] [추석선물] 6년근 인삼 효소처리 홍삼 명절 선물세트 효소처리 홍삼(90mlx30포)</t>
  </si>
  <si>
    <t>C253251727515</t>
  </si>
  <si>
    <t>C253253091550</t>
  </si>
  <si>
    <t>T46256</t>
  </si>
  <si>
    <t>오가닉K 2 퍼퓸 바디워시 1L_화이트솝 x 1개</t>
  </si>
  <si>
    <t>/ 퍼퓸 바디워시 1L_화이트솝 x 1개</t>
  </si>
  <si>
    <t>C253243754479</t>
  </si>
  <si>
    <t>/ 올리브 도시락김 24봉</t>
  </si>
  <si>
    <t>C253243532684</t>
  </si>
  <si>
    <t>C253243614671</t>
  </si>
  <si>
    <t>T39786</t>
  </si>
  <si>
    <t>한울생약 리꼬 손소독티슈 50매x10팩</t>
  </si>
  <si>
    <t>/ 리꼬 손소독티슈 50매x10팩</t>
  </si>
  <si>
    <t>C253243668840</t>
  </si>
  <si>
    <t>T45669</t>
  </si>
  <si>
    <t>오가닉K 2 듀얼 고농축 세탁 캡슐세제 60개입 2세트</t>
  </si>
  <si>
    <t>/ 듀얼 고농축 세탁 캡슐세제 60개입 2세트</t>
  </si>
  <si>
    <t>C253247401665</t>
  </si>
  <si>
    <t>T45559</t>
  </si>
  <si>
    <t>한일전자 PC-B430</t>
  </si>
  <si>
    <t>C253246625815</t>
  </si>
  <si>
    <t>11/17~11/21 업체지급금액 차액분 계</t>
  </si>
  <si>
    <t>11/17~11/21</t>
  </si>
  <si>
    <t>BA251121091127779</t>
  </si>
  <si>
    <t>BA251121091127328</t>
  </si>
  <si>
    <t>BA251121091127606</t>
  </si>
  <si>
    <t>BA251121101128897</t>
  </si>
  <si>
    <t>BA251121101129104</t>
  </si>
  <si>
    <t>BA251121091127434</t>
  </si>
  <si>
    <t>BA251121101128443</t>
  </si>
  <si>
    <t>[스피드랙] 가로 800 / 폭 400 / 높이 1650 / 선반 수량 5개</t>
  </si>
  <si>
    <t>BA251121091127737</t>
  </si>
  <si>
    <t>BA251121101128148</t>
  </si>
  <si>
    <t>BA251121101128383</t>
  </si>
  <si>
    <t>BA251121111129417</t>
  </si>
  <si>
    <t>BA251121091127467</t>
  </si>
  <si>
    <t>WP240401944105</t>
  </si>
  <si>
    <t>신발 의류 가방 스웨이드소재 지우개+브러쉬 세트/ 얼룩 오염제거 운동화 구두</t>
  </si>
  <si>
    <t>BA251121101129289</t>
  </si>
  <si>
    <t>BA251121101128754</t>
  </si>
  <si>
    <t>BA251121091127580</t>
  </si>
  <si>
    <t>BA251121091127615</t>
  </si>
  <si>
    <t>BA251121121130450</t>
  </si>
  <si>
    <t>BA251121121130655</t>
  </si>
  <si>
    <t>BA251121111129506</t>
  </si>
  <si>
    <t>BA251121111129770</t>
  </si>
  <si>
    <t>BA251121111129853</t>
  </si>
  <si>
    <t>BA251121111129443</t>
  </si>
  <si>
    <t>BA251121121130748</t>
  </si>
  <si>
    <t>BA251121111129947</t>
  </si>
  <si>
    <t>BA251121111129470</t>
  </si>
  <si>
    <t>BA251121121130547</t>
  </si>
  <si>
    <t>WP251002506319</t>
  </si>
  <si>
    <t>인핏 효소 엔자임 파우더 클렌저 50g</t>
  </si>
  <si>
    <t>인핏 엔자임 파우더 클렌저 50g 모공 + 트러블</t>
  </si>
  <si>
    <t>BA251121111129748</t>
  </si>
  <si>
    <t>BA251121111129568</t>
  </si>
  <si>
    <t>BA251121121130628</t>
  </si>
  <si>
    <t>BA251121111130110</t>
  </si>
  <si>
    <t>BA251121131130939</t>
  </si>
  <si>
    <t>BA251121131131003</t>
  </si>
  <si>
    <t>BA251121141131612</t>
  </si>
  <si>
    <t>BA251121141131824</t>
  </si>
  <si>
    <t>BA251121131130973</t>
  </si>
  <si>
    <t>BA251121151131966</t>
  </si>
  <si>
    <t>BA251121141131682</t>
  </si>
  <si>
    <t>BA251121151132213</t>
  </si>
  <si>
    <t>퍼퓸 바디워시 1L_화이트솝 x 2개</t>
  </si>
  <si>
    <t>BA251121161132584</t>
  </si>
  <si>
    <t>BA251121151132211</t>
  </si>
  <si>
    <t>BA251121151132257</t>
  </si>
  <si>
    <t>BA251121151132264</t>
  </si>
  <si>
    <t>BA251121151132334</t>
  </si>
  <si>
    <t>행복을주는나무 미용티슈 180매 9개</t>
  </si>
  <si>
    <t>BA251121151132022</t>
  </si>
  <si>
    <t>BA251121151132422</t>
  </si>
  <si>
    <t>WP250302224032</t>
  </si>
  <si>
    <t>정지선 중화요리 골라담기 2종 세트(토마토탕면 비빔새우완탕면 홍소우육탕면 어향가지 해물차우면 흑초가지 동파육 )/ 중국 밀키트 캠핑 집들이음식</t>
  </si>
  <si>
    <t>정지선 홍소우육탕면x비빔새우완탕</t>
  </si>
  <si>
    <t>BA251121191134144</t>
  </si>
  <si>
    <t>511187 쉬림프알리오올리오파스타 4개+버섯크림파스타R 2개</t>
  </si>
  <si>
    <t>BA251121191134100</t>
  </si>
  <si>
    <t>BA251121171133351</t>
  </si>
  <si>
    <t>녹차 갈치속젓 230g</t>
  </si>
  <si>
    <t>녹차 어리굴젓 200g</t>
  </si>
  <si>
    <t>녹차 명란(특) 200g</t>
  </si>
  <si>
    <t>BA251121171133405</t>
  </si>
  <si>
    <t>BA251121171133445</t>
  </si>
  <si>
    <t>BA251121171133563</t>
  </si>
  <si>
    <t>BA251121171133584</t>
  </si>
  <si>
    <t>BA251121171133361</t>
  </si>
  <si>
    <t>BA251121171133562</t>
  </si>
  <si>
    <t>BA251121181133824</t>
  </si>
  <si>
    <t>BA251121181133858</t>
  </si>
  <si>
    <t>BA251121181133776</t>
  </si>
  <si>
    <t>BA251121191134112</t>
  </si>
  <si>
    <t>BA251121191134116</t>
  </si>
  <si>
    <t>BA251121181133915</t>
  </si>
  <si>
    <t>BA251121191134494</t>
  </si>
  <si>
    <t>BA251121201134603</t>
  </si>
  <si>
    <t>BA251121231136265</t>
  </si>
  <si>
    <t>WP230101487548</t>
  </si>
  <si>
    <t>새오름영농조합법인</t>
  </si>
  <si>
    <t>제주석창포 밧돌안돌 헤이즐넛 아몬드 초콜릿 선물세트</t>
  </si>
  <si>
    <t>밧돌안돌 초콜릿 선물세트</t>
  </si>
  <si>
    <t>BA251121211135182</t>
  </si>
  <si>
    <t>BA251121221136132</t>
  </si>
  <si>
    <t>BA251121211135283</t>
  </si>
  <si>
    <t>WP250302235320</t>
  </si>
  <si>
    <t>[10년전 가격] 무형광 펄프100% 점보롤2겹 화장지 휴지 300m 16롤</t>
  </si>
  <si>
    <t>데이그린점보롤 300m 16롤</t>
  </si>
  <si>
    <t>BA251122001136703</t>
  </si>
  <si>
    <t>BA251121231136619</t>
  </si>
  <si>
    <t>BA251121211135251</t>
  </si>
  <si>
    <t>BA251121211135429</t>
  </si>
  <si>
    <t>BA251122001136787</t>
  </si>
  <si>
    <t>BA251121191134343</t>
  </si>
  <si>
    <t>BA251121221135780</t>
  </si>
  <si>
    <t>BA251122041137241</t>
  </si>
  <si>
    <t>BA251121201135023</t>
  </si>
  <si>
    <t>BA251121211135720</t>
  </si>
  <si>
    <t>BA251121191134352</t>
  </si>
  <si>
    <t>BA251121231136620</t>
  </si>
  <si>
    <t>BA251121211135160</t>
  </si>
  <si>
    <t>BA251121221135835</t>
  </si>
  <si>
    <t>BA251121221136038</t>
  </si>
  <si>
    <t>BA251121221136148</t>
  </si>
  <si>
    <t>WP251102554900</t>
  </si>
  <si>
    <t>[연말홈파티] 상주 17brix 고당도 제철 샤인머스켓 2kg 2~3수 평균 약 700g / 청포도 산지직송</t>
  </si>
  <si>
    <t>상주 샤인머스켓 2kg 2~3수</t>
  </si>
  <si>
    <t>BA251121231136580</t>
  </si>
  <si>
    <t>BA251121221135735</t>
  </si>
  <si>
    <t>BA251121231136381</t>
  </si>
  <si>
    <t>WP240902039520</t>
  </si>
  <si>
    <t>녹차추출물 캡형 물티슈 일반저평량 100매 20팩</t>
  </si>
  <si>
    <t>굿매너 물티슈 일반저평량 100매 20팩</t>
  </si>
  <si>
    <t>BA251121231136549</t>
  </si>
  <si>
    <t>BA251121231136248</t>
  </si>
  <si>
    <t>BALANX 클렌징폼 여드름 100ml</t>
  </si>
  <si>
    <t>BA251121231136239</t>
  </si>
  <si>
    <t>BA251121221135882</t>
  </si>
  <si>
    <t>티플레이스 작두콩차 삼각티백</t>
  </si>
  <si>
    <t>BA251121211135513</t>
  </si>
  <si>
    <t>BA251121211135414</t>
  </si>
  <si>
    <t>약도라지청 600g</t>
  </si>
  <si>
    <t>BA251121231136317</t>
  </si>
  <si>
    <t>BA251121201135132</t>
  </si>
  <si>
    <t>BA251122041137243</t>
  </si>
  <si>
    <t>BA251122001136827</t>
  </si>
  <si>
    <t>BA251121201134982</t>
  </si>
  <si>
    <t>BA251121221136220</t>
  </si>
  <si>
    <t>511123 야채김밥 4개+참치마요김밥 2개</t>
  </si>
  <si>
    <t>BA251121221135770</t>
  </si>
  <si>
    <t>BA251121221135760</t>
  </si>
  <si>
    <t>BA251121221136046</t>
  </si>
  <si>
    <t>BICV 005</t>
  </si>
  <si>
    <t>BA251121211135493</t>
  </si>
  <si>
    <t>BA251122081137916</t>
  </si>
  <si>
    <t>BA251122081137952</t>
  </si>
  <si>
    <t>BA251122081137926</t>
  </si>
  <si>
    <t>BA251122071137439</t>
  </si>
  <si>
    <t>BA251122071137647</t>
  </si>
  <si>
    <t>BA251122081138003</t>
  </si>
  <si>
    <t>BA251122101138442</t>
  </si>
  <si>
    <t>BA251122101138848</t>
  </si>
  <si>
    <t>BA251122091138316</t>
  </si>
  <si>
    <t>BA251122091138392</t>
  </si>
  <si>
    <t>BA251122091138366</t>
  </si>
  <si>
    <t>BA251122101138618</t>
  </si>
  <si>
    <t>BA251122091138360</t>
  </si>
  <si>
    <t>BA251122091138306</t>
  </si>
  <si>
    <t>BA251122101138844</t>
  </si>
  <si>
    <t>BA251122091138394</t>
  </si>
  <si>
    <t>BA251122101138623</t>
  </si>
  <si>
    <t>BA251122101138454</t>
  </si>
  <si>
    <t>BA251122101138859</t>
  </si>
  <si>
    <t>[스피드랙] 가로 1200 / 폭 400 / 높이 1800 / 선반 수량 5개</t>
  </si>
  <si>
    <t>BA251122101138652</t>
  </si>
  <si>
    <t>BA251122121139859</t>
  </si>
  <si>
    <t>BA251122111139098</t>
  </si>
  <si>
    <t>퓨어&amp;소프트 18m x 30롤 2팩</t>
  </si>
  <si>
    <t>BA251122111139357</t>
  </si>
  <si>
    <t>BA251122111138972</t>
  </si>
  <si>
    <t>BA251122111139406</t>
  </si>
  <si>
    <t>BA251122111139220</t>
  </si>
  <si>
    <t>BA251122111138999</t>
  </si>
  <si>
    <t>BA251122121139933</t>
  </si>
  <si>
    <t>BA251122111139260</t>
  </si>
  <si>
    <t>BA251122111139273</t>
  </si>
  <si>
    <t>BA251122121139886</t>
  </si>
  <si>
    <t>BA251122131140018</t>
  </si>
  <si>
    <t>BA251122131140132</t>
  </si>
  <si>
    <t>BA251122141140550</t>
  </si>
  <si>
    <t>BA251122131140154</t>
  </si>
  <si>
    <t>BA251122131140143</t>
  </si>
  <si>
    <t>BA251122131140341</t>
  </si>
  <si>
    <t>BA251122131140353</t>
  </si>
  <si>
    <t>BA251122141140741</t>
  </si>
  <si>
    <t>BA251122131140013</t>
  </si>
  <si>
    <t>WP241102102563</t>
  </si>
  <si>
    <t>[1+1] 베이킹소다 구연산 대용량 다목적 세정제 750ml/ 주방 욕실 베란다 다용도</t>
  </si>
  <si>
    <t>베이킹소다 대용량 다목적 세정제 750ml x 2개</t>
  </si>
  <si>
    <t>BA251122151140884</t>
  </si>
  <si>
    <t>BA251122131140268</t>
  </si>
  <si>
    <t>BA251122131140323</t>
  </si>
  <si>
    <t>S / 베이지 KF94S50B</t>
  </si>
  <si>
    <t>BA251122131140001</t>
  </si>
  <si>
    <t>WP250902494450</t>
  </si>
  <si>
    <t>BA251122141140698</t>
  </si>
  <si>
    <t>SS / 화이트 KF94SS50W</t>
  </si>
  <si>
    <t>BA251122131140332</t>
  </si>
  <si>
    <t>BA251122141140505</t>
  </si>
  <si>
    <t>BA251122151140935</t>
  </si>
  <si>
    <t>국내산 새우추젓(특) 1kg</t>
  </si>
  <si>
    <t>BA251122161141472</t>
  </si>
  <si>
    <t>BA251122151141294</t>
  </si>
  <si>
    <t>BA251122161141453</t>
  </si>
  <si>
    <t>BA251122151141389</t>
  </si>
  <si>
    <t>BA251122161141683</t>
  </si>
  <si>
    <t>BA251122151141101</t>
  </si>
  <si>
    <t>BA251122161141558</t>
  </si>
  <si>
    <t>BA251122151141224</t>
  </si>
  <si>
    <t>BA251122151141357</t>
  </si>
  <si>
    <t>BA251122151141240</t>
  </si>
  <si>
    <t>BA251122161141464</t>
  </si>
  <si>
    <t>BA251122161141436</t>
  </si>
  <si>
    <t>BA251122161141447</t>
  </si>
  <si>
    <t>BA251122151141274</t>
  </si>
  <si>
    <t>BA251122171141884</t>
  </si>
  <si>
    <t>BA251122201143204</t>
  </si>
  <si>
    <t>BA251123001145579</t>
  </si>
  <si>
    <t>BA251122171141943</t>
  </si>
  <si>
    <t>배배망고 홍도라지 100ml x 10포</t>
  </si>
  <si>
    <t>BA251122211144337</t>
  </si>
  <si>
    <t>BA251122171142120</t>
  </si>
  <si>
    <t>BA251122221144733</t>
  </si>
  <si>
    <t>BA251122211144391</t>
  </si>
  <si>
    <t>BA251122221145014</t>
  </si>
  <si>
    <t>나리찬 진 갓김치 3kg (벌크)</t>
  </si>
  <si>
    <t>BA251122171141862</t>
  </si>
  <si>
    <t>BA251123001145563</t>
  </si>
  <si>
    <t>BA251122231145408</t>
  </si>
  <si>
    <t>BA251122221144887</t>
  </si>
  <si>
    <t>BA251123001145858</t>
  </si>
  <si>
    <t>BA251122211143992</t>
  </si>
  <si>
    <t>BA251122211144343</t>
  </si>
  <si>
    <t>BA251122221144783</t>
  </si>
  <si>
    <t>BA251123001145720</t>
  </si>
  <si>
    <t>BA251123031146108</t>
  </si>
  <si>
    <t>BA251123011145893</t>
  </si>
  <si>
    <t>BA251122171141881</t>
  </si>
  <si>
    <t>BA251122231145357</t>
  </si>
  <si>
    <t>BA251122221144923</t>
  </si>
  <si>
    <t>BA251122231145075</t>
  </si>
  <si>
    <t>BA251122211144158</t>
  </si>
  <si>
    <t>BA251122181142405</t>
  </si>
  <si>
    <t>BA251122191143074</t>
  </si>
  <si>
    <t>BA251122231145195</t>
  </si>
  <si>
    <t>BA251122221145032</t>
  </si>
  <si>
    <t>WP240101804275</t>
  </si>
  <si>
    <t>발효 약도라지 농축액 3호세트/ 어버이날 스승의날 부모님 선생님 선물셋트</t>
  </si>
  <si>
    <t>발효 약도라지 농축액 3호세트</t>
  </si>
  <si>
    <t>BA251122181142315</t>
  </si>
  <si>
    <t>BA251122191142779</t>
  </si>
  <si>
    <t>BA251122221144801</t>
  </si>
  <si>
    <t>BA251122171142044</t>
  </si>
  <si>
    <t>BA251122201143505</t>
  </si>
  <si>
    <t>BA251122181142243</t>
  </si>
  <si>
    <t>BA251122221144567</t>
  </si>
  <si>
    <t>BA251122201143298</t>
  </si>
  <si>
    <t>BA251122171142162</t>
  </si>
  <si>
    <t>(무항생제)한돈 생목살 2kg 구이용</t>
  </si>
  <si>
    <t>BA251122191142852</t>
  </si>
  <si>
    <t>BA251122221144970</t>
  </si>
  <si>
    <t>WP250402322137</t>
  </si>
  <si>
    <t>[무농약 친환경 채소] 유러피안 컷팅 혼합 샐러드 500g (카이피라,프릴아이스,미니로메인,버터헤드) 야채 진공포장</t>
  </si>
  <si>
    <t>프리미엄 유러피안 샐러드 원물 1kg</t>
  </si>
  <si>
    <t>BA251122221144823</t>
  </si>
  <si>
    <t>BA251122221144901</t>
  </si>
  <si>
    <t>BA251122211144218</t>
  </si>
  <si>
    <t>BA251122211143896</t>
  </si>
  <si>
    <t>BA251122221144535</t>
  </si>
  <si>
    <t>Coco Mademoiselle(코코 마드모아젤향) 100g 4입 2+1세트</t>
  </si>
  <si>
    <t>BA251122201143325</t>
  </si>
  <si>
    <t>BA251122201143402</t>
  </si>
  <si>
    <t>BA251123001145740</t>
  </si>
  <si>
    <t>BA251122171141876</t>
  </si>
  <si>
    <t>BA251122211143935</t>
  </si>
  <si>
    <t>BA251122201143588</t>
  </si>
  <si>
    <t>BA251122201143201</t>
  </si>
  <si>
    <t>BA251122211144463</t>
  </si>
  <si>
    <t>BA251122171142049</t>
  </si>
  <si>
    <t>BA251122211144162</t>
  </si>
  <si>
    <t>BA251122191142856</t>
  </si>
  <si>
    <t>데일리 이중 미세모 칫솔 20개입 2세트</t>
  </si>
  <si>
    <t>BA251122211144273</t>
  </si>
  <si>
    <t>BA251122221144589</t>
  </si>
  <si>
    <t>올데이 필로우미스트 200ml 2개</t>
  </si>
  <si>
    <t>BA251122211144314</t>
  </si>
  <si>
    <t>BA251122201143376</t>
  </si>
  <si>
    <t>BA251122211143942</t>
  </si>
  <si>
    <t>BA251122201143228</t>
  </si>
  <si>
    <t>BA251123081146783</t>
  </si>
  <si>
    <t>WP251002530671</t>
  </si>
  <si>
    <t>이누스</t>
  </si>
  <si>
    <t>스마트터치 IPX5방수 수압펌프내장 터치패널 비데 / 스테인리스 노즐 온열 온풍 어린이기능</t>
  </si>
  <si>
    <t>IST-N62 기사설치</t>
  </si>
  <si>
    <t>BA251123081146782</t>
  </si>
  <si>
    <t>BA251123081146566</t>
  </si>
  <si>
    <t>BA251123071146456</t>
  </si>
  <si>
    <t>BA251123081146725</t>
  </si>
  <si>
    <t>BA251123081146656</t>
  </si>
  <si>
    <t>BA251123071146506</t>
  </si>
  <si>
    <t>BA251123081146589</t>
  </si>
  <si>
    <t>BA251123081146639</t>
  </si>
  <si>
    <t>BA251123081146572</t>
  </si>
  <si>
    <t>BA251123091147149</t>
  </si>
  <si>
    <t>BA251123091146962</t>
  </si>
  <si>
    <t>BA251123101147752</t>
  </si>
  <si>
    <t>BA251123091146921</t>
  </si>
  <si>
    <t>WP250702402890</t>
  </si>
  <si>
    <t>[알러지케어 먼지 진드기 방지] 순면 워싱 60수 에어로젤 사계절 이불 단품 및 세트 (싱글 퀸사이즈)</t>
  </si>
  <si>
    <t>순면60수 에어로젤 사계절 이불 단품 퀸 화이트</t>
  </si>
  <si>
    <t>BA251123101147351</t>
  </si>
  <si>
    <t>BA251123101147384</t>
  </si>
  <si>
    <t>BA251123101147718</t>
  </si>
  <si>
    <t>PGO-11</t>
  </si>
  <si>
    <t>BA251123101147321</t>
  </si>
  <si>
    <t>BA251123101147725</t>
  </si>
  <si>
    <t>BA251123101147632</t>
  </si>
  <si>
    <t>BA251123101147727</t>
  </si>
  <si>
    <t>BA251123101147460</t>
  </si>
  <si>
    <t>BA251123101147478</t>
  </si>
  <si>
    <t>BA251123101147713</t>
  </si>
  <si>
    <t>스틱김자반 [10g x 15개] (어린이/야채) 2개세트</t>
  </si>
  <si>
    <t>BA251123101147480</t>
  </si>
  <si>
    <t>BA251123101147770</t>
  </si>
  <si>
    <t>BA251123111147991</t>
  </si>
  <si>
    <t>BA251123121148887</t>
  </si>
  <si>
    <t>WP230501625085</t>
  </si>
  <si>
    <t>[프랑스 에센셜 오일] 연기 적은 블랙 인센스 4종 + 홀더 포함</t>
  </si>
  <si>
    <t>블랙 은방울꽃 + 미니 홀더 1개</t>
  </si>
  <si>
    <t>BA251123111147905</t>
  </si>
  <si>
    <t>BA251123111148193</t>
  </si>
  <si>
    <t>BA251123121148620</t>
  </si>
  <si>
    <t>BA251123121148535</t>
  </si>
  <si>
    <t>WP250402319909</t>
  </si>
  <si>
    <t>[속초명물] 카페모카칩 황금어포 꽃게 고추부각 각 3봉세트/ 아이간식 맥주 소주 술안주 튀각스낵과자</t>
  </si>
  <si>
    <t>꽃게부각 100g 3봉</t>
  </si>
  <si>
    <t>BA251123121148559</t>
  </si>
  <si>
    <t>WP230101491485</t>
  </si>
  <si>
    <t>속초 명물 수산물 부각 3종 (김 부각 80g + 황태 부각 100g + 꽃게 부각 100g)</t>
  </si>
  <si>
    <t>티각태각 수산물 부각 3종 (김 부각 80g + 황태 부각 100g + 꽃게 부각 100g)</t>
  </si>
  <si>
    <t>BA251123121148875</t>
  </si>
  <si>
    <t>BA251123111148134</t>
  </si>
  <si>
    <t>청귤청 2.2kg</t>
  </si>
  <si>
    <t>레몬차 2.2kg</t>
  </si>
  <si>
    <t>BA251123121148733</t>
  </si>
  <si>
    <t>BA251123121148652</t>
  </si>
  <si>
    <t>BA251123121148893</t>
  </si>
  <si>
    <t>BA251123121148426</t>
  </si>
  <si>
    <t>BA251123121148415</t>
  </si>
  <si>
    <t>묘 침향 + 미니 홀더 1개</t>
  </si>
  <si>
    <t>BA251123121148582</t>
  </si>
  <si>
    <t>쉼표365 클리어 섬유탈취제 500ml 2개 라벤더우디</t>
  </si>
  <si>
    <t>BA251123111148079</t>
  </si>
  <si>
    <t>BA251123121148800</t>
  </si>
  <si>
    <t>BA251123111148306</t>
  </si>
  <si>
    <t>BA251123121148815</t>
  </si>
  <si>
    <t>BA251123141149747</t>
  </si>
  <si>
    <t>BA251123131149222</t>
  </si>
  <si>
    <t>BA251123131149309</t>
  </si>
  <si>
    <t>BA251123141149771</t>
  </si>
  <si>
    <t>BA251123141149417</t>
  </si>
  <si>
    <t>BA251123141149814</t>
  </si>
  <si>
    <t>WP240201859812</t>
  </si>
  <si>
    <t>비스코스섬유 이염방지시트 3팩 총 60매</t>
  </si>
  <si>
    <t>이염방지시트 20매 X 3팩</t>
  </si>
  <si>
    <t>BA251123131149229</t>
  </si>
  <si>
    <t>BA251123131149267</t>
  </si>
  <si>
    <t>BA251123131149176</t>
  </si>
  <si>
    <t>BA251123131148916</t>
  </si>
  <si>
    <t>BA251123141149671</t>
  </si>
  <si>
    <t>BA251123131149360</t>
  </si>
  <si>
    <t>BA251123131149067</t>
  </si>
  <si>
    <t>BA251123131149313</t>
  </si>
  <si>
    <t>BA251123131149276</t>
  </si>
  <si>
    <t>BA251123161100565</t>
  </si>
  <si>
    <t>자연한알 한우 2병+휴대용 1병</t>
  </si>
  <si>
    <t>BA251123151100005</t>
  </si>
  <si>
    <t>BA251123161100677</t>
  </si>
  <si>
    <t>BA251123151149947</t>
  </si>
  <si>
    <t>BA251123161100618</t>
  </si>
  <si>
    <t>BA251123161100659</t>
  </si>
  <si>
    <t>산양유 밀크프로틴 바디워시 2L x 1개</t>
  </si>
  <si>
    <t>BA251123161100894</t>
  </si>
  <si>
    <t>WP240601978850</t>
  </si>
  <si>
    <t>씨티엔에스</t>
  </si>
  <si>
    <t>[삼성SDI 정품셀] 20Ah 고출력 뉴사각이 파워뱅크 12V단자 USB PD 항공단자/ 전동킥보드 노트북 보조배터리</t>
  </si>
  <si>
    <t>20Ah 뉴사각이 플러스(PD충전) 정사각형</t>
  </si>
  <si>
    <t>BA251123151100098</t>
  </si>
  <si>
    <t>BA251123231106392</t>
  </si>
  <si>
    <t>BA251123211104545</t>
  </si>
  <si>
    <t>BA251123181102201</t>
  </si>
  <si>
    <t>BA251124001106750</t>
  </si>
  <si>
    <t>BA251123211104631</t>
  </si>
  <si>
    <t>WP250602369267</t>
  </si>
  <si>
    <t>올리브 도시락김 24봉</t>
  </si>
  <si>
    <t>BA251123191102817</t>
  </si>
  <si>
    <t>WP250702426663</t>
  </si>
  <si>
    <t>[미백주름 2중기능성] 엘라스틴+히알루론산+피쉬콜라겐 마스크팩 30매 / 수분 탄력 영양관리</t>
  </si>
  <si>
    <t>콜라겐 30 데이즈 마스크 30매</t>
  </si>
  <si>
    <t>BA251123191102911</t>
  </si>
  <si>
    <t>무라벨 아메리카노 블랙커피 400ML 20개입</t>
  </si>
  <si>
    <t>BA251123231106245</t>
  </si>
  <si>
    <t>BA251123211104669</t>
  </si>
  <si>
    <t>Smart Tag BLE 화이트</t>
  </si>
  <si>
    <t>BA251123211104836</t>
  </si>
  <si>
    <t>BA251123181102159</t>
  </si>
  <si>
    <t>BA251123211104798</t>
  </si>
  <si>
    <t>BA251123221105048</t>
  </si>
  <si>
    <t>BA251123221105401</t>
  </si>
  <si>
    <t>BA251123221105751</t>
  </si>
  <si>
    <t>BA251124051107362</t>
  </si>
  <si>
    <t>BA251123221105805</t>
  </si>
  <si>
    <t>B24G 도수용프레임/프레임 투명(무광)</t>
  </si>
  <si>
    <t>BA251123181101976</t>
  </si>
  <si>
    <t>BA251123201103280</t>
  </si>
  <si>
    <t>워싱코튼 30수 베개커버(화이트) 50x70cm</t>
  </si>
  <si>
    <t>BA251123171101104</t>
  </si>
  <si>
    <t>BA251123181102215</t>
  </si>
  <si>
    <t>BA251123201103778</t>
  </si>
  <si>
    <t>BA251123191102433</t>
  </si>
  <si>
    <t>BA251124031107219</t>
  </si>
  <si>
    <t>BA251124051107378</t>
  </si>
  <si>
    <t>511293 새우볶음밥 6개+소불고기볶음밥 6개</t>
  </si>
  <si>
    <t>BA251124031107179</t>
  </si>
  <si>
    <t>BA251123211104613</t>
  </si>
  <si>
    <t>BA251123201103710</t>
  </si>
  <si>
    <t>BA251123231105911</t>
  </si>
  <si>
    <t>BA251123231106123</t>
  </si>
  <si>
    <t>BA251123211104187</t>
  </si>
  <si>
    <t>BA251123221105038</t>
  </si>
  <si>
    <t>BA251123201103143</t>
  </si>
  <si>
    <t>BA251123211104170</t>
  </si>
  <si>
    <t>BA251123211104415</t>
  </si>
  <si>
    <t>[스피드랙] 가로 800 / 폭 300 / 높이 1800 / 선반 수량 5개</t>
  </si>
  <si>
    <t>[스피드랙] 가로 600 / 폭 300 / 높이 1800 / 선반 수량 5개</t>
  </si>
  <si>
    <t>BA251123171101605</t>
  </si>
  <si>
    <t>BA251123191102723</t>
  </si>
  <si>
    <t>BA251123201103993</t>
  </si>
  <si>
    <t>BA251123211104978</t>
  </si>
  <si>
    <t>BA251123221105054</t>
  </si>
  <si>
    <t>BA251123201103640</t>
  </si>
  <si>
    <t>BA251123191102536</t>
  </si>
  <si>
    <t>BA251123231106376</t>
  </si>
  <si>
    <t>BA251123171101572</t>
  </si>
  <si>
    <t>BA251123201103371</t>
  </si>
  <si>
    <t>BA251123231106257</t>
  </si>
  <si>
    <t>BA251123191102374</t>
  </si>
  <si>
    <t>BA251123191102675</t>
  </si>
  <si>
    <t>데미지 리페어링 컬링 에센스 150ml x 1개</t>
  </si>
  <si>
    <t>BA251123171101374</t>
  </si>
  <si>
    <t>BA251123201103367</t>
  </si>
  <si>
    <t>BA251123171101153</t>
  </si>
  <si>
    <t>BA251123181101879</t>
  </si>
  <si>
    <t>BA251123211104681</t>
  </si>
  <si>
    <t>BA251123211104228</t>
  </si>
  <si>
    <t>BA251123211104247</t>
  </si>
  <si>
    <t>BA251123201103665</t>
  </si>
  <si>
    <t>BA251123211104052</t>
  </si>
  <si>
    <t>BA251123211104706</t>
  </si>
  <si>
    <t>BA251123231106089</t>
  </si>
  <si>
    <t>BA251123171101077</t>
  </si>
  <si>
    <t>BA251123181102176</t>
  </si>
  <si>
    <t>WP240701992644</t>
  </si>
  <si>
    <t>BA251124011106940</t>
  </si>
  <si>
    <t>BA251123201103352</t>
  </si>
  <si>
    <t>BA251123231106532</t>
  </si>
  <si>
    <t>BA251124051107309</t>
  </si>
  <si>
    <t>BA251123181101985</t>
  </si>
  <si>
    <t>BA251123191102616</t>
  </si>
  <si>
    <t>BA251123231105951</t>
  </si>
  <si>
    <t>BA251123211104724</t>
  </si>
  <si>
    <t>BA251123221105399</t>
  </si>
  <si>
    <t>BA251123191102829</t>
  </si>
  <si>
    <t>BA251123221105593</t>
  </si>
  <si>
    <t>BA251123191103008</t>
  </si>
  <si>
    <t>BA251123181101910</t>
  </si>
  <si>
    <t>BA251124041107281</t>
  </si>
  <si>
    <t>BA251123211104294</t>
  </si>
  <si>
    <t>BA251123211104835</t>
  </si>
  <si>
    <t>BA251123211104648</t>
  </si>
  <si>
    <t>BA251123221105277</t>
  </si>
  <si>
    <t>BA251123231105967</t>
  </si>
  <si>
    <t>BA251124081107896</t>
  </si>
  <si>
    <t>BA251124081107994</t>
  </si>
  <si>
    <t>BA251124081107846</t>
  </si>
  <si>
    <t>BA251124081107807</t>
  </si>
  <si>
    <t>BA251124081107835</t>
  </si>
  <si>
    <t>BA251124091108194</t>
  </si>
  <si>
    <t>BA251124071107731</t>
  </si>
  <si>
    <t>BA251124081108107</t>
  </si>
  <si>
    <t>BA251124071107737</t>
  </si>
  <si>
    <t>키즈용 화이트 50매 ePTFEXS50W</t>
  </si>
  <si>
    <t>AA251121121130405</t>
  </si>
  <si>
    <t>AA251121131130824</t>
  </si>
  <si>
    <t>AA251121141131687</t>
  </si>
  <si>
    <t>[스피드랙] 가로 900 / 폭 600 / 높이 1200 / 선반 수량 4개</t>
  </si>
  <si>
    <t>AA251121131131029</t>
  </si>
  <si>
    <t>AA251121181133817</t>
  </si>
  <si>
    <t>SP230701670149</t>
  </si>
  <si>
    <t>[감성 향수향] 인센스 판타스틱 4종 + 홀더 포함</t>
  </si>
  <si>
    <t>판타스틱 블루나이트+ 미니 홀더 1개</t>
  </si>
  <si>
    <t>AA251121211135369</t>
  </si>
  <si>
    <t>SP230801695347</t>
  </si>
  <si>
    <t>코지핑크</t>
  </si>
  <si>
    <t>AA251122001136857</t>
  </si>
  <si>
    <t>AA251122071137519</t>
  </si>
  <si>
    <t>SP240501954356</t>
  </si>
  <si>
    <t>[식물성원료] 딥퍼퓸 순한 섬유유연제 1L X 3개입 드럼일반 겸용/ 세탁 정전기방지</t>
  </si>
  <si>
    <t>딥퍼퓸 섬유유연제 1L 3개입 화이트머스크 향</t>
  </si>
  <si>
    <t>AA251122101138603</t>
  </si>
  <si>
    <t>AA251122111138984</t>
  </si>
  <si>
    <t>SP230501603309</t>
  </si>
  <si>
    <t>프리미엄 IPX5 강력방수 스마트한 터치식 트레비비데 ALB-5600</t>
  </si>
  <si>
    <t>AA251122131140068</t>
  </si>
  <si>
    <t>SP240902046112</t>
  </si>
  <si>
    <t>AA251122141140440</t>
  </si>
  <si>
    <t>AA251122161141626</t>
  </si>
  <si>
    <t>SP230701670735</t>
  </si>
  <si>
    <t>자몽아이스티 12입+복숭아아이스티 12입</t>
  </si>
  <si>
    <t>AA251122181142191</t>
  </si>
  <si>
    <t>SP230601654470</t>
  </si>
  <si>
    <t>AA251122231145228</t>
  </si>
  <si>
    <t>AA251122221144800</t>
  </si>
  <si>
    <t>AA251122181142262</t>
  </si>
  <si>
    <t>AA251122181142249</t>
  </si>
  <si>
    <t>SP240501962617</t>
  </si>
  <si>
    <t>AA251123041146197</t>
  </si>
  <si>
    <t>SP231101772235</t>
  </si>
  <si>
    <t>저칼로리 건면 쌀국수 멸치맛 15개+파곰탕면 15개</t>
  </si>
  <si>
    <t>백제쌀국수 멸치맛15개+파곰탕면15개</t>
  </si>
  <si>
    <t>AA251123091147195</t>
  </si>
  <si>
    <t>SP240101842933</t>
  </si>
  <si>
    <t>AA251123091146848</t>
  </si>
  <si>
    <t>AA251123131149071</t>
  </si>
  <si>
    <t>SP241102102699</t>
  </si>
  <si>
    <t>AA251123141149625</t>
  </si>
  <si>
    <t>SP231001748399</t>
  </si>
  <si>
    <t>AA251123161100458</t>
  </si>
  <si>
    <t>AA251123151100123</t>
  </si>
  <si>
    <t>AA251123151100322</t>
  </si>
  <si>
    <t>효은 성인용 겉기저귀 와이드 매직 대형 (80매)</t>
  </si>
  <si>
    <t>AA251123151100296</t>
  </si>
  <si>
    <t>AA251123151100140</t>
  </si>
  <si>
    <t>511214 감자탕볶음밥 6개+낙지볶음밥 6개</t>
  </si>
  <si>
    <t>AA251123151100261</t>
  </si>
  <si>
    <t>SP241002063351</t>
  </si>
  <si>
    <t>AA251123221105844</t>
  </si>
  <si>
    <t>SP230501603468</t>
  </si>
  <si>
    <t>AA251123171101170</t>
  </si>
  <si>
    <t>AA251124011106952</t>
  </si>
  <si>
    <t>AA251123171101698</t>
  </si>
  <si>
    <t>AA251124001106806</t>
  </si>
  <si>
    <t>AA251124001106752</t>
  </si>
  <si>
    <t>AA251123181102165</t>
  </si>
  <si>
    <t>AA251123191102443</t>
  </si>
  <si>
    <t>AA251123211104923</t>
  </si>
  <si>
    <t>AA251123181101792</t>
  </si>
  <si>
    <t>AA251123181102186</t>
  </si>
  <si>
    <t>프리미엄 청귤71 1호</t>
  </si>
  <si>
    <t>AA251123211104976</t>
  </si>
  <si>
    <t>SP240902039530</t>
  </si>
  <si>
    <t>[피부 저자극 EWG그린등급] 프리미엄 4겹 엠보 아이보리 캡형 물티슈 100매 8팩/ 45gsm 영유아 아기 사용 가능</t>
  </si>
  <si>
    <t>AA251123171101244</t>
  </si>
  <si>
    <t>AA251123231106522</t>
  </si>
  <si>
    <t>AA251123211104272</t>
  </si>
  <si>
    <t>제품선택:60수 런닝 5매세트 RST09_105/1개</t>
  </si>
  <si>
    <t>화이트+화이트 120</t>
  </si>
  <si>
    <t>T39023</t>
  </si>
  <si>
    <t>한우물 511211 미역국밥3개+육개국밥3개+차돌짬뽕국밥3개+차돌된장밥3개</t>
  </si>
  <si>
    <t>제품선택:511211 미역국밥3개+육개국밥3개+차돌짬뽕국밥3개+차돌된장밥3개 1 개 (+5,700 원)</t>
  </si>
  <si>
    <t>제품선택:HB-8123 1 개 (+0 원)</t>
  </si>
  <si>
    <t>T46872</t>
  </si>
  <si>
    <t>코리아식품 청춘불판 무뼈 양념 닭발 300g 2팩</t>
  </si>
  <si>
    <t>제품선택:청춘불판 무뼈 양념 닭발 300g 2팩 1 개 (+0 원)</t>
  </si>
  <si>
    <t>T45821</t>
  </si>
  <si>
    <t>오유 헬프미 포어티 패드 60매</t>
  </si>
  <si>
    <t>제품선택:헬프미 포어티 패드 60매 1 개 (+0 원)</t>
  </si>
  <si>
    <t>T39298</t>
  </si>
  <si>
    <t>일농 늙은호박 4~6kg</t>
  </si>
  <si>
    <t>제품선택:늙은호박 4~5kg 1 개 (+0 원)</t>
  </si>
  <si>
    <t>제품선택:에너지젤 45g 7포 (1박스) 3 개 (+0 원)</t>
  </si>
  <si>
    <t>T46876</t>
  </si>
  <si>
    <t>일농 샤인머스켓 4kg</t>
  </si>
  <si>
    <t>제품선택:샤인머스켓 4kg 1 개 (+0 원)</t>
  </si>
  <si>
    <t>T46877</t>
  </si>
  <si>
    <t>그라스메디 자유펫 레드캣볼</t>
  </si>
  <si>
    <t>제품선택:자유펫 레드캣볼 1 개 (+0 원)</t>
  </si>
  <si>
    <t>T45542</t>
  </si>
  <si>
    <t>라라스팜 쌈두부 9개</t>
  </si>
  <si>
    <t>제품선택:쌈두부 9개 1 개 (+0 원)</t>
  </si>
  <si>
    <t>발송일:치큐 닭가슴살 오리지널 x 10팩/5개</t>
  </si>
  <si>
    <t>T45213</t>
  </si>
  <si>
    <t>웰빙가든 멸치10개+해물10개+사골10개</t>
  </si>
  <si>
    <t>T45564</t>
  </si>
  <si>
    <t>장가 영양떡 1.5kg</t>
  </si>
  <si>
    <t>영양떡 1.5kg</t>
  </si>
  <si>
    <t>T39521</t>
  </si>
  <si>
    <t>행복에스앤피제지 굿매너 천연 대나무 화장지 30m x 30롤 2팩</t>
  </si>
  <si>
    <t>T44785</t>
  </si>
  <si>
    <t>친한F&amp;B 오리지널 통닭가슴살 10팩</t>
  </si>
  <si>
    <t>순매실청세트 (900ml x 2입)</t>
  </si>
  <si>
    <t>착한떡 소담세트</t>
  </si>
  <si>
    <t>T0109</t>
  </si>
  <si>
    <t>한국맥널티 ZERO 복숭아 아이스티 제로 액상스틱 (13ml x 30개입)</t>
  </si>
  <si>
    <t>선택:복숭아 아이스티 제로 13ml x 30개입</t>
  </si>
  <si>
    <t>T8161</t>
  </si>
  <si>
    <t>일농 농부야부탁해 자연가득담은 별빛사과즙 (100ml x 30포)</t>
  </si>
  <si>
    <t>옵션:별빛사과즙 30포</t>
  </si>
  <si>
    <t>T46669</t>
  </si>
  <si>
    <t>무궁화전자2</t>
  </si>
  <si>
    <t>무궁화전자2 슬림핏 무선청소기 MS-J220WH</t>
  </si>
  <si>
    <t>옵션:슬림핏 무선청소기 MS-J220WH</t>
  </si>
  <si>
    <t>2025112318370114518F</t>
  </si>
  <si>
    <t>2025112309431094116F</t>
  </si>
  <si>
    <t>2025112219532986827F</t>
  </si>
  <si>
    <t>2025112208550175303F</t>
  </si>
  <si>
    <t>P0147</t>
  </si>
  <si>
    <t>오가닉K [특가] 살림백서 딥클린 뿌리는 곰팡이제거제 800ml 2개 [25년 4월]</t>
  </si>
  <si>
    <t>살림백서 딥클린 뿌리는 곰팡이제거제 800ml 2개</t>
  </si>
  <si>
    <t>2025112118011365967F</t>
  </si>
  <si>
    <t>T45302</t>
  </si>
  <si>
    <t>꿀팁몰 오징어순대 400g (단품)</t>
  </si>
  <si>
    <t>오징어순대 400g (단품)</t>
  </si>
  <si>
    <t>두부곤약면 넓은면 20개</t>
  </si>
  <si>
    <t>S0052</t>
  </si>
  <si>
    <t>새비 룸앤패브릭 머스크 프리지아 2개 선물세트</t>
  </si>
  <si>
    <t>K1000023865</t>
  </si>
  <si>
    <t>T45461</t>
  </si>
  <si>
    <t>오가닉K 2 퍼퓸 드 섬유향수 룸스프레이 250ml 1개 (소프트코튼향)</t>
  </si>
  <si>
    <t>K1000023806</t>
  </si>
  <si>
    <t>1+1 세라 히알루론산 수분크림</t>
  </si>
  <si>
    <t>K1000023782</t>
  </si>
  <si>
    <t>보일러 덕앤 구스이불 블루 Q</t>
  </si>
  <si>
    <t>보일러 덕앤 구스이불 블루 S</t>
  </si>
  <si>
    <t>T0141</t>
  </si>
  <si>
    <t>크리오디엔에스 내추럴 마일드 향수비누 코코 마드모아젤향 100g 4개입 1세트</t>
  </si>
  <si>
    <t>[네츄럴마일드] 모이스처 에센셜 고급 향수 비누 100g 4입 향: 3. 코코마드모아젤향 | 세트: 100g 4입 1세트</t>
  </si>
  <si>
    <t>[한우물] 구운주먹밥 (100g) 4종 세트 모음 선택1: 치즈닭갈비구운주먹밥R5개+참치마요구운주먹밥R5개+소불고기구운주먹밥R5개+김치치즈구운주먹밥R5개</t>
  </si>
  <si>
    <t>T45401</t>
  </si>
  <si>
    <t>한울농업 슬라이스 꿀고구마120g 10개</t>
  </si>
  <si>
    <t>상품:슬라이스 꿀고구마120g 10개</t>
  </si>
  <si>
    <t>옵션:빛깔찬 고춧가루 (지퍼백용)1kg 보통맛 김치용</t>
  </si>
  <si>
    <t>상품:치큐 닭가슴살 훈제 x 10팩</t>
  </si>
  <si>
    <t>T39142</t>
  </si>
  <si>
    <t>한국맥널티 홀빈 마일드 미디움 블렌드 1kg</t>
  </si>
  <si>
    <t>상품:(홀빈) 마일드 미디움 블렌드 1kg</t>
  </si>
  <si>
    <t>T39143</t>
  </si>
  <si>
    <t>한국맥널티 홀빈 시그니처 블렌드 1kg</t>
  </si>
  <si>
    <t>상품:(홀빈) 시그니처 블렌드 1kg</t>
  </si>
  <si>
    <t>T0115</t>
  </si>
  <si>
    <t>한국맥널티 ZERO 자몽+청포도 아이스티 제로 500ml 24개입</t>
  </si>
  <si>
    <t>상품:자몽아이스티 12입+청포도아이스티 12입</t>
  </si>
  <si>
    <t>상품:병커피 아이리쉬크림향 50g 3개</t>
  </si>
  <si>
    <t>T39136</t>
  </si>
  <si>
    <t>한국맥널티 홀빈 콜롬비아 안데스 오리진 200g</t>
  </si>
  <si>
    <t>상품:(홀빈) 콜롬비아 안데스 오리진 200g</t>
  </si>
  <si>
    <t>상품:(홀빈) 브라질 산토스 내추럴 1kg</t>
  </si>
  <si>
    <t>T39374</t>
  </si>
  <si>
    <t>별식품 재래도시락김 32봉 x 1박스</t>
  </si>
  <si>
    <t>옵션:재래도시락김 32봉 x 1박스</t>
  </si>
  <si>
    <t>상품:아이브루 플러스 헤이즐넛 블랙커피 100개입(펭수 피규어 증정)</t>
  </si>
  <si>
    <t>J10317638600241124113147984</t>
  </si>
  <si>
    <t>S0277</t>
  </si>
  <si>
    <t>에스지커뮤니케이션 (DH글로벌) 상주곶감 반건시 에디션 A클래스 A2 [60G~70G 12입 840G내외]</t>
  </si>
  <si>
    <t>제품옵션/상주곶감 반건시 에디션 A클래스 A2 [60G~70G 12입 840G내외]</t>
  </si>
  <si>
    <t>J10317638327651691013025385</t>
  </si>
  <si>
    <t>복숭아 아이스티 제로 13ml x 30개입</t>
  </si>
  <si>
    <t>J10217637877161672213070794</t>
  </si>
  <si>
    <t>T38942</t>
  </si>
  <si>
    <t>참식품 오이소박이 2kg</t>
  </si>
  <si>
    <t>J10217637332361199013149206</t>
  </si>
  <si>
    <t>J10217636785631988413070794</t>
  </si>
  <si>
    <t>O25112349430</t>
  </si>
  <si>
    <t>T44956</t>
  </si>
  <si>
    <t>오가닉K 뽑아쓰는 키친타월 3겹 100매 9개입</t>
  </si>
  <si>
    <t>O25112349639</t>
  </si>
  <si>
    <t>T38528</t>
  </si>
  <si>
    <t>한우물 511214 감자탕 볶음밥 (300g x 6개) + 낙지 볶음밥 (300g x 6개)</t>
  </si>
  <si>
    <t>T8744</t>
  </si>
  <si>
    <t>백제(케이씨물류) 백제 멀티팩 18종 세트 [백제 멸치맛 쌀국수 (92g x 6개) + 백제 김치맛 쌀국수 (92g x 6개) + 백제 얼큰한맛 쌀국수 (90g x 6개)</t>
  </si>
  <si>
    <t>백제쌀국수 멸치맛6개+김치맛6개+얼큰한맛6개-멀티팩</t>
  </si>
  <si>
    <t>T39391</t>
  </si>
  <si>
    <t>트루나스 자연종합A (쇼핑백증정)</t>
  </si>
  <si>
    <t>자연종합A</t>
  </si>
  <si>
    <t>T38559</t>
  </si>
  <si>
    <t>한우물 511245 낙지 볶음밥 (300g x 6개) + 새우 볶음밥 (300g x 6개)</t>
  </si>
  <si>
    <t>T9129</t>
  </si>
  <si>
    <t>트루나스 TROO 과일칩 12봉 세트 (6종 x 각 2봉) 딸기 16g (2봉) + 바나나 28g (2봉) + 사과 20g (3봉) + 파인애플 25g (2봉) + 블루베리 15g (2봉) + 망고 20g (2봉)</t>
  </si>
  <si>
    <t>생 과일칩 TROO 12봉 세트</t>
  </si>
  <si>
    <t>T8781</t>
  </si>
  <si>
    <t>A2511M010599622092</t>
  </si>
  <si>
    <t>T39435</t>
  </si>
  <si>
    <t>오복농산</t>
  </si>
  <si>
    <t>오복농산 참기름250ml</t>
  </si>
  <si>
    <t>옵션 : 참기름250ml (+17410)</t>
  </si>
  <si>
    <t>M2511M010599621862</t>
  </si>
  <si>
    <t>T45300</t>
  </si>
  <si>
    <t>평창꽃순이 고랭지 황태 김치 5kg</t>
  </si>
  <si>
    <t>옵션 : 국내산 고랭지 황태 김치 5kg (+13000)</t>
  </si>
  <si>
    <t>M2511M010599621853</t>
  </si>
  <si>
    <t>T9112</t>
  </si>
  <si>
    <t>행복에스앤피제지 더 화이트 3겹 (27M 36롤) 1팩</t>
  </si>
  <si>
    <t>옵션 : 더 화이트 27m x 36롤 1팩</t>
  </si>
  <si>
    <t>A2511M010599618911</t>
  </si>
  <si>
    <t>옵션 : 국내산 새우추젓(특) 500g</t>
  </si>
  <si>
    <t>M2511M010599614982</t>
  </si>
  <si>
    <t>T0150</t>
  </si>
  <si>
    <t>한일전자 파테크 BLDC 모터 드라이어 플래티넘 PD-V1700DS 다크실버</t>
  </si>
  <si>
    <t>옵션 : PD-V1700DS 다크실버</t>
  </si>
  <si>
    <t>A2511G010599611281</t>
  </si>
  <si>
    <t>T46883</t>
  </si>
  <si>
    <t>비케이바이오 감귤 담은 한라봉주스 10입</t>
  </si>
  <si>
    <t>옵션 : 감귤 담은 한라봉주스 10입</t>
  </si>
  <si>
    <t>T45328</t>
  </si>
  <si>
    <t>꿀팁몰 나폴리마르게리따 10인치</t>
  </si>
  <si>
    <t>나폴리마르게리따 10인치</t>
  </si>
  <si>
    <t>T45000</t>
  </si>
  <si>
    <t>오가닉K 포밍 젖병 아기 주방세제 500ml 2개입</t>
  </si>
  <si>
    <t>옵션 :[살림백서] 1+1 베이비&amp;키즈 아기 포밍 젖병세정제 거품형 500ml/ 주방세제 유아식기 500ml</t>
  </si>
  <si>
    <t>C253277010100</t>
  </si>
  <si>
    <t>C253276559369</t>
  </si>
  <si>
    <t>C253276211544</t>
  </si>
  <si>
    <t>C253276370758</t>
  </si>
  <si>
    <t>C253276392310</t>
  </si>
  <si>
    <t>A253263353356</t>
  </si>
  <si>
    <t>T45179</t>
  </si>
  <si>
    <t>에코맘의산골이유식 산골 쌀참 3종 x 5봉</t>
  </si>
  <si>
    <t>C253274778392</t>
  </si>
  <si>
    <t>/ CRS-WK0610FSPW 6인용 밥솥</t>
  </si>
  <si>
    <t>C253262425734</t>
  </si>
  <si>
    <t>A253257928976</t>
  </si>
  <si>
    <t>/ 오푼티아&amp;밤부 샴푸 500ml 2개입 일랑일랑향</t>
  </si>
  <si>
    <t>C253258099270</t>
  </si>
  <si>
    <t>C253258121242</t>
  </si>
  <si>
    <t>/ CRS-WK1010FSPW 10인용 밥솥</t>
  </si>
  <si>
    <t>C253282956117</t>
  </si>
  <si>
    <t>C253282069855</t>
  </si>
  <si>
    <t>T45442</t>
  </si>
  <si>
    <t>오가닉K 2 베이킹소다 세탁세제 2.5L X 4개</t>
  </si>
  <si>
    <t>/ 베이킹소다 세탁세제 2.5L X 4개</t>
  </si>
  <si>
    <t>C253268327722</t>
  </si>
  <si>
    <t>C253267124455</t>
  </si>
  <si>
    <t>T7913</t>
  </si>
  <si>
    <t>행복에스앤피제지 행복을 주는 나무 순백 (3겹 30m 30롤 x 1팩)</t>
  </si>
  <si>
    <t>/ 행복을 주는 나무 순백 30m x 30롤 (높이107mm) 1팩</t>
  </si>
  <si>
    <t>C253267474576</t>
  </si>
  <si>
    <t>C253275387563</t>
  </si>
  <si>
    <t>C253275891292</t>
  </si>
  <si>
    <t>C253256626978</t>
  </si>
  <si>
    <t>T39493</t>
  </si>
  <si>
    <t>모닛 ally_bag_summer 올리브베이지(기본세트+보냉백)</t>
  </si>
  <si>
    <t>/ ally_bag_summer 올리브베이지(기본세트+보냉백)</t>
  </si>
  <si>
    <t>F253264452609</t>
  </si>
  <si>
    <t>C253267931535</t>
  </si>
  <si>
    <t>BA251124091108422</t>
  </si>
  <si>
    <t>BA251124101109008</t>
  </si>
  <si>
    <t>BA251124101109114</t>
  </si>
  <si>
    <t>BA251124091108202</t>
  </si>
  <si>
    <t>WP230301530454</t>
  </si>
  <si>
    <t>스트레스 솔루션</t>
  </si>
  <si>
    <t>사계절 극세사 퀸사이즈 감성 마약 애착 이불 + 힐링비트1년</t>
  </si>
  <si>
    <t>싱글세트(화이트 + 힐링비트1년)</t>
  </si>
  <si>
    <t>BA251124091108264</t>
  </si>
  <si>
    <t>BA251124101109152</t>
  </si>
  <si>
    <t>BA251124091108328</t>
  </si>
  <si>
    <t>BA251124101108962</t>
  </si>
  <si>
    <t>WP240401944413</t>
  </si>
  <si>
    <t>[1+1]99%살균탈취 뿌리는 신발탈취제 200ml/ 운동화 냄새제거</t>
  </si>
  <si>
    <t>BA251124101109091</t>
  </si>
  <si>
    <t>BA251124101109475</t>
  </si>
  <si>
    <t>BA251124101109226</t>
  </si>
  <si>
    <t>BA251124101109082</t>
  </si>
  <si>
    <t>BA251124101109365</t>
  </si>
  <si>
    <t>BA251124091108480</t>
  </si>
  <si>
    <t>BA251124101108775</t>
  </si>
  <si>
    <t>WP230601629144</t>
  </si>
  <si>
    <t>삼산광천수 물죽염 300ml / 1L 9회죽염분말</t>
  </si>
  <si>
    <t>물죽염실버 1L</t>
  </si>
  <si>
    <t>BA251124101109461</t>
  </si>
  <si>
    <t>BA251124091108430</t>
  </si>
  <si>
    <t>BA251124111109612</t>
  </si>
  <si>
    <t>BA251124121110406</t>
  </si>
  <si>
    <t>BA251124111110304</t>
  </si>
  <si>
    <t>BA251124111110064</t>
  </si>
  <si>
    <t>BA251124111110296</t>
  </si>
  <si>
    <t>BA251124111109932</t>
  </si>
  <si>
    <t>BA251124121110370</t>
  </si>
  <si>
    <t>BA251124121110844</t>
  </si>
  <si>
    <t>BA251124121110644</t>
  </si>
  <si>
    <t>BA251124111110094</t>
  </si>
  <si>
    <t>BA251124121111009</t>
  </si>
  <si>
    <t>[스피드랙] 가로 1000 / 폭 400 / 높이 1650 / 선반 수량 3개</t>
  </si>
  <si>
    <t>BA251124121110428</t>
  </si>
  <si>
    <t>BA251124111110166</t>
  </si>
  <si>
    <t>BA251124141111911</t>
  </si>
  <si>
    <t>BA251124131111363</t>
  </si>
  <si>
    <t>핸드워시 500ml 2개 그린포레스트+리필8개</t>
  </si>
  <si>
    <t>BA251124141111820</t>
  </si>
  <si>
    <t>BA251124151112334</t>
  </si>
  <si>
    <t>B24G 도수용프레임/프레임 투명그레이(무광)</t>
  </si>
  <si>
    <t>BA251124141112280</t>
  </si>
  <si>
    <t>BA251124131111468</t>
  </si>
  <si>
    <t>녹차 백명란(특) 200g</t>
  </si>
  <si>
    <t>BA251124141111814</t>
  </si>
  <si>
    <t>BA251124141112294</t>
  </si>
  <si>
    <t>BA251124131111458</t>
  </si>
  <si>
    <t>BA251124141112155</t>
  </si>
  <si>
    <t>BA251124131111176</t>
  </si>
  <si>
    <t>BA251124141112284</t>
  </si>
  <si>
    <t>BA251124141112042</t>
  </si>
  <si>
    <t>WP250702401919</t>
  </si>
  <si>
    <t>공이일육</t>
  </si>
  <si>
    <t>트랜스지방제로 쌀56%함유 바삭 담백 바나나맛 쌀 과자 210g 4봉지</t>
  </si>
  <si>
    <t>바나나맛 쌀과자 210g 2봉지</t>
  </si>
  <si>
    <t>BA251124141112033</t>
  </si>
  <si>
    <t>BA251124141112268</t>
  </si>
  <si>
    <t>BA251124131111649</t>
  </si>
  <si>
    <t>BA251124151112342</t>
  </si>
  <si>
    <t>BA251124141111838</t>
  </si>
  <si>
    <t>BA251124151112652</t>
  </si>
  <si>
    <t>BA251124151112909</t>
  </si>
  <si>
    <t>BA251124151112659</t>
  </si>
  <si>
    <t>BA251124151112431</t>
  </si>
  <si>
    <t>BA251124161113443</t>
  </si>
  <si>
    <t>BA251124151112658</t>
  </si>
  <si>
    <t>BA251124161112947</t>
  </si>
  <si>
    <t>BA251124151112783</t>
  </si>
  <si>
    <t>BA251124151112438</t>
  </si>
  <si>
    <t>BA251124151112511</t>
  </si>
  <si>
    <t>BA251124161113324</t>
  </si>
  <si>
    <t>BA251124151112764</t>
  </si>
  <si>
    <t>WP250902493342</t>
  </si>
  <si>
    <t>아이브루 플러스 스위트 블랙 / 디카페인 커피 80개입</t>
  </si>
  <si>
    <t>아이브루 플러스 디카페인 80개입</t>
  </si>
  <si>
    <t>BA251124181114323</t>
  </si>
  <si>
    <t>BA251124221116941</t>
  </si>
  <si>
    <t>BA251124181114511</t>
  </si>
  <si>
    <t>BA251124171113956</t>
  </si>
  <si>
    <t>WP231001747878</t>
  </si>
  <si>
    <t>[오삼알세트]매콤제육볶음+매콤오징어볶음+알탕</t>
  </si>
  <si>
    <t>매콤제육볶음+매콤오징어볶음+알탕</t>
  </si>
  <si>
    <t>BA251124191114908</t>
  </si>
  <si>
    <t>BA251125011118376</t>
  </si>
  <si>
    <t>BA251125061118693</t>
  </si>
  <si>
    <t>BA251124221116821</t>
  </si>
  <si>
    <t>BA251124211116524</t>
  </si>
  <si>
    <t>BA251125061118770</t>
  </si>
  <si>
    <t>BA251124211116620</t>
  </si>
  <si>
    <t>BA251124171113874</t>
  </si>
  <si>
    <t>BA251124211116065</t>
  </si>
  <si>
    <t>BA251125021118422</t>
  </si>
  <si>
    <t>BA251124181114451</t>
  </si>
  <si>
    <t>BA251124221117141</t>
  </si>
  <si>
    <t>BA251124171113848</t>
  </si>
  <si>
    <t>BA251124191114969</t>
  </si>
  <si>
    <t>WP230501600616</t>
  </si>
  <si>
    <t>[에너지효율 1등급] 더뉴핏 듀얼프레셔(고압 무압) 음성안내 다이아몬드코팅 6인용 10인용 전기 밥솥 밥통/ 내솥 만능찜 죽 이유식 냉동보관밥</t>
  </si>
  <si>
    <t>CRS-WD0610FMW</t>
  </si>
  <si>
    <t>BA251124221117186</t>
  </si>
  <si>
    <t>BA251125011118413</t>
  </si>
  <si>
    <t>BA251124181114160</t>
  </si>
  <si>
    <t>BA251124201115531</t>
  </si>
  <si>
    <t>티트리 샴푸 1500ml 화이트머스크 x 2개</t>
  </si>
  <si>
    <t>BA251124201115838</t>
  </si>
  <si>
    <t>감귤 담은 청귤주스 340mL 20입</t>
  </si>
  <si>
    <t>감귤 담은 한라봉주스 40입</t>
  </si>
  <si>
    <t>BA251125011118360</t>
  </si>
  <si>
    <t>BA251124201115237</t>
  </si>
  <si>
    <t>BA251124181114157</t>
  </si>
  <si>
    <t>BA251124201115351</t>
  </si>
  <si>
    <t>BA251124181114549</t>
  </si>
  <si>
    <t>BA251124191114789</t>
  </si>
  <si>
    <t>BA251124221116769</t>
  </si>
  <si>
    <t>BA251124211116665</t>
  </si>
  <si>
    <t>BA251124221117204</t>
  </si>
  <si>
    <t>BA251124221116890</t>
  </si>
  <si>
    <t>BA251124191114771</t>
  </si>
  <si>
    <t>BA251125061118775</t>
  </si>
  <si>
    <t>BA251125001118237</t>
  </si>
  <si>
    <t>BA251124231117398</t>
  </si>
  <si>
    <t>BA251124201115557</t>
  </si>
  <si>
    <t>BA251124201115864</t>
  </si>
  <si>
    <t>BA251124221117125</t>
  </si>
  <si>
    <t>BA251124171113769</t>
  </si>
  <si>
    <t>BA251124221116677</t>
  </si>
  <si>
    <t>BA251124221117395</t>
  </si>
  <si>
    <t>BA251124211116038</t>
  </si>
  <si>
    <t>BA251124201115472</t>
  </si>
  <si>
    <t>더 화이트 25m x 30롤 3팩</t>
  </si>
  <si>
    <t>BA251124211116186</t>
  </si>
  <si>
    <t>BA251125001118090</t>
  </si>
  <si>
    <t>BA251125001118051</t>
  </si>
  <si>
    <t>BA251124221116834</t>
  </si>
  <si>
    <t>BA251124221117222</t>
  </si>
  <si>
    <t>피지쓱싹 딥 클렌징 오일 200ml</t>
  </si>
  <si>
    <t>BA251124231117434</t>
  </si>
  <si>
    <t>BA251124211116293</t>
  </si>
  <si>
    <t>BA251124201115445</t>
  </si>
  <si>
    <t>BA251124221116728</t>
  </si>
  <si>
    <t>BA251124231117849</t>
  </si>
  <si>
    <t>BA251124191115080</t>
  </si>
  <si>
    <t>BA251124191115053</t>
  </si>
  <si>
    <t>BA251124201115386</t>
  </si>
  <si>
    <t>BA251124231117436</t>
  </si>
  <si>
    <t>BA251124221117250</t>
  </si>
  <si>
    <t>BA251124171113773</t>
  </si>
  <si>
    <t>마마프랑 대용량 액체 울세제 3000ml X 2개</t>
  </si>
  <si>
    <t>BA251124221117123</t>
  </si>
  <si>
    <t>BA251124231117986</t>
  </si>
  <si>
    <t>BA251125031118514</t>
  </si>
  <si>
    <t>BA251125021118444</t>
  </si>
  <si>
    <t>WP231201798905</t>
  </si>
  <si>
    <t>100% 국산재료 장흥 매생이 굴국 (1인분 350g/5팩)</t>
  </si>
  <si>
    <t>매생이굴국(350g/5팩)</t>
  </si>
  <si>
    <t>BA251125061118694</t>
  </si>
  <si>
    <t>BA251125061118745</t>
  </si>
  <si>
    <t>BA251124221117212</t>
  </si>
  <si>
    <t>BA251124191114739</t>
  </si>
  <si>
    <t>BA251124171113761</t>
  </si>
  <si>
    <t>BA251124201115344</t>
  </si>
  <si>
    <t>주방세제 4L+750ml 스위트허브 향</t>
  </si>
  <si>
    <t>BA251124211116412</t>
  </si>
  <si>
    <t>WP250702409733</t>
  </si>
  <si>
    <t>1일1장 모공각질케어 여드름 약산성 저자극 헬프미 포어티 에센스 패드 60매</t>
  </si>
  <si>
    <t>헬프미 포어티 패드 60매 2개</t>
  </si>
  <si>
    <t>BA251124221117298</t>
  </si>
  <si>
    <t>BA251124231117803</t>
  </si>
  <si>
    <t>WP230501600613</t>
  </si>
  <si>
    <t>2.1 초고압 써모가드 121 [6인용] IH압력밥솥 블랙다이아몬드 코팅 내솥</t>
  </si>
  <si>
    <t>쿠첸 121 6인용 IH압력밥솥 CRT-PAPD0670B</t>
  </si>
  <si>
    <t>BA251124171113701</t>
  </si>
  <si>
    <t>BA251124201115842</t>
  </si>
  <si>
    <t>BA251124211115984</t>
  </si>
  <si>
    <t>BA251125081119393</t>
  </si>
  <si>
    <t>BA251125081119372</t>
  </si>
  <si>
    <t>BA251125071119055</t>
  </si>
  <si>
    <t>BA251125081119312</t>
  </si>
  <si>
    <t>KFAD 비키 화이트(중형)</t>
  </si>
  <si>
    <t>BA251125081119364</t>
  </si>
  <si>
    <t>BA251125071119074</t>
  </si>
  <si>
    <t>AA251124101109238</t>
  </si>
  <si>
    <t>SP240101843517</t>
  </si>
  <si>
    <t>대용량 아이스 아메리카노 블랙/스위트 헤이즐넛 1L 6개</t>
  </si>
  <si>
    <t>아이스 헤이즐넛향 커피 1L 6개</t>
  </si>
  <si>
    <t>AA251124101109164</t>
  </si>
  <si>
    <t>SP251002516212</t>
  </si>
  <si>
    <t>육즙팡팡 국내산 한돈 돼지 떡갈비 4장 400g x 3팩</t>
  </si>
  <si>
    <t>서서갈비 한돈 떡갈비 4장 400g x 3팩</t>
  </si>
  <si>
    <t>AA251124101109498</t>
  </si>
  <si>
    <t>SP231201791284</t>
  </si>
  <si>
    <t>설치비 포함 / 일체형비데 스마트한 프리미엄 양변기 트레비 ALB-R14600</t>
  </si>
  <si>
    <t>비데+도기 SET / 10만원 기사 설치비용 기존 도시비데 철거비용 포함</t>
  </si>
  <si>
    <t>AA251124111110215</t>
  </si>
  <si>
    <t>AA251124111110303</t>
  </si>
  <si>
    <t>AA251124131111663</t>
  </si>
  <si>
    <t>SP250702421508</t>
  </si>
  <si>
    <t>AA251125051118662</t>
  </si>
  <si>
    <t>AA251124191114926</t>
  </si>
  <si>
    <t>SP231101769289</t>
  </si>
  <si>
    <t>[임상TEST 미국식품의약국 인증] 탈모관리 헤어스틱 아로마앰플 10mL 2개</t>
  </si>
  <si>
    <t>헤어 스틱 아로마 앰플 10ml x 2개</t>
  </si>
  <si>
    <t>AA251124191114809</t>
  </si>
  <si>
    <t>AA251125011118304</t>
  </si>
  <si>
    <t>SP240101843148</t>
  </si>
  <si>
    <t>백제쌀국수 멸치맛6개+김치맛6개+얼큰한맛6개_멀티팩</t>
  </si>
  <si>
    <t>AA251124201115857</t>
  </si>
  <si>
    <t>SP230601643058</t>
  </si>
  <si>
    <t>생활방수 강력한 이발기 바리깡 PC-H691 스테인레스 상 하날</t>
  </si>
  <si>
    <t>파테크 강력한 이발기 바리깡 PC-H691</t>
  </si>
  <si>
    <t>AA251124221117006</t>
  </si>
  <si>
    <t>AA251124201115271</t>
  </si>
  <si>
    <t>AA251124231117947</t>
  </si>
  <si>
    <t>SP231201791260</t>
  </si>
  <si>
    <t>ALB-R3600</t>
  </si>
  <si>
    <t>AA251124231117480</t>
  </si>
  <si>
    <t>AA251124221116776</t>
  </si>
  <si>
    <t>SP240902039387</t>
  </si>
  <si>
    <t>G0184</t>
  </si>
  <si>
    <t>제니스 트라이 남성 런닝 TMRSB01 (화이트 110)</t>
  </si>
  <si>
    <t>제품선택:런닝 5매세트 RSB01_110/1000원/1개</t>
  </si>
  <si>
    <t>G0196</t>
  </si>
  <si>
    <t>제니스 2팩 티셔츠(반팔) 4계절용 (화이트 + 화이트 105)</t>
  </si>
  <si>
    <t>사이즈:화이트+화이트 105/1개</t>
  </si>
  <si>
    <t>단일상품</t>
  </si>
  <si>
    <t>T45837</t>
  </si>
  <si>
    <t>오유 미녀크림 선비비 50ml</t>
  </si>
  <si>
    <t>제품선택:미녀크림 선비비 50ml 1 개 (+0 원)</t>
  </si>
  <si>
    <t>T45078</t>
  </si>
  <si>
    <t>쿠첸 CJE-A2101</t>
  </si>
  <si>
    <t>제품선택:21인용 밥솥 CJE-A2101 1 개 (+9,800 원)</t>
  </si>
  <si>
    <t>T46152</t>
  </si>
  <si>
    <t>솜씨협동조합 알고니탕+매콤오징어볶음</t>
  </si>
  <si>
    <t>제품선택:알고니탕+매콤오징어볶음 1 개 (+0 원)</t>
  </si>
  <si>
    <t>T46891</t>
  </si>
  <si>
    <t>디프로매트 아트금고 HANA Metal 블랙 / 샴페인골드</t>
  </si>
  <si>
    <t>제품선택:아트금고 HANA Metal 블랙 / 샴페인골드 1 개 (+0 원)</t>
  </si>
  <si>
    <t>하얀티슈 25m 30R 2팩</t>
  </si>
  <si>
    <t>P0149</t>
  </si>
  <si>
    <t>오가닉K [특가] 1+1 딥클린 펑 액체 배수구 클리너 1.87L [25년 4월]</t>
  </si>
  <si>
    <t>1+1 딥클린 펑 액체 배수구 클리너 1.87L</t>
  </si>
  <si>
    <t>T39109</t>
  </si>
  <si>
    <t>행복에스앤피제지 행복을 주는 나무 오리지널 (3겹 27m 30롤 x 1팩)</t>
  </si>
  <si>
    <t>옵션:행복을 주는 나무 오리지널 27m x 30롤 (높이95mm) 1팩</t>
  </si>
  <si>
    <t>K1000024065</t>
  </si>
  <si>
    <t>굿매너 프리미엄 엠보 물티슈 100매 8팩</t>
  </si>
  <si>
    <t>특가 에너지 1등급 압력 밥솥 인덕션 제습기 모음전 제품옵션: CRS-WK0610FSPW 6인용 밥솥</t>
  </si>
  <si>
    <t>T2602</t>
  </si>
  <si>
    <t>스피드랙 화이트 [ 800 / 400 / 1800 / 3단］</t>
  </si>
  <si>
    <t>무볼트 간편 조립식 선반 수납장 가로 400~800 모음 가로/폭 사이즈: [스피드랙] 가로 800_폭 400 | 높이: 높이 1800 | 선반 수량: 선반 수량 3개</t>
  </si>
  <si>
    <t>T8805</t>
  </si>
  <si>
    <t>고기마을 무항생제 한돈 생삼겹살 (생삼겹살 2kg)</t>
  </si>
  <si>
    <t>한돈 생삼겹살/생목살(1kg) 6종 골라담기 옵션: 06. 생삼겹살 2kg</t>
  </si>
  <si>
    <t>J10117639694971500310169415</t>
  </si>
  <si>
    <t>O25112451949</t>
  </si>
  <si>
    <t>T45020</t>
  </si>
  <si>
    <t>쿠첸 CRH-VBWW0620ST</t>
  </si>
  <si>
    <t>솔루엠 65W 3P 초고속 멀티충전기 + C타입 케이블</t>
  </si>
  <si>
    <t>M2511M010599632815</t>
  </si>
  <si>
    <t>T46144</t>
  </si>
  <si>
    <t>한일전자 파테크 강력한 이발기 바리깡 PC-H691</t>
  </si>
  <si>
    <t>옵션 : 파테크 강력한 이발기 바리깡 PC-H691</t>
  </si>
  <si>
    <t>M2511M010599632586</t>
  </si>
  <si>
    <t>옵션 : 행복을 주는 나무 오리지널 27m x 30롤 (높이95mm) 1팩</t>
  </si>
  <si>
    <t>M2511M010599631897</t>
  </si>
  <si>
    <t>상품선택 : 트레비 호텔식 리모컨 비데 ALB-R3600</t>
  </si>
  <si>
    <t>M2511M010599631766</t>
  </si>
  <si>
    <t>옵션 : 슬라이스 꿀고구마120g 10개</t>
  </si>
  <si>
    <t>M2511H930599631150</t>
  </si>
  <si>
    <t>옵션 : 착한떡 소담세트</t>
  </si>
  <si>
    <t>유아용품 세정제균 소독티슈 50매 x 10팩</t>
  </si>
  <si>
    <t>C999999999999</t>
  </si>
  <si>
    <t>T8279</t>
  </si>
  <si>
    <t>진 파김치 3kg</t>
  </si>
  <si>
    <t>C253285956119</t>
  </si>
  <si>
    <t>C253290143383</t>
  </si>
  <si>
    <t>C253287301222</t>
  </si>
  <si>
    <t>/ 감귤 2kg 로얄과 S-M</t>
  </si>
  <si>
    <t>C253287718418</t>
  </si>
  <si>
    <t>T46842</t>
  </si>
  <si>
    <t>늘푸른우리 (정품) 엔비사과 중소과 2kg</t>
  </si>
  <si>
    <t>/ (정품) 엔비사과 중소과 2kg</t>
  </si>
  <si>
    <t>C253283912913</t>
  </si>
  <si>
    <t>T39472</t>
  </si>
  <si>
    <t>오가닉K 오푼티아&amp;밤부 트리트먼트 500ml 2개입 베이비파우더향</t>
  </si>
  <si>
    <t>/ 오푼티아&amp;밤부 트리트먼트 500ml 2개입 베이비파우더향</t>
  </si>
  <si>
    <t>C253287041601</t>
  </si>
  <si>
    <t>C253287399695</t>
  </si>
  <si>
    <t>2025112513532804266A</t>
  </si>
  <si>
    <t>G0210</t>
  </si>
  <si>
    <t>BA251125091119621</t>
  </si>
  <si>
    <t>BA251125091119909</t>
  </si>
  <si>
    <t>BA251125111120785</t>
  </si>
  <si>
    <t>BA251125101120307</t>
  </si>
  <si>
    <t>BA251125101120680</t>
  </si>
  <si>
    <t>BA251125101120362</t>
  </si>
  <si>
    <t>BA251125101120679</t>
  </si>
  <si>
    <t>[스피드랙] 가로 600 / 폭 400 / 높이 1350 / 선반 수량 4개</t>
  </si>
  <si>
    <t>BA251125101120620</t>
  </si>
  <si>
    <t>BA251125101120684</t>
  </si>
  <si>
    <t>BA251125091119987</t>
  </si>
  <si>
    <t>WP251102553635</t>
  </si>
  <si>
    <t>[스트레스위염, 역류성식도염 예방개선] 활력비책 젤리형 착즙형 30포 선물세트 /양배추즙 스피룰리나 맥문동 치자 삽주 소회향 첨가</t>
  </si>
  <si>
    <t>활력비책 80ml 10포 3ea</t>
  </si>
  <si>
    <t>BA251125121121807</t>
  </si>
  <si>
    <t>BA251125121121998</t>
  </si>
  <si>
    <t>BA251125121121878</t>
  </si>
  <si>
    <t>BA251125111121145</t>
  </si>
  <si>
    <t>알리 다크그레이_오렌지</t>
  </si>
  <si>
    <t>BA251125121121799</t>
  </si>
  <si>
    <t>BA251125111121173</t>
  </si>
  <si>
    <t>BA251125111121131</t>
  </si>
  <si>
    <t>BA251125121121783</t>
  </si>
  <si>
    <t>BA251125111121531</t>
  </si>
  <si>
    <t>BA251125111121432</t>
  </si>
  <si>
    <t>BA251125111121427</t>
  </si>
  <si>
    <t>BA251125111120985</t>
  </si>
  <si>
    <t>BA251125121121785</t>
  </si>
  <si>
    <t>BA251125131122182</t>
  </si>
  <si>
    <t>BA251125141123158</t>
  </si>
  <si>
    <t>BA251125141122916</t>
  </si>
  <si>
    <t>WP230701687821</t>
  </si>
  <si>
    <t>3중구조 빨아쓰는 키친타올 원데이 행주 60매 x 4롤</t>
  </si>
  <si>
    <t>닥터퓨리 빨아쓰는 키친타올 60매 x 4롤</t>
  </si>
  <si>
    <t>BA251125141123268</t>
  </si>
  <si>
    <t>BA251125131122678</t>
  </si>
  <si>
    <t>BA251125131122369</t>
  </si>
  <si>
    <t>BA251125131122502</t>
  </si>
  <si>
    <t>BA251125131122140</t>
  </si>
  <si>
    <t>BA251125141122945</t>
  </si>
  <si>
    <t>BA251125131122225</t>
  </si>
  <si>
    <t>BA251125141123275</t>
  </si>
  <si>
    <t>BA251125141123415</t>
  </si>
  <si>
    <t>BA251125131122355</t>
  </si>
  <si>
    <t>BA251125131122746</t>
  </si>
  <si>
    <t>BA251125151123433</t>
  </si>
  <si>
    <t>BA251125131122420</t>
  </si>
  <si>
    <t>BA251125141122920</t>
  </si>
  <si>
    <t>BA251125161124378</t>
  </si>
  <si>
    <t>BA251125161124620</t>
  </si>
  <si>
    <t>BA251125151123600</t>
  </si>
  <si>
    <t>BA251125161124651</t>
  </si>
  <si>
    <t>BA251125151123475</t>
  </si>
  <si>
    <t>BA251125161124741</t>
  </si>
  <si>
    <t>BA251125161124195</t>
  </si>
  <si>
    <t>BA251125151123700</t>
  </si>
  <si>
    <t>BA251125151123721</t>
  </si>
  <si>
    <t>BA251125191126024</t>
  </si>
  <si>
    <t>BA251125191126363</t>
  </si>
  <si>
    <t>BA251126001129199</t>
  </si>
  <si>
    <t>BA251125171125160</t>
  </si>
  <si>
    <t>BA251125181125523</t>
  </si>
  <si>
    <t>BA251125171124806</t>
  </si>
  <si>
    <t>BA251125181125827</t>
  </si>
  <si>
    <t>BA251125211127199</t>
  </si>
  <si>
    <t>BA251125191125957</t>
  </si>
  <si>
    <t>BA251125221128090</t>
  </si>
  <si>
    <t>BA251125201126622</t>
  </si>
  <si>
    <t>BA251125221128420</t>
  </si>
  <si>
    <t>BA251126041129793</t>
  </si>
  <si>
    <t>BA251126001129328</t>
  </si>
  <si>
    <t>BA251125221128527</t>
  </si>
  <si>
    <t>BA251125211127279</t>
  </si>
  <si>
    <t>BA251125211127699</t>
  </si>
  <si>
    <t>BA251125191125952</t>
  </si>
  <si>
    <t>BA251125221128236</t>
  </si>
  <si>
    <t>BA251125181125596</t>
  </si>
  <si>
    <t>BA251125221128476</t>
  </si>
  <si>
    <t>BA251125201126966</t>
  </si>
  <si>
    <t>BA251126051129888</t>
  </si>
  <si>
    <t>BA251126001129404</t>
  </si>
  <si>
    <t>BA251125211127825</t>
  </si>
  <si>
    <t>[홈던트] 가로 1100 / 폭 500 / 높이 2100 / 행거단 0개 / 선반단 1개</t>
  </si>
  <si>
    <t>[홈던트] 가로 1100 / 폭 500 / 높이 2100 / 행거단 1개 / 선반단 0개</t>
  </si>
  <si>
    <t>BA251125231128752</t>
  </si>
  <si>
    <t>BA251125191125901</t>
  </si>
  <si>
    <t>BA251125171125079</t>
  </si>
  <si>
    <t>BA251125201126769</t>
  </si>
  <si>
    <t>BA251126001129189</t>
  </si>
  <si>
    <t>[스피드랙] 가로 700 / 폭 500 / 높이 1200 / 선반 수량 4개</t>
  </si>
  <si>
    <t>BA251125221127958</t>
  </si>
  <si>
    <t>BA251125201127013</t>
  </si>
  <si>
    <t>BA251126001129364</t>
  </si>
  <si>
    <t>BA251125221127866</t>
  </si>
  <si>
    <t>티플레이스 계피생강차 삼각티백</t>
  </si>
  <si>
    <t>BA251125221128467</t>
  </si>
  <si>
    <t>WP240702004993</t>
  </si>
  <si>
    <t>[식물성 유기농 대마종자유] 햄프씨드 오일 1000mg 30캡슐/ 오메가3 대용</t>
  </si>
  <si>
    <t>대마종자유 햄프씨드 오일 30캡술</t>
  </si>
  <si>
    <t>WP240702004962</t>
  </si>
  <si>
    <t>[단독특허 피부영양제] PDRN 시카콜라겐 저분자피쉬스틱 2.5g 30포/ 히알루론산 엘라스틴</t>
  </si>
  <si>
    <t>시카콜라겐 저분자피쉬스틱 30포</t>
  </si>
  <si>
    <t>BA251126001129205</t>
  </si>
  <si>
    <t>BA251125221128016</t>
  </si>
  <si>
    <t>BA251125181125438</t>
  </si>
  <si>
    <t>BA251126051129878</t>
  </si>
  <si>
    <t>BA251125191125986</t>
  </si>
  <si>
    <t>BA251125221128592</t>
  </si>
  <si>
    <t>BA251126011129519</t>
  </si>
  <si>
    <t>[중기/묽은죽/7개월] 닭가슴살10봉+한우10봉</t>
  </si>
  <si>
    <t>BA251125231128706</t>
  </si>
  <si>
    <t>BA251126061129981</t>
  </si>
  <si>
    <t>BA251126001129373</t>
  </si>
  <si>
    <t>511176 버섯크림파스타R 4개+쉬림프알리오올리오파스타 4개</t>
  </si>
  <si>
    <t>BA251125171125222</t>
  </si>
  <si>
    <t>BA251125221128477</t>
  </si>
  <si>
    <t>BA251126031129728</t>
  </si>
  <si>
    <t>BA251125191126322</t>
  </si>
  <si>
    <t>BA251125201126549</t>
  </si>
  <si>
    <t>BA251126021129693</t>
  </si>
  <si>
    <t>BA251125221128332</t>
  </si>
  <si>
    <t>BA251125221128297</t>
  </si>
  <si>
    <t>WP230701659989</t>
  </si>
  <si>
    <t>[미생물의 번식 차단] 친환경 항균도마 세트(2P)</t>
  </si>
  <si>
    <t>도마 2장 세트 (칠리레드 + 라이트 살몬)</t>
  </si>
  <si>
    <t>BA251125191125956</t>
  </si>
  <si>
    <t>BA251125171125176</t>
  </si>
  <si>
    <t>BA251125221128091</t>
  </si>
  <si>
    <t>BA251126051129875</t>
  </si>
  <si>
    <t>매실1호</t>
  </si>
  <si>
    <t>BA251125171125060</t>
  </si>
  <si>
    <t>BA251125191125897</t>
  </si>
  <si>
    <t>BA251125181125450</t>
  </si>
  <si>
    <t>BA251125181125751</t>
  </si>
  <si>
    <t>BA251125211127627</t>
  </si>
  <si>
    <t>BA251126001129281</t>
  </si>
  <si>
    <t>BA251125201126988</t>
  </si>
  <si>
    <t>BA251125221128101</t>
  </si>
  <si>
    <t>BA251125211127342</t>
  </si>
  <si>
    <t>BA251125171125322</t>
  </si>
  <si>
    <t>BA251125201127004</t>
  </si>
  <si>
    <t>CGO-11</t>
  </si>
  <si>
    <t>BA251125201127083</t>
  </si>
  <si>
    <t>BA251125201126415</t>
  </si>
  <si>
    <t>BA251125221128005</t>
  </si>
  <si>
    <t>BA251125221128369</t>
  </si>
  <si>
    <t>BA251125181125488</t>
  </si>
  <si>
    <t>BA251125221128252</t>
  </si>
  <si>
    <t>BA251125211127461</t>
  </si>
  <si>
    <t>BA251126021129638</t>
  </si>
  <si>
    <t>BA251126081130776</t>
  </si>
  <si>
    <t>BA251126071130312</t>
  </si>
  <si>
    <t>BA251126081130509</t>
  </si>
  <si>
    <t>BA251126071130408</t>
  </si>
  <si>
    <t>BA251126081130671</t>
  </si>
  <si>
    <t>BA251126081130623</t>
  </si>
  <si>
    <t>BA251126071130073</t>
  </si>
  <si>
    <t>BA251126071130168</t>
  </si>
  <si>
    <t>BA251126071130122</t>
  </si>
  <si>
    <t>BA251126081130598</t>
  </si>
  <si>
    <t>AA251125101120495</t>
  </si>
  <si>
    <t>511400 닭가슴살 쫄깃잡채 곤약잡곡볶음밥 210g 12개</t>
  </si>
  <si>
    <t>AA251125101120210</t>
  </si>
  <si>
    <t>SP241002063095</t>
  </si>
  <si>
    <t>실속형 필터가 필요없는 온수 IPX5방수비데/ 시트온도 마사지 노즐세척 기능</t>
  </si>
  <si>
    <t>IS-4200-VN 자가설치</t>
  </si>
  <si>
    <t>AA251125111120843</t>
  </si>
  <si>
    <t>SP240501954719</t>
  </si>
  <si>
    <t>AA251125131122342</t>
  </si>
  <si>
    <t>SP230801717342</t>
  </si>
  <si>
    <t>건영 3단마스크 KF94 소형 30매 (검정)</t>
  </si>
  <si>
    <t>AA251125161124664</t>
  </si>
  <si>
    <t>AA251125151123468</t>
  </si>
  <si>
    <t>SP230801717435</t>
  </si>
  <si>
    <t>AA251125171125194</t>
  </si>
  <si>
    <t>SP230601649125</t>
  </si>
  <si>
    <t>블루본 아이노우 니트릴장갑 100매</t>
  </si>
  <si>
    <t>화이트 M사이즈</t>
  </si>
  <si>
    <t>AA251125201126804</t>
  </si>
  <si>
    <t>AA251125191126142</t>
  </si>
  <si>
    <t>SP250602391835</t>
  </si>
  <si>
    <t>레스토랑급 수제 화덕피자 10인치(L) 8종</t>
  </si>
  <si>
    <t>구운 고구마 10인치</t>
  </si>
  <si>
    <t>꿀 고르곤졸라 10인치</t>
  </si>
  <si>
    <t>리얼 불고기 10인치</t>
  </si>
  <si>
    <t>로제베이컨 쉬림프 10인치</t>
  </si>
  <si>
    <t>AA251126081130477</t>
  </si>
  <si>
    <t>AA251126081130686</t>
  </si>
  <si>
    <t>SP240101805646</t>
  </si>
  <si>
    <t>T41465</t>
  </si>
  <si>
    <t>스피드랙 ★행사★ 홈던트 선반형 [ 900 / 600 / 2100 / 6단 ]</t>
  </si>
  <si>
    <t>T42185</t>
  </si>
  <si>
    <t>스피드랙 ★행사★ 홈던트 선반형 [ 1200 / 600 / 2100 / 6단 ]</t>
  </si>
  <si>
    <t>T44769</t>
  </si>
  <si>
    <t>스피드랙 ★행사★ [홈던트 행거형] 가로 1200 / 폭 600 / 높이 2100 / 행거단 0개 / 선반단 2개</t>
  </si>
  <si>
    <t>G0225</t>
  </si>
  <si>
    <t>제니스 타인즈 투인원 레깅스 스커트 (블랙 XL)</t>
  </si>
  <si>
    <t>제품선택:제니스 타인즈 투인원 레깅스 스커트 (블랙 XL) 1 개 (+0 원)</t>
  </si>
  <si>
    <t>G0031</t>
  </si>
  <si>
    <t>제니스 타인즈 데일리 휴대용 우양산, 실버</t>
  </si>
  <si>
    <t>제품옵션: 실버</t>
  </si>
  <si>
    <t>제품선택:소래찬 국내산 포기김치 10kg 1 개 (+24,600 원)</t>
  </si>
  <si>
    <t>제품선택:감귤 2kg 대과 L-2L 2 개 (+0 원)</t>
  </si>
  <si>
    <t>T45004</t>
  </si>
  <si>
    <t>한국맥널티 자몽아이스티 12입+복숭아아이스티 12입</t>
  </si>
  <si>
    <t>제품선택:자몽아이스티 12입+복숭아아이스티 12입 1 개 (+0 원)</t>
  </si>
  <si>
    <t>T46664</t>
  </si>
  <si>
    <t>청숨(구 태경F&amp;B)</t>
  </si>
  <si>
    <t>청숨(구 태경F&amp;B) 약도라지 농축액 10g x 30포</t>
  </si>
  <si>
    <t>T39157</t>
  </si>
  <si>
    <t>시노펙스 대형 베이지 50매 ePTFEL50B</t>
  </si>
  <si>
    <t>T39437</t>
  </si>
  <si>
    <t>행복에스앤피제지 3겹 뽑아쓰는 키친타올 100매 9팩</t>
  </si>
  <si>
    <t>옵션:3겹 뽑아쓰는 키친타올 100매 9팩</t>
  </si>
  <si>
    <t>2025112519183662037F</t>
  </si>
  <si>
    <t>오브제 스카치 디퓨저 200ml 오크앤헤이즐리(향) 2개입</t>
  </si>
  <si>
    <t>K1000024163</t>
  </si>
  <si>
    <t>K1000024137</t>
  </si>
  <si>
    <t>T38660</t>
  </si>
  <si>
    <t>한우물 511346 치킨카레 볶음밥 (300g x 6개) + 소불고기 볶음밥 (300g x 6개)</t>
  </si>
  <si>
    <t>[한우물] 볶음밥 17종 (12개)세트 선택1: 소불고기볶음밥 6개+치킨카레볶음밥 6개</t>
  </si>
  <si>
    <t>P0030</t>
  </si>
  <si>
    <t>블루인더스 모모토 향균 차량용 에어컨 필터 MC-005 1개 + 1개</t>
  </si>
  <si>
    <t>1+1 PM0.3 프리+활성탄+헤파필터 자동차 에어컨필터 상품선택: 1+1 MC-005</t>
  </si>
  <si>
    <t>T0108</t>
  </si>
  <si>
    <t>한국맥널티 ZERO 청포도 아이스티 제로 액상스틱 (13ml x 30개입)</t>
  </si>
  <si>
    <t>상품:청포도 아이스티 제로 13ml x 30개입</t>
  </si>
  <si>
    <t>상품:빛깔찬 고춧가루 (지퍼백용)1kg 보통맛 김치용</t>
  </si>
  <si>
    <t>상품:복숭아 아이스티 제로 13ml x 30개입</t>
  </si>
  <si>
    <t>T39137</t>
  </si>
  <si>
    <t>한국맥널티 홀빈 시그니처 블렌드 200g</t>
  </si>
  <si>
    <t>상품:(홀빈) 시그니처 블렌드 200g</t>
  </si>
  <si>
    <t>J10117641122691565613147454</t>
  </si>
  <si>
    <t>제품옵션/청국장120g 10개</t>
  </si>
  <si>
    <t>M2511M010599638314</t>
  </si>
  <si>
    <t>S0204</t>
  </si>
  <si>
    <t>꿀팁몰 [2구]실속한우모둠세트/ 꽃등심150g+눈꽃로스150g+차돌150g</t>
  </si>
  <si>
    <t>옵션 : [성진한우] [2구]실속한우모둠세트/ 꽃등심150g+눈꽃로스150g+차돌150g</t>
  </si>
  <si>
    <t>M2511M010599636257</t>
  </si>
  <si>
    <t>A2511K610599633646</t>
  </si>
  <si>
    <t>T46897</t>
  </si>
  <si>
    <t>함평애푸드</t>
  </si>
  <si>
    <t>함평애푸드 들깨강정 3개</t>
  </si>
  <si>
    <t>옵션 : 들깨강정 3개</t>
  </si>
  <si>
    <t>T8731</t>
  </si>
  <si>
    <t>한울생약 리꼬 베이비 시그니처 물티슈 (70매 327g x 10팩)</t>
  </si>
  <si>
    <t>옵션 :[한울생약] 리꼬베이비 시그니처물티슈 70매x10팩 70매</t>
  </si>
  <si>
    <t>T8730</t>
  </si>
  <si>
    <t>한울생약 리꼬 베이비 센서티브 물티슈 (80매 328g x 10팩)</t>
  </si>
  <si>
    <t>옵션 :[한울생약] 리꼬베이비 센서티브물티슈 80매x10팩 80매</t>
  </si>
  <si>
    <t>옵션 :[행복에스앤피제지] 굿매너 4겹 프리미엄 화장지 27m x 30롤 2팩 27m x 30롤</t>
  </si>
  <si>
    <t>C253301433638</t>
  </si>
  <si>
    <t>C253296988771</t>
  </si>
  <si>
    <t>T46410</t>
  </si>
  <si>
    <t>한국펄프 데이그린점보롤 300m 16롤</t>
  </si>
  <si>
    <t>C253298010495</t>
  </si>
  <si>
    <t>C253293703108</t>
  </si>
  <si>
    <t>/ 산골 쌀참 3종 x 5봉</t>
  </si>
  <si>
    <t>C253295658091</t>
  </si>
  <si>
    <t>T45421</t>
  </si>
  <si>
    <t>꿀팁몰 혼합(야채1/멸치1/사골1)</t>
  </si>
  <si>
    <t>/ 혼합(야채1/멸치1/사골1)</t>
  </si>
  <si>
    <t>C253295829016</t>
  </si>
  <si>
    <t>11/20 로켓그로스 정산내역</t>
  </si>
  <si>
    <t>11/22 로켓그로스 정산내역</t>
  </si>
  <si>
    <t>판매가 7520원 - 3363원 (정산금액 4633 / 원가 1175원 )</t>
  </si>
  <si>
    <t>G0023</t>
  </si>
  <si>
    <t>제니스 타인즈 데일리 휴대용 우양산, 스카이</t>
  </si>
  <si>
    <t>제품옵션: 스카이</t>
  </si>
  <si>
    <t>본품 (5개)</t>
  </si>
  <si>
    <t>BA251126101131713</t>
  </si>
  <si>
    <t>BA251126091131300</t>
  </si>
  <si>
    <t>BA251126101131451</t>
  </si>
  <si>
    <t>BA251126091131291</t>
  </si>
  <si>
    <t>BA251126101131955</t>
  </si>
  <si>
    <t>BA251126091131132</t>
  </si>
  <si>
    <t>BA251126091131215</t>
  </si>
  <si>
    <t>BA251126101131490</t>
  </si>
  <si>
    <t>BA251126101131956</t>
  </si>
  <si>
    <t>BA251126101131362</t>
  </si>
  <si>
    <t>BA251126101131659</t>
  </si>
  <si>
    <t>BA251126091130871</t>
  </si>
  <si>
    <t>BA251126091131137</t>
  </si>
  <si>
    <t>BA251126091130997</t>
  </si>
  <si>
    <t>BA251126101131948</t>
  </si>
  <si>
    <t>WP230101489561</t>
  </si>
  <si>
    <t>귀리가 통째로 오그래퐁(35g) x 15팩</t>
  </si>
  <si>
    <t>오그래퐁(35g) x 15팩</t>
  </si>
  <si>
    <t>BA251126121132900</t>
  </si>
  <si>
    <t>BA251126111132270</t>
  </si>
  <si>
    <t>BA251126111132251</t>
  </si>
  <si>
    <t>BA251126121133133</t>
  </si>
  <si>
    <t>BA251126121132940</t>
  </si>
  <si>
    <t>WP250402270679</t>
  </si>
  <si>
    <t>국물떡볶이320g+국물떡볶이320g 밀키트/ 밀떡 간편식조리식품 캠핑 분식요리 홈파티음식 집들이음식</t>
  </si>
  <si>
    <t>국물떡볶이+국물떡볶이</t>
  </si>
  <si>
    <t>WP250402271067</t>
  </si>
  <si>
    <t>[밀키트 2종세트] 매콤오징어볶음510g+매콤제육볶음540g/ 간편식조리식품 야식 술안주 캠핑요리 홈파티 집들이음식</t>
  </si>
  <si>
    <t>매콤오징어볶음+매콤제육볶음</t>
  </si>
  <si>
    <t>WP250402271743</t>
  </si>
  <si>
    <t>[밀키트 2종세트] 해물순두부찌개750g+참치김치찌개620g/ 간편식조리식품 야식 술안주 캠핑요리 홈파티 집들이음식</t>
  </si>
  <si>
    <t>해물순두부찌개+참치김치찌개</t>
  </si>
  <si>
    <t>BA251126111132637</t>
  </si>
  <si>
    <t>BA251126121132972</t>
  </si>
  <si>
    <t>BA251126111132634</t>
  </si>
  <si>
    <t>BA251126111132556</t>
  </si>
  <si>
    <t>BA251126121132857</t>
  </si>
  <si>
    <t>오이소박이 3kg</t>
  </si>
  <si>
    <t>BA251126111132412</t>
  </si>
  <si>
    <t>BA251126111132233</t>
  </si>
  <si>
    <t>BA251126111132607</t>
  </si>
  <si>
    <t>BA251126141133883</t>
  </si>
  <si>
    <t>BA251126141133898</t>
  </si>
  <si>
    <t>BA251126131133693</t>
  </si>
  <si>
    <t>BA251126131133330</t>
  </si>
  <si>
    <t>BA251126131133376</t>
  </si>
  <si>
    <t>BA251126131133295</t>
  </si>
  <si>
    <t>BA251126141134219</t>
  </si>
  <si>
    <t>BA251126141134387</t>
  </si>
  <si>
    <t>BA251126131133701</t>
  </si>
  <si>
    <t>BA251126131133710</t>
  </si>
  <si>
    <t>BA251126141133758</t>
  </si>
  <si>
    <t>BA251126141134111</t>
  </si>
  <si>
    <t>BA251126161135396</t>
  </si>
  <si>
    <t>BA251126161134964</t>
  </si>
  <si>
    <t>건 청국장 가루 180g</t>
  </si>
  <si>
    <t>BA251126151134608</t>
  </si>
  <si>
    <t>BA251126151134698</t>
  </si>
  <si>
    <t>BA251126161135046</t>
  </si>
  <si>
    <t>BA251126161135397</t>
  </si>
  <si>
    <t>WP240401944815</t>
  </si>
  <si>
    <t>[피부트러블 가려움 아토피 습진 발진 케어] 수딩 크림 50ml</t>
  </si>
  <si>
    <t>젠바이오 수딩 크림 50ml</t>
  </si>
  <si>
    <t>BA251126151134586</t>
  </si>
  <si>
    <t>BA251126151134762</t>
  </si>
  <si>
    <t>BA251126151134847</t>
  </si>
  <si>
    <t>BA251126151134858</t>
  </si>
  <si>
    <t>BA251126151134492</t>
  </si>
  <si>
    <t>BA251126151134910</t>
  </si>
  <si>
    <t>BA251126171135590</t>
  </si>
  <si>
    <t>BA251126211137991</t>
  </si>
  <si>
    <t>[스피드랙] 가로 400 / 폭 300 / 높이 1500 / 선반 수량 4개</t>
  </si>
  <si>
    <t>BA251126201137497</t>
  </si>
  <si>
    <t>BA251126211138350</t>
  </si>
  <si>
    <t>명이절임 500g + 당귀입 500g</t>
  </si>
  <si>
    <t>BA251126211138161</t>
  </si>
  <si>
    <t>BA251127061140237</t>
  </si>
  <si>
    <t>BA251127001139589</t>
  </si>
  <si>
    <t>난발삼 (10뿌리 내외)</t>
  </si>
  <si>
    <t>BA251126181136591</t>
  </si>
  <si>
    <t>BA251126201137155</t>
  </si>
  <si>
    <t>BA251126191136881</t>
  </si>
  <si>
    <t>BA251126221138485</t>
  </si>
  <si>
    <t>BA251126211138300</t>
  </si>
  <si>
    <t>WP250702426691</t>
  </si>
  <si>
    <t>[미백 주름 자외선 3중기능성] 매끈한 커버력 선비비 미녀크림 50ml</t>
  </si>
  <si>
    <t>미녀크림 선비비 50ml</t>
  </si>
  <si>
    <t>BA251126221138837</t>
  </si>
  <si>
    <t>BA251127021140001</t>
  </si>
  <si>
    <t>BA251127061140340</t>
  </si>
  <si>
    <t>BA251127001139668</t>
  </si>
  <si>
    <t>BA251126231139385</t>
  </si>
  <si>
    <t>BA251126201137463</t>
  </si>
  <si>
    <t>BA251126191137075</t>
  </si>
  <si>
    <t>BA251126171135563</t>
  </si>
  <si>
    <t>BA251126171135638</t>
  </si>
  <si>
    <t>BA251126171135955</t>
  </si>
  <si>
    <t>BA251127001139779</t>
  </si>
  <si>
    <t>BA251126201137246</t>
  </si>
  <si>
    <t>BA251126211137869</t>
  </si>
  <si>
    <t>BA251126211138209</t>
  </si>
  <si>
    <t>BA251127061140305</t>
  </si>
  <si>
    <t>WP241102102189</t>
  </si>
  <si>
    <t>트래블 헤어바디 5종 세트 (샴푸/ 트리트먼트/ 바디워시/ 바디로션/ 클렌징폼)</t>
  </si>
  <si>
    <t>트래블 헤어바디 5종 세트 X 1세트</t>
  </si>
  <si>
    <t>BA251126221138596</t>
  </si>
  <si>
    <t>BA251126221138540</t>
  </si>
  <si>
    <t>BA251126221138901</t>
  </si>
  <si>
    <t>BA251127021140032</t>
  </si>
  <si>
    <t>BA251126191136885</t>
  </si>
  <si>
    <t>퍼퓸 바디워시 1L_화이트머스크 x 2개</t>
  </si>
  <si>
    <t>BA251126221138636</t>
  </si>
  <si>
    <t>BA251126211137788</t>
  </si>
  <si>
    <t>BA251126211137958</t>
  </si>
  <si>
    <t>BA251126191136658</t>
  </si>
  <si>
    <t>BA251126221138432</t>
  </si>
  <si>
    <t>자연에서 온 녹차 25m x 30롤 2팩</t>
  </si>
  <si>
    <t>BA251126231139427</t>
  </si>
  <si>
    <t>BA251126231139272</t>
  </si>
  <si>
    <t>BA251126201137520</t>
  </si>
  <si>
    <t>BA251126171135577</t>
  </si>
  <si>
    <t>BA251126231139275</t>
  </si>
  <si>
    <t>WP251102553612</t>
  </si>
  <si>
    <t>[기력회복 지구력증강] 경옥고 젤리 40포 선물세트 갱년기 만성피로 면역력 효과</t>
  </si>
  <si>
    <t>경옥젤리 20g 10포 4ea 선물세트</t>
  </si>
  <si>
    <t>BA251126221138665</t>
  </si>
  <si>
    <t>WP250702409569</t>
  </si>
  <si>
    <t>발전용 각질쓱쓱 제거제 헬프미 풋필링 100ml</t>
  </si>
  <si>
    <t>각질쓱쓱 헬프미 풋필링 100ml</t>
  </si>
  <si>
    <t>BA251126181136399</t>
  </si>
  <si>
    <t>BA251126201137713</t>
  </si>
  <si>
    <t>BA251126221138407</t>
  </si>
  <si>
    <t>BA251126191136985</t>
  </si>
  <si>
    <t>BA251126231139359</t>
  </si>
  <si>
    <t>BA251126211138249</t>
  </si>
  <si>
    <t>BA251126201137578</t>
  </si>
  <si>
    <t>BA251126171135886</t>
  </si>
  <si>
    <t>BA251126181136453</t>
  </si>
  <si>
    <t>BA251126211138235</t>
  </si>
  <si>
    <t>BA251126201137498</t>
  </si>
  <si>
    <t>BA251126211138243</t>
  </si>
  <si>
    <t>BA251127081140784</t>
  </si>
  <si>
    <t>[스피드랙] 가로 600 / 폭 400 / 높이 750 / 선반 수량 2개</t>
  </si>
  <si>
    <t>BA251127081140915</t>
  </si>
  <si>
    <t>BA251127071140574</t>
  </si>
  <si>
    <t>BA251127071140432</t>
  </si>
  <si>
    <t>BA251127071140648</t>
  </si>
  <si>
    <t>BA251127081140764</t>
  </si>
  <si>
    <t>BA251127081140727</t>
  </si>
  <si>
    <t>BA251127081141003</t>
  </si>
  <si>
    <t>BA251127071140420</t>
  </si>
  <si>
    <t>BA251127071140622</t>
  </si>
  <si>
    <t>AA251126091130915</t>
  </si>
  <si>
    <t>중형 베이비핑크 50매 ePTFEM50BP</t>
  </si>
  <si>
    <t>SP231201791395</t>
  </si>
  <si>
    <t>미마 컬러마스크 6가지색 KF94 30개입 대형/중형/소형</t>
  </si>
  <si>
    <t>KF94 M 중형 30개입 베이지</t>
  </si>
  <si>
    <t>AA251126111132467</t>
  </si>
  <si>
    <t>AA251126171135553</t>
  </si>
  <si>
    <t>AA251126151134927</t>
  </si>
  <si>
    <t>SP240802033759</t>
  </si>
  <si>
    <t>AA251127001139801</t>
  </si>
  <si>
    <t>AA251126231139426</t>
  </si>
  <si>
    <t>SP230601648436</t>
  </si>
  <si>
    <t>국산 죽염 약콩 + 9회죽염 두유 180ml x 16포</t>
  </si>
  <si>
    <t>국산 죽염 약콩 두유 180ml x 16포</t>
  </si>
  <si>
    <t>AA251126221138814</t>
  </si>
  <si>
    <t>SP250602392208</t>
  </si>
  <si>
    <t>허쉬 간식팩 쿠키 초콜릿칩 핫초코 6종</t>
  </si>
  <si>
    <t>허쉬 간식팩 쿠키 초콜릿칩 핫초코 6종 1세트</t>
  </si>
  <si>
    <t>AA251126201137412</t>
  </si>
  <si>
    <t>AA251126191136667</t>
  </si>
  <si>
    <t>AA251126221138527</t>
  </si>
  <si>
    <t>SP241202143330</t>
  </si>
  <si>
    <t>모두의야채육수_2개</t>
  </si>
  <si>
    <t>AA251126221138391</t>
  </si>
  <si>
    <t>AA251126191136876</t>
  </si>
  <si>
    <t>SP230501603518</t>
  </si>
  <si>
    <t>AA251126221138798</t>
  </si>
  <si>
    <t>SP230901721052</t>
  </si>
  <si>
    <t>솔루엠 분실방지 위치 추적 스마트태그 갤럭시 연동 Smart Tag BLE, UWB / 미아방지 반려견 반려묘 지갑차키 가방</t>
  </si>
  <si>
    <t>AA251126181136482</t>
  </si>
  <si>
    <t>AA251127071140619</t>
  </si>
  <si>
    <t>AA251127081140713</t>
  </si>
  <si>
    <t>2025112605294570791F</t>
  </si>
  <si>
    <t>S0016</t>
  </si>
  <si>
    <t>고삼농협 한우사골 진한곰탕 500ml x 4팩(진한곰탕기획세트)</t>
  </si>
  <si>
    <t>한우사골 진한곰탕 500ml x 4팩(진한곰탕기획세트)</t>
  </si>
  <si>
    <t>베트남노니비누 노니비누 보습 세수 세안 수제 클렌징바 휴대용,단일상품</t>
  </si>
  <si>
    <t>제품선택:하루기초 산양유 1개 쇼핑백 포함 1 개 (+0 원)</t>
  </si>
  <si>
    <t>제품선택:60수 런닝 3매세트 RST09_110/2개</t>
  </si>
  <si>
    <t>G0219</t>
  </si>
  <si>
    <t>제니스 이어홀 클리너 귀걸이구멍 클렌징 세트 60회, 1개 연두색 오이향</t>
  </si>
  <si>
    <t>워터멜론향</t>
  </si>
  <si>
    <t>레깅스 스커트 블랙 XL</t>
  </si>
  <si>
    <t>G0034</t>
  </si>
  <si>
    <t>제니스 타인즈 노와이어 앞지퍼 스포츠 브라 3종 세트</t>
  </si>
  <si>
    <t>T38673</t>
  </si>
  <si>
    <t>한우물 511359 햄야채 볶음밥 (300g x 6개) + 참치김치 볶음밥 (300g x 6개)</t>
  </si>
  <si>
    <t>제품선택:511359 햄야채볶음밥 6개+참치김치볶음밥 6개 1 개 (-8,100 원)</t>
  </si>
  <si>
    <t>제품선택:511256 닭가슴살볶음밥 6개+새우볶음밥 6개 1 개 (-3,800 원)</t>
  </si>
  <si>
    <t>제품선택:하얀티슈 25m 30R 1팩 1 개 (+0 원)</t>
  </si>
  <si>
    <t>T46881</t>
  </si>
  <si>
    <t>더젓갈 국내산 새우추젓(특) 3kg</t>
  </si>
  <si>
    <t>제품선택:국내산 새우추젓(특) 3kg 1 개 (+44,900 원)</t>
  </si>
  <si>
    <t>제품선택:프리미엄 유러피안 컷팅 샐러드 500g 1 개 (+0 원)</t>
  </si>
  <si>
    <t>T45814</t>
  </si>
  <si>
    <t>오유 프로 바이타씨 브라이트닝 앰플세럼 30ml 2개</t>
  </si>
  <si>
    <t>제품선택:프로 바이타씨 브라이트닝 앰플세럼 30ml 2개 1 개 (+17,600 원)</t>
  </si>
  <si>
    <t>T44991</t>
  </si>
  <si>
    <t>미마인터네셔널 신일 SIF-S12JS</t>
  </si>
  <si>
    <t>서큘레이터형 선풍기 SIF-S12JS</t>
  </si>
  <si>
    <t>T46181</t>
  </si>
  <si>
    <t>꿀팁몰 할매정성 소갈비찜 500g 10팩</t>
  </si>
  <si>
    <t>할매정성 소갈비찜 500g 10팩</t>
  </si>
  <si>
    <t>2025112617353082585F</t>
  </si>
  <si>
    <t>2025112611435975343F</t>
  </si>
  <si>
    <t>T38530</t>
  </si>
  <si>
    <t>한우물 511216 감자탕 볶음밥 (300g x 6개) + 닭갈비 볶음밥 (300g x 6개)</t>
  </si>
  <si>
    <t>[한우물] 볶음밥 17종 (12개)세트 선택1: 감자탕볶음밥 6개+닭갈비볶음밥 6개</t>
  </si>
  <si>
    <t>T0146</t>
  </si>
  <si>
    <t>크리오디엔에스 내추럴 마일드 향수비누 플로럴 알데하이드향 100g 4개입 2+1세트</t>
  </si>
  <si>
    <t>[네츄럴마일드] 모이스처 에센셜 고급 향수 비누 100g 4입 향: 2. 플로럴알데하이드향 | 세트: 100g 4입 2+1세트</t>
  </si>
  <si>
    <t>T38866</t>
  </si>
  <si>
    <t>한국맥널티 브라질 벨라비스타 핸드드립 원두커피 192g (8g x 24개입)</t>
  </si>
  <si>
    <t>[맥널티] 핸드드립 원두커피 24개입 / 콜롬비아, 케냐AA 블렌드 / 에티오피아 예가체프 / 브라질벨라비스타 /과테말라 상품명(단품명): 브라질 벨라비스타 핸드드립 원두커피 24개입</t>
  </si>
  <si>
    <t>P0027</t>
  </si>
  <si>
    <t>블루인더스 모모토 향균 차량용 에어컨 필터 MC-002 1개 + 1개</t>
  </si>
  <si>
    <t>1+1 PM0.3 프리+활성탄+헤파필터 자동차 에어컨필터 상품선택: 1+1 MC-002</t>
  </si>
  <si>
    <t>T9706</t>
  </si>
  <si>
    <t>스피드랙 홈던트 화이트 [ 가로 400 / 폭 400 / 높이 2100 / 행거단 0개 / 선반단 0개 ]</t>
  </si>
  <si>
    <t>선택1:344. [홈던트] 가로 400_폭 400_높이 2100_행거단 0개_선반단 0개</t>
  </si>
  <si>
    <t>상품:서리태가루300g</t>
  </si>
  <si>
    <t>상품:블랙마카 20g 15포 (1박스)</t>
  </si>
  <si>
    <t>T8538</t>
  </si>
  <si>
    <t>늘푸른 마이산 정기담은 메추리알 장조림 1kg 2개</t>
  </si>
  <si>
    <t>상품:메추리알 장조림 1kg 2개</t>
  </si>
  <si>
    <t>옵션:빛깔찬 고춧가루 (지퍼백용)500g 보통맛 양념용</t>
  </si>
  <si>
    <t>O25112656949</t>
  </si>
  <si>
    <t>T7921</t>
  </si>
  <si>
    <t>행복에스앤피제지 생활공감 ON 미용티슈 [220매 2겹 (215mm x 215mm) x 6개]</t>
  </si>
  <si>
    <t>T46733</t>
  </si>
  <si>
    <t>트루나스 자연한포 2봉+마늘한알 1봉</t>
  </si>
  <si>
    <t>자연한포 2봉 + 마늘한알 1봉</t>
  </si>
  <si>
    <t>T38554</t>
  </si>
  <si>
    <t>한우물 511240 김치 볶음밥 (300g x 6개) + 해물 볶음밥 (300g x 6개)</t>
  </si>
  <si>
    <t>511240 김치볶음밥 6개+해물볶음밥 6개</t>
  </si>
  <si>
    <t>M2511M010599643150</t>
  </si>
  <si>
    <t>T45123</t>
  </si>
  <si>
    <t>도아드림 폴란드 80%구스차렵이불+구스베개세트 Q</t>
  </si>
  <si>
    <t>폴란드 80%구스차렵이불+구스베개세트 Q</t>
  </si>
  <si>
    <t>C253307453379</t>
  </si>
  <si>
    <t>T46220</t>
  </si>
  <si>
    <t>오아 바이퍼 에너지 그린 355ml 24개</t>
  </si>
  <si>
    <t>C253308047486</t>
  </si>
  <si>
    <t>C253312710411</t>
  </si>
  <si>
    <t>C253307690272</t>
  </si>
  <si>
    <t>/ 오이소박이 2kg</t>
  </si>
  <si>
    <t>C253306605656</t>
  </si>
  <si>
    <t>C253307243784</t>
  </si>
  <si>
    <t>A253308177233</t>
  </si>
  <si>
    <t>Y253303586987</t>
  </si>
  <si>
    <t>A253304248257</t>
  </si>
  <si>
    <t>BA251127101141511</t>
  </si>
  <si>
    <t>BA251127091141297</t>
  </si>
  <si>
    <t>BA251127101141672</t>
  </si>
  <si>
    <t>BA251127101141833</t>
  </si>
  <si>
    <t>BA251127091141389</t>
  </si>
  <si>
    <t>[스피드랙] 가로 1200 / 폭 400 / 높이 1800 / 선반 수량 4개</t>
  </si>
  <si>
    <t>BA251127091141276</t>
  </si>
  <si>
    <t>BA251127091141450</t>
  </si>
  <si>
    <t>닭가슴살 페퍼 소시지 10팩</t>
  </si>
  <si>
    <t>BA251127101141725</t>
  </si>
  <si>
    <t>BA251127091141142</t>
  </si>
  <si>
    <t>BA251127101142129</t>
  </si>
  <si>
    <t>WP240601992263</t>
  </si>
  <si>
    <t>강화마니</t>
  </si>
  <si>
    <t>강화도 약쑥떡 개별포장 증편 인절미 개떡 송편 /간식 디저트 아침식사대용</t>
  </si>
  <si>
    <t>강화약쑥 개떡 1kg</t>
  </si>
  <si>
    <t>BA251127101141843</t>
  </si>
  <si>
    <t>BA251127101141924</t>
  </si>
  <si>
    <t>BA251127091141402</t>
  </si>
  <si>
    <t>BA251127121143362</t>
  </si>
  <si>
    <t>BA251127111142582</t>
  </si>
  <si>
    <t>BA251127111142216</t>
  </si>
  <si>
    <t>BA251127121143027</t>
  </si>
  <si>
    <t>BA251127121143094</t>
  </si>
  <si>
    <t>BA251127111142714</t>
  </si>
  <si>
    <t>BA251127111142773</t>
  </si>
  <si>
    <t>BA251127121143067</t>
  </si>
  <si>
    <t>BA251127121143167</t>
  </si>
  <si>
    <t>BA251127111142709</t>
  </si>
  <si>
    <t>BA251127111142701</t>
  </si>
  <si>
    <t>BA251127111142805</t>
  </si>
  <si>
    <t>BA251127121143233</t>
  </si>
  <si>
    <t>BA251127131143586</t>
  </si>
  <si>
    <t>BA251127141144353</t>
  </si>
  <si>
    <t>511174 버섯크림파스타R 4개+미트볼볼로네제파스타 2개</t>
  </si>
  <si>
    <t>BA251127131143721</t>
  </si>
  <si>
    <t>BA251127131143920</t>
  </si>
  <si>
    <t>BA251127131143552</t>
  </si>
  <si>
    <t>BA251127131143651</t>
  </si>
  <si>
    <t>BA251127141144453</t>
  </si>
  <si>
    <t>BA251127141144621</t>
  </si>
  <si>
    <t>BA251127161145311</t>
  </si>
  <si>
    <t>BA251127151145071</t>
  </si>
  <si>
    <t>두부곤약면 얇은면 20개</t>
  </si>
  <si>
    <t>BA251127151144819</t>
  </si>
  <si>
    <t>BA251127161145589</t>
  </si>
  <si>
    <t>BA251127161145769</t>
  </si>
  <si>
    <t>BA251127161145387</t>
  </si>
  <si>
    <t>BA251127151144940</t>
  </si>
  <si>
    <t>BA251127161145232</t>
  </si>
  <si>
    <t>[스피드랙] 가로 700 / 폭 600 / 높이 750 / 선반 수량 3개</t>
  </si>
  <si>
    <t>BA251127161145346</t>
  </si>
  <si>
    <t>BA251128001149811</t>
  </si>
  <si>
    <t>[스피드랙] 가로 900 / 폭 600 / 높이 1650 / 선반 수량 3개</t>
  </si>
  <si>
    <t>BA251128001149801</t>
  </si>
  <si>
    <t>BA251127231149111</t>
  </si>
  <si>
    <t>WP250702420300</t>
  </si>
  <si>
    <t>[알로에베라잎 추출물] 블랙 트러플 보습 수딩젤 155ml 4개/ 히알루론산 판테놀 알란토인 함유</t>
  </si>
  <si>
    <t>블랙 트러플 데일리 수딩젤 155ml 4개입</t>
  </si>
  <si>
    <t>BA251127211147987</t>
  </si>
  <si>
    <t>BA251127191147037</t>
  </si>
  <si>
    <t>BA251127221148900</t>
  </si>
  <si>
    <t>BA251127191147154</t>
  </si>
  <si>
    <t>BA251128001149560</t>
  </si>
  <si>
    <t>WP250302228252</t>
  </si>
  <si>
    <t>식물유래 미산성 허브에센셜샴푸 500ml 2개+ 허브바디워시 500ml</t>
  </si>
  <si>
    <t>샴푸 3개</t>
  </si>
  <si>
    <t>BA251127191146933</t>
  </si>
  <si>
    <t>BA251127221148830</t>
  </si>
  <si>
    <t>BA251127191147090</t>
  </si>
  <si>
    <t>BA251127181146375</t>
  </si>
  <si>
    <t>BA251127181146664</t>
  </si>
  <si>
    <t>BA251127201147535</t>
  </si>
  <si>
    <t>BA251127211148284</t>
  </si>
  <si>
    <t>WP230401545264</t>
  </si>
  <si>
    <t>[세척완료]국산 유기농 초기가루 3종세트 [찹쌀200g + 쌀400g + 현미200g]</t>
  </si>
  <si>
    <t>초기용 쌀가루 세트</t>
  </si>
  <si>
    <t>BA251127181146300</t>
  </si>
  <si>
    <t>BA251127191146768</t>
  </si>
  <si>
    <t>BA251127181146417</t>
  </si>
  <si>
    <t>BA251127201147377</t>
  </si>
  <si>
    <t>BA251128021100009</t>
  </si>
  <si>
    <t>BA251128001149700</t>
  </si>
  <si>
    <t>BA251128001149572</t>
  </si>
  <si>
    <t>BA251127201147295</t>
  </si>
  <si>
    <t>BA251127231149354</t>
  </si>
  <si>
    <t>BA251127231149518</t>
  </si>
  <si>
    <t>[스피드랙] 가로 600 / 폭 500 / 높이 1800 / 선반 수량 4개</t>
  </si>
  <si>
    <t>WP240701996937</t>
  </si>
  <si>
    <t>스피드랙 무볼트 저소음 조립식 / 선반단 행거단 추가 구매 400 ~ 1200 mm</t>
  </si>
  <si>
    <t>[스피드랙] 행거단 / 가로 1200 / 폭 500</t>
  </si>
  <si>
    <t>[스피드랙] 가로 500 / 폭 500 / 높이 1800 / 선반 수량 4개</t>
  </si>
  <si>
    <t>[스피드랙] 가로 700 / 폭 500 / 높이 2100 / 선반 수량 3개</t>
  </si>
  <si>
    <t>[스피드랙] 가로 1000 / 폭 500 / 높이 2100 / 선반 수량 3개</t>
  </si>
  <si>
    <t>[스피드랙] 행거단 / 가로 700 / 폭 500</t>
  </si>
  <si>
    <t>[스피드랙] 행거단 / 가로 1000 / 폭 500</t>
  </si>
  <si>
    <t>[스피드랙] 가로 1200 / 폭 500 / 높이 2100 / 선반 수량 3개</t>
  </si>
  <si>
    <t>BA251127201147554</t>
  </si>
  <si>
    <t>BA251127221148962</t>
  </si>
  <si>
    <t>BA251127231149115</t>
  </si>
  <si>
    <t>BA251127201147749</t>
  </si>
  <si>
    <t>BA251127231149384</t>
  </si>
  <si>
    <t>BA251128061100264</t>
  </si>
  <si>
    <t>BA251127211147839</t>
  </si>
  <si>
    <t>BA251128001149742</t>
  </si>
  <si>
    <t>BA251127221148631</t>
  </si>
  <si>
    <t>BA251127231149429</t>
  </si>
  <si>
    <t>BA251127171146145</t>
  </si>
  <si>
    <t>BA251127211147917</t>
  </si>
  <si>
    <t>BA251127231149401</t>
  </si>
  <si>
    <t>BA251127201147626</t>
  </si>
  <si>
    <t>BA251127181146498</t>
  </si>
  <si>
    <t>BA251127201147745</t>
  </si>
  <si>
    <t>WP250702426704</t>
  </si>
  <si>
    <t>[다이오몬드 파우더] 저자극 피치 노세범파우더 4g/ 광채 보송 피부 메이크업효과</t>
  </si>
  <si>
    <t>피치 노세범파우더 4g</t>
  </si>
  <si>
    <t>BA251127171146082</t>
  </si>
  <si>
    <t>BA251127171146122</t>
  </si>
  <si>
    <t>BA251127211148059</t>
  </si>
  <si>
    <t>BA251128061100224</t>
  </si>
  <si>
    <t>BA251127211148177</t>
  </si>
  <si>
    <t>BA251127201147706</t>
  </si>
  <si>
    <t>바로먹는 생 청국장(낫또형) 53g x 36개입</t>
  </si>
  <si>
    <t>BA251127181146623</t>
  </si>
  <si>
    <t>BA251127201147651</t>
  </si>
  <si>
    <t>BA251127211148149</t>
  </si>
  <si>
    <t>BA251128061100277</t>
  </si>
  <si>
    <t>[스피드랙] 가로 600 / 폭 500 / 높이 1500 / 선반 수량 4개</t>
  </si>
  <si>
    <t>BA251127171145841</t>
  </si>
  <si>
    <t>BA251127211148133</t>
  </si>
  <si>
    <t>BA251128081100942</t>
  </si>
  <si>
    <t>자일로스복분자청 1000ml</t>
  </si>
  <si>
    <t>BA251128071100386</t>
  </si>
  <si>
    <t>BA251128071100402</t>
  </si>
  <si>
    <t>BA251128071100506</t>
  </si>
  <si>
    <t>BA251128071100484</t>
  </si>
  <si>
    <t>BA251128071100638</t>
  </si>
  <si>
    <t>BA251128081100792</t>
  </si>
  <si>
    <t>BA251128071100410</t>
  </si>
  <si>
    <t>BA251128071100600</t>
  </si>
  <si>
    <t>BA251128081100929</t>
  </si>
  <si>
    <t>[스피드랙] 가로 1200 / 폭 600 / 높이 1350 / 선반 수량 4개</t>
  </si>
  <si>
    <t>BA251128081100937</t>
  </si>
  <si>
    <t>BA251128071100509</t>
  </si>
  <si>
    <t>BA251128081100757</t>
  </si>
  <si>
    <t>BA251128081100685</t>
  </si>
  <si>
    <t>AA251127121142876</t>
  </si>
  <si>
    <t>AA251127121143009</t>
  </si>
  <si>
    <t>AA251127141144466</t>
  </si>
  <si>
    <t>AA251127161145303</t>
  </si>
  <si>
    <t>AA251127211148372</t>
  </si>
  <si>
    <t>AA251127191147115</t>
  </si>
  <si>
    <t>AA251127201147652</t>
  </si>
  <si>
    <t>SP241002063215</t>
  </si>
  <si>
    <t>한일전자 BLDC 접이식 드라이기 네오센스 T15</t>
  </si>
  <si>
    <t>네오센스 T15 블랙</t>
  </si>
  <si>
    <t>AA251127181146461</t>
  </si>
  <si>
    <t>SP250702395293</t>
  </si>
  <si>
    <t>[정전기방지 탈취력 테스트완료]리프레쉬 섬유탈취제 500ml 3개입 (4종향) 방향제</t>
  </si>
  <si>
    <t>섬유탈취제 500ml 3개 깨끗한 향</t>
  </si>
  <si>
    <t>AA251128081100953</t>
  </si>
  <si>
    <t>제니스 피어싱 홀 클리너 클렌징 워터 귀걸이 구멍 청소 세트 15ml (60개입),1세트 캐모마일향 1개 캐모마일향</t>
  </si>
  <si>
    <t>T39105</t>
  </si>
  <si>
    <t>과일드림2 빛깔찬 고춧가루 보통맛 김치용 3kg</t>
  </si>
  <si>
    <t>제품선택:빛깔찬 고춧가루3kg 보통맛 김치용 1 개 (+74,100 원)</t>
  </si>
  <si>
    <t>T46900</t>
  </si>
  <si>
    <t>오그래 오그래퐁라이트(30g)x10팩</t>
  </si>
  <si>
    <t>제품선택:오그래퐁라이트(30g)x10팩 1 개 (+0 원)</t>
  </si>
  <si>
    <t>T8222</t>
  </si>
  <si>
    <t>한국맥널티 아이브루 플러스 모카골드 커피믹스 600g (12g x 50개입) 2세트</t>
  </si>
  <si>
    <t>제품선택:아이브루 플러스 모카골드 50개입 2개 1 개 (+0 원)</t>
  </si>
  <si>
    <t>제품선택:리바이탈엑스 20g 15포 (1박스) 1 개 (+0 원)</t>
  </si>
  <si>
    <t>제품선택:블랙마카 20g 15포 (1박스) 1 개 (+0 원)</t>
  </si>
  <si>
    <t>T46221</t>
  </si>
  <si>
    <t>오아 아르기닌 22g 15포 (1박스)</t>
  </si>
  <si>
    <t>제품선택:아르기닌 22g 15포 (1박스) 1 개 (+0 원)</t>
  </si>
  <si>
    <t>T45260</t>
  </si>
  <si>
    <t>위드라이크 정지선의 마장면x동파육</t>
  </si>
  <si>
    <t>정지선의 마장면x동파육</t>
  </si>
  <si>
    <t>T45325</t>
  </si>
  <si>
    <t>꿀팁몰 꿀 고르곤졸라 10인치</t>
  </si>
  <si>
    <t>T46150</t>
  </si>
  <si>
    <t>솜씨협동조합 우삼겹숙주볶음+해물오꼬노미야끼</t>
  </si>
  <si>
    <t>우삼겹숙주볶음+해물오꼬노미야끼</t>
  </si>
  <si>
    <t>알고니탕+매콤오징어볶음</t>
  </si>
  <si>
    <t>T46156</t>
  </si>
  <si>
    <t>솜씨협동조합 고추잡채와꽃빵+해물누룽지탕</t>
  </si>
  <si>
    <t>T46192</t>
  </si>
  <si>
    <t>코리아식품 청춘불판 동인동식 소갈비찜 500g 2팩</t>
  </si>
  <si>
    <t>청춘불판 동인동식 소갈비찜 500g 2팩</t>
  </si>
  <si>
    <t>T45327</t>
  </si>
  <si>
    <t>꿀팁몰 리얼 불고기 10인치</t>
  </si>
  <si>
    <t>T45626</t>
  </si>
  <si>
    <t>장가 약밥 1.5kg</t>
  </si>
  <si>
    <t>1d7ee410-537c-4ee1-85e3-db69f16ee25b</t>
  </si>
  <si>
    <t>0. 맥널티 (홀빈) 싱글오리진 클래식 원두 블렌드 1kg: (홀빈) 콜롬비아 안데스 오리진 1kg</t>
  </si>
  <si>
    <t>2025112719594218991F</t>
  </si>
  <si>
    <t>S0103</t>
  </si>
  <si>
    <t>참진주로컬푸드</t>
  </si>
  <si>
    <t>참진주로컬푸드 한가위나눔 떡세트</t>
  </si>
  <si>
    <t>한가위나눔 떡세트</t>
  </si>
  <si>
    <t>2025112719125117960F</t>
  </si>
  <si>
    <t>2025112711485396925F</t>
  </si>
  <si>
    <t>2025112711265896487F</t>
  </si>
  <si>
    <t>T38719</t>
  </si>
  <si>
    <t>한우물 511133 참치마요 김밥 6개</t>
  </si>
  <si>
    <t>511133 참치마요김밥 8개</t>
  </si>
  <si>
    <t>T39094</t>
  </si>
  <si>
    <t>과일드림2 빛깔찬 고춧가루 순한맛 양념용 500g (지퍼백)</t>
  </si>
  <si>
    <t>상품:빛깔찬 고춧가루 (지퍼백용)500g 순한맛 양념용</t>
  </si>
  <si>
    <t>A2511M010599649812</t>
  </si>
  <si>
    <t>A2511H720599649116</t>
  </si>
  <si>
    <t>M2511M010599646396</t>
  </si>
  <si>
    <t>T45614</t>
  </si>
  <si>
    <t>아이보리 6종 중기잡곡가루 모듬</t>
  </si>
  <si>
    <t>옵션 : 6종 중기잡곡가루 모듬</t>
  </si>
  <si>
    <t>M2511M010599645622</t>
  </si>
  <si>
    <t>M2511M010599645590</t>
  </si>
  <si>
    <t>T46895</t>
  </si>
  <si>
    <t>함평애푸드 찹쌀유과 3개</t>
  </si>
  <si>
    <t>옵션 : 찹쌀유과 3개</t>
  </si>
  <si>
    <t>NW2025112716123572</t>
  </si>
  <si>
    <t>NW2025112715235571</t>
  </si>
  <si>
    <t>T46822</t>
  </si>
  <si>
    <t>늘푸른우리 (정품) 엔비사과 소과 1kg</t>
  </si>
  <si>
    <t>A253322607227</t>
  </si>
  <si>
    <t>C253322806484</t>
  </si>
  <si>
    <t>C253316948215</t>
  </si>
  <si>
    <t>11/24~11/28 업체지급금액 차액분 계</t>
  </si>
  <si>
    <t>11/24~11/28</t>
  </si>
  <si>
    <t>이커머스 파트 주간 매출 보고서</t>
    <phoneticPr fontId="1" type="noConversion"/>
  </si>
  <si>
    <t>파트1</t>
    <phoneticPr fontId="1" type="noConversion"/>
  </si>
  <si>
    <t>총 매출액</t>
    <phoneticPr fontId="1" type="noConversion"/>
  </si>
  <si>
    <t>달성율</t>
    <phoneticPr fontId="1" type="noConversion"/>
  </si>
  <si>
    <t>총 이익율</t>
    <phoneticPr fontId="1" type="noConversion"/>
  </si>
  <si>
    <t>상품 등록 수</t>
    <phoneticPr fontId="1" type="noConversion"/>
  </si>
  <si>
    <t>상품 등록 대비 판매율</t>
    <phoneticPr fontId="1" type="noConversion"/>
  </si>
  <si>
    <t xml:space="preserve"> 총 판매 수량</t>
    <phoneticPr fontId="1" type="noConversion"/>
  </si>
  <si>
    <t>11월</t>
    <phoneticPr fontId="1" type="noConversion"/>
  </si>
  <si>
    <t>담당 위원님</t>
  </si>
  <si>
    <t>담당자</t>
    <phoneticPr fontId="7" type="noConversion"/>
  </si>
  <si>
    <t>NO</t>
  </si>
  <si>
    <t>분류</t>
  </si>
  <si>
    <t>상담내역</t>
    <phoneticPr fontId="1" type="noConversion"/>
  </si>
  <si>
    <t>조병조 김명수 위원님
(경기, 강원, 충북, 인천)</t>
  </si>
  <si>
    <t>박진성 파트장</t>
    <phoneticPr fontId="7" type="noConversion"/>
  </si>
  <si>
    <t>스마트공장</t>
  </si>
  <si>
    <t>고려원인삼</t>
  </si>
  <si>
    <t>대동리빙</t>
  </si>
  <si>
    <t>동일프라텍</t>
  </si>
  <si>
    <t>보보코퍼레이션</t>
  </si>
  <si>
    <t>삼송캐스터</t>
  </si>
  <si>
    <t>C-Lab 씨랩</t>
  </si>
  <si>
    <t>오픈마켓 진행내역 공지</t>
    <phoneticPr fontId="1" type="noConversion"/>
  </si>
  <si>
    <t>조병조 김명수 위원님
(경기, 강원, 충북, 인천)</t>
    <phoneticPr fontId="7" type="noConversion"/>
  </si>
  <si>
    <t>쓰리아이</t>
  </si>
  <si>
    <t>올덴</t>
  </si>
  <si>
    <t>월드홈닥터</t>
  </si>
  <si>
    <t>이셀(제이케이알팜)</t>
  </si>
  <si>
    <t>정현식품</t>
  </si>
  <si>
    <t>케이엠</t>
  </si>
  <si>
    <t>태광식품</t>
  </si>
  <si>
    <t>태백고랭지김치</t>
  </si>
  <si>
    <t>평창꽃순이김치</t>
  </si>
  <si>
    <t>하늘농가</t>
  </si>
  <si>
    <t>호서텔넷</t>
  </si>
  <si>
    <t>고려포장</t>
  </si>
  <si>
    <t>단장</t>
  </si>
  <si>
    <t>동방팜스</t>
  </si>
  <si>
    <t>진행안함</t>
    <phoneticPr fontId="1" type="noConversion"/>
  </si>
  <si>
    <t>매홍</t>
  </si>
  <si>
    <t>메가코스</t>
  </si>
  <si>
    <t>메텔</t>
  </si>
  <si>
    <t>미트뱅크</t>
  </si>
  <si>
    <t>베름</t>
  </si>
  <si>
    <t>보성엔티</t>
  </si>
  <si>
    <t>비엘아이</t>
  </si>
  <si>
    <t>산돌식품</t>
  </si>
  <si>
    <t>서울식품</t>
  </si>
  <si>
    <t>세준푸드</t>
  </si>
  <si>
    <t>솔티드주식회사</t>
  </si>
  <si>
    <t>송산</t>
  </si>
  <si>
    <t>수젠텍</t>
  </si>
  <si>
    <t>에코더블유</t>
  </si>
  <si>
    <t>오토스광학</t>
  </si>
  <si>
    <t>우송영농조합법인</t>
  </si>
  <si>
    <t>웬떡</t>
  </si>
  <si>
    <t>으뜸올푸드</t>
  </si>
  <si>
    <t>인제군장애인보호작업장</t>
  </si>
  <si>
    <t>정푸드코리아
(화남코퍼레이션)</t>
  </si>
  <si>
    <t>제일뢰스텍</t>
  </si>
  <si>
    <t>트리샤</t>
  </si>
  <si>
    <t>팜스포</t>
  </si>
  <si>
    <t>푸른솔푸드</t>
  </si>
  <si>
    <t>피에스에프</t>
  </si>
  <si>
    <t>하늘푸드</t>
  </si>
  <si>
    <t>하성바이오</t>
  </si>
  <si>
    <t>한퓨어</t>
  </si>
  <si>
    <t>해담마을</t>
  </si>
  <si>
    <t>해오름</t>
  </si>
  <si>
    <t>상품을 주지 않음</t>
    <phoneticPr fontId="1" type="noConversion"/>
  </si>
  <si>
    <t>곽재봉 위원님
(전남, 전북, 충남, 제주)</t>
  </si>
  <si>
    <t>HMO건강드림영농조합법인</t>
  </si>
  <si>
    <t>곰소천년의젓갈영어조합법인</t>
  </si>
  <si>
    <t>금산인삼명가</t>
  </si>
  <si>
    <t>오픈마켓 진행 동의</t>
  </si>
  <si>
    <t>깊은숲속행복한식품</t>
  </si>
  <si>
    <t>로켓배송 불가 / 상세 조건 문의</t>
  </si>
  <si>
    <t>농업회사법인 백제</t>
  </si>
  <si>
    <t>농업회사법인 화산</t>
  </si>
  <si>
    <t>동심푸드</t>
  </si>
  <si>
    <t>제안서 접수 완료</t>
  </si>
  <si>
    <t>링크옵틱스</t>
  </si>
  <si>
    <t>버섯마루</t>
  </si>
  <si>
    <t>협력회사</t>
  </si>
  <si>
    <t>삼이야푸드</t>
  </si>
  <si>
    <t>토스 불가</t>
  </si>
  <si>
    <t>아라움</t>
  </si>
  <si>
    <t>에그핀</t>
  </si>
  <si>
    <t>우리미단</t>
  </si>
  <si>
    <t>이맘 주식회사</t>
  </si>
  <si>
    <t>지아이엠텍</t>
  </si>
  <si>
    <t>케이비덴탈</t>
  </si>
  <si>
    <t>케이비어드히시브스</t>
  </si>
  <si>
    <t>해풍영농조합법인</t>
  </si>
  <si>
    <t>행복S&amp;P제지</t>
  </si>
  <si>
    <t>홈세라</t>
  </si>
  <si>
    <t>강남식품</t>
  </si>
  <si>
    <t>강산농원</t>
  </si>
  <si>
    <t>고려전통식품</t>
  </si>
  <si>
    <t>광주식품</t>
  </si>
  <si>
    <t>금강실리테크</t>
  </si>
  <si>
    <t>네이쳐</t>
  </si>
  <si>
    <t>넥스트원</t>
  </si>
  <si>
    <t>농업회사법인 청맥</t>
  </si>
  <si>
    <t>다복솔식품</t>
  </si>
  <si>
    <t>대륜산업</t>
  </si>
  <si>
    <t>대한물산</t>
  </si>
  <si>
    <t>두부애뜰</t>
  </si>
  <si>
    <t>인원 여력 없음</t>
  </si>
  <si>
    <t>디케이</t>
  </si>
  <si>
    <t>레딕스</t>
  </si>
  <si>
    <t>레스텍</t>
  </si>
  <si>
    <t>변산알핀푸즈</t>
  </si>
  <si>
    <t>브레싱스</t>
  </si>
  <si>
    <t>사회복지법인 평화의마을</t>
  </si>
  <si>
    <t>성지에프앤디</t>
  </si>
  <si>
    <t>세계로수산</t>
  </si>
  <si>
    <t>세븐브로이</t>
  </si>
  <si>
    <t>기업 회생 절차 진행</t>
  </si>
  <si>
    <t>솔젠트</t>
  </si>
  <si>
    <t>씨플러스</t>
  </si>
  <si>
    <t>아이리녹스</t>
  </si>
  <si>
    <t>엄지식품</t>
  </si>
  <si>
    <t>엔씨</t>
  </si>
  <si>
    <t>엠제이주식회사</t>
  </si>
  <si>
    <t>영신식품</t>
  </si>
  <si>
    <t>우리원식품</t>
  </si>
  <si>
    <t>웰빙팜</t>
  </si>
  <si>
    <t>위니케어</t>
  </si>
  <si>
    <t>유성수산</t>
  </si>
  <si>
    <t>청해S&amp;F</t>
  </si>
  <si>
    <t>케이파이</t>
  </si>
  <si>
    <t>크레신</t>
  </si>
  <si>
    <t>파코웨어</t>
  </si>
  <si>
    <t>팜조아</t>
  </si>
  <si>
    <t>푸드웨어</t>
  </si>
  <si>
    <t>한솔바이오한방</t>
  </si>
  <si>
    <t>향아수산</t>
  </si>
  <si>
    <t>홍성풀무</t>
  </si>
  <si>
    <t>화인에프티</t>
  </si>
  <si>
    <t>최승영 과장</t>
    <phoneticPr fontId="7" type="noConversion"/>
  </si>
  <si>
    <t>비즈엑스포 행사에서 총각김치 먹어보고
주문해서 먹었을때 맛이 다름</t>
    <phoneticPr fontId="1" type="noConversion"/>
  </si>
  <si>
    <t>대표님 확인 후 전달 예정 공급가 동일
오픈마켓 진행 동의</t>
    <phoneticPr fontId="1" type="noConversion"/>
  </si>
  <si>
    <t>임재현 팀장 퇴사하면서 테이블리 설립
동심푸드 온라인 판매 독점
혜미원에게 운영사로 제안서 3개월동안 방치
정현식품에게 상페 작업 비용 99만원 받음</t>
    <phoneticPr fontId="1" type="noConversion"/>
  </si>
  <si>
    <t>오픈마켓
기획전 참여만 요청</t>
    <phoneticPr fontId="1" type="noConversion"/>
  </si>
  <si>
    <t>오픈마켓 가격적 수익을 줄여 
최소한의 이익 진행중
상세 조건 문의</t>
    <phoneticPr fontId="1" type="noConversion"/>
  </si>
  <si>
    <t>오픈마켓
아마존 직접 운영중</t>
    <phoneticPr fontId="1" type="noConversion"/>
  </si>
  <si>
    <t>담당자 변경 전반적인 판매 유형 설명
상품별 가격 가이드라인 확인 요청
현재 판매했던 상품들을 메일 전달 요청</t>
    <phoneticPr fontId="1" type="noConversion"/>
  </si>
  <si>
    <t>오픈마켓 동의 . 판매 가격 고수</t>
    <phoneticPr fontId="1" type="noConversion"/>
  </si>
  <si>
    <t>오픈마켓 범위 확인 요청
상세 조건 문의</t>
    <phoneticPr fontId="1" type="noConversion"/>
  </si>
  <si>
    <t>위생점검 통과</t>
    <phoneticPr fontId="1" type="noConversion"/>
  </si>
  <si>
    <t>제안서 접수 완료
 상세페이지 미도착</t>
    <phoneticPr fontId="1" type="noConversion"/>
  </si>
  <si>
    <t>공급가 동일
오픈마켓 진행 동의</t>
    <phoneticPr fontId="1" type="noConversion"/>
  </si>
  <si>
    <t>오픈마켓 및 모든구좌 가능</t>
    <phoneticPr fontId="1" type="noConversion"/>
  </si>
  <si>
    <t>스마트공장</t>
    <phoneticPr fontId="7" type="noConversion"/>
  </si>
  <si>
    <t>담당자 변경
협업 의사 없음</t>
    <phoneticPr fontId="1" type="noConversion"/>
  </si>
  <si>
    <t>직매입만 가능
 위탁불가</t>
    <phoneticPr fontId="1" type="noConversion"/>
  </si>
  <si>
    <t>한국오오타식품</t>
    <phoneticPr fontId="1" type="noConversion"/>
  </si>
  <si>
    <t>본사 - 제조만 진행</t>
    <phoneticPr fontId="1" type="noConversion"/>
  </si>
  <si>
    <t>맹기열 프로</t>
    <phoneticPr fontId="7" type="noConversion"/>
  </si>
  <si>
    <t>말린</t>
  </si>
  <si>
    <t>맑은상회</t>
  </si>
  <si>
    <t>서아</t>
  </si>
  <si>
    <t>쌍영방적</t>
  </si>
  <si>
    <t>일오삼홀딩스</t>
  </si>
  <si>
    <t>주안 에프앤비</t>
  </si>
  <si>
    <t>지리산한봉영농조합</t>
  </si>
  <si>
    <t xml:space="preserve">파머스FNS </t>
  </si>
  <si>
    <t>포렘</t>
  </si>
  <si>
    <t>하이솔</t>
  </si>
  <si>
    <t>해담촌</t>
  </si>
  <si>
    <t>나무숨</t>
  </si>
  <si>
    <t>한영석의 발효연구소</t>
  </si>
  <si>
    <t xml:space="preserve"> 전북형 스마트공장</t>
  </si>
  <si>
    <t>제안서 회신 완료</t>
  </si>
  <si>
    <t>특판 공급가 조율 불가 통보</t>
  </si>
  <si>
    <t>복지몰 입점 상품 제안서 회신 완료</t>
  </si>
  <si>
    <t>특판 상품 제안 요청</t>
  </si>
  <si>
    <t>글로벌클램
(대풍수산)</t>
  </si>
  <si>
    <t>미진행 업체(연락 아예 안 되는 업체)</t>
  </si>
  <si>
    <t>미진행 업체(제안서 미회신 업체)</t>
  </si>
  <si>
    <t>열한시오십분</t>
  </si>
  <si>
    <t>미진행 업체(HACCP 중단)</t>
  </si>
  <si>
    <t>임실레드팜</t>
  </si>
  <si>
    <t>자연앤미</t>
  </si>
  <si>
    <t>위탁 불가능 업체</t>
  </si>
  <si>
    <t>전북형 곽재봉 위원님
(전남, 전북, 충남, 제주)</t>
    <phoneticPr fontId="1" type="noConversion"/>
  </si>
  <si>
    <t>총 이익금</t>
    <phoneticPr fontId="1" type="noConversion"/>
  </si>
  <si>
    <t>목표 매출</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</si>
</sst>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mm&quot;월&quot;\ dd&quot;일&quot;"/>
  </numFmts>
  <fonts count="16">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b/>
      <sz val="11"/>
      <color theme="1"/>
      <name val="맑은 고딕"/>
      <family val="3"/>
      <charset val="129"/>
      <scheme val="minor"/>
    </font>
    <font>
      <sz val="10"/>
      <name val="맑은 고딕"/>
      <family val="3"/>
      <charset val="129"/>
      <scheme val="minor"/>
    </font>
    <font>
      <sz val="11"/>
      <color theme="1"/>
      <name val="맑은 고딕"/>
      <family val="3"/>
      <charset val="129"/>
      <scheme val="minor"/>
    </font>
    <font>
      <sz val="10"/>
      <color indexed="8"/>
      <name val="Malgun Gothic"/>
      <family val="3"/>
      <charset val="129"/>
    </font>
    <font>
      <sz val="8"/>
      <name val="맑은 고딕"/>
      <family val="3"/>
      <charset val="129"/>
      <scheme val="minor"/>
    </font>
    <font>
      <sz val="11"/>
      <color indexed="8"/>
      <name val="Malgun Gothic"/>
      <family val="3"/>
      <charset val="129"/>
    </font>
    <font>
      <sz val="11"/>
      <color theme="1"/>
      <name val="Malgun Gothic"/>
      <family val="3"/>
      <charset val="129"/>
    </font>
    <font>
      <sz val="10"/>
      <color theme="1"/>
      <name val="Malgun Gothic"/>
      <family val="3"/>
      <charset val="129"/>
    </font>
    <font>
      <sz val="9"/>
      <color theme="1"/>
      <name val="Malgun Gothic"/>
      <family val="3"/>
      <charset val="129"/>
    </font>
    <font>
      <sz val="10"/>
      <color rgb="FF000000"/>
      <name val="Malgun Gothic"/>
      <family val="3"/>
      <charset val="129"/>
    </font>
    <font>
      <sz val="11"/>
      <color theme="1"/>
      <name val="맑은 고딕"/>
      <family val="2"/>
      <scheme val="minor"/>
    </font>
    <font>
      <b/>
      <sz val="15"/>
      <color theme="1"/>
      <name val="맑은 고딕"/>
      <family val="3"/>
      <charset val="129"/>
      <scheme val="minor"/>
    </font>
    <font>
      <b/>
      <sz val="10"/>
      <name val="맑은 고딕"/>
      <family val="3"/>
      <charset val="129"/>
      <scheme val="minor"/>
    </font>
  </fonts>
  <fills count="4">
    <fill>
      <patternFill patternType="none"/>
    </fill>
    <fill>
      <patternFill patternType="gray125"/>
    </fill>
    <fill>
      <patternFill patternType="solid">
        <fgColor rgb="FFADB9CA"/>
        <bgColor rgb="FFADB9CA"/>
      </patternFill>
    </fill>
    <fill>
      <patternFill patternType="solid">
        <fgColor rgb="FFFF000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s>
  <cellStyleXfs count="4">
    <xf numFmtId="0" fontId="0" fillId="0" borderId="0">
      <alignment vertical="center"/>
    </xf>
    <xf numFmtId="41" fontId="2" fillId="0" borderId="0" applyFont="0" applyFill="0" applyBorder="0" applyAlignment="0" applyProtection="0">
      <alignment vertical="center"/>
    </xf>
    <xf numFmtId="9" fontId="2" fillId="0" borderId="0" applyFont="0" applyFill="0" applyBorder="0" applyAlignment="0" applyProtection="0">
      <alignment vertical="center"/>
    </xf>
    <xf numFmtId="0" fontId="5" fillId="0" borderId="0"/>
  </cellStyleXfs>
  <cellXfs count="33">
    <xf numFmtId="0" fontId="0" fillId="0" borderId="0" xfId="0">
      <alignment vertical="center"/>
    </xf>
    <xf numFmtId="0" fontId="0" fillId="0" borderId="0" xfId="0" applyAlignment="1">
      <alignment horizontal="center" vertical="center"/>
    </xf>
    <xf numFmtId="176" fontId="0" fillId="0" borderId="0" xfId="0" applyNumberFormat="1" applyAlignment="1">
      <alignment horizontal="center" vertical="center"/>
    </xf>
    <xf numFmtId="3" fontId="0" fillId="0" borderId="0" xfId="0" applyNumberFormat="1" applyAlignment="1">
      <alignment horizontal="center" vertical="center"/>
    </xf>
    <xf numFmtId="10" fontId="0" fillId="0" borderId="0" xfId="0" applyNumberFormat="1" applyAlignment="1">
      <alignment horizontal="center" vertical="center"/>
    </xf>
    <xf numFmtId="3" fontId="0" fillId="0" borderId="0" xfId="0" applyNumberFormat="1">
      <alignment vertical="center"/>
    </xf>
    <xf numFmtId="0" fontId="0" fillId="0" borderId="0" xfId="0" applyAlignment="1">
      <alignment horizontal="center" vertical="center" wrapText="1"/>
    </xf>
    <xf numFmtId="0" fontId="3" fillId="0" borderId="0" xfId="0" applyFont="1" applyAlignment="1">
      <alignment horizontal="center" vertical="center"/>
    </xf>
    <xf numFmtId="0" fontId="3" fillId="0" borderId="1" xfId="0" applyFont="1" applyBorder="1" applyAlignment="1">
      <alignment horizontal="center" vertical="center"/>
    </xf>
    <xf numFmtId="0" fontId="0" fillId="0" borderId="1" xfId="0" applyBorder="1" applyAlignment="1">
      <alignment horizontal="center" vertical="center"/>
    </xf>
    <xf numFmtId="9" fontId="0" fillId="0" borderId="0" xfId="2" applyFont="1" applyBorder="1" applyAlignment="1">
      <alignment horizontal="center" vertical="center"/>
    </xf>
    <xf numFmtId="9" fontId="4" fillId="0" borderId="1" xfId="2" applyFont="1" applyBorder="1" applyAlignment="1">
      <alignment horizontal="center"/>
    </xf>
    <xf numFmtId="41" fontId="0" fillId="0" borderId="1" xfId="1" applyFont="1" applyBorder="1" applyAlignment="1">
      <alignment horizontal="center" vertical="center"/>
    </xf>
    <xf numFmtId="0" fontId="6" fillId="2" borderId="2" xfId="3" applyFont="1" applyFill="1" applyBorder="1" applyAlignment="1">
      <alignment horizontal="center" vertical="center"/>
    </xf>
    <xf numFmtId="0" fontId="8" fillId="0" borderId="0" xfId="3" applyFont="1" applyAlignment="1">
      <alignment vertical="center"/>
    </xf>
    <xf numFmtId="0" fontId="9" fillId="0" borderId="0" xfId="3" applyFont="1" applyAlignment="1">
      <alignment vertical="center"/>
    </xf>
    <xf numFmtId="0" fontId="10" fillId="0" borderId="3" xfId="3" applyFont="1" applyBorder="1" applyAlignment="1">
      <alignment horizontal="center" vertical="center" wrapText="1"/>
    </xf>
    <xf numFmtId="0" fontId="10" fillId="0" borderId="3" xfId="3" applyFont="1" applyBorder="1" applyAlignment="1">
      <alignment horizontal="center" vertical="center"/>
    </xf>
    <xf numFmtId="0" fontId="11" fillId="0" borderId="3" xfId="3" applyFont="1" applyBorder="1" applyAlignment="1">
      <alignment horizontal="center" vertical="center" wrapText="1"/>
    </xf>
    <xf numFmtId="0" fontId="10" fillId="0" borderId="0" xfId="3" applyFont="1" applyAlignment="1">
      <alignment horizontal="center" vertical="center" wrapText="1"/>
    </xf>
    <xf numFmtId="0" fontId="11" fillId="0" borderId="3" xfId="3" applyFont="1" applyBorder="1" applyAlignment="1">
      <alignment vertical="center"/>
    </xf>
    <xf numFmtId="0" fontId="10" fillId="3" borderId="3" xfId="3" applyFont="1" applyFill="1" applyBorder="1" applyAlignment="1">
      <alignment horizontal="center" vertical="center" wrapText="1"/>
    </xf>
    <xf numFmtId="0" fontId="10" fillId="3" borderId="3" xfId="3" applyFont="1" applyFill="1" applyBorder="1" applyAlignment="1">
      <alignment horizontal="center" vertical="center"/>
    </xf>
    <xf numFmtId="0" fontId="11" fillId="3" borderId="3" xfId="3" applyFont="1" applyFill="1" applyBorder="1" applyAlignment="1">
      <alignment horizontal="center" vertical="center" wrapText="1"/>
    </xf>
    <xf numFmtId="0" fontId="12" fillId="3" borderId="3" xfId="3" applyFont="1" applyFill="1" applyBorder="1" applyAlignment="1">
      <alignment horizontal="center" vertical="center" wrapText="1"/>
    </xf>
    <xf numFmtId="9" fontId="0" fillId="0" borderId="1" xfId="2" applyFont="1" applyBorder="1" applyAlignment="1">
      <alignment horizontal="center" vertical="center"/>
    </xf>
    <xf numFmtId="41" fontId="3" fillId="0" borderId="0" xfId="1" applyFont="1" applyAlignment="1">
      <alignment horizontal="center" vertical="center"/>
    </xf>
    <xf numFmtId="3" fontId="3" fillId="0" borderId="0" xfId="0" applyNumberFormat="1" applyFont="1" applyAlignment="1">
      <alignment horizontal="center" vertical="center"/>
    </xf>
    <xf numFmtId="41" fontId="0" fillId="0" borderId="0" xfId="1" applyFont="1">
      <alignment vertical="center"/>
    </xf>
    <xf numFmtId="9" fontId="4" fillId="0" borderId="0" xfId="2" applyFont="1" applyBorder="1" applyAlignment="1">
      <alignment horizontal="center"/>
    </xf>
    <xf numFmtId="41" fontId="0" fillId="0" borderId="0" xfId="1" applyFont="1" applyBorder="1" applyAlignment="1">
      <alignment horizontal="center" vertical="center"/>
    </xf>
    <xf numFmtId="0" fontId="14" fillId="0" borderId="0" xfId="0" applyFont="1" applyAlignment="1">
      <alignment horizontal="left" vertical="center"/>
    </xf>
    <xf numFmtId="9" fontId="15" fillId="0" borderId="1" xfId="2" applyFont="1" applyBorder="1" applyAlignment="1">
      <alignment horizontal="center"/>
    </xf>
  </cellXfs>
  <cellStyles count="4">
    <cellStyle name="백분율" xfId="2" builtinId="5"/>
    <cellStyle name="쉼표 [0]" xfId="1" builtinId="6"/>
    <cellStyle name="표준" xfId="0" builtinId="0"/>
    <cellStyle name="표준 10" xfId="3" xr:uid="{C247A4D0-0E51-4612-B568-5D1B2096A235}"/>
  </cellStyles>
  <dxfs count="1">
    <dxf>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2.xml"/><Relationship Id="rId21" Type="http://schemas.openxmlformats.org/officeDocument/2006/relationships/externalLink" Target="externalLinks/externalLink17.xml"/><Relationship Id="rId42" Type="http://schemas.openxmlformats.org/officeDocument/2006/relationships/externalLink" Target="externalLinks/externalLink38.xml"/><Relationship Id="rId47" Type="http://schemas.openxmlformats.org/officeDocument/2006/relationships/externalLink" Target="externalLinks/externalLink43.xml"/><Relationship Id="rId63" Type="http://schemas.openxmlformats.org/officeDocument/2006/relationships/externalLink" Target="externalLinks/externalLink59.xml"/><Relationship Id="rId68" Type="http://schemas.openxmlformats.org/officeDocument/2006/relationships/externalLink" Target="externalLinks/externalLink64.xml"/><Relationship Id="rId16" Type="http://schemas.openxmlformats.org/officeDocument/2006/relationships/externalLink" Target="externalLinks/externalLink12.xml"/><Relationship Id="rId11" Type="http://schemas.openxmlformats.org/officeDocument/2006/relationships/externalLink" Target="externalLinks/externalLink7.xml"/><Relationship Id="rId32" Type="http://schemas.openxmlformats.org/officeDocument/2006/relationships/externalLink" Target="externalLinks/externalLink28.xml"/><Relationship Id="rId37" Type="http://schemas.openxmlformats.org/officeDocument/2006/relationships/externalLink" Target="externalLinks/externalLink33.xml"/><Relationship Id="rId53" Type="http://schemas.openxmlformats.org/officeDocument/2006/relationships/externalLink" Target="externalLinks/externalLink49.xml"/><Relationship Id="rId58" Type="http://schemas.openxmlformats.org/officeDocument/2006/relationships/externalLink" Target="externalLinks/externalLink54.xml"/><Relationship Id="rId74" Type="http://schemas.openxmlformats.org/officeDocument/2006/relationships/externalLink" Target="externalLinks/externalLink70.xml"/><Relationship Id="rId79" Type="http://schemas.openxmlformats.org/officeDocument/2006/relationships/styles" Target="styles.xml"/><Relationship Id="rId5" Type="http://schemas.openxmlformats.org/officeDocument/2006/relationships/externalLink" Target="externalLinks/externalLink1.xml"/><Relationship Id="rId61" Type="http://schemas.openxmlformats.org/officeDocument/2006/relationships/externalLink" Target="externalLinks/externalLink57.xml"/><Relationship Id="rId19" Type="http://schemas.openxmlformats.org/officeDocument/2006/relationships/externalLink" Target="externalLinks/externalLink15.xml"/><Relationship Id="rId14" Type="http://schemas.openxmlformats.org/officeDocument/2006/relationships/externalLink" Target="externalLinks/externalLink10.xml"/><Relationship Id="rId22" Type="http://schemas.openxmlformats.org/officeDocument/2006/relationships/externalLink" Target="externalLinks/externalLink18.xml"/><Relationship Id="rId27" Type="http://schemas.openxmlformats.org/officeDocument/2006/relationships/externalLink" Target="externalLinks/externalLink23.xml"/><Relationship Id="rId30" Type="http://schemas.openxmlformats.org/officeDocument/2006/relationships/externalLink" Target="externalLinks/externalLink26.xml"/><Relationship Id="rId35" Type="http://schemas.openxmlformats.org/officeDocument/2006/relationships/externalLink" Target="externalLinks/externalLink31.xml"/><Relationship Id="rId43" Type="http://schemas.openxmlformats.org/officeDocument/2006/relationships/externalLink" Target="externalLinks/externalLink39.xml"/><Relationship Id="rId48" Type="http://schemas.openxmlformats.org/officeDocument/2006/relationships/externalLink" Target="externalLinks/externalLink44.xml"/><Relationship Id="rId56" Type="http://schemas.openxmlformats.org/officeDocument/2006/relationships/externalLink" Target="externalLinks/externalLink52.xml"/><Relationship Id="rId64" Type="http://schemas.openxmlformats.org/officeDocument/2006/relationships/externalLink" Target="externalLinks/externalLink60.xml"/><Relationship Id="rId69" Type="http://schemas.openxmlformats.org/officeDocument/2006/relationships/externalLink" Target="externalLinks/externalLink65.xml"/><Relationship Id="rId77" Type="http://schemas.openxmlformats.org/officeDocument/2006/relationships/externalLink" Target="externalLinks/externalLink73.xml"/><Relationship Id="rId8" Type="http://schemas.openxmlformats.org/officeDocument/2006/relationships/externalLink" Target="externalLinks/externalLink4.xml"/><Relationship Id="rId51" Type="http://schemas.openxmlformats.org/officeDocument/2006/relationships/externalLink" Target="externalLinks/externalLink47.xml"/><Relationship Id="rId72" Type="http://schemas.openxmlformats.org/officeDocument/2006/relationships/externalLink" Target="externalLinks/externalLink68.xml"/><Relationship Id="rId80"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externalLink" Target="externalLinks/externalLink8.xml"/><Relationship Id="rId17" Type="http://schemas.openxmlformats.org/officeDocument/2006/relationships/externalLink" Target="externalLinks/externalLink13.xml"/><Relationship Id="rId25" Type="http://schemas.openxmlformats.org/officeDocument/2006/relationships/externalLink" Target="externalLinks/externalLink21.xml"/><Relationship Id="rId33" Type="http://schemas.openxmlformats.org/officeDocument/2006/relationships/externalLink" Target="externalLinks/externalLink29.xml"/><Relationship Id="rId38" Type="http://schemas.openxmlformats.org/officeDocument/2006/relationships/externalLink" Target="externalLinks/externalLink34.xml"/><Relationship Id="rId46" Type="http://schemas.openxmlformats.org/officeDocument/2006/relationships/externalLink" Target="externalLinks/externalLink42.xml"/><Relationship Id="rId59" Type="http://schemas.openxmlformats.org/officeDocument/2006/relationships/externalLink" Target="externalLinks/externalLink55.xml"/><Relationship Id="rId67" Type="http://schemas.openxmlformats.org/officeDocument/2006/relationships/externalLink" Target="externalLinks/externalLink63.xml"/><Relationship Id="rId20" Type="http://schemas.openxmlformats.org/officeDocument/2006/relationships/externalLink" Target="externalLinks/externalLink16.xml"/><Relationship Id="rId41" Type="http://schemas.openxmlformats.org/officeDocument/2006/relationships/externalLink" Target="externalLinks/externalLink37.xml"/><Relationship Id="rId54" Type="http://schemas.openxmlformats.org/officeDocument/2006/relationships/externalLink" Target="externalLinks/externalLink50.xml"/><Relationship Id="rId62" Type="http://schemas.openxmlformats.org/officeDocument/2006/relationships/externalLink" Target="externalLinks/externalLink58.xml"/><Relationship Id="rId70" Type="http://schemas.openxmlformats.org/officeDocument/2006/relationships/externalLink" Target="externalLinks/externalLink66.xml"/><Relationship Id="rId75" Type="http://schemas.openxmlformats.org/officeDocument/2006/relationships/externalLink" Target="externalLinks/externalLink71.xml"/><Relationship Id="rId1" Type="http://schemas.openxmlformats.org/officeDocument/2006/relationships/worksheet" Target="worksheets/sheet1.xml"/><Relationship Id="rId6" Type="http://schemas.openxmlformats.org/officeDocument/2006/relationships/externalLink" Target="externalLinks/externalLink2.xml"/><Relationship Id="rId15" Type="http://schemas.openxmlformats.org/officeDocument/2006/relationships/externalLink" Target="externalLinks/externalLink11.xml"/><Relationship Id="rId23" Type="http://schemas.openxmlformats.org/officeDocument/2006/relationships/externalLink" Target="externalLinks/externalLink19.xml"/><Relationship Id="rId28" Type="http://schemas.openxmlformats.org/officeDocument/2006/relationships/externalLink" Target="externalLinks/externalLink24.xml"/><Relationship Id="rId36" Type="http://schemas.openxmlformats.org/officeDocument/2006/relationships/externalLink" Target="externalLinks/externalLink32.xml"/><Relationship Id="rId49" Type="http://schemas.openxmlformats.org/officeDocument/2006/relationships/externalLink" Target="externalLinks/externalLink45.xml"/><Relationship Id="rId57" Type="http://schemas.openxmlformats.org/officeDocument/2006/relationships/externalLink" Target="externalLinks/externalLink53.xml"/><Relationship Id="rId10" Type="http://schemas.openxmlformats.org/officeDocument/2006/relationships/externalLink" Target="externalLinks/externalLink6.xml"/><Relationship Id="rId31" Type="http://schemas.openxmlformats.org/officeDocument/2006/relationships/externalLink" Target="externalLinks/externalLink27.xml"/><Relationship Id="rId44" Type="http://schemas.openxmlformats.org/officeDocument/2006/relationships/externalLink" Target="externalLinks/externalLink40.xml"/><Relationship Id="rId52" Type="http://schemas.openxmlformats.org/officeDocument/2006/relationships/externalLink" Target="externalLinks/externalLink48.xml"/><Relationship Id="rId60" Type="http://schemas.openxmlformats.org/officeDocument/2006/relationships/externalLink" Target="externalLinks/externalLink56.xml"/><Relationship Id="rId65" Type="http://schemas.openxmlformats.org/officeDocument/2006/relationships/externalLink" Target="externalLinks/externalLink61.xml"/><Relationship Id="rId73" Type="http://schemas.openxmlformats.org/officeDocument/2006/relationships/externalLink" Target="externalLinks/externalLink69.xml"/><Relationship Id="rId78" Type="http://schemas.openxmlformats.org/officeDocument/2006/relationships/theme" Target="theme/theme1.xml"/><Relationship Id="rId8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externalLink" Target="externalLinks/externalLink5.xml"/><Relationship Id="rId13" Type="http://schemas.openxmlformats.org/officeDocument/2006/relationships/externalLink" Target="externalLinks/externalLink9.xml"/><Relationship Id="rId18" Type="http://schemas.openxmlformats.org/officeDocument/2006/relationships/externalLink" Target="externalLinks/externalLink14.xml"/><Relationship Id="rId39" Type="http://schemas.openxmlformats.org/officeDocument/2006/relationships/externalLink" Target="externalLinks/externalLink35.xml"/><Relationship Id="rId34" Type="http://schemas.openxmlformats.org/officeDocument/2006/relationships/externalLink" Target="externalLinks/externalLink30.xml"/><Relationship Id="rId50" Type="http://schemas.openxmlformats.org/officeDocument/2006/relationships/externalLink" Target="externalLinks/externalLink46.xml"/><Relationship Id="rId55" Type="http://schemas.openxmlformats.org/officeDocument/2006/relationships/externalLink" Target="externalLinks/externalLink51.xml"/><Relationship Id="rId76" Type="http://schemas.openxmlformats.org/officeDocument/2006/relationships/externalLink" Target="externalLinks/externalLink72.xml"/><Relationship Id="rId7" Type="http://schemas.openxmlformats.org/officeDocument/2006/relationships/externalLink" Target="externalLinks/externalLink3.xml"/><Relationship Id="rId71" Type="http://schemas.openxmlformats.org/officeDocument/2006/relationships/externalLink" Target="externalLinks/externalLink67.xml"/><Relationship Id="rId2" Type="http://schemas.openxmlformats.org/officeDocument/2006/relationships/worksheet" Target="worksheets/sheet2.xml"/><Relationship Id="rId29" Type="http://schemas.openxmlformats.org/officeDocument/2006/relationships/externalLink" Target="externalLinks/externalLink25.xml"/><Relationship Id="rId24" Type="http://schemas.openxmlformats.org/officeDocument/2006/relationships/externalLink" Target="externalLinks/externalLink20.xml"/><Relationship Id="rId40" Type="http://schemas.openxmlformats.org/officeDocument/2006/relationships/externalLink" Target="externalLinks/externalLink36.xml"/><Relationship Id="rId45" Type="http://schemas.openxmlformats.org/officeDocument/2006/relationships/externalLink" Target="externalLinks/externalLink41.xml"/><Relationship Id="rId66" Type="http://schemas.openxmlformats.org/officeDocument/2006/relationships/externalLink" Target="externalLinks/externalLink6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B:\9624.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ejong/a_files4/mail_1/199937139_20010420104202/DCI_010417_EL.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wicamfs01\proj\Engineering%20Disciplines\Process\CAMBRIDGE\LA%20McMonagle\Equipment%20Data%20Sheets\L%20V%20Separator.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IPG(E)-&#49888;&#49440;&#48120;\ATTAHADDY\&#44060;&#51064;&#47928;&#49436;\qnix\valve_code.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ep.hec.co.kr/My%20Documents/Pha%20Lai/HVAC/North%20HVAC%20Drawings/North%20Submittals%20to%20Boston/PL2-BP-NO-SW-100014/PHALAIDUCT%20dwg-%20h-013201-2.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48177;&#54868;&#49440;\D\project\pc0840\SPEC\BM-PC0840.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50980;&#51116;&#50672;\aproject\skec\TDI\BM\TDIBM1.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F:\INSAKIHO\TASA\&#44277;&#53685;\SUDANG\&#49340;&#49457;&#52488;&#51076;.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1060;&#52384;&#54868;\&#51068;&#50948;&#45824;&#44032;\&#50672;&#46028;&#45236;&#50669;&#51068;&#50948;.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F:\WekaWeku\&#44208;&#49328;\KIJO\97&#44221;&#50689;&#48516;&#49437;\A&#49324;&#50629;&#44228;&#54925;\02&#45800;%20%20%20&#44592;\98&#51116;&#49688;&#47549;&#49688;&#51221;\&#51333;&#44592;&#49892;&#51228;&#52636;\&#49688;&#51221;&#50577;&#49885;.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F:\HDLAN\HDEC30\CACHE\WekaWeku\&#44208;&#49328;\KIJO\97&#44221;&#50689;&#48516;&#49437;\A&#49324;&#50629;&#44228;&#54925;\02&#45800;%20%20%20&#44592;\98&#51116;&#49688;&#47549;&#49688;&#51221;\&#51333;&#44592;&#49892;&#51228;&#52636;\&#49688;&#51221;&#50577;&#49885;.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Jkh\&#44221;&#50689;&#51648;&#50896;&#54016;%20&#50629;&#47924;&#44277;&#50976;\&#47924;&#50669;\&#50724;&#54536;&#47560;&#53011;\2022.&#50728;&#46972;&#51064;%20&#54032;&#47588;%20&#49345;&#54408;%20&#49548;&#49905;\03.&#50728;&#46972;&#51064;%20&#49345;&#54408;%20&#49548;&#49905;\&#54648;&#46300;&#54256;_&#53945;&#49569;&#50896;&#44032;.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49444;&#44228;1&#48512;server\drawing\ALKHAFJI\DRAIN%20VALVE%20SIZE%20&#48320;&#44221;.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http://gw.hec.co.kr/PJT/BID/TIDCO/USER/PROPOSAL/PHC/BM/ACTIVITY.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172.27.1.243\Aijtesh%20FCC\PetroFCC\5.FMCS\2.Equip\&#51088;&#51116;&#44288;&#47532;\JOB\&#51060;&#46976;Pta\site%20data\data\010627\INFO\20010317\msr_t.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h:\CPC_rfcc\Cost_refer_nodco\Payment_Cash%20Balance.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F:\WekaWeku\&#44208;&#49328;\9624\&#49324;&#50629;&#52628;&#51221;.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B:\FORM\96&#44208;&#49328;.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F:\HDLAN\HDEC30\CACHE\WekaWeku\&#44208;&#49328;\9624\&#49324;&#50629;&#52628;&#51221;.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A:\KIMNH\JOJIK\&#50644;&#47553;COMP9901.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F:\HDLAN\HDEC30\CACHE\WekaWeku\&#44208;&#49328;\97SAUPCU.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F:\HDLAN\HDEC30\CACHE\MONTH\&#49324;&#50629;&#52628;09.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50500;&#53680;\D\JOB\LG&#51064;&#52380;\LOAD-CAL\LOAD.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B:\&#54217;&#44512;&#51064;&#50896;.95"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ep.hec.co.kr/&#44204;&#51201;/1Salman/BOQ/&#50808;&#48512;_BOQ-SALMAN-&#48176;&#44288;.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gw.hec.co.kr/&#46028;&#44256;&#47000;/&#44277;&#51221;/&#44277;&#51221;_0503.xls"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F:\KIJO\KIJOB\SSUK\96CONF.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44608;&#50725;&#48176;\project\Documents%20and%20Settings\11ciskkang\&#48148;&#53461;%20&#54868;&#47732;\down\B666946049XB_REV.xls"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49444;&#44228;1&#48512;server\drawing\JOB2006\&#54788;&#45824;&#50644;&#51648;&#45768;&#50612;&#47553;\Proposal\D-PROJECT\ISSUE\BM\20070104\BOQ%20Form-fire%20fighting-61206.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1111323d02\PROJECT\BUDGET\WOONAM\CHUMDAN\BSD.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http://gw.hec.co.kr/My%20document/&#49892;&#54665;&#50696;&#49328;/&#54217;&#44512;&#51064;&#50896;.95"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1111323d02\PROJECT\BUDGET\WOONAM\CDDBP.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gw.hec.co.kr/&#54532;&#47196;&#51229;&#53944;/11_Badar_PEL_Pakistan(Bid)/DIY/Price/Badar-Price-Mech.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file:///\\&#51060;&#50689;&#54617;\SOUTH%20PARS\data\South_pars\report\south_MCI_0503.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file:///\\&#48149;&#51648;&#54984;\JOB_PIN\project\SKEC\no1%20cdu%20HAC\Bpa\BM\POWERBM.xls"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file:///\\WEKA&#51060;&#51064;&#48176;\C\DATA\CHINA\CHASS\&#44208;&#49328;\95&#45380;\9544.XLS"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http://sejong/a_files4/mail_1/199937139_20010420104202/DCI_010419.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http://gw.hec.co.kr/&#44060;&#48156;program/fdn_bm_pro.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F:\WekaWeku\&#44208;&#49328;\97SAUPCU.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E:\02_Equipment%20List%20Management%20System\from%20Process-Equip.List\&#44592;&#49696;&#44060;&#48156;\Equipment_List_Standard_format\UNIT_500.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file:///F:\WekaWeku\&#44208;&#49328;\exceldata\&#48176;&#48512;\98&#45380;\&#48176;&#48512;981.xls"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51060;&#49569;\REHMAT\&#44608;&#52285;&#49688;\&#44204;&#51201;\REHMAT\Backup\motor%20pump%20kw.xls"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http://ep.hec.co.kr/My%20Documents/Pha%20Lai/HVAC/North%20HVAC%20Drawings/North%20Submittals%20to%20Boston/PL2-BP-NO-SW-100014/PHALAIDUCT%20.xls"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h:\99Work\&#44204;&#51201;\9905\abp\ELECabp2.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http://gw.hec.co.kr/PJT/BID/TIDCO/LHC/BM/ACTIVITY.xls"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h:\&#48337;&#47564;JOB\2000BMLEE\&#44397;&#45236;&#54532;&#47196;&#51229;&#53944;\7&#50900;\&#44400;&#49324;&#51088;&#46041;&#54868;\ZA0092-E0.XLS" TargetMode="External"/></Relationships>
</file>

<file path=xl/externalLinks/_rels/externalLink47.xml.rels><?xml version="1.0" encoding="UTF-8" standalone="yes"?>
<Relationships xmlns="http://schemas.openxmlformats.org/package/2006/relationships"><Relationship Id="rId1" Type="http://schemas.microsoft.com/office/2006/relationships/xlExternalLinkPath/xlStartup" Target="Attahaddy/Verification/Pump&amp;Comp/FIL-3003CV.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SJMBNW04\DATA\MC_KI\E_MAIL\WK16.XLS"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file:///Z:\DATA\CS1\FINAL\CALCUL~1\DATA\Blowdown%20Project\DATA\BLOWDOWN.XLS"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file:///F:\KIJO\&#48176;&#48512;990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51060;&#51064;&#48176;\C\&#44397;&#44032;\CHINA\CHASS\9624\6&#50900;&#45824;&#49324;.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A:\PARKTJ\99plan\98&#49892;&#51201;\98&#49892;&#51201;.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Hwserver\project\T9602\XLS\INCHON.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file:///\\&#44608;&#50725;&#48176;\project\Documentum\Viewed\120840583806215734641\KKANGDAGU\scyang\&#54408;&#51656;&#54872;&#44221;\&#49457;&#44284;&#54408;&#50577;&#49885;\Bldg_Guide\Engineering_WBS_em&#49900;&#54868;&#44284;&#51221;&#49569;&#48512;&#50857;_&#49688;&#51221;.xls"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51204;&#44552;&#55148;\&#51452;&#44036;&#48372;&#44256;\Users\caporum1\My%20Documents\Logistics%20&amp;%20Trade%20Services\Operations\PPS%20LTS%20PQMS%20Process\OTR%20Procedures\LTS_SUMM_US_ProjectName_IPSNumber%20Final.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48149;&#45824;&#51061;\NC41\&#44060;&#48156;program\fdn_bm_pro.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44608;&#50725;&#48176;\project\Ruwais\BOQ\04%20Hook_up_&#49328;&#52636;\Petro%20BTX\00.%20UOP%20&#51088;&#47308;\800%20Series\24-800%20Series\temp%2001.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9926289d01\&#50500;&#51228;&#47476;&#48148;&#51060;&#51228;%20&#48708;&#47308;&#44277;&#51109;\OL2K(&#53216;&#50920;&#51060;&#53944;)\0_2004_&#51077;&#52272;\0_SP15n16\0_&#52628;&#44032;(Circular_18)\3_BM_S1516_20040908_(SWI&#52628;&#44032;-NoDevi&#48516;&#47532;_latest).xls"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9926289d01\&#50500;&#51228;&#47476;&#48148;&#51060;&#51228;%20&#48708;&#47308;&#44277;&#51109;\PROJECT\DMC\DMC%20&#51077;&#52272;\Reference\20060705_BOQ%20List-NRP%232_Final_&#49688;&#51221;\BOQ%20List-Civil-NRP%232_20060705_(EG%20for%20&#49340;&#54861;).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F:\KIJO\&#44221;&#50689;&#48516;&#49437;\F&#51068;&#48152;&#44288;&#47532;\01&#50696;&#49328;&#54200;&#49457;\99&#50696;&#49328;\&#50896;&#45800;&#50948;&#51088;&#47308;2xls.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file:///\\&#44608;&#50725;&#48176;\project\&#44608;&#50725;&#48176;\BOQ_Reference\orifice\Book1.xls" TargetMode="External"/></Relationships>
</file>

<file path=xl/externalLinks/_rels/externalLink62.xml.rels><?xml version="1.0" encoding="UTF-8" standalone="yes"?>
<Relationships xmlns="http://schemas.openxmlformats.org/package/2006/relationships"><Relationship Id="rId1" Type="http://schemas.microsoft.com/office/2006/relationships/xlExternalLinkPath/xlPathMissing" Target="Disclaimer-Smartsheet-Templates_Solution1-Tab5"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44608;&#50725;&#48176;\project\2008-PROJECT\HYUNDAI-ENG\01_QAFCO-5\05_Bill%20of%20Quantities\0229-&#47932;&#47049;&#48708;&#44368;&#51089;&#50629;\0228-BOQ-&#52280;&#51312;&#50857;\MMA-BOQ-MH-001_r080122.XLS"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file:///C:\Users\dakim.000\AppData\Local\SK%20Communications\NATEON5\F0E594618196B1608CE07BE8CB39BCCA\Temp\&#44144;&#47000;&#52376;&#48324;%20&#54665;&#49324;&#51228;&#50504;&#49436;%20&#50577;&#49885;_(&#51452;)&#54000;&#50640;&#49828;&#50952;20221017.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44608;&#50725;&#48176;\project\Project\!AlJubail\&#51089;&#50629;&#48169;\inform\breakdown(1).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file:///C:\Users\&#49888;&#46041;&#51064;\DOCUME~1\&#52852;&#52852;&#50724;~1\$$&#52712;&#54633;&#51473;%20&#49345;&#54408;&#51312;&#49324;&#49436;_&#48288;&#45348;&#54252;&#50976;&#47792;.xlsx"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h:\exceldata\&#48176;&#48512;\96&#45380;\&#48176;&#48512;961.XLS"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file:///A:\&#51060;&#50640;&#51060;&#50472;\2003&#51060;&#50640;&#51060;&#50472;\03.&#44277;&#47924;&#48512;\&#54788;&#51109;&#48324;\13.%20&#50672;&#55148;&#46041;&#48716;&#46377;%20&#49888;&#52629;&#44277;&#49324;\01.%20&#44228;&#50557;&#49436;&#48143;%20&#45236;&#50669;&#49436;\EXCEL\DATA\OLD\&#49345;&#48393;01.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44608;&#48124;&#49437;\&#44592;&#44228;&#51201;&#49328;&#49444;&#44228;\EXCEL\WORDDATA\EDATA\KJO\&#44592;&#53440;&#54868;&#51068;\&#51473;&#51109;&#48708;.xls"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file:///F:\&#50641;&#49472;%20DATA\97&#50696;&#49328;\&#50896;&#45800;&#50948;&#51088;&#47308;\&#51064;&#50896;.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file:///h:\&#45236;%20&#50629;&#47924;\&#49888;&#51077;&#49324;&#50896;%20&#48516;&#44592;%20&#47112;&#54252;&#53944;\2004%20&#51068;&#49324;&#48516;&#44592;\southpar4&amp;5-ref.xls" TargetMode="External"/></Relationships>
</file>

<file path=xl/externalLinks/_rels/externalLink72.xml.rels><?xml version="1.0" encoding="UTF-8" standalone="yes"?>
<Relationships xmlns="http://schemas.openxmlformats.org/package/2006/relationships"><Relationship Id="rId1" Type="http://schemas.openxmlformats.org/officeDocument/2006/relationships/externalLinkPath" Target="file:///\\&#48149;&#51648;&#54984;\C\D97445\Inst\DRAWING\Conn.List\LCP.XLS"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F:\Users\HEC\AppData\Local\Temp\Temp1_Early%20Kandym_Final%20CBM.ZIP\MS\Early%20Kandym%20CBM_MS%20RevB.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3"/>
      <sheetName val="04"/>
      <sheetName val="Sheet2"/>
      <sheetName val="Sheet3"/>
      <sheetName val="Sheet4"/>
      <sheetName val="Sheet5"/>
      <sheetName val="shn"/>
      <sheetName val="VXXXXXXX"/>
      <sheetName val="본지점중"/>
      <sheetName val="정산표2"/>
      <sheetName val="집계표"/>
      <sheetName val="개시대사 (2)"/>
      <sheetName val="95삼성급(본사)"/>
    </sheetNames>
    <sheetDataSet>
      <sheetData sheetId="0"/>
      <sheetData sheetId="1"/>
      <sheetData sheetId="2"/>
      <sheetData sheetId="3"/>
      <sheetData sheetId="4"/>
      <sheetData sheetId="5"/>
      <sheetData sheetId="6"/>
      <sheetData sheetId="7"/>
      <sheetData sheetId="8" refreshError="1"/>
      <sheetData sheetId="9" refreshError="1"/>
      <sheetData sheetId="10" refreshError="1"/>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_DCI"/>
      <sheetName val="FF_DCI"/>
      <sheetName val="MECH_DCI"/>
      <sheetName val="HVAC_DCI"/>
      <sheetName val="PIPE_DCI"/>
      <sheetName val="INST_DCI"/>
      <sheetName val="CIVIL_DCI"/>
      <sheetName val="BLDG_DCI"/>
      <sheetName val="ELEC_DCI"/>
      <sheetName val="Testing"/>
      <sheetName val="정부노임단가"/>
      <sheetName val="BQ"/>
      <sheetName val="DCI_010417_EL"/>
      <sheetName val="본지점중"/>
      <sheetName val="7.5.2 BOQ Summary "/>
      <sheetName val="공사비PK5월"/>
      <sheetName val="Wkly04"/>
      <sheetName val="SE-611"/>
      <sheetName val="Base_Data"/>
      <sheetName val="BB2현대건설견적"/>
      <sheetName val="BM"/>
      <sheetName val="INSTR"/>
      <sheetName val="건내용"/>
      <sheetName val="Sheet2"/>
      <sheetName val="DU&amp;B"/>
      <sheetName val="SOHAR(2nd)"/>
      <sheetName val="예산서"/>
      <sheetName val="TABLE"/>
      <sheetName val="#REF"/>
      <sheetName val="회사99"/>
      <sheetName val="간접비내역-1"/>
      <sheetName val="MEAS"/>
      <sheetName val="mat list"/>
      <sheetName val="TIE-INS"/>
      <sheetName val="Material and Manpower data"/>
      <sheetName val="Pricing Summary"/>
      <sheetName val="영업소실적"/>
      <sheetName val="상반기손익차2총괄"/>
      <sheetName val="data_dci"/>
      <sheetName val="data_mci"/>
      <sheetName val="behind"/>
      <sheetName val="Main"/>
      <sheetName val="세금자료"/>
      <sheetName val="경제지표"/>
      <sheetName val="공통비"/>
      <sheetName val="Tube"/>
      <sheetName val="cable"/>
      <sheetName val="도"/>
      <sheetName val="fitting"/>
      <sheetName val="IMP(MAIN)"/>
      <sheetName val="IMP (REACTOR)"/>
      <sheetName val="경비2내역"/>
      <sheetName val="소업1교"/>
      <sheetName val="eq_data"/>
      <sheetName val="97 사업추정(WEKI)"/>
      <sheetName val="h-013211-2"/>
      <sheetName val="PumpSpec"/>
      <sheetName val="간접비(1)"/>
      <sheetName val="TOEC"/>
      <sheetName val="95삼성급(본사)"/>
      <sheetName val="ITB COST"/>
      <sheetName val="BLDG_MCI"/>
      <sheetName val="갑지"/>
      <sheetName val="TABLE2-2 OSBL(total)"/>
      <sheetName val="집계표(OPTION)"/>
      <sheetName val="working load at the btm ft."/>
      <sheetName val="stability check"/>
      <sheetName val="design criteria"/>
      <sheetName val="plan&amp;section of foundation"/>
      <sheetName val="산근"/>
      <sheetName val="IN"/>
      <sheetName val="estimate"/>
      <sheetName val="B"/>
      <sheetName val="BLOCK(1)"/>
      <sheetName val="수입"/>
      <sheetName val="Info"/>
      <sheetName val="도급양식"/>
      <sheetName val="Units"/>
      <sheetName val="Instructions"/>
      <sheetName val="Sheet1"/>
      <sheetName val="7_5_2_BOQ_Summary_"/>
      <sheetName val="간접비 총괄표"/>
      <sheetName val="HORI. VESSEL"/>
      <sheetName val="BCPAB"/>
      <sheetName val="수주추정"/>
      <sheetName val="SILICATE"/>
    </sheetNames>
    <definedNames>
      <definedName name="GoList"/>
      <definedName name="MENU"/>
    </definedNames>
    <sheetDataSet>
      <sheetData sheetId="0"/>
      <sheetData sheetId="1" refreshError="1"/>
      <sheetData sheetId="2" refreshError="1"/>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sheetData sheetId="81" refreshError="1"/>
      <sheetData sheetId="82" refreshError="1"/>
      <sheetData sheetId="83" refreshError="1"/>
      <sheetData sheetId="84" refreshError="1"/>
      <sheetData sheetId="85"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 V Separator"/>
      <sheetName val="eq_data"/>
      <sheetName val="Cover"/>
    </sheetNames>
    <sheetDataSet>
      <sheetData sheetId="0">
        <row r="1">
          <cell r="A1" t="str">
            <v>LIQUID  / VAPOR SEPARATOR  DATA SHEET</v>
          </cell>
        </row>
        <row r="2">
          <cell r="A2" t="str">
            <v>CLIENT :</v>
          </cell>
          <cell r="D2" t="str">
            <v>SK Corporation</v>
          </cell>
          <cell r="O2" t="str">
            <v>ITEM NO. :</v>
          </cell>
          <cell r="R2" t="str">
            <v>XX-XXXXX</v>
          </cell>
        </row>
        <row r="3">
          <cell r="A3" t="str">
            <v>UNIT:</v>
          </cell>
          <cell r="D3" t="str">
            <v>Unit Name</v>
          </cell>
          <cell r="O3" t="str">
            <v>LOCATION :</v>
          </cell>
          <cell r="R3" t="str">
            <v>Ulsan, Korea</v>
          </cell>
        </row>
        <row r="4">
          <cell r="A4">
            <v>1</v>
          </cell>
          <cell r="B4" t="str">
            <v>EQUIPMENT NAME:</v>
          </cell>
          <cell r="G4" t="str">
            <v>Equipment Name</v>
          </cell>
          <cell r="V4" t="str">
            <v>NUMBER REQUIRED:</v>
          </cell>
        </row>
        <row r="5">
          <cell r="A5">
            <v>2</v>
          </cell>
          <cell r="B5" t="str">
            <v xml:space="preserve">NOTE : </v>
          </cell>
          <cell r="F5" t="str">
            <v>INDICATES INFORMATION TO BE COMPLETED BY PURCHASER</v>
          </cell>
          <cell r="U5" t="str">
            <v>BY MANUFACTURER</v>
          </cell>
          <cell r="Z5" t="str">
            <v>BY EITHER</v>
          </cell>
        </row>
        <row r="6">
          <cell r="A6">
            <v>3</v>
          </cell>
          <cell r="B6" t="str">
            <v>MANUFACTURER:</v>
          </cell>
          <cell r="O6" t="str">
            <v>MODEL NO. :</v>
          </cell>
          <cell r="V6" t="str">
            <v>SERIAL NO. :</v>
          </cell>
        </row>
        <row r="7">
          <cell r="A7">
            <v>4</v>
          </cell>
          <cell r="B7" t="str">
            <v>GENERAL</v>
          </cell>
          <cell r="Q7" t="str">
            <v>CONNECTIONS</v>
          </cell>
        </row>
        <row r="8">
          <cell r="A8">
            <v>5</v>
          </cell>
          <cell r="V8" t="str">
            <v>NO.</v>
          </cell>
          <cell r="X8" t="str">
            <v>SIZE</v>
          </cell>
          <cell r="Y8" t="str">
            <v>in</v>
          </cell>
          <cell r="Z8" t="str">
            <v>RATING</v>
          </cell>
          <cell r="AB8" t="str">
            <v>FACING</v>
          </cell>
        </row>
        <row r="9">
          <cell r="A9">
            <v>6</v>
          </cell>
          <cell r="B9" t="str">
            <v xml:space="preserve"> TYPE - </v>
          </cell>
          <cell r="E9" t="str">
            <v>CENTRIFUGAL</v>
          </cell>
          <cell r="I9" t="str">
            <v>GRAVITY SETTLING</v>
          </cell>
          <cell r="Q9" t="str">
            <v xml:space="preserve"> INLET</v>
          </cell>
        </row>
        <row r="10">
          <cell r="A10">
            <v>7</v>
          </cell>
          <cell r="E10" t="str">
            <v>VANE</v>
          </cell>
          <cell r="I10" t="str">
            <v xml:space="preserve"> OTHER</v>
          </cell>
          <cell r="Q10" t="str">
            <v xml:space="preserve"> VAPOR  OUTLET</v>
          </cell>
        </row>
        <row r="11">
          <cell r="A11">
            <v>8</v>
          </cell>
          <cell r="B11" t="str">
            <v xml:space="preserve"> ORIENTATION -</v>
          </cell>
          <cell r="G11" t="str">
            <v>HORIZONTAL</v>
          </cell>
          <cell r="L11" t="str">
            <v xml:space="preserve"> VERTICAL UPFLOW</v>
          </cell>
          <cell r="Q11" t="str">
            <v xml:space="preserve"> VENT</v>
          </cell>
        </row>
        <row r="12">
          <cell r="A12">
            <v>9</v>
          </cell>
          <cell r="G12" t="str">
            <v>IN-LINE</v>
          </cell>
          <cell r="L12" t="str">
            <v xml:space="preserve"> VERTICAL DOWNFLOW</v>
          </cell>
          <cell r="Q12" t="str">
            <v xml:space="preserve"> LIQUID OUTLET</v>
          </cell>
        </row>
        <row r="13">
          <cell r="A13">
            <v>10</v>
          </cell>
          <cell r="G13" t="str">
            <v>OTHER</v>
          </cell>
          <cell r="Q13" t="str">
            <v xml:space="preserve"> MANWAY</v>
          </cell>
        </row>
        <row r="14">
          <cell r="A14">
            <v>11</v>
          </cell>
          <cell r="Q14" t="str">
            <v xml:space="preserve"> RELIEF VALVE</v>
          </cell>
        </row>
        <row r="15">
          <cell r="A15">
            <v>12</v>
          </cell>
          <cell r="C15" t="str">
            <v>OVERALL  DIMENSIONS - DIAM :</v>
          </cell>
          <cell r="K15" t="str">
            <v>mm</v>
          </cell>
          <cell r="M15" t="str">
            <v>HT:</v>
          </cell>
          <cell r="P15" t="str">
            <v>mm</v>
          </cell>
          <cell r="Q15" t="str">
            <v xml:space="preserve"> LEVEL GUAGE</v>
          </cell>
        </row>
        <row r="16">
          <cell r="A16">
            <v>13</v>
          </cell>
          <cell r="B16" t="str">
            <v xml:space="preserve"> SHELL SUPPORT</v>
          </cell>
          <cell r="H16" t="str">
            <v xml:space="preserve"> LEGS</v>
          </cell>
          <cell r="L16" t="str">
            <v xml:space="preserve"> LUGS</v>
          </cell>
          <cell r="Q16" t="str">
            <v xml:space="preserve"> VACUUM BREAKER</v>
          </cell>
        </row>
        <row r="17">
          <cell r="A17">
            <v>14</v>
          </cell>
          <cell r="H17" t="str">
            <v>SKIRT</v>
          </cell>
          <cell r="L17" t="str">
            <v xml:space="preserve"> OTHER</v>
          </cell>
          <cell r="Q17" t="str">
            <v xml:space="preserve"> STEAM JACKET INLET</v>
          </cell>
        </row>
        <row r="18">
          <cell r="A18">
            <v>15</v>
          </cell>
          <cell r="B18" t="str">
            <v xml:space="preserve"> DAVIT REQ'D TO LIFT COVER</v>
          </cell>
          <cell r="J18" t="str">
            <v xml:space="preserve"> YES</v>
          </cell>
          <cell r="M18" t="str">
            <v>NO</v>
          </cell>
          <cell r="Q18" t="str">
            <v xml:space="preserve"> STEAM JACKET DRAIN</v>
          </cell>
        </row>
        <row r="19">
          <cell r="A19">
            <v>16</v>
          </cell>
          <cell r="B19" t="str">
            <v xml:space="preserve"> WEIGHT - EMPTY</v>
          </cell>
          <cell r="I19" t="str">
            <v>kg</v>
          </cell>
          <cell r="J19" t="str">
            <v>FLOODED</v>
          </cell>
          <cell r="P19" t="str">
            <v>kg</v>
          </cell>
        </row>
        <row r="20">
          <cell r="A20">
            <v>17</v>
          </cell>
          <cell r="B20" t="str">
            <v>OPERATING CONDITIONS</v>
          </cell>
        </row>
        <row r="21">
          <cell r="A21">
            <v>18</v>
          </cell>
          <cell r="C21" t="str">
            <v xml:space="preserve"> FLUID -</v>
          </cell>
        </row>
        <row r="22">
          <cell r="A22">
            <v>19</v>
          </cell>
          <cell r="C22" t="str">
            <v xml:space="preserve"> SEPARATOR DUTY -</v>
          </cell>
          <cell r="Q22" t="str">
            <v>SEPARATOR ELEMENTS</v>
          </cell>
        </row>
        <row r="23">
          <cell r="A23">
            <v>20</v>
          </cell>
          <cell r="R23" t="str">
            <v>MANUFACTURER</v>
          </cell>
        </row>
        <row r="24">
          <cell r="A24">
            <v>21</v>
          </cell>
          <cell r="R24" t="str">
            <v>MODEL No(s).</v>
          </cell>
        </row>
        <row r="25">
          <cell r="A25">
            <v>22</v>
          </cell>
          <cell r="Q25" t="str">
            <v xml:space="preserve">  TYPE(S)</v>
          </cell>
          <cell r="T25" t="str">
            <v>INLET BAFFLE</v>
          </cell>
          <cell r="X25" t="str">
            <v>AGGLOMERATOR</v>
          </cell>
        </row>
        <row r="26">
          <cell r="A26">
            <v>23</v>
          </cell>
          <cell r="K26" t="str">
            <v>NORMAL</v>
          </cell>
          <cell r="N26" t="str">
            <v>RATED</v>
          </cell>
          <cell r="T26" t="str">
            <v>VANE</v>
          </cell>
          <cell r="X26" t="str">
            <v>MIST EXTRACTOR</v>
          </cell>
        </row>
        <row r="27">
          <cell r="A27">
            <v>24</v>
          </cell>
          <cell r="C27" t="str">
            <v>MIX FLOW RATE</v>
          </cell>
          <cell r="I27" t="str">
            <v>m³/h</v>
          </cell>
          <cell r="T27" t="str">
            <v>OTHER</v>
          </cell>
        </row>
        <row r="28">
          <cell r="A28">
            <v>25</v>
          </cell>
          <cell r="C28" t="str">
            <v>OPERATING PRESSURE</v>
          </cell>
          <cell r="I28" t="str">
            <v>kg/cm²g</v>
          </cell>
          <cell r="R28" t="str">
            <v>DESCRIBE SEPARATION PATH THROUGH ELEMENT(S)</v>
          </cell>
        </row>
        <row r="29">
          <cell r="A29">
            <v>26</v>
          </cell>
          <cell r="C29" t="str">
            <v>OPERATING TEMPERATURE</v>
          </cell>
          <cell r="I29" t="str">
            <v>°C</v>
          </cell>
        </row>
        <row r="30">
          <cell r="A30">
            <v>27</v>
          </cell>
          <cell r="C30" t="str">
            <v>MAX ALLOWABLE CLOGGED PRESSURE DROP *</v>
          </cell>
          <cell r="O30" t="str">
            <v>kg/cm²</v>
          </cell>
        </row>
        <row r="31">
          <cell r="A31">
            <v>28</v>
          </cell>
          <cell r="C31" t="str">
            <v>ENTRAINMENT RATE @ NORM FLOW RATE</v>
          </cell>
          <cell r="O31" t="str">
            <v>kg/h</v>
          </cell>
        </row>
        <row r="32">
          <cell r="A32">
            <v>29</v>
          </cell>
          <cell r="C32" t="str">
            <v>MEAN LIQUID PARTICLE SIZE</v>
          </cell>
          <cell r="O32" t="str">
            <v>mm</v>
          </cell>
        </row>
        <row r="33">
          <cell r="A33">
            <v>30</v>
          </cell>
          <cell r="C33" t="str">
            <v>LIQUID REMOVAL RATE</v>
          </cell>
          <cell r="O33" t="str">
            <v>m³/h</v>
          </cell>
          <cell r="R33" t="str">
            <v>ESTIMATED SERVICING INTERVAL:</v>
          </cell>
        </row>
        <row r="34">
          <cell r="A34">
            <v>31</v>
          </cell>
          <cell r="C34" t="str">
            <v>MIN LIQUID REMOVAL EFFICIENCY</v>
          </cell>
          <cell r="L34" t="str">
            <v>%@</v>
          </cell>
          <cell r="O34" t="str">
            <v>mm</v>
          </cell>
          <cell r="Q34" t="str">
            <v>STEAM JACKET</v>
          </cell>
        </row>
        <row r="35">
          <cell r="A35">
            <v>32</v>
          </cell>
          <cell r="B35" t="str">
            <v>LIQUID / VAPOR COMPOSITION</v>
          </cell>
          <cell r="R35" t="str">
            <v>TYPE</v>
          </cell>
        </row>
        <row r="36">
          <cell r="A36">
            <v>33</v>
          </cell>
          <cell r="B36" t="str">
            <v>COMPONENT</v>
          </cell>
          <cell r="K36" t="str">
            <v>VISC.</v>
          </cell>
          <cell r="M36" t="str">
            <v>DENSITY</v>
          </cell>
          <cell r="O36" t="str">
            <v>TEMP</v>
          </cell>
          <cell r="R36" t="str">
            <v>STEAM FLOW</v>
          </cell>
          <cell r="AB36" t="str">
            <v xml:space="preserve">kg/h </v>
          </cell>
        </row>
        <row r="37">
          <cell r="A37">
            <v>34</v>
          </cell>
          <cell r="I37" t="str">
            <v>WT %</v>
          </cell>
          <cell r="K37" t="str">
            <v>cP</v>
          </cell>
          <cell r="M37" t="str">
            <v>kg/m³</v>
          </cell>
          <cell r="O37" t="str">
            <v xml:space="preserve">°C </v>
          </cell>
          <cell r="R37" t="str">
            <v>OPERATING PRESSURE</v>
          </cell>
          <cell r="AB37" t="str">
            <v>kg/cm²g</v>
          </cell>
        </row>
        <row r="38">
          <cell r="A38">
            <v>35</v>
          </cell>
          <cell r="R38" t="str">
            <v>OPERATING TEMPERATURE</v>
          </cell>
          <cell r="AB38" t="str">
            <v xml:space="preserve">°C </v>
          </cell>
        </row>
        <row r="39">
          <cell r="A39">
            <v>36</v>
          </cell>
          <cell r="R39" t="str">
            <v>DESIGN PRESSURE</v>
          </cell>
          <cell r="AB39" t="str">
            <v>kg/cm²g</v>
          </cell>
        </row>
        <row r="40">
          <cell r="A40">
            <v>37</v>
          </cell>
          <cell r="R40" t="str">
            <v>DESIGN TEMPERATURE</v>
          </cell>
          <cell r="AB40" t="str">
            <v xml:space="preserve">°C </v>
          </cell>
        </row>
        <row r="41">
          <cell r="A41">
            <v>38</v>
          </cell>
          <cell r="Q41" t="str">
            <v>SEPARATOR PRESSURE DROP</v>
          </cell>
        </row>
        <row r="42">
          <cell r="A42">
            <v>39</v>
          </cell>
          <cell r="R42" t="str">
            <v>CLEAN</v>
          </cell>
          <cell r="AB42" t="str">
            <v>kg/cm²</v>
          </cell>
        </row>
        <row r="43">
          <cell r="A43">
            <v>40</v>
          </cell>
          <cell r="B43" t="str">
            <v>MECHANICAL DESIGN</v>
          </cell>
          <cell r="R43" t="str">
            <v>CLEANING REQ'D</v>
          </cell>
          <cell r="AB43" t="str">
            <v>kg/cm²</v>
          </cell>
        </row>
        <row r="44">
          <cell r="A44">
            <v>41</v>
          </cell>
          <cell r="C44" t="str">
            <v>DESIGN PRESSURE</v>
          </cell>
          <cell r="O44" t="str">
            <v>kg/cm²g</v>
          </cell>
          <cell r="R44" t="str">
            <v>COLLAPSE PRESS INSIDE-OUT</v>
          </cell>
          <cell r="AB44" t="str">
            <v>kg/cm²g</v>
          </cell>
        </row>
        <row r="45">
          <cell r="A45">
            <v>42</v>
          </cell>
          <cell r="C45" t="str">
            <v>DESIGN TEMPERATURE</v>
          </cell>
          <cell r="O45" t="str">
            <v xml:space="preserve">°C </v>
          </cell>
          <cell r="R45" t="str">
            <v>COLLAPSE PRESS OUTSIDE-IN</v>
          </cell>
          <cell r="AB45" t="str">
            <v>kg/cm²g</v>
          </cell>
        </row>
        <row r="46">
          <cell r="A46">
            <v>43</v>
          </cell>
          <cell r="C46" t="str">
            <v>MINIMUM DESIGN METAL TEMPERATURE</v>
          </cell>
          <cell r="O46" t="str">
            <v xml:space="preserve">°C </v>
          </cell>
          <cell r="R46" t="str">
            <v xml:space="preserve"> INTERNAL BYPASS VALVE INCL</v>
          </cell>
          <cell r="AA46" t="str">
            <v>YES</v>
          </cell>
          <cell r="AC46" t="str">
            <v>NO</v>
          </cell>
        </row>
        <row r="47">
          <cell r="A47">
            <v>44</v>
          </cell>
          <cell r="B47" t="str">
            <v>MATERIALS of CONSTRUCTION</v>
          </cell>
          <cell r="Q47" t="str">
            <v>TESTS, CODES, SPECIFICATIONS</v>
          </cell>
        </row>
        <row r="48">
          <cell r="A48">
            <v>45</v>
          </cell>
          <cell r="O48" t="str">
            <v>CORR.</v>
          </cell>
          <cell r="R48" t="str">
            <v xml:space="preserve">HYDRO TEST PER ASME SECT VIII </v>
          </cell>
          <cell r="AA48" t="str">
            <v>YES</v>
          </cell>
          <cell r="AC48" t="str">
            <v>NO</v>
          </cell>
        </row>
        <row r="49">
          <cell r="A49">
            <v>46</v>
          </cell>
          <cell r="J49" t="str">
            <v>MATERIAL</v>
          </cell>
          <cell r="O49" t="str">
            <v>ALLOW.</v>
          </cell>
          <cell r="R49" t="str">
            <v xml:space="preserve">MANUFACTURED PER ASME CODE </v>
          </cell>
          <cell r="AA49" t="str">
            <v>YES</v>
          </cell>
          <cell r="AC49" t="str">
            <v>NO</v>
          </cell>
        </row>
        <row r="50">
          <cell r="A50">
            <v>47</v>
          </cell>
          <cell r="O50" t="str">
            <v>mm</v>
          </cell>
          <cell r="R50" t="str">
            <v>ASME CODE STAMP REQ'D</v>
          </cell>
          <cell r="AA50" t="str">
            <v>YES</v>
          </cell>
          <cell r="AC50" t="str">
            <v>NO</v>
          </cell>
        </row>
        <row r="51">
          <cell r="A51">
            <v>48</v>
          </cell>
          <cell r="C51" t="str">
            <v>SHELL</v>
          </cell>
          <cell r="R51" t="str">
            <v>SHOP PAINTING</v>
          </cell>
        </row>
        <row r="52">
          <cell r="A52">
            <v>49</v>
          </cell>
          <cell r="C52" t="str">
            <v>HEAD</v>
          </cell>
          <cell r="R52" t="str">
            <v>VESSELS</v>
          </cell>
        </row>
        <row r="53">
          <cell r="A53">
            <v>50</v>
          </cell>
          <cell r="C53" t="str">
            <v>INTERNALS</v>
          </cell>
        </row>
        <row r="54">
          <cell r="A54">
            <v>51</v>
          </cell>
          <cell r="C54" t="str">
            <v>SEPARATION ELEMENT(S)</v>
          </cell>
        </row>
        <row r="55">
          <cell r="A55">
            <v>52</v>
          </cell>
        </row>
        <row r="56">
          <cell r="A56">
            <v>53</v>
          </cell>
          <cell r="C56" t="str">
            <v>BOLTING</v>
          </cell>
        </row>
        <row r="57">
          <cell r="A57">
            <v>54</v>
          </cell>
          <cell r="C57" t="str">
            <v>FLANGES</v>
          </cell>
        </row>
        <row r="58">
          <cell r="A58">
            <v>55</v>
          </cell>
          <cell r="C58" t="str">
            <v>GASKETS</v>
          </cell>
        </row>
        <row r="59">
          <cell r="A59">
            <v>56</v>
          </cell>
          <cell r="C59" t="str">
            <v>STEAM JACKET</v>
          </cell>
        </row>
        <row r="60">
          <cell r="A60">
            <v>57</v>
          </cell>
          <cell r="C60" t="str">
            <v>See sheet 3 for notes</v>
          </cell>
        </row>
        <row r="61">
          <cell r="A61">
            <v>58</v>
          </cell>
        </row>
        <row r="62">
          <cell r="A62">
            <v>59</v>
          </cell>
          <cell r="B62" t="str">
            <v xml:space="preserve">  *Process limitation for when cleaning is required</v>
          </cell>
        </row>
        <row r="63">
          <cell r="A63">
            <v>60</v>
          </cell>
          <cell r="B63" t="str">
            <v>SEE SHEET 1 OF THIS DOCUMENT FOR COPYRIGHT, CONFIDENTIALITY AND OTHER RESTRICTIONS</v>
          </cell>
        </row>
        <row r="64">
          <cell r="J64" t="str">
            <v xml:space="preserve"> ISSUE</v>
          </cell>
          <cell r="L64" t="str">
            <v xml:space="preserve"> DATE</v>
          </cell>
          <cell r="P64" t="str">
            <v>SHEET</v>
          </cell>
          <cell r="U64" t="str">
            <v>DOC NO.:</v>
          </cell>
        </row>
        <row r="65">
          <cell r="J65" t="str">
            <v>A</v>
          </cell>
          <cell r="L65">
            <v>0</v>
          </cell>
          <cell r="P65">
            <v>2</v>
          </cell>
          <cell r="R65" t="str">
            <v>OF</v>
          </cell>
          <cell r="S65">
            <v>4</v>
          </cell>
          <cell r="U65" t="str">
            <v>R0503-</v>
          </cell>
        </row>
      </sheetData>
      <sheetData sheetId="1" refreshError="1"/>
      <sheetData sheetId="2"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_code"/>
      <sheetName val="Sheet1"/>
      <sheetName val="Sheet1 (2)"/>
      <sheetName val="CAT_5"/>
      <sheetName val="Elec_BOQ"/>
      <sheetName val="95삼성급(본사)"/>
      <sheetName val="집계표"/>
      <sheetName val="개시대사 (2)"/>
      <sheetName val="LV CDB"/>
      <sheetName val="95삼성급_본사_"/>
      <sheetName val="valve_code"/>
      <sheetName val="Titles"/>
      <sheetName val="Information"/>
      <sheetName val="7.6.3(B) UG Piping"/>
      <sheetName val="전차선로 물량표"/>
      <sheetName val="B31.1"/>
      <sheetName val="PSIZE"/>
      <sheetName val="ASA"/>
      <sheetName val="MixBed"/>
      <sheetName val="CondPol"/>
      <sheetName val="MC-1"/>
      <sheetName val="교각1"/>
      <sheetName val="BQ"/>
      <sheetName val="Sheet1_(2)"/>
      <sheetName val="개시대사_(2)"/>
      <sheetName val="LV_CDB"/>
      <sheetName val="원가현황"/>
      <sheetName val="data_dci"/>
      <sheetName val="data_mci"/>
      <sheetName val="behind"/>
      <sheetName val="Main"/>
      <sheetName val="Sheet2"/>
      <sheetName val="EQUIP-H"/>
      <sheetName val="경제성분석"/>
      <sheetName val="CB"/>
      <sheetName val="DATA"/>
      <sheetName val="단가 및 재료비"/>
      <sheetName val="eq_data"/>
      <sheetName val="작성기준"/>
      <sheetName val="내역"/>
      <sheetName val="´çÃÊ"/>
      <sheetName val="Pipe"/>
      <sheetName val="Valve"/>
      <sheetName val="Specialty Item"/>
      <sheetName val="영업소실적"/>
      <sheetName val="TDC_ADMIN"/>
      <sheetName val="Requisitions"/>
      <sheetName val="ICDS"/>
      <sheetName val="Sheet6"/>
      <sheetName val="XZLC004_PART2"/>
      <sheetName val="ABAD"/>
      <sheetName val="A1기성"/>
      <sheetName val="BGT"/>
      <sheetName val="CHAVOSH"/>
      <sheetName val="ZAR SAZ"/>
      <sheetName val="기계내역서"/>
      <sheetName val="I一般比"/>
      <sheetName val="N賃率-職"/>
      <sheetName val="Sum by Departments (3)"/>
      <sheetName val="Data Complete (2)"/>
      <sheetName val="Sheet1_(2)1"/>
      <sheetName val="개시대사_(2)1"/>
      <sheetName val="전차선로_물량표"/>
      <sheetName val="B31_1"/>
      <sheetName val="LV_CDB1"/>
      <sheetName val="7_6_3(B)_UG_Piping"/>
      <sheetName val="단가_및_재료비"/>
      <sheetName val="ZAR_SAZ"/>
      <sheetName val="Specialty_Item"/>
      <sheetName val="내역서"/>
      <sheetName val="GTG TR"/>
      <sheetName val="주관사업"/>
      <sheetName val="소일위대가코드표"/>
      <sheetName val="포장복구집계"/>
      <sheetName val="CAMP - CONSTRUCTION"/>
      <sheetName val="DRUM"/>
      <sheetName val="Activity(new)"/>
      <sheetName val="상반기손익차2총괄"/>
      <sheetName val="RENUN"/>
      <sheetName val="간선계산"/>
      <sheetName val="TIE-IN"/>
      <sheetName val="수입"/>
      <sheetName val="기초자료"/>
      <sheetName val="견적집계표"/>
      <sheetName val="jobhist"/>
      <sheetName val="공문"/>
      <sheetName val="요약배부"/>
      <sheetName val="choose"/>
      <sheetName val="공사비 내역 (가)"/>
      <sheetName val="LEGEND"/>
      <sheetName val="PARAMETER"/>
      <sheetName val="공사내역"/>
      <sheetName val="Sheet5"/>
      <sheetName val="Z"/>
      <sheetName val="Sheet1_(2)2"/>
      <sheetName val="개시대사_(2)2"/>
      <sheetName val="전차선로_물량표1"/>
      <sheetName val="B31_11"/>
      <sheetName val="LV_CDB2"/>
      <sheetName val="7_6_3(B)_UG_Piping1"/>
      <sheetName val="PRICE-COMP"/>
      <sheetName val="4.TANK Farm"/>
      <sheetName val="노임단가"/>
      <sheetName val="환율표"/>
      <sheetName val="IMPEADENCE MAP 취수장"/>
      <sheetName val="Macro3"/>
      <sheetName val="EQUIPMENT"/>
      <sheetName val="Insts"/>
      <sheetName val="INSTR"/>
      <sheetName val="Rates"/>
      <sheetName val="B31.1_Table"/>
      <sheetName val="ASME_Size"/>
      <sheetName val="unit"/>
      <sheetName val="ABUT수량-A1"/>
      <sheetName val="general"/>
      <sheetName val="A1"/>
      <sheetName val="A4"/>
      <sheetName val="용소리교"/>
      <sheetName val="부표총괄"/>
      <sheetName val="암거공"/>
      <sheetName val="ExchRate"/>
      <sheetName val="LOAD 5 Wind "/>
      <sheetName val="Assadsaid"/>
      <sheetName val="BQ (rev2)"/>
      <sheetName val="KCC"/>
      <sheetName val="Kettaneh"/>
      <sheetName val="MMG(2)"/>
      <sheetName val="BLDG_DCI"/>
      <sheetName val="BLDG_MCI"/>
      <sheetName val="BE.4"/>
      <sheetName val="4.Footing Design"/>
      <sheetName val="2.Load Calculation"/>
      <sheetName val="3.Check For Stability"/>
      <sheetName val="Curves"/>
      <sheetName val="Tables"/>
      <sheetName val="기준액"/>
      <sheetName val="단중표"/>
      <sheetName val="실행내역"/>
      <sheetName val="산근"/>
      <sheetName val="입찰안"/>
      <sheetName val="Basic_Info"/>
      <sheetName val="Master"/>
      <sheetName val="So lieu chung"/>
      <sheetName val="VLOOKUP"/>
      <sheetName val="cal-foamglass"/>
      <sheetName val="뜃맟뭁돽띿맟?-BLDG"/>
      <sheetName val="SPEC-DT2"/>
      <sheetName val="Basic"/>
      <sheetName val="Summary Sheets"/>
      <sheetName val="총괄표"/>
      <sheetName val="미드수량"/>
      <sheetName val="ITEM-LIST"/>
      <sheetName val="품셈표"/>
    </sheetNames>
    <sheetDataSet>
      <sheetData sheetId="0" refreshError="1"/>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sheetData sheetId="58"/>
      <sheetData sheetId="59"/>
      <sheetData sheetId="60"/>
      <sheetData sheetId="61"/>
      <sheetData sheetId="62"/>
      <sheetData sheetId="63"/>
      <sheetData sheetId="64"/>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013211-2"/>
      <sheetName val="h-013201-2"/>
      <sheetName val="h-113003-3"/>
      <sheetName val="h-213002-3"/>
      <sheetName val="h-13101-3"/>
      <sheetName val="h-013001-3"/>
      <sheetName val="013301-2"/>
      <sheetName val="h-013202-2"/>
      <sheetName val="PumpSpec"/>
      <sheetName val="steam table"/>
      <sheetName val="수량산출서"/>
      <sheetName val="97 사업추정(WEKI)"/>
      <sheetName val="본지점중"/>
      <sheetName val="eq_data"/>
      <sheetName val="견적의뢰"/>
      <sheetName val="수입"/>
      <sheetName val="PROCESS"/>
      <sheetName val="TOEC"/>
      <sheetName val="공문"/>
      <sheetName val="PHALAIDUCT dwg- h-013201-2"/>
      <sheetName val="Sheet1"/>
      <sheetName val="h_013211_2"/>
      <sheetName val="Expat Conditions"/>
      <sheetName val="REINF_"/>
      <sheetName val="SKETCH"/>
      <sheetName val="LOADS"/>
      <sheetName val="투입실적"/>
      <sheetName val="details"/>
      <sheetName val="내역서"/>
      <sheetName val="BQ(Piping)"/>
      <sheetName val="PipWT"/>
      <sheetName val="REINF."/>
      <sheetName val="소화실적"/>
      <sheetName val="M1"/>
      <sheetName val="BQ List"/>
      <sheetName val="CWP"/>
      <sheetName val="PIPE"/>
      <sheetName val="상반기손익차2총괄"/>
      <sheetName val="CHECK1"/>
      <sheetName val="new급여T(4을-운전)"/>
      <sheetName val="전기일위대가"/>
      <sheetName val="노임"/>
      <sheetName val="DATA"/>
      <sheetName val="CAT_5"/>
      <sheetName val="정부노임단가"/>
      <sheetName val="영업소실적"/>
      <sheetName val="경제지표"/>
      <sheetName val="Prefab"/>
      <sheetName val="철수현황"/>
      <sheetName val="고자현황"/>
      <sheetName val="직원동원SCH"/>
      <sheetName val="Total"/>
      <sheetName val="Graph (LGEN)"/>
      <sheetName val="out_prog"/>
      <sheetName val="DCS_EDIT"/>
      <sheetName val="BM DATA SHEET"/>
      <sheetName val="fitting"/>
      <sheetName val="환율"/>
      <sheetName val="BLR 1"/>
      <sheetName val="GEN"/>
      <sheetName val="GAS"/>
      <sheetName val="DEAE"/>
      <sheetName val="BLR2"/>
      <sheetName val="BLR3"/>
      <sheetName val="BLR4"/>
      <sheetName val="BLR5"/>
      <sheetName val="DEM"/>
      <sheetName val="SAM"/>
      <sheetName val="CHEM"/>
      <sheetName val="COP"/>
      <sheetName val="현장지지물물량"/>
      <sheetName val=""/>
      <sheetName val="관세,통관수수료,운반비"/>
      <sheetName val="Ex-Rate"/>
      <sheetName val="DESCRIPTION"/>
      <sheetName val="CODE"/>
      <sheetName val="CAPITULOS"/>
      <sheetName val="Elect (3)"/>
      <sheetName val="IN"/>
      <sheetName val="선적schedule (2)"/>
      <sheetName val="VA_code"/>
      <sheetName val="DOWNLOAD"/>
      <sheetName val="C급보 "/>
      <sheetName val="PRO_A"/>
      <sheetName val="MAIN"/>
      <sheetName val="PRO"/>
      <sheetName val="#REF"/>
      <sheetName val="터널조도"/>
      <sheetName val="PAGE 1"/>
      <sheetName val="plan&amp;section of foundation"/>
      <sheetName val="design criteria"/>
      <sheetName val="Quantity"/>
      <sheetName val="Sheet4"/>
      <sheetName val="costing_CV"/>
      <sheetName val="costing_ESDV"/>
      <sheetName val="costing_FE"/>
      <sheetName val="costing_Misc"/>
      <sheetName val="costing_MOV"/>
      <sheetName val="costing_Press"/>
      <sheetName val="PBS"/>
      <sheetName val="Sheet5"/>
      <sheetName val="dnc4"/>
      <sheetName val="General Data"/>
      <sheetName val="COVER"/>
      <sheetName val="공사비 내역 (가)"/>
      <sheetName val="Insts"/>
      <sheetName val="Y-WORK"/>
      <sheetName val="ITB COST"/>
      <sheetName val="LABTOTAL"/>
      <sheetName val="Contents"/>
      <sheetName val="Summary Sheets"/>
      <sheetName val="Condition"/>
      <sheetName val="crude.SLAB RE-bar"/>
      <sheetName val="CRUDE RE-bar"/>
      <sheetName val="간접인원 급료산출"/>
      <sheetName val="Price Comparison"/>
      <sheetName val="Page2"/>
      <sheetName val="PRECAST lightconc-II"/>
      <sheetName val="IA drier Page 1"/>
      <sheetName val="BOQ"/>
      <sheetName val="BP"/>
      <sheetName val="1. Piping Final BOQ List(G)"/>
      <sheetName val="인원현황"/>
      <sheetName val="산근"/>
      <sheetName val="Rekap A"/>
      <sheetName val="PRO_DCI"/>
      <sheetName val="INST_DCI"/>
      <sheetName val="HVAC_DCI"/>
      <sheetName val="PIPE_DCI"/>
      <sheetName val="CTDZ6kv (gd1) "/>
      <sheetName val="CTDZ 0.4+cto (GD1)"/>
      <sheetName val="CTTBA (gd1)"/>
      <sheetName val="CEQ_Master"/>
      <sheetName val="Man_Master"/>
      <sheetName val="ELEC_MCI"/>
      <sheetName val="INST_MCI"/>
      <sheetName val="MECH_MCI"/>
      <sheetName val="GammaEquivalents"/>
      <sheetName val="EQUIP LIST"/>
      <sheetName val="PRICING SUMMARY"/>
      <sheetName val="CALCULATION"/>
      <sheetName val="TTL"/>
      <sheetName val="L_RPTA05_목록"/>
      <sheetName val="Design"/>
      <sheetName val="wage Cal"/>
      <sheetName val="단가비교(TOTAL)"/>
      <sheetName val="w't table"/>
      <sheetName val="Septic Tank_30"/>
      <sheetName val="LV data"/>
      <sheetName val="Global"/>
      <sheetName val="Basic"/>
      <sheetName val=" "/>
      <sheetName val="Resource summary"/>
      <sheetName val="labor"/>
      <sheetName val="design load"/>
      <sheetName val="working load at the btm ft."/>
      <sheetName val="stability check"/>
      <sheetName val="내역"/>
      <sheetName val="BLDG_DCI"/>
      <sheetName val="BLDG_MCI"/>
      <sheetName val="data_dci"/>
      <sheetName val="data_mci"/>
      <sheetName val="behind"/>
      <sheetName val="inte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견적기준"/>
      <sheetName val="INDEX"/>
      <sheetName val="INSTR"/>
      <sheetName val="PLC"/>
      <sheetName val="CABLE"/>
      <sheetName val="TRAY"/>
      <sheetName val="JB"/>
      <sheetName val="PIPE"/>
      <sheetName val="TUBE"/>
      <sheetName val="MISC"/>
      <sheetName val="설계기준(내부)"/>
      <sheetName val="eq_data"/>
      <sheetName val="PipWT"/>
      <sheetName val="Sheet3"/>
      <sheetName val="Piping Design Data"/>
      <sheetName val="TYPE-B 평균H"/>
      <sheetName val="단면검토"/>
      <sheetName val="설계조건"/>
      <sheetName val="직원동원SCH"/>
      <sheetName val="Sheet1"/>
      <sheetName val="MACRO(전선관)"/>
      <sheetName val="look-up"/>
      <sheetName val="Lookup"/>
      <sheetName val="Table 1"/>
      <sheetName val="DATA"/>
      <sheetName val="Total"/>
      <sheetName val="IN"/>
      <sheetName val="현황CODE"/>
      <sheetName val="손익현황"/>
      <sheetName val="SUM"/>
      <sheetName val="BM-PC0840"/>
      <sheetName val="BQ List"/>
      <sheetName val="Hoja3"/>
      <sheetName val="Hoja2"/>
      <sheetName val="RFP002"/>
      <sheetName val="Basis"/>
      <sheetName val="steam table"/>
      <sheetName val="ISOP"/>
      <sheetName val="SPEC"/>
      <sheetName val="purch-summ-data"/>
      <sheetName val="PEL"/>
      <sheetName val="Piping_Design_Data"/>
      <sheetName val="TYPE-B_평균H"/>
      <sheetName val="Table_1"/>
      <sheetName val="Piping Cost"/>
      <sheetName val="F-302"/>
      <sheetName val="Cover sheet"/>
      <sheetName val="IT-BAT"/>
      <sheetName val="간접비내역-1"/>
      <sheetName val="집계표"/>
      <sheetName val="공사비 내역 (가)"/>
      <sheetName val="PIPE-SUMMARY"/>
      <sheetName val="PIPE-LINK"/>
      <sheetName val="Units"/>
      <sheetName val="Instructions"/>
      <sheetName val="정부노임단가"/>
      <sheetName val="할증 "/>
      <sheetName val="TABLE2-2 OSBL-(SITE PREP)"/>
      <sheetName val="h-013211-2"/>
      <sheetName val="steam_table"/>
      <sheetName val="new급여T(4을-운전)"/>
      <sheetName val="PSIZE"/>
      <sheetName val="산근"/>
      <sheetName val="가상data"/>
      <sheetName val="PBS"/>
      <sheetName val="CONTENTS"/>
      <sheetName val="TOTAL PIPING"/>
      <sheetName val="Bend_fact "/>
      <sheetName val="갑지"/>
      <sheetName val="Tipo Terzi"/>
      <sheetName val="DATA LISTS"/>
      <sheetName val="boq"/>
      <sheetName val="15010"/>
      <sheetName val="24"/>
      <sheetName val="CPS"/>
      <sheetName val="PAD-F"/>
      <sheetName val="PRICE LIST"/>
      <sheetName val="CBE-VSL"/>
      <sheetName val="Testing"/>
      <sheetName val="PROCURE"/>
      <sheetName val="Pag. 1"/>
      <sheetName val="Ex-Rate"/>
      <sheetName val="TTL"/>
      <sheetName val="#4-1표지"/>
      <sheetName val="영업2"/>
      <sheetName val="영업3"/>
      <sheetName val="DSCCI_Print"/>
      <sheetName val="SHL"/>
      <sheetName val="CALCULATION"/>
      <sheetName val="KP1590_E"/>
      <sheetName val="OSBL-TOTAL (SEA WATER)"/>
      <sheetName val="HALOBUTYL"/>
      <sheetName val="P110"/>
      <sheetName val="HRD"/>
      <sheetName val="견적 집계"/>
      <sheetName val="K1"/>
      <sheetName val="DCS"/>
      <sheetName val="ANALYSER"/>
      <sheetName val="상반기손익차2총괄"/>
      <sheetName val="Macro1"/>
      <sheetName val="Code_Magics"/>
      <sheetName val="Code"/>
      <sheetName val="95삼성급(본사)"/>
      <sheetName val="Anal-1 (Nox-SO2-CO)"/>
      <sheetName val="ld-sd-dt"/>
      <sheetName val="highlight"/>
      <sheetName val="ld-sd"/>
      <sheetName val="Connections"/>
      <sheetName val="UG분석표"/>
      <sheetName val="한강운반비"/>
      <sheetName val="Graph (LGEN)"/>
      <sheetName val="out_prog"/>
      <sheetName val="선적schedule (2)"/>
      <sheetName val="piping"/>
      <sheetName val="세금자료"/>
      <sheetName val="개시대사 (2)"/>
      <sheetName val="OSBL-TOTAL (CIVIL WORK)"/>
      <sheetName val="입력값1"/>
      <sheetName val="Sheeta"/>
      <sheetName val="Units+rev"/>
      <sheetName val="ELECTRICAL"/>
      <sheetName val="B31.1"/>
      <sheetName val="41-42-1"/>
      <sheetName val="BASEINPUT"/>
      <sheetName val="#REF"/>
      <sheetName val="SUMMARY"/>
      <sheetName val="TABLE"/>
      <sheetName val="갑지(추정)"/>
      <sheetName val="Cover_sheet"/>
      <sheetName val="BQ_List"/>
      <sheetName val="갑지1"/>
      <sheetName val="DESIGN(77C-102A)-2"/>
      <sheetName val="OSBL-TOTAL (OTHER WORK)"/>
      <sheetName val="비교표"/>
      <sheetName val="BAY별 원가표준"/>
      <sheetName val="기본자료(실행)"/>
      <sheetName val="3cx95sq"/>
      <sheetName val="자재코드"/>
      <sheetName val="ST-CST1"/>
      <sheetName val="ISO"/>
      <sheetName val="Daten"/>
      <sheetName val="CABLE DATA"/>
      <sheetName val="Process Piping"/>
      <sheetName val="Insts"/>
      <sheetName val="내역"/>
      <sheetName val="WORK-VOL"/>
      <sheetName val="MAN-STD"/>
      <sheetName val="Step"/>
      <sheetName val="E_Rate PM"/>
      <sheetName val="TIE-INS"/>
      <sheetName val="제출계산서"/>
      <sheetName val="SOURCE"/>
      <sheetName val="Piping_Design_Data1"/>
      <sheetName val="TYPE-B_평균H1"/>
      <sheetName val="Table_11"/>
      <sheetName val="Piping_Cost"/>
      <sheetName val="Piping_Design_Data2"/>
      <sheetName val="TYPE-B_평균H2"/>
      <sheetName val="Table_12"/>
      <sheetName val="BQ_List1"/>
      <sheetName val="steam_table1"/>
      <sheetName val="Piping_Cost1"/>
      <sheetName val="Cover_sheet1"/>
      <sheetName val="TABLE2-1_ISBL-(SlTE_PREP)"/>
      <sheetName val="TABLE2_1_ISBL_(Soil_Invest)"/>
      <sheetName val="TABLE2-2_OSBL(GENERAL-CIVIL)"/>
      <sheetName val="TABLE2-2_OSBL-(SITE_PREP)"/>
      <sheetName val="code data"/>
      <sheetName val="4002"/>
      <sheetName val="표지"/>
      <sheetName val="PRESSURE GAUGE"/>
      <sheetName val="SHUTDOWN VALVE"/>
      <sheetName val="DRUM"/>
      <sheetName val="PROCESS"/>
      <sheetName val="기준"/>
      <sheetName val="조건표"/>
      <sheetName val="WE'T"/>
      <sheetName val="견적의뢰"/>
      <sheetName val="B"/>
      <sheetName val="소상 &quot;1&quot;"/>
      <sheetName val="INST LIST"/>
      <sheetName val="공사비_내역_(가)"/>
      <sheetName val="Tipo_Terzi"/>
      <sheetName val="DATA_LISTS"/>
      <sheetName val="TRICONIX"/>
      <sheetName val="내역서"/>
      <sheetName val="97 사업추정(WEKI)"/>
      <sheetName val="BQ"/>
      <sheetName val="BQMPALOC"/>
      <sheetName val="Submission-Application"/>
      <sheetName val="COVER-P"/>
      <sheetName val="PumpSpec"/>
      <sheetName val="E01"/>
      <sheetName val="MVE02"/>
      <sheetName val="footing"/>
      <sheetName val="CVA"/>
      <sheetName val="MEXICO-C"/>
      <sheetName val="대비표"/>
      <sheetName val=" 견적서"/>
      <sheetName val="터널조도"/>
      <sheetName val="Sheet5"/>
      <sheetName val="Engrg Est"/>
      <sheetName val="Default"/>
      <sheetName val="Material_Group"/>
      <sheetName val="PTrating all"/>
      <sheetName val="수입"/>
      <sheetName val="000000"/>
      <sheetName val="배명(단가)"/>
      <sheetName val="DATE"/>
      <sheetName val="Pipe ID"/>
      <sheetName val="notifier"/>
      <sheetName val="OD5000"/>
      <sheetName val="Panel제작명세서"/>
      <sheetName val="Substn, Pdt Trans, Pack, Others"/>
      <sheetName val="동결보온"/>
      <sheetName val="list"/>
      <sheetName val="소야공정계획표"/>
      <sheetName val=""/>
      <sheetName val="MOTOR"/>
      <sheetName val="연돌일위집계"/>
      <sheetName val="attach(2)"/>
      <sheetName val="BQLIST"/>
      <sheetName val="1을"/>
      <sheetName val="조도계산서 (도서)"/>
      <sheetName val="Euro-conversion"/>
      <sheetName val="CYP-O.F"/>
      <sheetName val="ABB"/>
      <sheetName val="노임9월"/>
      <sheetName val="Y-WORK"/>
      <sheetName val="적용환율"/>
      <sheetName val="Taux"/>
      <sheetName val="SCHEDULE"/>
      <sheetName val="Factor"/>
      <sheetName val="당초"/>
      <sheetName val="CAT_5"/>
      <sheetName val="costing_Misc"/>
      <sheetName val="Summary Sheets"/>
      <sheetName val="HVAC"/>
      <sheetName val="DB@Acess"/>
      <sheetName val="Civil"/>
      <sheetName val="costing_Press"/>
      <sheetName val="costing_ESDV"/>
      <sheetName val=" 갑지"/>
      <sheetName val="costing_MOV"/>
      <sheetName val="REDUCER"/>
      <sheetName val="costing_CV"/>
      <sheetName val="Tables"/>
      <sheetName val="合成単価作成表-BLDG"/>
      <sheetName val="POWER"/>
      <sheetName val="w't table"/>
      <sheetName val="COA-17"/>
      <sheetName val="S N"/>
      <sheetName val="costing_FE"/>
      <sheetName val="C-18"/>
      <sheetName val="금액내역서"/>
      <sheetName val="LABTOTAL"/>
      <sheetName val="95신규호표"/>
      <sheetName val="VS배관내역서"/>
      <sheetName val="작성기준"/>
      <sheetName val="Macro"/>
      <sheetName val="노임단가"/>
      <sheetName val="cbe-1"/>
      <sheetName val="VL"/>
      <sheetName val="TN"/>
      <sheetName val="ND"/>
      <sheetName val="#3_일위대가목록"/>
      <sheetName val=" "/>
      <sheetName val="장비"/>
      <sheetName val="노무"/>
      <sheetName val="Line Details"/>
      <sheetName val="Two Phase"/>
      <sheetName val="물량표"/>
      <sheetName val="Sheet2"/>
      <sheetName val="TYPE-B_평균H3"/>
      <sheetName val="Piping_Design_Data3"/>
      <sheetName val="Table_13"/>
      <sheetName val="BQ_List2"/>
      <sheetName val="steam_table2"/>
      <sheetName val="Piping_Cost2"/>
      <sheetName val="Cover_sheet2"/>
      <sheetName val="공사비_내역_(가)1"/>
      <sheetName val="Tipo_Terzi1"/>
      <sheetName val="할증_"/>
      <sheetName val="PRICE_LIST"/>
      <sheetName val="TABLE2-2_OSBL-(SITE_PREP)1"/>
      <sheetName val="TOTAL_PIPING"/>
      <sheetName val="Bend_fact_"/>
      <sheetName val="DATA_LISTS1"/>
      <sheetName val="Graph_(LGEN)"/>
      <sheetName val="선적schedule_(2)"/>
      <sheetName val="Pag__1"/>
      <sheetName val="견적_집계"/>
      <sheetName val="Anal-1_(Nox-SO2-CO)"/>
      <sheetName val="OSBL-TOTAL_(SEA_WATER)"/>
      <sheetName val="개시대사_(2)"/>
      <sheetName val="E_Rate_PM"/>
      <sheetName val="OSBL-TOTAL_(CIVIL_WORK)"/>
      <sheetName val="PRESSURE_GAUGE"/>
      <sheetName val="SHUTDOWN_VALVE"/>
      <sheetName val="B31_1"/>
      <sheetName val="Process_Piping"/>
      <sheetName val="code_data"/>
      <sheetName val="97_사업추정(WEKI)"/>
      <sheetName val="OSBL-TOTAL_(OTHER_WORK)"/>
      <sheetName val="Pipe_ID"/>
      <sheetName val="PTrating_all"/>
      <sheetName val="INST_LIST"/>
      <sheetName val="_견적서"/>
      <sheetName val="BAY별_원가표준"/>
      <sheetName val="CABLE_DATA"/>
      <sheetName val="burner-spare"/>
      <sheetName val="설계서"/>
      <sheetName val="BM"/>
      <sheetName val="BOM_DWG"/>
    </sheetNames>
    <sheetDataSet>
      <sheetData sheetId="0">
        <row r="5">
          <cell r="A5" t="str">
            <v>NO</v>
          </cell>
        </row>
      </sheetData>
      <sheetData sheetId="1">
        <row r="5">
          <cell r="A5" t="str">
            <v>NO</v>
          </cell>
        </row>
      </sheetData>
      <sheetData sheetId="2"/>
      <sheetData sheetId="3" refreshError="1">
        <row r="5">
          <cell r="A5" t="str">
            <v>NO</v>
          </cell>
          <cell r="B5" t="str">
            <v>DESCRIPTION</v>
          </cell>
          <cell r="C5" t="str">
            <v>SIZE</v>
          </cell>
          <cell r="D5" t="str">
            <v>UNIT</v>
          </cell>
          <cell r="E5" t="str">
            <v>NET</v>
          </cell>
          <cell r="F5" t="str">
            <v>SPARE</v>
          </cell>
          <cell r="G5" t="str">
            <v>TOTAL</v>
          </cell>
          <cell r="H5" t="str">
            <v>UNIT</v>
          </cell>
          <cell r="I5" t="str">
            <v>TOTAL</v>
          </cell>
          <cell r="J5" t="str">
            <v>UNIT</v>
          </cell>
          <cell r="K5" t="str">
            <v>TOTAL</v>
          </cell>
          <cell r="L5" t="str">
            <v xml:space="preserve"> </v>
          </cell>
          <cell r="M5" t="str">
            <v xml:space="preserve"> </v>
          </cell>
        </row>
        <row r="6">
          <cell r="A6" t="str">
            <v>1.1</v>
          </cell>
          <cell r="B6" t="str">
            <v>ORIFICE PLATE ASSEMBLY</v>
          </cell>
          <cell r="C6" t="str">
            <v>4" 150#</v>
          </cell>
          <cell r="D6" t="str">
            <v>EA</v>
          </cell>
          <cell r="E6">
            <v>1</v>
          </cell>
        </row>
        <row r="7">
          <cell r="B7" t="str">
            <v xml:space="preserve">  FLANGE/PLATE : 304LSS/316LSS</v>
          </cell>
          <cell r="C7" t="str">
            <v>2" 150#</v>
          </cell>
          <cell r="D7" t="str">
            <v>EA</v>
          </cell>
          <cell r="E7">
            <v>2</v>
          </cell>
        </row>
        <row r="8">
          <cell r="B8" t="str">
            <v xml:space="preserve">  PROCESS CONN : ANSI, RF</v>
          </cell>
        </row>
        <row r="9">
          <cell r="B9" t="str">
            <v xml:space="preserve">  ACCESSORIES :</v>
          </cell>
        </row>
        <row r="10">
          <cell r="B10" t="str">
            <v xml:space="preserve">    - NIPPLE</v>
          </cell>
        </row>
        <row r="11">
          <cell r="B11" t="str">
            <v xml:space="preserve">    - BOLT &amp; NUT</v>
          </cell>
        </row>
        <row r="12">
          <cell r="B12" t="str">
            <v xml:space="preserve">    - GASKET</v>
          </cell>
        </row>
        <row r="13">
          <cell r="B13" t="str">
            <v xml:space="preserve">    - JACK SCREW</v>
          </cell>
        </row>
        <row r="17">
          <cell r="A17" t="str">
            <v>1.2</v>
          </cell>
          <cell r="B17" t="str">
            <v>MASS FLOWMETER</v>
          </cell>
          <cell r="C17" t="str">
            <v>6" 150#</v>
          </cell>
          <cell r="D17" t="str">
            <v>EA</v>
          </cell>
          <cell r="E17">
            <v>2</v>
          </cell>
        </row>
        <row r="18">
          <cell r="B18" t="str">
            <v xml:space="preserve">  TYPE : CORIOLIS</v>
          </cell>
          <cell r="C18" t="str">
            <v>4" 150#</v>
          </cell>
          <cell r="D18" t="str">
            <v>EA</v>
          </cell>
          <cell r="E18">
            <v>1</v>
          </cell>
        </row>
        <row r="19">
          <cell r="B19" t="str">
            <v xml:space="preserve">  BODY/ELEMENT : 304SS/316LSS</v>
          </cell>
          <cell r="C19" t="str">
            <v>5" 150#</v>
          </cell>
          <cell r="D19" t="str">
            <v>EA</v>
          </cell>
          <cell r="E19">
            <v>1</v>
          </cell>
        </row>
        <row r="20">
          <cell r="B20" t="str">
            <v xml:space="preserve">  OUTPUT : 4-20mA, SMART</v>
          </cell>
        </row>
        <row r="21">
          <cell r="B21" t="str">
            <v xml:space="preserve">  PROCESS CONN : ANSI, RF</v>
          </cell>
        </row>
        <row r="22">
          <cell r="B22" t="str">
            <v xml:space="preserve">  ELEC. ENCL.: INTRINSIC SAFETY (Exi)</v>
          </cell>
        </row>
        <row r="23">
          <cell r="B23" t="str">
            <v xml:space="preserve">  ACCESSORIES :</v>
          </cell>
        </row>
        <row r="24">
          <cell r="B24" t="str">
            <v xml:space="preserve">    - SPECIAL CABLE</v>
          </cell>
        </row>
        <row r="25">
          <cell r="B25" t="str">
            <v xml:space="preserve">    - CONVERTER (REMOTE)</v>
          </cell>
        </row>
        <row r="26">
          <cell r="B26" t="str">
            <v xml:space="preserve">    - MOUNTING BRACKET (FOR 2" PIPE)</v>
          </cell>
        </row>
        <row r="30">
          <cell r="A30" t="str">
            <v>1.3</v>
          </cell>
          <cell r="B30" t="str">
            <v>TURBINE FLOWMETER</v>
          </cell>
          <cell r="C30" t="str">
            <v>1" 150#</v>
          </cell>
          <cell r="D30" t="str">
            <v>EA</v>
          </cell>
          <cell r="E30">
            <v>1</v>
          </cell>
        </row>
        <row r="31">
          <cell r="B31" t="str">
            <v xml:space="preserve">  TYPE : TRANSMIT</v>
          </cell>
        </row>
        <row r="32">
          <cell r="B32" t="str">
            <v xml:space="preserve">  BODY/ELEMENT : 304LSS/316LSS</v>
          </cell>
        </row>
        <row r="33">
          <cell r="B33" t="str">
            <v xml:space="preserve">  OUTPUT : 4-20mA, SMART</v>
          </cell>
        </row>
        <row r="34">
          <cell r="B34" t="str">
            <v xml:space="preserve">  PROCESS CONN : ANSI, RF</v>
          </cell>
        </row>
        <row r="35">
          <cell r="B35" t="str">
            <v xml:space="preserve">  ELEC. ENCL.: INTRINSIC SAFETY (Exi)</v>
          </cell>
        </row>
        <row r="36">
          <cell r="B36" t="str">
            <v xml:space="preserve">  ACCESSORIES :</v>
          </cell>
        </row>
        <row r="37">
          <cell r="B37" t="str">
            <v xml:space="preserve">    - CONVERTER (INTEGRAL)</v>
          </cell>
        </row>
        <row r="38">
          <cell r="B38" t="str">
            <v xml:space="preserve">    - LOCAL TOTALIZER</v>
          </cell>
        </row>
        <row r="42">
          <cell r="A42" t="str">
            <v>1.4</v>
          </cell>
          <cell r="B42" t="str">
            <v>ULTRASONIC FLOWMETER</v>
          </cell>
          <cell r="C42" t="str">
            <v>8" 150#</v>
          </cell>
          <cell r="D42" t="str">
            <v>EA</v>
          </cell>
          <cell r="E42">
            <v>1</v>
          </cell>
        </row>
        <row r="43">
          <cell r="B43" t="str">
            <v xml:space="preserve">  TYPE : TRANSMIT</v>
          </cell>
        </row>
        <row r="44">
          <cell r="B44" t="str">
            <v xml:space="preserve">  BODY/ELEMENT : 304SS</v>
          </cell>
        </row>
        <row r="45">
          <cell r="B45" t="str">
            <v xml:space="preserve">  OUTPUT : 4-20mA, SMART</v>
          </cell>
        </row>
        <row r="46">
          <cell r="B46" t="str">
            <v xml:space="preserve">  PROCESS CONN : ANSI, RF</v>
          </cell>
        </row>
        <row r="47">
          <cell r="B47" t="str">
            <v xml:space="preserve">  ELEC. ENCL.: INTRINSIC SAFETY (Exi)</v>
          </cell>
        </row>
        <row r="51">
          <cell r="A51" t="str">
            <v>1.5</v>
          </cell>
          <cell r="B51" t="str">
            <v xml:space="preserve">DISPLACEMENT TYPE ,LEVEL </v>
          </cell>
          <cell r="C51" t="str">
            <v>500mm</v>
          </cell>
          <cell r="D51" t="str">
            <v>EA</v>
          </cell>
          <cell r="E51">
            <v>5</v>
          </cell>
        </row>
        <row r="52">
          <cell r="B52" t="str">
            <v xml:space="preserve">  MOUNTING : INTERNAL</v>
          </cell>
        </row>
        <row r="53">
          <cell r="B53" t="str">
            <v xml:space="preserve">  FUNCTION : SWITCH</v>
          </cell>
        </row>
        <row r="54">
          <cell r="B54" t="str">
            <v xml:space="preserve">  BODY/DISPLACER : 304SS/316LSS</v>
          </cell>
        </row>
        <row r="55">
          <cell r="B55" t="str">
            <v xml:space="preserve">  OUTPUT : 1 DPDT x 1</v>
          </cell>
        </row>
        <row r="56">
          <cell r="B56" t="str">
            <v xml:space="preserve">  PROCESS CONN : ANSI, 4" 150#</v>
          </cell>
        </row>
        <row r="57">
          <cell r="B57" t="str">
            <v xml:space="preserve">  ELEC. ENCL.: EXP. PF (Exd)</v>
          </cell>
        </row>
        <row r="61">
          <cell r="A61" t="str">
            <v>1.6</v>
          </cell>
          <cell r="B61" t="str">
            <v xml:space="preserve">DISPLACEMENT TYPE ,LEVEL </v>
          </cell>
          <cell r="C61" t="str">
            <v>2" 150#</v>
          </cell>
          <cell r="D61" t="str">
            <v>EA</v>
          </cell>
          <cell r="E61">
            <v>9</v>
          </cell>
        </row>
        <row r="62">
          <cell r="B62" t="str">
            <v xml:space="preserve">  MOUTING : SIDE, EXTERNAL</v>
          </cell>
        </row>
        <row r="63">
          <cell r="B63" t="str">
            <v xml:space="preserve">  FUNCTION : SWITCH</v>
          </cell>
        </row>
        <row r="64">
          <cell r="B64" t="str">
            <v xml:space="preserve">  BODY/FLOAT : 304SS/316LSS</v>
          </cell>
        </row>
        <row r="65">
          <cell r="B65" t="str">
            <v xml:space="preserve">  OUTPUT : 1 DPDT x 2</v>
          </cell>
        </row>
        <row r="66">
          <cell r="B66" t="str">
            <v xml:space="preserve">  PROCESS CONN : ANSI RF</v>
          </cell>
        </row>
        <row r="67">
          <cell r="B67" t="str">
            <v xml:space="preserve">  ELEC. ENCL.: EXP. PF (Exd)</v>
          </cell>
        </row>
        <row r="68">
          <cell r="B68" t="str">
            <v xml:space="preserve">  C-TO C : 440 MM</v>
          </cell>
        </row>
        <row r="72">
          <cell r="A72" t="str">
            <v>1.7</v>
          </cell>
          <cell r="B72" t="str">
            <v>AUTOMATIC TANK GAUGE (ENRAF 854)</v>
          </cell>
          <cell r="C72" t="str">
            <v>20000mm</v>
          </cell>
          <cell r="D72" t="str">
            <v>EA</v>
          </cell>
          <cell r="E72">
            <v>4</v>
          </cell>
        </row>
        <row r="73">
          <cell r="B73" t="str">
            <v xml:space="preserve">  TYPE : TRANSMIT,SERVO-BALANCE</v>
          </cell>
        </row>
        <row r="74">
          <cell r="B74" t="str">
            <v xml:space="preserve">  BODY/FLOAT : ADC/316LSS</v>
          </cell>
        </row>
        <row r="75">
          <cell r="B75" t="str">
            <v xml:space="preserve">  OUTPUT : 4-20mA, SMART</v>
          </cell>
        </row>
        <row r="76">
          <cell r="B76" t="str">
            <v xml:space="preserve">  PROCESS CONN : ANSI, RF</v>
          </cell>
        </row>
        <row r="77">
          <cell r="B77" t="str">
            <v xml:space="preserve">  ELEC. ENCL.: INTRINSIC SAFETY (Exi)</v>
          </cell>
        </row>
        <row r="78">
          <cell r="B78" t="str">
            <v xml:space="preserve">  ACCESSORIES :</v>
          </cell>
        </row>
        <row r="79">
          <cell r="B79" t="str">
            <v xml:space="preserve">    - TANK SIDE INDICATOR</v>
          </cell>
        </row>
        <row r="80">
          <cell r="B80" t="str">
            <v xml:space="preserve">    - CALIBRATION CHAMBER</v>
          </cell>
        </row>
        <row r="81">
          <cell r="B81" t="str">
            <v xml:space="preserve">    - BALL VALVE</v>
          </cell>
        </row>
        <row r="82">
          <cell r="B82" t="str">
            <v xml:space="preserve">    - MULTIPLE RESISTANCE THERMOMETER</v>
          </cell>
        </row>
        <row r="83">
          <cell r="B83" t="str">
            <v xml:space="preserve">      (865 MRT)</v>
          </cell>
        </row>
        <row r="84">
          <cell r="A84" t="str">
            <v xml:space="preserve"> </v>
          </cell>
        </row>
        <row r="87">
          <cell r="A87" t="str">
            <v>1.8</v>
          </cell>
          <cell r="B87" t="str">
            <v>LEVEL GAUGE</v>
          </cell>
          <cell r="C87" t="str">
            <v>1370MM</v>
          </cell>
          <cell r="D87" t="str">
            <v>EA</v>
          </cell>
          <cell r="E87">
            <v>4</v>
          </cell>
        </row>
        <row r="88">
          <cell r="B88" t="str">
            <v xml:space="preserve">  TYPE : REFLEX</v>
          </cell>
        </row>
        <row r="89">
          <cell r="B89" t="str">
            <v xml:space="preserve">  BODY/ELEMENT : 304SS/316LSS</v>
          </cell>
        </row>
        <row r="90">
          <cell r="A90" t="str">
            <v xml:space="preserve"> </v>
          </cell>
          <cell r="B90" t="str">
            <v xml:space="preserve">  PROCESS CONN : ANSI 2", 150#</v>
          </cell>
        </row>
        <row r="91">
          <cell r="B91" t="str">
            <v xml:space="preserve">  ACCESSORIES</v>
          </cell>
        </row>
        <row r="92">
          <cell r="B92" t="str">
            <v xml:space="preserve">    - GAUGE VALVE, OFFSET TYPE</v>
          </cell>
        </row>
        <row r="93">
          <cell r="B93" t="str">
            <v xml:space="preserve">    - VENT/DRAIN VALVE</v>
          </cell>
        </row>
        <row r="97">
          <cell r="A97" t="str">
            <v>1.9</v>
          </cell>
          <cell r="B97" t="str">
            <v>MAGNETIC LEVEL GAUGE</v>
          </cell>
          <cell r="C97" t="str">
            <v>2000MM</v>
          </cell>
          <cell r="D97" t="str">
            <v>EA</v>
          </cell>
          <cell r="E97">
            <v>7</v>
          </cell>
        </row>
        <row r="98">
          <cell r="B98" t="str">
            <v xml:space="preserve">  TYPE : MAGNETIC FLOAT</v>
          </cell>
        </row>
        <row r="99">
          <cell r="B99" t="str">
            <v xml:space="preserve">  BODY/ELEMENT : 304SS/316LSS</v>
          </cell>
        </row>
        <row r="100">
          <cell r="B100" t="str">
            <v xml:space="preserve">  PROCESS CONN : ANSI 2", 150#</v>
          </cell>
        </row>
        <row r="101">
          <cell r="B101" t="str">
            <v xml:space="preserve">  ACCESSORIES</v>
          </cell>
        </row>
        <row r="102">
          <cell r="B102" t="str">
            <v xml:space="preserve">    - VENT/DRAIN VALVE</v>
          </cell>
        </row>
        <row r="106">
          <cell r="A106" t="str">
            <v>1.10</v>
          </cell>
          <cell r="B106" t="str">
            <v>DITTO 1.8 BUT</v>
          </cell>
          <cell r="C106" t="str">
            <v>2000MM</v>
          </cell>
          <cell r="D106" t="str">
            <v>EA</v>
          </cell>
          <cell r="E106">
            <v>1</v>
          </cell>
        </row>
        <row r="107">
          <cell r="B107" t="str">
            <v xml:space="preserve">  ACCESSORIES</v>
          </cell>
        </row>
        <row r="108">
          <cell r="B108" t="str">
            <v xml:space="preserve">    - LEVEL SWITCH (1 EA)</v>
          </cell>
        </row>
        <row r="112">
          <cell r="A112" t="str">
            <v>1.11</v>
          </cell>
          <cell r="B112" t="str">
            <v>PRESSURE TRANSMITTER</v>
          </cell>
          <cell r="D112" t="str">
            <v>EA</v>
          </cell>
          <cell r="E112">
            <v>7</v>
          </cell>
        </row>
        <row r="113">
          <cell r="B113" t="str">
            <v xml:space="preserve">  TYPE : DIAPHRAGM</v>
          </cell>
        </row>
        <row r="114">
          <cell r="B114" t="str">
            <v xml:space="preserve">  BODY/ELEMENT : 304SS/316LSS</v>
          </cell>
        </row>
        <row r="115">
          <cell r="B115" t="str">
            <v xml:space="preserve">  OUTPUT : 4-20mA, SMART</v>
          </cell>
        </row>
        <row r="116">
          <cell r="B116" t="str">
            <v xml:space="preserve">  PROCESS CONN : 1/2" NPT</v>
          </cell>
        </row>
        <row r="117">
          <cell r="B117" t="str">
            <v xml:space="preserve">  ELEC. ENCL.: INTRINSIC SAFETY (Exi)</v>
          </cell>
        </row>
        <row r="118">
          <cell r="B118" t="str">
            <v xml:space="preserve">  ACCESSORIES :</v>
          </cell>
        </row>
        <row r="119">
          <cell r="B119" t="str">
            <v xml:space="preserve">    - LOCAL INDICATOR</v>
          </cell>
        </row>
        <row r="120">
          <cell r="B120" t="str">
            <v xml:space="preserve">    - 2-VALVE MANIFOLD</v>
          </cell>
        </row>
        <row r="121">
          <cell r="B121" t="str">
            <v xml:space="preserve">    - MOUNTING BRACKET (FOR 2" PIPE)</v>
          </cell>
        </row>
        <row r="125">
          <cell r="A125" t="str">
            <v>1.12</v>
          </cell>
          <cell r="B125" t="str">
            <v>D/P TRANSMITTER,  FLOW</v>
          </cell>
          <cell r="D125" t="str">
            <v>EA</v>
          </cell>
          <cell r="E125">
            <v>3</v>
          </cell>
        </row>
        <row r="126">
          <cell r="B126" t="str">
            <v xml:space="preserve">  TYPE : DIAPHRAGM</v>
          </cell>
        </row>
        <row r="127">
          <cell r="B127" t="str">
            <v xml:space="preserve">  BODY/ELEMENT : 304SS/316LSS</v>
          </cell>
        </row>
        <row r="128">
          <cell r="B128" t="str">
            <v xml:space="preserve">  OUTPUT : 4-20mA, SMART</v>
          </cell>
        </row>
        <row r="129">
          <cell r="B129" t="str">
            <v xml:space="preserve">  PROCESS CONN : 1/2" NPTF</v>
          </cell>
        </row>
        <row r="130">
          <cell r="B130" t="str">
            <v xml:space="preserve">  ELEC. ENCL.: INTRINSIC SAFETY (Exi)</v>
          </cell>
        </row>
        <row r="131">
          <cell r="B131" t="str">
            <v xml:space="preserve">  ACCESSORIES :</v>
          </cell>
        </row>
        <row r="132">
          <cell r="B132" t="str">
            <v xml:space="preserve">    - 3-VALVE MANIFOLD</v>
          </cell>
        </row>
        <row r="133">
          <cell r="B133" t="str">
            <v xml:space="preserve">    - LOCAL INDICATOR</v>
          </cell>
        </row>
        <row r="134">
          <cell r="B134" t="str">
            <v xml:space="preserve">    - MOUNTING BRACKET (FOR 2" PIPE)</v>
          </cell>
        </row>
        <row r="138">
          <cell r="A138" t="str">
            <v>1.13</v>
          </cell>
          <cell r="B138" t="str">
            <v>PRESSURE GAUGE</v>
          </cell>
          <cell r="D138" t="str">
            <v>EA</v>
          </cell>
          <cell r="E138">
            <v>9</v>
          </cell>
        </row>
        <row r="139">
          <cell r="B139" t="str">
            <v xml:space="preserve">  TYPE : LIQUID FILLED</v>
          </cell>
        </row>
        <row r="140">
          <cell r="B140" t="str">
            <v xml:space="preserve">  DIAL SIZE : 6"</v>
          </cell>
        </row>
        <row r="141">
          <cell r="B141" t="str">
            <v xml:space="preserve">  CASE/ELEMENT : 304SS/316SS</v>
          </cell>
        </row>
        <row r="142">
          <cell r="B142" t="str">
            <v xml:space="preserve">  PROCESS CONN. : 1/2" NPT</v>
          </cell>
        </row>
        <row r="146">
          <cell r="A146" t="str">
            <v>1.14</v>
          </cell>
          <cell r="B146" t="str">
            <v>DIFF. PRESSURE GAUGE</v>
          </cell>
          <cell r="D146" t="str">
            <v>EA</v>
          </cell>
          <cell r="E146">
            <v>7</v>
          </cell>
        </row>
        <row r="147">
          <cell r="B147" t="str">
            <v xml:space="preserve">  TYPE : DIAPHRAGM</v>
          </cell>
        </row>
        <row r="148">
          <cell r="B148" t="str">
            <v xml:space="preserve">  DIAL SIZE : 6"</v>
          </cell>
        </row>
        <row r="149">
          <cell r="B149" t="str">
            <v xml:space="preserve">  CASE/ELEMENT : 304SS/316SS</v>
          </cell>
        </row>
        <row r="150">
          <cell r="B150" t="str">
            <v xml:space="preserve">  PROCESS CONN. : 1/2" NPT</v>
          </cell>
        </row>
        <row r="151">
          <cell r="B151" t="str">
            <v xml:space="preserve">  ACCESSORIES :</v>
          </cell>
        </row>
        <row r="152">
          <cell r="B152" t="str">
            <v xml:space="preserve">    - MOUNTING BRACKET (FOR 2" PIPE)</v>
          </cell>
        </row>
        <row r="156">
          <cell r="A156" t="str">
            <v>1.15</v>
          </cell>
          <cell r="B156" t="str">
            <v>TEMPERATURE TRANSMITTER</v>
          </cell>
          <cell r="D156" t="str">
            <v>EA</v>
          </cell>
          <cell r="E156">
            <v>6</v>
          </cell>
        </row>
        <row r="157">
          <cell r="B157" t="str">
            <v xml:space="preserve">  BODY/ELEMENT : 316SS/316LSS</v>
          </cell>
        </row>
        <row r="158">
          <cell r="B158" t="str">
            <v xml:space="preserve">  OUTPUT : 4-20mA, SMART</v>
          </cell>
        </row>
        <row r="159">
          <cell r="B159" t="str">
            <v xml:space="preserve">  ELEC. ENCL.: INTRINSIC SAFETY (Exi)</v>
          </cell>
        </row>
        <row r="160">
          <cell r="B160" t="str">
            <v xml:space="preserve">  ACCESSORIES :</v>
          </cell>
        </row>
        <row r="161">
          <cell r="B161" t="str">
            <v xml:space="preserve">    - LOCAL INDICATOR</v>
          </cell>
        </row>
        <row r="162">
          <cell r="B162" t="str">
            <v xml:space="preserve">    - MOUNTING BRACKET (FOR 2" PIPE)</v>
          </cell>
        </row>
        <row r="166">
          <cell r="A166" t="str">
            <v>1.16</v>
          </cell>
          <cell r="B166" t="str">
            <v>THERMOELEMENT ASSEMBLY</v>
          </cell>
          <cell r="D166" t="str">
            <v>EA</v>
          </cell>
          <cell r="E166">
            <v>6</v>
          </cell>
        </row>
        <row r="167">
          <cell r="B167" t="str">
            <v xml:space="preserve">  SENSOR : RTD (SINGLE), Pt 100 ohm</v>
          </cell>
        </row>
        <row r="168">
          <cell r="B168" t="str">
            <v xml:space="preserve">  ELEMENT : 316SS</v>
          </cell>
        </row>
        <row r="169">
          <cell r="B169" t="str">
            <v xml:space="preserve">  ELEC. ENCL.: INTRINSIC SAFETY (Exi)</v>
          </cell>
        </row>
        <row r="170">
          <cell r="B170" t="str">
            <v xml:space="preserve">  WELL :</v>
          </cell>
        </row>
        <row r="171">
          <cell r="B171" t="str">
            <v xml:space="preserve">    - TYPE : DRILLED BAR</v>
          </cell>
        </row>
        <row r="172">
          <cell r="B172" t="str">
            <v xml:space="preserve">    - MATL : 316LSS</v>
          </cell>
        </row>
        <row r="173">
          <cell r="B173" t="str">
            <v xml:space="preserve">    - PROCESS CONN : ANSI 1 1/2", 150#</v>
          </cell>
        </row>
        <row r="174">
          <cell r="B174" t="str">
            <v xml:space="preserve">    - IMMER. LENGTH : 400mm</v>
          </cell>
        </row>
        <row r="178">
          <cell r="A178" t="str">
            <v>1.17</v>
          </cell>
          <cell r="B178" t="str">
            <v xml:space="preserve">INDICATING THERMOMETER </v>
          </cell>
          <cell r="D178" t="str">
            <v>EA</v>
          </cell>
          <cell r="E178">
            <v>2</v>
          </cell>
        </row>
        <row r="179">
          <cell r="B179" t="str">
            <v xml:space="preserve">  TYPE/FORM : BIMETAL/ANY ANGLE TYPE</v>
          </cell>
        </row>
        <row r="180">
          <cell r="B180" t="str">
            <v xml:space="preserve">  DIAL SIZE : 5"</v>
          </cell>
        </row>
        <row r="181">
          <cell r="B181" t="str">
            <v xml:space="preserve">  CASE/ELEMENTL : 304SS/316SS</v>
          </cell>
        </row>
        <row r="182">
          <cell r="B182" t="str">
            <v xml:space="preserve">  WELL :</v>
          </cell>
        </row>
        <row r="183">
          <cell r="B183" t="str">
            <v xml:space="preserve">    - TYPE : DRILLED BAR</v>
          </cell>
        </row>
        <row r="184">
          <cell r="B184" t="str">
            <v xml:space="preserve">    - MATL : 316LSS</v>
          </cell>
        </row>
        <row r="185">
          <cell r="B185" t="str">
            <v xml:space="preserve">    - PROCESS CONN : ANSI 1 1/2", 150#</v>
          </cell>
        </row>
        <row r="186">
          <cell r="B186" t="str">
            <v xml:space="preserve">    - IMMER. LENGTH : 400mm</v>
          </cell>
        </row>
        <row r="190">
          <cell r="A190" t="str">
            <v>1.18</v>
          </cell>
          <cell r="B190" t="str">
            <v xml:space="preserve">TEST THERMOWELL </v>
          </cell>
          <cell r="D190" t="str">
            <v>EA</v>
          </cell>
          <cell r="E190">
            <v>2</v>
          </cell>
        </row>
        <row r="191">
          <cell r="B191" t="str">
            <v xml:space="preserve">  TYPE : DRILLED BAR</v>
          </cell>
        </row>
        <row r="192">
          <cell r="B192" t="str">
            <v xml:space="preserve">  MATL : 316LSS</v>
          </cell>
        </row>
        <row r="193">
          <cell r="B193" t="str">
            <v xml:space="preserve">  PROCESS CONN : ANSI 1 1/2", 150#</v>
          </cell>
        </row>
        <row r="194">
          <cell r="B194" t="str">
            <v xml:space="preserve">  IMMER. LENGTH : 400mm</v>
          </cell>
        </row>
        <row r="198">
          <cell r="A198" t="str">
            <v>1.19</v>
          </cell>
          <cell r="B198" t="str">
            <v>CONTROL VALVE</v>
          </cell>
          <cell r="C198" t="str">
            <v>2" 300#</v>
          </cell>
          <cell r="D198" t="str">
            <v>EA</v>
          </cell>
          <cell r="E198">
            <v>4</v>
          </cell>
        </row>
        <row r="199">
          <cell r="B199" t="str">
            <v xml:space="preserve">  TYPE : GLOBE</v>
          </cell>
          <cell r="C199" t="str">
            <v>4" 300#</v>
          </cell>
          <cell r="D199" t="str">
            <v>EA</v>
          </cell>
          <cell r="E199">
            <v>3</v>
          </cell>
        </row>
        <row r="200">
          <cell r="B200" t="str">
            <v xml:space="preserve">  CONTROL ACTION : THROTTLING</v>
          </cell>
          <cell r="C200" t="str">
            <v>6" 300#</v>
          </cell>
          <cell r="D200" t="str">
            <v>EA</v>
          </cell>
          <cell r="E200">
            <v>1</v>
          </cell>
        </row>
        <row r="201">
          <cell r="B201" t="str">
            <v xml:space="preserve">  ACTUATOR : DIAPHRAGM</v>
          </cell>
        </row>
        <row r="202">
          <cell r="B202" t="str">
            <v xml:space="preserve">  BODY/TRIM : 304LSS/316LSS</v>
          </cell>
        </row>
        <row r="203">
          <cell r="B203" t="str">
            <v xml:space="preserve">  BONNET : STANDARD</v>
          </cell>
        </row>
        <row r="204">
          <cell r="B204" t="str">
            <v xml:space="preserve">  FLANGE RATING : ANSI,RF</v>
          </cell>
        </row>
        <row r="205">
          <cell r="B205" t="str">
            <v xml:space="preserve">  ELEC. ENCL.: INTRINSIC SAFETY (Exi)</v>
          </cell>
        </row>
        <row r="206">
          <cell r="B206" t="str">
            <v xml:space="preserve">  ACCESSORIES :</v>
          </cell>
        </row>
        <row r="207">
          <cell r="B207" t="str">
            <v xml:space="preserve">    - I/P POSITIONER</v>
          </cell>
        </row>
        <row r="208">
          <cell r="B208" t="str">
            <v xml:space="preserve">    - AIR SET</v>
          </cell>
        </row>
      </sheetData>
      <sheetData sheetId="4"/>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sheetData sheetId="268" refreshError="1"/>
      <sheetData sheetId="269" refreshError="1"/>
      <sheetData sheetId="270" refreshError="1"/>
      <sheetData sheetId="271" refreshError="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refreshError="1"/>
      <sheetData sheetId="309" refreshError="1"/>
      <sheetData sheetId="310" refreshError="1"/>
      <sheetData sheetId="311" refreshError="1"/>
      <sheetData sheetId="312" refreshError="1"/>
      <sheetData sheetId="313" refreshError="1"/>
      <sheetData sheetId="314"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BM"/>
      <sheetName val="DRUM"/>
      <sheetName val="표지"/>
      <sheetName val="EQUIPMENT"/>
      <sheetName val="HO ENG MH CAL"/>
      <sheetName val="MAN-Sch"/>
      <sheetName val="h-013211-2"/>
      <sheetName val="고압수량(철거)"/>
      <sheetName val="INPUT DATA"/>
      <sheetName val="공문"/>
      <sheetName val="CAT_5"/>
      <sheetName val="#REF"/>
      <sheetName val="산근"/>
      <sheetName val="DATA"/>
      <sheetName val="7.2세부 부하계산서"/>
      <sheetName val="PRC_BDWN-95"/>
      <sheetName val="Eq. Mobilization"/>
      <sheetName val="INSTR"/>
      <sheetName val="jobhist"/>
      <sheetName val="Condition"/>
      <sheetName val="DHEQSUPT"/>
      <sheetName val="HO_ENG_MH_CAL"/>
      <sheetName val="7_2세부_부하계산서"/>
      <sheetName val="INPUT_DATA"/>
      <sheetName val="내역서"/>
      <sheetName val="대비표"/>
      <sheetName val="Factor"/>
      <sheetName val=" 갑지"/>
      <sheetName val="COVER-P"/>
      <sheetName val="집계표(OPTION)"/>
      <sheetName val="기계내역서"/>
      <sheetName val="BQMPALOC"/>
      <sheetName val="운반"/>
      <sheetName val="TDIBM1"/>
      <sheetName val="Base_Data"/>
      <sheetName val="ITB COST"/>
      <sheetName val="CIVIL BOQ"/>
      <sheetName val="RAW COST SUMMARY"/>
      <sheetName val="BLDG BOQ"/>
      <sheetName val="rate analyses"/>
      <sheetName val="EQ Total"/>
      <sheetName val="UG_BOM"/>
      <sheetName val="PBS"/>
      <sheetName val="PRC-SUM"/>
      <sheetName val="costing_CV"/>
      <sheetName val="eq_data"/>
      <sheetName val="PUMP_SHT"/>
      <sheetName val="costing_ESDV"/>
      <sheetName val="costing_FE"/>
      <sheetName val="General_Data"/>
      <sheetName val="costing_Misc"/>
      <sheetName val="costing_MOV"/>
      <sheetName val="costing_Press"/>
      <sheetName val="3004-2"/>
      <sheetName val="_갑지1"/>
      <sheetName val="목표세부명세"/>
      <sheetName val="HO_ENG_MH_CAL1"/>
      <sheetName val="INPUT_DATA1"/>
      <sheetName val="7_2세부_부하계산서1"/>
      <sheetName val="Eq__Mobilization"/>
      <sheetName val="_갑지"/>
      <sheetName val="ITB_COST"/>
      <sheetName val="CIVIL_BOQ"/>
      <sheetName val="RAW_COST_SUMMARY"/>
      <sheetName val="BLDG_BOQ"/>
      <sheetName val="rate_analyses"/>
      <sheetName val="CAL"/>
      <sheetName val="Price Detail"/>
      <sheetName val="TABLE"/>
      <sheetName val="Settings"/>
      <sheetName val="DS Oil System"/>
      <sheetName val="Total"/>
      <sheetName val="LABCOST"/>
      <sheetName val="Sheet1"/>
      <sheetName val="footing"/>
      <sheetName val="Al-Suwaidi"/>
      <sheetName val="노임 단가"/>
      <sheetName val="M 11"/>
      <sheetName val="PIPING"/>
      <sheetName val="insulation"/>
      <sheetName val="Sheet4"/>
      <sheetName val="PIPE"/>
      <sheetName val="DB@Acess"/>
      <sheetName val="Civil"/>
      <sheetName val="KP1590_E"/>
      <sheetName val="Eq__Mobilization1"/>
      <sheetName val="단가(자재)"/>
      <sheetName val="단가(노임)"/>
      <sheetName val="기초목록"/>
      <sheetName val="CASH"/>
      <sheetName val="AOP Summary-2"/>
      <sheetName val="CABLE"/>
      <sheetName val="Prioriry"/>
      <sheetName val="피벗테이블"/>
      <sheetName val="할증 "/>
      <sheetName val="내역"/>
      <sheetName val="간접비 총괄표"/>
      <sheetName val="plan&amp;section of foundation"/>
      <sheetName val="pile bearing capa &amp; arrenge"/>
      <sheetName val="design load"/>
      <sheetName val="working load at the btm ft."/>
      <sheetName val="stability check"/>
      <sheetName val="design criteria"/>
      <sheetName val="BLDG_DCI"/>
      <sheetName val="BLDG_MCI"/>
      <sheetName val="일위대가"/>
      <sheetName val="갑지"/>
      <sheetName val="PIPE도장"/>
      <sheetName val="2.배관"/>
      <sheetName val="Pjt Data"/>
      <sheetName val="PROCURE"/>
      <sheetName val="PRO_DCI"/>
      <sheetName val="INST_DCI"/>
      <sheetName val="HVAC_DCI"/>
      <sheetName val="PIPE_DCI"/>
      <sheetName val="calc"/>
      <sheetName val="Proposal"/>
      <sheetName val="sum"/>
      <sheetName val="부표총괄"/>
      <sheetName val="수량증감대비표"/>
      <sheetName val="수량산출1"/>
      <sheetName val="수량산출2"/>
      <sheetName val="수량산출3"/>
      <sheetName val="수량산출4"/>
      <sheetName val="Code"/>
      <sheetName val="B"/>
      <sheetName val="PIPE (SG)-발수"/>
      <sheetName val="E45(SG)-발수"/>
      <sheetName val="E90(SG)-발수"/>
      <sheetName val="lookup"/>
      <sheetName val="도"/>
      <sheetName val="BID"/>
      <sheetName val="D-623D"/>
      <sheetName val="공사비증감"/>
      <sheetName val="TYPE-B 평균H"/>
      <sheetName val="ANA&amp;DESIGN&amp;REINF ."/>
      <sheetName val="PRIMARY LOAD"/>
      <sheetName val="DIMENSION"/>
      <sheetName val="EXT.CHECK"/>
      <sheetName val="SUMMARY"/>
      <sheetName val="DATA1"/>
      <sheetName val="OIL SYST DATA SHTS"/>
      <sheetName val="Compressors"/>
      <sheetName val="공사비예산서(토목분)"/>
      <sheetName val="TTL"/>
      <sheetName val="Default"/>
      <sheetName val="원본"/>
      <sheetName val="F4-F7"/>
      <sheetName val="Macro"/>
      <sheetName val="Taux"/>
      <sheetName val="월별"/>
      <sheetName val="뜃맟뭁돽띿맟?-BLDG"/>
      <sheetName val="Cash2"/>
      <sheetName val="Z"/>
      <sheetName val="cable-data"/>
      <sheetName val="집계표"/>
      <sheetName val="뜃맟뭁돽띿맟_-BLDG"/>
      <sheetName val="금융비용"/>
      <sheetName val="WBS"/>
      <sheetName val="Inst_Type"/>
      <sheetName val="Loop Type"/>
      <sheetName val="MEXICO-C"/>
      <sheetName val="FitOutConfCentre"/>
      <sheetName val="95삼성급(본사)"/>
      <sheetName val="기준"/>
      <sheetName val="연돌일위집계"/>
      <sheetName val="금액내역서"/>
      <sheetName val="전기공사"/>
      <sheetName val="Food court "/>
      <sheetName val="무시"/>
      <sheetName val="상반기손익차2총괄"/>
      <sheetName val="9-1차이내역"/>
      <sheetName val="97 사업추정(WEKI)"/>
      <sheetName val="손익차9월2"/>
      <sheetName val="회사99"/>
      <sheetName val="주관사업"/>
      <sheetName val="A"/>
      <sheetName val="노원열병합  건축공사기성내역서"/>
      <sheetName val="K"/>
      <sheetName val="BACK DATA"/>
      <sheetName val="영업소실적"/>
      <sheetName val="IT-BAT"/>
      <sheetName val="TOEC"/>
      <sheetName val="을지"/>
      <sheetName val="세금자료"/>
      <sheetName val="사업부배부A"/>
      <sheetName val="직원동원계획"/>
      <sheetName val="인원계획"/>
      <sheetName val="요약배부"/>
      <sheetName val="수입"/>
      <sheetName val="인사자료총집계"/>
      <sheetName val="MAN-STD"/>
      <sheetName val="LENTH"/>
      <sheetName val="Resource table"/>
      <sheetName val="Invoice (Summary)"/>
      <sheetName val="Invoice (IBL)"/>
      <sheetName val="Invoice (OBL)"/>
      <sheetName val="HO_ENG_MH_CAL2"/>
      <sheetName val="7_2세부_부하계산서2"/>
      <sheetName val="INPUT_DATA2"/>
      <sheetName val="_갑지2"/>
      <sheetName val="EQ_Total"/>
      <sheetName val="CIVIL_BOQ1"/>
      <sheetName val="RAW_COST_SUMMARY1"/>
      <sheetName val="BLDG_BOQ1"/>
      <sheetName val="rate_analyses1"/>
      <sheetName val="Price_Detail"/>
      <sheetName val="DS_Oil_System"/>
      <sheetName val="ITB_COST1"/>
      <sheetName val="노임_단가"/>
      <sheetName val="AOP_Summary-2"/>
      <sheetName val="Pjt_Data"/>
      <sheetName val="plan&amp;section_of_foundation"/>
      <sheetName val="pile_bearing_capa_&amp;_arrenge"/>
      <sheetName val="design_load"/>
      <sheetName val="working_load_at_the_btm_ft_"/>
      <sheetName val="stability_check"/>
      <sheetName val="design_criteria"/>
      <sheetName val="2_배관"/>
      <sheetName val="Import"/>
      <sheetName val="공사비 분석표"/>
      <sheetName val="trf(36%)"/>
      <sheetName val="LEGEND"/>
      <sheetName val="[TDIBM1.X೺"/>
      <sheetName val="parts-V2"/>
      <sheetName val="REINF."/>
      <sheetName val="SKETCH"/>
      <sheetName val="BOQ"/>
      <sheetName val="말뚝지지력산정"/>
      <sheetName val="SYS_DB"/>
      <sheetName val="SG"/>
      <sheetName val="L V Separator"/>
      <sheetName val="실행(1)"/>
      <sheetName val="Sheet6"/>
      <sheetName val="sheet"/>
      <sheetName val="CB"/>
      <sheetName val="DATE"/>
      <sheetName val="총괄내역서"/>
      <sheetName val="3.Breakdown Direct Instrument"/>
      <sheetName val="골조시행"/>
      <sheetName val="March"/>
      <sheetName val="12CGOU"/>
      <sheetName val="Rate Analysis"/>
      <sheetName val="Inside building Summary"/>
      <sheetName val="BQMP"/>
      <sheetName val="HO_ENG_MH_CAL3"/>
      <sheetName val="INPUT_DATA3"/>
      <sheetName val="7_2세부_부하계산서3"/>
      <sheetName val="Eq__Mobilization2"/>
      <sheetName val="_갑지3"/>
      <sheetName val="EQ_Total1"/>
      <sheetName val="CIVIL_BOQ2"/>
      <sheetName val="RAW_COST_SUMMARY2"/>
      <sheetName val="BLDG_BOQ2"/>
      <sheetName val="rate_analyses2"/>
      <sheetName val="Price_Detail1"/>
      <sheetName val="ITB_COST2"/>
      <sheetName val="DS_Oil_System1"/>
      <sheetName val="노임_단가1"/>
      <sheetName val="AOP_Summary-21"/>
      <sheetName val="plan&amp;section_of_foundation1"/>
      <sheetName val="pile_bearing_capa_&amp;_arrenge1"/>
      <sheetName val="design_load1"/>
      <sheetName val="working_load_at_the_btm_ft_1"/>
      <sheetName val="stability_check1"/>
      <sheetName val="design_criteria1"/>
      <sheetName val="Pjt_Data1"/>
      <sheetName val="2_배관1"/>
      <sheetName val="M_11"/>
      <sheetName val="PIPE_(SG)-발수"/>
      <sheetName val="TYPE-B_평균H"/>
      <sheetName val="ANA&amp;DESIGN&amp;REINF__"/>
      <sheetName val="PRIMARY_LOAD"/>
      <sheetName val="EXT_CHECK"/>
      <sheetName val="할증_"/>
      <sheetName val="Invoice_(Summary)"/>
      <sheetName val="Invoice_(IBL)"/>
      <sheetName val="Invoice_(OBL)"/>
      <sheetName val="OIL_SYST_DATA_SHTS"/>
      <sheetName val="Loop_Type"/>
      <sheetName val="공사비_분석표"/>
      <sheetName val="Resource_table"/>
      <sheetName val="간접비_총괄표"/>
      <sheetName val="[TDIBM1_X೺ഈG_MH_CAL"/>
      <sheetName val="REINF_"/>
      <sheetName val="Food_court_"/>
      <sheetName val="97_사업추정(WEKI)"/>
      <sheetName val="노원열병합__건축공사기성내역서"/>
      <sheetName val="BACK_DATA"/>
      <sheetName val="명판"/>
      <sheetName val="_TDIBM1.X೺"/>
      <sheetName val="Vertical FDN-12"/>
      <sheetName val="Pump FDN-1"/>
      <sheetName val="Horizontal Vessel FDN-1"/>
      <sheetName val="상세내역"/>
      <sheetName val="시간별적산"/>
      <sheetName val="NO.3.PTA PLANT SD COST"/>
      <sheetName val="비교원RD-S"/>
      <sheetName val="9904"/>
      <sheetName val="9908"/>
      <sheetName val="9912"/>
      <sheetName val="9902"/>
      <sheetName val="9901"/>
      <sheetName val="9907"/>
      <sheetName val="9906"/>
      <sheetName val="9903"/>
      <sheetName val="9905"/>
      <sheetName val="9911"/>
      <sheetName val="9910"/>
      <sheetName val="9909"/>
      <sheetName val="STA &amp; SEC"/>
      <sheetName val="GRACE"/>
      <sheetName val="major"/>
      <sheetName val="창고"/>
      <sheetName val="intake"/>
      <sheetName val="단면가정"/>
      <sheetName val="설계조건"/>
      <sheetName val="inter"/>
      <sheetName val="_TDIBM1.X೺_x005f_x0000_ഈ_x005f_x0000__x0000"/>
      <sheetName val="_TDIBM1_X೺ഈG_MH_CAL"/>
      <sheetName val="DESIGN"/>
      <sheetName val="OCT.FDN"/>
      <sheetName val="Valve List (Priced)"/>
      <sheetName val="wagerate"/>
      <sheetName val="ENG_prog"/>
      <sheetName val="Resource summary"/>
      <sheetName val="bdown"/>
      <sheetName val="CostDB"/>
      <sheetName val="실행자재"/>
      <sheetName val="Resource"/>
      <sheetName val="Break Down"/>
      <sheetName val="BQ"/>
      <sheetName val="Tbl 1y 4"/>
      <sheetName val="BELİRLENECEKLER"/>
      <sheetName val="Sheet2"/>
      <sheetName val="120"/>
      <sheetName val="130"/>
      <sheetName val="100"/>
      <sheetName val="101"/>
      <sheetName val="102"/>
      <sheetName val="103"/>
      <sheetName val="106"/>
      <sheetName val="108"/>
      <sheetName val="109"/>
      <sheetName val="131"/>
      <sheetName val="110"/>
      <sheetName val="111"/>
      <sheetName val="114"/>
      <sheetName val="116"/>
      <sheetName val="132"/>
      <sheetName val="140"/>
      <sheetName val="141"/>
      <sheetName val="142"/>
      <sheetName val="143"/>
      <sheetName val="144"/>
      <sheetName val="145"/>
      <sheetName val="146"/>
      <sheetName val="121"/>
      <sheetName val="147"/>
      <sheetName val="148"/>
      <sheetName val="160"/>
      <sheetName val="164"/>
      <sheetName val="Flaer Area"/>
      <sheetName val="123"/>
      <sheetName val="124"/>
      <sheetName val="125"/>
      <sheetName val="126"/>
      <sheetName val="127"/>
      <sheetName val="128"/>
      <sheetName val="129"/>
      <sheetName val="Database"/>
      <sheetName val="노임"/>
      <sheetName val="CDU (성창) Master"/>
      <sheetName val="Inert Balls"/>
      <sheetName val="Overall Status"/>
      <sheetName val="노임단가"/>
      <sheetName val="투찰"/>
      <sheetName val=""/>
      <sheetName val="Rates"/>
      <sheetName val="내"/>
      <sheetName val="[TDIBM1.X೺_x0000_ഈ_x0000__x0000__x0000__x0000__x0000_G_MH_CAL"/>
      <sheetName val="_TDIBM1.X೺_x0000_ഈ_x0000__x0000__x0000__x0000__x0000_G_MH_CAL"/>
    </sheetNames>
    <sheetDataSet>
      <sheetData sheetId="0"/>
      <sheetData sheetId="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sheetData sheetId="137"/>
      <sheetData sheetId="138"/>
      <sheetData sheetId="139"/>
      <sheetData sheetId="140"/>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sheetData sheetId="291" refreshError="1"/>
      <sheetData sheetId="292" refreshError="1"/>
      <sheetData sheetId="293" refreshError="1"/>
      <sheetData sheetId="294" refreshError="1"/>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sheetData sheetId="346"/>
      <sheetData sheetId="347"/>
      <sheetData sheetId="348"/>
      <sheetData sheetId="349"/>
      <sheetData sheetId="350"/>
      <sheetData sheetId="351"/>
      <sheetData sheetId="352"/>
      <sheetData sheetId="353"/>
      <sheetData sheetId="354"/>
      <sheetData sheetId="355"/>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5삼성급(총괄)"/>
      <sheetName val="95삼성급(본사)"/>
      <sheetName val="95삼성급_본사_"/>
      <sheetName val="삼성초임"/>
      <sheetName val="XL4Poppy"/>
      <sheetName val="eq_data"/>
      <sheetName val="B31.1"/>
      <sheetName val="PSIZE"/>
      <sheetName val="집계표"/>
      <sheetName val="영업소실적"/>
      <sheetName val="주관사업"/>
      <sheetName val="개시대사 (2)"/>
      <sheetName val="현대본사"/>
      <sheetName val="상반기손익차2총괄"/>
      <sheetName val="AILC004"/>
      <sheetName val="회사99"/>
      <sheetName val="RENUN"/>
      <sheetName val="손익차9월2"/>
      <sheetName val="시산"/>
      <sheetName val="97 사업추정(WEKI)"/>
      <sheetName val="표지"/>
      <sheetName val="총괄표"/>
      <sheetName val="정부노임단가"/>
      <sheetName val="수입"/>
      <sheetName val="7.6.3(B) UG Piping"/>
      <sheetName val="DRUM"/>
      <sheetName val="B31_1"/>
      <sheetName val="개시대사_(2)"/>
      <sheetName val="PumpSpec"/>
      <sheetName val="MixBed"/>
      <sheetName val="CondPol"/>
      <sheetName val="집계표(OPTION)"/>
      <sheetName val="간선계산"/>
      <sheetName val="IndectCostBreakdown"/>
      <sheetName val="대비표"/>
    </sheetNames>
    <sheetDataSet>
      <sheetData sheetId="0"/>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00000"/>
      <sheetName val="INNER FULE"/>
      <sheetName val="적용할증"/>
      <sheetName val="연돌일위집계"/>
      <sheetName val="일위대가"/>
      <sheetName val="고소할증품"/>
      <sheetName val="특수비계공품"/>
      <sheetName val="수량산출서"/>
      <sheetName val="플랫폼집계"/>
      <sheetName val="플랫폼수량"/>
      <sheetName val="계단집계"/>
      <sheetName val="계단수량"/>
      <sheetName val="랜딩집계"/>
      <sheetName val="랜딩수량"/>
      <sheetName val="사다리집계"/>
      <sheetName val="사다리수량"/>
      <sheetName val="Sheet1"/>
      <sheetName val="연돌내역서"/>
      <sheetName val="연돌"/>
      <sheetName val="Sheet2"/>
      <sheetName val="Sheet3"/>
      <sheetName val="(76)배관총괄"/>
      <sheetName val="M2-1-1"/>
      <sheetName val="M2-1-2"/>
      <sheetName val="M2-1-3"/>
      <sheetName val="M2-1-4"/>
      <sheetName val="M2-1-5"/>
      <sheetName val="M2-1-6"/>
      <sheetName val="M2-1-7"/>
      <sheetName val="M2-1-8"/>
      <sheetName val="M2-1-9"/>
      <sheetName val="M2-1-10"/>
      <sheetName val="정산"/>
      <sheetName val="관리비"/>
      <sheetName val="기성공제"/>
      <sheetName val="실행내역"/>
      <sheetName val="1월보고(99종합)"/>
      <sheetName val="00년 1월"/>
      <sheetName val="00년 2월"/>
      <sheetName val="00년 3월"/>
      <sheetName val="00년 4월"/>
      <sheetName val="00년 5월"/>
      <sheetName val="00년상반기"/>
      <sheetName val="00년 7월"/>
      <sheetName val="00년 8월"/>
      <sheetName val="00년 9월"/>
      <sheetName val="00년10월"/>
      <sheetName val="12월가공서비스"/>
      <sheetName val="Sheet10"/>
      <sheetName val="Sheet11"/>
      <sheetName val="Sheet12"/>
      <sheetName val="Sheet13"/>
      <sheetName val="Sheet14"/>
      <sheetName val="Sheet15"/>
      <sheetName val="Sheet16"/>
      <sheetName val="그래프data"/>
      <sheetName val="정부노임단가"/>
      <sheetName val="갑지(추정)"/>
      <sheetName val="㽓다리수량"/>
      <sheetName val="공문"/>
      <sheetName val="실행(1)"/>
      <sheetName val="단가표"/>
      <sheetName val="노원열병합  건축공사기성내역서"/>
      <sheetName val="설계예산서"/>
      <sheetName val="01"/>
      <sheetName val="PIPE내역(FCN)"/>
      <sheetName val="목표세부명세"/>
      <sheetName val="DRUM"/>
      <sheetName val="SG"/>
      <sheetName val="금액내역서"/>
      <sheetName val="건축집계"/>
      <sheetName val="일위대가-목록"/>
      <sheetName val="결과조달"/>
      <sheetName val="배관(TDI ISBL)"/>
      <sheetName val="h-013211-2"/>
      <sheetName val="품셈"/>
      <sheetName val="가시설흙막이"/>
      <sheetName val="직재"/>
      <sheetName val="TOWER 12TON"/>
      <sheetName val="TOWER 10TON"/>
      <sheetName val="당초"/>
      <sheetName val="0226"/>
      <sheetName val="PBS"/>
      <sheetName val="CAT_5"/>
      <sheetName val="노임단가"/>
      <sheetName val="단중"/>
      <sheetName val="품셈표"/>
      <sheetName val=" 견적서"/>
      <sheetName val="소비자가"/>
      <sheetName val="1ST"/>
      <sheetName val="연돌내역일위"/>
      <sheetName val="1단계"/>
      <sheetName val="PIPE"/>
      <sheetName val="FLANGE"/>
      <sheetName val="VALVE"/>
      <sheetName val="3.공통공사대비"/>
      <sheetName val="INNER_FULE"/>
      <sheetName val="00년_1월"/>
      <sheetName val="00년_2월"/>
      <sheetName val="00년_3월"/>
      <sheetName val="00년_4월"/>
      <sheetName val="00년_5월"/>
      <sheetName val="00년_7월"/>
      <sheetName val="00년_8월"/>
      <sheetName val="00년_9월"/>
      <sheetName val="노원열병합__건축공사기성내역서"/>
      <sheetName val="배관(TDI_ISBL)"/>
      <sheetName val="TOWER_12TON"/>
      <sheetName val="TOWER_10TON"/>
      <sheetName val="C3"/>
      <sheetName val="TDI ISBL"/>
      <sheetName val="실행"/>
      <sheetName val="유림골조"/>
      <sheetName val="IW-LIST"/>
      <sheetName val="안국연체"/>
      <sheetName val="현장경상비"/>
      <sheetName val="6호기"/>
      <sheetName val="기계설비"/>
      <sheetName val="Sheet5"/>
      <sheetName val="TB-내역서"/>
      <sheetName val="기준"/>
      <sheetName val="공사내역"/>
      <sheetName val="D-3109"/>
      <sheetName val="부표총괄"/>
      <sheetName val="동축분 종합설계서"/>
      <sheetName val="CALCULATION"/>
      <sheetName val="misc"/>
      <sheetName val="S003031"/>
      <sheetName val="전기일위대가"/>
      <sheetName val="일위대가(여기까지)"/>
      <sheetName val="Sheet4"/>
      <sheetName val="전기"/>
      <sheetName val="집계"/>
      <sheetName val="#REF"/>
      <sheetName val="기본일위"/>
      <sheetName val="직노"/>
      <sheetName val="I一般比"/>
      <sheetName val="내역서2안"/>
      <sheetName val="설직재-1"/>
      <sheetName val="APT"/>
      <sheetName val="건축(광주)"/>
      <sheetName val="ELECTRIC"/>
      <sheetName val="CTEMCOST"/>
      <sheetName val="SCHEDULE"/>
      <sheetName val="일반부표"/>
      <sheetName val="설계예시"/>
      <sheetName val="내역서(총)"/>
      <sheetName val="세대내부"/>
      <sheetName val="내"/>
      <sheetName val="청산공사"/>
      <sheetName val="예가표"/>
      <sheetName val="Summary"/>
      <sheetName val="24V"/>
      <sheetName val="도"/>
      <sheetName val="견적"/>
      <sheetName val="지급자재"/>
      <sheetName val="노임"/>
      <sheetName val="도면자료제출일정"/>
      <sheetName val="C-301E~305E"/>
      <sheetName val="B"/>
      <sheetName val="REFTABLE"/>
      <sheetName val="MINA BM"/>
      <sheetName val="수주전망영업부"/>
      <sheetName val="입상내역"/>
      <sheetName val="수문일위1"/>
      <sheetName val="Y-WORK"/>
      <sheetName val="수금 "/>
      <sheetName val="12월정산수금현황"/>
      <sheetName val="수정시산표"/>
      <sheetName val="BACKDATA"/>
      <sheetName val="A"/>
      <sheetName val="외화"/>
      <sheetName val="2 카드채권(대출포함)"/>
      <sheetName val="자금동향"/>
      <sheetName val="견적조건"/>
      <sheetName val="설치공사"/>
      <sheetName val="동축분_종합설계서"/>
      <sheetName val="3_공통공사대비"/>
      <sheetName val="TDI_ISBL"/>
      <sheetName val="MINA_BM"/>
      <sheetName val="Sheet9"/>
      <sheetName val="발전기"/>
      <sheetName val="간선"/>
      <sheetName val="전기자료"/>
      <sheetName val="ERECIN"/>
      <sheetName val="수입"/>
      <sheetName val="trf(36%)"/>
      <sheetName val="SOS_PLC &amp; Panel"/>
      <sheetName val="BACKDA_x0014_A"/>
      <sheetName val="조립지적"/>
      <sheetName val="기준표"/>
      <sheetName val="CONC SLAB"/>
      <sheetName val="수로단위수량"/>
      <sheetName val="설계조건"/>
      <sheetName val="건축-물가변동"/>
      <sheetName val="갑지"/>
      <sheetName val="조건표"/>
      <sheetName val="집계표"/>
      <sheetName val="D-623D"/>
      <sheetName val="NAMES"/>
      <sheetName val="월별cashflow"/>
      <sheetName val="사업검토"/>
      <sheetName val="월별경비집행"/>
      <sheetName val="공사비증감"/>
      <sheetName val="6PILE  (돌출)"/>
      <sheetName val="국내"/>
      <sheetName val="금융비용"/>
      <sheetName val="카메라(TO양식변경)"/>
      <sheetName val="표지"/>
      <sheetName val="공통비총괄표"/>
      <sheetName val="제직재"/>
      <sheetName val="제-노임"/>
      <sheetName val="일위"/>
      <sheetName val="품셈TABLE"/>
      <sheetName val="모니터"/>
      <sheetName val="금융"/>
      <sheetName val="TRE TABLE"/>
      <sheetName val="DATA"/>
      <sheetName val="내역서(증축)"/>
      <sheetName val="할증 "/>
      <sheetName val="NYS"/>
      <sheetName val="Back data Table"/>
      <sheetName val="nde_request"/>
      <sheetName val="MIBK원단위"/>
      <sheetName val="KUNGDEVI"/>
      <sheetName val="BQ"/>
      <sheetName val="TCF"/>
      <sheetName val="人力"/>
      <sheetName val="分析2-安装包"/>
      <sheetName val="sum1 (2)"/>
      <sheetName val="5.소재"/>
      <sheetName val="일위대가(계측기설치)"/>
      <sheetName val="LinerWt"/>
      <sheetName val="토공정보"/>
      <sheetName val="두앙"/>
      <sheetName val="KMX(현대토목)"/>
      <sheetName val="PIPE(UG)내역"/>
      <sheetName val="COVER-P"/>
      <sheetName val="INSTR"/>
      <sheetName val="매출"/>
      <sheetName val="1.설계기준"/>
      <sheetName val="0708"/>
      <sheetName val="INNER_FULE1"/>
      <sheetName val="00년_1월1"/>
      <sheetName val="00년_2월1"/>
      <sheetName val="00년_3월1"/>
      <sheetName val="00년_4월1"/>
      <sheetName val="00년_5월1"/>
      <sheetName val="00년_7월1"/>
      <sheetName val="00년_8월1"/>
      <sheetName val="00년_9월1"/>
      <sheetName val="노원열병합__건축공사기성내역서1"/>
      <sheetName val="배관(TDI_ISBL)1"/>
      <sheetName val="TOWER_12TON1"/>
      <sheetName val="TOWER_10TON1"/>
      <sheetName val="_견적서"/>
      <sheetName val="7.1유효폭"/>
      <sheetName val="현장관리비"/>
      <sheetName val="노임이"/>
      <sheetName val="골프장예산"/>
      <sheetName val="실행내역서 "/>
      <sheetName val="설계명세서"/>
      <sheetName val="IMPEADENCE MAP 취수장"/>
      <sheetName val="내역서"/>
      <sheetName val="앉음벽 (2)"/>
      <sheetName val="원가계산서(남측)"/>
      <sheetName val="단면 (2)"/>
      <sheetName val="자금신청서"/>
      <sheetName val="AC포장수량"/>
      <sheetName val="DATA2000"/>
      <sheetName val="BQMPALOC"/>
      <sheetName val="Cash2"/>
      <sheetName val="Z"/>
      <sheetName val="97 사업추정(WEKI)"/>
      <sheetName val="기계경비 (2)"/>
      <sheetName val="단가조사"/>
      <sheetName val="가격조사서"/>
      <sheetName val="Supplement2"/>
      <sheetName val="Civil"/>
      <sheetName val="DB@Acess"/>
      <sheetName val="본선 토공 분배표"/>
      <sheetName val="관로토공집계표"/>
      <sheetName val="cable-data"/>
      <sheetName val="예정(3)"/>
      <sheetName val="동원(3)"/>
      <sheetName val="부속동"/>
      <sheetName val="개요"/>
      <sheetName val="마감사양"/>
      <sheetName val="표지 (2)"/>
      <sheetName val="계정"/>
      <sheetName val="부하계산서"/>
      <sheetName val="P.M 별"/>
      <sheetName val="TG9504"/>
      <sheetName val="다이꾸"/>
      <sheetName val="0000"/>
      <sheetName val="만기"/>
      <sheetName val="calc"/>
      <sheetName val="수량산출서 갑지"/>
      <sheetName val="프랜트면허"/>
      <sheetName val="의뢰서"/>
      <sheetName val="판가반영"/>
      <sheetName val="사업부배부A"/>
      <sheetName val="Insts"/>
      <sheetName val="costing_CV"/>
      <sheetName val="costing_ESDV"/>
      <sheetName val="costing_FE"/>
      <sheetName val="costing_Misc"/>
      <sheetName val="costing_MOV"/>
      <sheetName val="costing_Press"/>
      <sheetName val="총물량"/>
      <sheetName val="공사비예산서(토목분)"/>
      <sheetName val="대림경상68억"/>
      <sheetName val="집계표(OPTION)"/>
      <sheetName val="sum"/>
      <sheetName val="설비원가"/>
      <sheetName val="손익분석"/>
      <sheetName val="12CGOU"/>
      <sheetName val="INNER_FULE2"/>
      <sheetName val="00년_1월2"/>
      <sheetName val="00년_2월2"/>
      <sheetName val="00년_3월2"/>
      <sheetName val="00년_4월2"/>
      <sheetName val="00년_5월2"/>
      <sheetName val="00년_7월2"/>
      <sheetName val="00년_8월2"/>
      <sheetName val="00년_9월2"/>
      <sheetName val="노원열병합__건축공사기성내역서2"/>
      <sheetName val="배관(TDI_ISBL)2"/>
      <sheetName val="TOWER_12TON2"/>
      <sheetName val="TOWER_10TON2"/>
      <sheetName val="3_공통공사대비1"/>
      <sheetName val="_견적서1"/>
      <sheetName val="TDI_ISBL1"/>
      <sheetName val="Code_INTools"/>
      <sheetName val="Default_Magics"/>
      <sheetName val="Code_Magics"/>
      <sheetName val="Code"/>
      <sheetName val="GRDBS"/>
      <sheetName val="경산"/>
      <sheetName val="공사현황"/>
      <sheetName val="공종별 공사비변동"/>
      <sheetName val="J直材4"/>
      <sheetName val="EQUIPMENT"/>
      <sheetName val="DB"/>
      <sheetName val="VV보온LINK"/>
      <sheetName val="FIT보온LINK"/>
      <sheetName val="절단표"/>
      <sheetName val="20-25"/>
      <sheetName val="부하(성남)"/>
      <sheetName val="Engrg Est"/>
      <sheetName val="날개벽수량표"/>
      <sheetName val="PRO_DCI"/>
      <sheetName val="INST_DCI"/>
      <sheetName val="HVAC_DCI"/>
      <sheetName val="PIPE_DCI"/>
      <sheetName val="TTL"/>
      <sheetName val="배수내역"/>
      <sheetName val="9-1차이내역"/>
      <sheetName val="PIPE-HOT"/>
      <sheetName val="동축분_종합설계서1"/>
      <sheetName val="MINA_BM1"/>
      <sheetName val="수금_"/>
      <sheetName val="2_카드채권(대출포함)"/>
      <sheetName val="Back_data_Table"/>
      <sheetName val="CONC_SLAB"/>
      <sheetName val="SOS_PLC_&amp;_Panel"/>
      <sheetName val="할증_"/>
      <sheetName val="1_설계기준"/>
      <sheetName val="6PILE__(돌출)"/>
      <sheetName val="97_사업추정(WEKI)"/>
      <sheetName val="7_1유효폭"/>
      <sheetName val="실행내역서_"/>
      <sheetName val="IMPEADENCE_MAP_취수장"/>
      <sheetName val="외주계약현황"/>
      <sheetName val="자재계약내용"/>
      <sheetName val="단가표 "/>
      <sheetName val="견"/>
      <sheetName val="CODE (2)"/>
      <sheetName val="토공실행"/>
      <sheetName val="오산갈곳"/>
      <sheetName val="교각1"/>
      <sheetName val="BSD (2)"/>
      <sheetName val="FORM-0"/>
      <sheetName val="설계명세서(선로)"/>
      <sheetName val="일위대가목차"/>
      <sheetName val="연수동"/>
      <sheetName val="세부내역"/>
      <sheetName val="특기사항"/>
      <sheetName val="COPING"/>
      <sheetName val="유림총괄"/>
      <sheetName val="ilch"/>
      <sheetName val="토공(완충)"/>
      <sheetName val="3BL공동구 수량"/>
      <sheetName val="방배동내역(리라)"/>
      <sheetName val="입찰내역 발주처 양식"/>
      <sheetName val="jobhist"/>
      <sheetName val="Gia vat tu"/>
      <sheetName val="MTP"/>
      <sheetName val="일위대가 "/>
      <sheetName val="WELDING POINT 단가"/>
      <sheetName val="내역"/>
      <sheetName val="정산내역"/>
      <sheetName val="산거각호표"/>
      <sheetName val="대로근거"/>
      <sheetName val="중로근거"/>
      <sheetName val="기초자료입력"/>
      <sheetName val="BID"/>
      <sheetName val="변경집계표"/>
      <sheetName val="방배2E"/>
      <sheetName val="slipsumpR"/>
      <sheetName val="집계표(덕화)"/>
      <sheetName val="대비표"/>
      <sheetName val="Base_Data"/>
      <sheetName val="PROCURE"/>
      <sheetName val="공사비SUM"/>
      <sheetName val="wagerate"/>
      <sheetName val="Total"/>
      <sheetName val="cable"/>
      <sheetName val="Appendix 2"/>
      <sheetName val="Appendix 3"/>
      <sheetName val="Appendix 4(a)_Civil"/>
      <sheetName val="Appendix 4(c)_Piping"/>
      <sheetName val="Appendix 4(b)_Elec."/>
      <sheetName val="临时设施费"/>
      <sheetName val="SW"/>
      <sheetName val="Summary12"/>
      <sheetName val="Summary11"/>
      <sheetName val="OVERALL-PKG#1"/>
      <sheetName val="을"/>
      <sheetName val="SHL"/>
      <sheetName val="22-Plant"/>
      <sheetName val="Supervision List"/>
      <sheetName val="CostDB"/>
      <sheetName val="BQ_Process "/>
      <sheetName val="BQ_Building "/>
      <sheetName val="fire alarm"/>
      <sheetName val="Tank Elec. BM "/>
      <sheetName val="132kv.BM "/>
      <sheetName val="BOQ for HRSG &amp; BOP-mech."/>
      <sheetName val="Desal-E&amp;I"/>
      <sheetName val="BOQ for GTG &amp; STG-mech."/>
      <sheetName val="공통비(전체)"/>
      <sheetName val="DHEQSUPT"/>
      <sheetName val="배관 PANIT 물량"/>
      <sheetName val="품"/>
      <sheetName val="3.PIPING"/>
      <sheetName val=" 공사개요.xlsx"/>
      <sheetName val="SUPT_Column"/>
      <sheetName val="SUPT_Rafter"/>
      <sheetName val="SUPT_STR2"/>
      <sheetName val="SUPT_Girder"/>
      <sheetName val="Int Wind Girder"/>
      <sheetName val="AnchorB"/>
      <sheetName val="AnchorC"/>
      <sheetName val="Shell (App A)"/>
      <sheetName val="Cover"/>
      <sheetName val="Annular"/>
      <sheetName val="Wind"/>
      <sheetName val="Rafter_Only"/>
      <sheetName val="App F"/>
      <sheetName val="Seismic"/>
      <sheetName val="Shell (VP Dgn)"/>
      <sheetName val="역T형"/>
      <sheetName val="Cable경로수정_SRS_제출_견적내역(20120215)"/>
      <sheetName val="ITEM"/>
      <sheetName val="견적단가"/>
      <sheetName val="자재비산출(perlite)"/>
      <sheetName val="사통"/>
      <sheetName val="허용전류-IEC"/>
      <sheetName val="허용전류-IEC DATA"/>
      <sheetName val="밸브설치"/>
      <sheetName val="경상비"/>
      <sheetName val="실행대비"/>
      <sheetName val="공사개요"/>
      <sheetName val="청천내"/>
      <sheetName val="도급내역"/>
      <sheetName val="연결임시"/>
      <sheetName val="구조물공"/>
      <sheetName val="2000년1차"/>
      <sheetName val="투찰추정"/>
      <sheetName val="도급내역5+800"/>
      <sheetName val="수목표준대가"/>
      <sheetName val="JUCKEYK"/>
      <sheetName val="부대공"/>
      <sheetName val="도급금액"/>
      <sheetName val="재노경"/>
      <sheetName val="일위대가(가설)"/>
      <sheetName val="단가"/>
      <sheetName val="배수공"/>
      <sheetName val="설계"/>
      <sheetName val="포장공"/>
      <sheetName val="일위대가(1)"/>
      <sheetName val="총공사내역서"/>
      <sheetName val="200"/>
      <sheetName val="토공"/>
      <sheetName val="도급"/>
      <sheetName val="설 계"/>
      <sheetName val="입찰안"/>
      <sheetName val="WORK"/>
      <sheetName val="일반공사"/>
      <sheetName val="MOTOR"/>
      <sheetName val="충주"/>
      <sheetName val="입출재고현황 (2)"/>
      <sheetName val="구조물철거타공정이월"/>
      <sheetName val="PRICES"/>
      <sheetName val="1,2,3,4,5단위수량"/>
      <sheetName val="교각계산"/>
      <sheetName val="실행철강하도"/>
      <sheetName val="연부97-1"/>
      <sheetName val="21301동"/>
      <sheetName val="코드"/>
      <sheetName val="COST"/>
      <sheetName val="기본사항"/>
      <sheetName val="을-ATYPE"/>
      <sheetName val="정보"/>
      <sheetName val="입력"/>
      <sheetName val="Project_Brief1"/>
      <sheetName val="Breakdown"/>
      <sheetName val="금액집계"/>
      <sheetName val="1공구(을)"/>
      <sheetName val="UnitRate"/>
      <sheetName val="을 2"/>
      <sheetName val="9GNG운반"/>
      <sheetName val="산출내역서집계표"/>
      <sheetName val="연습"/>
      <sheetName val="아울렛박스"/>
      <sheetName val="내역표지"/>
      <sheetName val="EP0618"/>
      <sheetName val="현장지지물물량"/>
      <sheetName val="터파기및재료"/>
      <sheetName val="BOX(1.5X1.5)"/>
      <sheetName val="MAT_N048"/>
      <sheetName val="공통부대비"/>
      <sheetName val="사진"/>
      <sheetName val="전계가"/>
      <sheetName val="업무담당"/>
      <sheetName val="조명시설"/>
      <sheetName val="MTO REV.2(ARMOR)"/>
      <sheetName val="충돌 내용"/>
      <sheetName val="수량산출서(코너앵글)"/>
      <sheetName val="간접"/>
      <sheetName val="EQUIP"/>
      <sheetName val="성곽내역서"/>
      <sheetName val="PC방호벽설치수량"/>
      <sheetName val="W-현원가"/>
      <sheetName val="내역1"/>
      <sheetName val="조명율표"/>
      <sheetName val="CD,TH,TP"/>
      <sheetName val="Tong Hop"/>
      <sheetName val="He 06"/>
      <sheetName val="Nam 2004"/>
      <sheetName val="Nam 2003"/>
      <sheetName val="Nam 2005"/>
      <sheetName val="Nam 2002"/>
      <sheetName val="XL4Poppy"/>
      <sheetName val="F4-F7"/>
      <sheetName val="별표 "/>
      <sheetName val="토량산출서"/>
      <sheetName val="당초토량산출서"/>
      <sheetName val="견적대비표"/>
      <sheetName val="차액보증"/>
      <sheetName val="증감내역서"/>
      <sheetName val="토적표"/>
      <sheetName val="노무비"/>
      <sheetName val="기초코드"/>
      <sheetName val="변경토량산출서"/>
      <sheetName val="TRE_TABLE"/>
      <sheetName val="CODE_(2)"/>
      <sheetName val="sum1_(2)"/>
      <sheetName val="단가표_"/>
      <sheetName val="P_M_별"/>
      <sheetName val="표지_(2)"/>
      <sheetName val="기계경비_(2)"/>
      <sheetName val="입찰내역_발주처_양식"/>
      <sheetName val="수량산출서_갑지"/>
      <sheetName val="3BL공동구_수량"/>
      <sheetName val="공종별_공사비변동"/>
      <sheetName val="앉음벽_(2)"/>
      <sheetName val="2.대외공문"/>
      <sheetName val="적정심사"/>
      <sheetName val="건기토"/>
      <sheetName val="상세일위"/>
      <sheetName val="단가(보완)"/>
      <sheetName val="대가 (보완)"/>
      <sheetName val="hvac(제어동)"/>
      <sheetName val="설계내역서"/>
      <sheetName val="공종별수량집계"/>
      <sheetName val="남양내역"/>
      <sheetName val="공종별집계표"/>
      <sheetName val="EQUIPMENT -2"/>
      <sheetName val="토목주소"/>
      <sheetName val="일위대가_여기까지_"/>
      <sheetName val="간접비내역-1"/>
      <sheetName val="ENE-CAL 1"/>
      <sheetName val="Sheet1 (2)"/>
      <sheetName val="TYPE-A"/>
      <sheetName val="최종보고1"/>
      <sheetName val="2010년 투입계획 (2)"/>
      <sheetName val="Nalut (천단위)"/>
      <sheetName val="준검 내역서"/>
      <sheetName val="N賃率-職"/>
      <sheetName val="결재방"/>
      <sheetName val="TDC COA Sumry"/>
      <sheetName val="TDC Item Dets"/>
      <sheetName val="TDC Item Sumry"/>
      <sheetName val="TDC Key Qty Sumry"/>
      <sheetName val="List - Components"/>
      <sheetName val="List - Equipment"/>
      <sheetName val="COA Sumry - Std Imp"/>
      <sheetName val="Contr TDC - Std Imp"/>
      <sheetName val="Item Sumry - Std Imp"/>
      <sheetName val="Unit Costs - Std Imp"/>
      <sheetName val="Unit MH - Std Imp"/>
      <sheetName val="Proj TIC - Std Imp"/>
      <sheetName val="Inert Balls"/>
      <sheetName val="HRB"/>
      <sheetName val="ASCEandUBC"/>
      <sheetName val="일위2"/>
      <sheetName val="일위6"/>
      <sheetName val="CPM챠트"/>
      <sheetName val="그래프(안전환경)"/>
      <sheetName val="자재집계"/>
      <sheetName val="Subcon A"/>
      <sheetName val="PROCESS"/>
      <sheetName val="YES-T"/>
      <sheetName val="Sheet17"/>
      <sheetName val="단가산출"/>
      <sheetName val="설산1.나"/>
      <sheetName val="본사S"/>
      <sheetName val="0124"/>
      <sheetName val="cal"/>
      <sheetName val="산근"/>
      <sheetName val="BAND(200)"/>
      <sheetName val="OUTER AREA(겹침없음)"/>
      <sheetName val="EG-09"/>
      <sheetName val="교통대책내역"/>
      <sheetName val="코드표"/>
      <sheetName val="BOX"/>
      <sheetName val="단중표_ST"/>
      <sheetName val="기계내역"/>
      <sheetName val="CIVIL4"/>
      <sheetName val="A-100전제"/>
      <sheetName val="Summary Sheets"/>
      <sheetName val="BEND LOSS"/>
      <sheetName val="수주추정"/>
      <sheetName val="왕십리방향"/>
      <sheetName val="PAY"/>
      <sheetName val="개시대사 (2)"/>
      <sheetName val="갑지1"/>
      <sheetName val="SMD 3L PM Data"/>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수입"/>
      <sheetName val="Sheet1"/>
      <sheetName val="Sheet2"/>
      <sheetName val="Sheet3"/>
      <sheetName val="상반기손익차2총괄"/>
      <sheetName val="SPEC-DT2"/>
      <sheetName val="DESCRIPTION"/>
      <sheetName val="우각부보강"/>
      <sheetName val="BM DATA SHEET"/>
      <sheetName val="PIPE"/>
      <sheetName val="FLANGE"/>
      <sheetName val="VALVE"/>
      <sheetName val="96.12"/>
      <sheetName val="Details"/>
      <sheetName val="NEWCPS"/>
      <sheetName val="97 사업추정(WEKI)"/>
      <sheetName val="IndectCostBreakdown"/>
      <sheetName val="PRO_A"/>
      <sheetName val="DWG"/>
      <sheetName val="MAIN"/>
      <sheetName val="PRO"/>
      <sheetName val="BQ"/>
      <sheetName val="h-013211-2"/>
      <sheetName val="주관사업"/>
      <sheetName val="ANALYSER"/>
      <sheetName val="STAND98"/>
      <sheetName val="환율"/>
      <sheetName val="#REF"/>
      <sheetName val="BQ List"/>
      <sheetName val="대치판정"/>
      <sheetName val="C3"/>
      <sheetName val="경제지표"/>
      <sheetName val="세금자료"/>
      <sheetName val="수정양식"/>
      <sheetName val="INPUT DATA"/>
      <sheetName val="BCPAB"/>
      <sheetName val="95삼성급(본사)"/>
      <sheetName val="crude.SLAB RE-bar"/>
      <sheetName val="CRUDE RE-bar"/>
      <sheetName val="Y-WORK"/>
      <sheetName val="단면가정"/>
      <sheetName val="개시전표"/>
      <sheetName val="공사집계"/>
      <sheetName val="eq_data"/>
      <sheetName val="5"/>
      <sheetName val="3.현장배치"/>
      <sheetName val="손익차9월2"/>
      <sheetName val="기둥(원형)"/>
      <sheetName val="단가표"/>
      <sheetName val="경비_원본"/>
      <sheetName val="노임단가"/>
      <sheetName val="1월"/>
      <sheetName val="sort"/>
      <sheetName val="청산공사"/>
      <sheetName val="토목(도급)"/>
      <sheetName val="MUTUAL"/>
      <sheetName val="95년12월말"/>
      <sheetName val="간접비총괄 (2)"/>
      <sheetName val="적용토목"/>
      <sheetName val="집계표"/>
      <sheetName val="월별사업계획_조정"/>
      <sheetName val="float&amp;bear"/>
      <sheetName val="Kfracture"/>
      <sheetName val="INSTR"/>
      <sheetName val="Equipment"/>
      <sheetName val="Piping"/>
      <sheetName val="Z"/>
      <sheetName val="Cash2"/>
      <sheetName val="Eq. Mobilization"/>
    </sheetNames>
    <sheetDataSet>
      <sheetData sheetId="0"/>
      <sheetData sheetId="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수입"/>
      <sheetName val="세금자료"/>
      <sheetName val="INPUT DATA"/>
      <sheetName val="h-013211-2"/>
      <sheetName val="공사비_NDE"/>
      <sheetName val="단중표-ST"/>
      <sheetName val="요약배부"/>
      <sheetName val="주관사업"/>
      <sheetName val="eq_data"/>
      <sheetName val="SUM-OVERSEAS"/>
      <sheetName val="말뚝물량"/>
      <sheetName val="Sheet1"/>
      <sheetName val="COST-850"/>
      <sheetName val="경제지표"/>
      <sheetName val="당초"/>
      <sheetName val="96.12"/>
      <sheetName val="sort"/>
      <sheetName val="영업소실적"/>
      <sheetName val="95년12월말"/>
      <sheetName val="수정양식"/>
      <sheetName val="DNT OSBL"/>
      <sheetName val="PipWT"/>
      <sheetName val="BCPAB"/>
      <sheetName val="GeneralNote"/>
      <sheetName val="MOB-MAN1"/>
      <sheetName val="총원가.24"/>
      <sheetName val="Equipment"/>
      <sheetName val="Piping"/>
      <sheetName val="ANALYSER"/>
      <sheetName val="Cover"/>
      <sheetName val="Unit 49_분개표"/>
      <sheetName val="Unit 76_분개표"/>
      <sheetName val="인원계획"/>
      <sheetName val="choose"/>
      <sheetName val="시공집계"/>
      <sheetName val="산근"/>
      <sheetName val="DATE"/>
      <sheetName val="DESIGN CRETERIA"/>
      <sheetName val="간접비내역-1"/>
      <sheetName val="C3"/>
      <sheetName val="UnitList"/>
      <sheetName val="7.5.2 BOQ Summary"/>
      <sheetName val="Master"/>
      <sheetName val="사업부배부A"/>
      <sheetName val="간접비 총괄표"/>
      <sheetName val="품셈TABLE"/>
      <sheetName val="DCS"/>
      <sheetName val="자재코드"/>
      <sheetName val="Table"/>
      <sheetName val="기초입력"/>
      <sheetName val="영업2"/>
      <sheetName val="영업3"/>
      <sheetName val="투찰내역"/>
      <sheetName val="Weld, NDE (Pipe)"/>
      <sheetName val="토목주소"/>
      <sheetName val="프랜트면허"/>
      <sheetName val="BID"/>
      <sheetName val="sw1"/>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환율 기본 정보 불러오기"/>
      <sheetName val="원가계산"/>
    </sheetNames>
    <sheetDataSet>
      <sheetData sheetId="0">
        <row r="5">
          <cell r="C5" t="str">
            <v>USD</v>
          </cell>
        </row>
        <row r="6">
          <cell r="C6" t="str">
            <v>JPY</v>
          </cell>
        </row>
        <row r="7">
          <cell r="C7" t="str">
            <v>EUR</v>
          </cell>
        </row>
        <row r="8">
          <cell r="C8" t="str">
            <v>CNY</v>
          </cell>
        </row>
        <row r="9">
          <cell r="C9" t="str">
            <v>GBP</v>
          </cell>
        </row>
        <row r="10">
          <cell r="C10" t="str">
            <v>AUD</v>
          </cell>
        </row>
        <row r="11">
          <cell r="C11" t="str">
            <v>CAD</v>
          </cell>
        </row>
        <row r="12">
          <cell r="C12" t="str">
            <v>NZD</v>
          </cell>
        </row>
      </sheetData>
      <sheetData sheetId="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7.6.3.A.AGPiping (2)"/>
      <sheetName val="Sheet3 (2)"/>
      <sheetName val="Sheet3"/>
      <sheetName val="TOTAL"/>
      <sheetName val="Sheet1"/>
      <sheetName val="OSBL"/>
      <sheetName val="OPTION"/>
      <sheetName val="ISBL"/>
      <sheetName val="Sheet5"/>
      <sheetName val="PRO_DCI"/>
      <sheetName val="INST_DCI"/>
      <sheetName val="HVAC_DCI"/>
      <sheetName val="PIPE_DCI"/>
      <sheetName val="Basic"/>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VITY"/>
      <sheetName val="h-013211-2"/>
      <sheetName val="영업소실적"/>
    </sheetNames>
    <sheetDataSet>
      <sheetData sheetId="0" refreshError="1"/>
      <sheetData sheetId="1" refreshError="1"/>
      <sheetData sheetId="2"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iping"/>
      <sheetName val="sum2"/>
      <sheetName val="sum3"/>
    </sheetNames>
    <sheetDataSet>
      <sheetData sheetId="0"/>
      <sheetData sheetId="1"/>
      <sheetData sheetId="2"/>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2"/>
      <sheetName val="milebase (6)"/>
      <sheetName val="안내"/>
      <sheetName val="Geaph (LGEN)"/>
      <sheetName val="Graph (LGEN)"/>
      <sheetName val="Graph (LGEN, 원가율 87%)"/>
      <sheetName val="Graph (LGEN+ Lurgi)"/>
      <sheetName val="Summary"/>
      <sheetName val="Graph (Lurgi)"/>
      <sheetName val="Balance (이자계산,원가율 100%)"/>
      <sheetName val="Balance (이자계산,87%)"/>
      <sheetName val="Balance (이자계산,원가율 92%)"/>
      <sheetName val="in_progress"/>
      <sheetName val="milebase (5)"/>
      <sheetName val="out_prog"/>
      <sheetName val="선적schedule (2)"/>
      <sheetName val="Sheet1"/>
      <sheetName val="old"/>
      <sheetName val="선적schedule"/>
      <sheetName val="Milestone schedule"/>
      <sheetName val="inter"/>
      <sheetName val="Graph _LGEN_"/>
      <sheetName val="선적schedule _2_"/>
      <sheetName val="Summary Sheets"/>
      <sheetName val="Table"/>
      <sheetName val="Sheet5"/>
      <sheetName val="Bend_fact "/>
      <sheetName val="Total"/>
      <sheetName val="Payment_Cash Balance"/>
      <sheetName val="TIE-INS"/>
      <sheetName val="#REF"/>
      <sheetName val="LOOKUP"/>
      <sheetName val="paint mat"/>
      <sheetName val="CALCULATION"/>
      <sheetName val="piping"/>
      <sheetName val="DATA"/>
      <sheetName val="TO  MEST"/>
      <sheetName val="Cost bd-&quot;A&quot;"/>
      <sheetName val="h-013211-2"/>
      <sheetName val="TABLE2-2 OSBL-(SITE PREP)"/>
      <sheetName val="SHL"/>
      <sheetName val="집계표(OPTION)"/>
      <sheetName val="환율"/>
      <sheetName val="look"/>
      <sheetName val="??schedule (2)"/>
      <sheetName val="COA-17"/>
      <sheetName val="C-18"/>
      <sheetName val="CAT_5"/>
      <sheetName val="WORK-VOL"/>
      <sheetName val="__schedule (2)"/>
      <sheetName val="Chart"/>
      <sheetName val="Instruction"/>
      <sheetName val="TOEC"/>
      <sheetName val="산근"/>
      <sheetName val="¾È³»"/>
      <sheetName val="Graph (LGEN, ¿ø°¡À² 87%)"/>
      <sheetName val="Balance (ÀÌÀÚ°è»ê,¿ø°¡À² 100%)"/>
      <sheetName val="Balance (ÀÌÀÚ°è»ê,87%)"/>
      <sheetName val="Balance (ÀÌÀÚ°è»ê,¿ø°¡À² 92%)"/>
      <sheetName val="¼±Àûschedule (2)"/>
      <sheetName val="¼±Àûschedule"/>
      <sheetName val="¼±Àûschedule _2_"/>
      <sheetName val="Pjny"/>
      <sheetName val="Flow &amp; Loads"/>
      <sheetName val="steam table"/>
      <sheetName val="다이꾸"/>
      <sheetName val="BM DATA SHEET"/>
      <sheetName val="3.현장배치"/>
      <sheetName val="평균환율-USD"/>
      <sheetName val="A CONDITIONS"/>
      <sheetName val="Mtl Summary"/>
      <sheetName val="조도계산서 (도서)"/>
      <sheetName val="기공동원SCH"/>
      <sheetName val="WIN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상반기손익차2총괄"/>
      <sheetName val="영업소실적"/>
      <sheetName val="손익차9월2"/>
      <sheetName val="97 사업추정(WEKI)"/>
      <sheetName val="인원계획"/>
      <sheetName val="수입"/>
      <sheetName val="INSTR"/>
      <sheetName val="MANHOLE"/>
      <sheetName val="Basic"/>
      <sheetName val="95삼성급(본사)"/>
      <sheetName val="기준"/>
      <sheetName val="sum3"/>
      <sheetName val="inter"/>
      <sheetName val="h-013211-2"/>
      <sheetName val="Cover"/>
      <sheetName val="제경비"/>
      <sheetName val="Exch_rates"/>
      <sheetName val="eq_data"/>
      <sheetName val="금액내역서"/>
      <sheetName val="Sheet2"/>
      <sheetName val="Sheet1"/>
      <sheetName val="PRO_DCI"/>
      <sheetName val="INST_DCI"/>
      <sheetName val="HVAC_DCI"/>
      <sheetName val="PIPE_DCI"/>
      <sheetName val="갑지"/>
      <sheetName val="97_사업추정(WEKI)"/>
      <sheetName val="노임"/>
      <sheetName val="BCPAB"/>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1차이내역"/>
      <sheetName val="공문1"/>
      <sheetName val="표지"/>
      <sheetName val="1총괄(上)"/>
      <sheetName val="1총괄(下)"/>
      <sheetName val="2손익"/>
      <sheetName val="3대차"/>
      <sheetName val="4법인세(上)"/>
      <sheetName val="4법인세(下)"/>
      <sheetName val="5잉여금"/>
      <sheetName val="6준비금"/>
      <sheetName val="6부가"/>
      <sheetName val="7여신"/>
      <sheetName val="8주평"/>
      <sheetName val="9확정실적"/>
      <sheetName val="9_1차이내역"/>
      <sheetName val="97 사업추정(WEKI)"/>
      <sheetName val="손익차총괄2"/>
      <sheetName val="상반기손익차2총괄"/>
      <sheetName val="P.M 별"/>
      <sheetName val="현금흐름표"/>
      <sheetName val="수입"/>
      <sheetName val="#REF"/>
      <sheetName val="신대방33(적용)"/>
      <sheetName val="97_사업추정(WEKI)"/>
      <sheetName val="P_M_별"/>
      <sheetName val="환율"/>
      <sheetName val="투입"/>
      <sheetName val="BQMPALOC"/>
      <sheetName val="7. 매출 투입 취하"/>
      <sheetName val="수주현황2월"/>
      <sheetName val="95WBS"/>
      <sheetName val="공통"/>
      <sheetName val="토목주소"/>
      <sheetName val="PRO_DCI"/>
      <sheetName val="INST_DCI"/>
      <sheetName val="HVAC_DCI"/>
      <sheetName val="PIPE_DCI"/>
      <sheetName val="h_013211_2"/>
      <sheetName val="경비"/>
      <sheetName val="SG"/>
      <sheetName val="주관사업"/>
      <sheetName val="alat"/>
      <sheetName val="Upah"/>
      <sheetName val="납부내역"/>
      <sheetName val="전기"/>
      <sheetName val="기기리스트"/>
      <sheetName val="집계표"/>
      <sheetName val="개시대사 (2)"/>
      <sheetName val="계측 내역서"/>
      <sheetName val="合成単価作成表-BLDG"/>
      <sheetName val="세금자료"/>
      <sheetName val="경제지표"/>
      <sheetName val="사업부배부A"/>
      <sheetName val="요약배부"/>
      <sheetName val="Cover"/>
      <sheetName val="영업소실적"/>
      <sheetName val="Sheet1"/>
      <sheetName val="LABTOTAL"/>
      <sheetName val="Sheet 1"/>
      <sheetName val="구의33고"/>
      <sheetName val="97_사업추정(WEKI)1"/>
      <sheetName val="P_M_별1"/>
      <sheetName val="7__매출_투입_취하"/>
      <sheetName val="개시대사_(2)"/>
      <sheetName val="손익차9월2"/>
      <sheetName val="예정(3)"/>
      <sheetName val="동원(3)"/>
      <sheetName val="인사자료총집계"/>
      <sheetName val="소화실적"/>
      <sheetName val="인상효1"/>
      <sheetName val="96결산"/>
      <sheetName val="준검 내역서"/>
      <sheetName val="INSTR"/>
      <sheetName val="BQ"/>
      <sheetName val="전체내역서"/>
      <sheetName val="공통부대비"/>
      <sheetName val="교각계산"/>
      <sheetName val="교각1"/>
      <sheetName val="PIPE"/>
      <sheetName val="기자재집계"/>
      <sheetName val="토목"/>
      <sheetName val="inter"/>
      <sheetName val="INPUT"/>
      <sheetName val="차수"/>
      <sheetName val="Regenerator  Concrete Structure"/>
      <sheetName val="일위대가(가설)"/>
      <sheetName val="D-623D"/>
      <sheetName val="member design"/>
      <sheetName val="design criteria"/>
      <sheetName val="working load at the btm ft."/>
      <sheetName val="plan&amp;section of foundation"/>
      <sheetName val="soil bearing check"/>
      <sheetName val="기둥(원형)"/>
      <sheetName val="찍기"/>
      <sheetName val="단면 (2)"/>
      <sheetName val="BREAKDOWN(철거설치)"/>
      <sheetName val="리비아견적작업"/>
      <sheetName val="뜃맟뭁돽띿맟?-BLDG"/>
      <sheetName val="BREAKDOWN(신규설치)"/>
      <sheetName val="SUMMARY_철거"/>
      <sheetName val="REDUCER"/>
      <sheetName val="단가산출서"/>
      <sheetName val="내역서(당초변경)"/>
      <sheetName val="97_사업추정(WEKI)2"/>
      <sheetName val="P_M_별2"/>
      <sheetName val="7__매출_투입_취하1"/>
      <sheetName val="RFP007"/>
      <sheetName val="비교1"/>
      <sheetName val="다이꾸"/>
      <sheetName val="출자한도"/>
      <sheetName val="Sheet4"/>
      <sheetName val="Asset9809CAK"/>
      <sheetName val="개시대사_(2)1"/>
      <sheetName val="계측_내역서"/>
      <sheetName val="Sheet_1"/>
      <sheetName val="주차구획선수량"/>
      <sheetName val="BCPAB"/>
      <sheetName val="SPT vs PHI"/>
      <sheetName val="날개벽"/>
      <sheetName val="95년12월말"/>
      <sheetName val="준검_내역서"/>
      <sheetName val="Regenerator__Concrete_Structure"/>
      <sheetName val="개산견적원본"/>
      <sheetName val="기본자료"/>
      <sheetName val="시화점실행"/>
      <sheetName val="내역서"/>
      <sheetName val="뜃맟뭁돽띿맟_-BLDG"/>
      <sheetName val="AC포장수량"/>
      <sheetName val="ITB COST"/>
      <sheetName val="간접비내역-1"/>
      <sheetName val="data_dci"/>
      <sheetName val="data_mci"/>
      <sheetName val="behind"/>
      <sheetName val="Main"/>
      <sheetName val="CAT_5"/>
      <sheetName val="BM"/>
      <sheetName val="개시전표"/>
      <sheetName val="공사집계"/>
      <sheetName val="시설물"/>
      <sheetName val="낙찰표"/>
      <sheetName val="자재"/>
      <sheetName val="내역"/>
      <sheetName val="진출철집"/>
      <sheetName val="소업1교"/>
      <sheetName val="업무분장"/>
      <sheetName val="B"/>
      <sheetName val="소야공정계획표"/>
      <sheetName val="45,46"/>
      <sheetName val="토공정보"/>
      <sheetName val="두앙"/>
      <sheetName val="2"/>
      <sheetName val="입찰안"/>
      <sheetName val="DESIGN"/>
      <sheetName val="OCT.FDN"/>
      <sheetName val="CTEMCOST"/>
      <sheetName val="01"/>
      <sheetName val="운반"/>
      <sheetName val="EQT-ESTN"/>
      <sheetName val="95삼성급(본사)"/>
      <sheetName val="설산1.나"/>
      <sheetName val="본사S"/>
      <sheetName val="h-013211-2"/>
      <sheetName val="업무분장 "/>
      <sheetName val="갑지(추정)"/>
      <sheetName val="9GNG운반"/>
      <sheetName val="적용환율"/>
      <sheetName val="외화계약"/>
      <sheetName val="당초"/>
      <sheetName val="PRICES"/>
      <sheetName val="C"/>
      <sheetName val="97_사업추정(WEKI)3"/>
      <sheetName val="P_M_별3"/>
      <sheetName val="7__매출_투입_취하2"/>
      <sheetName val="개시대사_(2)2"/>
      <sheetName val="계측_내역서1"/>
      <sheetName val="Sheet_11"/>
      <sheetName val="준검_내역서1"/>
      <sheetName val="Regenerator__Concrete_Structur1"/>
      <sheetName val="member_design"/>
      <sheetName val="design_criteria"/>
      <sheetName val="working_load_at_the_btm_ft_"/>
      <sheetName val="plan&amp;section_of_foundation"/>
      <sheetName val="soil_bearing_check"/>
      <sheetName val="단면_(2)"/>
      <sheetName val="SPT_vs_PHI"/>
      <sheetName val="BID"/>
      <sheetName val="산근"/>
      <sheetName val="갑지"/>
      <sheetName val="Cover Daf_2"/>
      <sheetName val="품의"/>
      <sheetName val="회사99"/>
      <sheetName val="4.2.1 마루높이 검토"/>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sheetData sheetId="114"/>
      <sheetData sheetId="115"/>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상반기손익차2총괄"/>
      <sheetName val="수입"/>
      <sheetName val="9-1차이내역"/>
      <sheetName val="인원계획"/>
      <sheetName val="PRO_DCI"/>
      <sheetName val="INST_DCI"/>
      <sheetName val="HVAC_DCI"/>
      <sheetName val="PIPE_DCI"/>
      <sheetName val="영업소실적"/>
      <sheetName val="세금자료"/>
      <sheetName val="INPUT DATA"/>
      <sheetName val="h-013211-2"/>
      <sheetName val="요약배부"/>
      <sheetName val="주관사업"/>
      <sheetName val="eq_data"/>
      <sheetName val="VC2 8.98"/>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회사99"/>
      <sheetName val="XL4Poppy"/>
      <sheetName val="원가"/>
      <sheetName val="엔링COMP9901"/>
      <sheetName val="상반기손익차2총괄"/>
      <sheetName val="토목"/>
      <sheetName val="2005년 표준인건비"/>
      <sheetName val="B"/>
      <sheetName val="new급여T(4을-운전)"/>
      <sheetName val="CONCRETE"/>
      <sheetName val="기기리스트"/>
      <sheetName val="DWEC ALL"/>
      <sheetName val="차수"/>
      <sheetName val="1월"/>
      <sheetName val="기초공"/>
      <sheetName val="기둥(원형)"/>
      <sheetName val="#REF"/>
      <sheetName val="3.현장배치"/>
      <sheetName val="품셈"/>
      <sheetName val="업무분장"/>
      <sheetName val="TIE-IN"/>
      <sheetName val="유림골조"/>
      <sheetName val="공통비총괄표"/>
      <sheetName val="as boq list up"/>
      <sheetName val="차액보증"/>
      <sheetName val="사업계획"/>
      <sheetName val="노임단가"/>
      <sheetName val="공통비(전체)"/>
      <sheetName val="Sheet2"/>
      <sheetName val="Sheet1"/>
      <sheetName val="공문"/>
      <sheetName val="3사 대비"/>
      <sheetName val="YOEMAGUM"/>
      <sheetName val="Proposal"/>
      <sheetName val="환율"/>
      <sheetName val="8.PILE  (돌출)"/>
      <sheetName val="전체내역 (2)"/>
      <sheetName val="2.대외공문"/>
      <sheetName val="초임연봉"/>
      <sheetName val="소상 &quot;1&quot;"/>
      <sheetName val="자압"/>
      <sheetName val="97 사업추정(WEKI)"/>
      <sheetName val="2005년_표준인건비"/>
      <sheetName val="DWEC_ALL"/>
      <sheetName val="깨기"/>
      <sheetName val="손익차9월2"/>
      <sheetName val="PIPE"/>
      <sheetName val="FLANGE"/>
      <sheetName val="VALVE"/>
      <sheetName val="P.M 별"/>
      <sheetName val="국내"/>
      <sheetName val="공사비집계"/>
      <sheetName val="예산변경사항"/>
      <sheetName val="현장배치"/>
      <sheetName val="대비"/>
      <sheetName val="내역서"/>
      <sheetName val="전기일위대가"/>
      <sheetName val="Y-WORK"/>
      <sheetName val="물가자료"/>
      <sheetName val="Sheet5"/>
      <sheetName val="BSD (2)"/>
      <sheetName val="하중"/>
      <sheetName val="내역서(당초변경)"/>
      <sheetName val="지사인원사무실"/>
      <sheetName val="총체보활공정표"/>
      <sheetName val="수입"/>
      <sheetName val="단가목록"/>
      <sheetName val="공통부대비"/>
      <sheetName val="갑지"/>
      <sheetName val="INSTR"/>
      <sheetName val="공사비 내역 (가)"/>
      <sheetName val="2.설계제원"/>
      <sheetName val="h-013211-2"/>
      <sheetName val="NEW-PANEL"/>
      <sheetName val="견적대비표"/>
      <sheetName val="as_boq_list_up"/>
      <sheetName val="공사비_내역_(가)"/>
      <sheetName val="2_설계제원"/>
      <sheetName val="GREEN"/>
      <sheetName val="Hawiyah"/>
      <sheetName val="Hawiyah 하청"/>
      <sheetName val="HDEC 1027"/>
      <sheetName val="Juaymah"/>
      <sheetName val="SIPC"/>
      <sheetName val="PumpSpec"/>
      <sheetName val="9-1차이내역"/>
      <sheetName val="2000년1차"/>
      <sheetName val="9GNG운반"/>
      <sheetName val="감가상각"/>
      <sheetName val="ABUT수량-A1"/>
      <sheetName val="Macro(발전기)"/>
      <sheetName val="시설물기초"/>
      <sheetName val="CB"/>
      <sheetName val="예정(3)"/>
      <sheetName val="동원(3)"/>
      <sheetName val="PRO_DCI"/>
      <sheetName val="INST_DCI"/>
      <sheetName val="HVAC_DCI"/>
      <sheetName val="PIPE_DCI"/>
      <sheetName val="Compare-1"/>
      <sheetName val="as_boq_list_up1"/>
      <sheetName val="공사비_내역_(가)1"/>
      <sheetName val="2_설계제원1"/>
      <sheetName val="eq_data"/>
      <sheetName val="INPUT"/>
      <sheetName val="협조전"/>
      <sheetName val="DATA99(자료)"/>
      <sheetName val="단"/>
      <sheetName val="Total"/>
      <sheetName val="Customer Databas"/>
      <sheetName val="수리결과"/>
      <sheetName val="DESCRIPTION"/>
      <sheetName val="01"/>
      <sheetName val="당초토량산출서"/>
      <sheetName val="갑지1"/>
      <sheetName val="무전표"/>
      <sheetName val="1"/>
      <sheetName val="전기"/>
      <sheetName val="내역"/>
      <sheetName val="집계표"/>
      <sheetName val="기계내역서"/>
      <sheetName val="GoDrivers"/>
      <sheetName val="업무분장 "/>
      <sheetName val="진행현황_범례"/>
      <sheetName val="Summary"/>
      <sheetName val="I.설계조건"/>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7 사업추정(WEKI)"/>
      <sheetName val="97 사업추정_WEKI_"/>
      <sheetName val="상반기손익차2총괄"/>
      <sheetName val="1-11조직표"/>
      <sheetName val="수입"/>
      <sheetName val="손익차9월2"/>
      <sheetName val="시행예산"/>
      <sheetName val="RCF CLAIMED"/>
      <sheetName val="9-1차이내역"/>
      <sheetName val="전기"/>
      <sheetName val="환율"/>
      <sheetName val="Info"/>
      <sheetName val="회사99"/>
      <sheetName val="정부노임단가"/>
      <sheetName val="97 »ç¾÷ÃßÁ¤(WEKI)"/>
      <sheetName val="사업부배부A"/>
      <sheetName val="Sheet5"/>
      <sheetName val="영업소실적"/>
      <sheetName val="소화실적"/>
      <sheetName val="unit 4"/>
      <sheetName val="J直材4"/>
      <sheetName val="N賃率-職"/>
      <sheetName val="청산공사"/>
      <sheetName val="Sheet2"/>
      <sheetName val="#REF"/>
      <sheetName val="PumpSpec"/>
      <sheetName val="Sheet4"/>
      <sheetName val="EACT10"/>
      <sheetName val="일위대가"/>
      <sheetName val="직노"/>
      <sheetName val="수량집계"/>
      <sheetName val="총괄집계표"/>
      <sheetName val="97SAUPCU"/>
      <sheetName val="Expat Conditions"/>
      <sheetName val="투찰가"/>
      <sheetName val="eq_data"/>
      <sheetName val="97 ????(WEKI)"/>
      <sheetName val="현금"/>
      <sheetName val="fitting"/>
      <sheetName val="VENDOR LIST"/>
      <sheetName val="공통비"/>
      <sheetName val="Total"/>
      <sheetName val="단면가정"/>
      <sheetName val="Option"/>
      <sheetName val="97_사업추정(WEKI)"/>
      <sheetName val="97_사업추정_WEKI_"/>
      <sheetName val="RCF_CLAIMED"/>
      <sheetName val="PRO_DCI"/>
      <sheetName val="INST_DCI"/>
      <sheetName val="HVAC_DCI"/>
      <sheetName val="PIPE_DCI"/>
      <sheetName val="뜃맟뭁돽띿맟?-BLDG"/>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sheetData sheetId="45"/>
      <sheetData sheetId="46"/>
      <sheetData sheetId="47" refreshError="1"/>
      <sheetData sheetId="48" refreshError="1"/>
      <sheetData sheetId="49" refreshError="1"/>
      <sheetData sheetId="50" refreshError="1"/>
      <sheetData sheetId="51"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손익차9월2"/>
      <sheetName val="97 사업추정(WEKI)"/>
      <sheetName val="eq_data"/>
      <sheetName val="CAT_5"/>
      <sheetName val="#REF"/>
      <sheetName val="인원계획"/>
      <sheetName val="수입"/>
      <sheetName val="9-1차이내역"/>
      <sheetName val="주관사업"/>
      <sheetName val="Cover"/>
      <sheetName val="97_사업추정(WEKI)"/>
      <sheetName val="PRO_A"/>
      <sheetName val="DWG"/>
      <sheetName val="ELEC_MCI"/>
      <sheetName val="MAIN"/>
      <sheetName val="INST_MCI"/>
      <sheetName val="MECH_MCI"/>
      <sheetName val="PRO"/>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B"/>
      <sheetName val="C"/>
      <sheetName val="현재"/>
    </sheetNames>
    <sheetDataSet>
      <sheetData sheetId="0" refreshError="1"/>
      <sheetData sheetId="1"/>
      <sheetData sheetId="2" refreshError="1"/>
      <sheetData sheetId="3"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주관사업"/>
      <sheetName val="세부기준"/>
      <sheetName val="2003.02월수금계획"/>
      <sheetName val="2002_건설용역비미수금현황"/>
      <sheetName val="영업소실적"/>
      <sheetName val="Piping Design Data"/>
      <sheetName val="현장"/>
      <sheetName val="MOKDONG(1)"/>
      <sheetName val="회사99"/>
      <sheetName val="9-1차이내역"/>
      <sheetName val="Sheet1"/>
      <sheetName val="손익차9월2"/>
      <sheetName val="97 사업추정(WEKI)"/>
      <sheetName val="손익차총괄2"/>
      <sheetName val="공통"/>
      <sheetName val="공통비총괄표"/>
      <sheetName val="Sheet2"/>
      <sheetName val="삭제금지단가"/>
      <sheetName val="공문"/>
      <sheetName val="P.M 별"/>
      <sheetName val="95삼성급(본사)"/>
      <sheetName val="95년12월말"/>
      <sheetName val="사업부배부"/>
      <sheetName val="계정실적"/>
      <sheetName val="계정보고"/>
      <sheetName val="계정보고 (2)"/>
      <sheetName val="요약배부"/>
      <sheetName val="요약배부 (보고)"/>
      <sheetName val="요약배부 (보고) (2)"/>
      <sheetName val="10월계정별"/>
      <sheetName val="10월년간추정"/>
      <sheetName val="배부부별"/>
      <sheetName val="배부비목"/>
      <sheetName val="임대원가"/>
      <sheetName val="기타매출"/>
      <sheetName val="기타매출 (2)"/>
      <sheetName val="기타매출 (3)"/>
      <sheetName val="새마을금고"/>
      <sheetName val="Module1"/>
      <sheetName val="참고인원"/>
      <sheetName val="설계"/>
      <sheetName val="품셈TABLE"/>
      <sheetName val="국내"/>
      <sheetName val="수입"/>
      <sheetName val="당초"/>
      <sheetName val="보온자재단가표"/>
      <sheetName val="단가표"/>
      <sheetName val="경비_원본"/>
      <sheetName val="노임단가"/>
      <sheetName val="삼보지질"/>
      <sheetName val="부표총괄"/>
      <sheetName val="품셈1-"/>
      <sheetName val="STAND20"/>
      <sheetName val="유림골조"/>
      <sheetName val="合成単価作成表-BLDG"/>
      <sheetName val="집계표(OPTION)"/>
      <sheetName val="정산표2"/>
      <sheetName val="정산표"/>
      <sheetName val="와동25-3(변경)"/>
      <sheetName val="상반기손익차2총괄"/>
      <sheetName val="부안일위"/>
      <sheetName val="2003_02월수금계획"/>
      <sheetName val="Piping_Design_Data"/>
      <sheetName val="97_사업추정(WEKI)"/>
      <sheetName val="P_M_별"/>
      <sheetName val="일위_파일"/>
      <sheetName val="소화실적"/>
      <sheetName val="M-EQPT-Z"/>
      <sheetName val="집계표"/>
      <sheetName val="개시대사 (2)"/>
      <sheetName val="보증금(전신전화가입권)"/>
      <sheetName val="Equipment (5)"/>
      <sheetName val="RCF CLAIMED"/>
      <sheetName val="KP1590_E"/>
      <sheetName val="JOB Assign"/>
      <sheetName val="#REF"/>
      <sheetName val="입찰안"/>
      <sheetName val="현금"/>
      <sheetName val="INPUT DATA"/>
      <sheetName val="B"/>
      <sheetName val="예가표"/>
      <sheetName val="Total"/>
      <sheetName val="Customer Databas"/>
      <sheetName val="EACT10"/>
      <sheetName val="가격조사서"/>
      <sheetName val="금액내역서"/>
      <sheetName val="내역서"/>
      <sheetName val="원가계산서"/>
      <sheetName val="Doha WBS Clean"/>
      <sheetName val="건축"/>
      <sheetName val="적용대가"/>
      <sheetName val="공사비PK5월"/>
      <sheetName val="Peralatan (2)"/>
      <sheetName val="DCS"/>
      <sheetName val="ANALYSER"/>
      <sheetName val="3.바닥판설계"/>
      <sheetName val="주형"/>
      <sheetName val="토사(PE)"/>
      <sheetName val="Sheet11"/>
      <sheetName val="구의33고"/>
      <sheetName val="BATCH"/>
      <sheetName val="인원계획"/>
      <sheetName val="사업부배부A"/>
      <sheetName val="eq_data"/>
      <sheetName val="카메라"/>
      <sheetName val="제작비추산총괄표"/>
      <sheetName val="물가자료"/>
      <sheetName val="new급여T(4을-운전)"/>
      <sheetName val="총괄표"/>
      <sheetName val="Sheet3"/>
      <sheetName val="정부노임단가"/>
      <sheetName val="직S"/>
      <sheetName val="수안보-MBR1"/>
      <sheetName val="2003_02월수금계획1"/>
      <sheetName val="Piping_Design_Data1"/>
      <sheetName val="97_사업추정(WEKI)1"/>
      <sheetName val="P_M_별1"/>
      <sheetName val="계정보고_(2)"/>
      <sheetName val="요약배부_(보고)"/>
      <sheetName val="요약배부_(보고)_(2)"/>
      <sheetName val="기타매출_(2)"/>
      <sheetName val="기타매출_(3)"/>
      <sheetName val="개시대사_(2)"/>
      <sheetName val="RCF_CLAIMED"/>
      <sheetName val="Equipment_(5)"/>
      <sheetName val="JOB_Assign"/>
      <sheetName val="INPUT_DATA"/>
      <sheetName val="Customer_Databas"/>
      <sheetName val="Doha_WBS_Clean"/>
      <sheetName val="Peralatan_(2)"/>
      <sheetName val="3_바닥판설계"/>
      <sheetName val="약품설비"/>
      <sheetName val="예산M2"/>
      <sheetName val="예산M12A"/>
      <sheetName val="공통가설"/>
      <sheetName val="CB"/>
      <sheetName val="노무비단가"/>
      <sheetName val="cable-data"/>
      <sheetName val="평균인원"/>
      <sheetName val="간접"/>
      <sheetName val="전기혼잡제경비(45)"/>
      <sheetName val="6PILE  (돌출)"/>
      <sheetName val="산출서"/>
      <sheetName val="건설성적"/>
      <sheetName val="1월"/>
      <sheetName val="터널조도"/>
      <sheetName val="년말집계"/>
      <sheetName val="sum"/>
      <sheetName val="BLIND FLANGE"/>
      <sheetName val="CAP"/>
      <sheetName val="ELBOW"/>
      <sheetName val="FLANGE"/>
      <sheetName val="PIPE NPS OD"/>
      <sheetName val="OLET"/>
      <sheetName val="REDUCER"/>
      <sheetName val="TEE"/>
      <sheetName val="기계사급자재"/>
      <sheetName val="Paint,Fire-Proof,Insul(48)"/>
      <sheetName val="DB"/>
      <sheetName val="BID"/>
      <sheetName val="설 계"/>
      <sheetName val="품셈표"/>
      <sheetName val="VXXXXXXX"/>
      <sheetName val="#3E1_GCR"/>
      <sheetName val="BRICK"/>
      <sheetName val="Tension"/>
      <sheetName val="15.도급예산대비표"/>
      <sheetName val="배수내역"/>
      <sheetName val="합계잔액시산표"/>
      <sheetName val="상품입고집계"/>
      <sheetName val="SCH"/>
      <sheetName val="조직표"/>
      <sheetName val="필리핀"/>
      <sheetName val="지사인원사무실"/>
      <sheetName val="적용토목"/>
      <sheetName val="평자재단가"/>
      <sheetName val="Summary Sheets"/>
      <sheetName val="B31.1"/>
      <sheetName val="PSIZE"/>
      <sheetName val="청산공사"/>
      <sheetName val="10현장조직"/>
      <sheetName val="협력업체전기요금"/>
      <sheetName val="COVER-P"/>
      <sheetName val="WORKER"/>
      <sheetName val="하조서"/>
      <sheetName val="95하U$가격"/>
      <sheetName val="CBE-VSL"/>
      <sheetName val="TTL"/>
      <sheetName val="공정회의자료(월요일 10시까지)"/>
      <sheetName val="수주추정"/>
      <sheetName val="OD5000"/>
      <sheetName val="토적계산"/>
      <sheetName val="표지"/>
      <sheetName val="96 능제취입"/>
      <sheetName val="content(내부)"/>
      <sheetName val="7.4.1.A(input)"/>
      <sheetName val="7.4.1(B) BOQ Breakdown"/>
      <sheetName val="7.4.1.C(scope)"/>
      <sheetName val="7.4.1.D(Basis)"/>
      <sheetName val="7.4.1.E(allow)"/>
      <sheetName val="7.4.2.A-Build(list)"/>
      <sheetName val="7.4.3.B-BOQ-SUM"/>
      <sheetName val="7.4.3(BOQ_각표지)"/>
      <sheetName val="7.4.3.A(Shelter)"/>
      <sheetName val="7.4.3.B(Module)"/>
      <sheetName val="7.4.3.C(Shelter-FLB)"/>
      <sheetName val="7.4.3.D(Brief Spec.)"/>
      <sheetName val="공사비 내역 (가)"/>
      <sheetName val="INPUT DATA OF SCHEDULE"/>
      <sheetName val="WIND"/>
      <sheetName val="DATE"/>
      <sheetName val="COMPRESSOR"/>
      <sheetName val="배수공 주요자재 집계표"/>
      <sheetName val="WIND-EQ"/>
      <sheetName val="HORI. VESSEL"/>
      <sheetName val="2003_02월수금계획2"/>
      <sheetName val="Piping_Design_Data2"/>
      <sheetName val="97_사업추정(WEKI)2"/>
      <sheetName val="P_M_별2"/>
      <sheetName val="계정보고_(2)1"/>
      <sheetName val="요약배부_(보고)1"/>
      <sheetName val="요약배부_(보고)_(2)1"/>
      <sheetName val="기타매출_(2)1"/>
      <sheetName val="기타매출_(3)1"/>
      <sheetName val="개시대사_(2)1"/>
      <sheetName val="RCF_CLAIMED1"/>
      <sheetName val="새공통"/>
      <sheetName val="수문일1"/>
      <sheetName val="일위대가"/>
      <sheetName val="돈"/>
      <sheetName val="기본단가"/>
      <sheetName val="신대방33(적용)"/>
      <sheetName val="수주실적0709"/>
      <sheetName val="실행철강하도"/>
      <sheetName val="1차배부(JB포함)"/>
      <sheetName val="마케팅"/>
      <sheetName val="9GNG운반"/>
      <sheetName val="경비공통"/>
      <sheetName val="VXXXXX"/>
      <sheetName val="도급"/>
      <sheetName val="BOROUGE2"/>
      <sheetName val="Proposal"/>
      <sheetName val="직원동원SCH"/>
      <sheetName val="공사비내역"/>
      <sheetName val="차량별점검"/>
      <sheetName val="토목"/>
      <sheetName val="실행내역"/>
      <sheetName val="W42  "/>
      <sheetName val="NYS"/>
      <sheetName val="99년하반기"/>
      <sheetName val="한화건설"/>
      <sheetName val="경상"/>
      <sheetName val="인건-측정"/>
      <sheetName val="자재단가"/>
      <sheetName val="Sheet5"/>
      <sheetName val="수성페인트도장 내역서"/>
      <sheetName val="총괄-1"/>
      <sheetName val="1.취수장"/>
      <sheetName val="공통부대비"/>
      <sheetName val="Sheet6"/>
      <sheetName val="Equipment_(5)1"/>
      <sheetName val="JOB_Assign1"/>
      <sheetName val="Customer_Databas1"/>
      <sheetName val="3_바닥판설계1"/>
      <sheetName val="INPUT_DATA1"/>
      <sheetName val="Doha_WBS_Clean1"/>
      <sheetName val="Peralatan_(2)1"/>
      <sheetName val="제출내역 (2)"/>
      <sheetName val="CAT_5"/>
      <sheetName val="Regenerator  Concrete Structure"/>
      <sheetName val="내역표지"/>
      <sheetName val="VV보온LINK"/>
      <sheetName val="FIT보온LINK"/>
      <sheetName val="간접비 총괄표"/>
      <sheetName val="ysn"/>
      <sheetName val="갑지"/>
      <sheetName val="IT-BAT"/>
      <sheetName val="lab"/>
      <sheetName val="설_계"/>
      <sheetName val="15_도급예산대비표"/>
      <sheetName val="Summary_Sheets"/>
      <sheetName val="B31_1"/>
      <sheetName val="96_능제취입"/>
      <sheetName val="토공사"/>
      <sheetName val="단가"/>
      <sheetName val="기초자료입력및 K치 확인"/>
      <sheetName val="직노"/>
      <sheetName val="재료"/>
      <sheetName val="내역_ver1.0"/>
      <sheetName val="내역서1"/>
      <sheetName val="교각1"/>
      <sheetName val="토목주소"/>
      <sheetName val="프랜트면허"/>
      <sheetName val="예산M6-B"/>
      <sheetName val="견적대비"/>
      <sheetName val="기안"/>
      <sheetName val="세금자료"/>
      <sheetName val="경제지표"/>
      <sheetName val="실적"/>
      <sheetName val="사급자재"/>
      <sheetName val="FWBS7000,8000"/>
      <sheetName val="8"/>
      <sheetName val="10"/>
      <sheetName val="12"/>
      <sheetName val="9"/>
      <sheetName val="11"/>
      <sheetName val="2"/>
      <sheetName val="6PILE__(돌출)"/>
      <sheetName val="BLIND_FLANGE"/>
      <sheetName val="PIPE_NPS_OD"/>
      <sheetName val="현대본사"/>
      <sheetName val="저"/>
      <sheetName val="BQ"/>
      <sheetName val="IMP(MAIN)"/>
      <sheetName val="IMP (REACTOR)"/>
      <sheetName val="포장공"/>
      <sheetName val="재료율"/>
      <sheetName val="대전-교대(A1-A2)"/>
      <sheetName val="을"/>
      <sheetName val=" 냉각수펌프"/>
      <sheetName val="공조기휀"/>
      <sheetName val="AHU집계"/>
      <sheetName val="5사남"/>
      <sheetName val="기계내역"/>
      <sheetName val="PRO_A"/>
      <sheetName val="ELEC_MCI"/>
      <sheetName val="MAIN"/>
      <sheetName val="INST_MCI"/>
      <sheetName val="MECH_MCI"/>
      <sheetName val="PRO"/>
      <sheetName val="평3"/>
      <sheetName val="D-623D"/>
      <sheetName val="변동률산출"/>
      <sheetName val="Malaysia incl. RET"/>
      <sheetName val="Weld, NDE (Pipe)"/>
      <sheetName val="ANX3A65"/>
      <sheetName val="할증 "/>
      <sheetName val="적용단가"/>
      <sheetName val="신표지1"/>
      <sheetName val="INPUT"/>
      <sheetName val="tcm_bq_MH"/>
      <sheetName val="PRO_DCI"/>
      <sheetName val="INST_DCI"/>
      <sheetName val="HVAC_DCI"/>
      <sheetName val="PIPE_DCI"/>
      <sheetName val="MEED"/>
      <sheetName val="¼ÕÀÍÂ÷9¿ù2"/>
      <sheetName val="6호기"/>
      <sheetName val="산근터빈"/>
      <sheetName val="FAB별"/>
      <sheetName val="VENDOR LIST"/>
      <sheetName val="BLDG_DCI"/>
      <sheetName val="BLDG_MCI"/>
      <sheetName val="기계"/>
      <sheetName val="토량산출서"/>
      <sheetName val="입찰보고"/>
      <sheetName val="2.대외공문"/>
      <sheetName val="평형공사비"/>
      <sheetName val="견적서"/>
      <sheetName val="지사인원"/>
      <sheetName val=""/>
      <sheetName val="97 사업추정_WEKI_"/>
      <sheetName val="jobhist"/>
      <sheetName val="97"/>
      <sheetName val="견적단가"/>
      <sheetName val="DWG"/>
      <sheetName val="ELEC_DCI"/>
      <sheetName val="지급자재"/>
      <sheetName val="TOT-SUM"/>
      <sheetName val="Manmonth(입력)"/>
      <sheetName val="list"/>
      <sheetName val="BREAKDOWN(철거설치)"/>
      <sheetName val="N賃率-職"/>
      <sheetName val="982월원안"/>
      <sheetName val="Cash"/>
      <sheetName val="금리계산"/>
      <sheetName val="단가산출"/>
      <sheetName val="토 적 표"/>
      <sheetName val="용소리교"/>
      <sheetName val="ACUNIT"/>
      <sheetName val="구조물공"/>
      <sheetName val="주beam"/>
      <sheetName val="선수금반제"/>
      <sheetName val="General Data"/>
      <sheetName val="EQUIP"/>
      <sheetName val="시설물일위"/>
      <sheetName val="내역"/>
      <sheetName val="금액"/>
      <sheetName val="노임"/>
      <sheetName val="입찰"/>
      <sheetName val="현경"/>
      <sheetName val="식재인부"/>
      <sheetName val="경비2내역"/>
      <sheetName val="2공구산출내역"/>
      <sheetName val="부대내역"/>
      <sheetName val="XL4Poppy"/>
      <sheetName val="단가비교"/>
      <sheetName val="공통비"/>
      <sheetName val="조경일람"/>
      <sheetName val="공정코드"/>
      <sheetName val="총괄집계 "/>
      <sheetName val="부속동"/>
      <sheetName val="배수내역 (2)"/>
      <sheetName val="월별인건비현황"/>
      <sheetName val="data"/>
      <sheetName val="무전표"/>
      <sheetName val=" "/>
      <sheetName val="CAL(1)."/>
      <sheetName val="BLR-S"/>
      <sheetName val="공정산출"/>
      <sheetName val="Basic"/>
      <sheetName val="insulation"/>
      <sheetName val="PRICE-COMP"/>
      <sheetName val="할증_"/>
      <sheetName val="전기단가조사서"/>
      <sheetName val="시공집계"/>
      <sheetName val="TABLE-A"/>
      <sheetName val="품조정율(97-99)"/>
      <sheetName val="내역(전력)"/>
      <sheetName val="98수문일위"/>
      <sheetName val="뜃맟뭁돽띿맟?-BLDG"/>
      <sheetName val="공사설계서"/>
      <sheetName val="Container항차정리"/>
      <sheetName val="외화금융(97-03)"/>
      <sheetName val="조정전"/>
      <sheetName val="P_M 별"/>
      <sheetName val="설_계1"/>
      <sheetName val="15_도급예산대비표1"/>
      <sheetName val="Summary_Sheets1"/>
      <sheetName val="B31_11"/>
      <sheetName val="계정보고_(2)2"/>
      <sheetName val="요약배부_(보고)2"/>
      <sheetName val="요약배부_(보고)_(2)2"/>
      <sheetName val="기타매출_(2)2"/>
      <sheetName val="기타매출_(3)2"/>
      <sheetName val="15_도급예산대비표2"/>
      <sheetName val="설_계2"/>
      <sheetName val="Summary_Sheets2"/>
      <sheetName val="B31_12"/>
      <sheetName val="W42__"/>
      <sheetName val="원본"/>
      <sheetName val="작성기준"/>
      <sheetName val="남양내역"/>
      <sheetName val="내역서(당초변경)"/>
      <sheetName val="점수계산1-2"/>
      <sheetName val="원가"/>
      <sheetName val="산출근거#2-3"/>
      <sheetName val="AS복구"/>
      <sheetName val="중기터파기"/>
      <sheetName val="변수값"/>
      <sheetName val="중기상차"/>
      <sheetName val="공사진행"/>
      <sheetName val="문학간접"/>
      <sheetName val="단위가격"/>
      <sheetName val="관급"/>
      <sheetName val="tjexcel"/>
      <sheetName val="Prices"/>
      <sheetName val="Y-MOV2011"/>
      <sheetName val="DPRKMHDT"/>
      <sheetName val="공사비예산서(토목분)"/>
      <sheetName val="GAEYO"/>
      <sheetName val="음료실행"/>
      <sheetName val="L V Separator"/>
      <sheetName val="ÁÖ°ü»ç¾÷"/>
      <sheetName val="#13_Electrical"/>
      <sheetName val="MOTOR"/>
      <sheetName val="뜃맟뭁돽띿맟_-BLDG"/>
      <sheetName val="단가(LP)"/>
      <sheetName val="휴일check"/>
      <sheetName val="차액보증"/>
      <sheetName val="대차대조표"/>
      <sheetName val="적금및발행어음계산"/>
      <sheetName val="참고"/>
      <sheetName val="TB-내역서"/>
      <sheetName val="MACRO(전선관)"/>
      <sheetName val="참고1"/>
      <sheetName val="우수"/>
      <sheetName val="에너지동"/>
      <sheetName val="1련,2련"/>
      <sheetName val="변품8-37"/>
      <sheetName val="Quantity"/>
      <sheetName val="info"/>
      <sheetName val="98지급계획"/>
      <sheetName val="XXXXXXXX"/>
      <sheetName val="지장물조서"/>
      <sheetName val="토지조서"/>
      <sheetName val="비교재무제표"/>
      <sheetName val="표준지"/>
      <sheetName val="CF2"/>
      <sheetName val="CF4"/>
      <sheetName val="CF5"/>
      <sheetName val="CF7"/>
      <sheetName val="CF8"/>
      <sheetName val="GF3"/>
      <sheetName val="128M"/>
      <sheetName val="16EDO"/>
      <sheetName val="16SD"/>
      <sheetName val="16WB"/>
      <sheetName val="256M"/>
      <sheetName val="4M"/>
      <sheetName val="64EDO"/>
      <sheetName val="64SD"/>
      <sheetName val="DRD"/>
      <sheetName val="SRAM"/>
      <sheetName val="법곳동"/>
      <sheetName val="대화동"/>
      <sheetName val="명세표"/>
      <sheetName val="Intro2"/>
      <sheetName val="Id"/>
      <sheetName val="변수"/>
      <sheetName val="토지평가조서"/>
      <sheetName val="2차보상토지"/>
      <sheetName val="수식변수"/>
      <sheetName val="0고과평균 및 편차조정 (2)"/>
      <sheetName val="품셈1-26"/>
      <sheetName val="반포2차"/>
      <sheetName val="명세서"/>
      <sheetName val="Code_Magics"/>
      <sheetName val="Code"/>
      <sheetName val="2003_02월수금계획3"/>
      <sheetName val="Piping_Design_Data3"/>
      <sheetName val="97_사업추정(WEKI)3"/>
      <sheetName val="P_M_별3"/>
      <sheetName val="개시대사_(2)2"/>
      <sheetName val="Equipment_(5)2"/>
      <sheetName val="RCF_CLAIMED2"/>
      <sheetName val="JOB_Assign2"/>
      <sheetName val="INPUT_DATA2"/>
      <sheetName val="Customer_Databas2"/>
      <sheetName val="Doha_WBS_Clean2"/>
      <sheetName val="Peralatan_(2)2"/>
      <sheetName val="3_바닥판설계2"/>
      <sheetName val="6PILE__(돌출)1"/>
      <sheetName val="BLIND_FLANGE1"/>
      <sheetName val="PIPE_NPS_OD1"/>
      <sheetName val="배수공_주요자재_집계표"/>
      <sheetName val="HORI__VESSEL"/>
      <sheetName val="7_4_1_A(input)"/>
      <sheetName val="7_4_1(B)_BOQ_Breakdown"/>
      <sheetName val="7_4_1_C(scope)"/>
      <sheetName val="7_4_1_D(Basis)"/>
      <sheetName val="7_4_1_E(allow)"/>
      <sheetName val="7_4_2_A-Build(list)"/>
      <sheetName val="7_4_3_B-BOQ-SUM"/>
      <sheetName val="7_4_3(BOQ_각표지)"/>
      <sheetName val="7_4_3_A(Shelter)"/>
      <sheetName val="7_4_3_B(Module)"/>
      <sheetName val="7_4_3_C(Shelter-FLB)"/>
      <sheetName val="7_4_3_D(Brief_Spec_)"/>
      <sheetName val="공정회의자료(월요일_10시까지)"/>
      <sheetName val="공사비_내역_(가)"/>
      <sheetName val="INPUT_DATA_OF_SCHEDULE"/>
      <sheetName val="제출내역_(2)"/>
      <sheetName val="IMP_(REACTOR)"/>
      <sheetName val="Malaysia_incl__RET"/>
      <sheetName val="경"/>
      <sheetName val="광통신 견적내역서1"/>
      <sheetName val="15"/>
      <sheetName val="노무비"/>
      <sheetName val="일위대가표"/>
      <sheetName val="처리목록"/>
      <sheetName val="BOLT"/>
      <sheetName val="Sheet17"/>
      <sheetName val="매체인지도분석"/>
      <sheetName val="Asset9809CAK"/>
      <sheetName val="플랜트 설치"/>
      <sheetName val="sheet4"/>
      <sheetName val="소상 &quot;1&quot;"/>
      <sheetName val="??-BLDG"/>
      <sheetName val="LEGEND"/>
      <sheetName val="Control"/>
      <sheetName val="ANX3A11"/>
      <sheetName val="bolts"/>
      <sheetName val="매립"/>
      <sheetName val="Curves"/>
      <sheetName val="Tables"/>
      <sheetName val="-15.0"/>
      <sheetName val="설계내역서"/>
      <sheetName val="간선계산"/>
      <sheetName val="200"/>
      <sheetName val="B2BERP"/>
      <sheetName val="데이타"/>
      <sheetName val="신우"/>
      <sheetName val="6동"/>
      <sheetName val="설비"/>
      <sheetName val="BOX 본체"/>
      <sheetName val="입출재고현황 (2)"/>
      <sheetName val="날개벽"/>
      <sheetName val="예정(3)"/>
      <sheetName val="견적대비표"/>
      <sheetName val="포장복구집계"/>
      <sheetName val="ITEM"/>
      <sheetName val="설계조건"/>
      <sheetName val="동원(3)"/>
      <sheetName val="화재 탐지 설비"/>
      <sheetName val="2000전체분"/>
      <sheetName val="G.R300경비"/>
      <sheetName val="AS포장복구 "/>
      <sheetName val="청천내"/>
      <sheetName val="기계경비(시간당)"/>
      <sheetName val="2000년1차"/>
      <sheetName val="단가일람"/>
      <sheetName val="단위량당중기"/>
      <sheetName val="램머"/>
      <sheetName val="Baby일위대가"/>
      <sheetName val="교대(A1)"/>
      <sheetName val="투찰가"/>
      <sheetName val="백호우계수"/>
      <sheetName val="Sheet1 (2)"/>
      <sheetName val="기준보온"/>
      <sheetName val="투찰내역"/>
      <sheetName val="자재일람"/>
      <sheetName val="조명율표"/>
      <sheetName val="제잡비"/>
      <sheetName val="공비대비"/>
      <sheetName val="Z- GENERAL PRICE SUMMARY"/>
      <sheetName val=" Estimate  "/>
      <sheetName val="계정보고_(2)3"/>
      <sheetName val="요약배부_(보고)3"/>
      <sheetName val="요약배부_(보고)_(2)3"/>
      <sheetName val="기타매출_(2)3"/>
      <sheetName val="기타매출_(3)3"/>
      <sheetName val="설_계3"/>
      <sheetName val="15_도급예산대비표3"/>
      <sheetName val="Summary_Sheets3"/>
      <sheetName val="B31_13"/>
      <sheetName val="96_능제취입1"/>
      <sheetName val="W42__1"/>
      <sheetName val="Regenerator__Concrete_Structure"/>
      <sheetName val="간접비_총괄표"/>
      <sheetName val="BOX_본체"/>
      <sheetName val="입출재고현황_(2)"/>
      <sheetName val="화재_탐지_설비"/>
      <sheetName val="G_R300경비"/>
      <sheetName val="AS포장복구_"/>
      <sheetName val="Sheet1_(2)"/>
      <sheetName val="수성페인트도장_내역서"/>
      <sheetName val="1_취수장"/>
      <sheetName val="기초자료입력및_K치_확인"/>
      <sheetName val="내역_ver1_0"/>
      <sheetName val="_냉각수펌프"/>
      <sheetName val="Weld,_NDE_(Pipe)"/>
      <sheetName val="할증_1"/>
      <sheetName val="VENDOR_LIST"/>
      <sheetName val="2_대외공문"/>
      <sheetName val="97_사업추정_WEKI_"/>
      <sheetName val="토_적_표"/>
      <sheetName val="General_Data"/>
      <sheetName val="총괄집계_"/>
      <sheetName val="배수내역_(2)"/>
      <sheetName val="_"/>
      <sheetName val="CAL(1)_"/>
      <sheetName val="P_M_별4"/>
      <sheetName val="L_V_Separator"/>
      <sheetName val="과천MAIN"/>
      <sheetName val="노무산출서"/>
      <sheetName val="환산매출"/>
      <sheetName val="간접비"/>
      <sheetName val="기기리스트"/>
      <sheetName val="해외 연수비용 계산-삭제"/>
      <sheetName val="해외 기술훈련비 (합계)"/>
      <sheetName val="마스터"/>
      <sheetName val="일반자료"/>
      <sheetName val="이름표"/>
      <sheetName val="회사정보"/>
      <sheetName val="guard(mac)"/>
      <sheetName val="F-1,2"/>
      <sheetName val="손익계산서(管理)"/>
      <sheetName val="Data_인원계획"/>
      <sheetName val="관계주식"/>
      <sheetName val="백분율"/>
      <sheetName val="DHEQSUPT"/>
      <sheetName val="급식예산"/>
      <sheetName val="ITB COST"/>
      <sheetName val="DAF-2"/>
      <sheetName val="data_dci"/>
      <sheetName val="data_mci"/>
      <sheetName val="behind"/>
      <sheetName val="TACE"/>
      <sheetName val="inter"/>
      <sheetName val="영동(D)"/>
      <sheetName val="Steel-Main Work"/>
      <sheetName val="기계내역서"/>
      <sheetName val="영지실적"/>
      <sheetName val="교통대책내역"/>
      <sheetName val="인력정보"/>
      <sheetName val="부재치수입력"/>
      <sheetName val="총괄"/>
      <sheetName val="라이닝보강"/>
      <sheetName val="CJI3"/>
      <sheetName val="말뚝지지력산정"/>
      <sheetName val="h-013211-2"/>
      <sheetName val="맨홀수량산출"/>
      <sheetName val="가감수량"/>
      <sheetName val="MIJIBI"/>
      <sheetName val="을지"/>
      <sheetName val="Du toan"/>
      <sheetName val="단면검토"/>
      <sheetName val="Process Piping"/>
      <sheetName val="인명부"/>
      <sheetName val="현장지지물물량"/>
      <sheetName val="2003_02월수금계획4"/>
      <sheetName val="Piping_Design_Data4"/>
      <sheetName val="97_사업추정(WEKI)4"/>
      <sheetName val="개시대사_(2)3"/>
      <sheetName val="RCF_CLAIMED3"/>
      <sheetName val="Equipment_(5)3"/>
      <sheetName val="JOB_Assign3"/>
      <sheetName val="INPUT_DATA3"/>
      <sheetName val="Customer_Databas3"/>
      <sheetName val="Doha_WBS_Clean3"/>
      <sheetName val="Peralatan_(2)3"/>
      <sheetName val="3_바닥판설계3"/>
      <sheetName val="6PILE__(돌출)2"/>
      <sheetName val="BLIND_FLANGE2"/>
      <sheetName val="PIPE_NPS_OD2"/>
      <sheetName val="공정회의자료(월요일_10시까지)1"/>
      <sheetName val="7_4_1_A(input)1"/>
      <sheetName val="7_4_1(B)_BOQ_Breakdown1"/>
      <sheetName val="7_4_1_C(scope)1"/>
      <sheetName val="7_4_1_D(Basis)1"/>
      <sheetName val="7_4_1_E(allow)1"/>
      <sheetName val="7_4_2_A-Build(list)1"/>
      <sheetName val="7_4_3_B-BOQ-SUM1"/>
      <sheetName val="7_4_3(BOQ_각표지)1"/>
      <sheetName val="7_4_3_A(Shelter)1"/>
      <sheetName val="7_4_3_B(Module)1"/>
      <sheetName val="7_4_3_C(Shelter-FLB)1"/>
      <sheetName val="7_4_3_D(Brief_Spec_)1"/>
      <sheetName val="공사비_내역_(가)1"/>
      <sheetName val="INPUT_DATA_OF_SCHEDULE1"/>
      <sheetName val="배수공_주요자재_집계표1"/>
      <sheetName val="HORI__VESSEL1"/>
      <sheetName val="IMP_(REACTOR)1"/>
      <sheetName val="제출내역_(2)1"/>
      <sheetName val="Malaysia_incl__RET1"/>
      <sheetName val="P_M_별5"/>
      <sheetName val="0고과평균_및_편차조정_(2)"/>
      <sheetName val="광통신_견적내역서1"/>
      <sheetName val="플랜트_설치"/>
      <sheetName val="소상_&quot;1&quot;"/>
      <sheetName val="-15_0"/>
      <sheetName val="Z-_GENERAL_PRICE_SUMMARY"/>
      <sheetName val="_Estimate__"/>
      <sheetName val="해외_연수비용_계산-삭제"/>
      <sheetName val="해외_기술훈련비_(합계)"/>
      <sheetName val="ITB_COST"/>
      <sheetName val="2003_02월수금계획5"/>
      <sheetName val="Piping_Design_Data5"/>
      <sheetName val="97_사업추정(WEKI)5"/>
      <sheetName val="P_M_별6"/>
      <sheetName val="계정보고_(2)4"/>
      <sheetName val="요약배부_(보고)4"/>
      <sheetName val="요약배부_(보고)_(2)4"/>
      <sheetName val="기타매출_(2)4"/>
      <sheetName val="기타매출_(3)4"/>
      <sheetName val="개시대사_(2)4"/>
      <sheetName val="RCF_CLAIMED4"/>
      <sheetName val="Equipment_(5)4"/>
      <sheetName val="JOB_Assign4"/>
      <sheetName val="INPUT_DATA4"/>
      <sheetName val="Customer_Databas4"/>
      <sheetName val="Doha_WBS_Clean4"/>
      <sheetName val="Peralatan_(2)4"/>
      <sheetName val="3_바닥판설계4"/>
      <sheetName val="6PILE__(돌출)3"/>
      <sheetName val="설_계4"/>
      <sheetName val="15_도급예산대비표4"/>
      <sheetName val="Summary_Sheets4"/>
      <sheetName val="B31_14"/>
      <sheetName val="BLIND_FLANGE3"/>
      <sheetName val="PIPE_NPS_OD3"/>
      <sheetName val="공정회의자료(월요일_10시까지)2"/>
      <sheetName val="96_능제취입2"/>
      <sheetName val="7_4_1_A(input)2"/>
      <sheetName val="7_4_1(B)_BOQ_Breakdown2"/>
      <sheetName val="7_4_1_C(scope)2"/>
      <sheetName val="7_4_1_D(Basis)2"/>
      <sheetName val="7_4_1_E(allow)2"/>
      <sheetName val="7_4_2_A-Build(list)2"/>
      <sheetName val="7_4_3_B-BOQ-SUM2"/>
      <sheetName val="7_4_3(BOQ_각표지)2"/>
      <sheetName val="7_4_3_A(Shelter)2"/>
      <sheetName val="7_4_3_B(Module)2"/>
      <sheetName val="7_4_3_C(Shelter-FLB)2"/>
      <sheetName val="7_4_3_D(Brief_Spec_)2"/>
      <sheetName val="공사비_내역_(가)2"/>
      <sheetName val="INPUT_DATA_OF_SCHEDULE2"/>
      <sheetName val="배수공_주요자재_집계표2"/>
      <sheetName val="HORI__VESSEL2"/>
      <sheetName val="IMP_(REACTOR)2"/>
      <sheetName val="제출내역_(2)2"/>
      <sheetName val="W42__2"/>
      <sheetName val="간접비_총괄표1"/>
      <sheetName val="Weld,_NDE_(Pipe)1"/>
      <sheetName val="할증_2"/>
      <sheetName val="Malaysia_incl__RET2"/>
      <sheetName val="Regenerator__Concrete_Structur1"/>
      <sheetName val="수성페인트도장_내역서1"/>
      <sheetName val="1_취수장1"/>
      <sheetName val="기초자료입력및_K치_확인1"/>
      <sheetName val="내역_ver1_01"/>
      <sheetName val="_냉각수펌프1"/>
      <sheetName val="97_사업추정_WEKI_1"/>
      <sheetName val="VENDOR_LIST1"/>
      <sheetName val="2_대외공문1"/>
      <sheetName val="General_Data1"/>
      <sheetName val="_1"/>
      <sheetName val="토_적_표1"/>
      <sheetName val="CAL(1)_1"/>
      <sheetName val="총괄집계_1"/>
      <sheetName val="배수내역_(2)1"/>
      <sheetName val="P_M_별7"/>
      <sheetName val="L_V_Separator1"/>
      <sheetName val="0고과평균_및_편차조정_(2)1"/>
      <sheetName val="광통신_견적내역서11"/>
      <sheetName val="플랜트_설치1"/>
      <sheetName val="소상_&quot;1&quot;1"/>
      <sheetName val="-15_01"/>
      <sheetName val="Z-_GENERAL_PRICE_SUMMARY1"/>
      <sheetName val="_Estimate__1"/>
      <sheetName val="해외_연수비용_계산-삭제1"/>
      <sheetName val="해외_기술훈련비_(합계)1"/>
      <sheetName val="BOX_본체1"/>
      <sheetName val="입출재고현황_(2)1"/>
      <sheetName val="화재_탐지_설비1"/>
      <sheetName val="ITB_COST1"/>
      <sheetName val="G_R300경비1"/>
      <sheetName val="AS포장복구_1"/>
      <sheetName val="Sheet1_(2)1"/>
      <sheetName val="NOMUBI"/>
      <sheetName val="LO"/>
      <sheetName val="자료"/>
      <sheetName val="BASIC (2)"/>
      <sheetName val="Eq. Mobilization"/>
      <sheetName val="공사개요"/>
      <sheetName val="SRC-B3U2"/>
      <sheetName val="재료집계"/>
      <sheetName val="별표 "/>
      <sheetName val="Resource"/>
      <sheetName val="Exrate"/>
      <sheetName val="EF &amp; PF"/>
      <sheetName val="7.4.3.D(Brief Spᵥc.)"/>
      <sheetName val="Malaysia_incl__R౅T"/>
      <sheetName val="Z- GENERAL PRICEРSUMMARY"/>
      <sheetName val="RV미수수익보정"/>
      <sheetName val="불균등-거치외(미수)"/>
      <sheetName val="불균등-TOP(선수)"/>
      <sheetName val="일반경비"/>
      <sheetName val="발생집계"/>
      <sheetName val="협조전"/>
      <sheetName val="3월"/>
      <sheetName val="진주방향"/>
      <sheetName val="마산방향"/>
      <sheetName val="남양시작동자105노65기1.3화1.2"/>
      <sheetName val="TOT"/>
      <sheetName val="내역(자100%,노100%)기아화성UD동"/>
      <sheetName val="DAF_2"/>
      <sheetName val="Bhn"/>
      <sheetName val="재료비"/>
      <sheetName val="수량산출서 갑지"/>
      <sheetName val="C.1"/>
      <sheetName val="C.10"/>
      <sheetName val="C.11"/>
      <sheetName val="C.12"/>
      <sheetName val="C.13"/>
      <sheetName val="C.14"/>
      <sheetName val="C.15"/>
      <sheetName val="C.16"/>
      <sheetName val="C.17"/>
      <sheetName val="C.19"/>
      <sheetName val="C.20"/>
      <sheetName val="C.21"/>
      <sheetName val="C.22"/>
      <sheetName val="C.23"/>
      <sheetName val="C.24"/>
      <sheetName val="C.25"/>
      <sheetName val="C.6"/>
      <sheetName val="C.7"/>
      <sheetName val="C.8"/>
      <sheetName val="C.9"/>
      <sheetName val="__-BLDG"/>
      <sheetName val="STD"/>
      <sheetName val="Soil Parameter"/>
      <sheetName val="도근좌표"/>
      <sheetName val="현황CODE"/>
      <sheetName val="손익현황"/>
      <sheetName val="6.3.2"/>
      <sheetName val="4.1구조설계"/>
      <sheetName val="DESIGN"/>
      <sheetName val="BM DATA SHEET"/>
      <sheetName val="DATA LISTS"/>
    </sheetNames>
    <sheetDataSet>
      <sheetData sheetId="0"/>
      <sheetData sheetId="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refreshError="1"/>
      <sheetData sheetId="39"/>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sheetData sheetId="279"/>
      <sheetData sheetId="280"/>
      <sheetData sheetId="281"/>
      <sheetData sheetId="282"/>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sheetData sheetId="414" refreshError="1"/>
      <sheetData sheetId="415" refreshError="1"/>
      <sheetData sheetId="416" refreshError="1"/>
      <sheetData sheetId="417"/>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refreshError="1"/>
      <sheetData sheetId="441" refreshError="1"/>
      <sheetData sheetId="442" refreshError="1"/>
      <sheetData sheetId="443" refreshError="1"/>
      <sheetData sheetId="444"/>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sheetData sheetId="543"/>
      <sheetData sheetId="544"/>
      <sheetData sheetId="545"/>
      <sheetData sheetId="546"/>
      <sheetData sheetId="547"/>
      <sheetData sheetId="548"/>
      <sheetData sheetId="549" refreshError="1"/>
      <sheetData sheetId="550" refreshError="1"/>
      <sheetData sheetId="551" refreshError="1"/>
      <sheetData sheetId="552"/>
      <sheetData sheetId="553"/>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sheetData sheetId="702"/>
      <sheetData sheetId="703"/>
      <sheetData sheetId="704"/>
      <sheetData sheetId="705"/>
      <sheetData sheetId="706"/>
      <sheetData sheetId="707"/>
      <sheetData sheetId="708"/>
      <sheetData sheetId="709"/>
      <sheetData sheetId="710"/>
      <sheetData sheetId="711"/>
      <sheetData sheetId="712"/>
      <sheetData sheetId="713"/>
      <sheetData sheetId="714"/>
      <sheetData sheetId="715"/>
      <sheetData sheetId="716"/>
      <sheetData sheetId="717"/>
      <sheetData sheetId="718"/>
      <sheetData sheetId="719"/>
      <sheetData sheetId="720"/>
      <sheetData sheetId="721"/>
      <sheetData sheetId="722"/>
      <sheetData sheetId="723"/>
      <sheetData sheetId="724"/>
      <sheetData sheetId="725"/>
      <sheetData sheetId="726"/>
      <sheetData sheetId="727"/>
      <sheetData sheetId="728"/>
      <sheetData sheetId="729"/>
      <sheetData sheetId="730"/>
      <sheetData sheetId="731"/>
      <sheetData sheetId="732"/>
      <sheetData sheetId="733"/>
      <sheetData sheetId="734"/>
      <sheetData sheetId="735"/>
      <sheetData sheetId="736"/>
      <sheetData sheetId="737"/>
      <sheetData sheetId="738"/>
      <sheetData sheetId="739"/>
      <sheetData sheetId="740"/>
      <sheetData sheetId="741"/>
      <sheetData sheetId="742"/>
      <sheetData sheetId="743"/>
      <sheetData sheetId="744"/>
      <sheetData sheetId="745"/>
      <sheetData sheetId="746"/>
      <sheetData sheetId="747"/>
      <sheetData sheetId="748"/>
      <sheetData sheetId="749"/>
      <sheetData sheetId="750"/>
      <sheetData sheetId="751"/>
      <sheetData sheetId="752"/>
      <sheetData sheetId="753"/>
      <sheetData sheetId="754"/>
      <sheetData sheetId="755"/>
      <sheetData sheetId="756"/>
      <sheetData sheetId="757"/>
      <sheetData sheetId="758"/>
      <sheetData sheetId="759"/>
      <sheetData sheetId="760"/>
      <sheetData sheetId="761"/>
      <sheetData sheetId="762"/>
      <sheetData sheetId="763"/>
      <sheetData sheetId="764"/>
      <sheetData sheetId="765"/>
      <sheetData sheetId="766"/>
      <sheetData sheetId="767"/>
      <sheetData sheetId="768"/>
      <sheetData sheetId="769"/>
      <sheetData sheetId="770"/>
      <sheetData sheetId="771"/>
      <sheetData sheetId="772"/>
      <sheetData sheetId="773"/>
      <sheetData sheetId="774"/>
      <sheetData sheetId="775"/>
      <sheetData sheetId="776"/>
      <sheetData sheetId="777"/>
      <sheetData sheetId="778"/>
      <sheetData sheetId="779"/>
      <sheetData sheetId="780"/>
      <sheetData sheetId="781"/>
      <sheetData sheetId="782"/>
      <sheetData sheetId="783"/>
      <sheetData sheetId="784"/>
      <sheetData sheetId="785"/>
      <sheetData sheetId="786"/>
      <sheetData sheetId="787"/>
      <sheetData sheetId="788"/>
      <sheetData sheetId="789"/>
      <sheetData sheetId="790"/>
      <sheetData sheetId="791"/>
      <sheetData sheetId="792"/>
      <sheetData sheetId="793"/>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sheetData sheetId="826"/>
      <sheetData sheetId="827"/>
      <sheetData sheetId="828"/>
      <sheetData sheetId="829"/>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표지 "/>
      <sheetName val="7.6.1.A(INPUT)"/>
      <sheetName val="7.6.1.B(BREAKDN)"/>
      <sheetName val="7.6.1.C(SCOPE)"/>
      <sheetName val="7.6.1.D(TECH)"/>
      <sheetName val="7.6.1.E(ALLOW)"/>
      <sheetName val="7.6.2(SUMMARY)"/>
      <sheetName val="7.6.3.BOQ"/>
      <sheetName val="7.6.3(A) AG Piping"/>
      <sheetName val="7.6.3(A) AG Piping(증감)"/>
      <sheetName val="7.6.3(B) UG Piping"/>
      <sheetName val="7.6.3(B) UG Piping(증감)"/>
      <sheetName val="7.6.3 (C) Insulation"/>
      <sheetName val="7.6.3 (C) Insulation(증감)"/>
      <sheetName val="7.6.3 (D) Paint"/>
      <sheetName val="7.6.3 (E) PFP"/>
      <sheetName val="7.6.3(F) Pipe Support"/>
      <sheetName val="7.6.3 (G) Modification"/>
      <sheetName val="#REF"/>
      <sheetName val="공사내역"/>
      <sheetName val="공사비_NDE"/>
      <sheetName val="수입"/>
      <sheetName val="요약배부"/>
      <sheetName val="주관사업"/>
      <sheetName val="eq_data"/>
      <sheetName val="영업소실적"/>
      <sheetName val="산출근거#2-3"/>
      <sheetName val="IMPEADENCE MAP 취수장"/>
      <sheetName val="연습"/>
      <sheetName val="내역"/>
      <sheetName val="표지_"/>
      <sheetName val="7_6_1_A(INPUT)"/>
      <sheetName val="7_6_1_B(BREAKDN)"/>
      <sheetName val="7_6_1_C(SCOPE)"/>
      <sheetName val="7_6_1_D(TECH)"/>
      <sheetName val="7_6_1_E(ALLOW)"/>
      <sheetName val="7_6_2(SUMMARY)"/>
      <sheetName val="7_6_3_BOQ"/>
      <sheetName val="7_6_3(A)_AG_Piping"/>
      <sheetName val="7_6_3(A)_AG_Piping(증감)"/>
      <sheetName val="7_6_3(B)_UG_Piping"/>
      <sheetName val="7_6_3(B)_UG_Piping(증감)"/>
      <sheetName val="7_6_3_(C)_Insulation"/>
      <sheetName val="7_6_3_(C)_Insulation(증감)"/>
      <sheetName val="7_6_3_(D)_Paint"/>
      <sheetName val="7_6_3_(E)_PFP"/>
      <sheetName val="7_6_3(F)_Pipe_Support"/>
      <sheetName val="7_6_3_(G)_Modification"/>
      <sheetName val="data_dci"/>
      <sheetName val="data_mci"/>
      <sheetName val="behind"/>
      <sheetName val="Main"/>
      <sheetName val="97 사업추정(WEKI)"/>
      <sheetName val="POWER"/>
      <sheetName val="choose"/>
      <sheetName val="DCS"/>
      <sheetName val="FWBS7000,8000"/>
      <sheetName val="ANALYSER"/>
      <sheetName val="사업부배부A"/>
      <sheetName val="EQUIPMENT -2"/>
      <sheetName val="Desal-E&amp;I"/>
      <sheetName val="BOQ for HRSG &amp; BOP-mech."/>
      <sheetName val="DATE"/>
      <sheetName val="120"/>
      <sheetName val="130"/>
      <sheetName val="100"/>
      <sheetName val="101"/>
      <sheetName val="102"/>
      <sheetName val="103"/>
      <sheetName val="106"/>
      <sheetName val="108"/>
      <sheetName val="109"/>
      <sheetName val="131"/>
      <sheetName val="110"/>
      <sheetName val="111"/>
      <sheetName val="114"/>
      <sheetName val="116"/>
      <sheetName val="132"/>
      <sheetName val="140"/>
      <sheetName val="141"/>
      <sheetName val="142"/>
      <sheetName val="143"/>
      <sheetName val="144"/>
      <sheetName val="145"/>
      <sheetName val="146"/>
      <sheetName val="121"/>
      <sheetName val="147"/>
      <sheetName val="148"/>
      <sheetName val="160"/>
      <sheetName val="164"/>
      <sheetName val="Flaer Area"/>
      <sheetName val="123"/>
      <sheetName val="124"/>
      <sheetName val="125"/>
      <sheetName val="126"/>
      <sheetName val="127"/>
      <sheetName val="128"/>
      <sheetName val="129"/>
      <sheetName val="4-3LEVEL-5 epic.4"/>
      <sheetName val="inter"/>
      <sheetName val="TOEC"/>
      <sheetName val="조건표"/>
      <sheetName val="토목주소"/>
      <sheetName val="프랜트면허"/>
      <sheetName val="표지_1"/>
      <sheetName val="7_6_1_A(INPUT)1"/>
      <sheetName val="7_6_1_B(BREAKDN)1"/>
      <sheetName val="7_6_1_C(SCOPE)1"/>
      <sheetName val="7_6_1_D(TECH)1"/>
      <sheetName val="7_6_1_E(ALLOW)1"/>
      <sheetName val="7_6_2(SUMMARY)1"/>
      <sheetName val="7_6_3_BOQ1"/>
      <sheetName val="7_6_3(A)_AG_Piping1"/>
      <sheetName val="7_6_3(A)_AG_Piping(증감)1"/>
      <sheetName val="7_6_3(B)_UG_Piping1"/>
      <sheetName val="7_6_3(B)_UG_Piping(증감)1"/>
      <sheetName val="7_6_3_(C)_Insulation1"/>
      <sheetName val="7_6_3_(C)_Insulation(증감)1"/>
      <sheetName val="7_6_3_(D)_Paint1"/>
      <sheetName val="7_6_3_(E)_PFP1"/>
      <sheetName val="7_6_3(F)_Pipe_Support1"/>
      <sheetName val="7_6_3_(G)_Modification1"/>
      <sheetName val="IMPEADENCE_MAP_취수장"/>
      <sheetName val="EQUIPMENT_-2"/>
      <sheetName val="BOQ_for_HRSG_&amp;_BOP-mech_"/>
      <sheetName val="Flaer_Area"/>
      <sheetName val="97_사업추정(WEKI)"/>
      <sheetName val="4-3LEVEL-5_epic_4"/>
      <sheetName val="VA_code"/>
      <sheetName val="OCT"/>
      <sheetName val="Sheet1 (2)"/>
      <sheetName val="간접비 총괄표"/>
      <sheetName val="Sheet5"/>
      <sheetName val="환율change"/>
      <sheetName val="5"/>
      <sheetName val="경제지표"/>
      <sheetName val="세금자료"/>
      <sheetName val="9-1차이내역"/>
      <sheetName val="Sheet1"/>
      <sheetName val="C급보 "/>
      <sheetName val="B"/>
      <sheetName val="4.TANK Farm"/>
      <sheetName val="노임단가"/>
      <sheetName val="PAN"/>
      <sheetName val="용소리교"/>
      <sheetName val="ACUNIT"/>
      <sheetName val="구조물공"/>
      <sheetName val="주beam"/>
      <sheetName val="Weld, NDE (Pipe)"/>
      <sheetName val="L V Separator"/>
      <sheetName val="NOMUBI"/>
      <sheetName val="sw1"/>
      <sheetName val="INSTR"/>
      <sheetName val="2.2 STAFF Scedule"/>
      <sheetName val="정산표2"/>
      <sheetName val="뜃맟뭁돽띿맟?-BLDG"/>
      <sheetName val="손익차9월2"/>
      <sheetName val="실행내역"/>
      <sheetName val="OIL SYST DATA SHTS"/>
      <sheetName val="건축-물가변동"/>
      <sheetName val="기계설비-물가변동"/>
      <sheetName val="재료비"/>
      <sheetName val="대장I"/>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row r="5">
          <cell r="C5" t="str">
            <v>501</v>
          </cell>
          <cell r="D5" t="str">
            <v>P</v>
          </cell>
          <cell r="E5">
            <v>6311</v>
          </cell>
          <cell r="F5" t="str">
            <v>B2100702000800</v>
          </cell>
          <cell r="G5" t="str">
            <v>PIPE</v>
          </cell>
          <cell r="H5" t="str">
            <v>8</v>
          </cell>
          <cell r="I5" t="str">
            <v>--</v>
          </cell>
          <cell r="J5" t="str">
            <v>SCH 20</v>
          </cell>
          <cell r="K5" t="str">
            <v>NONE</v>
          </cell>
          <cell r="L5" t="str">
            <v>BE CS SMLS API 5L-B P.E. COATED</v>
          </cell>
          <cell r="M5">
            <v>190</v>
          </cell>
        </row>
        <row r="6">
          <cell r="C6" t="str">
            <v>501</v>
          </cell>
          <cell r="D6" t="str">
            <v>P</v>
          </cell>
          <cell r="E6">
            <v>6311</v>
          </cell>
          <cell r="F6" t="str">
            <v>B2100704000300</v>
          </cell>
          <cell r="G6" t="str">
            <v>PIPE</v>
          </cell>
          <cell r="H6" t="str">
            <v>3</v>
          </cell>
          <cell r="I6" t="str">
            <v>--</v>
          </cell>
          <cell r="J6" t="str">
            <v>SCH 40</v>
          </cell>
          <cell r="K6" t="str">
            <v>NONE</v>
          </cell>
          <cell r="L6" t="str">
            <v>BE CS SMLS API 5L-B P.E. COATED</v>
          </cell>
          <cell r="M6">
            <v>64.7</v>
          </cell>
        </row>
        <row r="7">
          <cell r="C7" t="str">
            <v>501</v>
          </cell>
          <cell r="D7" t="str">
            <v>P</v>
          </cell>
          <cell r="E7">
            <v>6311</v>
          </cell>
          <cell r="F7" t="str">
            <v>B2100704000400</v>
          </cell>
          <cell r="G7" t="str">
            <v>PIPE</v>
          </cell>
          <cell r="H7" t="str">
            <v>4</v>
          </cell>
          <cell r="I7" t="str">
            <v>--</v>
          </cell>
          <cell r="J7" t="str">
            <v>SCH 40</v>
          </cell>
          <cell r="K7" t="str">
            <v>NONE</v>
          </cell>
          <cell r="L7" t="str">
            <v>BE CS SMLS API 5L-B P.E. COATED</v>
          </cell>
          <cell r="M7">
            <v>383.7</v>
          </cell>
        </row>
        <row r="8">
          <cell r="C8" t="str">
            <v>501</v>
          </cell>
          <cell r="D8" t="str">
            <v>P</v>
          </cell>
          <cell r="E8">
            <v>6311</v>
          </cell>
          <cell r="F8" t="str">
            <v>B2100704000600</v>
          </cell>
          <cell r="G8" t="str">
            <v>PIPE</v>
          </cell>
          <cell r="H8" t="str">
            <v>6</v>
          </cell>
          <cell r="I8" t="str">
            <v>--</v>
          </cell>
          <cell r="J8" t="str">
            <v>SCH 40</v>
          </cell>
          <cell r="K8" t="str">
            <v>NONE</v>
          </cell>
          <cell r="L8" t="str">
            <v>BE CS SMLS API 5L-B P.E. COATED</v>
          </cell>
          <cell r="M8">
            <v>155.69999999999999</v>
          </cell>
        </row>
        <row r="9">
          <cell r="C9" t="str">
            <v>501</v>
          </cell>
          <cell r="D9" t="str">
            <v>P</v>
          </cell>
          <cell r="E9">
            <v>6311</v>
          </cell>
          <cell r="F9" t="str">
            <v>B2100708000300</v>
          </cell>
          <cell r="G9" t="str">
            <v>PIPE</v>
          </cell>
          <cell r="H9" t="str">
            <v>3</v>
          </cell>
          <cell r="I9" t="str">
            <v>--</v>
          </cell>
          <cell r="J9" t="str">
            <v>SCH 80</v>
          </cell>
          <cell r="K9" t="str">
            <v>NONE</v>
          </cell>
          <cell r="L9" t="str">
            <v>BE CS SMLS API 5L-B P.E. COATED</v>
          </cell>
          <cell r="M9">
            <v>165.2</v>
          </cell>
        </row>
        <row r="10">
          <cell r="C10" t="str">
            <v>501</v>
          </cell>
          <cell r="D10" t="str">
            <v>P</v>
          </cell>
          <cell r="E10">
            <v>6311</v>
          </cell>
          <cell r="F10" t="str">
            <v>B2100708000400</v>
          </cell>
          <cell r="G10" t="str">
            <v>PIPE</v>
          </cell>
          <cell r="H10" t="str">
            <v>4</v>
          </cell>
          <cell r="I10" t="str">
            <v>--</v>
          </cell>
          <cell r="J10" t="str">
            <v>SCH 80</v>
          </cell>
          <cell r="K10" t="str">
            <v>NONE</v>
          </cell>
          <cell r="L10" t="str">
            <v>BE CS SMLS API 5L-B P.E. COATED</v>
          </cell>
          <cell r="M10">
            <v>42</v>
          </cell>
        </row>
        <row r="11">
          <cell r="C11" t="str">
            <v>501</v>
          </cell>
          <cell r="D11" t="str">
            <v>P</v>
          </cell>
          <cell r="E11">
            <v>6311</v>
          </cell>
          <cell r="F11" t="str">
            <v>B3100704000300</v>
          </cell>
          <cell r="G11" t="str">
            <v>PIPE</v>
          </cell>
          <cell r="H11" t="str">
            <v>3</v>
          </cell>
          <cell r="I11" t="str">
            <v>--</v>
          </cell>
          <cell r="J11" t="str">
            <v>SCH 40</v>
          </cell>
          <cell r="K11" t="str">
            <v>NONE</v>
          </cell>
          <cell r="L11" t="str">
            <v>BE CS SMLS API 5L-B P.P. COATED</v>
          </cell>
          <cell r="M11">
            <v>8.3000000000000007</v>
          </cell>
        </row>
        <row r="12">
          <cell r="C12" t="str">
            <v>501</v>
          </cell>
          <cell r="D12" t="str">
            <v>P</v>
          </cell>
          <cell r="E12">
            <v>6311</v>
          </cell>
          <cell r="F12" t="str">
            <v>B3100704000400</v>
          </cell>
          <cell r="G12" t="str">
            <v>PIPE</v>
          </cell>
          <cell r="H12" t="str">
            <v>4</v>
          </cell>
          <cell r="I12" t="str">
            <v>--</v>
          </cell>
          <cell r="J12" t="str">
            <v>SCH 40</v>
          </cell>
          <cell r="K12" t="str">
            <v>NONE</v>
          </cell>
          <cell r="L12" t="str">
            <v>BE CS SMLS API 5L-B P.P. COATED</v>
          </cell>
          <cell r="M12">
            <v>1.8</v>
          </cell>
        </row>
        <row r="13">
          <cell r="C13" t="str">
            <v>501</v>
          </cell>
          <cell r="D13" t="str">
            <v>P</v>
          </cell>
          <cell r="E13">
            <v>6311</v>
          </cell>
          <cell r="F13" t="str">
            <v>B3100708000300</v>
          </cell>
          <cell r="G13" t="str">
            <v>PIPE</v>
          </cell>
          <cell r="H13" t="str">
            <v>3</v>
          </cell>
          <cell r="I13" t="str">
            <v>--</v>
          </cell>
          <cell r="J13" t="str">
            <v>SCH 80</v>
          </cell>
          <cell r="K13" t="str">
            <v>NONE</v>
          </cell>
          <cell r="L13" t="str">
            <v>BE CS SMLS API 5L-B P.P. COATED</v>
          </cell>
          <cell r="M13">
            <v>17.3</v>
          </cell>
        </row>
        <row r="14">
          <cell r="C14" t="str">
            <v>501</v>
          </cell>
          <cell r="D14" t="str">
            <v>P</v>
          </cell>
          <cell r="E14">
            <v>6311</v>
          </cell>
          <cell r="F14" t="str">
            <v>B3100708000600</v>
          </cell>
          <cell r="G14" t="str">
            <v>PIPE</v>
          </cell>
          <cell r="H14" t="str">
            <v>6</v>
          </cell>
          <cell r="I14" t="str">
            <v>--</v>
          </cell>
          <cell r="J14" t="str">
            <v>SCH 80</v>
          </cell>
          <cell r="K14" t="str">
            <v>NONE</v>
          </cell>
          <cell r="L14" t="str">
            <v>BE CS SMLS API 5L-B P.P. COATED</v>
          </cell>
          <cell r="M14">
            <v>135.30000000000001</v>
          </cell>
        </row>
        <row r="15">
          <cell r="C15" t="str">
            <v>501</v>
          </cell>
          <cell r="D15" t="str">
            <v>P</v>
          </cell>
          <cell r="E15">
            <v>6311</v>
          </cell>
          <cell r="F15" t="str">
            <v>B4100704000300</v>
          </cell>
          <cell r="G15" t="str">
            <v>PIPE</v>
          </cell>
          <cell r="H15" t="str">
            <v>3</v>
          </cell>
          <cell r="I15" t="str">
            <v>--</v>
          </cell>
          <cell r="J15" t="str">
            <v>SCH 40</v>
          </cell>
          <cell r="K15" t="str">
            <v>NONE</v>
          </cell>
          <cell r="L15" t="str">
            <v>BE CS SMLS API 5L-B SUNLIGHT L-200</v>
          </cell>
          <cell r="M15">
            <v>71.900000000000006</v>
          </cell>
        </row>
        <row r="16">
          <cell r="C16" t="str">
            <v>501</v>
          </cell>
          <cell r="D16" t="str">
            <v>P</v>
          </cell>
          <cell r="E16">
            <v>6311</v>
          </cell>
          <cell r="F16" t="str">
            <v>B4100704000400</v>
          </cell>
          <cell r="G16" t="str">
            <v>PIPE</v>
          </cell>
          <cell r="H16" t="str">
            <v>4</v>
          </cell>
          <cell r="I16" t="str">
            <v>--</v>
          </cell>
          <cell r="J16" t="str">
            <v>SCH 40</v>
          </cell>
          <cell r="K16" t="str">
            <v>NONE</v>
          </cell>
          <cell r="L16" t="str">
            <v>BE CS SMLS API 5L-B SUNLIGHT L-200</v>
          </cell>
          <cell r="M16">
            <v>71.8</v>
          </cell>
        </row>
        <row r="17">
          <cell r="C17" t="str">
            <v>501</v>
          </cell>
          <cell r="D17" t="str">
            <v>P</v>
          </cell>
          <cell r="E17">
            <v>6311</v>
          </cell>
          <cell r="F17" t="str">
            <v>B4100704000600</v>
          </cell>
          <cell r="G17" t="str">
            <v>PIPE</v>
          </cell>
          <cell r="H17" t="str">
            <v>6</v>
          </cell>
          <cell r="I17" t="str">
            <v>--</v>
          </cell>
          <cell r="J17" t="str">
            <v>SCH 40</v>
          </cell>
          <cell r="K17" t="str">
            <v>NONE</v>
          </cell>
          <cell r="L17" t="str">
            <v>BE CS SMLS API 5L-B SUNLIGHT L-200</v>
          </cell>
          <cell r="M17">
            <v>52.4</v>
          </cell>
        </row>
        <row r="18">
          <cell r="C18" t="str">
            <v>501</v>
          </cell>
          <cell r="D18" t="str">
            <v>P</v>
          </cell>
          <cell r="E18">
            <v>6311</v>
          </cell>
          <cell r="F18" t="str">
            <v>B4100708000300</v>
          </cell>
          <cell r="G18" t="str">
            <v>PIPE</v>
          </cell>
          <cell r="H18" t="str">
            <v>3</v>
          </cell>
          <cell r="I18" t="str">
            <v>--</v>
          </cell>
          <cell r="J18" t="str">
            <v>SCH 80</v>
          </cell>
          <cell r="K18" t="str">
            <v>NONE</v>
          </cell>
          <cell r="L18" t="str">
            <v>BE CS SMLS API 5L-B SUNLIGHT L-200</v>
          </cell>
          <cell r="M18">
            <v>22.1</v>
          </cell>
        </row>
        <row r="19">
          <cell r="C19" t="str">
            <v>501</v>
          </cell>
          <cell r="D19" t="str">
            <v>P</v>
          </cell>
          <cell r="E19">
            <v>6311</v>
          </cell>
          <cell r="F19" t="str">
            <v>B4100708000400</v>
          </cell>
          <cell r="G19" t="str">
            <v>PIPE</v>
          </cell>
          <cell r="H19" t="str">
            <v>4</v>
          </cell>
          <cell r="I19" t="str">
            <v>--</v>
          </cell>
          <cell r="J19" t="str">
            <v>SCH 80</v>
          </cell>
          <cell r="K19" t="str">
            <v>NONE</v>
          </cell>
          <cell r="L19" t="str">
            <v>BE CS SMLS API 5L-B SUNLIGHT L-200</v>
          </cell>
          <cell r="M19">
            <v>42.9</v>
          </cell>
        </row>
        <row r="20">
          <cell r="C20" t="str">
            <v>501</v>
          </cell>
          <cell r="D20" t="str">
            <v>P</v>
          </cell>
          <cell r="E20">
            <v>6311</v>
          </cell>
          <cell r="F20" t="str">
            <v>B4100708000600</v>
          </cell>
          <cell r="G20" t="str">
            <v>PIPE</v>
          </cell>
          <cell r="H20" t="str">
            <v>6</v>
          </cell>
          <cell r="I20" t="str">
            <v>--</v>
          </cell>
          <cell r="J20" t="str">
            <v>SCH 80</v>
          </cell>
          <cell r="K20" t="str">
            <v>NONE</v>
          </cell>
          <cell r="L20" t="str">
            <v>BE CS SMLS API 5L-B SUNLIGHT L-200</v>
          </cell>
          <cell r="M20">
            <v>53.3</v>
          </cell>
        </row>
        <row r="21">
          <cell r="C21" t="str">
            <v>501</v>
          </cell>
          <cell r="D21" t="str">
            <v>P</v>
          </cell>
          <cell r="E21">
            <v>6311</v>
          </cell>
          <cell r="F21" t="str">
            <v>C2100404000300</v>
          </cell>
          <cell r="G21" t="str">
            <v>PIPE</v>
          </cell>
          <cell r="H21" t="str">
            <v>3</v>
          </cell>
          <cell r="I21" t="str">
            <v>--</v>
          </cell>
          <cell r="J21" t="str">
            <v>SCH 40</v>
          </cell>
          <cell r="K21" t="str">
            <v>NONE</v>
          </cell>
          <cell r="L21" t="str">
            <v>BE ITCS SMLS A333-6 P.E. COATED</v>
          </cell>
          <cell r="M21">
            <v>158.6</v>
          </cell>
        </row>
        <row r="22">
          <cell r="C22" t="str">
            <v>501</v>
          </cell>
          <cell r="D22" t="str">
            <v>P</v>
          </cell>
          <cell r="E22">
            <v>6311</v>
          </cell>
          <cell r="F22" t="str">
            <v>C2100404000600</v>
          </cell>
          <cell r="G22" t="str">
            <v>PIPE</v>
          </cell>
          <cell r="H22" t="str">
            <v>6</v>
          </cell>
          <cell r="I22" t="str">
            <v>--</v>
          </cell>
          <cell r="J22" t="str">
            <v>SCH 40</v>
          </cell>
          <cell r="K22" t="str">
            <v>NONE</v>
          </cell>
          <cell r="L22" t="str">
            <v>BE ITCS SMLS A333-6 P.E. COATED</v>
          </cell>
          <cell r="M22">
            <v>232.7</v>
          </cell>
        </row>
        <row r="23">
          <cell r="C23" t="str">
            <v>501</v>
          </cell>
          <cell r="D23" t="str">
            <v>P</v>
          </cell>
          <cell r="E23">
            <v>6311</v>
          </cell>
          <cell r="F23" t="str">
            <v>G2100908000200</v>
          </cell>
          <cell r="G23" t="str">
            <v>PIPE</v>
          </cell>
          <cell r="H23" t="str">
            <v>2</v>
          </cell>
          <cell r="I23" t="str">
            <v>--</v>
          </cell>
          <cell r="J23" t="str">
            <v>SCH 80</v>
          </cell>
          <cell r="K23" t="str">
            <v>NONE</v>
          </cell>
          <cell r="L23" t="str">
            <v>TE CS SMLS API 5L-B GALV. THRD COUPLING (3000#,A105/GALV) P.E. COATED</v>
          </cell>
          <cell r="M23">
            <v>193</v>
          </cell>
        </row>
        <row r="24">
          <cell r="C24" t="str">
            <v>501</v>
          </cell>
          <cell r="D24" t="str">
            <v>P</v>
          </cell>
          <cell r="E24">
            <v>6311</v>
          </cell>
          <cell r="F24" t="str">
            <v>N2100704000300</v>
          </cell>
          <cell r="G24" t="str">
            <v>PIPE</v>
          </cell>
          <cell r="H24" t="str">
            <v>3</v>
          </cell>
          <cell r="I24" t="str">
            <v>--</v>
          </cell>
          <cell r="J24" t="str">
            <v>SCH 40</v>
          </cell>
          <cell r="K24" t="str">
            <v>NONE</v>
          </cell>
          <cell r="L24" t="str">
            <v>BE CS SMLS API 5L-B (NACE) RP 5561V 999 6300 003 P.E. COATED</v>
          </cell>
          <cell r="M24">
            <v>188.6</v>
          </cell>
        </row>
        <row r="25">
          <cell r="C25" t="str">
            <v>501</v>
          </cell>
          <cell r="D25" t="str">
            <v>P</v>
          </cell>
          <cell r="E25">
            <v>6311</v>
          </cell>
          <cell r="F25" t="str">
            <v>N2100704000400</v>
          </cell>
          <cell r="G25" t="str">
            <v>PIPE</v>
          </cell>
          <cell r="H25" t="str">
            <v>4</v>
          </cell>
          <cell r="I25" t="str">
            <v>--</v>
          </cell>
          <cell r="J25" t="str">
            <v>SCH 40</v>
          </cell>
          <cell r="K25" t="str">
            <v>NONE</v>
          </cell>
          <cell r="L25" t="str">
            <v>BE CS SMLS API 5L-B (NACE) RP 5561V 999 6300 003 P.E. COATED</v>
          </cell>
          <cell r="M25">
            <v>60.3</v>
          </cell>
        </row>
        <row r="26">
          <cell r="C26" t="str">
            <v>501</v>
          </cell>
          <cell r="D26" t="str">
            <v>P</v>
          </cell>
          <cell r="E26">
            <v>6311</v>
          </cell>
          <cell r="F26" t="str">
            <v>N2100704000600</v>
          </cell>
          <cell r="G26" t="str">
            <v>PIPE</v>
          </cell>
          <cell r="H26" t="str">
            <v>6</v>
          </cell>
          <cell r="I26" t="str">
            <v>--</v>
          </cell>
          <cell r="J26" t="str">
            <v>SCH 40</v>
          </cell>
          <cell r="K26" t="str">
            <v>NONE</v>
          </cell>
          <cell r="L26" t="str">
            <v>BE CS SMLS API 5L-B (NACE) RP 5561V 999 6300 003 P.E. COATED</v>
          </cell>
          <cell r="M26">
            <v>82.3</v>
          </cell>
        </row>
        <row r="27">
          <cell r="C27" t="str">
            <v>501</v>
          </cell>
          <cell r="D27" t="str">
            <v>P</v>
          </cell>
          <cell r="E27">
            <v>6311</v>
          </cell>
          <cell r="F27" t="str">
            <v>N2100708000300</v>
          </cell>
          <cell r="G27" t="str">
            <v>PIPE</v>
          </cell>
          <cell r="H27" t="str">
            <v>3</v>
          </cell>
          <cell r="I27" t="str">
            <v>--</v>
          </cell>
          <cell r="J27" t="str">
            <v>SCH 80</v>
          </cell>
          <cell r="K27" t="str">
            <v>NONE</v>
          </cell>
          <cell r="L27" t="str">
            <v>BE CS SMLS API 5L-B (NACE) RP 5561V 999 6300 003 P.E. COATED</v>
          </cell>
          <cell r="M27">
            <v>9.8000000000000007</v>
          </cell>
        </row>
        <row r="28">
          <cell r="C28" t="str">
            <v>501</v>
          </cell>
          <cell r="D28" t="str">
            <v>P</v>
          </cell>
          <cell r="E28">
            <v>6311</v>
          </cell>
          <cell r="F28" t="str">
            <v>N2100708000400</v>
          </cell>
          <cell r="G28" t="str">
            <v>PIPE</v>
          </cell>
          <cell r="H28" t="str">
            <v>4</v>
          </cell>
          <cell r="I28" t="str">
            <v>--</v>
          </cell>
          <cell r="J28" t="str">
            <v>SCH 80</v>
          </cell>
          <cell r="K28" t="str">
            <v>NONE</v>
          </cell>
          <cell r="L28" t="str">
            <v>BE CS SMLS API 5L-B (NACE) RP 5561V 999 6300 003 P.E. COATED</v>
          </cell>
          <cell r="M28">
            <v>33.799999999999997</v>
          </cell>
        </row>
        <row r="29">
          <cell r="C29" t="str">
            <v>501</v>
          </cell>
          <cell r="D29" t="str">
            <v>P</v>
          </cell>
          <cell r="E29">
            <v>6311</v>
          </cell>
          <cell r="F29" t="str">
            <v>N2100708000600</v>
          </cell>
          <cell r="G29" t="str">
            <v>PIPE</v>
          </cell>
          <cell r="H29" t="str">
            <v>6</v>
          </cell>
          <cell r="I29" t="str">
            <v>--</v>
          </cell>
          <cell r="J29" t="str">
            <v>SCH 80</v>
          </cell>
          <cell r="K29" t="str">
            <v>NONE</v>
          </cell>
          <cell r="L29" t="str">
            <v>BE CS SMLS API 5L-B (NACE) RP 5561V 999 6300 003 P.E. COATED</v>
          </cell>
          <cell r="M29">
            <v>92.5</v>
          </cell>
        </row>
        <row r="30">
          <cell r="C30" t="str">
            <v>501</v>
          </cell>
          <cell r="D30" t="str">
            <v>P</v>
          </cell>
          <cell r="E30">
            <v>6311</v>
          </cell>
          <cell r="F30" t="str">
            <v>N3100704000300</v>
          </cell>
          <cell r="G30" t="str">
            <v>PIPE</v>
          </cell>
          <cell r="H30" t="str">
            <v>3</v>
          </cell>
          <cell r="I30" t="str">
            <v>--</v>
          </cell>
          <cell r="J30" t="str">
            <v>SCH 40</v>
          </cell>
          <cell r="K30" t="str">
            <v>NONE</v>
          </cell>
          <cell r="L30" t="str">
            <v>BE CS SMLS API 5L-B (NACE) RP 5561V 999 6300 003 P.P. COATED</v>
          </cell>
          <cell r="M30">
            <v>12.5</v>
          </cell>
        </row>
        <row r="31">
          <cell r="C31" t="str">
            <v>501</v>
          </cell>
          <cell r="D31" t="str">
            <v>P</v>
          </cell>
          <cell r="E31">
            <v>6311</v>
          </cell>
          <cell r="F31" t="str">
            <v>N3100704000400</v>
          </cell>
          <cell r="G31" t="str">
            <v>PIPE</v>
          </cell>
          <cell r="H31" t="str">
            <v>4</v>
          </cell>
          <cell r="I31" t="str">
            <v>--</v>
          </cell>
          <cell r="J31" t="str">
            <v>SCH 40</v>
          </cell>
          <cell r="K31" t="str">
            <v>NONE</v>
          </cell>
          <cell r="L31" t="str">
            <v>BE CS SMLS API 5L-B (NACE) RP 5561V 999 6300 003 P.P. COATED</v>
          </cell>
          <cell r="M31">
            <v>4.2</v>
          </cell>
        </row>
        <row r="32">
          <cell r="C32" t="str">
            <v>501</v>
          </cell>
          <cell r="D32" t="str">
            <v>P</v>
          </cell>
          <cell r="E32">
            <v>6311</v>
          </cell>
          <cell r="F32" t="str">
            <v>N3100704000600</v>
          </cell>
          <cell r="G32" t="str">
            <v>PIPE</v>
          </cell>
          <cell r="H32" t="str">
            <v>6</v>
          </cell>
          <cell r="I32" t="str">
            <v>--</v>
          </cell>
          <cell r="J32" t="str">
            <v>SCH 40</v>
          </cell>
          <cell r="K32" t="str">
            <v>NONE</v>
          </cell>
          <cell r="L32" t="str">
            <v>BE CS SMLS API 5L-B (NACE) RP 5561V 999 6300 003 P.P. COATED</v>
          </cell>
          <cell r="M32">
            <v>90.1</v>
          </cell>
        </row>
        <row r="33">
          <cell r="C33" t="str">
            <v>501</v>
          </cell>
          <cell r="D33" t="str">
            <v>P</v>
          </cell>
          <cell r="E33">
            <v>6311</v>
          </cell>
          <cell r="F33" t="str">
            <v>S210070J000300</v>
          </cell>
          <cell r="G33" t="str">
            <v>PIPE</v>
          </cell>
          <cell r="H33" t="str">
            <v>3</v>
          </cell>
          <cell r="I33" t="str">
            <v>--</v>
          </cell>
          <cell r="J33" t="str">
            <v>SCH 160</v>
          </cell>
          <cell r="K33" t="str">
            <v>NONE</v>
          </cell>
          <cell r="L33" t="str">
            <v>BE CS SMLS API 5L-B (NACE) RP 5561V 999 6300 002 P.E. COATED</v>
          </cell>
          <cell r="M33">
            <v>42.7</v>
          </cell>
        </row>
        <row r="34">
          <cell r="C34" t="str">
            <v>501</v>
          </cell>
          <cell r="D34" t="str">
            <v>P</v>
          </cell>
          <cell r="E34">
            <v>6313</v>
          </cell>
          <cell r="F34" t="str">
            <v>T210010B000300</v>
          </cell>
          <cell r="G34" t="str">
            <v>PIPE</v>
          </cell>
          <cell r="H34" t="str">
            <v>3</v>
          </cell>
          <cell r="I34" t="str">
            <v>--</v>
          </cell>
          <cell r="J34" t="str">
            <v>SCH 10S</v>
          </cell>
          <cell r="K34" t="str">
            <v>NONE</v>
          </cell>
          <cell r="L34" t="str">
            <v>BE SS SMLS A312-TP321 P.E. COATED</v>
          </cell>
          <cell r="M34">
            <v>43</v>
          </cell>
        </row>
        <row r="35">
          <cell r="C35" t="str">
            <v>501</v>
          </cell>
          <cell r="D35" t="str">
            <v>P</v>
          </cell>
          <cell r="E35">
            <v>6313</v>
          </cell>
          <cell r="F35" t="str">
            <v>T210010B000600</v>
          </cell>
          <cell r="G35" t="str">
            <v>PIPE</v>
          </cell>
          <cell r="H35" t="str">
            <v>6</v>
          </cell>
          <cell r="I35" t="str">
            <v>--</v>
          </cell>
          <cell r="J35" t="str">
            <v>SCH 10S</v>
          </cell>
          <cell r="K35" t="str">
            <v>NONE</v>
          </cell>
          <cell r="L35" t="str">
            <v>BE SS SMLS A312-TP321 P.E. COATED</v>
          </cell>
          <cell r="M35">
            <v>6.6</v>
          </cell>
        </row>
        <row r="36">
          <cell r="C36" t="str">
            <v>501</v>
          </cell>
          <cell r="D36" t="str">
            <v>P</v>
          </cell>
          <cell r="E36">
            <v>6313</v>
          </cell>
          <cell r="F36" t="str">
            <v>T210010C000300</v>
          </cell>
          <cell r="G36" t="str">
            <v>PIPE</v>
          </cell>
          <cell r="H36" t="str">
            <v>3</v>
          </cell>
          <cell r="I36" t="str">
            <v>--</v>
          </cell>
          <cell r="J36" t="str">
            <v>SCH 40S</v>
          </cell>
          <cell r="K36" t="str">
            <v>NONE</v>
          </cell>
          <cell r="L36" t="str">
            <v>BE SS SMLS A312-TP321 P.E. COATED</v>
          </cell>
          <cell r="M36">
            <v>73.8</v>
          </cell>
        </row>
        <row r="37">
          <cell r="C37" t="str">
            <v>501</v>
          </cell>
          <cell r="D37" t="str">
            <v>P</v>
          </cell>
          <cell r="E37">
            <v>6313</v>
          </cell>
          <cell r="F37" t="str">
            <v>T210010C000400</v>
          </cell>
          <cell r="G37" t="str">
            <v>PIPE</v>
          </cell>
          <cell r="H37" t="str">
            <v>4</v>
          </cell>
          <cell r="I37" t="str">
            <v>--</v>
          </cell>
          <cell r="J37" t="str">
            <v>SCH 40S</v>
          </cell>
          <cell r="K37" t="str">
            <v>NONE</v>
          </cell>
          <cell r="L37" t="str">
            <v>BE SS SMLS A312-TP321 P.E. COATED</v>
          </cell>
          <cell r="M37">
            <v>22.1</v>
          </cell>
        </row>
        <row r="38">
          <cell r="C38" t="str">
            <v>501</v>
          </cell>
          <cell r="D38" t="str">
            <v>P</v>
          </cell>
          <cell r="E38">
            <v>6313</v>
          </cell>
          <cell r="F38" t="str">
            <v>T210010C000600</v>
          </cell>
          <cell r="G38" t="str">
            <v>PIPE</v>
          </cell>
          <cell r="H38" t="str">
            <v>6</v>
          </cell>
          <cell r="I38" t="str">
            <v>--</v>
          </cell>
          <cell r="J38" t="str">
            <v>SCH 40S</v>
          </cell>
          <cell r="K38" t="str">
            <v>NONE</v>
          </cell>
          <cell r="L38" t="str">
            <v>BE SS SMLS A312-TP321 P.E. COATED</v>
          </cell>
          <cell r="M38">
            <v>102.9</v>
          </cell>
        </row>
        <row r="39">
          <cell r="C39" t="str">
            <v>501</v>
          </cell>
          <cell r="D39" t="str">
            <v>P</v>
          </cell>
          <cell r="E39">
            <v>6313</v>
          </cell>
          <cell r="F39" t="str">
            <v>T410010B000600</v>
          </cell>
          <cell r="G39" t="str">
            <v>PIPE</v>
          </cell>
          <cell r="H39" t="str">
            <v>6</v>
          </cell>
          <cell r="I39" t="str">
            <v>--</v>
          </cell>
          <cell r="J39" t="str">
            <v>SCH 10S</v>
          </cell>
          <cell r="K39" t="str">
            <v>NONE</v>
          </cell>
          <cell r="L39" t="str">
            <v>BE SS SMLS A312-TP321 SUNLIGHT L-200</v>
          </cell>
          <cell r="M39">
            <v>6.9</v>
          </cell>
        </row>
        <row r="40">
          <cell r="C40" t="str">
            <v>501</v>
          </cell>
          <cell r="D40" t="str">
            <v>P</v>
          </cell>
          <cell r="E40">
            <v>6313</v>
          </cell>
          <cell r="F40" t="str">
            <v>T410010C000600</v>
          </cell>
          <cell r="G40" t="str">
            <v>PIPE</v>
          </cell>
          <cell r="H40" t="str">
            <v>6</v>
          </cell>
          <cell r="I40" t="str">
            <v>--</v>
          </cell>
          <cell r="J40" t="str">
            <v>SCH 40S</v>
          </cell>
          <cell r="K40" t="str">
            <v>NONE</v>
          </cell>
          <cell r="L40" t="str">
            <v>BE SS SMLS A312-TP321 SUNLIGHT L-200</v>
          </cell>
          <cell r="M40">
            <v>7</v>
          </cell>
        </row>
        <row r="41">
          <cell r="C41" t="str">
            <v>501</v>
          </cell>
          <cell r="D41" t="str">
            <v>T</v>
          </cell>
          <cell r="E41">
            <v>6311</v>
          </cell>
          <cell r="F41" t="str">
            <v>B3300204000300</v>
          </cell>
          <cell r="G41" t="str">
            <v>45 ELL</v>
          </cell>
          <cell r="H41" t="str">
            <v>3</v>
          </cell>
          <cell r="I41" t="str">
            <v>--</v>
          </cell>
          <cell r="J41" t="str">
            <v>SCH 40</v>
          </cell>
          <cell r="K41" t="str">
            <v>NONE</v>
          </cell>
          <cell r="L41" t="str">
            <v>BW CS A234-WPB-S B16.9 SHRINKABLE SLEEVE</v>
          </cell>
          <cell r="M41">
            <v>3</v>
          </cell>
        </row>
        <row r="42">
          <cell r="C42" t="str">
            <v>501</v>
          </cell>
          <cell r="D42" t="str">
            <v>T</v>
          </cell>
          <cell r="E42">
            <v>6311</v>
          </cell>
          <cell r="F42" t="str">
            <v>B3300204000400</v>
          </cell>
          <cell r="G42" t="str">
            <v>45 ELL</v>
          </cell>
          <cell r="H42" t="str">
            <v>4</v>
          </cell>
          <cell r="I42" t="str">
            <v>--</v>
          </cell>
          <cell r="J42" t="str">
            <v>SCH 40</v>
          </cell>
          <cell r="K42" t="str">
            <v>NONE</v>
          </cell>
          <cell r="L42" t="str">
            <v>BW CS A234-WPB-S B16.9 SHRINKABLE SLEEVE</v>
          </cell>
          <cell r="M42">
            <v>29</v>
          </cell>
        </row>
        <row r="43">
          <cell r="C43" t="str">
            <v>501</v>
          </cell>
          <cell r="D43" t="str">
            <v>T</v>
          </cell>
          <cell r="E43">
            <v>6311</v>
          </cell>
          <cell r="F43" t="str">
            <v>B3300208000300</v>
          </cell>
          <cell r="G43" t="str">
            <v>45 ELL</v>
          </cell>
          <cell r="H43" t="str">
            <v>3</v>
          </cell>
          <cell r="I43" t="str">
            <v>--</v>
          </cell>
          <cell r="J43" t="str">
            <v>SCH 80</v>
          </cell>
          <cell r="K43" t="str">
            <v>NONE</v>
          </cell>
          <cell r="L43" t="str">
            <v>BW CS A234-WPB-S B16.9 SHRINKABLE SLEEVE</v>
          </cell>
          <cell r="M43">
            <v>3</v>
          </cell>
        </row>
        <row r="44">
          <cell r="C44" t="str">
            <v>501</v>
          </cell>
          <cell r="D44" t="str">
            <v>T</v>
          </cell>
          <cell r="E44">
            <v>6311</v>
          </cell>
          <cell r="F44" t="str">
            <v>B4300204000300</v>
          </cell>
          <cell r="G44" t="str">
            <v>45 ELL</v>
          </cell>
          <cell r="H44" t="str">
            <v>3</v>
          </cell>
          <cell r="I44" t="str">
            <v>--</v>
          </cell>
          <cell r="J44" t="str">
            <v>SCH 40</v>
          </cell>
          <cell r="K44" t="str">
            <v>NONE</v>
          </cell>
          <cell r="L44" t="str">
            <v>BW CS A234-WPB-S B16.9 SUNLIGHT L-200</v>
          </cell>
          <cell r="M44">
            <v>4</v>
          </cell>
        </row>
        <row r="45">
          <cell r="C45" t="str">
            <v>501</v>
          </cell>
          <cell r="D45" t="str">
            <v>T</v>
          </cell>
          <cell r="E45">
            <v>6311</v>
          </cell>
          <cell r="F45" t="str">
            <v>B4300204000400</v>
          </cell>
          <cell r="G45" t="str">
            <v>45 ELL</v>
          </cell>
          <cell r="H45" t="str">
            <v>4</v>
          </cell>
          <cell r="I45" t="str">
            <v>--</v>
          </cell>
          <cell r="J45" t="str">
            <v>SCH 40</v>
          </cell>
          <cell r="K45" t="str">
            <v>NONE</v>
          </cell>
          <cell r="L45" t="str">
            <v>BW CS A234-WPB-S B16.9 SUNLIGHT L-200</v>
          </cell>
          <cell r="M45">
            <v>5</v>
          </cell>
        </row>
        <row r="46">
          <cell r="C46" t="str">
            <v>501</v>
          </cell>
          <cell r="D46" t="str">
            <v>T</v>
          </cell>
          <cell r="E46">
            <v>6311</v>
          </cell>
          <cell r="F46" t="str">
            <v>B4300204000600</v>
          </cell>
          <cell r="G46" t="str">
            <v>45 ELL</v>
          </cell>
          <cell r="H46" t="str">
            <v>6</v>
          </cell>
          <cell r="I46" t="str">
            <v>--</v>
          </cell>
          <cell r="J46" t="str">
            <v>SCH 40</v>
          </cell>
          <cell r="K46" t="str">
            <v>NONE</v>
          </cell>
          <cell r="L46" t="str">
            <v>BW CS A234-WPB-S B16.9 SUNLIGHT L-200</v>
          </cell>
          <cell r="M46">
            <v>4</v>
          </cell>
        </row>
        <row r="47">
          <cell r="C47" t="str">
            <v>501</v>
          </cell>
          <cell r="D47" t="str">
            <v>T</v>
          </cell>
          <cell r="E47">
            <v>6311</v>
          </cell>
          <cell r="F47" t="str">
            <v>B4300208000400</v>
          </cell>
          <cell r="G47" t="str">
            <v>45 ELL</v>
          </cell>
          <cell r="H47" t="str">
            <v>4</v>
          </cell>
          <cell r="I47" t="str">
            <v>--</v>
          </cell>
          <cell r="J47" t="str">
            <v>SCH 80</v>
          </cell>
          <cell r="K47" t="str">
            <v>NONE</v>
          </cell>
          <cell r="L47" t="str">
            <v>BW CS A234-WPB-S B16.9 SUNLIGHT L-200</v>
          </cell>
          <cell r="M47">
            <v>1</v>
          </cell>
        </row>
        <row r="48">
          <cell r="C48" t="str">
            <v>501</v>
          </cell>
          <cell r="D48" t="str">
            <v>T</v>
          </cell>
          <cell r="E48">
            <v>6311</v>
          </cell>
          <cell r="F48" t="str">
            <v>B4300208000600</v>
          </cell>
          <cell r="G48" t="str">
            <v>45 ELL</v>
          </cell>
          <cell r="H48" t="str">
            <v>6</v>
          </cell>
          <cell r="I48" t="str">
            <v>--</v>
          </cell>
          <cell r="J48" t="str">
            <v>SCH 80</v>
          </cell>
          <cell r="K48" t="str">
            <v>NONE</v>
          </cell>
          <cell r="L48" t="str">
            <v>BW CS A234-WPB-S B16.9 SUNLIGHT L-200</v>
          </cell>
          <cell r="M48">
            <v>2</v>
          </cell>
        </row>
        <row r="49">
          <cell r="C49" t="str">
            <v>501</v>
          </cell>
          <cell r="D49" t="str">
            <v>T</v>
          </cell>
          <cell r="E49">
            <v>6311</v>
          </cell>
          <cell r="F49" t="str">
            <v>C3300204000300</v>
          </cell>
          <cell r="G49" t="str">
            <v>45 ELL</v>
          </cell>
          <cell r="H49" t="str">
            <v>3</v>
          </cell>
          <cell r="I49" t="str">
            <v>--</v>
          </cell>
          <cell r="J49" t="str">
            <v>SCH 40</v>
          </cell>
          <cell r="K49" t="str">
            <v>NONE</v>
          </cell>
          <cell r="L49" t="str">
            <v>BW ITCS A420-WPL6-S B16.9 SHRINKABLE SLEEVE</v>
          </cell>
          <cell r="M49">
            <v>5</v>
          </cell>
        </row>
        <row r="50">
          <cell r="C50" t="str">
            <v>501</v>
          </cell>
          <cell r="D50" t="str">
            <v>T</v>
          </cell>
          <cell r="E50">
            <v>6311</v>
          </cell>
          <cell r="F50" t="str">
            <v>C3300204000600</v>
          </cell>
          <cell r="G50" t="str">
            <v>45 ELL</v>
          </cell>
          <cell r="H50" t="str">
            <v>6</v>
          </cell>
          <cell r="I50" t="str">
            <v>--</v>
          </cell>
          <cell r="J50" t="str">
            <v>SCH 40</v>
          </cell>
          <cell r="K50" t="str">
            <v>NONE</v>
          </cell>
          <cell r="L50" t="str">
            <v>BW ITCS A420-WPL6-S B16.9 SHRINKABLE SLEEVE</v>
          </cell>
          <cell r="M50">
            <v>2</v>
          </cell>
        </row>
        <row r="51">
          <cell r="C51" t="str">
            <v>501</v>
          </cell>
          <cell r="D51" t="str">
            <v>T</v>
          </cell>
          <cell r="E51">
            <v>6311</v>
          </cell>
          <cell r="F51" t="str">
            <v>G3520200000200</v>
          </cell>
          <cell r="G51" t="str">
            <v>45 ELL</v>
          </cell>
          <cell r="H51" t="str">
            <v>2</v>
          </cell>
          <cell r="I51" t="str">
            <v>--</v>
          </cell>
          <cell r="J51" t="str">
            <v>NONE</v>
          </cell>
          <cell r="K51" t="str">
            <v>NONE</v>
          </cell>
          <cell r="L51" t="str">
            <v>3000# THRD CS A105 GALV. B16.11 SHRINKABLE SLEEVE</v>
          </cell>
          <cell r="M51">
            <v>3</v>
          </cell>
        </row>
        <row r="52">
          <cell r="C52" t="str">
            <v>501</v>
          </cell>
          <cell r="D52" t="str">
            <v>T</v>
          </cell>
          <cell r="E52">
            <v>6311</v>
          </cell>
          <cell r="F52" t="str">
            <v>N3300204000300</v>
          </cell>
          <cell r="G52" t="str">
            <v>45 ELL</v>
          </cell>
          <cell r="H52" t="str">
            <v>3</v>
          </cell>
          <cell r="I52" t="str">
            <v>--</v>
          </cell>
          <cell r="J52" t="str">
            <v>SCH 40</v>
          </cell>
          <cell r="K52" t="str">
            <v>NONE</v>
          </cell>
          <cell r="L52" t="str">
            <v>BW CS A234-WPB-S B16.9 (NACE) RP 5561V 999 6300 003 SHRINKABLE SLEEVE</v>
          </cell>
          <cell r="M52">
            <v>3</v>
          </cell>
        </row>
        <row r="53">
          <cell r="C53" t="str">
            <v>501</v>
          </cell>
          <cell r="D53" t="str">
            <v>T</v>
          </cell>
          <cell r="E53">
            <v>6311</v>
          </cell>
          <cell r="F53" t="str">
            <v>N3300204000400</v>
          </cell>
          <cell r="G53" t="str">
            <v>45 ELL</v>
          </cell>
          <cell r="H53" t="str">
            <v>4</v>
          </cell>
          <cell r="I53" t="str">
            <v>--</v>
          </cell>
          <cell r="J53" t="str">
            <v>SCH 40</v>
          </cell>
          <cell r="K53" t="str">
            <v>NONE</v>
          </cell>
          <cell r="L53" t="str">
            <v>BW CS A234-WPB-S B16.9 (NACE) RP 5561V 999 6300 003 SHRINKABLE SLEEVE</v>
          </cell>
          <cell r="M53">
            <v>3</v>
          </cell>
        </row>
        <row r="54">
          <cell r="C54" t="str">
            <v>501</v>
          </cell>
          <cell r="D54" t="str">
            <v>T</v>
          </cell>
          <cell r="E54">
            <v>6311</v>
          </cell>
          <cell r="F54" t="str">
            <v>N3300204000600</v>
          </cell>
          <cell r="G54" t="str">
            <v>45 ELL</v>
          </cell>
          <cell r="H54" t="str">
            <v>6</v>
          </cell>
          <cell r="I54" t="str">
            <v>--</v>
          </cell>
          <cell r="J54" t="str">
            <v>SCH 40</v>
          </cell>
          <cell r="K54" t="str">
            <v>NONE</v>
          </cell>
          <cell r="L54" t="str">
            <v>BW CS A234-WPB-S B16.9 (NACE) RP 5561V 999 6300 003 SHRINKABLE SLEEVE</v>
          </cell>
          <cell r="M54">
            <v>1</v>
          </cell>
        </row>
        <row r="55">
          <cell r="C55" t="str">
            <v>501</v>
          </cell>
          <cell r="D55" t="str">
            <v>T</v>
          </cell>
          <cell r="E55">
            <v>6311</v>
          </cell>
          <cell r="F55" t="str">
            <v>N3300208000300</v>
          </cell>
          <cell r="G55" t="str">
            <v>45 ELL</v>
          </cell>
          <cell r="H55" t="str">
            <v>3</v>
          </cell>
          <cell r="I55" t="str">
            <v>--</v>
          </cell>
          <cell r="J55" t="str">
            <v>SCH 80</v>
          </cell>
          <cell r="K55" t="str">
            <v>NONE</v>
          </cell>
          <cell r="L55" t="str">
            <v>BW CS A234-WPB-S B16.9 (NACE) RP 5561V 999 6300 003 SHRINKABLE SLEEVE</v>
          </cell>
          <cell r="M55">
            <v>1</v>
          </cell>
        </row>
        <row r="56">
          <cell r="C56" t="str">
            <v>501</v>
          </cell>
          <cell r="D56" t="str">
            <v>T</v>
          </cell>
          <cell r="E56">
            <v>6311</v>
          </cell>
          <cell r="F56" t="str">
            <v>N3300208000400</v>
          </cell>
          <cell r="G56" t="str">
            <v>45 ELL</v>
          </cell>
          <cell r="H56" t="str">
            <v>4</v>
          </cell>
          <cell r="I56" t="str">
            <v>--</v>
          </cell>
          <cell r="J56" t="str">
            <v>SCH 80</v>
          </cell>
          <cell r="K56" t="str">
            <v>NONE</v>
          </cell>
          <cell r="L56" t="str">
            <v>BW CS A234-WPB-S B16.9 (NACE) RP 5561V 999 6300 003 SHRINKABLE SLEEVE</v>
          </cell>
          <cell r="M56">
            <v>2</v>
          </cell>
        </row>
        <row r="57">
          <cell r="C57" t="str">
            <v>501</v>
          </cell>
          <cell r="D57" t="str">
            <v>T</v>
          </cell>
          <cell r="E57">
            <v>6311</v>
          </cell>
          <cell r="F57" t="str">
            <v>N4300204000300</v>
          </cell>
          <cell r="G57" t="str">
            <v>45 ELL</v>
          </cell>
          <cell r="H57" t="str">
            <v>3</v>
          </cell>
          <cell r="I57" t="str">
            <v>--</v>
          </cell>
          <cell r="J57" t="str">
            <v>SCH 40</v>
          </cell>
          <cell r="K57" t="str">
            <v>NONE</v>
          </cell>
          <cell r="L57" t="str">
            <v>BW CS A234-WPB-S B16.9 (NACE) RP 5561V 999 6300 003 SUNLIGHT L-200</v>
          </cell>
          <cell r="M57">
            <v>1</v>
          </cell>
        </row>
        <row r="58">
          <cell r="C58" t="str">
            <v>501</v>
          </cell>
          <cell r="D58" t="str">
            <v>T</v>
          </cell>
          <cell r="E58">
            <v>6311</v>
          </cell>
          <cell r="F58" t="str">
            <v>N4300204000600</v>
          </cell>
          <cell r="G58" t="str">
            <v>45 ELL</v>
          </cell>
          <cell r="H58" t="str">
            <v>6</v>
          </cell>
          <cell r="I58" t="str">
            <v>--</v>
          </cell>
          <cell r="J58" t="str">
            <v>SCH 40</v>
          </cell>
          <cell r="K58" t="str">
            <v>NONE</v>
          </cell>
          <cell r="L58" t="str">
            <v>BW CS A234-WPB-S B16.9 (NACE) RP 5561V 999 6300 003 SUNLIGHT L-200</v>
          </cell>
          <cell r="M58">
            <v>2</v>
          </cell>
        </row>
        <row r="59">
          <cell r="C59" t="str">
            <v>501</v>
          </cell>
          <cell r="D59" t="str">
            <v>T</v>
          </cell>
          <cell r="E59">
            <v>6311</v>
          </cell>
          <cell r="F59" t="str">
            <v>S330020J000300</v>
          </cell>
          <cell r="G59" t="str">
            <v>45 ELL</v>
          </cell>
          <cell r="H59" t="str">
            <v>3</v>
          </cell>
          <cell r="I59" t="str">
            <v>--</v>
          </cell>
          <cell r="J59" t="str">
            <v>SCH 160</v>
          </cell>
          <cell r="K59" t="str">
            <v>NONE</v>
          </cell>
          <cell r="L59" t="str">
            <v>BW CS A234-WPB-S B16.9 (NACE) RP 5561V 999 6300 002 SHRINKABLE SLEEVE</v>
          </cell>
          <cell r="M59">
            <v>1</v>
          </cell>
        </row>
        <row r="60">
          <cell r="C60" t="str">
            <v>501</v>
          </cell>
          <cell r="D60" t="str">
            <v>T</v>
          </cell>
          <cell r="E60">
            <v>6313</v>
          </cell>
          <cell r="F60" t="str">
            <v>T330020B000300</v>
          </cell>
          <cell r="G60" t="str">
            <v>45 ELL</v>
          </cell>
          <cell r="H60" t="str">
            <v>3</v>
          </cell>
          <cell r="I60" t="str">
            <v>--</v>
          </cell>
          <cell r="J60" t="str">
            <v>SCH 10S</v>
          </cell>
          <cell r="K60" t="str">
            <v>NONE</v>
          </cell>
          <cell r="L60" t="str">
            <v>BW SS A403-WP321-S B16.9 SHRINKABLE SLEEVE</v>
          </cell>
          <cell r="M60">
            <v>6</v>
          </cell>
        </row>
        <row r="61">
          <cell r="C61" t="str">
            <v>501</v>
          </cell>
          <cell r="D61" t="str">
            <v>T</v>
          </cell>
          <cell r="E61">
            <v>6313</v>
          </cell>
          <cell r="F61" t="str">
            <v>T330020B000600</v>
          </cell>
          <cell r="G61" t="str">
            <v>45 ELL</v>
          </cell>
          <cell r="H61" t="str">
            <v>6</v>
          </cell>
          <cell r="I61" t="str">
            <v>--</v>
          </cell>
          <cell r="J61" t="str">
            <v>SCH 10S</v>
          </cell>
          <cell r="K61" t="str">
            <v>NONE</v>
          </cell>
          <cell r="L61" t="str">
            <v>BW SS A403-WP321-S B16.9 SHRINKABLE SLEEVE</v>
          </cell>
          <cell r="M61">
            <v>1</v>
          </cell>
        </row>
        <row r="62">
          <cell r="C62" t="str">
            <v>501</v>
          </cell>
          <cell r="D62" t="str">
            <v>T</v>
          </cell>
          <cell r="E62">
            <v>6313</v>
          </cell>
          <cell r="F62" t="str">
            <v>T330020C000300</v>
          </cell>
          <cell r="G62" t="str">
            <v>45 ELL</v>
          </cell>
          <cell r="H62" t="str">
            <v>3</v>
          </cell>
          <cell r="I62" t="str">
            <v>--</v>
          </cell>
          <cell r="J62" t="str">
            <v>SCH 40S</v>
          </cell>
          <cell r="K62" t="str">
            <v>NONE</v>
          </cell>
          <cell r="L62" t="str">
            <v>BW SS A403-WP321-S B16.9 SHRINKABLE SLEEVE</v>
          </cell>
          <cell r="M62">
            <v>1</v>
          </cell>
        </row>
        <row r="63">
          <cell r="C63" t="str">
            <v>501</v>
          </cell>
          <cell r="D63" t="str">
            <v>T</v>
          </cell>
          <cell r="E63">
            <v>6313</v>
          </cell>
          <cell r="F63" t="str">
            <v>T330020C000400</v>
          </cell>
          <cell r="G63" t="str">
            <v>45 ELL</v>
          </cell>
          <cell r="H63" t="str">
            <v>4</v>
          </cell>
          <cell r="I63" t="str">
            <v>--</v>
          </cell>
          <cell r="J63" t="str">
            <v>SCH 40S</v>
          </cell>
          <cell r="K63" t="str">
            <v>NONE</v>
          </cell>
          <cell r="L63" t="str">
            <v>BW SS A403-WP321-S B16.9 SHRINKABLE SLEEVE</v>
          </cell>
          <cell r="M63">
            <v>2</v>
          </cell>
        </row>
        <row r="64">
          <cell r="C64" t="str">
            <v>501</v>
          </cell>
          <cell r="D64" t="str">
            <v>T</v>
          </cell>
          <cell r="E64">
            <v>6313</v>
          </cell>
          <cell r="F64" t="str">
            <v>T330020C000600</v>
          </cell>
          <cell r="G64" t="str">
            <v>45 ELL</v>
          </cell>
          <cell r="H64" t="str">
            <v>6</v>
          </cell>
          <cell r="I64" t="str">
            <v>--</v>
          </cell>
          <cell r="J64" t="str">
            <v>SCH 40S</v>
          </cell>
          <cell r="K64" t="str">
            <v>NONE</v>
          </cell>
          <cell r="L64" t="str">
            <v>BW SS A403-WP321-S B16.9 SHRINKABLE SLEEVE</v>
          </cell>
          <cell r="M64">
            <v>3</v>
          </cell>
        </row>
        <row r="65">
          <cell r="C65" t="str">
            <v>501</v>
          </cell>
          <cell r="D65" t="str">
            <v>T</v>
          </cell>
          <cell r="E65">
            <v>6313</v>
          </cell>
          <cell r="F65" t="str">
            <v>T430020B000600</v>
          </cell>
          <cell r="G65" t="str">
            <v>45 ELL</v>
          </cell>
          <cell r="H65" t="str">
            <v>6</v>
          </cell>
          <cell r="I65" t="str">
            <v>--</v>
          </cell>
          <cell r="J65" t="str">
            <v>SCH 10S</v>
          </cell>
          <cell r="K65" t="str">
            <v>NONE</v>
          </cell>
          <cell r="L65" t="str">
            <v>BW SS A403-WP321-S B16.9 SUNLIGHT L-200</v>
          </cell>
          <cell r="M65">
            <v>1</v>
          </cell>
        </row>
        <row r="66">
          <cell r="C66" t="str">
            <v>501</v>
          </cell>
          <cell r="D66" t="str">
            <v>T</v>
          </cell>
          <cell r="E66">
            <v>6313</v>
          </cell>
          <cell r="F66" t="str">
            <v>T430020C000600</v>
          </cell>
          <cell r="G66" t="str">
            <v>45 ELL</v>
          </cell>
          <cell r="H66" t="str">
            <v>6</v>
          </cell>
          <cell r="I66" t="str">
            <v>--</v>
          </cell>
          <cell r="J66" t="str">
            <v>SCH 40S</v>
          </cell>
          <cell r="K66" t="str">
            <v>NONE</v>
          </cell>
          <cell r="L66" t="str">
            <v>BW SS A403-WP321-S B16.9 SUNLIGHT L-200</v>
          </cell>
          <cell r="M66">
            <v>1</v>
          </cell>
        </row>
        <row r="67">
          <cell r="C67" t="str">
            <v>501</v>
          </cell>
          <cell r="D67" t="str">
            <v>T</v>
          </cell>
          <cell r="E67">
            <v>6311</v>
          </cell>
          <cell r="F67" t="str">
            <v>B3300104000300</v>
          </cell>
          <cell r="G67" t="str">
            <v>90 ELL</v>
          </cell>
          <cell r="H67" t="str">
            <v>3</v>
          </cell>
          <cell r="I67" t="str">
            <v>--</v>
          </cell>
          <cell r="J67" t="str">
            <v>SCH 40</v>
          </cell>
          <cell r="K67" t="str">
            <v>NONE</v>
          </cell>
          <cell r="L67" t="str">
            <v>BW CS A234-WPB-S B16.9 SHRINKABLE SLEEVE</v>
          </cell>
          <cell r="M67">
            <v>6</v>
          </cell>
        </row>
        <row r="68">
          <cell r="C68" t="str">
            <v>501</v>
          </cell>
          <cell r="D68" t="str">
            <v>T</v>
          </cell>
          <cell r="E68">
            <v>6311</v>
          </cell>
          <cell r="F68" t="str">
            <v>B3300104000400</v>
          </cell>
          <cell r="G68" t="str">
            <v>90 ELL</v>
          </cell>
          <cell r="H68" t="str">
            <v>4</v>
          </cell>
          <cell r="I68" t="str">
            <v>--</v>
          </cell>
          <cell r="J68" t="str">
            <v>SCH 40</v>
          </cell>
          <cell r="K68" t="str">
            <v>NONE</v>
          </cell>
          <cell r="L68" t="str">
            <v>BW CS A234-WPB-S B16.9 SHRINKABLE SLEEVE</v>
          </cell>
          <cell r="M68">
            <v>66</v>
          </cell>
        </row>
        <row r="69">
          <cell r="C69" t="str">
            <v>501</v>
          </cell>
          <cell r="D69" t="str">
            <v>T</v>
          </cell>
          <cell r="E69">
            <v>6311</v>
          </cell>
          <cell r="F69" t="str">
            <v>B3300108000300</v>
          </cell>
          <cell r="G69" t="str">
            <v>90 ELL</v>
          </cell>
          <cell r="H69" t="str">
            <v>3</v>
          </cell>
          <cell r="I69" t="str">
            <v>--</v>
          </cell>
          <cell r="J69" t="str">
            <v>SCH 80</v>
          </cell>
          <cell r="K69" t="str">
            <v>NONE</v>
          </cell>
          <cell r="L69" t="str">
            <v>BW CS A234-WPB-S B16.9 SHRINKABLE SLEEVE</v>
          </cell>
          <cell r="M69">
            <v>31</v>
          </cell>
        </row>
        <row r="70">
          <cell r="C70" t="str">
            <v>501</v>
          </cell>
          <cell r="D70" t="str">
            <v>T</v>
          </cell>
          <cell r="E70">
            <v>6311</v>
          </cell>
          <cell r="F70" t="str">
            <v>B3300108000400</v>
          </cell>
          <cell r="G70" t="str">
            <v>90 ELL</v>
          </cell>
          <cell r="H70" t="str">
            <v>4</v>
          </cell>
          <cell r="I70" t="str">
            <v>--</v>
          </cell>
          <cell r="J70" t="str">
            <v>SCH 80</v>
          </cell>
          <cell r="K70" t="str">
            <v>NONE</v>
          </cell>
          <cell r="L70" t="str">
            <v>BW CS A234-WPB-S B16.9 SHRINKABLE SLEEVE</v>
          </cell>
          <cell r="M70">
            <v>2</v>
          </cell>
        </row>
        <row r="71">
          <cell r="C71" t="str">
            <v>501</v>
          </cell>
          <cell r="D71" t="str">
            <v>T</v>
          </cell>
          <cell r="E71">
            <v>6311</v>
          </cell>
          <cell r="F71" t="str">
            <v>B4300104000300</v>
          </cell>
          <cell r="G71" t="str">
            <v>90 ELL</v>
          </cell>
          <cell r="H71" t="str">
            <v>3</v>
          </cell>
          <cell r="I71" t="str">
            <v>--</v>
          </cell>
          <cell r="J71" t="str">
            <v>SCH 40</v>
          </cell>
          <cell r="K71" t="str">
            <v>NONE</v>
          </cell>
          <cell r="L71" t="str">
            <v>BW CS A234-WPB-S B16.9 SUNLIGHT L-200</v>
          </cell>
          <cell r="M71">
            <v>17</v>
          </cell>
        </row>
        <row r="72">
          <cell r="C72" t="str">
            <v>501</v>
          </cell>
          <cell r="D72" t="str">
            <v>T</v>
          </cell>
          <cell r="E72">
            <v>6311</v>
          </cell>
          <cell r="F72" t="str">
            <v>B4300104000400</v>
          </cell>
          <cell r="G72" t="str">
            <v>90 ELL</v>
          </cell>
          <cell r="H72" t="str">
            <v>4</v>
          </cell>
          <cell r="I72" t="str">
            <v>--</v>
          </cell>
          <cell r="J72" t="str">
            <v>SCH 40</v>
          </cell>
          <cell r="K72" t="str">
            <v>NONE</v>
          </cell>
          <cell r="L72" t="str">
            <v>BW CS A234-WPB-S B16.9 SUNLIGHT L-200</v>
          </cell>
          <cell r="M72">
            <v>4</v>
          </cell>
        </row>
        <row r="73">
          <cell r="C73" t="str">
            <v>501</v>
          </cell>
          <cell r="D73" t="str">
            <v>T</v>
          </cell>
          <cell r="E73">
            <v>6311</v>
          </cell>
          <cell r="F73" t="str">
            <v>B4300104000600</v>
          </cell>
          <cell r="G73" t="str">
            <v>90 ELL</v>
          </cell>
          <cell r="H73" t="str">
            <v>6</v>
          </cell>
          <cell r="I73" t="str">
            <v>--</v>
          </cell>
          <cell r="J73" t="str">
            <v>SCH 40</v>
          </cell>
          <cell r="K73" t="str">
            <v>NONE</v>
          </cell>
          <cell r="L73" t="str">
            <v>BW CS A234-WPB-S B16.9 SUNLIGHT L-200</v>
          </cell>
          <cell r="M73">
            <v>1</v>
          </cell>
        </row>
        <row r="74">
          <cell r="C74" t="str">
            <v>501</v>
          </cell>
          <cell r="D74" t="str">
            <v>T</v>
          </cell>
          <cell r="E74">
            <v>6311</v>
          </cell>
          <cell r="F74" t="str">
            <v>B4300108000300</v>
          </cell>
          <cell r="G74" t="str">
            <v>90 ELL</v>
          </cell>
          <cell r="H74" t="str">
            <v>3</v>
          </cell>
          <cell r="I74" t="str">
            <v>--</v>
          </cell>
          <cell r="J74" t="str">
            <v>SCH 80</v>
          </cell>
          <cell r="K74" t="str">
            <v>NONE</v>
          </cell>
          <cell r="L74" t="str">
            <v>BW CS A234-WPB-S B16.9 SUNLIGHT L-200</v>
          </cell>
          <cell r="M74">
            <v>15</v>
          </cell>
        </row>
        <row r="75">
          <cell r="C75" t="str">
            <v>501</v>
          </cell>
          <cell r="D75" t="str">
            <v>T</v>
          </cell>
          <cell r="E75">
            <v>6311</v>
          </cell>
          <cell r="F75" t="str">
            <v>B4300108000400</v>
          </cell>
          <cell r="G75" t="str">
            <v>90 ELL</v>
          </cell>
          <cell r="H75" t="str">
            <v>4</v>
          </cell>
          <cell r="I75" t="str">
            <v>--</v>
          </cell>
          <cell r="J75" t="str">
            <v>SCH 80</v>
          </cell>
          <cell r="K75" t="str">
            <v>NONE</v>
          </cell>
          <cell r="L75" t="str">
            <v>BW CS A234-WPB-S B16.9 SUNLIGHT L-200</v>
          </cell>
          <cell r="M75">
            <v>4</v>
          </cell>
        </row>
        <row r="76">
          <cell r="C76" t="str">
            <v>501</v>
          </cell>
          <cell r="D76" t="str">
            <v>T</v>
          </cell>
          <cell r="E76">
            <v>6311</v>
          </cell>
          <cell r="F76" t="str">
            <v>B4300108000600</v>
          </cell>
          <cell r="G76" t="str">
            <v>90 ELL</v>
          </cell>
          <cell r="H76" t="str">
            <v>6</v>
          </cell>
          <cell r="I76" t="str">
            <v>--</v>
          </cell>
          <cell r="J76" t="str">
            <v>SCH 80</v>
          </cell>
          <cell r="K76" t="str">
            <v>NONE</v>
          </cell>
          <cell r="L76" t="str">
            <v>BW CS A234-WPB-S B16.9 SUNLIGHT L-200</v>
          </cell>
          <cell r="M76">
            <v>2</v>
          </cell>
        </row>
        <row r="77">
          <cell r="C77" t="str">
            <v>501</v>
          </cell>
          <cell r="D77" t="str">
            <v>T</v>
          </cell>
          <cell r="E77">
            <v>6311</v>
          </cell>
          <cell r="F77" t="str">
            <v>C3300104000300</v>
          </cell>
          <cell r="G77" t="str">
            <v>90 ELL</v>
          </cell>
          <cell r="H77" t="str">
            <v>3</v>
          </cell>
          <cell r="I77" t="str">
            <v>--</v>
          </cell>
          <cell r="J77" t="str">
            <v>SCH 40</v>
          </cell>
          <cell r="K77" t="str">
            <v>NONE</v>
          </cell>
          <cell r="L77" t="str">
            <v>BW ITCS A420-WPL6-S B16.9 SHRINKABLE SLEEVE</v>
          </cell>
          <cell r="M77">
            <v>24</v>
          </cell>
        </row>
        <row r="78">
          <cell r="C78" t="str">
            <v>501</v>
          </cell>
          <cell r="D78" t="str">
            <v>T</v>
          </cell>
          <cell r="E78">
            <v>6311</v>
          </cell>
          <cell r="F78" t="str">
            <v>C3300104000600</v>
          </cell>
          <cell r="G78" t="str">
            <v>90 ELL</v>
          </cell>
          <cell r="H78" t="str">
            <v>6</v>
          </cell>
          <cell r="I78" t="str">
            <v>--</v>
          </cell>
          <cell r="J78" t="str">
            <v>SCH 40</v>
          </cell>
          <cell r="K78" t="str">
            <v>NONE</v>
          </cell>
          <cell r="L78" t="str">
            <v>BW ITCS A420-WPL6-S B16.9 SHRINKABLE SLEEVE</v>
          </cell>
          <cell r="M78">
            <v>2</v>
          </cell>
        </row>
        <row r="79">
          <cell r="C79" t="str">
            <v>501</v>
          </cell>
          <cell r="D79" t="str">
            <v>T</v>
          </cell>
          <cell r="E79">
            <v>6311</v>
          </cell>
          <cell r="F79" t="str">
            <v>G3520100000200</v>
          </cell>
          <cell r="G79" t="str">
            <v>90 ELL</v>
          </cell>
          <cell r="H79" t="str">
            <v>2</v>
          </cell>
          <cell r="I79" t="str">
            <v>--</v>
          </cell>
          <cell r="J79" t="str">
            <v>NONE</v>
          </cell>
          <cell r="K79" t="str">
            <v>NONE</v>
          </cell>
          <cell r="L79" t="str">
            <v>3000# THRD CS A105 GALV. B16.11 SHRINKABLE SLEEVE</v>
          </cell>
          <cell r="M79">
            <v>11</v>
          </cell>
        </row>
        <row r="80">
          <cell r="C80" t="str">
            <v>501</v>
          </cell>
          <cell r="D80" t="str">
            <v>T</v>
          </cell>
          <cell r="E80">
            <v>6311</v>
          </cell>
          <cell r="F80" t="str">
            <v>N3300104000300</v>
          </cell>
          <cell r="G80" t="str">
            <v>90 ELL</v>
          </cell>
          <cell r="H80" t="str">
            <v>3</v>
          </cell>
          <cell r="I80" t="str">
            <v>--</v>
          </cell>
          <cell r="J80" t="str">
            <v>SCH 40</v>
          </cell>
          <cell r="K80" t="str">
            <v>NONE</v>
          </cell>
          <cell r="L80" t="str">
            <v>BW CS A234-WPB-S B16.9 (NACE) RP 5561V 999 6300 003 SHRINKABLE SLEEVE</v>
          </cell>
          <cell r="M80">
            <v>52</v>
          </cell>
        </row>
        <row r="81">
          <cell r="C81" t="str">
            <v>501</v>
          </cell>
          <cell r="D81" t="str">
            <v>T</v>
          </cell>
          <cell r="E81">
            <v>6311</v>
          </cell>
          <cell r="F81" t="str">
            <v>N3300104000400</v>
          </cell>
          <cell r="G81" t="str">
            <v>90 ELL</v>
          </cell>
          <cell r="H81" t="str">
            <v>4</v>
          </cell>
          <cell r="I81" t="str">
            <v>--</v>
          </cell>
          <cell r="J81" t="str">
            <v>SCH 40</v>
          </cell>
          <cell r="K81" t="str">
            <v>NONE</v>
          </cell>
          <cell r="L81" t="str">
            <v>BW CS A234-WPB-S B16.9 (NACE) RP 5561V 999 6300 003 SHRINKABLE SLEEVE</v>
          </cell>
          <cell r="M81">
            <v>5</v>
          </cell>
        </row>
        <row r="82">
          <cell r="C82" t="str">
            <v>501</v>
          </cell>
          <cell r="D82" t="str">
            <v>T</v>
          </cell>
          <cell r="E82">
            <v>6311</v>
          </cell>
          <cell r="F82" t="str">
            <v>N3300104000600</v>
          </cell>
          <cell r="G82" t="str">
            <v>90 ELL</v>
          </cell>
          <cell r="H82" t="str">
            <v>6</v>
          </cell>
          <cell r="I82" t="str">
            <v>--</v>
          </cell>
          <cell r="J82" t="str">
            <v>SCH 40</v>
          </cell>
          <cell r="K82" t="str">
            <v>NONE</v>
          </cell>
          <cell r="L82" t="str">
            <v>BW CS A234-WPB-S B16.9 (NACE) RP 5561V 999 6300 003 SHRINKABLE SLEEVE</v>
          </cell>
          <cell r="M82">
            <v>2</v>
          </cell>
        </row>
        <row r="83">
          <cell r="C83" t="str">
            <v>501</v>
          </cell>
          <cell r="D83" t="str">
            <v>T</v>
          </cell>
          <cell r="E83">
            <v>6311</v>
          </cell>
          <cell r="F83" t="str">
            <v>N3300108000300</v>
          </cell>
          <cell r="G83" t="str">
            <v>90 ELL</v>
          </cell>
          <cell r="H83" t="str">
            <v>3</v>
          </cell>
          <cell r="I83" t="str">
            <v>--</v>
          </cell>
          <cell r="J83" t="str">
            <v>SCH 80</v>
          </cell>
          <cell r="K83" t="str">
            <v>NONE</v>
          </cell>
          <cell r="L83" t="str">
            <v>BW CS A234-WPB-S B16.9 (NACE) RP 5561V 999 6300 003 SHRINKABLE SLEEVE</v>
          </cell>
          <cell r="M83">
            <v>3</v>
          </cell>
        </row>
        <row r="84">
          <cell r="C84" t="str">
            <v>501</v>
          </cell>
          <cell r="D84" t="str">
            <v>T</v>
          </cell>
          <cell r="E84">
            <v>6311</v>
          </cell>
          <cell r="F84" t="str">
            <v>N3300108000400</v>
          </cell>
          <cell r="G84" t="str">
            <v>90 ELL</v>
          </cell>
          <cell r="H84" t="str">
            <v>4</v>
          </cell>
          <cell r="I84" t="str">
            <v>--</v>
          </cell>
          <cell r="J84" t="str">
            <v>SCH 80</v>
          </cell>
          <cell r="K84" t="str">
            <v>NONE</v>
          </cell>
          <cell r="L84" t="str">
            <v>BW CS A234-WPB-S B16.9 (NACE) RP 5561V 999 6300 003 SHRINKABLE SLEEVE</v>
          </cell>
          <cell r="M84">
            <v>2</v>
          </cell>
        </row>
        <row r="85">
          <cell r="C85" t="str">
            <v>501</v>
          </cell>
          <cell r="D85" t="str">
            <v>T</v>
          </cell>
          <cell r="E85">
            <v>6311</v>
          </cell>
          <cell r="F85" t="str">
            <v>N3300108000600</v>
          </cell>
          <cell r="G85" t="str">
            <v>90 ELL</v>
          </cell>
          <cell r="H85" t="str">
            <v>6</v>
          </cell>
          <cell r="I85" t="str">
            <v>--</v>
          </cell>
          <cell r="J85" t="str">
            <v>SCH 80</v>
          </cell>
          <cell r="K85" t="str">
            <v>NONE</v>
          </cell>
          <cell r="L85" t="str">
            <v>BW CS A234-WPB-S B16.9 (NACE) RP 5561V 999 6300 003 SHRINKABLE SLEEVE</v>
          </cell>
          <cell r="M85">
            <v>5</v>
          </cell>
        </row>
        <row r="86">
          <cell r="C86" t="str">
            <v>501</v>
          </cell>
          <cell r="D86" t="str">
            <v>T</v>
          </cell>
          <cell r="E86">
            <v>6311</v>
          </cell>
          <cell r="F86" t="str">
            <v>N4300104000300</v>
          </cell>
          <cell r="G86" t="str">
            <v>90 ELL</v>
          </cell>
          <cell r="H86" t="str">
            <v>3</v>
          </cell>
          <cell r="I86" t="str">
            <v>--</v>
          </cell>
          <cell r="J86" t="str">
            <v>SCH 40</v>
          </cell>
          <cell r="K86" t="str">
            <v>NONE</v>
          </cell>
          <cell r="L86" t="str">
            <v>BW CS A234-WPB-S B16.9 (NACE) RP 5561V 999 6300 003 SUNLIGHT L-200</v>
          </cell>
          <cell r="M86">
            <v>2</v>
          </cell>
        </row>
        <row r="87">
          <cell r="C87" t="str">
            <v>501</v>
          </cell>
          <cell r="D87" t="str">
            <v>T</v>
          </cell>
          <cell r="E87">
            <v>6311</v>
          </cell>
          <cell r="F87" t="str">
            <v>N4300104000400</v>
          </cell>
          <cell r="G87" t="str">
            <v>90 ELL</v>
          </cell>
          <cell r="H87" t="str">
            <v>4</v>
          </cell>
          <cell r="I87" t="str">
            <v>--</v>
          </cell>
          <cell r="J87" t="str">
            <v>SCH 40</v>
          </cell>
          <cell r="K87" t="str">
            <v>NONE</v>
          </cell>
          <cell r="L87" t="str">
            <v>BW CS A234-WPB-S B16.9 (NACE) RP 5561V 999 6300 003 SUNLIGHT L-200</v>
          </cell>
          <cell r="M87">
            <v>1</v>
          </cell>
        </row>
        <row r="88">
          <cell r="C88" t="str">
            <v>501</v>
          </cell>
          <cell r="D88" t="str">
            <v>T</v>
          </cell>
          <cell r="E88">
            <v>6311</v>
          </cell>
          <cell r="F88" t="str">
            <v>N4300104000600</v>
          </cell>
          <cell r="G88" t="str">
            <v>90 ELL</v>
          </cell>
          <cell r="H88" t="str">
            <v>6</v>
          </cell>
          <cell r="I88" t="str">
            <v>--</v>
          </cell>
          <cell r="J88" t="str">
            <v>SCH 40</v>
          </cell>
          <cell r="K88" t="str">
            <v>NONE</v>
          </cell>
          <cell r="L88" t="str">
            <v>BW CS A234-WPB-S B16.9 (NACE) RP 5561V 999 6300 003 SUNLIGHT L-200</v>
          </cell>
          <cell r="M88">
            <v>7</v>
          </cell>
        </row>
        <row r="89">
          <cell r="C89" t="str">
            <v>501</v>
          </cell>
          <cell r="D89" t="str">
            <v>T</v>
          </cell>
          <cell r="E89">
            <v>6311</v>
          </cell>
          <cell r="F89" t="str">
            <v>S330010J000300</v>
          </cell>
          <cell r="G89" t="str">
            <v>90 ELL</v>
          </cell>
          <cell r="H89" t="str">
            <v>3</v>
          </cell>
          <cell r="I89" t="str">
            <v>--</v>
          </cell>
          <cell r="J89" t="str">
            <v>SCH 160</v>
          </cell>
          <cell r="K89" t="str">
            <v>NONE</v>
          </cell>
          <cell r="L89" t="str">
            <v>BW CS A234-WPB-S B16.9 (NACE) RP 5561V 999 6300 002 SHRINKABLE SLEEVE</v>
          </cell>
          <cell r="M89">
            <v>7</v>
          </cell>
        </row>
        <row r="90">
          <cell r="C90" t="str">
            <v>501</v>
          </cell>
          <cell r="D90" t="str">
            <v>T</v>
          </cell>
          <cell r="E90">
            <v>6313</v>
          </cell>
          <cell r="F90" t="str">
            <v>T330010B000300</v>
          </cell>
          <cell r="G90" t="str">
            <v>90 ELL</v>
          </cell>
          <cell r="H90" t="str">
            <v>3</v>
          </cell>
          <cell r="I90" t="str">
            <v>--</v>
          </cell>
          <cell r="J90" t="str">
            <v>SCH 10S</v>
          </cell>
          <cell r="K90" t="str">
            <v>NONE</v>
          </cell>
          <cell r="L90" t="str">
            <v>BW SS A403-WP321-S B16.9 SHRINKABLE SLEEVE</v>
          </cell>
          <cell r="M90">
            <v>9</v>
          </cell>
        </row>
        <row r="91">
          <cell r="C91" t="str">
            <v>501</v>
          </cell>
          <cell r="D91" t="str">
            <v>T</v>
          </cell>
          <cell r="E91">
            <v>6313</v>
          </cell>
          <cell r="F91" t="str">
            <v>T330010C000300</v>
          </cell>
          <cell r="G91" t="str">
            <v>90 ELL</v>
          </cell>
          <cell r="H91" t="str">
            <v>3</v>
          </cell>
          <cell r="I91" t="str">
            <v>--</v>
          </cell>
          <cell r="J91" t="str">
            <v>SCH 40S</v>
          </cell>
          <cell r="K91" t="str">
            <v>NONE</v>
          </cell>
          <cell r="L91" t="str">
            <v>BW SS A403-WP321-S B16.9 SHRINKABLE SLEEVE</v>
          </cell>
          <cell r="M91">
            <v>11</v>
          </cell>
        </row>
        <row r="92">
          <cell r="C92" t="str">
            <v>501</v>
          </cell>
          <cell r="D92" t="str">
            <v>T</v>
          </cell>
          <cell r="E92">
            <v>6313</v>
          </cell>
          <cell r="F92" t="str">
            <v>T330010C000400</v>
          </cell>
          <cell r="G92" t="str">
            <v>90 ELL</v>
          </cell>
          <cell r="H92" t="str">
            <v>4</v>
          </cell>
          <cell r="I92" t="str">
            <v>--</v>
          </cell>
          <cell r="J92" t="str">
            <v>SCH 40S</v>
          </cell>
          <cell r="K92" t="str">
            <v>NONE</v>
          </cell>
          <cell r="L92" t="str">
            <v>BW SS A403-WP321-S B16.9 SHRINKABLE SLEEVE</v>
          </cell>
          <cell r="M92">
            <v>1</v>
          </cell>
        </row>
        <row r="93">
          <cell r="C93" t="str">
            <v>501</v>
          </cell>
          <cell r="D93" t="str">
            <v>T</v>
          </cell>
          <cell r="E93">
            <v>6313</v>
          </cell>
          <cell r="F93" t="str">
            <v>T330010C000600</v>
          </cell>
          <cell r="G93" t="str">
            <v>90 ELL</v>
          </cell>
          <cell r="H93" t="str">
            <v>6</v>
          </cell>
          <cell r="I93" t="str">
            <v>--</v>
          </cell>
          <cell r="J93" t="str">
            <v>SCH 40S</v>
          </cell>
          <cell r="K93" t="str">
            <v>NONE</v>
          </cell>
          <cell r="L93" t="str">
            <v>BW SS A403-WP321-S B16.9 SHRINKABLE SLEEVE</v>
          </cell>
          <cell r="M93">
            <v>1</v>
          </cell>
        </row>
        <row r="94">
          <cell r="C94" t="str">
            <v>501</v>
          </cell>
          <cell r="D94" t="str">
            <v>T</v>
          </cell>
          <cell r="E94">
            <v>6311</v>
          </cell>
          <cell r="F94" t="str">
            <v>B3300504040604</v>
          </cell>
          <cell r="G94" t="str">
            <v>C RED</v>
          </cell>
          <cell r="H94" t="str">
            <v>6</v>
          </cell>
          <cell r="I94" t="str">
            <v>4</v>
          </cell>
          <cell r="J94" t="str">
            <v>SCH 40</v>
          </cell>
          <cell r="K94" t="str">
            <v>SCH 40</v>
          </cell>
          <cell r="L94" t="str">
            <v>BW CS A234-WPB-S B16.9 SHRINKABLE SLEEVE</v>
          </cell>
          <cell r="M94">
            <v>1</v>
          </cell>
        </row>
        <row r="95">
          <cell r="C95" t="str">
            <v>501</v>
          </cell>
          <cell r="D95" t="str">
            <v>T</v>
          </cell>
          <cell r="E95">
            <v>6311</v>
          </cell>
          <cell r="F95" t="str">
            <v>B4300504040403</v>
          </cell>
          <cell r="G95" t="str">
            <v>C RED</v>
          </cell>
          <cell r="H95" t="str">
            <v>4</v>
          </cell>
          <cell r="I95" t="str">
            <v>3</v>
          </cell>
          <cell r="J95" t="str">
            <v>SCH 40</v>
          </cell>
          <cell r="K95" t="str">
            <v>SCH 40</v>
          </cell>
          <cell r="L95" t="str">
            <v>BW CS A234-WPB-S B16.9 SUNLIGHT L-200</v>
          </cell>
          <cell r="M95">
            <v>1</v>
          </cell>
        </row>
        <row r="96">
          <cell r="C96" t="str">
            <v>501</v>
          </cell>
          <cell r="D96" t="str">
            <v>T</v>
          </cell>
          <cell r="E96">
            <v>6311</v>
          </cell>
          <cell r="F96" t="str">
            <v>B4300508080604</v>
          </cell>
          <cell r="G96" t="str">
            <v>C RED</v>
          </cell>
          <cell r="H96" t="str">
            <v>6</v>
          </cell>
          <cell r="I96" t="str">
            <v>4</v>
          </cell>
          <cell r="J96" t="str">
            <v>SCH 80</v>
          </cell>
          <cell r="K96" t="str">
            <v>SCH 80</v>
          </cell>
          <cell r="L96" t="str">
            <v>BW CS A234-WPB-S B16.9 SUNLIGHT L-200</v>
          </cell>
          <cell r="M96">
            <v>1</v>
          </cell>
        </row>
        <row r="97">
          <cell r="C97" t="str">
            <v>501</v>
          </cell>
          <cell r="D97" t="str">
            <v>T</v>
          </cell>
          <cell r="E97">
            <v>6311</v>
          </cell>
          <cell r="F97" t="str">
            <v>N3300508080403</v>
          </cell>
          <cell r="G97" t="str">
            <v>C RED</v>
          </cell>
          <cell r="H97" t="str">
            <v>4</v>
          </cell>
          <cell r="I97" t="str">
            <v>3</v>
          </cell>
          <cell r="J97" t="str">
            <v>SCH 80</v>
          </cell>
          <cell r="K97" t="str">
            <v>SCH 80</v>
          </cell>
          <cell r="L97" t="str">
            <v>BW CS A234-WPB-S B16.9 (NACE) RP 5561V 999 6300 003 SHRINKABLE SLEEVE</v>
          </cell>
          <cell r="M97">
            <v>1</v>
          </cell>
        </row>
        <row r="98">
          <cell r="C98" t="str">
            <v>501</v>
          </cell>
          <cell r="D98" t="str">
            <v>T</v>
          </cell>
          <cell r="E98">
            <v>6311</v>
          </cell>
          <cell r="F98" t="str">
            <v>G3520500000200</v>
          </cell>
          <cell r="G98" t="str">
            <v>CPLG</v>
          </cell>
          <cell r="H98" t="str">
            <v>2</v>
          </cell>
          <cell r="I98" t="str">
            <v>--</v>
          </cell>
          <cell r="J98" t="str">
            <v>NONE</v>
          </cell>
          <cell r="K98" t="str">
            <v>NONE</v>
          </cell>
          <cell r="L98" t="str">
            <v>3000# THRD CS A105 GALV. B16.11 SHRINKABLE SLEEVE</v>
          </cell>
          <cell r="M98">
            <v>24</v>
          </cell>
        </row>
        <row r="99">
          <cell r="C99" t="str">
            <v>501</v>
          </cell>
          <cell r="D99" t="str">
            <v>T</v>
          </cell>
          <cell r="E99">
            <v>6311</v>
          </cell>
          <cell r="F99" t="str">
            <v>B2380300000403</v>
          </cell>
          <cell r="G99" t="str">
            <v>REINF PAD</v>
          </cell>
          <cell r="H99" t="str">
            <v>4</v>
          </cell>
          <cell r="I99" t="str">
            <v>3</v>
          </cell>
          <cell r="J99" t="str">
            <v>NONE</v>
          </cell>
          <cell r="K99" t="str">
            <v>NONE</v>
          </cell>
          <cell r="L99" t="str">
            <v>CS SMLS API 5L-B</v>
          </cell>
          <cell r="M99">
            <v>5</v>
          </cell>
        </row>
        <row r="100">
          <cell r="C100" t="str">
            <v>501</v>
          </cell>
          <cell r="D100" t="str">
            <v>T</v>
          </cell>
          <cell r="E100">
            <v>6311</v>
          </cell>
          <cell r="F100" t="str">
            <v>B2380300000603</v>
          </cell>
          <cell r="G100" t="str">
            <v>REINF PAD</v>
          </cell>
          <cell r="H100" t="str">
            <v>6</v>
          </cell>
          <cell r="I100" t="str">
            <v>3</v>
          </cell>
          <cell r="J100" t="str">
            <v>NONE</v>
          </cell>
          <cell r="K100" t="str">
            <v>NONE</v>
          </cell>
          <cell r="L100" t="str">
            <v>CS SMLS API 5L-B</v>
          </cell>
          <cell r="M100">
            <v>8</v>
          </cell>
        </row>
        <row r="101">
          <cell r="C101" t="str">
            <v>501</v>
          </cell>
          <cell r="D101" t="str">
            <v>T</v>
          </cell>
          <cell r="E101">
            <v>6311</v>
          </cell>
          <cell r="F101" t="str">
            <v>B4380300000403</v>
          </cell>
          <cell r="G101" t="str">
            <v>REINF PAD</v>
          </cell>
          <cell r="H101" t="str">
            <v>4</v>
          </cell>
          <cell r="I101" t="str">
            <v>3</v>
          </cell>
          <cell r="J101" t="str">
            <v>NONE</v>
          </cell>
          <cell r="K101" t="str">
            <v>NONE</v>
          </cell>
          <cell r="L101" t="str">
            <v>CS SMLS API 5L-B</v>
          </cell>
          <cell r="M101">
            <v>5</v>
          </cell>
        </row>
        <row r="102">
          <cell r="C102" t="str">
            <v>501</v>
          </cell>
          <cell r="D102" t="str">
            <v>T</v>
          </cell>
          <cell r="E102">
            <v>6311</v>
          </cell>
          <cell r="F102" t="str">
            <v>B4380300000603</v>
          </cell>
          <cell r="G102" t="str">
            <v>REINF PAD</v>
          </cell>
          <cell r="H102" t="str">
            <v>6</v>
          </cell>
          <cell r="I102" t="str">
            <v>3</v>
          </cell>
          <cell r="J102" t="str">
            <v>NONE</v>
          </cell>
          <cell r="K102" t="str">
            <v>NONE</v>
          </cell>
          <cell r="L102" t="str">
            <v>CS SMLS API 5L-B</v>
          </cell>
          <cell r="M102">
            <v>4</v>
          </cell>
        </row>
        <row r="103">
          <cell r="C103" t="str">
            <v>501</v>
          </cell>
          <cell r="D103" t="str">
            <v>T</v>
          </cell>
          <cell r="E103">
            <v>6311</v>
          </cell>
          <cell r="F103" t="str">
            <v>B4380300000604</v>
          </cell>
          <cell r="G103" t="str">
            <v>REINF PAD</v>
          </cell>
          <cell r="H103" t="str">
            <v>6</v>
          </cell>
          <cell r="I103" t="str">
            <v>4</v>
          </cell>
          <cell r="J103" t="str">
            <v>NONE</v>
          </cell>
          <cell r="K103" t="str">
            <v>NONE</v>
          </cell>
          <cell r="L103" t="str">
            <v>CS SMLS API 5L-B</v>
          </cell>
          <cell r="M103">
            <v>3</v>
          </cell>
        </row>
        <row r="104">
          <cell r="C104" t="str">
            <v>501</v>
          </cell>
          <cell r="D104" t="str">
            <v>T</v>
          </cell>
          <cell r="E104">
            <v>6311</v>
          </cell>
          <cell r="F104" t="str">
            <v>N2380300000403</v>
          </cell>
          <cell r="G104" t="str">
            <v>REINF PAD</v>
          </cell>
          <cell r="H104" t="str">
            <v>4</v>
          </cell>
          <cell r="I104" t="str">
            <v>3</v>
          </cell>
          <cell r="J104" t="str">
            <v>NONE</v>
          </cell>
          <cell r="K104" t="str">
            <v>NONE</v>
          </cell>
          <cell r="L104" t="str">
            <v>CS SMLS API 5L-B (NACE) RP 5561V 999 6300 003</v>
          </cell>
          <cell r="M104">
            <v>3</v>
          </cell>
        </row>
        <row r="105">
          <cell r="C105" t="str">
            <v>501</v>
          </cell>
          <cell r="D105" t="str">
            <v>T</v>
          </cell>
          <cell r="E105">
            <v>6311</v>
          </cell>
          <cell r="F105" t="str">
            <v>N2380300000603</v>
          </cell>
          <cell r="G105" t="str">
            <v>REINF PAD</v>
          </cell>
          <cell r="H105" t="str">
            <v>6</v>
          </cell>
          <cell r="I105" t="str">
            <v>3</v>
          </cell>
          <cell r="J105" t="str">
            <v>NONE</v>
          </cell>
          <cell r="K105" t="str">
            <v>NONE</v>
          </cell>
          <cell r="L105" t="str">
            <v>CS SMLS API 5L-B (NACE) RP 5561V 999 6300 003</v>
          </cell>
          <cell r="M105">
            <v>2</v>
          </cell>
        </row>
        <row r="106">
          <cell r="C106" t="str">
            <v>501</v>
          </cell>
          <cell r="D106" t="str">
            <v>T</v>
          </cell>
          <cell r="E106">
            <v>6311</v>
          </cell>
          <cell r="F106" t="str">
            <v>N2380300000604</v>
          </cell>
          <cell r="G106" t="str">
            <v>REINF PAD</v>
          </cell>
          <cell r="H106" t="str">
            <v>6</v>
          </cell>
          <cell r="I106" t="str">
            <v>4</v>
          </cell>
          <cell r="J106" t="str">
            <v>NONE</v>
          </cell>
          <cell r="K106" t="str">
            <v>NONE</v>
          </cell>
          <cell r="L106" t="str">
            <v>CS SMLS API 5L-B (NACE) RP 5561V 999 6300 003</v>
          </cell>
          <cell r="M106">
            <v>4</v>
          </cell>
        </row>
        <row r="107">
          <cell r="C107" t="str">
            <v>501</v>
          </cell>
          <cell r="D107" t="str">
            <v>T</v>
          </cell>
          <cell r="E107">
            <v>6313</v>
          </cell>
          <cell r="F107" t="str">
            <v>T2380300000403</v>
          </cell>
          <cell r="G107" t="str">
            <v>REINF PAD</v>
          </cell>
          <cell r="H107" t="str">
            <v>4</v>
          </cell>
          <cell r="I107" t="str">
            <v>3</v>
          </cell>
          <cell r="J107" t="str">
            <v>NONE</v>
          </cell>
          <cell r="K107" t="str">
            <v>NONE</v>
          </cell>
          <cell r="L107" t="str">
            <v>SS SMLS A312-TP321</v>
          </cell>
          <cell r="M107">
            <v>2</v>
          </cell>
        </row>
        <row r="108">
          <cell r="C108" t="str">
            <v>501</v>
          </cell>
          <cell r="D108" t="str">
            <v>T</v>
          </cell>
          <cell r="E108">
            <v>6313</v>
          </cell>
          <cell r="F108" t="str">
            <v>T2380300000603</v>
          </cell>
          <cell r="G108" t="str">
            <v>REINF PAD</v>
          </cell>
          <cell r="H108" t="str">
            <v>6</v>
          </cell>
          <cell r="I108" t="str">
            <v>3</v>
          </cell>
          <cell r="J108" t="str">
            <v>NONE</v>
          </cell>
          <cell r="K108" t="str">
            <v>NONE</v>
          </cell>
          <cell r="L108" t="str">
            <v>SS SMLS A312-TP321</v>
          </cell>
          <cell r="M108">
            <v>7</v>
          </cell>
        </row>
        <row r="109">
          <cell r="C109" t="str">
            <v>501</v>
          </cell>
          <cell r="D109" t="str">
            <v>T</v>
          </cell>
          <cell r="E109">
            <v>6313</v>
          </cell>
          <cell r="F109" t="str">
            <v>T2380300000604</v>
          </cell>
          <cell r="G109" t="str">
            <v>REINF PAD</v>
          </cell>
          <cell r="H109" t="str">
            <v>6</v>
          </cell>
          <cell r="I109" t="str">
            <v>4</v>
          </cell>
          <cell r="J109" t="str">
            <v>NONE</v>
          </cell>
          <cell r="K109" t="str">
            <v>NONE</v>
          </cell>
          <cell r="L109" t="str">
            <v>SS SMLS A312-TP321</v>
          </cell>
          <cell r="M109">
            <v>2</v>
          </cell>
        </row>
        <row r="110">
          <cell r="C110" t="str">
            <v>501</v>
          </cell>
          <cell r="D110" t="str">
            <v>T</v>
          </cell>
          <cell r="E110">
            <v>6311</v>
          </cell>
          <cell r="F110" t="str">
            <v>B3300304000400</v>
          </cell>
          <cell r="G110" t="str">
            <v>TEE</v>
          </cell>
          <cell r="H110" t="str">
            <v>4</v>
          </cell>
          <cell r="I110" t="str">
            <v>--</v>
          </cell>
          <cell r="J110" t="str">
            <v>SCH 40</v>
          </cell>
          <cell r="K110" t="str">
            <v>NONE</v>
          </cell>
          <cell r="L110" t="str">
            <v>BW CS A234-WPB-S B16.9 SHRINKABLE SLEEVE</v>
          </cell>
          <cell r="M110">
            <v>21</v>
          </cell>
        </row>
        <row r="111">
          <cell r="C111" t="str">
            <v>501</v>
          </cell>
          <cell r="D111" t="str">
            <v>T</v>
          </cell>
          <cell r="E111">
            <v>6311</v>
          </cell>
          <cell r="F111" t="str">
            <v>B3300308000300</v>
          </cell>
          <cell r="G111" t="str">
            <v>TEE</v>
          </cell>
          <cell r="H111" t="str">
            <v>3</v>
          </cell>
          <cell r="I111" t="str">
            <v>--</v>
          </cell>
          <cell r="J111" t="str">
            <v>SCH 80</v>
          </cell>
          <cell r="K111" t="str">
            <v>NONE</v>
          </cell>
          <cell r="L111" t="str">
            <v>BW CS A234-WPB-S B16.9 SHRINKABLE SLEEVE</v>
          </cell>
          <cell r="M111">
            <v>14</v>
          </cell>
        </row>
        <row r="112">
          <cell r="C112" t="str">
            <v>501</v>
          </cell>
          <cell r="D112" t="str">
            <v>T</v>
          </cell>
          <cell r="E112">
            <v>6311</v>
          </cell>
          <cell r="F112" t="str">
            <v>B3300308000400</v>
          </cell>
          <cell r="G112" t="str">
            <v>TEE</v>
          </cell>
          <cell r="H112" t="str">
            <v>4</v>
          </cell>
          <cell r="I112" t="str">
            <v>--</v>
          </cell>
          <cell r="J112" t="str">
            <v>SCH 80</v>
          </cell>
          <cell r="K112" t="str">
            <v>NONE</v>
          </cell>
          <cell r="L112" t="str">
            <v>BW CS A234-WPB-S B16.9 SHRINKABLE SLEEVE</v>
          </cell>
          <cell r="M112">
            <v>1</v>
          </cell>
        </row>
        <row r="113">
          <cell r="C113" t="str">
            <v>501</v>
          </cell>
          <cell r="D113" t="str">
            <v>T</v>
          </cell>
          <cell r="E113">
            <v>6311</v>
          </cell>
          <cell r="F113" t="str">
            <v>B4300304000300</v>
          </cell>
          <cell r="G113" t="str">
            <v>TEE</v>
          </cell>
          <cell r="H113" t="str">
            <v>3</v>
          </cell>
          <cell r="I113" t="str">
            <v>--</v>
          </cell>
          <cell r="J113" t="str">
            <v>SCH 40</v>
          </cell>
          <cell r="K113" t="str">
            <v>NONE</v>
          </cell>
          <cell r="L113" t="str">
            <v>BW CS A234-WPB-S B16.9 SUNLIGHT L-200</v>
          </cell>
          <cell r="M113">
            <v>4</v>
          </cell>
        </row>
        <row r="114">
          <cell r="C114" t="str">
            <v>501</v>
          </cell>
          <cell r="D114" t="str">
            <v>T</v>
          </cell>
          <cell r="E114">
            <v>6311</v>
          </cell>
          <cell r="F114" t="str">
            <v>B4300304000400</v>
          </cell>
          <cell r="G114" t="str">
            <v>TEE</v>
          </cell>
          <cell r="H114" t="str">
            <v>4</v>
          </cell>
          <cell r="I114" t="str">
            <v>--</v>
          </cell>
          <cell r="J114" t="str">
            <v>SCH 40</v>
          </cell>
          <cell r="K114" t="str">
            <v>NONE</v>
          </cell>
          <cell r="L114" t="str">
            <v>BW CS A234-WPB-S B16.9 SUNLIGHT L-200</v>
          </cell>
          <cell r="M114">
            <v>10</v>
          </cell>
        </row>
        <row r="115">
          <cell r="C115" t="str">
            <v>501</v>
          </cell>
          <cell r="D115" t="str">
            <v>T</v>
          </cell>
          <cell r="E115">
            <v>6311</v>
          </cell>
          <cell r="F115" t="str">
            <v>B4300304000600</v>
          </cell>
          <cell r="G115" t="str">
            <v>TEE</v>
          </cell>
          <cell r="H115" t="str">
            <v>6</v>
          </cell>
          <cell r="I115" t="str">
            <v>--</v>
          </cell>
          <cell r="J115" t="str">
            <v>SCH 40</v>
          </cell>
          <cell r="K115" t="str">
            <v>NONE</v>
          </cell>
          <cell r="L115" t="str">
            <v>BW CS A234-WPB-S B16.9 SUNLIGHT L-200</v>
          </cell>
          <cell r="M115">
            <v>1</v>
          </cell>
        </row>
        <row r="116">
          <cell r="C116" t="str">
            <v>501</v>
          </cell>
          <cell r="D116" t="str">
            <v>T</v>
          </cell>
          <cell r="E116">
            <v>6311</v>
          </cell>
          <cell r="F116" t="str">
            <v>B4300308000300</v>
          </cell>
          <cell r="G116" t="str">
            <v>TEE</v>
          </cell>
          <cell r="H116" t="str">
            <v>3</v>
          </cell>
          <cell r="I116" t="str">
            <v>--</v>
          </cell>
          <cell r="J116" t="str">
            <v>SCH 80</v>
          </cell>
          <cell r="K116" t="str">
            <v>NONE</v>
          </cell>
          <cell r="L116" t="str">
            <v>BW CS A234-WPB-S B16.9 SUNLIGHT L-200</v>
          </cell>
          <cell r="M116">
            <v>2</v>
          </cell>
        </row>
        <row r="117">
          <cell r="C117" t="str">
            <v>501</v>
          </cell>
          <cell r="D117" t="str">
            <v>T</v>
          </cell>
          <cell r="E117">
            <v>6311</v>
          </cell>
          <cell r="F117" t="str">
            <v>C3300304000300</v>
          </cell>
          <cell r="G117" t="str">
            <v>TEE</v>
          </cell>
          <cell r="H117" t="str">
            <v>3</v>
          </cell>
          <cell r="I117" t="str">
            <v>--</v>
          </cell>
          <cell r="J117" t="str">
            <v>SCH 40</v>
          </cell>
          <cell r="K117" t="str">
            <v>NONE</v>
          </cell>
          <cell r="L117" t="str">
            <v>BW ITCS A420-WPL6-S B16.9 SHRINKABLE SLEEVE</v>
          </cell>
          <cell r="M117">
            <v>10</v>
          </cell>
        </row>
        <row r="118">
          <cell r="C118" t="str">
            <v>501</v>
          </cell>
          <cell r="D118" t="str">
            <v>T</v>
          </cell>
          <cell r="E118">
            <v>6311</v>
          </cell>
          <cell r="F118" t="str">
            <v>C3300304000600</v>
          </cell>
          <cell r="G118" t="str">
            <v>TEE</v>
          </cell>
          <cell r="H118" t="str">
            <v>6</v>
          </cell>
          <cell r="I118" t="str">
            <v>--</v>
          </cell>
          <cell r="J118" t="str">
            <v>SCH 40</v>
          </cell>
          <cell r="K118" t="str">
            <v>NONE</v>
          </cell>
          <cell r="L118" t="str">
            <v>BW ITCS A420-WPL6-S B16.9 SHRINKABLE SLEEVE</v>
          </cell>
          <cell r="M118">
            <v>1</v>
          </cell>
        </row>
        <row r="119">
          <cell r="C119" t="str">
            <v>501</v>
          </cell>
          <cell r="D119" t="str">
            <v>T</v>
          </cell>
          <cell r="E119">
            <v>6311</v>
          </cell>
          <cell r="F119" t="str">
            <v>G3520300000200</v>
          </cell>
          <cell r="G119" t="str">
            <v>TEE</v>
          </cell>
          <cell r="H119" t="str">
            <v>2</v>
          </cell>
          <cell r="I119" t="str">
            <v>--</v>
          </cell>
          <cell r="J119" t="str">
            <v>NONE</v>
          </cell>
          <cell r="K119" t="str">
            <v>NONE</v>
          </cell>
          <cell r="L119" t="str">
            <v>3000# THRD CS A105 GALV. B16.11 SHRINKABLE SLEEVE</v>
          </cell>
          <cell r="M119">
            <v>3</v>
          </cell>
        </row>
        <row r="120">
          <cell r="C120" t="str">
            <v>501</v>
          </cell>
          <cell r="D120" t="str">
            <v>T</v>
          </cell>
          <cell r="E120">
            <v>6311</v>
          </cell>
          <cell r="F120" t="str">
            <v>N3300304000300</v>
          </cell>
          <cell r="G120" t="str">
            <v>TEE</v>
          </cell>
          <cell r="H120" t="str">
            <v>3</v>
          </cell>
          <cell r="I120" t="str">
            <v>--</v>
          </cell>
          <cell r="J120" t="str">
            <v>SCH 40</v>
          </cell>
          <cell r="K120" t="str">
            <v>NONE</v>
          </cell>
          <cell r="L120" t="str">
            <v>BW CS A234-WPB-S B16.9 (NACE) RP 5561V 999 6300 003 SHRINKABLE SLEEVE</v>
          </cell>
          <cell r="M120">
            <v>12</v>
          </cell>
        </row>
        <row r="121">
          <cell r="C121" t="str">
            <v>501</v>
          </cell>
          <cell r="D121" t="str">
            <v>T</v>
          </cell>
          <cell r="E121">
            <v>6311</v>
          </cell>
          <cell r="F121" t="str">
            <v>N3300304000600</v>
          </cell>
          <cell r="G121" t="str">
            <v>TEE</v>
          </cell>
          <cell r="H121" t="str">
            <v>6</v>
          </cell>
          <cell r="I121" t="str">
            <v>--</v>
          </cell>
          <cell r="J121" t="str">
            <v>SCH 40</v>
          </cell>
          <cell r="K121" t="str">
            <v>NONE</v>
          </cell>
          <cell r="L121" t="str">
            <v>BW CS A234-WPB-S B16.9 (NACE) RP 5561V 999 6300 003 SHRINKABLE SLEEVE</v>
          </cell>
          <cell r="M121">
            <v>1</v>
          </cell>
        </row>
        <row r="122">
          <cell r="C122" t="str">
            <v>501</v>
          </cell>
          <cell r="D122" t="str">
            <v>T</v>
          </cell>
          <cell r="E122">
            <v>6311</v>
          </cell>
          <cell r="F122" t="str">
            <v>N3300308000400</v>
          </cell>
          <cell r="G122" t="str">
            <v>TEE</v>
          </cell>
          <cell r="H122" t="str">
            <v>4</v>
          </cell>
          <cell r="I122" t="str">
            <v>--</v>
          </cell>
          <cell r="J122" t="str">
            <v>SCH 80</v>
          </cell>
          <cell r="K122" t="str">
            <v>NONE</v>
          </cell>
          <cell r="L122" t="str">
            <v>BW CS A234-WPB-S B16.9 (NACE) RP 5561V 999 6300 003 SHRINKABLE SLEEVE</v>
          </cell>
          <cell r="M122">
            <v>1</v>
          </cell>
        </row>
        <row r="123">
          <cell r="C123" t="str">
            <v>501</v>
          </cell>
          <cell r="D123" t="str">
            <v>T</v>
          </cell>
          <cell r="E123">
            <v>6311</v>
          </cell>
          <cell r="F123" t="str">
            <v>N3300308000600</v>
          </cell>
          <cell r="G123" t="str">
            <v>TEE</v>
          </cell>
          <cell r="H123" t="str">
            <v>6</v>
          </cell>
          <cell r="I123" t="str">
            <v>--</v>
          </cell>
          <cell r="J123" t="str">
            <v>SCH 80</v>
          </cell>
          <cell r="K123" t="str">
            <v>NONE</v>
          </cell>
          <cell r="L123" t="str">
            <v>BW CS A234-WPB-S B16.9 (NACE) RP 5561V 999 6300 003 SHRINKABLE SLEEVE</v>
          </cell>
          <cell r="M123">
            <v>1</v>
          </cell>
        </row>
        <row r="124">
          <cell r="C124" t="str">
            <v>501</v>
          </cell>
          <cell r="D124" t="str">
            <v>T</v>
          </cell>
          <cell r="E124">
            <v>6311</v>
          </cell>
          <cell r="F124" t="str">
            <v>N4300304000300</v>
          </cell>
          <cell r="G124" t="str">
            <v>TEE</v>
          </cell>
          <cell r="H124" t="str">
            <v>3</v>
          </cell>
          <cell r="I124" t="str">
            <v>--</v>
          </cell>
          <cell r="J124" t="str">
            <v>SCH 40</v>
          </cell>
          <cell r="K124" t="str">
            <v>NONE</v>
          </cell>
          <cell r="L124" t="str">
            <v>BW CS A234-WPB-S B16.9 (NACE) RP 5561V 999 6300 003 SUNLIGHT L-200</v>
          </cell>
          <cell r="M124">
            <v>1</v>
          </cell>
        </row>
        <row r="125">
          <cell r="C125" t="str">
            <v>501</v>
          </cell>
          <cell r="D125" t="str">
            <v>T</v>
          </cell>
          <cell r="E125">
            <v>6311</v>
          </cell>
          <cell r="F125" t="str">
            <v>N4300304000600</v>
          </cell>
          <cell r="G125" t="str">
            <v>TEE</v>
          </cell>
          <cell r="H125" t="str">
            <v>6</v>
          </cell>
          <cell r="I125" t="str">
            <v>--</v>
          </cell>
          <cell r="J125" t="str">
            <v>SCH 40</v>
          </cell>
          <cell r="K125" t="str">
            <v>NONE</v>
          </cell>
          <cell r="L125" t="str">
            <v>BW CS A234-WPB-S B16.9 (NACE) RP 5561V 999 6300 003 SUNLIGHT L-200</v>
          </cell>
          <cell r="M125">
            <v>3</v>
          </cell>
        </row>
        <row r="126">
          <cell r="C126" t="str">
            <v>501</v>
          </cell>
          <cell r="D126" t="str">
            <v>T</v>
          </cell>
          <cell r="E126">
            <v>6313</v>
          </cell>
          <cell r="F126" t="str">
            <v>T330030B000300</v>
          </cell>
          <cell r="G126" t="str">
            <v>TEE</v>
          </cell>
          <cell r="H126" t="str">
            <v>3</v>
          </cell>
          <cell r="I126" t="str">
            <v>--</v>
          </cell>
          <cell r="J126" t="str">
            <v>SCH 10S</v>
          </cell>
          <cell r="K126" t="str">
            <v>NONE</v>
          </cell>
          <cell r="L126" t="str">
            <v>BW SS A403-WP321-S B16.9 SHRINKABLE SLEEVE</v>
          </cell>
          <cell r="M126">
            <v>4</v>
          </cell>
        </row>
        <row r="127">
          <cell r="C127" t="str">
            <v>501</v>
          </cell>
          <cell r="D127" t="str">
            <v>T</v>
          </cell>
          <cell r="E127">
            <v>6313</v>
          </cell>
          <cell r="F127" t="str">
            <v>T330030B000600</v>
          </cell>
          <cell r="G127" t="str">
            <v>TEE</v>
          </cell>
          <cell r="H127" t="str">
            <v>6</v>
          </cell>
          <cell r="I127" t="str">
            <v>--</v>
          </cell>
          <cell r="J127" t="str">
            <v>SCH 10S</v>
          </cell>
          <cell r="K127" t="str">
            <v>NONE</v>
          </cell>
          <cell r="L127" t="str">
            <v>BW SS A403-WP321-S B16.9 SHRINKABLE SLEEVE</v>
          </cell>
          <cell r="M127">
            <v>1</v>
          </cell>
        </row>
        <row r="128">
          <cell r="C128" t="str">
            <v>501</v>
          </cell>
          <cell r="D128" t="str">
            <v>T</v>
          </cell>
          <cell r="E128">
            <v>6313</v>
          </cell>
          <cell r="F128" t="str">
            <v>T330030C000300</v>
          </cell>
          <cell r="G128" t="str">
            <v>TEE</v>
          </cell>
          <cell r="H128" t="str">
            <v>3</v>
          </cell>
          <cell r="I128" t="str">
            <v>--</v>
          </cell>
          <cell r="J128" t="str">
            <v>SCH 40S</v>
          </cell>
          <cell r="K128" t="str">
            <v>NONE</v>
          </cell>
          <cell r="L128" t="str">
            <v>BW SS A403-WP321-S B16.9 SHRINKABLE SLEEVE</v>
          </cell>
          <cell r="M128">
            <v>2</v>
          </cell>
        </row>
        <row r="129">
          <cell r="C129" t="str">
            <v>501</v>
          </cell>
          <cell r="D129" t="str">
            <v>T</v>
          </cell>
          <cell r="E129">
            <v>6313</v>
          </cell>
          <cell r="F129" t="str">
            <v>T330030C000600</v>
          </cell>
          <cell r="G129" t="str">
            <v>TEE</v>
          </cell>
          <cell r="H129" t="str">
            <v>6</v>
          </cell>
          <cell r="I129" t="str">
            <v>--</v>
          </cell>
          <cell r="J129" t="str">
            <v>SCH 40S</v>
          </cell>
          <cell r="K129" t="str">
            <v>NONE</v>
          </cell>
          <cell r="L129" t="str">
            <v>BW SS A403-WP321-S B16.9 SHRINKABLE SLEEVE</v>
          </cell>
          <cell r="M129">
            <v>1</v>
          </cell>
        </row>
        <row r="130">
          <cell r="C130" t="str">
            <v>501</v>
          </cell>
          <cell r="D130" t="str">
            <v>T</v>
          </cell>
          <cell r="E130">
            <v>6313</v>
          </cell>
          <cell r="F130" t="str">
            <v>T430030B000600</v>
          </cell>
          <cell r="G130" t="str">
            <v>TEE</v>
          </cell>
          <cell r="H130" t="str">
            <v>6</v>
          </cell>
          <cell r="I130" t="str">
            <v>--</v>
          </cell>
          <cell r="J130" t="str">
            <v>SCH 10S</v>
          </cell>
          <cell r="K130" t="str">
            <v>NONE</v>
          </cell>
          <cell r="L130" t="str">
            <v>BW SS A403-WP321-S B16.9 SUNLIGHT L-200</v>
          </cell>
          <cell r="M130">
            <v>1</v>
          </cell>
        </row>
        <row r="131">
          <cell r="C131" t="str">
            <v>501</v>
          </cell>
          <cell r="D131" t="str">
            <v>T</v>
          </cell>
          <cell r="E131">
            <v>6313</v>
          </cell>
          <cell r="F131" t="str">
            <v>T430030C000600</v>
          </cell>
          <cell r="G131" t="str">
            <v>TEE</v>
          </cell>
          <cell r="H131" t="str">
            <v>6</v>
          </cell>
          <cell r="I131" t="str">
            <v>--</v>
          </cell>
          <cell r="J131" t="str">
            <v>SCH 40S</v>
          </cell>
          <cell r="K131" t="str">
            <v>NONE</v>
          </cell>
          <cell r="L131" t="str">
            <v>BW SS A403-WP321-S B16.9 SUNLIGHT L-200</v>
          </cell>
          <cell r="M131">
            <v>1</v>
          </cell>
        </row>
        <row r="132">
          <cell r="C132" t="str">
            <v>501</v>
          </cell>
          <cell r="D132" t="str">
            <v>F</v>
          </cell>
          <cell r="E132">
            <v>6311</v>
          </cell>
          <cell r="F132" t="str">
            <v>CB270100000600</v>
          </cell>
          <cell r="G132" t="str">
            <v>BL FLG</v>
          </cell>
          <cell r="H132" t="str">
            <v>6</v>
          </cell>
          <cell r="I132" t="str">
            <v>--</v>
          </cell>
          <cell r="J132" t="str">
            <v>NONE</v>
          </cell>
          <cell r="K132" t="str">
            <v>NONE</v>
          </cell>
          <cell r="L132" t="str">
            <v>150# RF CS A105 B16.5</v>
          </cell>
          <cell r="M132">
            <v>1</v>
          </cell>
        </row>
        <row r="133">
          <cell r="C133" t="str">
            <v>501</v>
          </cell>
          <cell r="D133" t="str">
            <v>F</v>
          </cell>
          <cell r="E133">
            <v>6311</v>
          </cell>
          <cell r="F133" t="str">
            <v>CB271300000400</v>
          </cell>
          <cell r="G133" t="str">
            <v>BL FLG</v>
          </cell>
          <cell r="H133" t="str">
            <v>4</v>
          </cell>
          <cell r="I133" t="str">
            <v>--</v>
          </cell>
          <cell r="J133" t="str">
            <v>NONE</v>
          </cell>
          <cell r="K133" t="str">
            <v>NONE</v>
          </cell>
          <cell r="L133" t="str">
            <v>600# RF 125 AARH CS A105 B16.5</v>
          </cell>
          <cell r="M133">
            <v>1</v>
          </cell>
        </row>
        <row r="134">
          <cell r="C134" t="str">
            <v>501</v>
          </cell>
          <cell r="D134" t="str">
            <v>F</v>
          </cell>
          <cell r="E134">
            <v>6311</v>
          </cell>
          <cell r="F134" t="str">
            <v>CS270100000600</v>
          </cell>
          <cell r="G134" t="str">
            <v>BL FLG</v>
          </cell>
          <cell r="H134" t="str">
            <v>6</v>
          </cell>
          <cell r="I134" t="str">
            <v>--</v>
          </cell>
          <cell r="J134" t="str">
            <v>NONE</v>
          </cell>
          <cell r="K134" t="str">
            <v>NONE</v>
          </cell>
          <cell r="L134" t="str">
            <v>150# RF CS A105 B16.5 (NACE) RP 5561V 999 6300 002</v>
          </cell>
          <cell r="M134">
            <v>3</v>
          </cell>
        </row>
        <row r="135">
          <cell r="C135" t="str">
            <v>501</v>
          </cell>
          <cell r="D135" t="str">
            <v>F</v>
          </cell>
          <cell r="E135">
            <v>6311</v>
          </cell>
          <cell r="F135" t="str">
            <v>CS271300000600</v>
          </cell>
          <cell r="G135" t="str">
            <v>BL FLG</v>
          </cell>
          <cell r="H135" t="str">
            <v>6</v>
          </cell>
          <cell r="I135" t="str">
            <v>--</v>
          </cell>
          <cell r="J135" t="str">
            <v>NONE</v>
          </cell>
          <cell r="K135" t="str">
            <v>NONE</v>
          </cell>
          <cell r="L135" t="str">
            <v>600# RF 125 AARH CS A105 B16.5 (NACE) RP 5561V 999 6300 002</v>
          </cell>
          <cell r="M135">
            <v>1</v>
          </cell>
        </row>
        <row r="136">
          <cell r="C136" t="str">
            <v>501</v>
          </cell>
          <cell r="D136" t="str">
            <v>F</v>
          </cell>
          <cell r="E136">
            <v>6313</v>
          </cell>
          <cell r="F136" t="str">
            <v>ST270200000600</v>
          </cell>
          <cell r="G136" t="str">
            <v>BL FLG</v>
          </cell>
          <cell r="H136" t="str">
            <v>6</v>
          </cell>
          <cell r="I136" t="str">
            <v>--</v>
          </cell>
          <cell r="J136" t="str">
            <v>NONE</v>
          </cell>
          <cell r="K136" t="str">
            <v>NONE</v>
          </cell>
          <cell r="L136" t="str">
            <v>300# RF SS A182-F321 B16.5</v>
          </cell>
          <cell r="M136">
            <v>1</v>
          </cell>
        </row>
        <row r="137">
          <cell r="C137" t="str">
            <v>501</v>
          </cell>
          <cell r="D137" t="str">
            <v>F</v>
          </cell>
          <cell r="E137">
            <v>6311</v>
          </cell>
          <cell r="F137" t="str">
            <v>CB830200000300</v>
          </cell>
          <cell r="G137" t="str">
            <v>SPACER</v>
          </cell>
          <cell r="H137" t="str">
            <v>3</v>
          </cell>
          <cell r="I137" t="str">
            <v>--</v>
          </cell>
          <cell r="J137" t="str">
            <v>NONE</v>
          </cell>
          <cell r="K137" t="str">
            <v>NONE</v>
          </cell>
          <cell r="L137" t="str">
            <v>150# RF CS A515-70 PER API 590 W/BLANK</v>
          </cell>
          <cell r="M137">
            <v>2</v>
          </cell>
        </row>
        <row r="138">
          <cell r="C138" t="str">
            <v>501</v>
          </cell>
          <cell r="D138" t="str">
            <v>F</v>
          </cell>
          <cell r="E138">
            <v>6311</v>
          </cell>
          <cell r="F138" t="str">
            <v>CB830200000600</v>
          </cell>
          <cell r="G138" t="str">
            <v>SPACER</v>
          </cell>
          <cell r="H138" t="str">
            <v>6</v>
          </cell>
          <cell r="I138" t="str">
            <v>--</v>
          </cell>
          <cell r="J138" t="str">
            <v>NONE</v>
          </cell>
          <cell r="K138" t="str">
            <v>NONE</v>
          </cell>
          <cell r="L138" t="str">
            <v>150# RF CS A515-70 PER API 590 W/BLANK</v>
          </cell>
          <cell r="M138">
            <v>2</v>
          </cell>
        </row>
        <row r="139">
          <cell r="C139" t="str">
            <v>501</v>
          </cell>
          <cell r="D139" t="str">
            <v>F</v>
          </cell>
          <cell r="E139">
            <v>6311</v>
          </cell>
          <cell r="F139" t="str">
            <v>CB832800000400</v>
          </cell>
          <cell r="G139" t="str">
            <v>SPACER</v>
          </cell>
          <cell r="H139" t="str">
            <v>4</v>
          </cell>
          <cell r="I139" t="str">
            <v>--</v>
          </cell>
          <cell r="J139" t="str">
            <v>NONE</v>
          </cell>
          <cell r="K139" t="str">
            <v>NONE</v>
          </cell>
          <cell r="L139" t="str">
            <v>600# RF 125 AARH CS A515-70 PER API 590 W/BLANK</v>
          </cell>
          <cell r="M139">
            <v>2</v>
          </cell>
        </row>
        <row r="140">
          <cell r="C140" t="str">
            <v>501</v>
          </cell>
          <cell r="D140" t="str">
            <v>F</v>
          </cell>
          <cell r="E140">
            <v>6311</v>
          </cell>
          <cell r="F140" t="str">
            <v>CB832800000600</v>
          </cell>
          <cell r="G140" t="str">
            <v>SPACER</v>
          </cell>
          <cell r="H140" t="str">
            <v>6</v>
          </cell>
          <cell r="I140" t="str">
            <v>--</v>
          </cell>
          <cell r="J140" t="str">
            <v>NONE</v>
          </cell>
          <cell r="K140" t="str">
            <v>NONE</v>
          </cell>
          <cell r="L140" t="str">
            <v>600# RF 125 AARH CS A515-70 PER API 590 W/BLANK</v>
          </cell>
          <cell r="M140">
            <v>2</v>
          </cell>
        </row>
        <row r="141">
          <cell r="C141" t="str">
            <v>501</v>
          </cell>
          <cell r="D141" t="str">
            <v>F</v>
          </cell>
          <cell r="E141">
            <v>6311</v>
          </cell>
          <cell r="F141" t="str">
            <v>CC830200000600</v>
          </cell>
          <cell r="G141" t="str">
            <v>SPACER</v>
          </cell>
          <cell r="H141" t="str">
            <v>6</v>
          </cell>
          <cell r="I141" t="str">
            <v>--</v>
          </cell>
          <cell r="J141" t="str">
            <v>NONE</v>
          </cell>
          <cell r="K141" t="str">
            <v>NONE</v>
          </cell>
          <cell r="L141" t="str">
            <v>150# RF ITCS A516-65 PER API 590 W/BLANK</v>
          </cell>
          <cell r="M141">
            <v>2</v>
          </cell>
        </row>
        <row r="142">
          <cell r="C142" t="str">
            <v>501</v>
          </cell>
          <cell r="D142" t="str">
            <v>F</v>
          </cell>
          <cell r="E142">
            <v>6311</v>
          </cell>
          <cell r="F142" t="str">
            <v>CS830200000400</v>
          </cell>
          <cell r="G142" t="str">
            <v>SPACER</v>
          </cell>
          <cell r="H142" t="str">
            <v>4</v>
          </cell>
          <cell r="I142" t="str">
            <v>--</v>
          </cell>
          <cell r="J142" t="str">
            <v>NONE</v>
          </cell>
          <cell r="K142" t="str">
            <v>NONE</v>
          </cell>
          <cell r="L142" t="str">
            <v>150# RF CS A515-70 PER API 590 (NACE) RP 5561V 999 6300 002 W/BLANK</v>
          </cell>
          <cell r="M142">
            <v>1</v>
          </cell>
        </row>
        <row r="143">
          <cell r="C143" t="str">
            <v>501</v>
          </cell>
          <cell r="D143" t="str">
            <v>F</v>
          </cell>
          <cell r="E143">
            <v>6311</v>
          </cell>
          <cell r="F143" t="str">
            <v>CS830200000600</v>
          </cell>
          <cell r="G143" t="str">
            <v>SPACER</v>
          </cell>
          <cell r="H143" t="str">
            <v>6</v>
          </cell>
          <cell r="I143" t="str">
            <v>--</v>
          </cell>
          <cell r="J143" t="str">
            <v>NONE</v>
          </cell>
          <cell r="K143" t="str">
            <v>NONE</v>
          </cell>
          <cell r="L143" t="str">
            <v>150# RF CS A515-70 PER API 590 (NACE) RP 5561V 999 6300 002 W/BLANK</v>
          </cell>
          <cell r="M143">
            <v>2</v>
          </cell>
        </row>
        <row r="144">
          <cell r="C144" t="str">
            <v>501</v>
          </cell>
          <cell r="D144" t="str">
            <v>F</v>
          </cell>
          <cell r="E144">
            <v>6311</v>
          </cell>
          <cell r="F144" t="str">
            <v>CS832800000600</v>
          </cell>
          <cell r="G144" t="str">
            <v>SPACER</v>
          </cell>
          <cell r="H144" t="str">
            <v>6</v>
          </cell>
          <cell r="I144" t="str">
            <v>--</v>
          </cell>
          <cell r="J144" t="str">
            <v>NONE</v>
          </cell>
          <cell r="K144" t="str">
            <v>NONE</v>
          </cell>
          <cell r="L144" t="str">
            <v>600# RF 125 AARH CS A515-70 PER API 590 (NACE) RP 5561V 999 6300 002 W/BLANK</v>
          </cell>
          <cell r="M144">
            <v>2</v>
          </cell>
        </row>
        <row r="145">
          <cell r="C145" t="str">
            <v>501</v>
          </cell>
          <cell r="D145" t="str">
            <v>F</v>
          </cell>
          <cell r="E145">
            <v>6313</v>
          </cell>
          <cell r="F145" t="str">
            <v>ST830500000600</v>
          </cell>
          <cell r="G145" t="str">
            <v>SPACER</v>
          </cell>
          <cell r="H145" t="str">
            <v>6</v>
          </cell>
          <cell r="I145" t="str">
            <v>--</v>
          </cell>
          <cell r="J145" t="str">
            <v>NONE</v>
          </cell>
          <cell r="K145" t="str">
            <v>NONE</v>
          </cell>
          <cell r="L145" t="str">
            <v>300# RF A240-321 PER API 590 W/BLANK</v>
          </cell>
          <cell r="M145">
            <v>2</v>
          </cell>
        </row>
        <row r="146">
          <cell r="C146" t="str">
            <v>501</v>
          </cell>
          <cell r="D146" t="str">
            <v>F</v>
          </cell>
          <cell r="E146">
            <v>6311</v>
          </cell>
          <cell r="F146" t="str">
            <v>CB200104000300</v>
          </cell>
          <cell r="G146" t="str">
            <v>WN FLG</v>
          </cell>
          <cell r="H146" t="str">
            <v>3</v>
          </cell>
          <cell r="I146" t="str">
            <v>--</v>
          </cell>
          <cell r="J146" t="str">
            <v>SCH 40</v>
          </cell>
          <cell r="K146" t="str">
            <v>NONE</v>
          </cell>
          <cell r="L146" t="str">
            <v>150# RF CS A105 B16.5</v>
          </cell>
          <cell r="M146">
            <v>4</v>
          </cell>
        </row>
        <row r="147">
          <cell r="C147" t="str">
            <v>501</v>
          </cell>
          <cell r="D147" t="str">
            <v>F</v>
          </cell>
          <cell r="E147">
            <v>6311</v>
          </cell>
          <cell r="F147" t="str">
            <v>CB200104000400</v>
          </cell>
          <cell r="G147" t="str">
            <v>WN FLG</v>
          </cell>
          <cell r="H147" t="str">
            <v>4</v>
          </cell>
          <cell r="I147" t="str">
            <v>--</v>
          </cell>
          <cell r="J147" t="str">
            <v>SCH 40</v>
          </cell>
          <cell r="K147" t="str">
            <v>NONE</v>
          </cell>
          <cell r="L147" t="str">
            <v>150# RF CS A105 B16.5</v>
          </cell>
          <cell r="M147">
            <v>1</v>
          </cell>
        </row>
        <row r="148">
          <cell r="C148" t="str">
            <v>501</v>
          </cell>
          <cell r="D148" t="str">
            <v>F</v>
          </cell>
          <cell r="E148">
            <v>6311</v>
          </cell>
          <cell r="F148" t="str">
            <v>CB200104000600</v>
          </cell>
          <cell r="G148" t="str">
            <v>WN FLG</v>
          </cell>
          <cell r="H148" t="str">
            <v>6</v>
          </cell>
          <cell r="I148" t="str">
            <v>--</v>
          </cell>
          <cell r="J148" t="str">
            <v>SCH 40</v>
          </cell>
          <cell r="K148" t="str">
            <v>NONE</v>
          </cell>
          <cell r="L148" t="str">
            <v>150# RF CS A105 B16.5</v>
          </cell>
          <cell r="M148">
            <v>3</v>
          </cell>
        </row>
        <row r="149">
          <cell r="C149" t="str">
            <v>501</v>
          </cell>
          <cell r="D149" t="str">
            <v>F</v>
          </cell>
          <cell r="E149">
            <v>6311</v>
          </cell>
          <cell r="F149" t="str">
            <v>CB201308000400</v>
          </cell>
          <cell r="G149" t="str">
            <v>WN FLG</v>
          </cell>
          <cell r="H149" t="str">
            <v>4</v>
          </cell>
          <cell r="I149" t="str">
            <v>--</v>
          </cell>
          <cell r="J149" t="str">
            <v>SCH 80</v>
          </cell>
          <cell r="K149" t="str">
            <v>NONE</v>
          </cell>
          <cell r="L149" t="str">
            <v>600# RF 125 AARH CS A105 B16.5</v>
          </cell>
          <cell r="M149">
            <v>5</v>
          </cell>
        </row>
        <row r="150">
          <cell r="C150" t="str">
            <v>501</v>
          </cell>
          <cell r="D150" t="str">
            <v>F</v>
          </cell>
          <cell r="E150">
            <v>6311</v>
          </cell>
          <cell r="F150" t="str">
            <v>CB201308000600</v>
          </cell>
          <cell r="G150" t="str">
            <v>WN FLG</v>
          </cell>
          <cell r="H150" t="str">
            <v>6</v>
          </cell>
          <cell r="I150" t="str">
            <v>--</v>
          </cell>
          <cell r="J150" t="str">
            <v>SCH 80</v>
          </cell>
          <cell r="K150" t="str">
            <v>NONE</v>
          </cell>
          <cell r="L150" t="str">
            <v>600# RF 125 AARH CS A105 B16.5</v>
          </cell>
          <cell r="M150">
            <v>3</v>
          </cell>
        </row>
        <row r="151">
          <cell r="C151" t="str">
            <v>501</v>
          </cell>
          <cell r="D151" t="str">
            <v>F</v>
          </cell>
          <cell r="E151">
            <v>6311</v>
          </cell>
          <cell r="F151" t="str">
            <v>CC200104000600</v>
          </cell>
          <cell r="G151" t="str">
            <v>WN FLG</v>
          </cell>
          <cell r="H151" t="str">
            <v>6</v>
          </cell>
          <cell r="I151" t="str">
            <v>--</v>
          </cell>
          <cell r="J151" t="str">
            <v>SCH 40</v>
          </cell>
          <cell r="K151" t="str">
            <v>NONE</v>
          </cell>
          <cell r="L151" t="str">
            <v>150# RF ITCS A350-LF2 B16.5</v>
          </cell>
          <cell r="M151">
            <v>2</v>
          </cell>
        </row>
        <row r="152">
          <cell r="C152" t="str">
            <v>501</v>
          </cell>
          <cell r="D152" t="str">
            <v>F</v>
          </cell>
          <cell r="E152">
            <v>6311</v>
          </cell>
          <cell r="F152" t="str">
            <v>CS200104000400</v>
          </cell>
          <cell r="G152" t="str">
            <v>WN FLG</v>
          </cell>
          <cell r="H152" t="str">
            <v>4</v>
          </cell>
          <cell r="I152" t="str">
            <v>--</v>
          </cell>
          <cell r="J152" t="str">
            <v>SCH 40</v>
          </cell>
          <cell r="K152" t="str">
            <v>NONE</v>
          </cell>
          <cell r="L152" t="str">
            <v>150# RF CS A105 B16.5 (NACE) RP 5561V 999 6300 002</v>
          </cell>
          <cell r="M152">
            <v>5</v>
          </cell>
        </row>
        <row r="153">
          <cell r="C153" t="str">
            <v>501</v>
          </cell>
          <cell r="D153" t="str">
            <v>F</v>
          </cell>
          <cell r="E153">
            <v>6311</v>
          </cell>
          <cell r="F153" t="str">
            <v>CS200104000600</v>
          </cell>
          <cell r="G153" t="str">
            <v>WN FLG</v>
          </cell>
          <cell r="H153" t="str">
            <v>6</v>
          </cell>
          <cell r="I153" t="str">
            <v>--</v>
          </cell>
          <cell r="J153" t="str">
            <v>SCH 40</v>
          </cell>
          <cell r="K153" t="str">
            <v>NONE</v>
          </cell>
          <cell r="L153" t="str">
            <v>150# RF CS A105 B16.5 (NACE) RP 5561V 999 6300 002</v>
          </cell>
          <cell r="M153">
            <v>8</v>
          </cell>
        </row>
        <row r="154">
          <cell r="C154" t="str">
            <v>501</v>
          </cell>
          <cell r="D154" t="str">
            <v>F</v>
          </cell>
          <cell r="E154">
            <v>6311</v>
          </cell>
          <cell r="F154" t="str">
            <v>CS201308000600</v>
          </cell>
          <cell r="G154" t="str">
            <v>WN FLG</v>
          </cell>
          <cell r="H154" t="str">
            <v>6</v>
          </cell>
          <cell r="I154" t="str">
            <v>--</v>
          </cell>
          <cell r="J154" t="str">
            <v>SCH 80</v>
          </cell>
          <cell r="K154" t="str">
            <v>NONE</v>
          </cell>
          <cell r="L154" t="str">
            <v>600# RF 125 AARH CS A105 B16.5 (NACE) RP 5561V 999 6300 002</v>
          </cell>
          <cell r="M154">
            <v>6</v>
          </cell>
        </row>
        <row r="155">
          <cell r="C155" t="str">
            <v>501</v>
          </cell>
          <cell r="D155" t="str">
            <v>F</v>
          </cell>
          <cell r="E155">
            <v>6313</v>
          </cell>
          <cell r="F155" t="str">
            <v>ST20010B000600</v>
          </cell>
          <cell r="G155" t="str">
            <v>WN FLG</v>
          </cell>
          <cell r="H155" t="str">
            <v>6</v>
          </cell>
          <cell r="I155" t="str">
            <v>--</v>
          </cell>
          <cell r="J155" t="str">
            <v>SCH 10S</v>
          </cell>
          <cell r="K155" t="str">
            <v>NONE</v>
          </cell>
          <cell r="L155" t="str">
            <v>150# RF SS A182-F321 B16.5</v>
          </cell>
          <cell r="M155">
            <v>6</v>
          </cell>
        </row>
        <row r="156">
          <cell r="C156" t="str">
            <v>501</v>
          </cell>
          <cell r="D156" t="str">
            <v>F</v>
          </cell>
          <cell r="E156">
            <v>6313</v>
          </cell>
          <cell r="F156" t="str">
            <v>ST20020C000600</v>
          </cell>
          <cell r="G156" t="str">
            <v>WN FLG</v>
          </cell>
          <cell r="H156" t="str">
            <v>6</v>
          </cell>
          <cell r="I156" t="str">
            <v>--</v>
          </cell>
          <cell r="J156" t="str">
            <v>SCH 40S</v>
          </cell>
          <cell r="K156" t="str">
            <v>NONE</v>
          </cell>
          <cell r="L156" t="str">
            <v>300# RF SS A182-F321 B16.5</v>
          </cell>
          <cell r="M156">
            <v>6</v>
          </cell>
        </row>
        <row r="157">
          <cell r="C157" t="str">
            <v>501</v>
          </cell>
          <cell r="D157" t="str">
            <v>F</v>
          </cell>
          <cell r="E157">
            <v>6313</v>
          </cell>
          <cell r="F157" t="str">
            <v>ST20130C000600</v>
          </cell>
          <cell r="G157" t="str">
            <v>WN FLG</v>
          </cell>
          <cell r="H157" t="str">
            <v>6</v>
          </cell>
          <cell r="I157" t="str">
            <v>--</v>
          </cell>
          <cell r="J157" t="str">
            <v>SCH 40S</v>
          </cell>
          <cell r="K157" t="str">
            <v>NONE</v>
          </cell>
          <cell r="L157" t="str">
            <v>600# RF 125 AARH SS A182-F321 B16.5</v>
          </cell>
          <cell r="M157">
            <v>3</v>
          </cell>
        </row>
        <row r="158">
          <cell r="C158" t="str">
            <v>501</v>
          </cell>
          <cell r="D158" t="str">
            <v>P</v>
          </cell>
          <cell r="E158">
            <v>6326</v>
          </cell>
          <cell r="F158" t="str">
            <v>JF12030Q000400</v>
          </cell>
          <cell r="G158" t="str">
            <v>PIPE</v>
          </cell>
          <cell r="H158" t="str">
            <v>4</v>
          </cell>
          <cell r="I158" t="str">
            <v>--</v>
          </cell>
          <cell r="J158" t="str">
            <v>3.9MM WT</v>
          </cell>
          <cell r="K158" t="str">
            <v>NONE</v>
          </cell>
          <cell r="L158" t="str">
            <v>BELL &amp; SPIGOT TYPE RTRP D2996 TYPE1 GR.1 CL.F</v>
          </cell>
          <cell r="M158">
            <v>180</v>
          </cell>
        </row>
        <row r="159">
          <cell r="C159" t="str">
            <v>501</v>
          </cell>
          <cell r="D159" t="str">
            <v>P</v>
          </cell>
          <cell r="E159">
            <v>6326</v>
          </cell>
          <cell r="F159" t="str">
            <v>JF12030S000600</v>
          </cell>
          <cell r="G159" t="str">
            <v>PIPE</v>
          </cell>
          <cell r="H159" t="str">
            <v>6</v>
          </cell>
          <cell r="I159" t="str">
            <v>--</v>
          </cell>
          <cell r="J159" t="str">
            <v>4.6MM WT</v>
          </cell>
          <cell r="K159" t="str">
            <v>NONE</v>
          </cell>
          <cell r="L159" t="str">
            <v>BELL &amp; SPIGOT TYPE RTRP D2996 TYPE1 GR.1 CL.F</v>
          </cell>
          <cell r="M159">
            <v>102.7</v>
          </cell>
        </row>
        <row r="160">
          <cell r="C160" t="str">
            <v>501</v>
          </cell>
          <cell r="D160" t="str">
            <v>P</v>
          </cell>
          <cell r="E160">
            <v>6326</v>
          </cell>
          <cell r="F160" t="str">
            <v>JF12030T000800</v>
          </cell>
          <cell r="G160" t="str">
            <v>PIPE</v>
          </cell>
          <cell r="H160" t="str">
            <v>8</v>
          </cell>
          <cell r="I160" t="str">
            <v>--</v>
          </cell>
          <cell r="J160" t="str">
            <v>5.8MM WT</v>
          </cell>
          <cell r="K160" t="str">
            <v>NONE</v>
          </cell>
          <cell r="L160" t="str">
            <v>BELL &amp; SPIGOT TYPE RTRP D2996 TYPE1 GR.1 CL.F</v>
          </cell>
          <cell r="M160">
            <v>243</v>
          </cell>
        </row>
        <row r="161">
          <cell r="C161" t="str">
            <v>501</v>
          </cell>
          <cell r="D161" t="str">
            <v>P</v>
          </cell>
          <cell r="E161">
            <v>6326</v>
          </cell>
          <cell r="F161" t="str">
            <v>JF12030U001000</v>
          </cell>
          <cell r="G161" t="str">
            <v>PIPE</v>
          </cell>
          <cell r="H161" t="str">
            <v>10</v>
          </cell>
          <cell r="I161" t="str">
            <v>--</v>
          </cell>
          <cell r="J161" t="str">
            <v>7.2MM WT</v>
          </cell>
          <cell r="K161" t="str">
            <v>NONE</v>
          </cell>
          <cell r="L161" t="str">
            <v>BELL &amp; SPIGOT TYPE RTRP D2996 TYPE1 GR.1 CL.F</v>
          </cell>
          <cell r="M161">
            <v>150</v>
          </cell>
        </row>
        <row r="162">
          <cell r="C162" t="str">
            <v>501</v>
          </cell>
          <cell r="D162" t="str">
            <v>P</v>
          </cell>
          <cell r="E162">
            <v>6326</v>
          </cell>
          <cell r="F162" t="str">
            <v>JF12030X001400</v>
          </cell>
          <cell r="G162" t="str">
            <v>PIPE</v>
          </cell>
          <cell r="H162" t="str">
            <v>14</v>
          </cell>
          <cell r="I162" t="str">
            <v>--</v>
          </cell>
          <cell r="J162" t="str">
            <v>9.2MM WT</v>
          </cell>
          <cell r="K162" t="str">
            <v>NONE</v>
          </cell>
          <cell r="L162" t="str">
            <v>BELL &amp; SPIGOT TYPE RTRP D2996 TYPE1 GR.1 CL.F</v>
          </cell>
          <cell r="M162">
            <v>45</v>
          </cell>
        </row>
        <row r="163">
          <cell r="C163" t="str">
            <v>501</v>
          </cell>
          <cell r="D163" t="str">
            <v>P</v>
          </cell>
          <cell r="E163">
            <v>6326</v>
          </cell>
          <cell r="F163" t="str">
            <v>JF12030Y001600</v>
          </cell>
          <cell r="G163" t="str">
            <v>PIPE</v>
          </cell>
          <cell r="H163" t="str">
            <v>16</v>
          </cell>
          <cell r="I163" t="str">
            <v>--</v>
          </cell>
          <cell r="J163" t="str">
            <v>10.5MM WT</v>
          </cell>
          <cell r="K163" t="str">
            <v>NONE</v>
          </cell>
          <cell r="L163" t="str">
            <v>BELL &amp; SPIGOT TYPE RTRP D2996 TYPE1 GR.1 CL.F</v>
          </cell>
          <cell r="M163">
            <v>60</v>
          </cell>
        </row>
        <row r="164">
          <cell r="C164" t="str">
            <v>501</v>
          </cell>
          <cell r="D164" t="str">
            <v>P</v>
          </cell>
          <cell r="E164">
            <v>6326</v>
          </cell>
          <cell r="F164" t="str">
            <v>JF12031A001200</v>
          </cell>
          <cell r="G164" t="str">
            <v>PIPE</v>
          </cell>
          <cell r="H164" t="str">
            <v>12</v>
          </cell>
          <cell r="I164" t="str">
            <v>--</v>
          </cell>
          <cell r="J164" t="str">
            <v>8.4MM WT</v>
          </cell>
          <cell r="K164" t="str">
            <v>NONE</v>
          </cell>
          <cell r="L164" t="str">
            <v>BELL &amp; SPIGOT TYPE RTRP D2996 TYPE1 GR.1 CL.F</v>
          </cell>
          <cell r="M164">
            <v>35</v>
          </cell>
        </row>
        <row r="165">
          <cell r="C165" t="str">
            <v>501</v>
          </cell>
          <cell r="D165" t="str">
            <v>P</v>
          </cell>
          <cell r="E165">
            <v>6326</v>
          </cell>
          <cell r="F165" t="str">
            <v>JF12031B001800</v>
          </cell>
          <cell r="G165" t="str">
            <v>PIPE</v>
          </cell>
          <cell r="H165" t="str">
            <v>18</v>
          </cell>
          <cell r="I165" t="str">
            <v>--</v>
          </cell>
          <cell r="J165" t="str">
            <v>11.5MM WT</v>
          </cell>
          <cell r="K165" t="str">
            <v>NONE</v>
          </cell>
          <cell r="L165" t="str">
            <v>BELL &amp; SPIGOT TYPE RTRP D2996 TYPE1 GR.1 CL.F</v>
          </cell>
          <cell r="M165">
            <v>25</v>
          </cell>
        </row>
        <row r="166">
          <cell r="C166" t="str">
            <v>501</v>
          </cell>
          <cell r="D166" t="str">
            <v>T</v>
          </cell>
          <cell r="E166">
            <v>6326</v>
          </cell>
          <cell r="F166" t="str">
            <v>JF46100Q000400</v>
          </cell>
          <cell r="G166" t="str">
            <v>22.5 ELL</v>
          </cell>
          <cell r="H166" t="str">
            <v>4</v>
          </cell>
          <cell r="I166" t="str">
            <v>--</v>
          </cell>
          <cell r="J166" t="str">
            <v>3.9MM WT</v>
          </cell>
          <cell r="K166" t="str">
            <v>NONE</v>
          </cell>
          <cell r="L166" t="str">
            <v>BELL END RTRP D2996 TYPE1 GR.1 CL.F</v>
          </cell>
          <cell r="M166">
            <v>3</v>
          </cell>
        </row>
        <row r="167">
          <cell r="C167" t="str">
            <v>501</v>
          </cell>
          <cell r="D167" t="str">
            <v>T</v>
          </cell>
          <cell r="E167">
            <v>6326</v>
          </cell>
          <cell r="F167" t="str">
            <v>JF46100S000600</v>
          </cell>
          <cell r="G167" t="str">
            <v>22.5 ELL</v>
          </cell>
          <cell r="H167" t="str">
            <v>6</v>
          </cell>
          <cell r="I167" t="str">
            <v>--</v>
          </cell>
          <cell r="J167" t="str">
            <v>4.6MM WT</v>
          </cell>
          <cell r="K167" t="str">
            <v>NONE</v>
          </cell>
          <cell r="L167" t="str">
            <v>BELL END RTRP D2996 TYPE1 GR.1 CL.F</v>
          </cell>
          <cell r="M167">
            <v>1</v>
          </cell>
        </row>
        <row r="168">
          <cell r="C168" t="str">
            <v>501</v>
          </cell>
          <cell r="D168" t="str">
            <v>T</v>
          </cell>
          <cell r="E168">
            <v>6326</v>
          </cell>
          <cell r="F168" t="str">
            <v>JF46020Q000400</v>
          </cell>
          <cell r="G168" t="str">
            <v>45 ELL</v>
          </cell>
          <cell r="H168" t="str">
            <v>4</v>
          </cell>
          <cell r="I168" t="str">
            <v>--</v>
          </cell>
          <cell r="J168" t="str">
            <v>3.9MM WT</v>
          </cell>
          <cell r="K168" t="str">
            <v>NONE</v>
          </cell>
          <cell r="L168" t="str">
            <v>BELL END RTRP D2996 TYPE1 GR.1 CL.F</v>
          </cell>
          <cell r="M168">
            <v>27</v>
          </cell>
        </row>
        <row r="169">
          <cell r="C169" t="str">
            <v>501</v>
          </cell>
          <cell r="D169" t="str">
            <v>T</v>
          </cell>
          <cell r="E169">
            <v>6326</v>
          </cell>
          <cell r="F169" t="str">
            <v>JF46020S000600</v>
          </cell>
          <cell r="G169" t="str">
            <v>45 ELL</v>
          </cell>
          <cell r="H169" t="str">
            <v>6</v>
          </cell>
          <cell r="I169" t="str">
            <v>--</v>
          </cell>
          <cell r="J169" t="str">
            <v>4.6MM WT</v>
          </cell>
          <cell r="K169" t="str">
            <v>NONE</v>
          </cell>
          <cell r="L169" t="str">
            <v>BELL END RTRP D2996 TYPE1 GR.1 CL.F</v>
          </cell>
          <cell r="M169">
            <v>1</v>
          </cell>
        </row>
        <row r="170">
          <cell r="C170" t="str">
            <v>501</v>
          </cell>
          <cell r="D170" t="str">
            <v>T</v>
          </cell>
          <cell r="E170">
            <v>6326</v>
          </cell>
          <cell r="F170" t="str">
            <v>JF46010Q000400</v>
          </cell>
          <cell r="G170" t="str">
            <v>90 ELL</v>
          </cell>
          <cell r="H170" t="str">
            <v>4</v>
          </cell>
          <cell r="I170" t="str">
            <v>--</v>
          </cell>
          <cell r="J170" t="str">
            <v>3.9MM WT</v>
          </cell>
          <cell r="K170" t="str">
            <v>NONE</v>
          </cell>
          <cell r="L170" t="str">
            <v>BELL END RTRP D2996 TYPE1 GR.1 CL.F</v>
          </cell>
          <cell r="M170">
            <v>23</v>
          </cell>
        </row>
        <row r="171">
          <cell r="C171" t="str">
            <v>501</v>
          </cell>
          <cell r="D171" t="str">
            <v>T</v>
          </cell>
          <cell r="E171">
            <v>6326</v>
          </cell>
          <cell r="F171" t="str">
            <v>JF46010S000600</v>
          </cell>
          <cell r="G171" t="str">
            <v>90 ELL</v>
          </cell>
          <cell r="H171" t="str">
            <v>6</v>
          </cell>
          <cell r="I171" t="str">
            <v>--</v>
          </cell>
          <cell r="J171" t="str">
            <v>4.6MM WT</v>
          </cell>
          <cell r="K171" t="str">
            <v>NONE</v>
          </cell>
          <cell r="L171" t="str">
            <v>BELL END RTRP D2996 TYPE1 GR.1 CL.F</v>
          </cell>
          <cell r="M171">
            <v>3</v>
          </cell>
        </row>
        <row r="172">
          <cell r="C172" t="str">
            <v>501</v>
          </cell>
          <cell r="D172" t="str">
            <v>T</v>
          </cell>
          <cell r="E172">
            <v>6326</v>
          </cell>
          <cell r="F172" t="str">
            <v>JF46070S0Q0604</v>
          </cell>
          <cell r="G172" t="str">
            <v>C RED</v>
          </cell>
          <cell r="H172" t="str">
            <v>6</v>
          </cell>
          <cell r="I172" t="str">
            <v>4</v>
          </cell>
          <cell r="J172" t="str">
            <v>4.6MM WT</v>
          </cell>
          <cell r="K172" t="str">
            <v>3.9MM WT</v>
          </cell>
          <cell r="L172" t="str">
            <v>BELL END RTRP D2996 TYPE1 GR.1 CL.F</v>
          </cell>
          <cell r="M172">
            <v>3</v>
          </cell>
        </row>
        <row r="173">
          <cell r="C173" t="str">
            <v>501</v>
          </cell>
          <cell r="D173" t="str">
            <v>T</v>
          </cell>
          <cell r="E173">
            <v>6326</v>
          </cell>
          <cell r="F173" t="str">
            <v>JF46090S0Q0604</v>
          </cell>
          <cell r="G173" t="str">
            <v>R TEE 45</v>
          </cell>
          <cell r="H173" t="str">
            <v>6</v>
          </cell>
          <cell r="I173" t="str">
            <v>4</v>
          </cell>
          <cell r="J173" t="str">
            <v>4.6MM WT</v>
          </cell>
          <cell r="K173" t="str">
            <v>3.9MM WT</v>
          </cell>
          <cell r="L173" t="str">
            <v>BELL END RTRP D2996 TYPE1 GR.1 CL.F</v>
          </cell>
          <cell r="M173">
            <v>9</v>
          </cell>
        </row>
        <row r="174">
          <cell r="C174" t="str">
            <v>501</v>
          </cell>
          <cell r="D174" t="str">
            <v>T</v>
          </cell>
          <cell r="E174">
            <v>6326</v>
          </cell>
          <cell r="F174" t="str">
            <v>JF46080Q000400</v>
          </cell>
          <cell r="G174" t="str">
            <v>TEE 45</v>
          </cell>
          <cell r="H174" t="str">
            <v>4</v>
          </cell>
          <cell r="I174" t="str">
            <v>--</v>
          </cell>
          <cell r="J174" t="str">
            <v>3.9MM WT</v>
          </cell>
          <cell r="K174" t="str">
            <v>NONE</v>
          </cell>
          <cell r="L174" t="str">
            <v>BELL END RTRP D2996 TYPE1 GR.1 CL.F</v>
          </cell>
          <cell r="M174">
            <v>5</v>
          </cell>
        </row>
        <row r="175">
          <cell r="C175" t="str">
            <v>501</v>
          </cell>
          <cell r="D175" t="str">
            <v>T</v>
          </cell>
          <cell r="E175">
            <v>6326</v>
          </cell>
          <cell r="F175" t="str">
            <v>JF46080S000600</v>
          </cell>
          <cell r="G175" t="str">
            <v>TEE 45</v>
          </cell>
          <cell r="H175" t="str">
            <v>6</v>
          </cell>
          <cell r="I175" t="str">
            <v>--</v>
          </cell>
          <cell r="J175" t="str">
            <v>4.6MM WT</v>
          </cell>
          <cell r="K175" t="str">
            <v>NONE</v>
          </cell>
          <cell r="L175" t="str">
            <v>BELL END RTRP D2996 TYPE1 GR.1 CL.F</v>
          </cell>
          <cell r="M175">
            <v>1</v>
          </cell>
        </row>
        <row r="176">
          <cell r="C176" t="str">
            <v>501</v>
          </cell>
          <cell r="D176" t="str">
            <v>F</v>
          </cell>
          <cell r="E176">
            <v>6326</v>
          </cell>
          <cell r="F176" t="str">
            <v>JF24070Q000400</v>
          </cell>
          <cell r="G176" t="str">
            <v>FLG</v>
          </cell>
          <cell r="H176" t="str">
            <v>4</v>
          </cell>
          <cell r="I176" t="str">
            <v>--</v>
          </cell>
          <cell r="J176" t="str">
            <v>3.9MM WT</v>
          </cell>
          <cell r="K176" t="str">
            <v>NONE</v>
          </cell>
          <cell r="L176" t="str">
            <v>150# FF RTRP D4024 TYPE1 GR.1 CL.2 SOCKET END ADHESIVE BOND B16.5</v>
          </cell>
          <cell r="M176">
            <v>4</v>
          </cell>
        </row>
        <row r="177">
          <cell r="C177" t="str">
            <v>501</v>
          </cell>
          <cell r="D177" t="str">
            <v>V</v>
          </cell>
          <cell r="E177">
            <v>6311</v>
          </cell>
          <cell r="F177" t="str">
            <v>PBL10122000006</v>
          </cell>
          <cell r="G177" t="str">
            <v>BALL VA</v>
          </cell>
          <cell r="H177" t="str">
            <v>6</v>
          </cell>
          <cell r="I177" t="str">
            <v>--</v>
          </cell>
          <cell r="J177" t="str">
            <v>NONE</v>
          </cell>
          <cell r="K177" t="str">
            <v>NONE</v>
          </cell>
          <cell r="L177" t="str">
            <v>150# RF A216-WCB W/A105 ENP PTFE RB, FLOATING BALL TPE OR SPB FIRE SAFE &amp; ANTI-STATIC, EXTEND STEM</v>
          </cell>
          <cell r="M177">
            <v>2</v>
          </cell>
        </row>
        <row r="178">
          <cell r="C178" t="str">
            <v>501</v>
          </cell>
          <cell r="D178" t="str">
            <v>V</v>
          </cell>
          <cell r="E178">
            <v>6311</v>
          </cell>
          <cell r="F178" t="str">
            <v>PBL10231000006</v>
          </cell>
          <cell r="G178" t="str">
            <v>BALL VA</v>
          </cell>
          <cell r="H178" t="str">
            <v>6</v>
          </cell>
          <cell r="I178" t="str">
            <v>--</v>
          </cell>
          <cell r="J178" t="str">
            <v>NONE</v>
          </cell>
          <cell r="K178" t="str">
            <v>NONE</v>
          </cell>
          <cell r="L178" t="str">
            <v>150# RF A352-LC1 W/A350-LF2 ENP PTFE RB, FLOAT BALL TPE OR SPB FIRE SAFE &amp; ANTI STATIC,EXTEND STEM</v>
          </cell>
          <cell r="M178">
            <v>2</v>
          </cell>
        </row>
        <row r="179">
          <cell r="C179" t="str">
            <v>501</v>
          </cell>
          <cell r="D179" t="str">
            <v>V</v>
          </cell>
          <cell r="E179">
            <v>6311</v>
          </cell>
          <cell r="F179" t="str">
            <v>PBL16621000004</v>
          </cell>
          <cell r="G179" t="str">
            <v>BALL VA</v>
          </cell>
          <cell r="H179" t="str">
            <v>4</v>
          </cell>
          <cell r="I179" t="str">
            <v>--</v>
          </cell>
          <cell r="J179" t="str">
            <v>NONE</v>
          </cell>
          <cell r="K179" t="str">
            <v>NONE</v>
          </cell>
          <cell r="L179" t="str">
            <v>150# RF A216-WCB W/A105 ENP PTFE RB, FLOATING BALL TPE OR SPB FIRE SAFE &amp; ANTI STATIC, EXTENDED STEM</v>
          </cell>
          <cell r="M179">
            <v>1</v>
          </cell>
        </row>
        <row r="180">
          <cell r="C180" t="str">
            <v>501</v>
          </cell>
          <cell r="D180" t="str">
            <v>V</v>
          </cell>
          <cell r="E180">
            <v>6313</v>
          </cell>
          <cell r="F180" t="str">
            <v>PBL31702000006</v>
          </cell>
          <cell r="G180" t="str">
            <v>BALL VA</v>
          </cell>
          <cell r="H180" t="str">
            <v>6</v>
          </cell>
          <cell r="I180" t="str">
            <v>--</v>
          </cell>
          <cell r="J180" t="str">
            <v>NONE</v>
          </cell>
          <cell r="K180" t="str">
            <v>NONE</v>
          </cell>
          <cell r="L180" t="str">
            <v>300# RF A351-CF8C W/316SS PTFE RB, TM TPE OR SPB FIRE SAFE &amp; ANTI STATIC, EXTENDED STEM</v>
          </cell>
          <cell r="M180">
            <v>2</v>
          </cell>
        </row>
        <row r="181">
          <cell r="C181" t="str">
            <v>501</v>
          </cell>
          <cell r="D181" t="str">
            <v>V</v>
          </cell>
          <cell r="E181">
            <v>6311</v>
          </cell>
          <cell r="F181" t="str">
            <v>PBN60131000006</v>
          </cell>
          <cell r="G181" t="str">
            <v>BALL VA</v>
          </cell>
          <cell r="H181" t="str">
            <v>6</v>
          </cell>
          <cell r="I181" t="str">
            <v>--</v>
          </cell>
          <cell r="J181" t="str">
            <v>NONE</v>
          </cell>
          <cell r="K181" t="str">
            <v>NONE</v>
          </cell>
          <cell r="L181" t="str">
            <v>600# RFSF A216-WCB W/A105 ENP PTFE RB, TM TPE OR SPB FIRE SAFE &amp; ANTI STATIC GO, EXTENDED STEM</v>
          </cell>
          <cell r="M181">
            <v>2</v>
          </cell>
        </row>
        <row r="182">
          <cell r="C182" t="str">
            <v>501</v>
          </cell>
          <cell r="D182" t="str">
            <v>V</v>
          </cell>
          <cell r="E182">
            <v>6311</v>
          </cell>
          <cell r="F182" t="str">
            <v>PGA10131000003</v>
          </cell>
          <cell r="G182" t="str">
            <v>GATE VA</v>
          </cell>
          <cell r="H182" t="str">
            <v>3</v>
          </cell>
          <cell r="I182" t="str">
            <v>--</v>
          </cell>
          <cell r="J182" t="str">
            <v>NONE</v>
          </cell>
          <cell r="K182" t="str">
            <v>NONE</v>
          </cell>
          <cell r="L182" t="str">
            <v>150# RF A216-WCB W/ST BB, OS&amp;Y SOLID WEDGE EXTENDED STEM</v>
          </cell>
          <cell r="M182">
            <v>2</v>
          </cell>
        </row>
        <row r="183">
          <cell r="C183" t="str">
            <v>501</v>
          </cell>
          <cell r="D183" t="str">
            <v>V</v>
          </cell>
          <cell r="E183">
            <v>6311</v>
          </cell>
          <cell r="F183" t="str">
            <v>PGA16611000006</v>
          </cell>
          <cell r="G183" t="str">
            <v>GATE VA</v>
          </cell>
          <cell r="H183" t="str">
            <v>6</v>
          </cell>
          <cell r="I183" t="str">
            <v>--</v>
          </cell>
          <cell r="J183" t="str">
            <v>NONE</v>
          </cell>
          <cell r="K183" t="str">
            <v>NONE</v>
          </cell>
          <cell r="L183" t="str">
            <v>150# RF A216-WCB W/F6 BB, OS&amp;Y SOLID WEDGE, EXTENDED STEM</v>
          </cell>
          <cell r="M183">
            <v>2</v>
          </cell>
        </row>
        <row r="184">
          <cell r="C184" t="str">
            <v>501</v>
          </cell>
          <cell r="D184" t="str">
            <v>V</v>
          </cell>
          <cell r="E184">
            <v>6311</v>
          </cell>
          <cell r="F184" t="str">
            <v>PGA60133000004</v>
          </cell>
          <cell r="G184" t="str">
            <v>GATE VA</v>
          </cell>
          <cell r="H184" t="str">
            <v>4</v>
          </cell>
          <cell r="I184" t="str">
            <v>--</v>
          </cell>
          <cell r="J184" t="str">
            <v>NONE</v>
          </cell>
          <cell r="K184" t="str">
            <v>NONE</v>
          </cell>
          <cell r="L184" t="str">
            <v>600# RF A216-WCB W/ST BB, OS&amp;Y SOLID WEDGE, EXTENDED STEM</v>
          </cell>
          <cell r="M184">
            <v>2</v>
          </cell>
        </row>
        <row r="185">
          <cell r="C185" t="str">
            <v>501</v>
          </cell>
          <cell r="D185" t="str">
            <v>V</v>
          </cell>
          <cell r="E185">
            <v>6311</v>
          </cell>
          <cell r="F185" t="str">
            <v>PGA66611000006</v>
          </cell>
          <cell r="G185" t="str">
            <v>GATE VA</v>
          </cell>
          <cell r="H185" t="str">
            <v>6</v>
          </cell>
          <cell r="I185" t="str">
            <v>--</v>
          </cell>
          <cell r="J185" t="str">
            <v>NONE</v>
          </cell>
          <cell r="K185" t="str">
            <v>NONE</v>
          </cell>
          <cell r="L185" t="str">
            <v>600# RF A216-WCB W/F6 BB, OS&amp;Y SOLID WEDGE, EXTENDED STEM</v>
          </cell>
          <cell r="M185">
            <v>2</v>
          </cell>
        </row>
        <row r="186">
          <cell r="C186" t="str">
            <v>501</v>
          </cell>
          <cell r="D186" t="str">
            <v>V</v>
          </cell>
          <cell r="E186">
            <v>6315</v>
          </cell>
          <cell r="F186" t="str">
            <v>VGA16641000004</v>
          </cell>
          <cell r="G186" t="str">
            <v>GATE VA</v>
          </cell>
          <cell r="H186" t="str">
            <v>4</v>
          </cell>
          <cell r="I186" t="str">
            <v>--</v>
          </cell>
          <cell r="J186" t="str">
            <v>NONE</v>
          </cell>
          <cell r="K186" t="str">
            <v>NONE</v>
          </cell>
          <cell r="L186" t="str">
            <v>150# FF B148 Gr.C95800 W/SAME AS BODY MATERIAL BB, OS&amp;Y SOLID WEDGE</v>
          </cell>
          <cell r="M186">
            <v>2</v>
          </cell>
        </row>
        <row r="187">
          <cell r="C187" t="str">
            <v>501</v>
          </cell>
          <cell r="D187" t="str">
            <v>V</v>
          </cell>
          <cell r="E187">
            <v>6311</v>
          </cell>
          <cell r="F187" t="str">
            <v>VCD16631000004</v>
          </cell>
          <cell r="G187" t="str">
            <v>W-CHECK VA</v>
          </cell>
          <cell r="H187" t="str">
            <v>4</v>
          </cell>
          <cell r="I187" t="str">
            <v>--</v>
          </cell>
          <cell r="J187" t="str">
            <v>NONE</v>
          </cell>
          <cell r="K187" t="str">
            <v>NONE</v>
          </cell>
          <cell r="L187" t="str">
            <v>150# RF A216-WCB W/ST DUAL PLATE, WAFER TYPE</v>
          </cell>
          <cell r="M187">
            <v>1</v>
          </cell>
        </row>
        <row r="188">
          <cell r="C188" t="str">
            <v>501</v>
          </cell>
          <cell r="D188" t="str">
            <v>L</v>
          </cell>
          <cell r="E188">
            <v>6311</v>
          </cell>
          <cell r="F188" t="str">
            <v>CB740100000DVV</v>
          </cell>
          <cell r="G188" t="str">
            <v>B/N</v>
          </cell>
          <cell r="H188" t="str">
            <v>5/8</v>
          </cell>
          <cell r="I188" t="str">
            <v>95mm</v>
          </cell>
          <cell r="J188" t="str">
            <v>NONE</v>
          </cell>
          <cell r="K188" t="str">
            <v>NONE</v>
          </cell>
          <cell r="L188" t="str">
            <v>STUD BOLTS A193 B7 W/2 HEAVY HEX NUTS A194-2H</v>
          </cell>
          <cell r="M188">
            <v>8</v>
          </cell>
        </row>
        <row r="189">
          <cell r="C189" t="str">
            <v>501</v>
          </cell>
          <cell r="D189" t="str">
            <v>L</v>
          </cell>
          <cell r="E189">
            <v>6311</v>
          </cell>
          <cell r="F189" t="str">
            <v>CB740100000DWA</v>
          </cell>
          <cell r="G189" t="str">
            <v>B/N</v>
          </cell>
          <cell r="H189" t="str">
            <v>5/8</v>
          </cell>
          <cell r="I189" t="str">
            <v>100mm</v>
          </cell>
          <cell r="J189" t="str">
            <v>NONE</v>
          </cell>
          <cell r="K189" t="str">
            <v>NONE</v>
          </cell>
          <cell r="L189" t="str">
            <v>STUD BOLTS A193 B7 W/2 HEAVY HEX NUTS A194-2H</v>
          </cell>
          <cell r="M189">
            <v>8</v>
          </cell>
        </row>
        <row r="190">
          <cell r="C190" t="str">
            <v>501</v>
          </cell>
          <cell r="D190" t="str">
            <v>L</v>
          </cell>
          <cell r="E190">
            <v>6311</v>
          </cell>
          <cell r="F190" t="str">
            <v>CB740100000TWA</v>
          </cell>
          <cell r="G190" t="str">
            <v>B/N</v>
          </cell>
          <cell r="H190" t="str">
            <v>3/4</v>
          </cell>
          <cell r="I190" t="str">
            <v>100mm</v>
          </cell>
          <cell r="J190" t="str">
            <v>NONE</v>
          </cell>
          <cell r="K190" t="str">
            <v>NONE</v>
          </cell>
          <cell r="L190" t="str">
            <v>STUD BOLTS A193 B7 W/2 HEAVY HEX NUTS A194-2H</v>
          </cell>
          <cell r="M190">
            <v>24</v>
          </cell>
        </row>
        <row r="191">
          <cell r="C191" t="str">
            <v>501</v>
          </cell>
          <cell r="D191" t="str">
            <v>L</v>
          </cell>
          <cell r="E191">
            <v>6311</v>
          </cell>
          <cell r="F191" t="str">
            <v>CB740100000FWL</v>
          </cell>
          <cell r="G191" t="str">
            <v>B/N</v>
          </cell>
          <cell r="H191" t="str">
            <v>7/8</v>
          </cell>
          <cell r="I191" t="str">
            <v>150mm</v>
          </cell>
          <cell r="J191" t="str">
            <v>NONE</v>
          </cell>
          <cell r="K191" t="str">
            <v>NONE</v>
          </cell>
          <cell r="L191" t="str">
            <v>STUD BOLTS A193 B7 W/2 HEAVY HEX NUTS A194-2H</v>
          </cell>
          <cell r="M191">
            <v>24</v>
          </cell>
        </row>
        <row r="192">
          <cell r="C192" t="str">
            <v>501</v>
          </cell>
          <cell r="D192" t="str">
            <v>L</v>
          </cell>
          <cell r="E192">
            <v>6311</v>
          </cell>
          <cell r="F192" t="str">
            <v>CB740100000FWP</v>
          </cell>
          <cell r="G192" t="str">
            <v>B/N</v>
          </cell>
          <cell r="H192" t="str">
            <v>7/8</v>
          </cell>
          <cell r="I192" t="str">
            <v>165mm</v>
          </cell>
          <cell r="J192" t="str">
            <v>NONE</v>
          </cell>
          <cell r="K192" t="str">
            <v>NONE</v>
          </cell>
          <cell r="L192" t="str">
            <v>STUD BOLTS A193 B7 W/2 HEAVY HEX NUTS A194-2H</v>
          </cell>
          <cell r="M192">
            <v>16</v>
          </cell>
        </row>
        <row r="193">
          <cell r="C193" t="str">
            <v>501</v>
          </cell>
          <cell r="D193" t="str">
            <v>L</v>
          </cell>
          <cell r="E193">
            <v>6311</v>
          </cell>
          <cell r="F193" t="str">
            <v>CB7401000001WR</v>
          </cell>
          <cell r="G193" t="str">
            <v>B/N</v>
          </cell>
          <cell r="H193" t="str">
            <v>1</v>
          </cell>
          <cell r="I193" t="str">
            <v>175mm</v>
          </cell>
          <cell r="J193" t="str">
            <v>NONE</v>
          </cell>
          <cell r="K193" t="str">
            <v>NONE</v>
          </cell>
          <cell r="L193" t="str">
            <v>STUD BOLTS A193 B7 W/2 HEAVY HEX NUTS A194-2H</v>
          </cell>
          <cell r="M193">
            <v>24</v>
          </cell>
        </row>
        <row r="194">
          <cell r="C194" t="str">
            <v>501</v>
          </cell>
          <cell r="D194" t="str">
            <v>L</v>
          </cell>
          <cell r="E194">
            <v>6311</v>
          </cell>
          <cell r="F194" t="str">
            <v>CB740400000DVV</v>
          </cell>
          <cell r="G194" t="str">
            <v>B/N</v>
          </cell>
          <cell r="H194" t="str">
            <v>5/8</v>
          </cell>
          <cell r="I194" t="str">
            <v>95mm</v>
          </cell>
          <cell r="J194" t="str">
            <v>NONE</v>
          </cell>
          <cell r="K194" t="str">
            <v>NONE</v>
          </cell>
          <cell r="L194" t="str">
            <v>STUD BOLTS A193 B7M W/2 HEAVY HEX NUTS A194-2HM</v>
          </cell>
          <cell r="M194">
            <v>8</v>
          </cell>
        </row>
        <row r="195">
          <cell r="C195" t="str">
            <v>501</v>
          </cell>
          <cell r="D195" t="str">
            <v>L</v>
          </cell>
          <cell r="E195">
            <v>6311</v>
          </cell>
          <cell r="F195" t="str">
            <v>CB740400000DWB</v>
          </cell>
          <cell r="G195" t="str">
            <v>B/N</v>
          </cell>
          <cell r="H195" t="str">
            <v>5/8</v>
          </cell>
          <cell r="I195" t="str">
            <v>105mm</v>
          </cell>
          <cell r="J195" t="str">
            <v>NONE</v>
          </cell>
          <cell r="K195" t="str">
            <v>NONE</v>
          </cell>
          <cell r="L195" t="str">
            <v>STUD BOLTS A193 B7M W/2 HEAVY HEX NUTS A194-2HM</v>
          </cell>
          <cell r="M195">
            <v>8</v>
          </cell>
        </row>
        <row r="196">
          <cell r="C196" t="str">
            <v>501</v>
          </cell>
          <cell r="D196" t="str">
            <v>L</v>
          </cell>
          <cell r="E196">
            <v>6311</v>
          </cell>
          <cell r="F196" t="str">
            <v>CB740400000DWQ</v>
          </cell>
          <cell r="G196" t="str">
            <v>B/N</v>
          </cell>
          <cell r="H196" t="str">
            <v>5/8</v>
          </cell>
          <cell r="I196" t="str">
            <v>170mm</v>
          </cell>
          <cell r="J196" t="str">
            <v>NONE</v>
          </cell>
          <cell r="K196" t="str">
            <v>NONE</v>
          </cell>
          <cell r="L196" t="str">
            <v>STUD BOLTS A193 B7M W/2 HEAVY HEX NUTS A194-2HM</v>
          </cell>
          <cell r="M196">
            <v>8</v>
          </cell>
        </row>
        <row r="197">
          <cell r="C197" t="str">
            <v>501</v>
          </cell>
          <cell r="D197" t="str">
            <v>L</v>
          </cell>
          <cell r="E197">
            <v>6311</v>
          </cell>
          <cell r="F197" t="str">
            <v>CB740400000TWA</v>
          </cell>
          <cell r="G197" t="str">
            <v>B/N</v>
          </cell>
          <cell r="H197" t="str">
            <v>3/4</v>
          </cell>
          <cell r="I197" t="str">
            <v>100mm</v>
          </cell>
          <cell r="J197" t="str">
            <v>NONE</v>
          </cell>
          <cell r="K197" t="str">
            <v>NONE</v>
          </cell>
          <cell r="L197" t="str">
            <v>STUD BOLTS A193 B7M W/2 HEAVY HEX NUTS A194-2HM</v>
          </cell>
          <cell r="M197">
            <v>56</v>
          </cell>
        </row>
        <row r="198">
          <cell r="C198" t="str">
            <v>501</v>
          </cell>
          <cell r="D198" t="str">
            <v>L</v>
          </cell>
          <cell r="E198">
            <v>6311</v>
          </cell>
          <cell r="F198" t="str">
            <v>CB740400000TWD</v>
          </cell>
          <cell r="G198" t="str">
            <v>B/N</v>
          </cell>
          <cell r="H198" t="str">
            <v>3/4</v>
          </cell>
          <cell r="I198" t="str">
            <v>115mm</v>
          </cell>
          <cell r="J198" t="str">
            <v>NONE</v>
          </cell>
          <cell r="K198" t="str">
            <v>NONE</v>
          </cell>
          <cell r="L198" t="str">
            <v>STUD BOLTS A193 B7M W/2 HEAVY HEX NUTS A194-2HM</v>
          </cell>
          <cell r="M198">
            <v>16</v>
          </cell>
        </row>
        <row r="199">
          <cell r="C199" t="str">
            <v>501</v>
          </cell>
          <cell r="D199" t="str">
            <v>L</v>
          </cell>
          <cell r="E199">
            <v>6311</v>
          </cell>
          <cell r="F199" t="str">
            <v>CB7404000001WR</v>
          </cell>
          <cell r="G199" t="str">
            <v>B/N</v>
          </cell>
          <cell r="H199" t="str">
            <v>1</v>
          </cell>
          <cell r="I199" t="str">
            <v>175mm</v>
          </cell>
          <cell r="J199" t="str">
            <v>NONE</v>
          </cell>
          <cell r="K199" t="str">
            <v>NONE</v>
          </cell>
          <cell r="L199" t="str">
            <v>STUD BOLTS A193 B7M W/2 HEAVY HEX NUTS A194-2HM</v>
          </cell>
          <cell r="M199">
            <v>36</v>
          </cell>
        </row>
        <row r="200">
          <cell r="C200" t="str">
            <v>501</v>
          </cell>
          <cell r="D200" t="str">
            <v>L</v>
          </cell>
          <cell r="E200">
            <v>6311</v>
          </cell>
          <cell r="F200" t="str">
            <v>CB7404000001XA</v>
          </cell>
          <cell r="G200" t="str">
            <v>B/N</v>
          </cell>
          <cell r="H200" t="str">
            <v>1</v>
          </cell>
          <cell r="I200" t="str">
            <v>200mm</v>
          </cell>
          <cell r="J200" t="str">
            <v>NONE</v>
          </cell>
          <cell r="K200" t="str">
            <v>NONE</v>
          </cell>
          <cell r="L200" t="str">
            <v>STUD BOLTS A193 B7M W/2 HEAVY HEX NUTS A194-2HM</v>
          </cell>
          <cell r="M200">
            <v>24</v>
          </cell>
        </row>
        <row r="201">
          <cell r="C201" t="str">
            <v>501</v>
          </cell>
          <cell r="D201" t="str">
            <v>L</v>
          </cell>
          <cell r="E201">
            <v>6313</v>
          </cell>
          <cell r="F201" t="str">
            <v>CB740800000TWD</v>
          </cell>
          <cell r="G201" t="str">
            <v>B/N</v>
          </cell>
          <cell r="H201" t="str">
            <v>3/4</v>
          </cell>
          <cell r="I201" t="str">
            <v>115mm</v>
          </cell>
          <cell r="J201" t="str">
            <v>NONE</v>
          </cell>
          <cell r="K201" t="str">
            <v>NONE</v>
          </cell>
          <cell r="L201" t="str">
            <v>STUD BOLTS A193 B8M CLASS 2 W/2 HEAVY HEX NUTS A194-8MA</v>
          </cell>
          <cell r="M201">
            <v>32</v>
          </cell>
        </row>
        <row r="202">
          <cell r="C202" t="str">
            <v>501</v>
          </cell>
          <cell r="D202" t="str">
            <v>L</v>
          </cell>
          <cell r="E202">
            <v>6313</v>
          </cell>
          <cell r="F202" t="str">
            <v>CB740800000TWG</v>
          </cell>
          <cell r="G202" t="str">
            <v>B/N</v>
          </cell>
          <cell r="H202" t="str">
            <v>3/4</v>
          </cell>
          <cell r="I202" t="str">
            <v>130mm</v>
          </cell>
          <cell r="J202" t="str">
            <v>NONE</v>
          </cell>
          <cell r="K202" t="str">
            <v>NONE</v>
          </cell>
          <cell r="L202" t="str">
            <v>STUD BOLTS A193 B8M CLASS 2 W/2 HEAVY HEX NUTS A194-8MA</v>
          </cell>
          <cell r="M202">
            <v>36</v>
          </cell>
        </row>
        <row r="203">
          <cell r="C203" t="str">
            <v>501</v>
          </cell>
          <cell r="D203" t="str">
            <v>L</v>
          </cell>
          <cell r="E203">
            <v>6313</v>
          </cell>
          <cell r="F203" t="str">
            <v>CB740800000TWL</v>
          </cell>
          <cell r="G203" t="str">
            <v>B/N</v>
          </cell>
          <cell r="H203" t="str">
            <v>3/4</v>
          </cell>
          <cell r="I203" t="str">
            <v>150mm</v>
          </cell>
          <cell r="J203" t="str">
            <v>NONE</v>
          </cell>
          <cell r="K203" t="str">
            <v>NONE</v>
          </cell>
          <cell r="L203" t="str">
            <v>STUD BOLTS A193 B8M CLASS 2 W/2 HEAVY HEX NUTS A194-8MA</v>
          </cell>
          <cell r="M203">
            <v>24</v>
          </cell>
        </row>
        <row r="204">
          <cell r="C204" t="str">
            <v>501</v>
          </cell>
          <cell r="D204" t="str">
            <v>L</v>
          </cell>
          <cell r="E204">
            <v>6313</v>
          </cell>
          <cell r="F204" t="str">
            <v>CB7408000001XA</v>
          </cell>
          <cell r="G204" t="str">
            <v>B/N</v>
          </cell>
          <cell r="H204" t="str">
            <v>1</v>
          </cell>
          <cell r="I204" t="str">
            <v>200mm</v>
          </cell>
          <cell r="J204" t="str">
            <v>NONE</v>
          </cell>
          <cell r="K204" t="str">
            <v>NONE</v>
          </cell>
          <cell r="L204" t="str">
            <v>STUD BOLTS A193 B8M CLASS 2 W/2 HEAVY HEX NUTS A194-8MA</v>
          </cell>
          <cell r="M204">
            <v>24</v>
          </cell>
        </row>
        <row r="205">
          <cell r="C205" t="str">
            <v>501</v>
          </cell>
          <cell r="D205" t="str">
            <v>L</v>
          </cell>
          <cell r="E205">
            <v>6311</v>
          </cell>
          <cell r="F205" t="str">
            <v>CB744100000DWP</v>
          </cell>
          <cell r="G205" t="str">
            <v>B/N</v>
          </cell>
          <cell r="H205" t="str">
            <v>5/8</v>
          </cell>
          <cell r="I205" t="str">
            <v>165mm</v>
          </cell>
          <cell r="J205" t="str">
            <v>NONE</v>
          </cell>
          <cell r="K205" t="str">
            <v>NONE</v>
          </cell>
          <cell r="L205" t="str">
            <v>STUD BOLTS A193 B7 W/2 HEAVY HEX NUTS A194-2H W/WASHER</v>
          </cell>
          <cell r="M205">
            <v>32</v>
          </cell>
        </row>
        <row r="206">
          <cell r="C206" t="str">
            <v>501</v>
          </cell>
          <cell r="D206" t="str">
            <v>G</v>
          </cell>
          <cell r="E206">
            <v>6318</v>
          </cell>
          <cell r="F206" t="str">
            <v>R4DF1-A2000003</v>
          </cell>
          <cell r="G206" t="str">
            <v>GSKT</v>
          </cell>
          <cell r="H206" t="str">
            <v>3</v>
          </cell>
          <cell r="I206" t="str">
            <v>--</v>
          </cell>
          <cell r="J206" t="str">
            <v>NONE</v>
          </cell>
          <cell r="K206" t="str">
            <v>NONE</v>
          </cell>
          <cell r="L206" t="str">
            <v>150# RF 2MM CAF FLAT GASKET B16.21</v>
          </cell>
          <cell r="M206">
            <v>6</v>
          </cell>
        </row>
        <row r="207">
          <cell r="C207" t="str">
            <v>501</v>
          </cell>
          <cell r="D207" t="str">
            <v>G</v>
          </cell>
          <cell r="E207">
            <v>6318</v>
          </cell>
          <cell r="F207" t="str">
            <v>R4DF1-A2000004</v>
          </cell>
          <cell r="G207" t="str">
            <v>GSKT</v>
          </cell>
          <cell r="H207" t="str">
            <v>4</v>
          </cell>
          <cell r="I207" t="str">
            <v>--</v>
          </cell>
          <cell r="J207" t="str">
            <v>NONE</v>
          </cell>
          <cell r="K207" t="str">
            <v>NONE</v>
          </cell>
          <cell r="L207" t="str">
            <v>150# RF 2MM CAF FLAT GASKET B16.21</v>
          </cell>
          <cell r="M207">
            <v>5</v>
          </cell>
        </row>
        <row r="208">
          <cell r="C208" t="str">
            <v>501</v>
          </cell>
          <cell r="D208" t="str">
            <v>G</v>
          </cell>
          <cell r="E208">
            <v>6318</v>
          </cell>
          <cell r="F208" t="str">
            <v>R4DF1-A2000006</v>
          </cell>
          <cell r="G208" t="str">
            <v>GSKT</v>
          </cell>
          <cell r="H208" t="str">
            <v>6</v>
          </cell>
          <cell r="I208" t="str">
            <v>--</v>
          </cell>
          <cell r="J208" t="str">
            <v>NONE</v>
          </cell>
          <cell r="K208" t="str">
            <v>NONE</v>
          </cell>
          <cell r="L208" t="str">
            <v>150# RF 2MM CAF FLAT GASKET B16.21</v>
          </cell>
          <cell r="M208">
            <v>22</v>
          </cell>
        </row>
        <row r="209">
          <cell r="C209" t="str">
            <v>501</v>
          </cell>
          <cell r="D209" t="str">
            <v>G</v>
          </cell>
          <cell r="E209">
            <v>6318</v>
          </cell>
          <cell r="F209" t="str">
            <v>R4DF1-B2000006</v>
          </cell>
          <cell r="G209" t="str">
            <v>GSKT</v>
          </cell>
          <cell r="H209" t="str">
            <v>6</v>
          </cell>
          <cell r="I209" t="str">
            <v>--</v>
          </cell>
          <cell r="J209" t="str">
            <v>NONE</v>
          </cell>
          <cell r="K209" t="str">
            <v>NONE</v>
          </cell>
          <cell r="L209" t="str">
            <v>300# RF 2MM CAF FLAT GASKET B16.21</v>
          </cell>
          <cell r="M209">
            <v>7</v>
          </cell>
        </row>
        <row r="210">
          <cell r="C210" t="str">
            <v>501</v>
          </cell>
          <cell r="D210" t="str">
            <v>G</v>
          </cell>
          <cell r="E210">
            <v>6318</v>
          </cell>
          <cell r="F210" t="str">
            <v>R4DF1-CX000004</v>
          </cell>
          <cell r="G210" t="str">
            <v>GSKT</v>
          </cell>
          <cell r="H210" t="str">
            <v>4</v>
          </cell>
          <cell r="I210" t="str">
            <v>--</v>
          </cell>
          <cell r="J210" t="str">
            <v>NONE</v>
          </cell>
          <cell r="K210" t="str">
            <v>NONE</v>
          </cell>
          <cell r="L210" t="str">
            <v>600# RF 3.2MM SPIRAL API-601 4MM THICH SS316 SPR.WND+CA FIL</v>
          </cell>
          <cell r="M210">
            <v>7</v>
          </cell>
        </row>
        <row r="211">
          <cell r="C211" t="str">
            <v>501</v>
          </cell>
          <cell r="D211" t="str">
            <v>G</v>
          </cell>
          <cell r="E211">
            <v>6318</v>
          </cell>
          <cell r="F211" t="str">
            <v>R4DF1-CX000006</v>
          </cell>
          <cell r="G211" t="str">
            <v>GSKT</v>
          </cell>
          <cell r="H211" t="str">
            <v>6</v>
          </cell>
          <cell r="I211" t="str">
            <v>--</v>
          </cell>
          <cell r="J211" t="str">
            <v>NONE</v>
          </cell>
          <cell r="K211" t="str">
            <v>NONE</v>
          </cell>
          <cell r="L211" t="str">
            <v>600# RF 3.2MM SPIRAL API-601 4MM THICH SS316 SPR.WND+CA FIL</v>
          </cell>
          <cell r="M211">
            <v>13</v>
          </cell>
        </row>
        <row r="212">
          <cell r="C212" t="str">
            <v>501</v>
          </cell>
          <cell r="D212" t="str">
            <v>G</v>
          </cell>
          <cell r="E212">
            <v>6318</v>
          </cell>
          <cell r="F212" t="str">
            <v>R4DF2-A3000004</v>
          </cell>
          <cell r="G212" t="str">
            <v>GSKT</v>
          </cell>
          <cell r="H212" t="str">
            <v>4</v>
          </cell>
          <cell r="I212" t="str">
            <v>--</v>
          </cell>
          <cell r="J212" t="str">
            <v>NONE</v>
          </cell>
          <cell r="K212" t="str">
            <v>NONE</v>
          </cell>
          <cell r="L212" t="str">
            <v>150# FF 3MM NEOPRENE FLAT GASKET B16.21</v>
          </cell>
          <cell r="M212">
            <v>4</v>
          </cell>
        </row>
        <row r="213">
          <cell r="C213" t="str">
            <v>502</v>
          </cell>
          <cell r="D213" t="str">
            <v>P</v>
          </cell>
          <cell r="E213">
            <v>6311</v>
          </cell>
          <cell r="F213" t="str">
            <v>B2100704000400</v>
          </cell>
          <cell r="G213" t="str">
            <v>PIPE</v>
          </cell>
          <cell r="H213" t="str">
            <v>4</v>
          </cell>
          <cell r="I213" t="str">
            <v>--</v>
          </cell>
          <cell r="J213" t="str">
            <v>SCH 40</v>
          </cell>
          <cell r="K213" t="str">
            <v>NONE</v>
          </cell>
          <cell r="L213" t="str">
            <v>BE CS SMLS API 5L-B P.E. COATED</v>
          </cell>
          <cell r="M213">
            <v>13.3</v>
          </cell>
        </row>
        <row r="214">
          <cell r="C214" t="str">
            <v>502</v>
          </cell>
          <cell r="D214" t="str">
            <v>P</v>
          </cell>
          <cell r="E214">
            <v>6311</v>
          </cell>
          <cell r="F214" t="str">
            <v>B4100704000300</v>
          </cell>
          <cell r="G214" t="str">
            <v>PIPE</v>
          </cell>
          <cell r="H214" t="str">
            <v>3</v>
          </cell>
          <cell r="I214" t="str">
            <v>--</v>
          </cell>
          <cell r="J214" t="str">
            <v>SCH 40</v>
          </cell>
          <cell r="K214" t="str">
            <v>NONE</v>
          </cell>
          <cell r="L214" t="str">
            <v>BE CS SMLS API 5L-B SUNLIGHT L-200</v>
          </cell>
          <cell r="M214">
            <v>5</v>
          </cell>
        </row>
        <row r="215">
          <cell r="C215" t="str">
            <v>502</v>
          </cell>
          <cell r="D215" t="str">
            <v>T</v>
          </cell>
          <cell r="E215">
            <v>6311</v>
          </cell>
          <cell r="F215" t="str">
            <v>B3300204000400</v>
          </cell>
          <cell r="G215" t="str">
            <v>45 ELL</v>
          </cell>
          <cell r="H215" t="str">
            <v>4</v>
          </cell>
          <cell r="I215" t="str">
            <v>--</v>
          </cell>
          <cell r="J215" t="str">
            <v>SCH 40</v>
          </cell>
          <cell r="K215" t="str">
            <v>NONE</v>
          </cell>
          <cell r="L215" t="str">
            <v>BW CS A234-WPB-S B16.9 SHRINKABLE SLEEVE</v>
          </cell>
          <cell r="M215">
            <v>1</v>
          </cell>
        </row>
        <row r="216">
          <cell r="C216" t="str">
            <v>502</v>
          </cell>
          <cell r="D216" t="str">
            <v>T</v>
          </cell>
          <cell r="E216">
            <v>6311</v>
          </cell>
          <cell r="F216" t="str">
            <v>B3300104000400</v>
          </cell>
          <cell r="G216" t="str">
            <v>90 ELL</v>
          </cell>
          <cell r="H216" t="str">
            <v>4</v>
          </cell>
          <cell r="I216" t="str">
            <v>--</v>
          </cell>
          <cell r="J216" t="str">
            <v>SCH 40</v>
          </cell>
          <cell r="K216" t="str">
            <v>NONE</v>
          </cell>
          <cell r="L216" t="str">
            <v>BW CS A234-WPB-S B16.9 SHRINKABLE SLEEVE</v>
          </cell>
          <cell r="M216">
            <v>1</v>
          </cell>
        </row>
        <row r="217">
          <cell r="C217" t="str">
            <v>502</v>
          </cell>
          <cell r="D217" t="str">
            <v>T</v>
          </cell>
          <cell r="E217">
            <v>6311</v>
          </cell>
          <cell r="F217" t="str">
            <v>B3300304000400</v>
          </cell>
          <cell r="G217" t="str">
            <v>TEE</v>
          </cell>
          <cell r="H217" t="str">
            <v>4</v>
          </cell>
          <cell r="I217" t="str">
            <v>--</v>
          </cell>
          <cell r="J217" t="str">
            <v>SCH 40</v>
          </cell>
          <cell r="K217" t="str">
            <v>NONE</v>
          </cell>
          <cell r="L217" t="str">
            <v>BW CS A234-WPB-S B16.9 SHRINKABLE SLEEVE</v>
          </cell>
          <cell r="M217">
            <v>1</v>
          </cell>
        </row>
        <row r="218">
          <cell r="C218" t="str">
            <v>503</v>
          </cell>
          <cell r="D218" t="str">
            <v>P</v>
          </cell>
          <cell r="E218">
            <v>6311</v>
          </cell>
          <cell r="F218" t="str">
            <v>B2100702000800</v>
          </cell>
          <cell r="G218" t="str">
            <v>PIPE</v>
          </cell>
          <cell r="H218" t="str">
            <v>8</v>
          </cell>
          <cell r="I218" t="str">
            <v>--</v>
          </cell>
          <cell r="J218" t="str">
            <v>SCH 20</v>
          </cell>
          <cell r="K218" t="str">
            <v>NONE</v>
          </cell>
          <cell r="L218" t="str">
            <v>BE CS SMLS API 5L-B P.E. COATED</v>
          </cell>
          <cell r="M218">
            <v>50</v>
          </cell>
        </row>
        <row r="219">
          <cell r="C219" t="str">
            <v>503</v>
          </cell>
          <cell r="D219" t="str">
            <v>P</v>
          </cell>
          <cell r="E219">
            <v>6311</v>
          </cell>
          <cell r="F219" t="str">
            <v>B2100704000300</v>
          </cell>
          <cell r="G219" t="str">
            <v>PIPE</v>
          </cell>
          <cell r="H219" t="str">
            <v>3</v>
          </cell>
          <cell r="I219" t="str">
            <v>--</v>
          </cell>
          <cell r="J219" t="str">
            <v>SCH 40</v>
          </cell>
          <cell r="K219" t="str">
            <v>NONE</v>
          </cell>
          <cell r="L219" t="str">
            <v>BE CS SMLS API 5L-B P.E. COATED</v>
          </cell>
          <cell r="M219">
            <v>36.9</v>
          </cell>
        </row>
        <row r="220">
          <cell r="C220" t="str">
            <v>503</v>
          </cell>
          <cell r="D220" t="str">
            <v>P</v>
          </cell>
          <cell r="E220">
            <v>6311</v>
          </cell>
          <cell r="F220" t="str">
            <v>B2100704000400</v>
          </cell>
          <cell r="G220" t="str">
            <v>PIPE</v>
          </cell>
          <cell r="H220" t="str">
            <v>4</v>
          </cell>
          <cell r="I220" t="str">
            <v>--</v>
          </cell>
          <cell r="J220" t="str">
            <v>SCH 40</v>
          </cell>
          <cell r="K220" t="str">
            <v>NONE</v>
          </cell>
          <cell r="L220" t="str">
            <v>BE CS SMLS API 5L-B P.E. COATED</v>
          </cell>
          <cell r="M220">
            <v>126.3</v>
          </cell>
        </row>
        <row r="221">
          <cell r="C221" t="str">
            <v>503</v>
          </cell>
          <cell r="D221" t="str">
            <v>P</v>
          </cell>
          <cell r="E221">
            <v>6311</v>
          </cell>
          <cell r="F221" t="str">
            <v>B2100704000600</v>
          </cell>
          <cell r="G221" t="str">
            <v>PIPE</v>
          </cell>
          <cell r="H221" t="str">
            <v>6</v>
          </cell>
          <cell r="I221" t="str">
            <v>--</v>
          </cell>
          <cell r="J221" t="str">
            <v>SCH 40</v>
          </cell>
          <cell r="K221" t="str">
            <v>NONE</v>
          </cell>
          <cell r="L221" t="str">
            <v>BE CS SMLS API 5L-B P.E. COATED</v>
          </cell>
          <cell r="M221">
            <v>15.1</v>
          </cell>
        </row>
        <row r="222">
          <cell r="C222" t="str">
            <v>503</v>
          </cell>
          <cell r="D222" t="str">
            <v>P</v>
          </cell>
          <cell r="E222">
            <v>6311</v>
          </cell>
          <cell r="F222" t="str">
            <v>B2100708000300</v>
          </cell>
          <cell r="G222" t="str">
            <v>PIPE</v>
          </cell>
          <cell r="H222" t="str">
            <v>3</v>
          </cell>
          <cell r="I222" t="str">
            <v>--</v>
          </cell>
          <cell r="J222" t="str">
            <v>SCH 80</v>
          </cell>
          <cell r="K222" t="str">
            <v>NONE</v>
          </cell>
          <cell r="L222" t="str">
            <v>BE CS SMLS API 5L-B P.E. COATED</v>
          </cell>
          <cell r="M222">
            <v>4</v>
          </cell>
        </row>
        <row r="223">
          <cell r="C223" t="str">
            <v>503</v>
          </cell>
          <cell r="D223" t="str">
            <v>P</v>
          </cell>
          <cell r="E223">
            <v>6311</v>
          </cell>
          <cell r="F223" t="str">
            <v>B3100704000300</v>
          </cell>
          <cell r="G223" t="str">
            <v>PIPE</v>
          </cell>
          <cell r="H223" t="str">
            <v>3</v>
          </cell>
          <cell r="I223" t="str">
            <v>--</v>
          </cell>
          <cell r="J223" t="str">
            <v>SCH 40</v>
          </cell>
          <cell r="K223" t="str">
            <v>NONE</v>
          </cell>
          <cell r="L223" t="str">
            <v>BE CS SMLS API 5L-B P.P. COATED</v>
          </cell>
          <cell r="M223">
            <v>5.8</v>
          </cell>
        </row>
        <row r="224">
          <cell r="C224" t="str">
            <v>503</v>
          </cell>
          <cell r="D224" t="str">
            <v>P</v>
          </cell>
          <cell r="E224">
            <v>6311</v>
          </cell>
          <cell r="F224" t="str">
            <v>B3100704000400</v>
          </cell>
          <cell r="G224" t="str">
            <v>PIPE</v>
          </cell>
          <cell r="H224" t="str">
            <v>4</v>
          </cell>
          <cell r="I224" t="str">
            <v>--</v>
          </cell>
          <cell r="J224" t="str">
            <v>SCH 40</v>
          </cell>
          <cell r="K224" t="str">
            <v>NONE</v>
          </cell>
          <cell r="L224" t="str">
            <v>BE CS SMLS API 5L-B P.P. COATED</v>
          </cell>
          <cell r="M224">
            <v>35.700000000000003</v>
          </cell>
        </row>
        <row r="225">
          <cell r="C225" t="str">
            <v>503</v>
          </cell>
          <cell r="D225" t="str">
            <v>P</v>
          </cell>
          <cell r="E225">
            <v>6311</v>
          </cell>
          <cell r="F225" t="str">
            <v>B3100704000600</v>
          </cell>
          <cell r="G225" t="str">
            <v>PIPE</v>
          </cell>
          <cell r="H225" t="str">
            <v>6</v>
          </cell>
          <cell r="I225" t="str">
            <v>--</v>
          </cell>
          <cell r="J225" t="str">
            <v>SCH 40</v>
          </cell>
          <cell r="K225" t="str">
            <v>NONE</v>
          </cell>
          <cell r="L225" t="str">
            <v>BE CS SMLS API 5L-B P.P. COATED</v>
          </cell>
          <cell r="M225">
            <v>75.7</v>
          </cell>
        </row>
        <row r="226">
          <cell r="C226" t="str">
            <v>503</v>
          </cell>
          <cell r="D226" t="str">
            <v>P</v>
          </cell>
          <cell r="E226">
            <v>6311</v>
          </cell>
          <cell r="F226" t="str">
            <v>B4100704000300</v>
          </cell>
          <cell r="G226" t="str">
            <v>PIPE</v>
          </cell>
          <cell r="H226" t="str">
            <v>3</v>
          </cell>
          <cell r="I226" t="str">
            <v>--</v>
          </cell>
          <cell r="J226" t="str">
            <v>SCH 40</v>
          </cell>
          <cell r="K226" t="str">
            <v>NONE</v>
          </cell>
          <cell r="L226" t="str">
            <v>BE CS SMLS API 5L-B SUNLIGHT L-200</v>
          </cell>
          <cell r="M226">
            <v>25</v>
          </cell>
        </row>
        <row r="227">
          <cell r="C227" t="str">
            <v>503</v>
          </cell>
          <cell r="D227" t="str">
            <v>P</v>
          </cell>
          <cell r="E227">
            <v>6311</v>
          </cell>
          <cell r="F227" t="str">
            <v>B4100704000400</v>
          </cell>
          <cell r="G227" t="str">
            <v>PIPE</v>
          </cell>
          <cell r="H227" t="str">
            <v>4</v>
          </cell>
          <cell r="I227" t="str">
            <v>--</v>
          </cell>
          <cell r="J227" t="str">
            <v>SCH 40</v>
          </cell>
          <cell r="K227" t="str">
            <v>NONE</v>
          </cell>
          <cell r="L227" t="str">
            <v>BE CS SMLS API 5L-B SUNLIGHT L-200</v>
          </cell>
          <cell r="M227">
            <v>15.5</v>
          </cell>
        </row>
        <row r="228">
          <cell r="C228" t="str">
            <v>503</v>
          </cell>
          <cell r="D228" t="str">
            <v>P</v>
          </cell>
          <cell r="E228">
            <v>6311</v>
          </cell>
          <cell r="F228" t="str">
            <v>B4100704000600</v>
          </cell>
          <cell r="G228" t="str">
            <v>PIPE</v>
          </cell>
          <cell r="H228" t="str">
            <v>6</v>
          </cell>
          <cell r="I228" t="str">
            <v>--</v>
          </cell>
          <cell r="J228" t="str">
            <v>SCH 40</v>
          </cell>
          <cell r="K228" t="str">
            <v>NONE</v>
          </cell>
          <cell r="L228" t="str">
            <v>BE CS SMLS API 5L-B SUNLIGHT L-200</v>
          </cell>
          <cell r="M228">
            <v>64.8</v>
          </cell>
        </row>
        <row r="229">
          <cell r="C229" t="str">
            <v>503</v>
          </cell>
          <cell r="D229" t="str">
            <v>P</v>
          </cell>
          <cell r="E229">
            <v>6311</v>
          </cell>
          <cell r="F229" t="str">
            <v>B4100704000800</v>
          </cell>
          <cell r="G229" t="str">
            <v>PIPE</v>
          </cell>
          <cell r="H229" t="str">
            <v>8</v>
          </cell>
          <cell r="I229" t="str">
            <v>--</v>
          </cell>
          <cell r="J229" t="str">
            <v>SCH 40</v>
          </cell>
          <cell r="K229" t="str">
            <v>NONE</v>
          </cell>
          <cell r="L229" t="str">
            <v>BE CS SMLS API 5L-B SUNLIGHT L-200</v>
          </cell>
          <cell r="M229">
            <v>77.900000000000006</v>
          </cell>
        </row>
        <row r="230">
          <cell r="C230" t="str">
            <v>503</v>
          </cell>
          <cell r="D230" t="str">
            <v>P</v>
          </cell>
          <cell r="E230">
            <v>6311</v>
          </cell>
          <cell r="F230" t="str">
            <v>C2100404000300</v>
          </cell>
          <cell r="G230" t="str">
            <v>PIPE</v>
          </cell>
          <cell r="H230" t="str">
            <v>3</v>
          </cell>
          <cell r="I230" t="str">
            <v>--</v>
          </cell>
          <cell r="J230" t="str">
            <v>SCH 40</v>
          </cell>
          <cell r="K230" t="str">
            <v>NONE</v>
          </cell>
          <cell r="L230" t="str">
            <v>BE ITCS SMLS A333-6 P.E. COATED</v>
          </cell>
          <cell r="M230">
            <v>1.8</v>
          </cell>
        </row>
        <row r="231">
          <cell r="C231" t="str">
            <v>503</v>
          </cell>
          <cell r="D231" t="str">
            <v>P</v>
          </cell>
          <cell r="E231">
            <v>6311</v>
          </cell>
          <cell r="F231" t="str">
            <v>C2100408000300</v>
          </cell>
          <cell r="G231" t="str">
            <v>PIPE</v>
          </cell>
          <cell r="H231" t="str">
            <v>3</v>
          </cell>
          <cell r="I231" t="str">
            <v>--</v>
          </cell>
          <cell r="J231" t="str">
            <v>SCH 80</v>
          </cell>
          <cell r="K231" t="str">
            <v>NONE</v>
          </cell>
          <cell r="L231" t="str">
            <v>BE ITCS SMLS A333-6 P.E. COATED</v>
          </cell>
          <cell r="M231">
            <v>91.4</v>
          </cell>
        </row>
        <row r="232">
          <cell r="C232" t="str">
            <v>503</v>
          </cell>
          <cell r="D232" t="str">
            <v>P</v>
          </cell>
          <cell r="E232">
            <v>6311</v>
          </cell>
          <cell r="F232" t="str">
            <v>C4100402000800</v>
          </cell>
          <cell r="G232" t="str">
            <v>PIPE</v>
          </cell>
          <cell r="H232" t="str">
            <v>8</v>
          </cell>
          <cell r="I232" t="str">
            <v>--</v>
          </cell>
          <cell r="J232" t="str">
            <v>SCH 20</v>
          </cell>
          <cell r="K232" t="str">
            <v>NONE</v>
          </cell>
          <cell r="L232" t="str">
            <v>BE ITCS SMLS A333-6 SUNLIGHT L-200</v>
          </cell>
          <cell r="M232">
            <v>1.6</v>
          </cell>
        </row>
        <row r="233">
          <cell r="C233" t="str">
            <v>503</v>
          </cell>
          <cell r="D233" t="str">
            <v>P</v>
          </cell>
          <cell r="E233">
            <v>6311</v>
          </cell>
          <cell r="F233" t="str">
            <v>G2100908000200</v>
          </cell>
          <cell r="G233" t="str">
            <v>PIPE</v>
          </cell>
          <cell r="H233" t="str">
            <v>2</v>
          </cell>
          <cell r="I233" t="str">
            <v>--</v>
          </cell>
          <cell r="J233" t="str">
            <v>SCH 80</v>
          </cell>
          <cell r="K233" t="str">
            <v>NONE</v>
          </cell>
          <cell r="L233" t="str">
            <v>TE CS SMLS API 5L-B GALV. THRD COUPLING (3000#,A105/GALV) P.E. COATED</v>
          </cell>
          <cell r="M233">
            <v>84.6</v>
          </cell>
        </row>
        <row r="234">
          <cell r="C234" t="str">
            <v>503</v>
          </cell>
          <cell r="D234" t="str">
            <v>P</v>
          </cell>
          <cell r="E234">
            <v>6311</v>
          </cell>
          <cell r="F234" t="str">
            <v>S210070J000300</v>
          </cell>
          <cell r="G234" t="str">
            <v>PIPE</v>
          </cell>
          <cell r="H234" t="str">
            <v>3</v>
          </cell>
          <cell r="I234" t="str">
            <v>--</v>
          </cell>
          <cell r="J234" t="str">
            <v>SCH 160</v>
          </cell>
          <cell r="K234" t="str">
            <v>NONE</v>
          </cell>
          <cell r="L234" t="str">
            <v>BE CS SMLS API 5L-B (NACE) RP 5561V 999 6300 002 P.E. COATED</v>
          </cell>
          <cell r="M234">
            <v>15.8</v>
          </cell>
        </row>
        <row r="235">
          <cell r="C235" t="str">
            <v>503</v>
          </cell>
          <cell r="D235" t="str">
            <v>T</v>
          </cell>
          <cell r="E235">
            <v>6311</v>
          </cell>
          <cell r="F235" t="str">
            <v>B3300202000800</v>
          </cell>
          <cell r="G235" t="str">
            <v>45 ELL</v>
          </cell>
          <cell r="H235" t="str">
            <v>8</v>
          </cell>
          <cell r="I235" t="str">
            <v>--</v>
          </cell>
          <cell r="J235" t="str">
            <v>SCH 20</v>
          </cell>
          <cell r="K235" t="str">
            <v>NONE</v>
          </cell>
          <cell r="L235" t="str">
            <v>BW CS A234-WPB-S B16.9 SHRINKABLE SLEEVE</v>
          </cell>
          <cell r="M235">
            <v>2</v>
          </cell>
        </row>
        <row r="236">
          <cell r="C236" t="str">
            <v>503</v>
          </cell>
          <cell r="D236" t="str">
            <v>T</v>
          </cell>
          <cell r="E236">
            <v>6311</v>
          </cell>
          <cell r="F236" t="str">
            <v>B3300204000300</v>
          </cell>
          <cell r="G236" t="str">
            <v>45 ELL</v>
          </cell>
          <cell r="H236" t="str">
            <v>3</v>
          </cell>
          <cell r="I236" t="str">
            <v>--</v>
          </cell>
          <cell r="J236" t="str">
            <v>SCH 40</v>
          </cell>
          <cell r="K236" t="str">
            <v>NONE</v>
          </cell>
          <cell r="L236" t="str">
            <v>BW CS A234-WPB-S B16.9 SHRINKABLE SLEEVE</v>
          </cell>
          <cell r="M236">
            <v>1</v>
          </cell>
        </row>
        <row r="237">
          <cell r="C237" t="str">
            <v>503</v>
          </cell>
          <cell r="D237" t="str">
            <v>T</v>
          </cell>
          <cell r="E237">
            <v>6311</v>
          </cell>
          <cell r="F237" t="str">
            <v>B3300204000400</v>
          </cell>
          <cell r="G237" t="str">
            <v>45 ELL</v>
          </cell>
          <cell r="H237" t="str">
            <v>4</v>
          </cell>
          <cell r="I237" t="str">
            <v>--</v>
          </cell>
          <cell r="J237" t="str">
            <v>SCH 40</v>
          </cell>
          <cell r="K237" t="str">
            <v>NONE</v>
          </cell>
          <cell r="L237" t="str">
            <v>BW CS A234-WPB-S B16.9 SHRINKABLE SLEEVE</v>
          </cell>
          <cell r="M237">
            <v>10</v>
          </cell>
        </row>
        <row r="238">
          <cell r="C238" t="str">
            <v>503</v>
          </cell>
          <cell r="D238" t="str">
            <v>T</v>
          </cell>
          <cell r="E238">
            <v>6311</v>
          </cell>
          <cell r="F238" t="str">
            <v>B4300204000400</v>
          </cell>
          <cell r="G238" t="str">
            <v>45 ELL</v>
          </cell>
          <cell r="H238" t="str">
            <v>4</v>
          </cell>
          <cell r="I238" t="str">
            <v>--</v>
          </cell>
          <cell r="J238" t="str">
            <v>SCH 40</v>
          </cell>
          <cell r="K238" t="str">
            <v>NONE</v>
          </cell>
          <cell r="L238" t="str">
            <v>BW CS A234-WPB-S B16.9 SUNLIGHT L-200</v>
          </cell>
          <cell r="M238">
            <v>4</v>
          </cell>
        </row>
        <row r="239">
          <cell r="C239" t="str">
            <v>503</v>
          </cell>
          <cell r="D239" t="str">
            <v>T</v>
          </cell>
          <cell r="E239">
            <v>6311</v>
          </cell>
          <cell r="F239" t="str">
            <v>B4300204000600</v>
          </cell>
          <cell r="G239" t="str">
            <v>45 ELL</v>
          </cell>
          <cell r="H239" t="str">
            <v>6</v>
          </cell>
          <cell r="I239" t="str">
            <v>--</v>
          </cell>
          <cell r="J239" t="str">
            <v>SCH 40</v>
          </cell>
          <cell r="K239" t="str">
            <v>NONE</v>
          </cell>
          <cell r="L239" t="str">
            <v>BW CS A234-WPB-S B16.9 SUNLIGHT L-200</v>
          </cell>
          <cell r="M239">
            <v>10</v>
          </cell>
        </row>
        <row r="240">
          <cell r="C240" t="str">
            <v>503</v>
          </cell>
          <cell r="D240" t="str">
            <v>T</v>
          </cell>
          <cell r="E240">
            <v>6311</v>
          </cell>
          <cell r="F240" t="str">
            <v>B4300204000800</v>
          </cell>
          <cell r="G240" t="str">
            <v>45 ELL</v>
          </cell>
          <cell r="H240" t="str">
            <v>8</v>
          </cell>
          <cell r="I240" t="str">
            <v>--</v>
          </cell>
          <cell r="J240" t="str">
            <v>SCH 40</v>
          </cell>
          <cell r="K240" t="str">
            <v>NONE</v>
          </cell>
          <cell r="L240" t="str">
            <v>BW CS A234-WPB-S B16.9 SUNLIGHT L-200</v>
          </cell>
          <cell r="M240">
            <v>4</v>
          </cell>
        </row>
        <row r="241">
          <cell r="C241" t="str">
            <v>503</v>
          </cell>
          <cell r="D241" t="str">
            <v>T</v>
          </cell>
          <cell r="E241">
            <v>6311</v>
          </cell>
          <cell r="F241" t="str">
            <v>C3300204000300</v>
          </cell>
          <cell r="G241" t="str">
            <v>45 ELL</v>
          </cell>
          <cell r="H241" t="str">
            <v>3</v>
          </cell>
          <cell r="I241" t="str">
            <v>--</v>
          </cell>
          <cell r="J241" t="str">
            <v>SCH 40</v>
          </cell>
          <cell r="K241" t="str">
            <v>NONE</v>
          </cell>
          <cell r="L241" t="str">
            <v>BW ITCS A420-WPL6-S B16.9 SHRINKABLE SLEEVE</v>
          </cell>
          <cell r="M241">
            <v>2</v>
          </cell>
        </row>
        <row r="242">
          <cell r="C242" t="str">
            <v>503</v>
          </cell>
          <cell r="D242" t="str">
            <v>T</v>
          </cell>
          <cell r="E242">
            <v>6311</v>
          </cell>
          <cell r="F242" t="str">
            <v>C3300208000300</v>
          </cell>
          <cell r="G242" t="str">
            <v>45 ELL</v>
          </cell>
          <cell r="H242" t="str">
            <v>3</v>
          </cell>
          <cell r="I242" t="str">
            <v>--</v>
          </cell>
          <cell r="J242" t="str">
            <v>SCH 80</v>
          </cell>
          <cell r="K242" t="str">
            <v>NONE</v>
          </cell>
          <cell r="L242" t="str">
            <v>BW ITCS A420-WPL6-S B16.9 SHRINKABLE SLEEVE</v>
          </cell>
          <cell r="M242">
            <v>7</v>
          </cell>
        </row>
        <row r="243">
          <cell r="C243" t="str">
            <v>503</v>
          </cell>
          <cell r="D243" t="str">
            <v>T</v>
          </cell>
          <cell r="E243">
            <v>6311</v>
          </cell>
          <cell r="F243" t="str">
            <v>C4300202000800</v>
          </cell>
          <cell r="G243" t="str">
            <v>45 ELL</v>
          </cell>
          <cell r="H243" t="str">
            <v>8</v>
          </cell>
          <cell r="I243" t="str">
            <v>--</v>
          </cell>
          <cell r="J243" t="str">
            <v>SCH 20</v>
          </cell>
          <cell r="K243" t="str">
            <v>NONE</v>
          </cell>
          <cell r="L243" t="str">
            <v>BW ITCS A420-WPL6-S B16.9 SUNLIGHT L-200</v>
          </cell>
          <cell r="M243">
            <v>2</v>
          </cell>
        </row>
        <row r="244">
          <cell r="C244" t="str">
            <v>503</v>
          </cell>
          <cell r="D244" t="str">
            <v>T</v>
          </cell>
          <cell r="E244">
            <v>6311</v>
          </cell>
          <cell r="F244" t="str">
            <v>S330020J000300</v>
          </cell>
          <cell r="G244" t="str">
            <v>45 ELL</v>
          </cell>
          <cell r="H244" t="str">
            <v>3</v>
          </cell>
          <cell r="I244" t="str">
            <v>--</v>
          </cell>
          <cell r="J244" t="str">
            <v>SCH 160</v>
          </cell>
          <cell r="K244" t="str">
            <v>NONE</v>
          </cell>
          <cell r="L244" t="str">
            <v>BW CS A234-WPB-S B16.9 (NACE) RP 5561V 999 6300 002 SHRINKABLE SLEEVE</v>
          </cell>
          <cell r="M244">
            <v>1</v>
          </cell>
        </row>
        <row r="245">
          <cell r="C245" t="str">
            <v>503</v>
          </cell>
          <cell r="D245" t="str">
            <v>T</v>
          </cell>
          <cell r="E245">
            <v>6311</v>
          </cell>
          <cell r="F245" t="str">
            <v>B3300104000300</v>
          </cell>
          <cell r="G245" t="str">
            <v>90 ELL</v>
          </cell>
          <cell r="H245" t="str">
            <v>3</v>
          </cell>
          <cell r="I245" t="str">
            <v>--</v>
          </cell>
          <cell r="J245" t="str">
            <v>SCH 40</v>
          </cell>
          <cell r="K245" t="str">
            <v>NONE</v>
          </cell>
          <cell r="L245" t="str">
            <v>BW CS A234-WPB-S B16.9 SHRINKABLE SLEEVE</v>
          </cell>
          <cell r="M245">
            <v>16</v>
          </cell>
        </row>
        <row r="246">
          <cell r="C246" t="str">
            <v>503</v>
          </cell>
          <cell r="D246" t="str">
            <v>T</v>
          </cell>
          <cell r="E246">
            <v>6311</v>
          </cell>
          <cell r="F246" t="str">
            <v>B3300104000400</v>
          </cell>
          <cell r="G246" t="str">
            <v>90 ELL</v>
          </cell>
          <cell r="H246" t="str">
            <v>4</v>
          </cell>
          <cell r="I246" t="str">
            <v>--</v>
          </cell>
          <cell r="J246" t="str">
            <v>SCH 40</v>
          </cell>
          <cell r="K246" t="str">
            <v>NONE</v>
          </cell>
          <cell r="L246" t="str">
            <v>BW CS A234-WPB-S B16.9 SHRINKABLE SLEEVE</v>
          </cell>
          <cell r="M246">
            <v>30</v>
          </cell>
        </row>
        <row r="247">
          <cell r="C247" t="str">
            <v>503</v>
          </cell>
          <cell r="D247" t="str">
            <v>T</v>
          </cell>
          <cell r="E247">
            <v>6311</v>
          </cell>
          <cell r="F247" t="str">
            <v>B3300104000600</v>
          </cell>
          <cell r="G247" t="str">
            <v>90 ELL</v>
          </cell>
          <cell r="H247" t="str">
            <v>6</v>
          </cell>
          <cell r="I247" t="str">
            <v>--</v>
          </cell>
          <cell r="J247" t="str">
            <v>SCH 40</v>
          </cell>
          <cell r="K247" t="str">
            <v>NONE</v>
          </cell>
          <cell r="L247" t="str">
            <v>BW CS A234-WPB-S B16.9 SHRINKABLE SLEEVE</v>
          </cell>
          <cell r="M247">
            <v>1</v>
          </cell>
        </row>
        <row r="248">
          <cell r="C248" t="str">
            <v>503</v>
          </cell>
          <cell r="D248" t="str">
            <v>T</v>
          </cell>
          <cell r="E248">
            <v>6311</v>
          </cell>
          <cell r="F248" t="str">
            <v>B3300108000300</v>
          </cell>
          <cell r="G248" t="str">
            <v>90 ELL</v>
          </cell>
          <cell r="H248" t="str">
            <v>3</v>
          </cell>
          <cell r="I248" t="str">
            <v>--</v>
          </cell>
          <cell r="J248" t="str">
            <v>SCH 80</v>
          </cell>
          <cell r="K248" t="str">
            <v>NONE</v>
          </cell>
          <cell r="L248" t="str">
            <v>BW CS A234-WPB-S B16.9 SHRINKABLE SLEEVE</v>
          </cell>
          <cell r="M248">
            <v>1</v>
          </cell>
        </row>
        <row r="249">
          <cell r="C249" t="str">
            <v>503</v>
          </cell>
          <cell r="D249" t="str">
            <v>T</v>
          </cell>
          <cell r="E249">
            <v>6311</v>
          </cell>
          <cell r="F249" t="str">
            <v>B4300104000300</v>
          </cell>
          <cell r="G249" t="str">
            <v>90 ELL</v>
          </cell>
          <cell r="H249" t="str">
            <v>3</v>
          </cell>
          <cell r="I249" t="str">
            <v>--</v>
          </cell>
          <cell r="J249" t="str">
            <v>SCH 40</v>
          </cell>
          <cell r="K249" t="str">
            <v>NONE</v>
          </cell>
          <cell r="L249" t="str">
            <v>BW CS A234-WPB-S B16.9 SUNLIGHT L-200</v>
          </cell>
          <cell r="M249">
            <v>10</v>
          </cell>
        </row>
        <row r="250">
          <cell r="C250" t="str">
            <v>503</v>
          </cell>
          <cell r="D250" t="str">
            <v>T</v>
          </cell>
          <cell r="E250">
            <v>6311</v>
          </cell>
          <cell r="F250" t="str">
            <v>B4300104000400</v>
          </cell>
          <cell r="G250" t="str">
            <v>90 ELL</v>
          </cell>
          <cell r="H250" t="str">
            <v>4</v>
          </cell>
          <cell r="I250" t="str">
            <v>--</v>
          </cell>
          <cell r="J250" t="str">
            <v>SCH 40</v>
          </cell>
          <cell r="K250" t="str">
            <v>NONE</v>
          </cell>
          <cell r="L250" t="str">
            <v>BW CS A234-WPB-S B16.9 SUNLIGHT L-200</v>
          </cell>
          <cell r="M250">
            <v>10</v>
          </cell>
        </row>
        <row r="251">
          <cell r="C251" t="str">
            <v>503</v>
          </cell>
          <cell r="D251" t="str">
            <v>T</v>
          </cell>
          <cell r="E251">
            <v>6311</v>
          </cell>
          <cell r="F251" t="str">
            <v>B4300104000600</v>
          </cell>
          <cell r="G251" t="str">
            <v>90 ELL</v>
          </cell>
          <cell r="H251" t="str">
            <v>6</v>
          </cell>
          <cell r="I251" t="str">
            <v>--</v>
          </cell>
          <cell r="J251" t="str">
            <v>SCH 40</v>
          </cell>
          <cell r="K251" t="str">
            <v>NONE</v>
          </cell>
          <cell r="L251" t="str">
            <v>BW CS A234-WPB-S B16.9 SUNLIGHT L-200</v>
          </cell>
          <cell r="M251">
            <v>1</v>
          </cell>
        </row>
        <row r="252">
          <cell r="C252" t="str">
            <v>503</v>
          </cell>
          <cell r="D252" t="str">
            <v>T</v>
          </cell>
          <cell r="E252">
            <v>6311</v>
          </cell>
          <cell r="F252" t="str">
            <v>B4300104000800</v>
          </cell>
          <cell r="G252" t="str">
            <v>90 ELL</v>
          </cell>
          <cell r="H252" t="str">
            <v>8</v>
          </cell>
          <cell r="I252" t="str">
            <v>--</v>
          </cell>
          <cell r="J252" t="str">
            <v>SCH 40</v>
          </cell>
          <cell r="K252" t="str">
            <v>NONE</v>
          </cell>
          <cell r="L252" t="str">
            <v>BW CS A234-WPB-S B16.9 SUNLIGHT L-200</v>
          </cell>
          <cell r="M252">
            <v>1</v>
          </cell>
        </row>
        <row r="253">
          <cell r="C253" t="str">
            <v>503</v>
          </cell>
          <cell r="D253" t="str">
            <v>T</v>
          </cell>
          <cell r="E253">
            <v>6311</v>
          </cell>
          <cell r="F253" t="str">
            <v>C3300108000300</v>
          </cell>
          <cell r="G253" t="str">
            <v>90 ELL</v>
          </cell>
          <cell r="H253" t="str">
            <v>3</v>
          </cell>
          <cell r="I253" t="str">
            <v>--</v>
          </cell>
          <cell r="J253" t="str">
            <v>SCH 80</v>
          </cell>
          <cell r="K253" t="str">
            <v>NONE</v>
          </cell>
          <cell r="L253" t="str">
            <v>BW ITCS A420-WPL6-S B16.9 SHRINKABLE SLEEVE</v>
          </cell>
          <cell r="M253">
            <v>10</v>
          </cell>
        </row>
        <row r="254">
          <cell r="C254" t="str">
            <v>503</v>
          </cell>
          <cell r="D254" t="str">
            <v>T</v>
          </cell>
          <cell r="E254">
            <v>6311</v>
          </cell>
          <cell r="F254" t="str">
            <v>G3520100000200</v>
          </cell>
          <cell r="G254" t="str">
            <v>90 ELL</v>
          </cell>
          <cell r="H254" t="str">
            <v>2</v>
          </cell>
          <cell r="I254" t="str">
            <v>--</v>
          </cell>
          <cell r="J254" t="str">
            <v>NONE</v>
          </cell>
          <cell r="K254" t="str">
            <v>NONE</v>
          </cell>
          <cell r="L254" t="str">
            <v>3000# THRD CS A105 GALV. B16.11 SHRINKABLE SLEEVE</v>
          </cell>
          <cell r="M254">
            <v>4</v>
          </cell>
        </row>
        <row r="255">
          <cell r="C255" t="str">
            <v>503</v>
          </cell>
          <cell r="D255" t="str">
            <v>T</v>
          </cell>
          <cell r="E255">
            <v>6311</v>
          </cell>
          <cell r="F255" t="str">
            <v>S330010J000300</v>
          </cell>
          <cell r="G255" t="str">
            <v>90 ELL</v>
          </cell>
          <cell r="H255" t="str">
            <v>3</v>
          </cell>
          <cell r="I255" t="str">
            <v>--</v>
          </cell>
          <cell r="J255" t="str">
            <v>SCH 160</v>
          </cell>
          <cell r="K255" t="str">
            <v>NONE</v>
          </cell>
          <cell r="L255" t="str">
            <v>BW CS A234-WPB-S B16.9 (NACE) RP 5561V 999 6300 002 SHRINKABLE SLEEVE</v>
          </cell>
          <cell r="M255">
            <v>3</v>
          </cell>
        </row>
        <row r="256">
          <cell r="C256" t="str">
            <v>503</v>
          </cell>
          <cell r="D256" t="str">
            <v>T</v>
          </cell>
          <cell r="E256">
            <v>6311</v>
          </cell>
          <cell r="F256" t="str">
            <v>B3300504040604</v>
          </cell>
          <cell r="G256" t="str">
            <v>C RED</v>
          </cell>
          <cell r="H256" t="str">
            <v>6</v>
          </cell>
          <cell r="I256" t="str">
            <v>4</v>
          </cell>
          <cell r="J256" t="str">
            <v>SCH 40</v>
          </cell>
          <cell r="K256" t="str">
            <v>SCH 40</v>
          </cell>
          <cell r="L256" t="str">
            <v>BW CS A234-WPB-S B16.9 SHRINKABLE SLEEVE</v>
          </cell>
          <cell r="M256">
            <v>1</v>
          </cell>
        </row>
        <row r="257">
          <cell r="C257" t="str">
            <v>503</v>
          </cell>
          <cell r="D257" t="str">
            <v>T</v>
          </cell>
          <cell r="E257">
            <v>6311</v>
          </cell>
          <cell r="F257" t="str">
            <v>G3520500000200</v>
          </cell>
          <cell r="G257" t="str">
            <v>CPLG</v>
          </cell>
          <cell r="H257" t="str">
            <v>2</v>
          </cell>
          <cell r="I257" t="str">
            <v>--</v>
          </cell>
          <cell r="J257" t="str">
            <v>NONE</v>
          </cell>
          <cell r="K257" t="str">
            <v>NONE</v>
          </cell>
          <cell r="L257" t="str">
            <v>3000# THRD CS A105 GALV. B16.11 SHRINKABLE SLEEVE</v>
          </cell>
          <cell r="M257">
            <v>12</v>
          </cell>
        </row>
        <row r="258">
          <cell r="C258" t="str">
            <v>503</v>
          </cell>
          <cell r="D258" t="str">
            <v>T</v>
          </cell>
          <cell r="E258">
            <v>6311</v>
          </cell>
          <cell r="F258" t="str">
            <v>B4300604040403</v>
          </cell>
          <cell r="G258" t="str">
            <v>E RED</v>
          </cell>
          <cell r="H258" t="str">
            <v>4</v>
          </cell>
          <cell r="I258" t="str">
            <v>3</v>
          </cell>
          <cell r="J258" t="str">
            <v>SCH 40</v>
          </cell>
          <cell r="K258" t="str">
            <v>SCH 40</v>
          </cell>
          <cell r="L258" t="str">
            <v>BW CS A234-WPB-S B16.9 SUNLIGHT L-200</v>
          </cell>
          <cell r="M258">
            <v>1</v>
          </cell>
        </row>
        <row r="259">
          <cell r="C259" t="str">
            <v>503</v>
          </cell>
          <cell r="D259" t="str">
            <v>T</v>
          </cell>
          <cell r="E259">
            <v>6311</v>
          </cell>
          <cell r="F259" t="str">
            <v>B4380300000803</v>
          </cell>
          <cell r="G259" t="str">
            <v>REINF PAD</v>
          </cell>
          <cell r="H259" t="str">
            <v>8</v>
          </cell>
          <cell r="I259" t="str">
            <v>3</v>
          </cell>
          <cell r="J259" t="str">
            <v>NONE</v>
          </cell>
          <cell r="K259" t="str">
            <v>NONE</v>
          </cell>
          <cell r="L259" t="str">
            <v>CS SMLS API 5L-B</v>
          </cell>
          <cell r="M259">
            <v>19</v>
          </cell>
        </row>
        <row r="260">
          <cell r="C260" t="str">
            <v>503</v>
          </cell>
          <cell r="D260" t="str">
            <v>T</v>
          </cell>
          <cell r="E260">
            <v>6311</v>
          </cell>
          <cell r="F260" t="str">
            <v>B4380300000804</v>
          </cell>
          <cell r="G260" t="str">
            <v>REINF PAD</v>
          </cell>
          <cell r="H260" t="str">
            <v>8</v>
          </cell>
          <cell r="I260" t="str">
            <v>4</v>
          </cell>
          <cell r="J260" t="str">
            <v>NONE</v>
          </cell>
          <cell r="K260" t="str">
            <v>NONE</v>
          </cell>
          <cell r="L260" t="str">
            <v>CS SMLS API 5L-B</v>
          </cell>
          <cell r="M260">
            <v>3</v>
          </cell>
        </row>
        <row r="261">
          <cell r="C261" t="str">
            <v>503</v>
          </cell>
          <cell r="D261" t="str">
            <v>T</v>
          </cell>
          <cell r="E261">
            <v>6311</v>
          </cell>
          <cell r="F261" t="str">
            <v>B4380300000806</v>
          </cell>
          <cell r="G261" t="str">
            <v>REINF PAD</v>
          </cell>
          <cell r="H261" t="str">
            <v>8</v>
          </cell>
          <cell r="I261" t="str">
            <v>6</v>
          </cell>
          <cell r="J261" t="str">
            <v>NONE</v>
          </cell>
          <cell r="K261" t="str">
            <v>NONE</v>
          </cell>
          <cell r="L261" t="str">
            <v>CS SMLS API 5L-B</v>
          </cell>
          <cell r="M261">
            <v>5</v>
          </cell>
        </row>
        <row r="262">
          <cell r="C262" t="str">
            <v>503</v>
          </cell>
          <cell r="D262" t="str">
            <v>T</v>
          </cell>
          <cell r="E262">
            <v>6311</v>
          </cell>
          <cell r="F262" t="str">
            <v>B3300304000400</v>
          </cell>
          <cell r="G262" t="str">
            <v>TEE</v>
          </cell>
          <cell r="H262" t="str">
            <v>4</v>
          </cell>
          <cell r="I262" t="str">
            <v>--</v>
          </cell>
          <cell r="J262" t="str">
            <v>SCH 40</v>
          </cell>
          <cell r="K262" t="str">
            <v>NONE</v>
          </cell>
          <cell r="L262" t="str">
            <v>BW CS A234-WPB-S B16.9 SHRINKABLE SLEEVE</v>
          </cell>
          <cell r="M262">
            <v>1</v>
          </cell>
        </row>
        <row r="263">
          <cell r="C263" t="str">
            <v>503</v>
          </cell>
          <cell r="D263" t="str">
            <v>T</v>
          </cell>
          <cell r="E263">
            <v>6311</v>
          </cell>
          <cell r="F263" t="str">
            <v>B4300304000300</v>
          </cell>
          <cell r="G263" t="str">
            <v>TEE</v>
          </cell>
          <cell r="H263" t="str">
            <v>3</v>
          </cell>
          <cell r="I263" t="str">
            <v>--</v>
          </cell>
          <cell r="J263" t="str">
            <v>SCH 40</v>
          </cell>
          <cell r="K263" t="str">
            <v>NONE</v>
          </cell>
          <cell r="L263" t="str">
            <v>BW CS A234-WPB-S B16.9 SUNLIGHT L-200</v>
          </cell>
          <cell r="M263">
            <v>2</v>
          </cell>
        </row>
        <row r="264">
          <cell r="C264" t="str">
            <v>503</v>
          </cell>
          <cell r="D264" t="str">
            <v>T</v>
          </cell>
          <cell r="E264">
            <v>6311</v>
          </cell>
          <cell r="F264" t="str">
            <v>B4300304000400</v>
          </cell>
          <cell r="G264" t="str">
            <v>TEE</v>
          </cell>
          <cell r="H264" t="str">
            <v>4</v>
          </cell>
          <cell r="I264" t="str">
            <v>--</v>
          </cell>
          <cell r="J264" t="str">
            <v>SCH 40</v>
          </cell>
          <cell r="K264" t="str">
            <v>NONE</v>
          </cell>
          <cell r="L264" t="str">
            <v>BW CS A234-WPB-S B16.9 SUNLIGHT L-200</v>
          </cell>
          <cell r="M264">
            <v>4</v>
          </cell>
        </row>
        <row r="265">
          <cell r="C265" t="str">
            <v>503</v>
          </cell>
          <cell r="D265" t="str">
            <v>T</v>
          </cell>
          <cell r="E265">
            <v>6311</v>
          </cell>
          <cell r="F265" t="str">
            <v>C3300308000300</v>
          </cell>
          <cell r="G265" t="str">
            <v>TEE</v>
          </cell>
          <cell r="H265" t="str">
            <v>3</v>
          </cell>
          <cell r="I265" t="str">
            <v>--</v>
          </cell>
          <cell r="J265" t="str">
            <v>SCH 80</v>
          </cell>
          <cell r="K265" t="str">
            <v>NONE</v>
          </cell>
          <cell r="L265" t="str">
            <v>BW ITCS A420-WPL6-S B16.9 SHRINKABLE SLEEVE</v>
          </cell>
          <cell r="M265">
            <v>6</v>
          </cell>
        </row>
        <row r="266">
          <cell r="C266" t="str">
            <v>503</v>
          </cell>
          <cell r="D266" t="str">
            <v>T</v>
          </cell>
          <cell r="E266">
            <v>6311</v>
          </cell>
          <cell r="F266" t="str">
            <v>G3520300000200</v>
          </cell>
          <cell r="G266" t="str">
            <v>TEE</v>
          </cell>
          <cell r="H266" t="str">
            <v>2</v>
          </cell>
          <cell r="I266" t="str">
            <v>--</v>
          </cell>
          <cell r="J266" t="str">
            <v>NONE</v>
          </cell>
          <cell r="K266" t="str">
            <v>NONE</v>
          </cell>
          <cell r="L266" t="str">
            <v>3000# THRD CS A105 GALV. B16.11 SHRINKABLE SLEEVE</v>
          </cell>
          <cell r="M266">
            <v>1</v>
          </cell>
        </row>
        <row r="267">
          <cell r="C267" t="str">
            <v>503</v>
          </cell>
          <cell r="D267" t="str">
            <v>T</v>
          </cell>
          <cell r="E267">
            <v>6311</v>
          </cell>
          <cell r="F267" t="str">
            <v>S330030J000300</v>
          </cell>
          <cell r="G267" t="str">
            <v>TEE</v>
          </cell>
          <cell r="H267" t="str">
            <v>3</v>
          </cell>
          <cell r="I267" t="str">
            <v>--</v>
          </cell>
          <cell r="J267" t="str">
            <v>SCH 160</v>
          </cell>
          <cell r="K267" t="str">
            <v>NONE</v>
          </cell>
          <cell r="L267" t="str">
            <v>BW CS A234-WPB-S B16.9 (NACE) RP 5561V 999 6300 002 SHRINKABLE SLEEVE</v>
          </cell>
          <cell r="M267">
            <v>1</v>
          </cell>
        </row>
        <row r="268">
          <cell r="C268" t="str">
            <v>503</v>
          </cell>
          <cell r="D268" t="str">
            <v>F</v>
          </cell>
          <cell r="E268">
            <v>6311</v>
          </cell>
          <cell r="F268" t="str">
            <v>CB270200000600</v>
          </cell>
          <cell r="G268" t="str">
            <v>BL FLG</v>
          </cell>
          <cell r="H268" t="str">
            <v>6</v>
          </cell>
          <cell r="I268" t="str">
            <v>--</v>
          </cell>
          <cell r="J268" t="str">
            <v>NONE</v>
          </cell>
          <cell r="K268" t="str">
            <v>NONE</v>
          </cell>
          <cell r="L268" t="str">
            <v>300# RF CS A105 B16.5</v>
          </cell>
          <cell r="M268">
            <v>2</v>
          </cell>
        </row>
        <row r="269">
          <cell r="C269" t="str">
            <v>503</v>
          </cell>
          <cell r="D269" t="str">
            <v>F</v>
          </cell>
          <cell r="E269">
            <v>6311</v>
          </cell>
          <cell r="F269" t="str">
            <v>CB830500000800</v>
          </cell>
          <cell r="G269" t="str">
            <v>SPACER</v>
          </cell>
          <cell r="H269" t="str">
            <v>8</v>
          </cell>
          <cell r="I269" t="str">
            <v>--</v>
          </cell>
          <cell r="J269" t="str">
            <v>NONE</v>
          </cell>
          <cell r="K269" t="str">
            <v>NONE</v>
          </cell>
          <cell r="L269" t="str">
            <v>300# RF CS A515-70 PER API 590 W/BLANK</v>
          </cell>
          <cell r="M269">
            <v>1</v>
          </cell>
        </row>
        <row r="270">
          <cell r="C270" t="str">
            <v>503</v>
          </cell>
          <cell r="D270" t="str">
            <v>F</v>
          </cell>
          <cell r="E270">
            <v>6311</v>
          </cell>
          <cell r="F270" t="str">
            <v>CC832800000300</v>
          </cell>
          <cell r="G270" t="str">
            <v>SPACER</v>
          </cell>
          <cell r="H270" t="str">
            <v>3</v>
          </cell>
          <cell r="I270" t="str">
            <v>--</v>
          </cell>
          <cell r="J270" t="str">
            <v>NONE</v>
          </cell>
          <cell r="K270" t="str">
            <v>NONE</v>
          </cell>
          <cell r="L270" t="str">
            <v>600# RF 125 AARH ITCS A516-65 PER API 590 W/BLANK</v>
          </cell>
          <cell r="M270">
            <v>1</v>
          </cell>
        </row>
        <row r="271">
          <cell r="C271" t="str">
            <v>503</v>
          </cell>
          <cell r="D271" t="str">
            <v>F</v>
          </cell>
          <cell r="E271">
            <v>6311</v>
          </cell>
          <cell r="F271" t="str">
            <v>CB200204000600</v>
          </cell>
          <cell r="G271" t="str">
            <v>WN FLG</v>
          </cell>
          <cell r="H271" t="str">
            <v>6</v>
          </cell>
          <cell r="I271" t="str">
            <v>--</v>
          </cell>
          <cell r="J271" t="str">
            <v>SCH 40</v>
          </cell>
          <cell r="K271" t="str">
            <v>NONE</v>
          </cell>
          <cell r="L271" t="str">
            <v>300# RF CS A105 B16.5</v>
          </cell>
          <cell r="M271">
            <v>2</v>
          </cell>
        </row>
        <row r="272">
          <cell r="C272" t="str">
            <v>503</v>
          </cell>
          <cell r="D272" t="str">
            <v>F</v>
          </cell>
          <cell r="E272">
            <v>6311</v>
          </cell>
          <cell r="F272" t="str">
            <v>CB200204000800</v>
          </cell>
          <cell r="G272" t="str">
            <v>WN FLG</v>
          </cell>
          <cell r="H272" t="str">
            <v>8</v>
          </cell>
          <cell r="I272" t="str">
            <v>--</v>
          </cell>
          <cell r="J272" t="str">
            <v>SCH 40</v>
          </cell>
          <cell r="K272" t="str">
            <v>NONE</v>
          </cell>
          <cell r="L272" t="str">
            <v>300# RF CS A105 B16.5</v>
          </cell>
          <cell r="M272">
            <v>1</v>
          </cell>
        </row>
        <row r="273">
          <cell r="C273" t="str">
            <v>503</v>
          </cell>
          <cell r="D273" t="str">
            <v>F</v>
          </cell>
          <cell r="E273">
            <v>6311</v>
          </cell>
          <cell r="F273" t="str">
            <v>CC200104000300</v>
          </cell>
          <cell r="G273" t="str">
            <v>WN FLG</v>
          </cell>
          <cell r="H273" t="str">
            <v>3</v>
          </cell>
          <cell r="I273" t="str">
            <v>--</v>
          </cell>
          <cell r="J273" t="str">
            <v>SCH 40</v>
          </cell>
          <cell r="K273" t="str">
            <v>NONE</v>
          </cell>
          <cell r="L273" t="str">
            <v>150# RF ITCS A350-LF2 B16.5</v>
          </cell>
          <cell r="M273">
            <v>1</v>
          </cell>
        </row>
        <row r="274">
          <cell r="C274" t="str">
            <v>503</v>
          </cell>
          <cell r="D274" t="str">
            <v>F</v>
          </cell>
          <cell r="E274">
            <v>6311</v>
          </cell>
          <cell r="F274" t="str">
            <v>CC200202000800</v>
          </cell>
          <cell r="G274" t="str">
            <v>WN FLG</v>
          </cell>
          <cell r="H274" t="str">
            <v>8</v>
          </cell>
          <cell r="I274" t="str">
            <v>--</v>
          </cell>
          <cell r="J274" t="str">
            <v>SCH 20</v>
          </cell>
          <cell r="K274" t="str">
            <v>NONE</v>
          </cell>
          <cell r="L274" t="str">
            <v>300# RF ITCS A350-LF2 B16.5</v>
          </cell>
          <cell r="M274">
            <v>2</v>
          </cell>
        </row>
        <row r="275">
          <cell r="C275" t="str">
            <v>503</v>
          </cell>
          <cell r="D275" t="str">
            <v>F</v>
          </cell>
          <cell r="E275">
            <v>6311</v>
          </cell>
          <cell r="F275" t="str">
            <v>CC201304000300</v>
          </cell>
          <cell r="G275" t="str">
            <v>WN FLG</v>
          </cell>
          <cell r="H275" t="str">
            <v>3</v>
          </cell>
          <cell r="I275" t="str">
            <v>--</v>
          </cell>
          <cell r="J275" t="str">
            <v>SCH 40</v>
          </cell>
          <cell r="K275" t="str">
            <v>NONE</v>
          </cell>
          <cell r="L275" t="str">
            <v>600# RF 125 AARH ITCS A350-LF2 B16.5</v>
          </cell>
          <cell r="M275">
            <v>1</v>
          </cell>
        </row>
        <row r="276">
          <cell r="C276" t="str">
            <v>503</v>
          </cell>
          <cell r="D276" t="str">
            <v>F</v>
          </cell>
          <cell r="E276">
            <v>6311</v>
          </cell>
          <cell r="F276" t="str">
            <v>CC201308000300</v>
          </cell>
          <cell r="G276" t="str">
            <v>WN FLG</v>
          </cell>
          <cell r="H276" t="str">
            <v>3</v>
          </cell>
          <cell r="I276" t="str">
            <v>--</v>
          </cell>
          <cell r="J276" t="str">
            <v>SCH 80</v>
          </cell>
          <cell r="K276" t="str">
            <v>NONE</v>
          </cell>
          <cell r="L276" t="str">
            <v>600# RF 125 AARH ITCS A350-LF2 B16.5</v>
          </cell>
          <cell r="M276">
            <v>1</v>
          </cell>
        </row>
        <row r="277">
          <cell r="C277" t="str">
            <v>503</v>
          </cell>
          <cell r="D277" t="str">
            <v>P</v>
          </cell>
          <cell r="E277">
            <v>6326</v>
          </cell>
          <cell r="F277" t="str">
            <v>JF12030Q000400</v>
          </cell>
          <cell r="G277" t="str">
            <v>PIPE</v>
          </cell>
          <cell r="H277" t="str">
            <v>4</v>
          </cell>
          <cell r="I277" t="str">
            <v>--</v>
          </cell>
          <cell r="J277" t="str">
            <v>3.9MM WT</v>
          </cell>
          <cell r="K277" t="str">
            <v>NONE</v>
          </cell>
          <cell r="L277" t="str">
            <v>BELL &amp; SPIGOT TYPE RTRP D2996 TYPE1 GR.1 CL.F</v>
          </cell>
          <cell r="M277">
            <v>54.7</v>
          </cell>
        </row>
        <row r="278">
          <cell r="C278" t="str">
            <v>503</v>
          </cell>
          <cell r="D278" t="str">
            <v>P</v>
          </cell>
          <cell r="E278">
            <v>6326</v>
          </cell>
          <cell r="F278" t="str">
            <v>JF12030S000600</v>
          </cell>
          <cell r="G278" t="str">
            <v>PIPE</v>
          </cell>
          <cell r="H278" t="str">
            <v>6</v>
          </cell>
          <cell r="I278" t="str">
            <v>--</v>
          </cell>
          <cell r="J278" t="str">
            <v>4.6MM WT</v>
          </cell>
          <cell r="K278" t="str">
            <v>NONE</v>
          </cell>
          <cell r="L278" t="str">
            <v>BELL &amp; SPIGOT TYPE RTRP D2996 TYPE1 GR.1 CL.F</v>
          </cell>
          <cell r="M278">
            <v>2.7</v>
          </cell>
        </row>
        <row r="279">
          <cell r="C279" t="str">
            <v>503</v>
          </cell>
          <cell r="D279" t="str">
            <v>P</v>
          </cell>
          <cell r="E279">
            <v>6326</v>
          </cell>
          <cell r="F279" t="str">
            <v>JF12030T000800</v>
          </cell>
          <cell r="G279" t="str">
            <v>PIPE</v>
          </cell>
          <cell r="H279" t="str">
            <v>8</v>
          </cell>
          <cell r="I279" t="str">
            <v>--</v>
          </cell>
          <cell r="J279" t="str">
            <v>5.8MM WT</v>
          </cell>
          <cell r="K279" t="str">
            <v>NONE</v>
          </cell>
          <cell r="L279" t="str">
            <v>BELL &amp; SPIGOT TYPE RTRP D2996 TYPE1 GR.1 CL.F</v>
          </cell>
          <cell r="M279">
            <v>130</v>
          </cell>
        </row>
        <row r="280">
          <cell r="C280" t="str">
            <v>503</v>
          </cell>
          <cell r="D280" t="str">
            <v>P</v>
          </cell>
          <cell r="E280">
            <v>6326</v>
          </cell>
          <cell r="F280" t="str">
            <v>JF12030U001000</v>
          </cell>
          <cell r="G280" t="str">
            <v>PIPE</v>
          </cell>
          <cell r="H280" t="str">
            <v>10</v>
          </cell>
          <cell r="I280" t="str">
            <v>--</v>
          </cell>
          <cell r="J280" t="str">
            <v>7.2MM WT</v>
          </cell>
          <cell r="K280" t="str">
            <v>NONE</v>
          </cell>
          <cell r="L280" t="str">
            <v>BELL &amp; SPIGOT TYPE RTRP D2996 TYPE1 GR.1 CL.F</v>
          </cell>
          <cell r="M280">
            <v>65</v>
          </cell>
        </row>
        <row r="281">
          <cell r="C281" t="str">
            <v>503</v>
          </cell>
          <cell r="D281" t="str">
            <v>P</v>
          </cell>
          <cell r="E281">
            <v>6326</v>
          </cell>
          <cell r="F281" t="str">
            <v>JF12030X001400</v>
          </cell>
          <cell r="G281" t="str">
            <v>PIPE</v>
          </cell>
          <cell r="H281" t="str">
            <v>14</v>
          </cell>
          <cell r="I281" t="str">
            <v>--</v>
          </cell>
          <cell r="J281" t="str">
            <v>9.2MM WT</v>
          </cell>
          <cell r="K281" t="str">
            <v>NONE</v>
          </cell>
          <cell r="L281" t="str">
            <v>BELL &amp; SPIGOT TYPE RTRP D2996 TYPE1 GR.1 CL.F</v>
          </cell>
          <cell r="M281">
            <v>55</v>
          </cell>
        </row>
        <row r="282">
          <cell r="C282" t="str">
            <v>503</v>
          </cell>
          <cell r="D282" t="str">
            <v>P</v>
          </cell>
          <cell r="E282">
            <v>6326</v>
          </cell>
          <cell r="F282" t="str">
            <v>JF12030Y001600</v>
          </cell>
          <cell r="G282" t="str">
            <v>PIPE</v>
          </cell>
          <cell r="H282" t="str">
            <v>16</v>
          </cell>
          <cell r="I282" t="str">
            <v>--</v>
          </cell>
          <cell r="J282" t="str">
            <v>10.5MM WT</v>
          </cell>
          <cell r="K282" t="str">
            <v>NONE</v>
          </cell>
          <cell r="L282" t="str">
            <v>BELL &amp; SPIGOT TYPE RTRP D2996 TYPE1 GR.1 CL.F</v>
          </cell>
          <cell r="M282">
            <v>25</v>
          </cell>
        </row>
        <row r="283">
          <cell r="C283" t="str">
            <v>503</v>
          </cell>
          <cell r="D283" t="str">
            <v>P</v>
          </cell>
          <cell r="E283">
            <v>6326</v>
          </cell>
          <cell r="F283" t="str">
            <v>JF12031B001800</v>
          </cell>
          <cell r="G283" t="str">
            <v>PIPE</v>
          </cell>
          <cell r="H283" t="str">
            <v>18</v>
          </cell>
          <cell r="I283" t="str">
            <v>--</v>
          </cell>
          <cell r="J283" t="str">
            <v>11.5MM WT</v>
          </cell>
          <cell r="K283" t="str">
            <v>NONE</v>
          </cell>
          <cell r="L283" t="str">
            <v>BELL &amp; SPIGOT TYPE RTRP D2996 TYPE1 GR.1 CL.F</v>
          </cell>
          <cell r="M283">
            <v>25</v>
          </cell>
        </row>
        <row r="284">
          <cell r="C284" t="str">
            <v>503</v>
          </cell>
          <cell r="D284" t="str">
            <v>T</v>
          </cell>
          <cell r="E284">
            <v>6326</v>
          </cell>
          <cell r="F284" t="str">
            <v>JF46100Q000400</v>
          </cell>
          <cell r="G284" t="str">
            <v>22.5 ELL</v>
          </cell>
          <cell r="H284" t="str">
            <v>4</v>
          </cell>
          <cell r="I284" t="str">
            <v>--</v>
          </cell>
          <cell r="J284" t="str">
            <v>3.9MM WT</v>
          </cell>
          <cell r="K284" t="str">
            <v>NONE</v>
          </cell>
          <cell r="L284" t="str">
            <v>BELL END RTRP D2996 TYPE1 GR.1 CL.F</v>
          </cell>
          <cell r="M284">
            <v>2</v>
          </cell>
        </row>
        <row r="285">
          <cell r="C285" t="str">
            <v>503</v>
          </cell>
          <cell r="D285" t="str">
            <v>T</v>
          </cell>
          <cell r="E285">
            <v>6326</v>
          </cell>
          <cell r="F285" t="str">
            <v>JF46020Q000400</v>
          </cell>
          <cell r="G285" t="str">
            <v>45 ELL</v>
          </cell>
          <cell r="H285" t="str">
            <v>4</v>
          </cell>
          <cell r="I285" t="str">
            <v>--</v>
          </cell>
          <cell r="J285" t="str">
            <v>3.9MM WT</v>
          </cell>
          <cell r="K285" t="str">
            <v>NONE</v>
          </cell>
          <cell r="L285" t="str">
            <v>BELL END RTRP D2996 TYPE1 GR.1 CL.F</v>
          </cell>
          <cell r="M285">
            <v>4</v>
          </cell>
        </row>
        <row r="286">
          <cell r="C286" t="str">
            <v>503</v>
          </cell>
          <cell r="D286" t="str">
            <v>T</v>
          </cell>
          <cell r="E286">
            <v>6326</v>
          </cell>
          <cell r="F286" t="str">
            <v>JF46010Q000400</v>
          </cell>
          <cell r="G286" t="str">
            <v>90 ELL</v>
          </cell>
          <cell r="H286" t="str">
            <v>4</v>
          </cell>
          <cell r="I286" t="str">
            <v>--</v>
          </cell>
          <cell r="J286" t="str">
            <v>3.9MM WT</v>
          </cell>
          <cell r="K286" t="str">
            <v>NONE</v>
          </cell>
          <cell r="L286" t="str">
            <v>BELL END RTRP D2996 TYPE1 GR.1 CL.F</v>
          </cell>
          <cell r="M286">
            <v>7</v>
          </cell>
        </row>
        <row r="287">
          <cell r="C287" t="str">
            <v>503</v>
          </cell>
          <cell r="D287" t="str">
            <v>T</v>
          </cell>
          <cell r="E287">
            <v>6326</v>
          </cell>
          <cell r="F287" t="str">
            <v>JF46070S0Q0604</v>
          </cell>
          <cell r="G287" t="str">
            <v>C RED</v>
          </cell>
          <cell r="H287" t="str">
            <v>6</v>
          </cell>
          <cell r="I287" t="str">
            <v>4</v>
          </cell>
          <cell r="J287" t="str">
            <v>4.6MM WT</v>
          </cell>
          <cell r="K287" t="str">
            <v>3.9MM WT</v>
          </cell>
          <cell r="L287" t="str">
            <v>BELL END RTRP D2996 TYPE1 GR.1 CL.F</v>
          </cell>
          <cell r="M287">
            <v>2</v>
          </cell>
        </row>
        <row r="288">
          <cell r="C288" t="str">
            <v>503</v>
          </cell>
          <cell r="D288" t="str">
            <v>T</v>
          </cell>
          <cell r="E288">
            <v>6326</v>
          </cell>
          <cell r="F288" t="str">
            <v>JF46030Q000400</v>
          </cell>
          <cell r="G288" t="str">
            <v>TEE</v>
          </cell>
          <cell r="H288" t="str">
            <v>4</v>
          </cell>
          <cell r="I288" t="str">
            <v>--</v>
          </cell>
          <cell r="J288" t="str">
            <v>3.9MM WT</v>
          </cell>
          <cell r="K288" t="str">
            <v>NONE</v>
          </cell>
          <cell r="L288" t="str">
            <v>BELL END RTRP D2996 TYPE1 GR.1 CL.F</v>
          </cell>
          <cell r="M288">
            <v>2</v>
          </cell>
        </row>
        <row r="289">
          <cell r="C289" t="str">
            <v>503</v>
          </cell>
          <cell r="D289" t="str">
            <v>V</v>
          </cell>
          <cell r="E289">
            <v>6311</v>
          </cell>
          <cell r="F289" t="str">
            <v>PBL60231000003</v>
          </cell>
          <cell r="G289" t="str">
            <v>BALL VA</v>
          </cell>
          <cell r="H289" t="str">
            <v>3</v>
          </cell>
          <cell r="I289" t="str">
            <v>--</v>
          </cell>
          <cell r="J289" t="str">
            <v>NONE</v>
          </cell>
          <cell r="K289" t="str">
            <v>NONE</v>
          </cell>
          <cell r="L289" t="str">
            <v>600# RFSF A352-LC1 W/A350-LF2 ENP PTFE RB, TM TPE OR SPB FIRE SAFE &amp; ANTI STATIC, EXTENDED STEM</v>
          </cell>
          <cell r="M289">
            <v>1</v>
          </cell>
        </row>
        <row r="290">
          <cell r="C290" t="str">
            <v>503</v>
          </cell>
          <cell r="D290" t="str">
            <v>V</v>
          </cell>
          <cell r="E290">
            <v>6311</v>
          </cell>
          <cell r="F290" t="str">
            <v>PBN30131000008</v>
          </cell>
          <cell r="G290" t="str">
            <v>BALL VA</v>
          </cell>
          <cell r="H290" t="str">
            <v>8</v>
          </cell>
          <cell r="I290" t="str">
            <v>--</v>
          </cell>
          <cell r="J290" t="str">
            <v>NONE</v>
          </cell>
          <cell r="K290" t="str">
            <v>NONE</v>
          </cell>
          <cell r="L290" t="str">
            <v>300# RF A216-WCB W/A105 ENP PTFE RB, TM TPE OR SPB FIRE SAFE &amp; ANTI STATIC GO, EXTENDED STEM</v>
          </cell>
          <cell r="M290">
            <v>1</v>
          </cell>
        </row>
        <row r="291">
          <cell r="C291" t="str">
            <v>503</v>
          </cell>
          <cell r="D291" t="str">
            <v>L</v>
          </cell>
          <cell r="E291">
            <v>6311</v>
          </cell>
          <cell r="F291" t="str">
            <v>CB740100000TWG</v>
          </cell>
          <cell r="G291" t="str">
            <v>B/N</v>
          </cell>
          <cell r="H291" t="str">
            <v>3/4</v>
          </cell>
          <cell r="I291" t="str">
            <v>130mm</v>
          </cell>
          <cell r="J291" t="str">
            <v>NONE</v>
          </cell>
          <cell r="K291" t="str">
            <v>NONE</v>
          </cell>
          <cell r="L291" t="str">
            <v>STUD BOLTS A193 B7 W/2 HEAVY HEX NUTS A194-2H</v>
          </cell>
          <cell r="M291">
            <v>24</v>
          </cell>
        </row>
        <row r="292">
          <cell r="C292" t="str">
            <v>503</v>
          </cell>
          <cell r="D292" t="str">
            <v>L</v>
          </cell>
          <cell r="E292">
            <v>6311</v>
          </cell>
          <cell r="F292" t="str">
            <v>CB740100000FWJ</v>
          </cell>
          <cell r="G292" t="str">
            <v>B/N</v>
          </cell>
          <cell r="H292" t="str">
            <v>7/8</v>
          </cell>
          <cell r="I292" t="str">
            <v>140mm</v>
          </cell>
          <cell r="J292" t="str">
            <v>NONE</v>
          </cell>
          <cell r="K292" t="str">
            <v>NONE</v>
          </cell>
          <cell r="L292" t="str">
            <v>STUD BOLTS A193 B7 W/2 HEAVY HEX NUTS A194-2H</v>
          </cell>
          <cell r="M292">
            <v>12</v>
          </cell>
        </row>
        <row r="293">
          <cell r="C293" t="str">
            <v>503</v>
          </cell>
          <cell r="D293" t="str">
            <v>L</v>
          </cell>
          <cell r="E293">
            <v>6311</v>
          </cell>
          <cell r="F293" t="str">
            <v>CB740400000DVV</v>
          </cell>
          <cell r="G293" t="str">
            <v>B/N</v>
          </cell>
          <cell r="H293" t="str">
            <v>5/8</v>
          </cell>
          <cell r="I293" t="str">
            <v>95mm</v>
          </cell>
          <cell r="J293" t="str">
            <v>NONE</v>
          </cell>
          <cell r="K293" t="str">
            <v>NONE</v>
          </cell>
          <cell r="L293" t="str">
            <v>STUD BOLTS A193 B7M W/2 HEAVY HEX NUTS A194-2HM</v>
          </cell>
          <cell r="M293">
            <v>4</v>
          </cell>
        </row>
        <row r="294">
          <cell r="C294" t="str">
            <v>503</v>
          </cell>
          <cell r="D294" t="str">
            <v>L</v>
          </cell>
          <cell r="E294">
            <v>6311</v>
          </cell>
          <cell r="F294" t="str">
            <v>CB740400000TWG</v>
          </cell>
          <cell r="G294" t="str">
            <v>B/N</v>
          </cell>
          <cell r="H294" t="str">
            <v>3/4</v>
          </cell>
          <cell r="I294" t="str">
            <v>130mm</v>
          </cell>
          <cell r="J294" t="str">
            <v>NONE</v>
          </cell>
          <cell r="K294" t="str">
            <v>NONE</v>
          </cell>
          <cell r="L294" t="str">
            <v>STUD BOLTS A193 B7M W/2 HEAVY HEX NUTS A194-2HM</v>
          </cell>
          <cell r="M294">
            <v>8</v>
          </cell>
        </row>
        <row r="295">
          <cell r="C295" t="str">
            <v>503</v>
          </cell>
          <cell r="D295" t="str">
            <v>L</v>
          </cell>
          <cell r="E295">
            <v>6311</v>
          </cell>
          <cell r="F295" t="str">
            <v>CB740400000TWK</v>
          </cell>
          <cell r="G295" t="str">
            <v>B/N</v>
          </cell>
          <cell r="H295" t="str">
            <v>3/4</v>
          </cell>
          <cell r="I295" t="str">
            <v>145mm</v>
          </cell>
          <cell r="J295" t="str">
            <v>NONE</v>
          </cell>
          <cell r="K295" t="str">
            <v>NONE</v>
          </cell>
          <cell r="L295" t="str">
            <v>STUD BOLTS A193 B7M W/2 HEAVY HEX NUTS A194-2HM</v>
          </cell>
          <cell r="M295">
            <v>8</v>
          </cell>
        </row>
        <row r="296">
          <cell r="C296" t="str">
            <v>503</v>
          </cell>
          <cell r="D296" t="str">
            <v>L</v>
          </cell>
          <cell r="E296">
            <v>6311</v>
          </cell>
          <cell r="F296" t="str">
            <v>CB740400000FWJ</v>
          </cell>
          <cell r="G296" t="str">
            <v>B/N</v>
          </cell>
          <cell r="H296" t="str">
            <v>7/8</v>
          </cell>
          <cell r="I296" t="str">
            <v>140mm</v>
          </cell>
          <cell r="J296" t="str">
            <v>NONE</v>
          </cell>
          <cell r="K296" t="str">
            <v>NONE</v>
          </cell>
          <cell r="L296" t="str">
            <v>STUD BOLTS A193 B7M W/2 HEAVY HEX NUTS A194-2HM</v>
          </cell>
          <cell r="M296">
            <v>12</v>
          </cell>
        </row>
        <row r="297">
          <cell r="C297" t="str">
            <v>503</v>
          </cell>
          <cell r="D297" t="str">
            <v>L</v>
          </cell>
          <cell r="E297">
            <v>6311</v>
          </cell>
          <cell r="F297" t="str">
            <v>CB740400000FWN</v>
          </cell>
          <cell r="G297" t="str">
            <v>B/N</v>
          </cell>
          <cell r="H297" t="str">
            <v>7/8</v>
          </cell>
          <cell r="I297" t="str">
            <v>160mm</v>
          </cell>
          <cell r="J297" t="str">
            <v>NONE</v>
          </cell>
          <cell r="K297" t="str">
            <v>NONE</v>
          </cell>
          <cell r="L297" t="str">
            <v>STUD BOLTS A193 B7M W/2 HEAVY HEX NUTS A194-2HM</v>
          </cell>
          <cell r="M297">
            <v>12</v>
          </cell>
        </row>
        <row r="298">
          <cell r="C298" t="str">
            <v>503</v>
          </cell>
          <cell r="D298" t="str">
            <v>G</v>
          </cell>
          <cell r="E298">
            <v>6318</v>
          </cell>
          <cell r="F298" t="str">
            <v>R4DF1-A2000003</v>
          </cell>
          <cell r="G298" t="str">
            <v>GSKT</v>
          </cell>
          <cell r="H298" t="str">
            <v>3</v>
          </cell>
          <cell r="I298" t="str">
            <v>--</v>
          </cell>
          <cell r="J298" t="str">
            <v>NONE</v>
          </cell>
          <cell r="K298" t="str">
            <v>NONE</v>
          </cell>
          <cell r="L298" t="str">
            <v>150# RF 2MM CAF FLAT GASKET B16.21</v>
          </cell>
          <cell r="M298">
            <v>1</v>
          </cell>
        </row>
        <row r="299">
          <cell r="C299" t="str">
            <v>503</v>
          </cell>
          <cell r="D299" t="str">
            <v>G</v>
          </cell>
          <cell r="E299">
            <v>6318</v>
          </cell>
          <cell r="F299" t="str">
            <v>R4DF1-B2000006</v>
          </cell>
          <cell r="G299" t="str">
            <v>GSKT</v>
          </cell>
          <cell r="H299" t="str">
            <v>6</v>
          </cell>
          <cell r="I299" t="str">
            <v>--</v>
          </cell>
          <cell r="J299" t="str">
            <v>NONE</v>
          </cell>
          <cell r="K299" t="str">
            <v>NONE</v>
          </cell>
          <cell r="L299" t="str">
            <v>300# RF 2MM CAF FLAT GASKET B16.21</v>
          </cell>
          <cell r="M299">
            <v>2</v>
          </cell>
        </row>
        <row r="300">
          <cell r="C300" t="str">
            <v>503</v>
          </cell>
          <cell r="D300" t="str">
            <v>G</v>
          </cell>
          <cell r="E300">
            <v>6318</v>
          </cell>
          <cell r="F300" t="str">
            <v>R4DF1-B2000008</v>
          </cell>
          <cell r="G300" t="str">
            <v>GSKT</v>
          </cell>
          <cell r="H300" t="str">
            <v>8</v>
          </cell>
          <cell r="I300" t="str">
            <v>--</v>
          </cell>
          <cell r="J300" t="str">
            <v>NONE</v>
          </cell>
          <cell r="K300" t="str">
            <v>NONE</v>
          </cell>
          <cell r="L300" t="str">
            <v>300# RF 2MM CAF FLAT GASKET B16.21</v>
          </cell>
          <cell r="M300">
            <v>4</v>
          </cell>
        </row>
        <row r="301">
          <cell r="C301" t="str">
            <v>503</v>
          </cell>
          <cell r="D301" t="str">
            <v>G</v>
          </cell>
          <cell r="E301">
            <v>6318</v>
          </cell>
          <cell r="F301" t="str">
            <v>R4DF1-CX000003</v>
          </cell>
          <cell r="G301" t="str">
            <v>GSKT</v>
          </cell>
          <cell r="H301" t="str">
            <v>3</v>
          </cell>
          <cell r="I301" t="str">
            <v>--</v>
          </cell>
          <cell r="J301" t="str">
            <v>NONE</v>
          </cell>
          <cell r="K301" t="str">
            <v>NONE</v>
          </cell>
          <cell r="L301" t="str">
            <v>600# RF 3.2MM SPIRAL API-601 4MM THICH SS316 SPR.WND+CA FIL</v>
          </cell>
          <cell r="M301">
            <v>3</v>
          </cell>
        </row>
        <row r="302">
          <cell r="C302" t="str">
            <v>506</v>
          </cell>
          <cell r="D302" t="str">
            <v>P</v>
          </cell>
          <cell r="E302">
            <v>6311</v>
          </cell>
          <cell r="F302" t="str">
            <v>B2100704000300</v>
          </cell>
          <cell r="G302" t="str">
            <v>PIPE</v>
          </cell>
          <cell r="H302" t="str">
            <v>3</v>
          </cell>
          <cell r="I302" t="str">
            <v>--</v>
          </cell>
          <cell r="J302" t="str">
            <v>SCH 40</v>
          </cell>
          <cell r="K302" t="str">
            <v>NONE</v>
          </cell>
          <cell r="L302" t="str">
            <v>BE CS SMLS API 5L-B P.E. COATED</v>
          </cell>
          <cell r="M302">
            <v>2.5</v>
          </cell>
        </row>
        <row r="303">
          <cell r="C303" t="str">
            <v>506</v>
          </cell>
          <cell r="D303" t="str">
            <v>P</v>
          </cell>
          <cell r="E303">
            <v>6311</v>
          </cell>
          <cell r="F303" t="str">
            <v>B2100704000400</v>
          </cell>
          <cell r="G303" t="str">
            <v>PIPE</v>
          </cell>
          <cell r="H303" t="str">
            <v>4</v>
          </cell>
          <cell r="I303" t="str">
            <v>--</v>
          </cell>
          <cell r="J303" t="str">
            <v>SCH 40</v>
          </cell>
          <cell r="K303" t="str">
            <v>NONE</v>
          </cell>
          <cell r="L303" t="str">
            <v>BE CS SMLS API 5L-B P.E. COATED</v>
          </cell>
          <cell r="M303">
            <v>259</v>
          </cell>
        </row>
        <row r="304">
          <cell r="C304" t="str">
            <v>506</v>
          </cell>
          <cell r="D304" t="str">
            <v>P</v>
          </cell>
          <cell r="E304">
            <v>6311</v>
          </cell>
          <cell r="F304" t="str">
            <v>B2100704000600</v>
          </cell>
          <cell r="G304" t="str">
            <v>PIPE</v>
          </cell>
          <cell r="H304" t="str">
            <v>6</v>
          </cell>
          <cell r="I304" t="str">
            <v>--</v>
          </cell>
          <cell r="J304" t="str">
            <v>SCH 40</v>
          </cell>
          <cell r="K304" t="str">
            <v>NONE</v>
          </cell>
          <cell r="L304" t="str">
            <v>BE CS SMLS API 5L-B P.E. COATED</v>
          </cell>
          <cell r="M304">
            <v>13.2</v>
          </cell>
        </row>
        <row r="305">
          <cell r="C305" t="str">
            <v>506</v>
          </cell>
          <cell r="D305" t="str">
            <v>P</v>
          </cell>
          <cell r="E305">
            <v>6311</v>
          </cell>
          <cell r="F305" t="str">
            <v>B2100708000400</v>
          </cell>
          <cell r="G305" t="str">
            <v>PIPE</v>
          </cell>
          <cell r="H305" t="str">
            <v>4</v>
          </cell>
          <cell r="I305" t="str">
            <v>--</v>
          </cell>
          <cell r="J305" t="str">
            <v>SCH 80</v>
          </cell>
          <cell r="K305" t="str">
            <v>NONE</v>
          </cell>
          <cell r="L305" t="str">
            <v>BE CS SMLS API 5L-B P.E. COATED</v>
          </cell>
          <cell r="M305">
            <v>26.1</v>
          </cell>
        </row>
        <row r="306">
          <cell r="C306" t="str">
            <v>506</v>
          </cell>
          <cell r="D306" t="str">
            <v>P</v>
          </cell>
          <cell r="E306">
            <v>6311</v>
          </cell>
          <cell r="F306" t="str">
            <v>B3100704000400</v>
          </cell>
          <cell r="G306" t="str">
            <v>PIPE</v>
          </cell>
          <cell r="H306" t="str">
            <v>4</v>
          </cell>
          <cell r="I306" t="str">
            <v>--</v>
          </cell>
          <cell r="J306" t="str">
            <v>SCH 40</v>
          </cell>
          <cell r="K306" t="str">
            <v>NONE</v>
          </cell>
          <cell r="L306" t="str">
            <v>BE CS SMLS API 5L-B P.P. COATED</v>
          </cell>
          <cell r="M306">
            <v>204.2</v>
          </cell>
        </row>
        <row r="307">
          <cell r="C307" t="str">
            <v>506</v>
          </cell>
          <cell r="D307" t="str">
            <v>P</v>
          </cell>
          <cell r="E307">
            <v>6311</v>
          </cell>
          <cell r="F307" t="str">
            <v>B3100704000600</v>
          </cell>
          <cell r="G307" t="str">
            <v>PIPE</v>
          </cell>
          <cell r="H307" t="str">
            <v>6</v>
          </cell>
          <cell r="I307" t="str">
            <v>--</v>
          </cell>
          <cell r="J307" t="str">
            <v>SCH 40</v>
          </cell>
          <cell r="K307" t="str">
            <v>NONE</v>
          </cell>
          <cell r="L307" t="str">
            <v>BE CS SMLS API 5L-B P.P. COATED</v>
          </cell>
          <cell r="M307">
            <v>77.5</v>
          </cell>
        </row>
        <row r="308">
          <cell r="C308" t="str">
            <v>506</v>
          </cell>
          <cell r="D308" t="str">
            <v>P</v>
          </cell>
          <cell r="E308">
            <v>6311</v>
          </cell>
          <cell r="F308" t="str">
            <v>B3100708000300</v>
          </cell>
          <cell r="G308" t="str">
            <v>PIPE</v>
          </cell>
          <cell r="H308" t="str">
            <v>3</v>
          </cell>
          <cell r="I308" t="str">
            <v>--</v>
          </cell>
          <cell r="J308" t="str">
            <v>SCH 80</v>
          </cell>
          <cell r="K308" t="str">
            <v>NONE</v>
          </cell>
          <cell r="L308" t="str">
            <v>BE CS SMLS API 5L-B P.P. COATED</v>
          </cell>
          <cell r="M308">
            <v>68.599999999999994</v>
          </cell>
        </row>
        <row r="309">
          <cell r="C309" t="str">
            <v>506</v>
          </cell>
          <cell r="D309" t="str">
            <v>T</v>
          </cell>
          <cell r="E309">
            <v>6311</v>
          </cell>
          <cell r="F309" t="str">
            <v>B4300204000400</v>
          </cell>
          <cell r="G309" t="str">
            <v>45 ELL</v>
          </cell>
          <cell r="H309" t="str">
            <v>4</v>
          </cell>
          <cell r="I309" t="str">
            <v>--</v>
          </cell>
          <cell r="J309" t="str">
            <v>SCH 40</v>
          </cell>
          <cell r="K309" t="str">
            <v>NONE</v>
          </cell>
          <cell r="L309" t="str">
            <v>BW CS A234-WPB-S B16.9 SUNLIGHT L-200</v>
          </cell>
          <cell r="M309">
            <v>4</v>
          </cell>
        </row>
        <row r="310">
          <cell r="C310" t="str">
            <v>506</v>
          </cell>
          <cell r="D310" t="str">
            <v>T</v>
          </cell>
          <cell r="E310">
            <v>6311</v>
          </cell>
          <cell r="F310" t="str">
            <v>B3300104000400</v>
          </cell>
          <cell r="G310" t="str">
            <v>90 ELL</v>
          </cell>
          <cell r="H310" t="str">
            <v>4</v>
          </cell>
          <cell r="I310" t="str">
            <v>--</v>
          </cell>
          <cell r="J310" t="str">
            <v>SCH 40</v>
          </cell>
          <cell r="K310" t="str">
            <v>NONE</v>
          </cell>
          <cell r="L310" t="str">
            <v>BW CS A234-WPB-S B16.9 SHRINKABLE SLEEVE</v>
          </cell>
          <cell r="M310">
            <v>52</v>
          </cell>
        </row>
        <row r="311">
          <cell r="C311" t="str">
            <v>506</v>
          </cell>
          <cell r="D311" t="str">
            <v>T</v>
          </cell>
          <cell r="E311">
            <v>6311</v>
          </cell>
          <cell r="F311" t="str">
            <v>B3300104000600</v>
          </cell>
          <cell r="G311" t="str">
            <v>90 ELL</v>
          </cell>
          <cell r="H311" t="str">
            <v>6</v>
          </cell>
          <cell r="I311" t="str">
            <v>--</v>
          </cell>
          <cell r="J311" t="str">
            <v>SCH 40</v>
          </cell>
          <cell r="K311" t="str">
            <v>NONE</v>
          </cell>
          <cell r="L311" t="str">
            <v>BW CS A234-WPB-S B16.9 SHRINKABLE SLEEVE</v>
          </cell>
          <cell r="M311">
            <v>1</v>
          </cell>
        </row>
        <row r="312">
          <cell r="C312" t="str">
            <v>506</v>
          </cell>
          <cell r="D312" t="str">
            <v>T</v>
          </cell>
          <cell r="E312">
            <v>6311</v>
          </cell>
          <cell r="F312" t="str">
            <v>B3300108000400</v>
          </cell>
          <cell r="G312" t="str">
            <v>90 ELL</v>
          </cell>
          <cell r="H312" t="str">
            <v>4</v>
          </cell>
          <cell r="I312" t="str">
            <v>--</v>
          </cell>
          <cell r="J312" t="str">
            <v>SCH 80</v>
          </cell>
          <cell r="K312" t="str">
            <v>NONE</v>
          </cell>
          <cell r="L312" t="str">
            <v>BW CS A234-WPB-S B16.9 SHRINKABLE SLEEVE</v>
          </cell>
          <cell r="M312">
            <v>6</v>
          </cell>
        </row>
        <row r="313">
          <cell r="C313" t="str">
            <v>506</v>
          </cell>
          <cell r="D313" t="str">
            <v>T</v>
          </cell>
          <cell r="E313">
            <v>6311</v>
          </cell>
          <cell r="F313" t="str">
            <v>B4300104000400</v>
          </cell>
          <cell r="G313" t="str">
            <v>90 ELL</v>
          </cell>
          <cell r="H313" t="str">
            <v>4</v>
          </cell>
          <cell r="I313" t="str">
            <v>--</v>
          </cell>
          <cell r="J313" t="str">
            <v>SCH 40</v>
          </cell>
          <cell r="K313" t="str">
            <v>NONE</v>
          </cell>
          <cell r="L313" t="str">
            <v>BW CS A234-WPB-S B16.9 SUNLIGHT L-200</v>
          </cell>
          <cell r="M313">
            <v>10</v>
          </cell>
        </row>
        <row r="314">
          <cell r="C314" t="str">
            <v>506</v>
          </cell>
          <cell r="D314" t="str">
            <v>T</v>
          </cell>
          <cell r="E314">
            <v>6311</v>
          </cell>
          <cell r="F314" t="str">
            <v>B4300104000600</v>
          </cell>
          <cell r="G314" t="str">
            <v>90 ELL</v>
          </cell>
          <cell r="H314" t="str">
            <v>6</v>
          </cell>
          <cell r="I314" t="str">
            <v>--</v>
          </cell>
          <cell r="J314" t="str">
            <v>SCH 40</v>
          </cell>
          <cell r="K314" t="str">
            <v>NONE</v>
          </cell>
          <cell r="L314" t="str">
            <v>BW CS A234-WPB-S B16.9 SUNLIGHT L-200</v>
          </cell>
          <cell r="M314">
            <v>1</v>
          </cell>
        </row>
        <row r="315">
          <cell r="C315" t="str">
            <v>506</v>
          </cell>
          <cell r="D315" t="str">
            <v>T</v>
          </cell>
          <cell r="E315">
            <v>6311</v>
          </cell>
          <cell r="F315" t="str">
            <v>B4300108000300</v>
          </cell>
          <cell r="G315" t="str">
            <v>90 ELL</v>
          </cell>
          <cell r="H315" t="str">
            <v>3</v>
          </cell>
          <cell r="I315" t="str">
            <v>--</v>
          </cell>
          <cell r="J315" t="str">
            <v>SCH 80</v>
          </cell>
          <cell r="K315" t="str">
            <v>NONE</v>
          </cell>
          <cell r="L315" t="str">
            <v>BW CS A234-WPB-S B16.9 SUNLIGHT L-200</v>
          </cell>
          <cell r="M315">
            <v>12</v>
          </cell>
        </row>
        <row r="316">
          <cell r="C316" t="str">
            <v>506</v>
          </cell>
          <cell r="D316" t="str">
            <v>T</v>
          </cell>
          <cell r="E316">
            <v>6311</v>
          </cell>
          <cell r="F316" t="str">
            <v>B3300704000600</v>
          </cell>
          <cell r="G316" t="str">
            <v>CAP</v>
          </cell>
          <cell r="H316" t="str">
            <v>6</v>
          </cell>
          <cell r="I316" t="str">
            <v>--</v>
          </cell>
          <cell r="J316" t="str">
            <v>SCH 40</v>
          </cell>
          <cell r="K316" t="str">
            <v>NONE</v>
          </cell>
          <cell r="L316" t="str">
            <v>BW CS A234-WPB-S B16.9 SHRINKABLE SLEEVE</v>
          </cell>
          <cell r="M316">
            <v>1</v>
          </cell>
        </row>
        <row r="317">
          <cell r="C317" t="str">
            <v>506</v>
          </cell>
          <cell r="D317" t="str">
            <v>T</v>
          </cell>
          <cell r="E317">
            <v>6311</v>
          </cell>
          <cell r="F317" t="str">
            <v>B2380300000603</v>
          </cell>
          <cell r="G317" t="str">
            <v>REINF PAD</v>
          </cell>
          <cell r="H317" t="str">
            <v>6</v>
          </cell>
          <cell r="I317" t="str">
            <v>3</v>
          </cell>
          <cell r="J317" t="str">
            <v>NONE</v>
          </cell>
          <cell r="K317" t="str">
            <v>NONE</v>
          </cell>
          <cell r="L317" t="str">
            <v>CS SMLS API 5L-B</v>
          </cell>
          <cell r="M317">
            <v>2</v>
          </cell>
        </row>
        <row r="318">
          <cell r="C318" t="str">
            <v>506</v>
          </cell>
          <cell r="D318" t="str">
            <v>T</v>
          </cell>
          <cell r="E318">
            <v>6311</v>
          </cell>
          <cell r="F318" t="str">
            <v>B3380300000603</v>
          </cell>
          <cell r="G318" t="str">
            <v>REINF PAD</v>
          </cell>
          <cell r="H318" t="str">
            <v>6</v>
          </cell>
          <cell r="I318" t="str">
            <v>3</v>
          </cell>
          <cell r="J318" t="str">
            <v>NONE</v>
          </cell>
          <cell r="K318" t="str">
            <v>NONE</v>
          </cell>
          <cell r="L318" t="str">
            <v>CS SMLS API 5L-B</v>
          </cell>
          <cell r="M318">
            <v>9</v>
          </cell>
        </row>
        <row r="319">
          <cell r="C319" t="str">
            <v>506</v>
          </cell>
          <cell r="D319" t="str">
            <v>T</v>
          </cell>
          <cell r="E319">
            <v>6311</v>
          </cell>
          <cell r="F319" t="str">
            <v>B3380300000604</v>
          </cell>
          <cell r="G319" t="str">
            <v>REINF PAD</v>
          </cell>
          <cell r="H319" t="str">
            <v>6</v>
          </cell>
          <cell r="I319" t="str">
            <v>4</v>
          </cell>
          <cell r="J319" t="str">
            <v>NONE</v>
          </cell>
          <cell r="K319" t="str">
            <v>NONE</v>
          </cell>
          <cell r="L319" t="str">
            <v>CS SMLS API 5L-B</v>
          </cell>
          <cell r="M319">
            <v>4</v>
          </cell>
        </row>
        <row r="320">
          <cell r="C320" t="str">
            <v>506</v>
          </cell>
          <cell r="D320" t="str">
            <v>T</v>
          </cell>
          <cell r="E320">
            <v>6311</v>
          </cell>
          <cell r="F320" t="str">
            <v>B4300304000400</v>
          </cell>
          <cell r="G320" t="str">
            <v>TEE</v>
          </cell>
          <cell r="H320" t="str">
            <v>4</v>
          </cell>
          <cell r="I320" t="str">
            <v>--</v>
          </cell>
          <cell r="J320" t="str">
            <v>SCH 40</v>
          </cell>
          <cell r="K320" t="str">
            <v>NONE</v>
          </cell>
          <cell r="L320" t="str">
            <v>BW CS A234-WPB-S B16.9 SUNLIGHT L-200</v>
          </cell>
          <cell r="M320">
            <v>24</v>
          </cell>
        </row>
        <row r="321">
          <cell r="C321" t="str">
            <v>506</v>
          </cell>
          <cell r="D321" t="str">
            <v>F</v>
          </cell>
          <cell r="E321">
            <v>6311</v>
          </cell>
          <cell r="F321" t="str">
            <v>CB830500000600</v>
          </cell>
          <cell r="G321" t="str">
            <v>SPACER</v>
          </cell>
          <cell r="H321" t="str">
            <v>6</v>
          </cell>
          <cell r="I321" t="str">
            <v>--</v>
          </cell>
          <cell r="J321" t="str">
            <v>NONE</v>
          </cell>
          <cell r="K321" t="str">
            <v>NONE</v>
          </cell>
          <cell r="L321" t="str">
            <v>300# RF CS A515-70 PER API 590 W/BLANK</v>
          </cell>
          <cell r="M321">
            <v>1</v>
          </cell>
        </row>
        <row r="322">
          <cell r="C322" t="str">
            <v>506</v>
          </cell>
          <cell r="D322" t="str">
            <v>F</v>
          </cell>
          <cell r="E322">
            <v>6311</v>
          </cell>
          <cell r="F322" t="str">
            <v>CB200104000600</v>
          </cell>
          <cell r="G322" t="str">
            <v>WN FLG</v>
          </cell>
          <cell r="H322" t="str">
            <v>6</v>
          </cell>
          <cell r="I322" t="str">
            <v>--</v>
          </cell>
          <cell r="J322" t="str">
            <v>SCH 40</v>
          </cell>
          <cell r="K322" t="str">
            <v>NONE</v>
          </cell>
          <cell r="L322" t="str">
            <v>150# RF CS A105 B16.5</v>
          </cell>
          <cell r="M322">
            <v>1</v>
          </cell>
        </row>
        <row r="323">
          <cell r="C323" t="str">
            <v>506</v>
          </cell>
          <cell r="D323" t="str">
            <v>F</v>
          </cell>
          <cell r="E323">
            <v>6311</v>
          </cell>
          <cell r="F323" t="str">
            <v>CB200204000600</v>
          </cell>
          <cell r="G323" t="str">
            <v>WN FLG</v>
          </cell>
          <cell r="H323" t="str">
            <v>6</v>
          </cell>
          <cell r="I323" t="str">
            <v>--</v>
          </cell>
          <cell r="J323" t="str">
            <v>SCH 40</v>
          </cell>
          <cell r="K323" t="str">
            <v>NONE</v>
          </cell>
          <cell r="L323" t="str">
            <v>300# RF CS A105 B16.5</v>
          </cell>
          <cell r="M323">
            <v>2</v>
          </cell>
        </row>
        <row r="324">
          <cell r="C324" t="str">
            <v>506</v>
          </cell>
          <cell r="D324" t="str">
            <v>P</v>
          </cell>
          <cell r="E324">
            <v>6326</v>
          </cell>
          <cell r="F324" t="str">
            <v>JF12030T000800</v>
          </cell>
          <cell r="G324" t="str">
            <v>PIPE</v>
          </cell>
          <cell r="H324" t="str">
            <v>8</v>
          </cell>
          <cell r="I324" t="str">
            <v>--</v>
          </cell>
          <cell r="J324" t="str">
            <v>5.8MM WT</v>
          </cell>
          <cell r="K324" t="str">
            <v>NONE</v>
          </cell>
          <cell r="L324" t="str">
            <v>BELL &amp; SPIGOT TYPE RTRP D2996 TYPE1 GR.1 CL.F</v>
          </cell>
          <cell r="M324">
            <v>505</v>
          </cell>
        </row>
        <row r="325">
          <cell r="C325" t="str">
            <v>506</v>
          </cell>
          <cell r="D325" t="str">
            <v>P</v>
          </cell>
          <cell r="E325">
            <v>6326</v>
          </cell>
          <cell r="F325" t="str">
            <v>JF12030U001000</v>
          </cell>
          <cell r="G325" t="str">
            <v>PIPE</v>
          </cell>
          <cell r="H325" t="str">
            <v>10</v>
          </cell>
          <cell r="I325" t="str">
            <v>--</v>
          </cell>
          <cell r="J325" t="str">
            <v>7.2MM WT</v>
          </cell>
          <cell r="K325" t="str">
            <v>NONE</v>
          </cell>
          <cell r="L325" t="str">
            <v>BELL &amp; SPIGOT TYPE RTRP D2996 TYPE1 GR.1 CL.F</v>
          </cell>
          <cell r="M325">
            <v>85</v>
          </cell>
        </row>
        <row r="326">
          <cell r="C326" t="str">
            <v>506</v>
          </cell>
          <cell r="D326" t="str">
            <v>P</v>
          </cell>
          <cell r="E326">
            <v>6326</v>
          </cell>
          <cell r="F326" t="str">
            <v>JF12030X001400</v>
          </cell>
          <cell r="G326" t="str">
            <v>PIPE</v>
          </cell>
          <cell r="H326" t="str">
            <v>14</v>
          </cell>
          <cell r="I326" t="str">
            <v>--</v>
          </cell>
          <cell r="J326" t="str">
            <v>9.2MM WT</v>
          </cell>
          <cell r="K326" t="str">
            <v>NONE</v>
          </cell>
          <cell r="L326" t="str">
            <v>BELL &amp; SPIGOT TYPE RTRP D2996 TYPE1 GR.1 CL.F</v>
          </cell>
          <cell r="M326">
            <v>25</v>
          </cell>
        </row>
        <row r="327">
          <cell r="C327" t="str">
            <v>506</v>
          </cell>
          <cell r="D327" t="str">
            <v>P</v>
          </cell>
          <cell r="E327">
            <v>6326</v>
          </cell>
          <cell r="F327" t="str">
            <v>JF12031A001200</v>
          </cell>
          <cell r="G327" t="str">
            <v>PIPE</v>
          </cell>
          <cell r="H327" t="str">
            <v>12</v>
          </cell>
          <cell r="I327" t="str">
            <v>--</v>
          </cell>
          <cell r="J327" t="str">
            <v>8.4MM WT</v>
          </cell>
          <cell r="K327" t="str">
            <v>NONE</v>
          </cell>
          <cell r="L327" t="str">
            <v>BELL &amp; SPIGOT TYPE RTRP D2996 TYPE1 GR.1 CL.F</v>
          </cell>
          <cell r="M327">
            <v>125</v>
          </cell>
        </row>
        <row r="328">
          <cell r="C328" t="str">
            <v>506</v>
          </cell>
          <cell r="D328" t="str">
            <v>V</v>
          </cell>
          <cell r="E328">
            <v>6311</v>
          </cell>
          <cell r="F328" t="str">
            <v>PBL30122000006</v>
          </cell>
          <cell r="G328" t="str">
            <v>BALL VA</v>
          </cell>
          <cell r="H328" t="str">
            <v>6</v>
          </cell>
          <cell r="I328" t="str">
            <v>--</v>
          </cell>
          <cell r="J328" t="str">
            <v>NONE</v>
          </cell>
          <cell r="K328" t="str">
            <v>NONE</v>
          </cell>
          <cell r="L328" t="str">
            <v>300# RF A216-WCB W/A105 ENP PTFE RB, TM TPE OR SPB FIRE SAFE &amp; ANTI STATIC, EXTENDED STEM</v>
          </cell>
          <cell r="M328">
            <v>1</v>
          </cell>
        </row>
        <row r="329">
          <cell r="C329" t="str">
            <v>506</v>
          </cell>
          <cell r="D329" t="str">
            <v>L</v>
          </cell>
          <cell r="E329">
            <v>6311</v>
          </cell>
          <cell r="F329" t="str">
            <v>CB740100000TWG</v>
          </cell>
          <cell r="G329" t="str">
            <v>B/N</v>
          </cell>
          <cell r="H329" t="str">
            <v>3/4</v>
          </cell>
          <cell r="I329" t="str">
            <v>130mm</v>
          </cell>
          <cell r="J329" t="str">
            <v>NONE</v>
          </cell>
          <cell r="K329" t="str">
            <v>NONE</v>
          </cell>
          <cell r="L329" t="str">
            <v>STUD BOLTS A193 B7 W/2 HEAVY HEX NUTS A194-2H</v>
          </cell>
          <cell r="M329">
            <v>12</v>
          </cell>
        </row>
        <row r="330">
          <cell r="C330" t="str">
            <v>506</v>
          </cell>
          <cell r="D330" t="str">
            <v>L</v>
          </cell>
          <cell r="E330">
            <v>6311</v>
          </cell>
          <cell r="F330" t="str">
            <v>CB740100000TWL</v>
          </cell>
          <cell r="G330" t="str">
            <v>B/N</v>
          </cell>
          <cell r="H330" t="str">
            <v>3/4</v>
          </cell>
          <cell r="I330" t="str">
            <v>150mm</v>
          </cell>
          <cell r="J330" t="str">
            <v>NONE</v>
          </cell>
          <cell r="K330" t="str">
            <v>NONE</v>
          </cell>
          <cell r="L330" t="str">
            <v>STUD BOLTS A193 B7 W/2 HEAVY HEX NUTS A194-2H</v>
          </cell>
          <cell r="M330">
            <v>12</v>
          </cell>
        </row>
        <row r="331">
          <cell r="C331" t="str">
            <v>506</v>
          </cell>
          <cell r="D331" t="str">
            <v>G</v>
          </cell>
          <cell r="E331">
            <v>6318</v>
          </cell>
          <cell r="F331" t="str">
            <v>R4DF1-B2000006</v>
          </cell>
          <cell r="G331" t="str">
            <v>GSKT</v>
          </cell>
          <cell r="H331" t="str">
            <v>6</v>
          </cell>
          <cell r="I331" t="str">
            <v>--</v>
          </cell>
          <cell r="J331" t="str">
            <v>NONE</v>
          </cell>
          <cell r="K331" t="str">
            <v>NONE</v>
          </cell>
          <cell r="L331" t="str">
            <v>300# RF 2MM CAF FLAT GASKET B16.21</v>
          </cell>
          <cell r="M331">
            <v>3</v>
          </cell>
        </row>
        <row r="332">
          <cell r="C332" t="str">
            <v>508</v>
          </cell>
          <cell r="D332" t="str">
            <v>P</v>
          </cell>
          <cell r="E332">
            <v>6311</v>
          </cell>
          <cell r="F332" t="str">
            <v>B2100704000300</v>
          </cell>
          <cell r="G332" t="str">
            <v>PIPE</v>
          </cell>
          <cell r="H332" t="str">
            <v>3</v>
          </cell>
          <cell r="I332" t="str">
            <v>--</v>
          </cell>
          <cell r="J332" t="str">
            <v>SCH 40</v>
          </cell>
          <cell r="K332" t="str">
            <v>NONE</v>
          </cell>
          <cell r="L332" t="str">
            <v>BE CS SMLS API 5L-B P.E. COATED</v>
          </cell>
          <cell r="M332">
            <v>13.2</v>
          </cell>
        </row>
        <row r="333">
          <cell r="C333" t="str">
            <v>508</v>
          </cell>
          <cell r="D333" t="str">
            <v>P</v>
          </cell>
          <cell r="E333">
            <v>6311</v>
          </cell>
          <cell r="F333" t="str">
            <v>B2100704000400</v>
          </cell>
          <cell r="G333" t="str">
            <v>PIPE</v>
          </cell>
          <cell r="H333" t="str">
            <v>4</v>
          </cell>
          <cell r="I333" t="str">
            <v>--</v>
          </cell>
          <cell r="J333" t="str">
            <v>SCH 40</v>
          </cell>
          <cell r="K333" t="str">
            <v>NONE</v>
          </cell>
          <cell r="L333" t="str">
            <v>BE CS SMLS API 5L-B P.E. COATED</v>
          </cell>
          <cell r="M333">
            <v>250.5</v>
          </cell>
        </row>
        <row r="334">
          <cell r="C334" t="str">
            <v>508</v>
          </cell>
          <cell r="D334" t="str">
            <v>P</v>
          </cell>
          <cell r="E334">
            <v>6311</v>
          </cell>
          <cell r="F334" t="str">
            <v>B2100704000600</v>
          </cell>
          <cell r="G334" t="str">
            <v>PIPE</v>
          </cell>
          <cell r="H334" t="str">
            <v>6</v>
          </cell>
          <cell r="I334" t="str">
            <v>--</v>
          </cell>
          <cell r="J334" t="str">
            <v>SCH 40</v>
          </cell>
          <cell r="K334" t="str">
            <v>NONE</v>
          </cell>
          <cell r="L334" t="str">
            <v>BE CS SMLS API 5L-B P.E. COATED</v>
          </cell>
          <cell r="M334">
            <v>488.9</v>
          </cell>
        </row>
        <row r="335">
          <cell r="C335" t="str">
            <v>508</v>
          </cell>
          <cell r="D335" t="str">
            <v>P</v>
          </cell>
          <cell r="E335">
            <v>6311</v>
          </cell>
          <cell r="F335" t="str">
            <v>G2100908000200</v>
          </cell>
          <cell r="G335" t="str">
            <v>PIPE</v>
          </cell>
          <cell r="H335" t="str">
            <v>2</v>
          </cell>
          <cell r="I335" t="str">
            <v>--</v>
          </cell>
          <cell r="J335" t="str">
            <v>SCH 80</v>
          </cell>
          <cell r="K335" t="str">
            <v>NONE</v>
          </cell>
          <cell r="L335" t="str">
            <v>TE CS SMLS API 5L-B GALV. THRD COUPLING (3000#,A105/GALV) P.E. COATED</v>
          </cell>
          <cell r="M335">
            <v>200.2</v>
          </cell>
        </row>
        <row r="336">
          <cell r="C336" t="str">
            <v>508</v>
          </cell>
          <cell r="D336" t="str">
            <v>T</v>
          </cell>
          <cell r="E336">
            <v>6311</v>
          </cell>
          <cell r="F336" t="str">
            <v>B3300204000300</v>
          </cell>
          <cell r="G336" t="str">
            <v>45 ELL</v>
          </cell>
          <cell r="H336" t="str">
            <v>3</v>
          </cell>
          <cell r="I336" t="str">
            <v>--</v>
          </cell>
          <cell r="J336" t="str">
            <v>SCH 40</v>
          </cell>
          <cell r="K336" t="str">
            <v>NONE</v>
          </cell>
          <cell r="L336" t="str">
            <v>BW CS A234-WPB-S B16.9 SHRINKABLE SLEEVE</v>
          </cell>
          <cell r="M336">
            <v>2</v>
          </cell>
        </row>
        <row r="337">
          <cell r="C337" t="str">
            <v>508</v>
          </cell>
          <cell r="D337" t="str">
            <v>T</v>
          </cell>
          <cell r="E337">
            <v>6311</v>
          </cell>
          <cell r="F337" t="str">
            <v>B3300204000600</v>
          </cell>
          <cell r="G337" t="str">
            <v>45 ELL</v>
          </cell>
          <cell r="H337" t="str">
            <v>6</v>
          </cell>
          <cell r="I337" t="str">
            <v>--</v>
          </cell>
          <cell r="J337" t="str">
            <v>SCH 40</v>
          </cell>
          <cell r="K337" t="str">
            <v>NONE</v>
          </cell>
          <cell r="L337" t="str">
            <v>BW CS A234-WPB-S B16.9 SHRINKABLE SLEEVE</v>
          </cell>
          <cell r="M337">
            <v>5</v>
          </cell>
        </row>
        <row r="338">
          <cell r="C338" t="str">
            <v>508</v>
          </cell>
          <cell r="D338" t="str">
            <v>T</v>
          </cell>
          <cell r="E338">
            <v>6311</v>
          </cell>
          <cell r="F338" t="str">
            <v>B3300104000300</v>
          </cell>
          <cell r="G338" t="str">
            <v>90 ELL</v>
          </cell>
          <cell r="H338" t="str">
            <v>3</v>
          </cell>
          <cell r="I338" t="str">
            <v>--</v>
          </cell>
          <cell r="J338" t="str">
            <v>SCH 40</v>
          </cell>
          <cell r="K338" t="str">
            <v>NONE</v>
          </cell>
          <cell r="L338" t="str">
            <v>BW CS A234-WPB-S B16.9 SHRINKABLE SLEEVE</v>
          </cell>
          <cell r="M338">
            <v>8</v>
          </cell>
        </row>
        <row r="339">
          <cell r="C339" t="str">
            <v>508</v>
          </cell>
          <cell r="D339" t="str">
            <v>T</v>
          </cell>
          <cell r="E339">
            <v>6311</v>
          </cell>
          <cell r="F339" t="str">
            <v>B3300104000400</v>
          </cell>
          <cell r="G339" t="str">
            <v>90 ELL</v>
          </cell>
          <cell r="H339" t="str">
            <v>4</v>
          </cell>
          <cell r="I339" t="str">
            <v>--</v>
          </cell>
          <cell r="J339" t="str">
            <v>SCH 40</v>
          </cell>
          <cell r="K339" t="str">
            <v>NONE</v>
          </cell>
          <cell r="L339" t="str">
            <v>BW CS A234-WPB-S B16.9 SHRINKABLE SLEEVE</v>
          </cell>
          <cell r="M339">
            <v>62</v>
          </cell>
        </row>
        <row r="340">
          <cell r="C340" t="str">
            <v>508</v>
          </cell>
          <cell r="D340" t="str">
            <v>T</v>
          </cell>
          <cell r="E340">
            <v>6311</v>
          </cell>
          <cell r="F340" t="str">
            <v>B3300104000600</v>
          </cell>
          <cell r="G340" t="str">
            <v>90 ELL</v>
          </cell>
          <cell r="H340" t="str">
            <v>6</v>
          </cell>
          <cell r="I340" t="str">
            <v>--</v>
          </cell>
          <cell r="J340" t="str">
            <v>SCH 40</v>
          </cell>
          <cell r="K340" t="str">
            <v>NONE</v>
          </cell>
          <cell r="L340" t="str">
            <v>BW CS A234-WPB-S B16.9 SHRINKABLE SLEEVE</v>
          </cell>
          <cell r="M340">
            <v>5</v>
          </cell>
        </row>
        <row r="341">
          <cell r="C341" t="str">
            <v>508</v>
          </cell>
          <cell r="D341" t="str">
            <v>T</v>
          </cell>
          <cell r="E341">
            <v>6311</v>
          </cell>
          <cell r="F341" t="str">
            <v>G3520100000200</v>
          </cell>
          <cell r="G341" t="str">
            <v>90 ELL</v>
          </cell>
          <cell r="H341" t="str">
            <v>2</v>
          </cell>
          <cell r="I341" t="str">
            <v>--</v>
          </cell>
          <cell r="J341" t="str">
            <v>NONE</v>
          </cell>
          <cell r="K341" t="str">
            <v>NONE</v>
          </cell>
          <cell r="L341" t="str">
            <v>3000# THRD CS A105 GALV. B16.11 SHRINKABLE SLEEVE</v>
          </cell>
          <cell r="M341">
            <v>6</v>
          </cell>
        </row>
        <row r="342">
          <cell r="C342" t="str">
            <v>508</v>
          </cell>
          <cell r="D342" t="str">
            <v>T</v>
          </cell>
          <cell r="E342">
            <v>6311</v>
          </cell>
          <cell r="F342" t="str">
            <v>G3520500000200</v>
          </cell>
          <cell r="G342" t="str">
            <v>CPLG</v>
          </cell>
          <cell r="H342" t="str">
            <v>2</v>
          </cell>
          <cell r="I342" t="str">
            <v>--</v>
          </cell>
          <cell r="J342" t="str">
            <v>NONE</v>
          </cell>
          <cell r="K342" t="str">
            <v>NONE</v>
          </cell>
          <cell r="L342" t="str">
            <v>3000# THRD CS A105 GALV. B16.11 SHRINKABLE SLEEVE</v>
          </cell>
          <cell r="M342">
            <v>30</v>
          </cell>
        </row>
        <row r="343">
          <cell r="C343" t="str">
            <v>508</v>
          </cell>
          <cell r="D343" t="str">
            <v>P</v>
          </cell>
          <cell r="E343">
            <v>6326</v>
          </cell>
          <cell r="F343" t="str">
            <v>JF12030Q000400</v>
          </cell>
          <cell r="G343" t="str">
            <v>PIPE</v>
          </cell>
          <cell r="H343" t="str">
            <v>4</v>
          </cell>
          <cell r="I343" t="str">
            <v>--</v>
          </cell>
          <cell r="J343" t="str">
            <v>3.9MM WT</v>
          </cell>
          <cell r="K343" t="str">
            <v>NONE</v>
          </cell>
          <cell r="L343" t="str">
            <v>BELL &amp; SPIGOT TYPE RTRP D2996 TYPE1 GR.1 CL.F</v>
          </cell>
          <cell r="M343">
            <v>171.7</v>
          </cell>
        </row>
        <row r="344">
          <cell r="C344" t="str">
            <v>508</v>
          </cell>
          <cell r="D344" t="str">
            <v>P</v>
          </cell>
          <cell r="E344">
            <v>6326</v>
          </cell>
          <cell r="F344" t="str">
            <v>JF12030S000600</v>
          </cell>
          <cell r="G344" t="str">
            <v>PIPE</v>
          </cell>
          <cell r="H344" t="str">
            <v>6</v>
          </cell>
          <cell r="I344" t="str">
            <v>--</v>
          </cell>
          <cell r="J344" t="str">
            <v>4.6MM WT</v>
          </cell>
          <cell r="K344" t="str">
            <v>NONE</v>
          </cell>
          <cell r="L344" t="str">
            <v>BELL &amp; SPIGOT TYPE RTRP D2996 TYPE1 GR.1 CL.F</v>
          </cell>
          <cell r="M344">
            <v>54.5</v>
          </cell>
        </row>
        <row r="345">
          <cell r="C345" t="str">
            <v>508</v>
          </cell>
          <cell r="D345" t="str">
            <v>P</v>
          </cell>
          <cell r="E345">
            <v>6326</v>
          </cell>
          <cell r="F345" t="str">
            <v>JF12030T000800</v>
          </cell>
          <cell r="G345" t="str">
            <v>PIPE</v>
          </cell>
          <cell r="H345" t="str">
            <v>8</v>
          </cell>
          <cell r="I345" t="str">
            <v>--</v>
          </cell>
          <cell r="J345" t="str">
            <v>5.8MM WT</v>
          </cell>
          <cell r="K345" t="str">
            <v>NONE</v>
          </cell>
          <cell r="L345" t="str">
            <v>BELL &amp; SPIGOT TYPE RTRP D2996 TYPE1 GR.1 CL.F</v>
          </cell>
          <cell r="M345">
            <v>330</v>
          </cell>
        </row>
        <row r="346">
          <cell r="C346" t="str">
            <v>508</v>
          </cell>
          <cell r="D346" t="str">
            <v>P</v>
          </cell>
          <cell r="E346">
            <v>6326</v>
          </cell>
          <cell r="F346" t="str">
            <v>JF12030U001000</v>
          </cell>
          <cell r="G346" t="str">
            <v>PIPE</v>
          </cell>
          <cell r="H346" t="str">
            <v>10</v>
          </cell>
          <cell r="I346" t="str">
            <v>--</v>
          </cell>
          <cell r="J346" t="str">
            <v>7.2MM WT</v>
          </cell>
          <cell r="K346" t="str">
            <v>NONE</v>
          </cell>
          <cell r="L346" t="str">
            <v>BELL &amp; SPIGOT TYPE RTRP D2996 TYPE1 GR.1 CL.F</v>
          </cell>
          <cell r="M346">
            <v>45</v>
          </cell>
        </row>
        <row r="347">
          <cell r="C347" t="str">
            <v>508</v>
          </cell>
          <cell r="D347" t="str">
            <v>T</v>
          </cell>
          <cell r="E347">
            <v>6326</v>
          </cell>
          <cell r="F347" t="str">
            <v>JF46100Q000400</v>
          </cell>
          <cell r="G347" t="str">
            <v>22.5 ELL</v>
          </cell>
          <cell r="H347" t="str">
            <v>4</v>
          </cell>
          <cell r="I347" t="str">
            <v>--</v>
          </cell>
          <cell r="J347" t="str">
            <v>3.9MM WT</v>
          </cell>
          <cell r="K347" t="str">
            <v>NONE</v>
          </cell>
          <cell r="L347" t="str">
            <v>BELL END RTRP D2996 TYPE1 GR.1 CL.F</v>
          </cell>
          <cell r="M347">
            <v>4</v>
          </cell>
        </row>
        <row r="348">
          <cell r="C348" t="str">
            <v>508</v>
          </cell>
          <cell r="D348" t="str">
            <v>T</v>
          </cell>
          <cell r="E348">
            <v>6326</v>
          </cell>
          <cell r="F348" t="str">
            <v>JF46020S000600</v>
          </cell>
          <cell r="G348" t="str">
            <v>45 ELL</v>
          </cell>
          <cell r="H348" t="str">
            <v>6</v>
          </cell>
          <cell r="I348" t="str">
            <v>--</v>
          </cell>
          <cell r="J348" t="str">
            <v>4.6MM WT</v>
          </cell>
          <cell r="K348" t="str">
            <v>NONE</v>
          </cell>
          <cell r="L348" t="str">
            <v>BELL END RTRP D2996 TYPE1 GR.1 CL.F</v>
          </cell>
          <cell r="M348">
            <v>4</v>
          </cell>
        </row>
        <row r="349">
          <cell r="C349" t="str">
            <v>508</v>
          </cell>
          <cell r="D349" t="str">
            <v>T</v>
          </cell>
          <cell r="E349">
            <v>6326</v>
          </cell>
          <cell r="F349" t="str">
            <v>JF46010Q000400</v>
          </cell>
          <cell r="G349" t="str">
            <v>90 ELL</v>
          </cell>
          <cell r="H349" t="str">
            <v>4</v>
          </cell>
          <cell r="I349" t="str">
            <v>--</v>
          </cell>
          <cell r="J349" t="str">
            <v>3.9MM WT</v>
          </cell>
          <cell r="K349" t="str">
            <v>NONE</v>
          </cell>
          <cell r="L349" t="str">
            <v>BELL END RTRP D2996 TYPE1 GR.1 CL.F</v>
          </cell>
          <cell r="M349">
            <v>8</v>
          </cell>
        </row>
        <row r="350">
          <cell r="C350" t="str">
            <v>508</v>
          </cell>
          <cell r="D350" t="str">
            <v>T</v>
          </cell>
          <cell r="E350">
            <v>6326</v>
          </cell>
          <cell r="F350" t="str">
            <v>JF46010S000600</v>
          </cell>
          <cell r="G350" t="str">
            <v>90 ELL</v>
          </cell>
          <cell r="H350" t="str">
            <v>6</v>
          </cell>
          <cell r="I350" t="str">
            <v>--</v>
          </cell>
          <cell r="J350" t="str">
            <v>4.6MM WT</v>
          </cell>
          <cell r="K350" t="str">
            <v>NONE</v>
          </cell>
          <cell r="L350" t="str">
            <v>BELL END RTRP D2996 TYPE1 GR.1 CL.F</v>
          </cell>
          <cell r="M350">
            <v>2</v>
          </cell>
        </row>
        <row r="351">
          <cell r="C351" t="str">
            <v>508</v>
          </cell>
          <cell r="D351" t="str">
            <v>T</v>
          </cell>
          <cell r="E351">
            <v>6326</v>
          </cell>
          <cell r="F351" t="str">
            <v>JF46140Q000400</v>
          </cell>
          <cell r="G351" t="str">
            <v>ADAPTOR</v>
          </cell>
          <cell r="H351" t="str">
            <v>4</v>
          </cell>
          <cell r="I351" t="str">
            <v>--</v>
          </cell>
          <cell r="J351" t="str">
            <v>3.9MM WT</v>
          </cell>
          <cell r="K351" t="str">
            <v>NONE</v>
          </cell>
          <cell r="L351" t="str">
            <v>SPIGOT END RTRP D2996 TYPE1 GR.1 CL.F</v>
          </cell>
          <cell r="M351">
            <v>2</v>
          </cell>
        </row>
        <row r="352">
          <cell r="C352" t="str">
            <v>508</v>
          </cell>
          <cell r="D352" t="str">
            <v>T</v>
          </cell>
          <cell r="E352">
            <v>6326</v>
          </cell>
          <cell r="F352" t="str">
            <v>JF46140S000600</v>
          </cell>
          <cell r="G352" t="str">
            <v>ADAPTOR</v>
          </cell>
          <cell r="H352" t="str">
            <v>6</v>
          </cell>
          <cell r="I352" t="str">
            <v>--</v>
          </cell>
          <cell r="J352" t="str">
            <v>4.6MM WT</v>
          </cell>
          <cell r="K352" t="str">
            <v>NONE</v>
          </cell>
          <cell r="L352" t="str">
            <v>SPIGOT END RTRP D2996 TYPE1 GR.1 CL.F</v>
          </cell>
          <cell r="M352">
            <v>2</v>
          </cell>
        </row>
        <row r="353">
          <cell r="C353" t="str">
            <v>508</v>
          </cell>
          <cell r="D353" t="str">
            <v>T</v>
          </cell>
          <cell r="E353">
            <v>6326</v>
          </cell>
          <cell r="F353" t="str">
            <v>JF46070S0Q0604</v>
          </cell>
          <cell r="G353" t="str">
            <v>C RED</v>
          </cell>
          <cell r="H353" t="str">
            <v>6</v>
          </cell>
          <cell r="I353" t="str">
            <v>4</v>
          </cell>
          <cell r="J353" t="str">
            <v>4.6MM WT</v>
          </cell>
          <cell r="K353" t="str">
            <v>3.9MM WT</v>
          </cell>
          <cell r="L353" t="str">
            <v>BELL END RTRP D2996 TYPE1 GR.1 CL.F</v>
          </cell>
          <cell r="M353">
            <v>4</v>
          </cell>
        </row>
        <row r="354">
          <cell r="C354" t="str">
            <v>508</v>
          </cell>
          <cell r="D354" t="str">
            <v>T</v>
          </cell>
          <cell r="E354">
            <v>6326</v>
          </cell>
          <cell r="F354" t="str">
            <v>JF46040S0Q0604</v>
          </cell>
          <cell r="G354" t="str">
            <v>R TEE</v>
          </cell>
          <cell r="H354" t="str">
            <v>6</v>
          </cell>
          <cell r="I354" t="str">
            <v>4</v>
          </cell>
          <cell r="J354" t="str">
            <v>4.6MM WT</v>
          </cell>
          <cell r="K354" t="str">
            <v>3.9MM WT</v>
          </cell>
          <cell r="L354" t="str">
            <v>BELL END RTRP D2996 TYPE1 GR.1 CL.F</v>
          </cell>
          <cell r="M354">
            <v>2</v>
          </cell>
        </row>
        <row r="355">
          <cell r="C355" t="str">
            <v>521</v>
          </cell>
          <cell r="D355" t="str">
            <v>P</v>
          </cell>
          <cell r="E355">
            <v>6311</v>
          </cell>
          <cell r="F355" t="str">
            <v>G2100704000300</v>
          </cell>
          <cell r="G355" t="str">
            <v>PIPE</v>
          </cell>
          <cell r="H355" t="str">
            <v>3</v>
          </cell>
          <cell r="I355" t="str">
            <v>--</v>
          </cell>
          <cell r="J355" t="str">
            <v>SCH 40</v>
          </cell>
          <cell r="K355" t="str">
            <v>NONE</v>
          </cell>
          <cell r="L355" t="str">
            <v>BE CS SMLS API 5L-B GALV. P.E. COATED</v>
          </cell>
          <cell r="M355">
            <v>157</v>
          </cell>
        </row>
        <row r="356">
          <cell r="C356" t="str">
            <v>521</v>
          </cell>
          <cell r="D356" t="str">
            <v>T</v>
          </cell>
          <cell r="E356">
            <v>6311</v>
          </cell>
          <cell r="F356" t="str">
            <v>B3300204000300</v>
          </cell>
          <cell r="G356" t="str">
            <v>45 ELL</v>
          </cell>
          <cell r="H356" t="str">
            <v>3</v>
          </cell>
          <cell r="I356" t="str">
            <v>--</v>
          </cell>
          <cell r="J356" t="str">
            <v>SCH 40</v>
          </cell>
          <cell r="K356" t="str">
            <v>NONE</v>
          </cell>
          <cell r="L356" t="str">
            <v>BW CS A234-WPB-S B16.9 SHRINKABLE SLEEVE</v>
          </cell>
          <cell r="M356">
            <v>6</v>
          </cell>
        </row>
        <row r="357">
          <cell r="C357" t="str">
            <v>521</v>
          </cell>
          <cell r="D357" t="str">
            <v>P</v>
          </cell>
          <cell r="E357">
            <v>6326</v>
          </cell>
          <cell r="F357" t="str">
            <v>JF12030Q000400</v>
          </cell>
          <cell r="G357" t="str">
            <v>PIPE</v>
          </cell>
          <cell r="H357" t="str">
            <v>4</v>
          </cell>
          <cell r="I357" t="str">
            <v>--</v>
          </cell>
          <cell r="J357" t="str">
            <v>3.9MM WT</v>
          </cell>
          <cell r="K357" t="str">
            <v>NONE</v>
          </cell>
          <cell r="L357" t="str">
            <v>BELL &amp; SPIGOT TYPE RTRP D2996 TYPE1 GR.1 CL.F</v>
          </cell>
          <cell r="M357">
            <v>17</v>
          </cell>
        </row>
        <row r="358">
          <cell r="C358" t="str">
            <v>521</v>
          </cell>
          <cell r="D358" t="str">
            <v>T</v>
          </cell>
          <cell r="E358">
            <v>6326</v>
          </cell>
          <cell r="F358" t="str">
            <v>JF46020Q000400</v>
          </cell>
          <cell r="G358" t="str">
            <v>45 ELL</v>
          </cell>
          <cell r="H358" t="str">
            <v>4</v>
          </cell>
          <cell r="I358" t="str">
            <v>--</v>
          </cell>
          <cell r="J358" t="str">
            <v>3.9MM WT</v>
          </cell>
          <cell r="K358" t="str">
            <v>NONE</v>
          </cell>
          <cell r="L358" t="str">
            <v>BELL END RTRP D2996 TYPE1 GR.1 CL.F</v>
          </cell>
          <cell r="M358">
            <v>1</v>
          </cell>
        </row>
        <row r="359">
          <cell r="C359" t="str">
            <v>521</v>
          </cell>
          <cell r="D359" t="str">
            <v>T</v>
          </cell>
          <cell r="E359">
            <v>6326</v>
          </cell>
          <cell r="F359" t="str">
            <v>JF46010Q000400</v>
          </cell>
          <cell r="G359" t="str">
            <v>90 ELL</v>
          </cell>
          <cell r="H359" t="str">
            <v>4</v>
          </cell>
          <cell r="I359" t="str">
            <v>--</v>
          </cell>
          <cell r="J359" t="str">
            <v>3.9MM WT</v>
          </cell>
          <cell r="K359" t="str">
            <v>NONE</v>
          </cell>
          <cell r="L359" t="str">
            <v>BELL END RTRP D2996 TYPE1 GR.1 CL.F</v>
          </cell>
          <cell r="M359">
            <v>3</v>
          </cell>
        </row>
        <row r="360">
          <cell r="C360" t="str">
            <v>521</v>
          </cell>
          <cell r="D360" t="str">
            <v>T</v>
          </cell>
          <cell r="E360">
            <v>6326</v>
          </cell>
          <cell r="F360" t="str">
            <v>JF46040X0Q1404</v>
          </cell>
          <cell r="G360" t="str">
            <v>R TEE</v>
          </cell>
          <cell r="H360" t="str">
            <v>14</v>
          </cell>
          <cell r="I360" t="str">
            <v>4</v>
          </cell>
          <cell r="J360" t="str">
            <v>9.2MM WT</v>
          </cell>
          <cell r="K360" t="str">
            <v>3.9MM WT</v>
          </cell>
          <cell r="L360" t="str">
            <v>BELL END RTRP D2996 TYPE1 GR.1 CL.F</v>
          </cell>
          <cell r="M360">
            <v>1</v>
          </cell>
        </row>
        <row r="361">
          <cell r="C361" t="str">
            <v>521</v>
          </cell>
          <cell r="D361" t="str">
            <v>F</v>
          </cell>
          <cell r="E361">
            <v>6326</v>
          </cell>
          <cell r="F361" t="str">
            <v>JF24070Q000400</v>
          </cell>
          <cell r="G361" t="str">
            <v>FLG</v>
          </cell>
          <cell r="H361" t="str">
            <v>4</v>
          </cell>
          <cell r="I361" t="str">
            <v>--</v>
          </cell>
          <cell r="J361" t="str">
            <v>3.9MM WT</v>
          </cell>
          <cell r="K361" t="str">
            <v>NONE</v>
          </cell>
          <cell r="L361" t="str">
            <v>150# FF RTRP D4024 TYPE1 GR.1 CL.2 SOCKET END ADHESIVE BOND B16.5</v>
          </cell>
          <cell r="M361">
            <v>1</v>
          </cell>
        </row>
        <row r="362">
          <cell r="C362" t="str">
            <v>521</v>
          </cell>
          <cell r="D362" t="str">
            <v>V</v>
          </cell>
          <cell r="E362">
            <v>6311</v>
          </cell>
          <cell r="F362" t="str">
            <v>VGA10132000003</v>
          </cell>
          <cell r="G362" t="str">
            <v>GATE VA</v>
          </cell>
          <cell r="H362" t="str">
            <v>3</v>
          </cell>
          <cell r="I362" t="str">
            <v>--</v>
          </cell>
          <cell r="J362" t="str">
            <v>NONE</v>
          </cell>
          <cell r="K362" t="str">
            <v>NONE</v>
          </cell>
          <cell r="L362" t="str">
            <v>150# FF A216-WCB W/ST BB, OS&amp;Y SOLID WEDGE</v>
          </cell>
          <cell r="M362">
            <v>1</v>
          </cell>
        </row>
        <row r="363">
          <cell r="C363" t="str">
            <v>521</v>
          </cell>
          <cell r="D363" t="str">
            <v>L</v>
          </cell>
          <cell r="E363">
            <v>6311</v>
          </cell>
          <cell r="F363" t="str">
            <v>CB740100000DVV</v>
          </cell>
          <cell r="G363" t="str">
            <v>B/N</v>
          </cell>
          <cell r="H363" t="str">
            <v>5/8</v>
          </cell>
          <cell r="I363" t="str">
            <v>95mm</v>
          </cell>
          <cell r="J363" t="str">
            <v>NONE</v>
          </cell>
          <cell r="K363" t="str">
            <v>NONE</v>
          </cell>
          <cell r="L363" t="str">
            <v>STUD BOLTS A193 B7 W/2 HEAVY HEX NUTS A194-2H</v>
          </cell>
          <cell r="M363">
            <v>8</v>
          </cell>
        </row>
        <row r="364">
          <cell r="C364" t="str">
            <v>521</v>
          </cell>
          <cell r="D364" t="str">
            <v>G</v>
          </cell>
          <cell r="E364">
            <v>6318</v>
          </cell>
          <cell r="F364" t="str">
            <v>R4DF2-A3000003</v>
          </cell>
          <cell r="G364" t="str">
            <v>GSKT</v>
          </cell>
          <cell r="H364" t="str">
            <v>3</v>
          </cell>
          <cell r="I364" t="str">
            <v>--</v>
          </cell>
          <cell r="J364" t="str">
            <v>NONE</v>
          </cell>
          <cell r="K364" t="str">
            <v>NONE</v>
          </cell>
          <cell r="L364" t="str">
            <v>150# FF 3MM NEOPRENE FLAT GASKET B16.21</v>
          </cell>
          <cell r="M364">
            <v>2</v>
          </cell>
        </row>
        <row r="365">
          <cell r="C365" t="str">
            <v>525</v>
          </cell>
          <cell r="D365" t="str">
            <v>F</v>
          </cell>
          <cell r="E365">
            <v>6311</v>
          </cell>
          <cell r="F365" t="str">
            <v>CB279900000200</v>
          </cell>
          <cell r="G365" t="str">
            <v>BL FLG</v>
          </cell>
          <cell r="H365" t="str">
            <v>2</v>
          </cell>
          <cell r="I365" t="str">
            <v>--</v>
          </cell>
          <cell r="J365" t="str">
            <v>NONE</v>
          </cell>
          <cell r="K365" t="str">
            <v>NONE</v>
          </cell>
          <cell r="L365" t="str">
            <v>150# FF CS A105 B16.5 W/OVERLAY OF CU-NI ON CONTACT FACE</v>
          </cell>
          <cell r="M365">
            <v>1</v>
          </cell>
        </row>
        <row r="366">
          <cell r="C366" t="str">
            <v>525</v>
          </cell>
          <cell r="D366" t="str">
            <v>F</v>
          </cell>
          <cell r="E366">
            <v>6311</v>
          </cell>
          <cell r="F366" t="str">
            <v>CB279900004000</v>
          </cell>
          <cell r="G366" t="str">
            <v>BL FLG</v>
          </cell>
          <cell r="H366">
            <v>40</v>
          </cell>
          <cell r="I366" t="str">
            <v>--</v>
          </cell>
          <cell r="J366" t="str">
            <v>NONE</v>
          </cell>
          <cell r="K366" t="str">
            <v>NONE</v>
          </cell>
          <cell r="L366" t="str">
            <v>150# FF CS A105 B16.5 W/OVERLAY OF CU-NI ON CONTACT FACE</v>
          </cell>
          <cell r="M366">
            <v>1</v>
          </cell>
        </row>
        <row r="367">
          <cell r="C367" t="str">
            <v>525</v>
          </cell>
          <cell r="D367" t="str">
            <v>F</v>
          </cell>
          <cell r="E367">
            <v>6311</v>
          </cell>
          <cell r="F367" t="str">
            <v>CB838200001800</v>
          </cell>
          <cell r="G367" t="str">
            <v>SPACER</v>
          </cell>
          <cell r="H367" t="str">
            <v>18</v>
          </cell>
          <cell r="I367" t="str">
            <v>--</v>
          </cell>
          <cell r="J367" t="str">
            <v>NONE</v>
          </cell>
          <cell r="K367" t="str">
            <v>NONE</v>
          </cell>
          <cell r="L367" t="str">
            <v>150# FF CS A515-70 PER API 590 W/OVERLAY OF CU-NI ON CONTACT FACE W/BLANK</v>
          </cell>
          <cell r="M367">
            <v>1</v>
          </cell>
        </row>
        <row r="368">
          <cell r="C368" t="str">
            <v>525</v>
          </cell>
          <cell r="D368" t="str">
            <v>P</v>
          </cell>
          <cell r="E368">
            <v>6326</v>
          </cell>
          <cell r="F368" t="str">
            <v>JF12030Q000400</v>
          </cell>
          <cell r="G368" t="str">
            <v>PIPE</v>
          </cell>
          <cell r="H368" t="str">
            <v>4</v>
          </cell>
          <cell r="I368" t="str">
            <v>--</v>
          </cell>
          <cell r="J368" t="str">
            <v>3.9MM WT</v>
          </cell>
          <cell r="K368" t="str">
            <v>NONE</v>
          </cell>
          <cell r="L368" t="str">
            <v>BELL &amp; SPIGOT TYPE RTRP D2996 TYPE1 GR.1 CL.F</v>
          </cell>
          <cell r="M368">
            <v>60</v>
          </cell>
        </row>
        <row r="369">
          <cell r="C369" t="str">
            <v>525</v>
          </cell>
          <cell r="D369" t="str">
            <v>P</v>
          </cell>
          <cell r="E369">
            <v>6326</v>
          </cell>
          <cell r="F369" t="str">
            <v>JF12031B001800</v>
          </cell>
          <cell r="G369" t="str">
            <v>PIPE</v>
          </cell>
          <cell r="H369" t="str">
            <v>18</v>
          </cell>
          <cell r="I369" t="str">
            <v>--</v>
          </cell>
          <cell r="J369" t="str">
            <v>11.5MM WT</v>
          </cell>
          <cell r="K369" t="str">
            <v>NONE</v>
          </cell>
          <cell r="L369" t="str">
            <v>BELL &amp; SPIGOT TYPE RTRP D2996 TYPE1 GR.1 CL.F</v>
          </cell>
          <cell r="M369">
            <v>2045</v>
          </cell>
        </row>
        <row r="370">
          <cell r="C370" t="str">
            <v>525</v>
          </cell>
          <cell r="D370" t="str">
            <v>P</v>
          </cell>
          <cell r="E370">
            <v>6326</v>
          </cell>
          <cell r="F370" t="str">
            <v>JF12032N004000</v>
          </cell>
          <cell r="G370" t="str">
            <v>PIPE</v>
          </cell>
          <cell r="H370">
            <v>40</v>
          </cell>
          <cell r="I370" t="str">
            <v>--</v>
          </cell>
          <cell r="J370" t="str">
            <v>24.0MM WT</v>
          </cell>
          <cell r="K370" t="str">
            <v>NONE</v>
          </cell>
          <cell r="L370" t="str">
            <v>BELL &amp; SPIGOT TYPE RTRP D2996 TYPE1 GR.1 CL.F</v>
          </cell>
          <cell r="M370">
            <v>8</v>
          </cell>
        </row>
        <row r="371">
          <cell r="C371" t="str">
            <v>525</v>
          </cell>
          <cell r="D371" t="str">
            <v>T</v>
          </cell>
          <cell r="E371">
            <v>6326</v>
          </cell>
          <cell r="F371" t="str">
            <v>JF46101B001800</v>
          </cell>
          <cell r="G371" t="str">
            <v>22.5 ELL</v>
          </cell>
          <cell r="H371" t="str">
            <v>18</v>
          </cell>
          <cell r="I371" t="str">
            <v>--</v>
          </cell>
          <cell r="J371" t="str">
            <v>11.5MM WT</v>
          </cell>
          <cell r="K371" t="str">
            <v>NONE</v>
          </cell>
          <cell r="L371" t="str">
            <v>BELL END RTRP D2996 TYPE1 GR.1 CL.F</v>
          </cell>
          <cell r="M371">
            <v>4</v>
          </cell>
        </row>
        <row r="372">
          <cell r="C372" t="str">
            <v>525</v>
          </cell>
          <cell r="D372" t="str">
            <v>T</v>
          </cell>
          <cell r="E372">
            <v>6326</v>
          </cell>
          <cell r="F372" t="str">
            <v>JF46020Q000400</v>
          </cell>
          <cell r="G372" t="str">
            <v>45 ELL</v>
          </cell>
          <cell r="H372" t="str">
            <v>4</v>
          </cell>
          <cell r="I372" t="str">
            <v>--</v>
          </cell>
          <cell r="J372" t="str">
            <v>3.9MM WT</v>
          </cell>
          <cell r="K372" t="str">
            <v>NONE</v>
          </cell>
          <cell r="L372" t="str">
            <v>BELL END RTRP D2996 TYPE1 GR.1 CL.F</v>
          </cell>
          <cell r="M372">
            <v>1</v>
          </cell>
        </row>
        <row r="373">
          <cell r="C373" t="str">
            <v>525</v>
          </cell>
          <cell r="D373" t="str">
            <v>T</v>
          </cell>
          <cell r="E373">
            <v>6326</v>
          </cell>
          <cell r="F373" t="str">
            <v>JF46021B001800</v>
          </cell>
          <cell r="G373" t="str">
            <v>45 ELL</v>
          </cell>
          <cell r="H373" t="str">
            <v>18</v>
          </cell>
          <cell r="I373" t="str">
            <v>--</v>
          </cell>
          <cell r="J373" t="str">
            <v>11.5MM WT</v>
          </cell>
          <cell r="K373" t="str">
            <v>NONE</v>
          </cell>
          <cell r="L373" t="str">
            <v>BELL END RTRP D2996 TYPE1 GR.1 CL.F</v>
          </cell>
          <cell r="M373">
            <v>4</v>
          </cell>
        </row>
        <row r="374">
          <cell r="C374" t="str">
            <v>525</v>
          </cell>
          <cell r="D374" t="str">
            <v>T</v>
          </cell>
          <cell r="E374">
            <v>6326</v>
          </cell>
          <cell r="F374" t="str">
            <v>JF46010P000200</v>
          </cell>
          <cell r="G374" t="str">
            <v>90 ELL</v>
          </cell>
          <cell r="H374" t="str">
            <v>2</v>
          </cell>
          <cell r="I374" t="str">
            <v>--</v>
          </cell>
          <cell r="J374" t="str">
            <v>3.6MM WT</v>
          </cell>
          <cell r="K374" t="str">
            <v>NONE</v>
          </cell>
          <cell r="L374" t="str">
            <v>BELL END RTRP D2996 TYPE1 GR.1 CL.F</v>
          </cell>
          <cell r="M374">
            <v>1</v>
          </cell>
        </row>
        <row r="375">
          <cell r="C375" t="str">
            <v>525</v>
          </cell>
          <cell r="D375" t="str">
            <v>T</v>
          </cell>
          <cell r="E375">
            <v>6326</v>
          </cell>
          <cell r="F375" t="str">
            <v>JF46010Q000400</v>
          </cell>
          <cell r="G375" t="str">
            <v>90 ELL</v>
          </cell>
          <cell r="H375" t="str">
            <v>4</v>
          </cell>
          <cell r="I375" t="str">
            <v>--</v>
          </cell>
          <cell r="J375" t="str">
            <v>3.9MM WT</v>
          </cell>
          <cell r="K375" t="str">
            <v>NONE</v>
          </cell>
          <cell r="L375" t="str">
            <v>BELL END RTRP D2996 TYPE1 GR.1 CL.F</v>
          </cell>
          <cell r="M375">
            <v>2</v>
          </cell>
        </row>
        <row r="376">
          <cell r="C376" t="str">
            <v>525</v>
          </cell>
          <cell r="D376" t="str">
            <v>T</v>
          </cell>
          <cell r="E376">
            <v>6326</v>
          </cell>
          <cell r="F376" t="str">
            <v>JF46011B001800</v>
          </cell>
          <cell r="G376" t="str">
            <v>90 ELL</v>
          </cell>
          <cell r="H376" t="str">
            <v>18</v>
          </cell>
          <cell r="I376" t="str">
            <v>--</v>
          </cell>
          <cell r="J376" t="str">
            <v>11.5MM WT</v>
          </cell>
          <cell r="K376" t="str">
            <v>NONE</v>
          </cell>
          <cell r="L376" t="str">
            <v>BELL END RTRP D2996 TYPE1 GR.1 CL.F</v>
          </cell>
          <cell r="M376">
            <v>5</v>
          </cell>
        </row>
        <row r="377">
          <cell r="C377" t="str">
            <v>525</v>
          </cell>
          <cell r="D377" t="str">
            <v>T</v>
          </cell>
          <cell r="E377">
            <v>6326</v>
          </cell>
          <cell r="F377" t="str">
            <v>JF46140P000200</v>
          </cell>
          <cell r="G377" t="str">
            <v>ADAPTOR</v>
          </cell>
          <cell r="H377" t="str">
            <v>2</v>
          </cell>
          <cell r="I377" t="str">
            <v>--</v>
          </cell>
          <cell r="J377" t="str">
            <v>3.6MM WT</v>
          </cell>
          <cell r="K377" t="str">
            <v>NONE</v>
          </cell>
          <cell r="L377" t="str">
            <v>SPIGOT END RTRP D2996 TYPE1 GR.1 CL.F</v>
          </cell>
          <cell r="M377">
            <v>2</v>
          </cell>
        </row>
        <row r="378">
          <cell r="C378" t="str">
            <v>525</v>
          </cell>
          <cell r="D378" t="str">
            <v>T</v>
          </cell>
          <cell r="E378">
            <v>6326</v>
          </cell>
          <cell r="F378" t="str">
            <v>JF46141B001800</v>
          </cell>
          <cell r="G378" t="str">
            <v>ADAPTOR</v>
          </cell>
          <cell r="H378" t="str">
            <v>18</v>
          </cell>
          <cell r="I378" t="str">
            <v>--</v>
          </cell>
          <cell r="J378" t="str">
            <v>11.5MM WT</v>
          </cell>
          <cell r="K378" t="str">
            <v>NONE</v>
          </cell>
          <cell r="L378" t="str">
            <v>SPIGOT END RTRP D2996 TYPE1 GR.1 CL.F</v>
          </cell>
          <cell r="M378">
            <v>1</v>
          </cell>
        </row>
        <row r="379">
          <cell r="C379" t="str">
            <v>525</v>
          </cell>
          <cell r="D379" t="str">
            <v>T</v>
          </cell>
          <cell r="E379">
            <v>6326</v>
          </cell>
          <cell r="F379" t="str">
            <v>JF46041B0Q1804</v>
          </cell>
          <cell r="G379" t="str">
            <v>R TEE</v>
          </cell>
          <cell r="H379" t="str">
            <v>18</v>
          </cell>
          <cell r="I379" t="str">
            <v>4</v>
          </cell>
          <cell r="J379" t="str">
            <v>11.5MM WT</v>
          </cell>
          <cell r="K379" t="str">
            <v>3.9MM WT</v>
          </cell>
          <cell r="L379" t="str">
            <v>BELL END RTRP D2996 TYPE1 GR.1 CL.F</v>
          </cell>
          <cell r="M379">
            <v>1</v>
          </cell>
        </row>
        <row r="380">
          <cell r="C380" t="str">
            <v>525</v>
          </cell>
          <cell r="D380" t="str">
            <v>T</v>
          </cell>
          <cell r="E380">
            <v>6326</v>
          </cell>
          <cell r="F380" t="str">
            <v>JF46041B1A1812</v>
          </cell>
          <cell r="G380" t="str">
            <v>R TEE</v>
          </cell>
          <cell r="H380" t="str">
            <v>18</v>
          </cell>
          <cell r="I380" t="str">
            <v>12</v>
          </cell>
          <cell r="J380" t="str">
            <v>11.5MM WT</v>
          </cell>
          <cell r="K380" t="str">
            <v>8.4MM WT</v>
          </cell>
          <cell r="L380" t="str">
            <v>BELL END RTRP D2996 TYPE1 GR.1 CL.F</v>
          </cell>
          <cell r="M380">
            <v>1</v>
          </cell>
        </row>
        <row r="381">
          <cell r="C381" t="str">
            <v>525</v>
          </cell>
          <cell r="D381" t="str">
            <v>T</v>
          </cell>
          <cell r="E381">
            <v>6326</v>
          </cell>
          <cell r="F381" t="str">
            <v>JF46041C1B2418</v>
          </cell>
          <cell r="G381" t="str">
            <v>R TEE</v>
          </cell>
          <cell r="H381" t="str">
            <v>24</v>
          </cell>
          <cell r="I381" t="str">
            <v>18</v>
          </cell>
          <cell r="J381" t="str">
            <v>15.1MM WT</v>
          </cell>
          <cell r="K381" t="str">
            <v>11.5MM WT</v>
          </cell>
          <cell r="L381" t="str">
            <v>BELL END RTRP D2996 TYPE1 GR.1 CL.F</v>
          </cell>
          <cell r="M381">
            <v>1</v>
          </cell>
        </row>
        <row r="382">
          <cell r="C382" t="str">
            <v>525</v>
          </cell>
          <cell r="D382" t="str">
            <v>T</v>
          </cell>
          <cell r="E382">
            <v>6326</v>
          </cell>
          <cell r="F382" t="str">
            <v>JF46042N1B4018</v>
          </cell>
          <cell r="G382" t="str">
            <v>R TEE</v>
          </cell>
          <cell r="H382">
            <v>40</v>
          </cell>
          <cell r="I382" t="str">
            <v>18</v>
          </cell>
          <cell r="J382" t="str">
            <v>24.0MM WT</v>
          </cell>
          <cell r="K382" t="str">
            <v>11.5MM WT</v>
          </cell>
          <cell r="L382" t="str">
            <v>BELL END RTRP D2996 TYPE1 GR.1 CL.F</v>
          </cell>
          <cell r="M382">
            <v>1</v>
          </cell>
        </row>
        <row r="383">
          <cell r="C383" t="str">
            <v>525</v>
          </cell>
          <cell r="D383" t="str">
            <v>T</v>
          </cell>
          <cell r="E383">
            <v>6326</v>
          </cell>
          <cell r="F383" t="str">
            <v>JF46031B001800</v>
          </cell>
          <cell r="G383" t="str">
            <v>TEE</v>
          </cell>
          <cell r="H383" t="str">
            <v>18</v>
          </cell>
          <cell r="I383" t="str">
            <v>--</v>
          </cell>
          <cell r="J383" t="str">
            <v>11.5MM WT</v>
          </cell>
          <cell r="K383" t="str">
            <v>NONE</v>
          </cell>
          <cell r="L383" t="str">
            <v>BELL END RTRP D2996 TYPE1 GR.1 CL.F</v>
          </cell>
          <cell r="M383">
            <v>2</v>
          </cell>
        </row>
        <row r="384">
          <cell r="C384" t="str">
            <v>525</v>
          </cell>
          <cell r="D384" t="str">
            <v>F</v>
          </cell>
          <cell r="E384">
            <v>6326</v>
          </cell>
          <cell r="F384" t="str">
            <v>JF24070P000200</v>
          </cell>
          <cell r="G384" t="str">
            <v>FLG</v>
          </cell>
          <cell r="H384" t="str">
            <v>2</v>
          </cell>
          <cell r="I384" t="str">
            <v>--</v>
          </cell>
          <cell r="J384" t="str">
            <v>3.6MM WT</v>
          </cell>
          <cell r="K384" t="str">
            <v>NONE</v>
          </cell>
          <cell r="L384" t="str">
            <v>150# FF RTRP D4024 TYPE1 GR.1 CL.2 SOCKET END ADHESIVE BOND B16.5</v>
          </cell>
          <cell r="M384">
            <v>1</v>
          </cell>
        </row>
        <row r="385">
          <cell r="C385" t="str">
            <v>525</v>
          </cell>
          <cell r="D385" t="str">
            <v>F</v>
          </cell>
          <cell r="E385">
            <v>6326</v>
          </cell>
          <cell r="F385" t="str">
            <v>JF24070Q000400</v>
          </cell>
          <cell r="G385" t="str">
            <v>FLG</v>
          </cell>
          <cell r="H385" t="str">
            <v>4</v>
          </cell>
          <cell r="I385" t="str">
            <v>--</v>
          </cell>
          <cell r="J385" t="str">
            <v>3.9MM WT</v>
          </cell>
          <cell r="K385" t="str">
            <v>NONE</v>
          </cell>
          <cell r="L385" t="str">
            <v>150# FF RTRP D4024 TYPE1 GR.1 CL.2 SOCKET END ADHESIVE BOND B16.5</v>
          </cell>
          <cell r="M385">
            <v>1</v>
          </cell>
        </row>
        <row r="386">
          <cell r="C386" t="str">
            <v>525</v>
          </cell>
          <cell r="D386" t="str">
            <v>F</v>
          </cell>
          <cell r="E386">
            <v>6326</v>
          </cell>
          <cell r="F386" t="str">
            <v>JF24071B001800</v>
          </cell>
          <cell r="G386" t="str">
            <v>FLG</v>
          </cell>
          <cell r="H386" t="str">
            <v>18</v>
          </cell>
          <cell r="I386" t="str">
            <v>--</v>
          </cell>
          <cell r="J386" t="str">
            <v>11.5MM WT</v>
          </cell>
          <cell r="K386" t="str">
            <v>NONE</v>
          </cell>
          <cell r="L386" t="str">
            <v>150# FF RTRP D4024 TYPE1 GR.1 CL.2 SOCKET END ADHESIVE BOND B16.5</v>
          </cell>
          <cell r="M386">
            <v>7</v>
          </cell>
        </row>
        <row r="387">
          <cell r="C387" t="str">
            <v>525</v>
          </cell>
          <cell r="D387" t="str">
            <v>F</v>
          </cell>
          <cell r="E387">
            <v>6326</v>
          </cell>
          <cell r="F387" t="str">
            <v>JF24072N004000</v>
          </cell>
          <cell r="G387" t="str">
            <v>FLG</v>
          </cell>
          <cell r="H387">
            <v>40</v>
          </cell>
          <cell r="I387" t="str">
            <v>--</v>
          </cell>
          <cell r="J387" t="str">
            <v>24.0MM WT</v>
          </cell>
          <cell r="K387" t="str">
            <v>NONE</v>
          </cell>
          <cell r="L387" t="str">
            <v>150# FF RTRP D4024 TYPE1 GR.1 CL.2 SOCKET END ADHESIVE BOND B16.5</v>
          </cell>
          <cell r="M387">
            <v>2</v>
          </cell>
        </row>
        <row r="388">
          <cell r="C388" t="str">
            <v>525</v>
          </cell>
          <cell r="D388" t="str">
            <v>V</v>
          </cell>
          <cell r="E388">
            <v>6315</v>
          </cell>
          <cell r="F388" t="str">
            <v>PGA16641000002</v>
          </cell>
          <cell r="G388" t="str">
            <v>GATE VA</v>
          </cell>
          <cell r="H388" t="str">
            <v>2</v>
          </cell>
          <cell r="I388" t="str">
            <v>--</v>
          </cell>
          <cell r="J388" t="str">
            <v>NONE</v>
          </cell>
          <cell r="K388" t="str">
            <v>NONE</v>
          </cell>
          <cell r="L388" t="str">
            <v>150# FF B148 Gr.C95800 W/SAME AS BODY MATERIAL BB, OS&amp;Y SOLID WEDGE, EXTENDED STEM</v>
          </cell>
          <cell r="M388">
            <v>1</v>
          </cell>
        </row>
        <row r="389">
          <cell r="C389" t="str">
            <v>525</v>
          </cell>
          <cell r="D389" t="str">
            <v>V</v>
          </cell>
          <cell r="E389">
            <v>6315</v>
          </cell>
          <cell r="F389" t="str">
            <v>PGN16641000018</v>
          </cell>
          <cell r="G389" t="str">
            <v>GATE VA</v>
          </cell>
          <cell r="H389" t="str">
            <v>18</v>
          </cell>
          <cell r="I389" t="str">
            <v>--</v>
          </cell>
          <cell r="J389" t="str">
            <v>NONE</v>
          </cell>
          <cell r="K389" t="str">
            <v>NONE</v>
          </cell>
          <cell r="L389" t="str">
            <v>150# FF B148 Gr.C95800 W/SAME AS BODY MATERIAL BB, OS&amp;Y SOLID WEDGE GO, EXTENDED STEM</v>
          </cell>
          <cell r="M389">
            <v>2</v>
          </cell>
        </row>
        <row r="390">
          <cell r="C390" t="str">
            <v>525</v>
          </cell>
          <cell r="D390" t="str">
            <v>L</v>
          </cell>
          <cell r="E390">
            <v>6311</v>
          </cell>
          <cell r="F390" t="str">
            <v>CB744100000DVT</v>
          </cell>
          <cell r="G390" t="str">
            <v>B/N</v>
          </cell>
          <cell r="H390" t="str">
            <v>5/8</v>
          </cell>
          <cell r="I390" t="str">
            <v>85mm</v>
          </cell>
          <cell r="J390" t="str">
            <v>NONE</v>
          </cell>
          <cell r="K390" t="str">
            <v>NONE</v>
          </cell>
          <cell r="L390" t="str">
            <v>STUD BOLTS A193 B7 W/2 HEAVY HEX NUTS A194-2H W/WASHER</v>
          </cell>
          <cell r="M390">
            <v>8</v>
          </cell>
        </row>
        <row r="391">
          <cell r="C391" t="str">
            <v>525</v>
          </cell>
          <cell r="D391" t="str">
            <v>L</v>
          </cell>
          <cell r="E391">
            <v>6311</v>
          </cell>
          <cell r="F391" t="str">
            <v>CB744100001AWM</v>
          </cell>
          <cell r="G391" t="str">
            <v>B/N</v>
          </cell>
          <cell r="H391" t="str">
            <v>1-1/8</v>
          </cell>
          <cell r="I391" t="str">
            <v>155mm</v>
          </cell>
          <cell r="J391" t="str">
            <v>NONE</v>
          </cell>
          <cell r="K391" t="str">
            <v>NONE</v>
          </cell>
          <cell r="L391" t="str">
            <v>STUD BOLTS A193 B7 W/2 HEAVY HEX NUTS A194-2H W/WASHER</v>
          </cell>
          <cell r="M391">
            <v>96</v>
          </cell>
        </row>
        <row r="392">
          <cell r="C392" t="str">
            <v>525</v>
          </cell>
          <cell r="D392" t="str">
            <v>L</v>
          </cell>
          <cell r="E392">
            <v>6311</v>
          </cell>
          <cell r="F392" t="str">
            <v>CB744100001HZF</v>
          </cell>
          <cell r="G392" t="str">
            <v>B/N</v>
          </cell>
          <cell r="H392" t="str">
            <v>1-1/2</v>
          </cell>
          <cell r="I392" t="str">
            <v>425mm</v>
          </cell>
          <cell r="J392" t="str">
            <v>NONE</v>
          </cell>
          <cell r="K392" t="str">
            <v>NONE</v>
          </cell>
          <cell r="L392" t="str">
            <v>STUD BOLTS A193 B7 W/2 HEAVY HEX NUTS A194-2H W/WASHER</v>
          </cell>
          <cell r="M392">
            <v>72</v>
          </cell>
        </row>
        <row r="393">
          <cell r="C393" t="str">
            <v>525</v>
          </cell>
          <cell r="D393" t="str">
            <v>G</v>
          </cell>
          <cell r="E393">
            <v>6318</v>
          </cell>
          <cell r="F393" t="str">
            <v>R4DF2-A3000002</v>
          </cell>
          <cell r="G393" t="str">
            <v>GSKT</v>
          </cell>
          <cell r="H393" t="str">
            <v>2</v>
          </cell>
          <cell r="I393" t="str">
            <v>--</v>
          </cell>
          <cell r="J393" t="str">
            <v>NONE</v>
          </cell>
          <cell r="K393" t="str">
            <v>NONE</v>
          </cell>
          <cell r="L393" t="str">
            <v>150# FF 3MM NEOPRENE FLAT GASKET B16.21</v>
          </cell>
          <cell r="M393">
            <v>2</v>
          </cell>
        </row>
        <row r="394">
          <cell r="C394" t="str">
            <v>525</v>
          </cell>
          <cell r="D394" t="str">
            <v>G</v>
          </cell>
          <cell r="E394">
            <v>6318</v>
          </cell>
          <cell r="F394" t="str">
            <v>R4DF2-A5000018</v>
          </cell>
          <cell r="G394" t="str">
            <v>GSKT</v>
          </cell>
          <cell r="H394" t="str">
            <v>18</v>
          </cell>
          <cell r="I394" t="str">
            <v>--</v>
          </cell>
          <cell r="J394" t="str">
            <v>NONE</v>
          </cell>
          <cell r="K394" t="str">
            <v>NONE</v>
          </cell>
          <cell r="L394" t="str">
            <v>150# FF 5MM NEOPRENE FLAT GASKET B16.21</v>
          </cell>
          <cell r="M394">
            <v>8</v>
          </cell>
        </row>
        <row r="395">
          <cell r="C395" t="str">
            <v>525</v>
          </cell>
          <cell r="D395" t="str">
            <v>G</v>
          </cell>
          <cell r="E395">
            <v>6318</v>
          </cell>
          <cell r="F395" t="str">
            <v>R4DF2-A5000040</v>
          </cell>
          <cell r="G395" t="str">
            <v>GSKT</v>
          </cell>
          <cell r="H395">
            <v>40</v>
          </cell>
          <cell r="I395" t="str">
            <v>--</v>
          </cell>
          <cell r="J395" t="str">
            <v>NONE</v>
          </cell>
          <cell r="K395" t="str">
            <v>NONE</v>
          </cell>
          <cell r="L395" t="str">
            <v>150# FF 5MM NEOPRENE FLAT GASKET B16.21</v>
          </cell>
          <cell r="M395">
            <v>2</v>
          </cell>
        </row>
        <row r="396">
          <cell r="C396" t="str">
            <v>526</v>
          </cell>
          <cell r="D396" t="str">
            <v>P</v>
          </cell>
          <cell r="E396">
            <v>6326</v>
          </cell>
          <cell r="F396" t="str">
            <v>JF12031A001200</v>
          </cell>
          <cell r="G396" t="str">
            <v>PIPE</v>
          </cell>
          <cell r="H396" t="str">
            <v>12</v>
          </cell>
          <cell r="I396" t="str">
            <v>--</v>
          </cell>
          <cell r="J396" t="str">
            <v>8.4MM WT</v>
          </cell>
          <cell r="K396" t="str">
            <v>NONE</v>
          </cell>
          <cell r="L396" t="str">
            <v>BELL &amp; SPIGOT TYPE RTRP D2996 TYPE1 GR.1 CL.F</v>
          </cell>
          <cell r="M396">
            <v>70</v>
          </cell>
        </row>
        <row r="397">
          <cell r="C397" t="str">
            <v>526</v>
          </cell>
          <cell r="D397" t="str">
            <v>T</v>
          </cell>
          <cell r="E397">
            <v>6326</v>
          </cell>
          <cell r="F397" t="str">
            <v>JF46021A001200</v>
          </cell>
          <cell r="G397" t="str">
            <v>45 ELL</v>
          </cell>
          <cell r="H397" t="str">
            <v>12</v>
          </cell>
          <cell r="I397" t="str">
            <v>--</v>
          </cell>
          <cell r="J397" t="str">
            <v>8.4MM WT</v>
          </cell>
          <cell r="K397" t="str">
            <v>NONE</v>
          </cell>
          <cell r="L397" t="str">
            <v>BELL END RTRP D2996 TYPE1 GR.1 CL.F</v>
          </cell>
          <cell r="M397">
            <v>4</v>
          </cell>
        </row>
        <row r="398">
          <cell r="C398" t="str">
            <v>526</v>
          </cell>
          <cell r="D398" t="str">
            <v>T</v>
          </cell>
          <cell r="E398">
            <v>6326</v>
          </cell>
          <cell r="F398" t="str">
            <v>JF46011A001200</v>
          </cell>
          <cell r="G398" t="str">
            <v>90 ELL</v>
          </cell>
          <cell r="H398" t="str">
            <v>12</v>
          </cell>
          <cell r="I398" t="str">
            <v>--</v>
          </cell>
          <cell r="J398" t="str">
            <v>8.4MM WT</v>
          </cell>
          <cell r="K398" t="str">
            <v>NONE</v>
          </cell>
          <cell r="L398" t="str">
            <v>BELL END RTRP D2996 TYPE1 GR.1 CL.F</v>
          </cell>
          <cell r="M398">
            <v>2</v>
          </cell>
        </row>
        <row r="399">
          <cell r="C399" t="str">
            <v>526</v>
          </cell>
          <cell r="D399" t="str">
            <v>T</v>
          </cell>
          <cell r="E399">
            <v>6326</v>
          </cell>
          <cell r="F399" t="str">
            <v>JF46040X1A1412</v>
          </cell>
          <cell r="G399" t="str">
            <v>R TEE</v>
          </cell>
          <cell r="H399" t="str">
            <v>14</v>
          </cell>
          <cell r="I399" t="str">
            <v>12</v>
          </cell>
          <cell r="J399" t="str">
            <v>9.2MM WT</v>
          </cell>
          <cell r="K399" t="str">
            <v>8.4MM WT</v>
          </cell>
          <cell r="L399" t="str">
            <v>BELL END RTRP D2996 TYPE1 GR.1 CL.F</v>
          </cell>
          <cell r="M399">
            <v>1</v>
          </cell>
        </row>
        <row r="400">
          <cell r="C400" t="str">
            <v>526</v>
          </cell>
          <cell r="D400" t="str">
            <v>F</v>
          </cell>
          <cell r="E400">
            <v>6326</v>
          </cell>
          <cell r="F400" t="str">
            <v>JF24071A001200</v>
          </cell>
          <cell r="G400" t="str">
            <v>FLG</v>
          </cell>
          <cell r="H400" t="str">
            <v>12</v>
          </cell>
          <cell r="I400" t="str">
            <v>--</v>
          </cell>
          <cell r="J400" t="str">
            <v>8.4MM WT</v>
          </cell>
          <cell r="K400" t="str">
            <v>NONE</v>
          </cell>
          <cell r="L400" t="str">
            <v>150# FF RTRP D4024 TYPE1 GR.1 CL.2 SOCKET END ADHESIVE BOND B16.5</v>
          </cell>
          <cell r="M400">
            <v>1</v>
          </cell>
        </row>
        <row r="401">
          <cell r="C401" t="str">
            <v>560</v>
          </cell>
          <cell r="D401" t="str">
            <v>P</v>
          </cell>
          <cell r="E401">
            <v>6311</v>
          </cell>
          <cell r="F401" t="str">
            <v>B2100704000400</v>
          </cell>
          <cell r="G401" t="str">
            <v>PIPE</v>
          </cell>
          <cell r="H401" t="str">
            <v>4</v>
          </cell>
          <cell r="I401" t="str">
            <v>--</v>
          </cell>
          <cell r="J401" t="str">
            <v>SCH 40</v>
          </cell>
          <cell r="K401" t="str">
            <v>NONE</v>
          </cell>
          <cell r="L401" t="str">
            <v>BE CS SMLS API 5L-B P.E. COATED</v>
          </cell>
          <cell r="M401">
            <v>90</v>
          </cell>
        </row>
        <row r="402">
          <cell r="C402" t="str">
            <v>560</v>
          </cell>
          <cell r="D402" t="str">
            <v>P</v>
          </cell>
          <cell r="E402">
            <v>6311</v>
          </cell>
          <cell r="F402" t="str">
            <v>B2100704000600</v>
          </cell>
          <cell r="G402" t="str">
            <v>PIPE</v>
          </cell>
          <cell r="H402" t="str">
            <v>6</v>
          </cell>
          <cell r="I402" t="str">
            <v>--</v>
          </cell>
          <cell r="J402" t="str">
            <v>SCH 40</v>
          </cell>
          <cell r="K402" t="str">
            <v>NONE</v>
          </cell>
          <cell r="L402" t="str">
            <v>BE CS SMLS API 5L-B P.E. COATED</v>
          </cell>
          <cell r="M402">
            <v>430</v>
          </cell>
        </row>
        <row r="403">
          <cell r="C403" t="str">
            <v>560</v>
          </cell>
          <cell r="D403" t="str">
            <v>P</v>
          </cell>
          <cell r="E403">
            <v>6311</v>
          </cell>
          <cell r="F403" t="str">
            <v>CG100704000300</v>
          </cell>
          <cell r="G403" t="str">
            <v>PIPE</v>
          </cell>
          <cell r="H403" t="str">
            <v>3</v>
          </cell>
          <cell r="I403" t="str">
            <v>--</v>
          </cell>
          <cell r="J403" t="str">
            <v>SCH 40</v>
          </cell>
          <cell r="K403" t="str">
            <v>NONE</v>
          </cell>
          <cell r="L403" t="str">
            <v>BE CS SMLS API 5L-B GALV.</v>
          </cell>
          <cell r="M403">
            <v>144</v>
          </cell>
        </row>
        <row r="404">
          <cell r="C404" t="str">
            <v>560</v>
          </cell>
          <cell r="D404" t="str">
            <v>P</v>
          </cell>
          <cell r="E404">
            <v>6311</v>
          </cell>
          <cell r="F404" t="str">
            <v>G2100704000300</v>
          </cell>
          <cell r="G404" t="str">
            <v>PIPE</v>
          </cell>
          <cell r="H404" t="str">
            <v>3</v>
          </cell>
          <cell r="I404" t="str">
            <v>--</v>
          </cell>
          <cell r="J404" t="str">
            <v>SCH 40</v>
          </cell>
          <cell r="K404" t="str">
            <v>NONE</v>
          </cell>
          <cell r="L404" t="str">
            <v>BE CS SMLS API 5L-B GALV. P.E. COATED</v>
          </cell>
          <cell r="M404">
            <v>1241</v>
          </cell>
        </row>
        <row r="405">
          <cell r="C405" t="str">
            <v>560</v>
          </cell>
          <cell r="D405" t="str">
            <v>P</v>
          </cell>
          <cell r="E405">
            <v>6311</v>
          </cell>
          <cell r="F405" t="str">
            <v>G2100908000200</v>
          </cell>
          <cell r="G405" t="str">
            <v>PIPE</v>
          </cell>
          <cell r="H405" t="str">
            <v>2</v>
          </cell>
          <cell r="I405" t="str">
            <v>--</v>
          </cell>
          <cell r="J405" t="str">
            <v>SCH 80</v>
          </cell>
          <cell r="K405" t="str">
            <v>NONE</v>
          </cell>
          <cell r="L405" t="str">
            <v>TE CS SMLS API 5L-B GALV. THRD COUPLING (3000#,A105/GALV) P.E. COATED</v>
          </cell>
          <cell r="M405">
            <v>319</v>
          </cell>
        </row>
        <row r="406">
          <cell r="C406" t="str">
            <v>560</v>
          </cell>
          <cell r="D406" t="str">
            <v>T</v>
          </cell>
          <cell r="E406">
            <v>6311</v>
          </cell>
          <cell r="F406" t="str">
            <v>B3300204000300</v>
          </cell>
          <cell r="G406" t="str">
            <v>45 ELL</v>
          </cell>
          <cell r="H406" t="str">
            <v>3</v>
          </cell>
          <cell r="I406" t="str">
            <v>--</v>
          </cell>
          <cell r="J406" t="str">
            <v>SCH 40</v>
          </cell>
          <cell r="K406" t="str">
            <v>NONE</v>
          </cell>
          <cell r="L406" t="str">
            <v>BW CS A234-WPB-S B16.9 SHRINKABLE SLEEVE</v>
          </cell>
          <cell r="M406">
            <v>13</v>
          </cell>
        </row>
        <row r="407">
          <cell r="C407" t="str">
            <v>560</v>
          </cell>
          <cell r="D407" t="str">
            <v>T</v>
          </cell>
          <cell r="E407">
            <v>6311</v>
          </cell>
          <cell r="F407" t="str">
            <v>B3300204000600</v>
          </cell>
          <cell r="G407" t="str">
            <v>45 ELL</v>
          </cell>
          <cell r="H407" t="str">
            <v>6</v>
          </cell>
          <cell r="I407" t="str">
            <v>--</v>
          </cell>
          <cell r="J407" t="str">
            <v>SCH 40</v>
          </cell>
          <cell r="K407" t="str">
            <v>NONE</v>
          </cell>
          <cell r="L407" t="str">
            <v>BW CS A234-WPB-S B16.9 SHRINKABLE SLEEVE</v>
          </cell>
          <cell r="M407">
            <v>2</v>
          </cell>
        </row>
        <row r="408">
          <cell r="C408" t="str">
            <v>560</v>
          </cell>
          <cell r="D408" t="str">
            <v>T</v>
          </cell>
          <cell r="E408">
            <v>6311</v>
          </cell>
          <cell r="F408" t="str">
            <v>CB300204000300</v>
          </cell>
          <cell r="G408" t="str">
            <v>45 ELL</v>
          </cell>
          <cell r="H408" t="str">
            <v>3</v>
          </cell>
          <cell r="I408" t="str">
            <v>--</v>
          </cell>
          <cell r="J408" t="str">
            <v>SCH 40</v>
          </cell>
          <cell r="K408" t="str">
            <v>NONE</v>
          </cell>
          <cell r="L408" t="str">
            <v>BW CS A234-WPB-S B16.9</v>
          </cell>
          <cell r="M408">
            <v>2</v>
          </cell>
        </row>
        <row r="409">
          <cell r="C409" t="str">
            <v>560</v>
          </cell>
          <cell r="D409" t="str">
            <v>T</v>
          </cell>
          <cell r="E409">
            <v>6311</v>
          </cell>
          <cell r="F409" t="str">
            <v>B3300104000300</v>
          </cell>
          <cell r="G409" t="str">
            <v>90 ELL</v>
          </cell>
          <cell r="H409" t="str">
            <v>3</v>
          </cell>
          <cell r="I409" t="str">
            <v>--</v>
          </cell>
          <cell r="J409" t="str">
            <v>SCH 40</v>
          </cell>
          <cell r="K409" t="str">
            <v>NONE</v>
          </cell>
          <cell r="L409" t="str">
            <v>BW CS A234-WPB-S B16.9 SHRINKABLE SLEEVE</v>
          </cell>
          <cell r="M409">
            <v>8</v>
          </cell>
        </row>
        <row r="410">
          <cell r="C410" t="str">
            <v>560</v>
          </cell>
          <cell r="D410" t="str">
            <v>T</v>
          </cell>
          <cell r="E410">
            <v>6311</v>
          </cell>
          <cell r="F410" t="str">
            <v>B3300104000400</v>
          </cell>
          <cell r="G410" t="str">
            <v>90 ELL</v>
          </cell>
          <cell r="H410" t="str">
            <v>4</v>
          </cell>
          <cell r="I410" t="str">
            <v>--</v>
          </cell>
          <cell r="J410" t="str">
            <v>SCH 40</v>
          </cell>
          <cell r="K410" t="str">
            <v>NONE</v>
          </cell>
          <cell r="L410" t="str">
            <v>BW CS A234-WPB-S B16.9 SHRINKABLE SLEEVE</v>
          </cell>
          <cell r="M410">
            <v>60</v>
          </cell>
        </row>
        <row r="411">
          <cell r="C411" t="str">
            <v>560</v>
          </cell>
          <cell r="D411" t="str">
            <v>T</v>
          </cell>
          <cell r="E411">
            <v>6311</v>
          </cell>
          <cell r="F411" t="str">
            <v>B3300104000600</v>
          </cell>
          <cell r="G411" t="str">
            <v>90 ELL</v>
          </cell>
          <cell r="H411" t="str">
            <v>6</v>
          </cell>
          <cell r="I411" t="str">
            <v>--</v>
          </cell>
          <cell r="J411" t="str">
            <v>SCH 40</v>
          </cell>
          <cell r="K411" t="str">
            <v>NONE</v>
          </cell>
          <cell r="L411" t="str">
            <v>BW CS A234-WPB-S B16.9 SHRINKABLE SLEEVE</v>
          </cell>
          <cell r="M411">
            <v>3</v>
          </cell>
        </row>
        <row r="412">
          <cell r="C412" t="str">
            <v>560</v>
          </cell>
          <cell r="D412" t="str">
            <v>T</v>
          </cell>
          <cell r="E412">
            <v>6311</v>
          </cell>
          <cell r="F412" t="str">
            <v>CB300104000300</v>
          </cell>
          <cell r="G412" t="str">
            <v>90 ELL</v>
          </cell>
          <cell r="H412" t="str">
            <v>3</v>
          </cell>
          <cell r="I412" t="str">
            <v>--</v>
          </cell>
          <cell r="J412" t="str">
            <v>SCH 40</v>
          </cell>
          <cell r="K412" t="str">
            <v>NONE</v>
          </cell>
          <cell r="L412" t="str">
            <v>BW CS A234-WPB-S B16.9</v>
          </cell>
          <cell r="M412">
            <v>5</v>
          </cell>
        </row>
        <row r="413">
          <cell r="C413" t="str">
            <v>560</v>
          </cell>
          <cell r="D413" t="str">
            <v>T</v>
          </cell>
          <cell r="E413">
            <v>6311</v>
          </cell>
          <cell r="F413" t="str">
            <v>CG520100000200</v>
          </cell>
          <cell r="G413" t="str">
            <v>90 ELL</v>
          </cell>
          <cell r="H413" t="str">
            <v>2</v>
          </cell>
          <cell r="I413" t="str">
            <v>--</v>
          </cell>
          <cell r="J413" t="str">
            <v>NONE</v>
          </cell>
          <cell r="K413" t="str">
            <v>NONE</v>
          </cell>
          <cell r="L413" t="str">
            <v>3000# THRD CS A105 GALV. B16.11</v>
          </cell>
          <cell r="M413">
            <v>6</v>
          </cell>
        </row>
        <row r="414">
          <cell r="C414" t="str">
            <v>560</v>
          </cell>
          <cell r="D414" t="str">
            <v>T</v>
          </cell>
          <cell r="E414">
            <v>6311</v>
          </cell>
          <cell r="F414" t="str">
            <v>B3300304000300</v>
          </cell>
          <cell r="G414" t="str">
            <v>TEE</v>
          </cell>
          <cell r="H414" t="str">
            <v>3</v>
          </cell>
          <cell r="I414" t="str">
            <v>--</v>
          </cell>
          <cell r="J414" t="str">
            <v>SCH 40</v>
          </cell>
          <cell r="K414" t="str">
            <v>NONE</v>
          </cell>
          <cell r="L414" t="str">
            <v>BW CS A234-WPB-S B16.9 SHRINKABLE SLEEVE</v>
          </cell>
          <cell r="M414">
            <v>1</v>
          </cell>
        </row>
        <row r="415">
          <cell r="C415" t="str">
            <v>560</v>
          </cell>
          <cell r="D415" t="str">
            <v>T</v>
          </cell>
          <cell r="E415">
            <v>6311</v>
          </cell>
          <cell r="F415" t="str">
            <v>CG390300000302</v>
          </cell>
          <cell r="G415" t="str">
            <v>TOL</v>
          </cell>
          <cell r="H415" t="str">
            <v>3</v>
          </cell>
          <cell r="I415" t="str">
            <v>2</v>
          </cell>
          <cell r="J415" t="str">
            <v>NONE</v>
          </cell>
          <cell r="K415" t="str">
            <v>NONE</v>
          </cell>
          <cell r="L415" t="str">
            <v>3000# CS A105 GALV. MSS SP-97</v>
          </cell>
          <cell r="M415">
            <v>2</v>
          </cell>
        </row>
        <row r="416">
          <cell r="C416" t="str">
            <v>560</v>
          </cell>
          <cell r="D416" t="str">
            <v>F</v>
          </cell>
          <cell r="E416">
            <v>6311</v>
          </cell>
          <cell r="F416" t="str">
            <v>CB279900000200</v>
          </cell>
          <cell r="G416" t="str">
            <v>BL FLG</v>
          </cell>
          <cell r="H416" t="str">
            <v>2</v>
          </cell>
          <cell r="I416" t="str">
            <v>--</v>
          </cell>
          <cell r="J416" t="str">
            <v>NONE</v>
          </cell>
          <cell r="K416" t="str">
            <v>NONE</v>
          </cell>
          <cell r="L416" t="str">
            <v>150# FF CS A105 B16.5 W/OVERLAY OF CU-NI ON CONTACT FACE</v>
          </cell>
          <cell r="M416">
            <v>1</v>
          </cell>
        </row>
        <row r="417">
          <cell r="C417" t="str">
            <v>560</v>
          </cell>
          <cell r="D417" t="str">
            <v>F</v>
          </cell>
          <cell r="E417">
            <v>6311</v>
          </cell>
          <cell r="F417" t="str">
            <v>CG250708000200</v>
          </cell>
          <cell r="G417" t="str">
            <v>SC FLG</v>
          </cell>
          <cell r="H417" t="str">
            <v>2</v>
          </cell>
          <cell r="I417" t="str">
            <v>--</v>
          </cell>
          <cell r="J417" t="str">
            <v>SCH 80</v>
          </cell>
          <cell r="K417" t="str">
            <v>NONE</v>
          </cell>
          <cell r="L417" t="str">
            <v>150# FF CS A105 GALV. B16.5</v>
          </cell>
          <cell r="M417">
            <v>2</v>
          </cell>
        </row>
        <row r="418">
          <cell r="C418" t="str">
            <v>560</v>
          </cell>
          <cell r="D418" t="str">
            <v>F</v>
          </cell>
          <cell r="E418">
            <v>6311</v>
          </cell>
          <cell r="F418" t="str">
            <v>CB838200001400</v>
          </cell>
          <cell r="G418" t="str">
            <v>SPACER</v>
          </cell>
          <cell r="H418" t="str">
            <v>14</v>
          </cell>
          <cell r="I418" t="str">
            <v>--</v>
          </cell>
          <cell r="J418" t="str">
            <v>NONE</v>
          </cell>
          <cell r="K418" t="str">
            <v>NONE</v>
          </cell>
          <cell r="L418" t="str">
            <v>150# FF CS A515-70 PER API 590 W/OVERLAY OF CU-NI ON CONTACT FACE W/BLANK</v>
          </cell>
          <cell r="M418">
            <v>1</v>
          </cell>
        </row>
        <row r="419">
          <cell r="C419" t="str">
            <v>560</v>
          </cell>
          <cell r="D419" t="str">
            <v>F</v>
          </cell>
          <cell r="E419">
            <v>6311</v>
          </cell>
          <cell r="F419" t="str">
            <v>CB200704000300</v>
          </cell>
          <cell r="G419" t="str">
            <v>WN FLG</v>
          </cell>
          <cell r="H419" t="str">
            <v>3</v>
          </cell>
          <cell r="I419" t="str">
            <v>--</v>
          </cell>
          <cell r="J419" t="str">
            <v>SCH 40</v>
          </cell>
          <cell r="K419" t="str">
            <v>NONE</v>
          </cell>
          <cell r="L419" t="str">
            <v>150# FF CS A105 B16.5</v>
          </cell>
          <cell r="M419">
            <v>3</v>
          </cell>
        </row>
        <row r="420">
          <cell r="C420" t="str">
            <v>560</v>
          </cell>
          <cell r="D420" t="str">
            <v>P</v>
          </cell>
          <cell r="E420">
            <v>6326</v>
          </cell>
          <cell r="F420" t="str">
            <v>JF12030Q000400</v>
          </cell>
          <cell r="G420" t="str">
            <v>PIPE</v>
          </cell>
          <cell r="H420" t="str">
            <v>4</v>
          </cell>
          <cell r="I420" t="str">
            <v>--</v>
          </cell>
          <cell r="J420" t="str">
            <v>3.9MM WT</v>
          </cell>
          <cell r="K420" t="str">
            <v>NONE</v>
          </cell>
          <cell r="L420" t="str">
            <v>BELL &amp; SPIGOT TYPE RTRP D2996 TYPE1 GR.1 CL.F</v>
          </cell>
          <cell r="M420">
            <v>684</v>
          </cell>
        </row>
        <row r="421">
          <cell r="C421" t="str">
            <v>560</v>
          </cell>
          <cell r="D421" t="str">
            <v>P</v>
          </cell>
          <cell r="E421">
            <v>6326</v>
          </cell>
          <cell r="F421" t="str">
            <v>JF12030S000600</v>
          </cell>
          <cell r="G421" t="str">
            <v>PIPE</v>
          </cell>
          <cell r="H421" t="str">
            <v>6</v>
          </cell>
          <cell r="I421" t="str">
            <v>--</v>
          </cell>
          <cell r="J421" t="str">
            <v>4.6MM WT</v>
          </cell>
          <cell r="K421" t="str">
            <v>NONE</v>
          </cell>
          <cell r="L421" t="str">
            <v>BELL &amp; SPIGOT TYPE RTRP D2996 TYPE1 GR.1 CL.F</v>
          </cell>
          <cell r="M421">
            <v>434</v>
          </cell>
        </row>
        <row r="422">
          <cell r="C422" t="str">
            <v>560</v>
          </cell>
          <cell r="D422" t="str">
            <v>P</v>
          </cell>
          <cell r="E422">
            <v>6326</v>
          </cell>
          <cell r="F422" t="str">
            <v>JF12030T000800</v>
          </cell>
          <cell r="G422" t="str">
            <v>PIPE</v>
          </cell>
          <cell r="H422" t="str">
            <v>8</v>
          </cell>
          <cell r="I422" t="str">
            <v>--</v>
          </cell>
          <cell r="J422" t="str">
            <v>5.8MM WT</v>
          </cell>
          <cell r="K422" t="str">
            <v>NONE</v>
          </cell>
          <cell r="L422" t="str">
            <v>BELL &amp; SPIGOT TYPE RTRP D2996 TYPE1 GR.1 CL.F</v>
          </cell>
          <cell r="M422">
            <v>420</v>
          </cell>
        </row>
        <row r="423">
          <cell r="C423" t="str">
            <v>560</v>
          </cell>
          <cell r="D423" t="str">
            <v>P</v>
          </cell>
          <cell r="E423">
            <v>6326</v>
          </cell>
          <cell r="F423" t="str">
            <v>JF12030X001400</v>
          </cell>
          <cell r="G423" t="str">
            <v>PIPE</v>
          </cell>
          <cell r="H423" t="str">
            <v>14</v>
          </cell>
          <cell r="I423" t="str">
            <v>--</v>
          </cell>
          <cell r="J423" t="str">
            <v>9.2MM WT</v>
          </cell>
          <cell r="K423" t="str">
            <v>NONE</v>
          </cell>
          <cell r="L423" t="str">
            <v>BELL &amp; SPIGOT TYPE RTRP D2996 TYPE1 GR.1 CL.F</v>
          </cell>
          <cell r="M423">
            <v>741</v>
          </cell>
        </row>
        <row r="424">
          <cell r="C424" t="str">
            <v>560</v>
          </cell>
          <cell r="D424" t="str">
            <v>P</v>
          </cell>
          <cell r="E424">
            <v>6326</v>
          </cell>
          <cell r="F424" t="str">
            <v>JF120316002600</v>
          </cell>
          <cell r="G424" t="str">
            <v>PIPE</v>
          </cell>
          <cell r="H424" t="str">
            <v>26</v>
          </cell>
          <cell r="I424" t="str">
            <v>--</v>
          </cell>
          <cell r="J424" t="str">
            <v>11.7MM WT</v>
          </cell>
          <cell r="K424" t="str">
            <v>NONE</v>
          </cell>
          <cell r="L424" t="str">
            <v>BELL &amp; SPIGOT TYPE RTRP D2996 TYPE1 GR.1 CL.F</v>
          </cell>
          <cell r="M424">
            <v>170</v>
          </cell>
        </row>
        <row r="425">
          <cell r="C425" t="str">
            <v>560</v>
          </cell>
          <cell r="D425" t="str">
            <v>P</v>
          </cell>
          <cell r="E425">
            <v>6326</v>
          </cell>
          <cell r="F425" t="str">
            <v>JF12031A001200</v>
          </cell>
          <cell r="G425" t="str">
            <v>PIPE</v>
          </cell>
          <cell r="H425" t="str">
            <v>12</v>
          </cell>
          <cell r="I425" t="str">
            <v>--</v>
          </cell>
          <cell r="J425" t="str">
            <v>8.4MM WT</v>
          </cell>
          <cell r="K425" t="str">
            <v>NONE</v>
          </cell>
          <cell r="L425" t="str">
            <v>BELL &amp; SPIGOT TYPE RTRP D2996 TYPE1 GR.1 CL.F</v>
          </cell>
          <cell r="M425">
            <v>1302</v>
          </cell>
        </row>
        <row r="426">
          <cell r="C426" t="str">
            <v>560</v>
          </cell>
          <cell r="D426" t="str">
            <v>P</v>
          </cell>
          <cell r="E426">
            <v>6326</v>
          </cell>
          <cell r="F426" t="str">
            <v>JF12031B001800</v>
          </cell>
          <cell r="G426" t="str">
            <v>PIPE</v>
          </cell>
          <cell r="H426" t="str">
            <v>18</v>
          </cell>
          <cell r="I426" t="str">
            <v>--</v>
          </cell>
          <cell r="J426" t="str">
            <v>11.5MM WT</v>
          </cell>
          <cell r="K426" t="str">
            <v>NONE</v>
          </cell>
          <cell r="L426" t="str">
            <v>BELL &amp; SPIGOT TYPE RTRP D2996 TYPE1 GR.1 CL.F</v>
          </cell>
          <cell r="M426">
            <v>286</v>
          </cell>
        </row>
        <row r="427">
          <cell r="C427" t="str">
            <v>560</v>
          </cell>
          <cell r="D427" t="str">
            <v>P</v>
          </cell>
          <cell r="E427">
            <v>6326</v>
          </cell>
          <cell r="F427" t="str">
            <v>JF12031C002400</v>
          </cell>
          <cell r="G427" t="str">
            <v>PIPE</v>
          </cell>
          <cell r="H427" t="str">
            <v>24</v>
          </cell>
          <cell r="I427" t="str">
            <v>--</v>
          </cell>
          <cell r="J427" t="str">
            <v>15.1MM WT</v>
          </cell>
          <cell r="K427" t="str">
            <v>NONE</v>
          </cell>
          <cell r="L427" t="str">
            <v>BELL &amp; SPIGOT TYPE RTRP D2996 TYPE1 GR.1 CL.F</v>
          </cell>
          <cell r="M427">
            <v>40</v>
          </cell>
        </row>
        <row r="428">
          <cell r="C428" t="str">
            <v>560</v>
          </cell>
          <cell r="D428" t="str">
            <v>P</v>
          </cell>
          <cell r="E428">
            <v>6326</v>
          </cell>
          <cell r="F428" t="str">
            <v>JF12031L002000</v>
          </cell>
          <cell r="G428" t="str">
            <v>PIPE</v>
          </cell>
          <cell r="H428" t="str">
            <v>20</v>
          </cell>
          <cell r="I428" t="str">
            <v>--</v>
          </cell>
          <cell r="J428" t="str">
            <v>12.7MM WT</v>
          </cell>
          <cell r="K428" t="str">
            <v>NONE</v>
          </cell>
          <cell r="L428" t="str">
            <v>BELL &amp; SPIGOT TYPE RTRP D2996 TYPE1 GR.1 CL.F</v>
          </cell>
          <cell r="M428">
            <v>614</v>
          </cell>
        </row>
        <row r="429">
          <cell r="C429" t="str">
            <v>560</v>
          </cell>
          <cell r="D429" t="str">
            <v>T</v>
          </cell>
          <cell r="E429">
            <v>6326</v>
          </cell>
          <cell r="F429" t="str">
            <v>JF46100S000600</v>
          </cell>
          <cell r="G429" t="str">
            <v>22.5 ELL</v>
          </cell>
          <cell r="H429" t="str">
            <v>6</v>
          </cell>
          <cell r="I429" t="str">
            <v>--</v>
          </cell>
          <cell r="J429" t="str">
            <v>4.6MM WT</v>
          </cell>
          <cell r="K429" t="str">
            <v>NONE</v>
          </cell>
          <cell r="L429" t="str">
            <v>BELL END RTRP D2996 TYPE1 GR.1 CL.F</v>
          </cell>
          <cell r="M429">
            <v>467</v>
          </cell>
        </row>
        <row r="430">
          <cell r="C430" t="str">
            <v>560</v>
          </cell>
          <cell r="D430" t="str">
            <v>T</v>
          </cell>
          <cell r="E430">
            <v>6326</v>
          </cell>
          <cell r="F430" t="str">
            <v>JF46101L002000</v>
          </cell>
          <cell r="G430" t="str">
            <v>22.5 ELL</v>
          </cell>
          <cell r="H430" t="str">
            <v>20</v>
          </cell>
          <cell r="I430" t="str">
            <v>--</v>
          </cell>
          <cell r="J430" t="str">
            <v>12.7MM WT</v>
          </cell>
          <cell r="K430" t="str">
            <v>NONE</v>
          </cell>
          <cell r="L430" t="str">
            <v>BELL END RTRP D2996 TYPE1 GR.1 CL.F</v>
          </cell>
          <cell r="M430">
            <v>4</v>
          </cell>
        </row>
        <row r="431">
          <cell r="C431" t="str">
            <v>560</v>
          </cell>
          <cell r="D431" t="str">
            <v>T</v>
          </cell>
          <cell r="E431">
            <v>6326</v>
          </cell>
          <cell r="F431" t="str">
            <v>JF46020Q000400</v>
          </cell>
          <cell r="G431" t="str">
            <v>45 ELL</v>
          </cell>
          <cell r="H431" t="str">
            <v>4</v>
          </cell>
          <cell r="I431" t="str">
            <v>--</v>
          </cell>
          <cell r="J431" t="str">
            <v>3.9MM WT</v>
          </cell>
          <cell r="K431" t="str">
            <v>NONE</v>
          </cell>
          <cell r="L431" t="str">
            <v>BELL END RTRP D2996 TYPE1 GR.1 CL.F</v>
          </cell>
          <cell r="M431">
            <v>4</v>
          </cell>
        </row>
        <row r="432">
          <cell r="C432" t="str">
            <v>560</v>
          </cell>
          <cell r="D432" t="str">
            <v>T</v>
          </cell>
          <cell r="E432">
            <v>6326</v>
          </cell>
          <cell r="F432" t="str">
            <v>JF46020X001400</v>
          </cell>
          <cell r="G432" t="str">
            <v>45 ELL</v>
          </cell>
          <cell r="H432" t="str">
            <v>14</v>
          </cell>
          <cell r="I432" t="str">
            <v>--</v>
          </cell>
          <cell r="J432" t="str">
            <v>9.2MM WT</v>
          </cell>
          <cell r="K432" t="str">
            <v>NONE</v>
          </cell>
          <cell r="L432" t="str">
            <v>BELL END RTRP D2996 TYPE1 GR.1 CL.F</v>
          </cell>
          <cell r="M432">
            <v>8</v>
          </cell>
        </row>
        <row r="433">
          <cell r="C433" t="str">
            <v>560</v>
          </cell>
          <cell r="D433" t="str">
            <v>T</v>
          </cell>
          <cell r="E433">
            <v>6326</v>
          </cell>
          <cell r="F433" t="str">
            <v>JF46021A001200</v>
          </cell>
          <cell r="G433" t="str">
            <v>45 ELL</v>
          </cell>
          <cell r="H433" t="str">
            <v>12</v>
          </cell>
          <cell r="I433" t="str">
            <v>--</v>
          </cell>
          <cell r="J433" t="str">
            <v>8.4MM WT</v>
          </cell>
          <cell r="K433" t="str">
            <v>NONE</v>
          </cell>
          <cell r="L433" t="str">
            <v>BELL END RTRP D2996 TYPE1 GR.1 CL.F</v>
          </cell>
          <cell r="M433">
            <v>8</v>
          </cell>
        </row>
        <row r="434">
          <cell r="C434" t="str">
            <v>560</v>
          </cell>
          <cell r="D434" t="str">
            <v>T</v>
          </cell>
          <cell r="E434">
            <v>6326</v>
          </cell>
          <cell r="F434" t="str">
            <v>JF46021B001800</v>
          </cell>
          <cell r="G434" t="str">
            <v>45 ELL</v>
          </cell>
          <cell r="H434" t="str">
            <v>18</v>
          </cell>
          <cell r="I434" t="str">
            <v>--</v>
          </cell>
          <cell r="J434" t="str">
            <v>11.5MM WT</v>
          </cell>
          <cell r="K434" t="str">
            <v>NONE</v>
          </cell>
          <cell r="L434" t="str">
            <v>BELL END RTRP D2996 TYPE1 GR.1 CL.F</v>
          </cell>
          <cell r="M434">
            <v>4</v>
          </cell>
        </row>
        <row r="435">
          <cell r="C435" t="str">
            <v>560</v>
          </cell>
          <cell r="D435" t="str">
            <v>T</v>
          </cell>
          <cell r="E435">
            <v>6326</v>
          </cell>
          <cell r="F435" t="str">
            <v>JF46021L002000</v>
          </cell>
          <cell r="G435" t="str">
            <v>45 ELL</v>
          </cell>
          <cell r="H435" t="str">
            <v>20</v>
          </cell>
          <cell r="I435" t="str">
            <v>--</v>
          </cell>
          <cell r="J435" t="str">
            <v>12.7MM WT</v>
          </cell>
          <cell r="K435" t="str">
            <v>NONE</v>
          </cell>
          <cell r="L435" t="str">
            <v>BELL END RTRP D2996 TYPE1 GR.1 CL.F</v>
          </cell>
          <cell r="M435">
            <v>12</v>
          </cell>
        </row>
        <row r="436">
          <cell r="C436" t="str">
            <v>560</v>
          </cell>
          <cell r="D436" t="str">
            <v>T</v>
          </cell>
          <cell r="E436">
            <v>6326</v>
          </cell>
          <cell r="F436" t="str">
            <v>JF46010P000200</v>
          </cell>
          <cell r="G436" t="str">
            <v>90 ELL</v>
          </cell>
          <cell r="H436" t="str">
            <v>2</v>
          </cell>
          <cell r="I436" t="str">
            <v>--</v>
          </cell>
          <cell r="J436" t="str">
            <v>3.6MM WT</v>
          </cell>
          <cell r="K436" t="str">
            <v>NONE</v>
          </cell>
          <cell r="L436" t="str">
            <v>BELL END RTRP D2996 TYPE1 GR.1 CL.F</v>
          </cell>
          <cell r="M436">
            <v>1</v>
          </cell>
        </row>
        <row r="437">
          <cell r="C437" t="str">
            <v>560</v>
          </cell>
          <cell r="D437" t="str">
            <v>T</v>
          </cell>
          <cell r="E437">
            <v>6326</v>
          </cell>
          <cell r="F437" t="str">
            <v>JF46010Q000400</v>
          </cell>
          <cell r="G437" t="str">
            <v>90 ELL</v>
          </cell>
          <cell r="H437" t="str">
            <v>4</v>
          </cell>
          <cell r="I437" t="str">
            <v>--</v>
          </cell>
          <cell r="J437" t="str">
            <v>3.9MM WT</v>
          </cell>
          <cell r="K437" t="str">
            <v>NONE</v>
          </cell>
          <cell r="L437" t="str">
            <v>BELL END RTRP D2996 TYPE1 GR.1 CL.F</v>
          </cell>
          <cell r="M437">
            <v>8</v>
          </cell>
        </row>
        <row r="438">
          <cell r="C438" t="str">
            <v>560</v>
          </cell>
          <cell r="D438" t="str">
            <v>T</v>
          </cell>
          <cell r="E438">
            <v>6326</v>
          </cell>
          <cell r="F438" t="str">
            <v>JF46010S000600</v>
          </cell>
          <cell r="G438" t="str">
            <v>90 ELL</v>
          </cell>
          <cell r="H438" t="str">
            <v>6</v>
          </cell>
          <cell r="I438" t="str">
            <v>--</v>
          </cell>
          <cell r="J438" t="str">
            <v>4.6MM WT</v>
          </cell>
          <cell r="K438" t="str">
            <v>NONE</v>
          </cell>
          <cell r="L438" t="str">
            <v>BELL END RTRP D2996 TYPE1 GR.1 CL.F</v>
          </cell>
          <cell r="M438">
            <v>61</v>
          </cell>
        </row>
        <row r="439">
          <cell r="C439" t="str">
            <v>560</v>
          </cell>
          <cell r="D439" t="str">
            <v>T</v>
          </cell>
          <cell r="E439">
            <v>6326</v>
          </cell>
          <cell r="F439" t="str">
            <v>JF46010X001400</v>
          </cell>
          <cell r="G439" t="str">
            <v>90 ELL</v>
          </cell>
          <cell r="H439" t="str">
            <v>14</v>
          </cell>
          <cell r="I439" t="str">
            <v>--</v>
          </cell>
          <cell r="J439" t="str">
            <v>9.2MM WT</v>
          </cell>
          <cell r="K439" t="str">
            <v>NONE</v>
          </cell>
          <cell r="L439" t="str">
            <v>BELL END RTRP D2996 TYPE1 GR.1 CL.F</v>
          </cell>
          <cell r="M439">
            <v>5</v>
          </cell>
        </row>
        <row r="440">
          <cell r="C440" t="str">
            <v>560</v>
          </cell>
          <cell r="D440" t="str">
            <v>T</v>
          </cell>
          <cell r="E440">
            <v>6326</v>
          </cell>
          <cell r="F440" t="str">
            <v>JF46011A001200</v>
          </cell>
          <cell r="G440" t="str">
            <v>90 ELL</v>
          </cell>
          <cell r="H440" t="str">
            <v>12</v>
          </cell>
          <cell r="I440" t="str">
            <v>--</v>
          </cell>
          <cell r="J440" t="str">
            <v>8.4MM WT</v>
          </cell>
          <cell r="K440" t="str">
            <v>NONE</v>
          </cell>
          <cell r="L440" t="str">
            <v>BELL END RTRP D2996 TYPE1 GR.1 CL.F</v>
          </cell>
          <cell r="M440">
            <v>12</v>
          </cell>
        </row>
        <row r="441">
          <cell r="C441" t="str">
            <v>560</v>
          </cell>
          <cell r="D441" t="str">
            <v>T</v>
          </cell>
          <cell r="E441">
            <v>6326</v>
          </cell>
          <cell r="F441" t="str">
            <v>JF46011L002000</v>
          </cell>
          <cell r="G441" t="str">
            <v>90 ELL</v>
          </cell>
          <cell r="H441" t="str">
            <v>20</v>
          </cell>
          <cell r="I441" t="str">
            <v>--</v>
          </cell>
          <cell r="J441" t="str">
            <v>12.7MM WT</v>
          </cell>
          <cell r="K441" t="str">
            <v>NONE</v>
          </cell>
          <cell r="L441" t="str">
            <v>BELL END RTRP D2996 TYPE1 GR.1 CL.F</v>
          </cell>
          <cell r="M441">
            <v>7</v>
          </cell>
        </row>
        <row r="442">
          <cell r="C442" t="str">
            <v>560</v>
          </cell>
          <cell r="D442" t="str">
            <v>T</v>
          </cell>
          <cell r="E442">
            <v>6326</v>
          </cell>
          <cell r="F442" t="str">
            <v>JF46070Y1A1612</v>
          </cell>
          <cell r="G442" t="str">
            <v>C RED</v>
          </cell>
          <cell r="H442" t="str">
            <v>16</v>
          </cell>
          <cell r="I442" t="str">
            <v>12</v>
          </cell>
          <cell r="J442" t="str">
            <v>10.5MM WT</v>
          </cell>
          <cell r="K442" t="str">
            <v>8.4MM WT</v>
          </cell>
          <cell r="L442" t="str">
            <v>BELL END RTRP D2996 TYPE1 GR.1 CL.F</v>
          </cell>
          <cell r="M442">
            <v>1</v>
          </cell>
        </row>
        <row r="443">
          <cell r="C443" t="str">
            <v>560</v>
          </cell>
          <cell r="D443" t="str">
            <v>T</v>
          </cell>
          <cell r="E443">
            <v>6326</v>
          </cell>
          <cell r="F443" t="str">
            <v>JF46071B0X1814</v>
          </cell>
          <cell r="G443" t="str">
            <v>C RED</v>
          </cell>
          <cell r="H443" t="str">
            <v>18</v>
          </cell>
          <cell r="I443" t="str">
            <v>14</v>
          </cell>
          <cell r="J443" t="str">
            <v>11.5MM WT</v>
          </cell>
          <cell r="K443" t="str">
            <v>9.2MM WT</v>
          </cell>
          <cell r="L443" t="str">
            <v>BELL END RTRP D2996 TYPE1 GR.1 CL.F</v>
          </cell>
          <cell r="M443">
            <v>1</v>
          </cell>
        </row>
        <row r="444">
          <cell r="C444" t="str">
            <v>560</v>
          </cell>
          <cell r="D444" t="str">
            <v>T</v>
          </cell>
          <cell r="E444">
            <v>6326</v>
          </cell>
          <cell r="F444" t="str">
            <v>JF46071L0Y2016</v>
          </cell>
          <cell r="G444" t="str">
            <v>C RED</v>
          </cell>
          <cell r="H444" t="str">
            <v>20</v>
          </cell>
          <cell r="I444" t="str">
            <v>16</v>
          </cell>
          <cell r="J444" t="str">
            <v>12.7MM WT</v>
          </cell>
          <cell r="K444" t="str">
            <v>10.5MM WT</v>
          </cell>
          <cell r="L444" t="str">
            <v>BELL END RTRP D2996 TYPE1 GR.1 CL.F</v>
          </cell>
          <cell r="M444">
            <v>1</v>
          </cell>
        </row>
        <row r="445">
          <cell r="C445" t="str">
            <v>560</v>
          </cell>
          <cell r="D445" t="str">
            <v>T</v>
          </cell>
          <cell r="E445">
            <v>6326</v>
          </cell>
          <cell r="F445" t="str">
            <v>JF46040X0P1402</v>
          </cell>
          <cell r="G445" t="str">
            <v>R TEE</v>
          </cell>
          <cell r="H445" t="str">
            <v>14</v>
          </cell>
          <cell r="I445" t="str">
            <v>2</v>
          </cell>
          <cell r="J445" t="str">
            <v>9.2MM WT</v>
          </cell>
          <cell r="K445" t="str">
            <v>3.6MM WT</v>
          </cell>
          <cell r="L445" t="str">
            <v>BELL END RTRP D2996 TYPE1 GR.1 CL.F</v>
          </cell>
          <cell r="M445">
            <v>1</v>
          </cell>
        </row>
        <row r="446">
          <cell r="C446" t="str">
            <v>560</v>
          </cell>
          <cell r="D446" t="str">
            <v>T</v>
          </cell>
          <cell r="E446">
            <v>6326</v>
          </cell>
          <cell r="F446" t="str">
            <v>JF46040X0Q1404</v>
          </cell>
          <cell r="G446" t="str">
            <v>R TEE</v>
          </cell>
          <cell r="H446" t="str">
            <v>14</v>
          </cell>
          <cell r="I446" t="str">
            <v>4</v>
          </cell>
          <cell r="J446" t="str">
            <v>9.2MM WT</v>
          </cell>
          <cell r="K446" t="str">
            <v>3.9MM WT</v>
          </cell>
          <cell r="L446" t="str">
            <v>BELL END RTRP D2996 TYPE1 GR.1 CL.F</v>
          </cell>
          <cell r="M446">
            <v>1</v>
          </cell>
        </row>
        <row r="447">
          <cell r="C447" t="str">
            <v>560</v>
          </cell>
          <cell r="D447" t="str">
            <v>T</v>
          </cell>
          <cell r="E447">
            <v>6326</v>
          </cell>
          <cell r="F447" t="str">
            <v>JF46040X0S1406</v>
          </cell>
          <cell r="G447" t="str">
            <v>R TEE</v>
          </cell>
          <cell r="H447" t="str">
            <v>14</v>
          </cell>
          <cell r="I447" t="str">
            <v>6</v>
          </cell>
          <cell r="J447" t="str">
            <v>9.2MM WT</v>
          </cell>
          <cell r="K447" t="str">
            <v>4.6MM WT</v>
          </cell>
          <cell r="L447" t="str">
            <v>BELL END RTRP D2996 TYPE1 GR.1 CL.F</v>
          </cell>
          <cell r="M447">
            <v>10</v>
          </cell>
        </row>
        <row r="448">
          <cell r="C448" t="str">
            <v>560</v>
          </cell>
          <cell r="D448" t="str">
            <v>T</v>
          </cell>
          <cell r="E448">
            <v>6326</v>
          </cell>
          <cell r="F448" t="str">
            <v>JF46041A0S1206</v>
          </cell>
          <cell r="G448" t="str">
            <v>R TEE</v>
          </cell>
          <cell r="H448" t="str">
            <v>12</v>
          </cell>
          <cell r="I448" t="str">
            <v>6</v>
          </cell>
          <cell r="J448" t="str">
            <v>8.4MM WT</v>
          </cell>
          <cell r="K448" t="str">
            <v>4.6MM WT</v>
          </cell>
          <cell r="L448" t="str">
            <v>BELL END RTRP D2996 TYPE1 GR.1 CL.F</v>
          </cell>
          <cell r="M448">
            <v>27</v>
          </cell>
        </row>
        <row r="449">
          <cell r="C449" t="str">
            <v>560</v>
          </cell>
          <cell r="D449" t="str">
            <v>T</v>
          </cell>
          <cell r="E449">
            <v>6326</v>
          </cell>
          <cell r="F449" t="str">
            <v>JF46041B1A1812</v>
          </cell>
          <cell r="G449" t="str">
            <v>R TEE</v>
          </cell>
          <cell r="H449" t="str">
            <v>18</v>
          </cell>
          <cell r="I449" t="str">
            <v>12</v>
          </cell>
          <cell r="J449" t="str">
            <v>11.5MM WT</v>
          </cell>
          <cell r="K449" t="str">
            <v>8.4MM WT</v>
          </cell>
          <cell r="L449" t="str">
            <v>BELL END RTRP D2996 TYPE1 GR.1 CL.F</v>
          </cell>
          <cell r="M449">
            <v>1</v>
          </cell>
        </row>
        <row r="450">
          <cell r="C450" t="str">
            <v>560</v>
          </cell>
          <cell r="D450" t="str">
            <v>T</v>
          </cell>
          <cell r="E450">
            <v>6326</v>
          </cell>
          <cell r="F450" t="str">
            <v>JF46041L0S2006</v>
          </cell>
          <cell r="G450" t="str">
            <v>R TEE</v>
          </cell>
          <cell r="H450" t="str">
            <v>20</v>
          </cell>
          <cell r="I450" t="str">
            <v>6</v>
          </cell>
          <cell r="J450" t="str">
            <v>12.7MM WT</v>
          </cell>
          <cell r="K450" t="str">
            <v>4.6MM WT</v>
          </cell>
          <cell r="L450" t="str">
            <v>BELL END RTRP D2996 TYPE1 GR.1 CL.F</v>
          </cell>
          <cell r="M450">
            <v>24</v>
          </cell>
        </row>
        <row r="451">
          <cell r="C451" t="str">
            <v>560</v>
          </cell>
          <cell r="D451" t="str">
            <v>T</v>
          </cell>
          <cell r="E451">
            <v>6326</v>
          </cell>
          <cell r="F451" t="str">
            <v>JF46041L0X2014</v>
          </cell>
          <cell r="G451" t="str">
            <v>R TEE</v>
          </cell>
          <cell r="H451" t="str">
            <v>20</v>
          </cell>
          <cell r="I451" t="str">
            <v>14</v>
          </cell>
          <cell r="J451" t="str">
            <v>12.7MM WT</v>
          </cell>
          <cell r="K451" t="str">
            <v>9.2MM WT</v>
          </cell>
          <cell r="L451" t="str">
            <v>BELL END RTRP D2996 TYPE1 GR.1 CL.F</v>
          </cell>
          <cell r="M451">
            <v>2</v>
          </cell>
        </row>
        <row r="452">
          <cell r="C452" t="str">
            <v>560</v>
          </cell>
          <cell r="D452" t="str">
            <v>T</v>
          </cell>
          <cell r="E452">
            <v>6326</v>
          </cell>
          <cell r="F452" t="str">
            <v>JF46041L1A2012</v>
          </cell>
          <cell r="G452" t="str">
            <v>R TEE</v>
          </cell>
          <cell r="H452" t="str">
            <v>20</v>
          </cell>
          <cell r="I452" t="str">
            <v>12</v>
          </cell>
          <cell r="J452" t="str">
            <v>12.7MM WT</v>
          </cell>
          <cell r="K452" t="str">
            <v>8.4MM WT</v>
          </cell>
          <cell r="L452" t="str">
            <v>BELL END RTRP D2996 TYPE1 GR.1 CL.F</v>
          </cell>
          <cell r="M452">
            <v>2</v>
          </cell>
        </row>
        <row r="453">
          <cell r="C453" t="str">
            <v>560</v>
          </cell>
          <cell r="D453" t="str">
            <v>T</v>
          </cell>
          <cell r="E453">
            <v>6326</v>
          </cell>
          <cell r="F453" t="str">
            <v>JF46031A001200</v>
          </cell>
          <cell r="G453" t="str">
            <v>TEE</v>
          </cell>
          <cell r="H453" t="str">
            <v>12</v>
          </cell>
          <cell r="I453" t="str">
            <v>--</v>
          </cell>
          <cell r="J453" t="str">
            <v>8.4MM WT</v>
          </cell>
          <cell r="K453" t="str">
            <v>NONE</v>
          </cell>
          <cell r="L453" t="str">
            <v>BELL END RTRP D2996 TYPE1 GR.1 CL.F</v>
          </cell>
          <cell r="M453">
            <v>4</v>
          </cell>
        </row>
        <row r="454">
          <cell r="C454" t="str">
            <v>560</v>
          </cell>
          <cell r="D454" t="str">
            <v>T</v>
          </cell>
          <cell r="E454">
            <v>6326</v>
          </cell>
          <cell r="F454" t="str">
            <v>JF46031L002000</v>
          </cell>
          <cell r="G454" t="str">
            <v>TEE</v>
          </cell>
          <cell r="H454" t="str">
            <v>20</v>
          </cell>
          <cell r="I454" t="str">
            <v>--</v>
          </cell>
          <cell r="J454" t="str">
            <v>12.7MM WT</v>
          </cell>
          <cell r="K454" t="str">
            <v>NONE</v>
          </cell>
          <cell r="L454" t="str">
            <v>BELL END RTRP D2996 TYPE1 GR.1 CL.F</v>
          </cell>
          <cell r="M454">
            <v>2</v>
          </cell>
        </row>
        <row r="455">
          <cell r="C455" t="str">
            <v>560</v>
          </cell>
          <cell r="D455" t="str">
            <v>F</v>
          </cell>
          <cell r="E455">
            <v>6326</v>
          </cell>
          <cell r="F455" t="str">
            <v>JF24070P000200</v>
          </cell>
          <cell r="G455" t="str">
            <v>FLG</v>
          </cell>
          <cell r="H455" t="str">
            <v>2</v>
          </cell>
          <cell r="I455" t="str">
            <v>--</v>
          </cell>
          <cell r="J455" t="str">
            <v>3.6MM WT</v>
          </cell>
          <cell r="K455" t="str">
            <v>NONE</v>
          </cell>
          <cell r="L455" t="str">
            <v>150# FF RTRP D4024 TYPE1 GR.1 CL.2 SOCKET END ADHESIVE BOND B16.5</v>
          </cell>
          <cell r="M455">
            <v>1</v>
          </cell>
        </row>
        <row r="456">
          <cell r="C456" t="str">
            <v>560</v>
          </cell>
          <cell r="D456" t="str">
            <v>F</v>
          </cell>
          <cell r="E456">
            <v>6326</v>
          </cell>
          <cell r="F456" t="str">
            <v>JF24070Q000400</v>
          </cell>
          <cell r="G456" t="str">
            <v>FLG</v>
          </cell>
          <cell r="H456" t="str">
            <v>4</v>
          </cell>
          <cell r="I456" t="str">
            <v>--</v>
          </cell>
          <cell r="J456" t="str">
            <v>3.9MM WT</v>
          </cell>
          <cell r="K456" t="str">
            <v>NONE</v>
          </cell>
          <cell r="L456" t="str">
            <v>150# FF RTRP D4024 TYPE1 GR.1 CL.2 SOCKET END ADHESIVE BOND B16.5</v>
          </cell>
          <cell r="M456">
            <v>4</v>
          </cell>
        </row>
        <row r="457">
          <cell r="C457" t="str">
            <v>560</v>
          </cell>
          <cell r="D457" t="str">
            <v>F</v>
          </cell>
          <cell r="E457">
            <v>6326</v>
          </cell>
          <cell r="F457" t="str">
            <v>JF24070S000600</v>
          </cell>
          <cell r="G457" t="str">
            <v>FLG</v>
          </cell>
          <cell r="H457" t="str">
            <v>6</v>
          </cell>
          <cell r="I457" t="str">
            <v>--</v>
          </cell>
          <cell r="J457" t="str">
            <v>4.6MM WT</v>
          </cell>
          <cell r="K457" t="str">
            <v>NONE</v>
          </cell>
          <cell r="L457" t="str">
            <v>150# FF RTRP D4024 TYPE1 GR.1 CL.2 SOCKET END ADHESIVE BOND B16.5</v>
          </cell>
          <cell r="M457">
            <v>125</v>
          </cell>
        </row>
        <row r="458">
          <cell r="C458" t="str">
            <v>560</v>
          </cell>
          <cell r="D458" t="str">
            <v>F</v>
          </cell>
          <cell r="E458">
            <v>6326</v>
          </cell>
          <cell r="F458" t="str">
            <v>JF24070X001400</v>
          </cell>
          <cell r="G458" t="str">
            <v>FLG</v>
          </cell>
          <cell r="H458" t="str">
            <v>14</v>
          </cell>
          <cell r="I458" t="str">
            <v>--</v>
          </cell>
          <cell r="J458" t="str">
            <v>9.2MM WT</v>
          </cell>
          <cell r="K458" t="str">
            <v>NONE</v>
          </cell>
          <cell r="L458" t="str">
            <v>150# FF RTRP D4024 TYPE1 GR.1 CL.2 SOCKET END ADHESIVE BOND B16.5</v>
          </cell>
          <cell r="M458">
            <v>8</v>
          </cell>
        </row>
        <row r="459">
          <cell r="C459" t="str">
            <v>560</v>
          </cell>
          <cell r="D459" t="str">
            <v>F</v>
          </cell>
          <cell r="E459">
            <v>6326</v>
          </cell>
          <cell r="F459" t="str">
            <v>JF24071A001200</v>
          </cell>
          <cell r="G459" t="str">
            <v>FLG</v>
          </cell>
          <cell r="H459" t="str">
            <v>12</v>
          </cell>
          <cell r="I459" t="str">
            <v>--</v>
          </cell>
          <cell r="J459" t="str">
            <v>8.4MM WT</v>
          </cell>
          <cell r="K459" t="str">
            <v>NONE</v>
          </cell>
          <cell r="L459" t="str">
            <v>150# FF RTRP D4024 TYPE1 GR.1 CL.2 SOCKET END ADHESIVE BOND B16.5</v>
          </cell>
          <cell r="M459">
            <v>19</v>
          </cell>
        </row>
        <row r="460">
          <cell r="C460" t="str">
            <v>560</v>
          </cell>
          <cell r="D460" t="str">
            <v>F</v>
          </cell>
          <cell r="E460">
            <v>6326</v>
          </cell>
          <cell r="F460" t="str">
            <v>JF24071L002000</v>
          </cell>
          <cell r="G460" t="str">
            <v>FLG</v>
          </cell>
          <cell r="H460" t="str">
            <v>20</v>
          </cell>
          <cell r="I460" t="str">
            <v>--</v>
          </cell>
          <cell r="J460" t="str">
            <v>12.7MM WT</v>
          </cell>
          <cell r="K460" t="str">
            <v>NONE</v>
          </cell>
          <cell r="L460" t="str">
            <v>150# FF RTRP D4024 TYPE1 GR.1 CL.2 SOCKET END ADHESIVE BOND B16.5</v>
          </cell>
          <cell r="M460">
            <v>12</v>
          </cell>
        </row>
        <row r="461">
          <cell r="C461" t="str">
            <v>560</v>
          </cell>
          <cell r="D461" t="str">
            <v>V</v>
          </cell>
          <cell r="E461">
            <v>6315</v>
          </cell>
          <cell r="F461" t="str">
            <v>PGA16641000002</v>
          </cell>
          <cell r="G461" t="str">
            <v>GATE VA</v>
          </cell>
          <cell r="H461" t="str">
            <v>2</v>
          </cell>
          <cell r="I461" t="str">
            <v>--</v>
          </cell>
          <cell r="J461" t="str">
            <v>NONE</v>
          </cell>
          <cell r="K461" t="str">
            <v>NONE</v>
          </cell>
          <cell r="L461" t="str">
            <v>150# FF B148 Gr.C95800 W/SAME AS BODY MATERIAL BB, OS&amp;Y SOLID WEDGE, EXTENDED STEM</v>
          </cell>
          <cell r="M461">
            <v>1</v>
          </cell>
        </row>
        <row r="462">
          <cell r="C462" t="str">
            <v>560</v>
          </cell>
          <cell r="D462" t="str">
            <v>V</v>
          </cell>
          <cell r="E462">
            <v>6315</v>
          </cell>
          <cell r="F462" t="str">
            <v>PGA16641000004</v>
          </cell>
          <cell r="G462" t="str">
            <v>GATE VA</v>
          </cell>
          <cell r="H462" t="str">
            <v>4</v>
          </cell>
          <cell r="I462" t="str">
            <v>--</v>
          </cell>
          <cell r="J462" t="str">
            <v>NONE</v>
          </cell>
          <cell r="K462" t="str">
            <v>NONE</v>
          </cell>
          <cell r="L462" t="str">
            <v>150# FF B148 Gr.C95800 W/SAME AS BODY MATERIAL BB, OS&amp;Y SOLID WEDGE, EXTENDED STEM</v>
          </cell>
          <cell r="M462">
            <v>2</v>
          </cell>
        </row>
        <row r="463">
          <cell r="C463" t="str">
            <v>560</v>
          </cell>
          <cell r="D463" t="str">
            <v>V</v>
          </cell>
          <cell r="E463">
            <v>6315</v>
          </cell>
          <cell r="F463" t="str">
            <v>PGA16641000012</v>
          </cell>
          <cell r="G463" t="str">
            <v>GATE VA</v>
          </cell>
          <cell r="H463" t="str">
            <v>12</v>
          </cell>
          <cell r="I463" t="str">
            <v>--</v>
          </cell>
          <cell r="J463" t="str">
            <v>NONE</v>
          </cell>
          <cell r="K463" t="str">
            <v>NONE</v>
          </cell>
          <cell r="L463" t="str">
            <v>150# FF B148 Gr.C95800 W/SAME AS BODY MATERIAL BB, OS&amp;Y SOLID WEDGE, EXTENDED STEM</v>
          </cell>
          <cell r="M463">
            <v>9</v>
          </cell>
        </row>
        <row r="464">
          <cell r="C464" t="str">
            <v>560</v>
          </cell>
          <cell r="D464" t="str">
            <v>V</v>
          </cell>
          <cell r="E464">
            <v>6315</v>
          </cell>
          <cell r="F464" t="str">
            <v>PGN16641000014</v>
          </cell>
          <cell r="G464" t="str">
            <v>GATE VA</v>
          </cell>
          <cell r="H464" t="str">
            <v>14</v>
          </cell>
          <cell r="I464" t="str">
            <v>--</v>
          </cell>
          <cell r="J464" t="str">
            <v>NONE</v>
          </cell>
          <cell r="K464" t="str">
            <v>NONE</v>
          </cell>
          <cell r="L464" t="str">
            <v>150# FF B148 Gr.C95800 W/SAME AS BODY MATERIAL BB, OS&amp;Y SOLID WEDGE GO, EXTENDED STEM</v>
          </cell>
          <cell r="M464">
            <v>4</v>
          </cell>
        </row>
        <row r="465">
          <cell r="C465" t="str">
            <v>560</v>
          </cell>
          <cell r="D465" t="str">
            <v>V</v>
          </cell>
          <cell r="E465">
            <v>6315</v>
          </cell>
          <cell r="F465" t="str">
            <v>PGN16641000020</v>
          </cell>
          <cell r="G465" t="str">
            <v>GATE VA</v>
          </cell>
          <cell r="H465" t="str">
            <v>20</v>
          </cell>
          <cell r="I465" t="str">
            <v>--</v>
          </cell>
          <cell r="J465" t="str">
            <v>NONE</v>
          </cell>
          <cell r="K465" t="str">
            <v>NONE</v>
          </cell>
          <cell r="L465" t="str">
            <v>150# FF B148 Gr.C95800 W/SAME AS BODY MATERIAL BB, OS&amp;Y SOLID WEDGE GO, EXTENDED STEM</v>
          </cell>
          <cell r="M465">
            <v>6</v>
          </cell>
        </row>
        <row r="466">
          <cell r="C466" t="str">
            <v>560</v>
          </cell>
          <cell r="D466" t="str">
            <v>V</v>
          </cell>
          <cell r="E466">
            <v>6311</v>
          </cell>
          <cell r="F466" t="str">
            <v>VGA10111000006</v>
          </cell>
          <cell r="G466" t="str">
            <v>GATE VA</v>
          </cell>
          <cell r="H466" t="str">
            <v>6</v>
          </cell>
          <cell r="I466" t="str">
            <v>--</v>
          </cell>
          <cell r="J466" t="str">
            <v>NONE</v>
          </cell>
          <cell r="K466" t="str">
            <v>NONE</v>
          </cell>
          <cell r="L466" t="str">
            <v>150# RF A216-WCB W/F6 BB, OS&amp;Y SOLID WEDGE</v>
          </cell>
          <cell r="M466">
            <v>1</v>
          </cell>
        </row>
        <row r="467">
          <cell r="C467" t="str">
            <v>560</v>
          </cell>
          <cell r="D467" t="str">
            <v>V</v>
          </cell>
          <cell r="E467">
            <v>6311</v>
          </cell>
          <cell r="F467" t="str">
            <v>VGA10132000003</v>
          </cell>
          <cell r="G467" t="str">
            <v>GATE VA</v>
          </cell>
          <cell r="H467" t="str">
            <v>3</v>
          </cell>
          <cell r="I467" t="str">
            <v>--</v>
          </cell>
          <cell r="J467" t="str">
            <v>NONE</v>
          </cell>
          <cell r="K467" t="str">
            <v>NONE</v>
          </cell>
          <cell r="L467" t="str">
            <v>150# FF A216-WCB W/ST BB, OS&amp;Y SOLID WEDGE</v>
          </cell>
          <cell r="M467">
            <v>2</v>
          </cell>
        </row>
        <row r="468">
          <cell r="C468" t="str">
            <v>560</v>
          </cell>
          <cell r="D468" t="str">
            <v>V</v>
          </cell>
          <cell r="E468">
            <v>6315</v>
          </cell>
          <cell r="F468" t="str">
            <v>PFW16341000006</v>
          </cell>
          <cell r="G468" t="str">
            <v>W-BFY VA</v>
          </cell>
          <cell r="H468" t="str">
            <v>6</v>
          </cell>
          <cell r="I468" t="str">
            <v>--</v>
          </cell>
          <cell r="J468" t="str">
            <v>NONE</v>
          </cell>
          <cell r="K468" t="str">
            <v>NONE</v>
          </cell>
          <cell r="L468" t="str">
            <v>150# FF B148 Gr.C95800 W/SAME AS BODY MATERIAL BB, EXTENDED STEM</v>
          </cell>
          <cell r="M468">
            <v>32</v>
          </cell>
        </row>
        <row r="469">
          <cell r="C469" t="str">
            <v>560</v>
          </cell>
          <cell r="D469" t="str">
            <v>L</v>
          </cell>
          <cell r="E469">
            <v>6311</v>
          </cell>
          <cell r="F469" t="str">
            <v>CB740100000DVV</v>
          </cell>
          <cell r="G469" t="str">
            <v>B/N</v>
          </cell>
          <cell r="H469" t="str">
            <v>5/8</v>
          </cell>
          <cell r="I469" t="str">
            <v>95mm</v>
          </cell>
          <cell r="J469" t="str">
            <v>NONE</v>
          </cell>
          <cell r="K469" t="str">
            <v>NONE</v>
          </cell>
          <cell r="L469" t="str">
            <v>STUD BOLTS A193 B7 W/2 HEAVY HEX NUTS A194-2H</v>
          </cell>
          <cell r="M469">
            <v>20</v>
          </cell>
        </row>
        <row r="470">
          <cell r="C470" t="str">
            <v>560</v>
          </cell>
          <cell r="D470" t="str">
            <v>L</v>
          </cell>
          <cell r="E470">
            <v>6311</v>
          </cell>
          <cell r="F470" t="str">
            <v>CB740100000TWB</v>
          </cell>
          <cell r="G470" t="str">
            <v>B/N</v>
          </cell>
          <cell r="H470" t="str">
            <v>3/4</v>
          </cell>
          <cell r="I470" t="str">
            <v>105mm</v>
          </cell>
          <cell r="J470" t="str">
            <v>NONE</v>
          </cell>
          <cell r="K470" t="str">
            <v>NONE</v>
          </cell>
          <cell r="L470" t="str">
            <v>STUD BOLTS A193 B7 W/2 HEAVY HEX NUTS A194-2H</v>
          </cell>
          <cell r="M470">
            <v>16</v>
          </cell>
        </row>
        <row r="471">
          <cell r="C471" t="str">
            <v>560</v>
          </cell>
          <cell r="D471" t="str">
            <v>L</v>
          </cell>
          <cell r="E471">
            <v>6311</v>
          </cell>
          <cell r="F471" t="str">
            <v>CB744100000DVT</v>
          </cell>
          <cell r="G471" t="str">
            <v>B/N</v>
          </cell>
          <cell r="H471" t="str">
            <v>5/8</v>
          </cell>
          <cell r="I471" t="str">
            <v>85mm</v>
          </cell>
          <cell r="J471" t="str">
            <v>NONE</v>
          </cell>
          <cell r="K471" t="str">
            <v>NONE</v>
          </cell>
          <cell r="L471" t="str">
            <v>STUD BOLTS A193 B7 W/2 HEAVY HEX NUTS A194-2H W/WASHER</v>
          </cell>
          <cell r="M471">
            <v>8</v>
          </cell>
        </row>
        <row r="472">
          <cell r="C472" t="str">
            <v>560</v>
          </cell>
          <cell r="D472" t="str">
            <v>L</v>
          </cell>
          <cell r="E472">
            <v>6311</v>
          </cell>
          <cell r="F472" t="str">
            <v>CB744100000DVV</v>
          </cell>
          <cell r="G472" t="str">
            <v>B/N</v>
          </cell>
          <cell r="H472" t="str">
            <v>5/8</v>
          </cell>
          <cell r="I472" t="str">
            <v>95mm</v>
          </cell>
          <cell r="J472" t="str">
            <v>NONE</v>
          </cell>
          <cell r="K472" t="str">
            <v>NONE</v>
          </cell>
          <cell r="L472" t="str">
            <v>STUD BOLTS A193 B7 W/2 HEAVY HEX NUTS A194-2H W/WASHER</v>
          </cell>
          <cell r="M472">
            <v>32</v>
          </cell>
        </row>
        <row r="473">
          <cell r="C473" t="str">
            <v>560</v>
          </cell>
          <cell r="D473" t="str">
            <v>L</v>
          </cell>
          <cell r="E473">
            <v>6311</v>
          </cell>
          <cell r="F473" t="str">
            <v>CB744100000TWB</v>
          </cell>
          <cell r="G473" t="str">
            <v>B/N</v>
          </cell>
          <cell r="H473" t="str">
            <v>3/4</v>
          </cell>
          <cell r="I473" t="str">
            <v>105mm</v>
          </cell>
          <cell r="J473" t="str">
            <v>NONE</v>
          </cell>
          <cell r="K473" t="str">
            <v>NONE</v>
          </cell>
          <cell r="L473" t="str">
            <v>STUD BOLTS A193 B7 W/2 HEAVY HEX NUTS A194-2H W/WASHER</v>
          </cell>
          <cell r="M473">
            <v>1000</v>
          </cell>
        </row>
        <row r="474">
          <cell r="C474" t="str">
            <v>560</v>
          </cell>
          <cell r="D474" t="str">
            <v>L</v>
          </cell>
          <cell r="E474">
            <v>6311</v>
          </cell>
          <cell r="F474" t="str">
            <v>CB744100000FWF</v>
          </cell>
          <cell r="G474" t="str">
            <v>B/N</v>
          </cell>
          <cell r="H474" t="str">
            <v>7/8</v>
          </cell>
          <cell r="I474" t="str">
            <v>125mm</v>
          </cell>
          <cell r="J474" t="str">
            <v>NONE</v>
          </cell>
          <cell r="K474" t="str">
            <v>NONE</v>
          </cell>
          <cell r="L474" t="str">
            <v>STUD BOLTS A193 B7 W/2 HEAVY HEX NUTS A194-2H W/WASHER</v>
          </cell>
          <cell r="M474">
            <v>216</v>
          </cell>
        </row>
        <row r="475">
          <cell r="C475" t="str">
            <v>560</v>
          </cell>
          <cell r="D475" t="str">
            <v>L</v>
          </cell>
          <cell r="E475">
            <v>6311</v>
          </cell>
          <cell r="F475" t="str">
            <v>CB7441000001WJ</v>
          </cell>
          <cell r="G475" t="str">
            <v>B/N</v>
          </cell>
          <cell r="H475" t="str">
            <v>1</v>
          </cell>
          <cell r="I475" t="str">
            <v>140mm</v>
          </cell>
          <cell r="J475" t="str">
            <v>NONE</v>
          </cell>
          <cell r="K475" t="str">
            <v>NONE</v>
          </cell>
          <cell r="L475" t="str">
            <v>STUD BOLTS A193 B7 W/2 HEAVY HEX NUTS A194-2H W/WASHER</v>
          </cell>
          <cell r="M475">
            <v>96</v>
          </cell>
        </row>
        <row r="476">
          <cell r="C476" t="str">
            <v>560</v>
          </cell>
          <cell r="D476" t="str">
            <v>L</v>
          </cell>
          <cell r="E476">
            <v>6311</v>
          </cell>
          <cell r="F476" t="str">
            <v>CB744100001AWN</v>
          </cell>
          <cell r="G476" t="str">
            <v>B/N</v>
          </cell>
          <cell r="H476" t="str">
            <v>1-1/8</v>
          </cell>
          <cell r="I476" t="str">
            <v>160mm</v>
          </cell>
          <cell r="J476" t="str">
            <v>NONE</v>
          </cell>
          <cell r="K476" t="str">
            <v>NONE</v>
          </cell>
          <cell r="L476" t="str">
            <v>STUD BOLTS A193 B7 W/2 HEAVY HEX NUTS A194-2H W/WASHER</v>
          </cell>
          <cell r="M476">
            <v>240</v>
          </cell>
        </row>
        <row r="477">
          <cell r="C477" t="str">
            <v>560</v>
          </cell>
          <cell r="D477" t="str">
            <v>G</v>
          </cell>
          <cell r="E477">
            <v>6318</v>
          </cell>
          <cell r="F477" t="str">
            <v>R10ST-EX000006</v>
          </cell>
          <cell r="G477" t="str">
            <v>GSKT</v>
          </cell>
          <cell r="H477" t="str">
            <v>6</v>
          </cell>
          <cell r="I477" t="str">
            <v>--</v>
          </cell>
          <cell r="J477" t="str">
            <v>NONE</v>
          </cell>
          <cell r="K477" t="str">
            <v>NONE</v>
          </cell>
          <cell r="L477" t="str">
            <v>1500# RTJ OCT RING B16.20-135 HRB MAX TP 316L SS</v>
          </cell>
          <cell r="M477">
            <v>2</v>
          </cell>
        </row>
        <row r="478">
          <cell r="C478" t="str">
            <v>560</v>
          </cell>
          <cell r="D478" t="str">
            <v>G</v>
          </cell>
          <cell r="E478">
            <v>6318</v>
          </cell>
          <cell r="F478" t="str">
            <v>R4DF2-A3000002</v>
          </cell>
          <cell r="G478" t="str">
            <v>GSKT</v>
          </cell>
          <cell r="H478" t="str">
            <v>2</v>
          </cell>
          <cell r="I478" t="str">
            <v>--</v>
          </cell>
          <cell r="J478" t="str">
            <v>NONE</v>
          </cell>
          <cell r="K478" t="str">
            <v>NONE</v>
          </cell>
          <cell r="L478" t="str">
            <v>150# FF 3MM NEOPRENE FLAT GASKET B16.21</v>
          </cell>
          <cell r="M478">
            <v>2</v>
          </cell>
        </row>
        <row r="479">
          <cell r="C479" t="str">
            <v>560</v>
          </cell>
          <cell r="D479" t="str">
            <v>G</v>
          </cell>
          <cell r="E479">
            <v>6318</v>
          </cell>
          <cell r="F479" t="str">
            <v>R4DF2-A3000003</v>
          </cell>
          <cell r="G479" t="str">
            <v>GSKT</v>
          </cell>
          <cell r="H479" t="str">
            <v>3</v>
          </cell>
          <cell r="I479" t="str">
            <v>--</v>
          </cell>
          <cell r="J479" t="str">
            <v>NONE</v>
          </cell>
          <cell r="K479" t="str">
            <v>NONE</v>
          </cell>
          <cell r="L479" t="str">
            <v>150# FF 3MM NEOPRENE FLAT GASKET B16.21</v>
          </cell>
          <cell r="M479">
            <v>5</v>
          </cell>
        </row>
        <row r="480">
          <cell r="C480" t="str">
            <v>560</v>
          </cell>
          <cell r="D480" t="str">
            <v>G</v>
          </cell>
          <cell r="E480">
            <v>6318</v>
          </cell>
          <cell r="F480" t="str">
            <v>R4DF2-A3000004</v>
          </cell>
          <cell r="G480" t="str">
            <v>GSKT</v>
          </cell>
          <cell r="H480" t="str">
            <v>4</v>
          </cell>
          <cell r="I480" t="str">
            <v>--</v>
          </cell>
          <cell r="J480" t="str">
            <v>NONE</v>
          </cell>
          <cell r="K480" t="str">
            <v>NONE</v>
          </cell>
          <cell r="L480" t="str">
            <v>150# FF 3MM NEOPRENE FLAT GASKET B16.21</v>
          </cell>
          <cell r="M480">
            <v>4</v>
          </cell>
        </row>
        <row r="481">
          <cell r="C481" t="str">
            <v>560</v>
          </cell>
          <cell r="D481" t="str">
            <v>G</v>
          </cell>
          <cell r="E481">
            <v>6318</v>
          </cell>
          <cell r="F481" t="str">
            <v>R4DF2-A3000006</v>
          </cell>
          <cell r="G481" t="str">
            <v>GSKT</v>
          </cell>
          <cell r="H481" t="str">
            <v>6</v>
          </cell>
          <cell r="I481" t="str">
            <v>--</v>
          </cell>
          <cell r="J481" t="str">
            <v>NONE</v>
          </cell>
          <cell r="K481" t="str">
            <v>NONE</v>
          </cell>
          <cell r="L481" t="str">
            <v>150# FF 3MM NEOPRENE FLAT GASKET B16.21</v>
          </cell>
          <cell r="M481">
            <v>125</v>
          </cell>
        </row>
        <row r="482">
          <cell r="C482" t="str">
            <v>560</v>
          </cell>
          <cell r="D482" t="str">
            <v>G</v>
          </cell>
          <cell r="E482">
            <v>6318</v>
          </cell>
          <cell r="F482" t="str">
            <v>R4DF2-A5000012</v>
          </cell>
          <cell r="G482" t="str">
            <v>GSKT</v>
          </cell>
          <cell r="H482" t="str">
            <v>12</v>
          </cell>
          <cell r="I482" t="str">
            <v>--</v>
          </cell>
          <cell r="J482" t="str">
            <v>NONE</v>
          </cell>
          <cell r="K482" t="str">
            <v>NONE</v>
          </cell>
          <cell r="L482" t="str">
            <v>150# FF 5MM NEOPRENE FLAT GASKET B16.21</v>
          </cell>
          <cell r="M482">
            <v>18</v>
          </cell>
        </row>
        <row r="483">
          <cell r="C483" t="str">
            <v>560</v>
          </cell>
          <cell r="D483" t="str">
            <v>G</v>
          </cell>
          <cell r="E483">
            <v>6318</v>
          </cell>
          <cell r="F483" t="str">
            <v>R4DF2-A5000014</v>
          </cell>
          <cell r="G483" t="str">
            <v>GSKT</v>
          </cell>
          <cell r="H483" t="str">
            <v>14</v>
          </cell>
          <cell r="I483" t="str">
            <v>--</v>
          </cell>
          <cell r="J483" t="str">
            <v>NONE</v>
          </cell>
          <cell r="K483" t="str">
            <v>NONE</v>
          </cell>
          <cell r="L483" t="str">
            <v>150# FF 5MM NEOPRENE FLAT GASKET B16.21</v>
          </cell>
          <cell r="M483">
            <v>9</v>
          </cell>
        </row>
        <row r="484">
          <cell r="C484" t="str">
            <v>560</v>
          </cell>
          <cell r="D484" t="str">
            <v>G</v>
          </cell>
          <cell r="E484">
            <v>6318</v>
          </cell>
          <cell r="F484" t="str">
            <v>R4DF2-A5000020</v>
          </cell>
          <cell r="G484" t="str">
            <v>GSKT</v>
          </cell>
          <cell r="H484" t="str">
            <v>20</v>
          </cell>
          <cell r="I484" t="str">
            <v>--</v>
          </cell>
          <cell r="J484" t="str">
            <v>NONE</v>
          </cell>
          <cell r="K484" t="str">
            <v>NONE</v>
          </cell>
          <cell r="L484" t="str">
            <v>150# FF 5MM NEOPRENE FLAT GASKET B16.21</v>
          </cell>
          <cell r="M484">
            <v>12</v>
          </cell>
        </row>
        <row r="485">
          <cell r="C485" t="str">
            <v>561</v>
          </cell>
          <cell r="D485" t="str">
            <v>P</v>
          </cell>
          <cell r="E485">
            <v>6311</v>
          </cell>
          <cell r="F485" t="str">
            <v>B2100704000400</v>
          </cell>
          <cell r="G485" t="str">
            <v>PIPE</v>
          </cell>
          <cell r="H485" t="str">
            <v>4</v>
          </cell>
          <cell r="I485" t="str">
            <v>--</v>
          </cell>
          <cell r="J485" t="str">
            <v>SCH 40</v>
          </cell>
          <cell r="K485" t="str">
            <v>NONE</v>
          </cell>
          <cell r="L485" t="str">
            <v>BE CS SMLS API 5L-B P.E. COATED</v>
          </cell>
          <cell r="M485">
            <v>174</v>
          </cell>
        </row>
        <row r="486">
          <cell r="C486" t="str">
            <v>561</v>
          </cell>
          <cell r="D486" t="str">
            <v>P</v>
          </cell>
          <cell r="E486">
            <v>6311</v>
          </cell>
          <cell r="F486" t="str">
            <v>B2100704000600</v>
          </cell>
          <cell r="G486" t="str">
            <v>PIPE</v>
          </cell>
          <cell r="H486" t="str">
            <v>6</v>
          </cell>
          <cell r="I486" t="str">
            <v>--</v>
          </cell>
          <cell r="J486" t="str">
            <v>SCH 40</v>
          </cell>
          <cell r="K486" t="str">
            <v>NONE</v>
          </cell>
          <cell r="L486" t="str">
            <v>BE CS SMLS API 5L-B P.E. COATED</v>
          </cell>
          <cell r="M486">
            <v>341</v>
          </cell>
        </row>
        <row r="487">
          <cell r="C487" t="str">
            <v>561</v>
          </cell>
          <cell r="D487" t="str">
            <v>P</v>
          </cell>
          <cell r="E487">
            <v>6311</v>
          </cell>
          <cell r="F487" t="str">
            <v>B311190F002400</v>
          </cell>
          <cell r="G487" t="str">
            <v>PIPE</v>
          </cell>
          <cell r="H487" t="str">
            <v>24</v>
          </cell>
          <cell r="I487" t="str">
            <v>--</v>
          </cell>
          <cell r="J487" t="str">
            <v>SCH 100</v>
          </cell>
          <cell r="K487" t="str">
            <v>NONE</v>
          </cell>
          <cell r="L487" t="str">
            <v>BE CS SAW API 5L-B W/100% RT P.P. COATED</v>
          </cell>
          <cell r="M487">
            <v>221</v>
          </cell>
        </row>
        <row r="488">
          <cell r="C488" t="str">
            <v>561</v>
          </cell>
          <cell r="D488" t="str">
            <v>P</v>
          </cell>
          <cell r="E488">
            <v>6311</v>
          </cell>
          <cell r="F488" t="str">
            <v>G2100704000300</v>
          </cell>
          <cell r="G488" t="str">
            <v>PIPE</v>
          </cell>
          <cell r="H488" t="str">
            <v>3</v>
          </cell>
          <cell r="I488" t="str">
            <v>--</v>
          </cell>
          <cell r="J488" t="str">
            <v>SCH 40</v>
          </cell>
          <cell r="K488" t="str">
            <v>NONE</v>
          </cell>
          <cell r="L488" t="str">
            <v>BE CS SMLS API 5L-B GALV. P.E. COATED</v>
          </cell>
          <cell r="M488">
            <v>144</v>
          </cell>
        </row>
        <row r="489">
          <cell r="C489" t="str">
            <v>561</v>
          </cell>
          <cell r="D489" t="str">
            <v>T</v>
          </cell>
          <cell r="E489">
            <v>6311</v>
          </cell>
          <cell r="F489" t="str">
            <v>B3300204000300</v>
          </cell>
          <cell r="G489" t="str">
            <v>45 ELL</v>
          </cell>
          <cell r="H489" t="str">
            <v>3</v>
          </cell>
          <cell r="I489" t="str">
            <v>--</v>
          </cell>
          <cell r="J489" t="str">
            <v>SCH 40</v>
          </cell>
          <cell r="K489" t="str">
            <v>NONE</v>
          </cell>
          <cell r="L489" t="str">
            <v>BW CS A234-WPB-S B16.9 SHRINKABLE SLEEVE</v>
          </cell>
          <cell r="M489">
            <v>12</v>
          </cell>
        </row>
        <row r="490">
          <cell r="C490" t="str">
            <v>561</v>
          </cell>
          <cell r="D490" t="str">
            <v>T</v>
          </cell>
          <cell r="E490">
            <v>6311</v>
          </cell>
          <cell r="F490" t="str">
            <v>B3300104000300</v>
          </cell>
          <cell r="G490" t="str">
            <v>90 ELL</v>
          </cell>
          <cell r="H490" t="str">
            <v>3</v>
          </cell>
          <cell r="I490" t="str">
            <v>--</v>
          </cell>
          <cell r="J490" t="str">
            <v>SCH 40</v>
          </cell>
          <cell r="K490" t="str">
            <v>NONE</v>
          </cell>
          <cell r="L490" t="str">
            <v>BW CS A234-WPB-S B16.9 SHRINKABLE SLEEVE</v>
          </cell>
          <cell r="M490">
            <v>4</v>
          </cell>
        </row>
        <row r="491">
          <cell r="C491" t="str">
            <v>561</v>
          </cell>
          <cell r="D491" t="str">
            <v>T</v>
          </cell>
          <cell r="E491">
            <v>6311</v>
          </cell>
          <cell r="F491" t="str">
            <v>B3300104000400</v>
          </cell>
          <cell r="G491" t="str">
            <v>90 ELL</v>
          </cell>
          <cell r="H491" t="str">
            <v>4</v>
          </cell>
          <cell r="I491" t="str">
            <v>--</v>
          </cell>
          <cell r="J491" t="str">
            <v>SCH 40</v>
          </cell>
          <cell r="K491" t="str">
            <v>NONE</v>
          </cell>
          <cell r="L491" t="str">
            <v>BW CS A234-WPB-S B16.9 SHRINKABLE SLEEVE</v>
          </cell>
          <cell r="M491">
            <v>116</v>
          </cell>
        </row>
        <row r="492">
          <cell r="C492" t="str">
            <v>561</v>
          </cell>
          <cell r="D492" t="str">
            <v>T</v>
          </cell>
          <cell r="E492">
            <v>6311</v>
          </cell>
          <cell r="F492" t="str">
            <v>B3300104000600</v>
          </cell>
          <cell r="G492" t="str">
            <v>90 ELL</v>
          </cell>
          <cell r="H492" t="str">
            <v>6</v>
          </cell>
          <cell r="I492" t="str">
            <v>--</v>
          </cell>
          <cell r="J492" t="str">
            <v>SCH 40</v>
          </cell>
          <cell r="K492" t="str">
            <v>NONE</v>
          </cell>
          <cell r="L492" t="str">
            <v>BW CS A234-WPB-S B16.9 SHRINKABLE SLEEVE</v>
          </cell>
          <cell r="M492">
            <v>2</v>
          </cell>
        </row>
        <row r="493">
          <cell r="C493" t="str">
            <v>561</v>
          </cell>
          <cell r="D493" t="str">
            <v>T</v>
          </cell>
          <cell r="E493">
            <v>6311</v>
          </cell>
          <cell r="F493" t="str">
            <v>B431010F002400</v>
          </cell>
          <cell r="G493" t="str">
            <v>90 ELL</v>
          </cell>
          <cell r="H493" t="str">
            <v>24</v>
          </cell>
          <cell r="I493" t="str">
            <v>--</v>
          </cell>
          <cell r="J493" t="str">
            <v>SCH 100</v>
          </cell>
          <cell r="K493" t="str">
            <v>NONE</v>
          </cell>
          <cell r="L493" t="str">
            <v>BW CS A234-WPB-W W/100% RT B16.9 SUNLIGHT L-200</v>
          </cell>
          <cell r="M493">
            <v>7</v>
          </cell>
        </row>
        <row r="494">
          <cell r="C494" t="str">
            <v>561</v>
          </cell>
          <cell r="D494" t="str">
            <v>N</v>
          </cell>
          <cell r="E494">
            <v>6311</v>
          </cell>
          <cell r="F494" t="str">
            <v>CG13250J000TVR</v>
          </cell>
          <cell r="G494" t="str">
            <v>NPL</v>
          </cell>
          <cell r="H494" t="str">
            <v>3/4</v>
          </cell>
          <cell r="I494" t="str">
            <v>75mm</v>
          </cell>
          <cell r="J494" t="str">
            <v>SCH 160</v>
          </cell>
          <cell r="K494" t="str">
            <v>NONE</v>
          </cell>
          <cell r="L494" t="str">
            <v>TBE CS SMLS API 5L-B GALV.</v>
          </cell>
          <cell r="M494">
            <v>1</v>
          </cell>
        </row>
        <row r="495">
          <cell r="C495" t="str">
            <v>561</v>
          </cell>
          <cell r="D495" t="str">
            <v>T</v>
          </cell>
          <cell r="E495">
            <v>6311</v>
          </cell>
          <cell r="F495" t="str">
            <v>CG500100000T00</v>
          </cell>
          <cell r="G495" t="str">
            <v>PLUG</v>
          </cell>
          <cell r="H495" t="str">
            <v>3/4</v>
          </cell>
          <cell r="I495" t="str">
            <v>--</v>
          </cell>
          <cell r="J495" t="str">
            <v>NONE</v>
          </cell>
          <cell r="K495" t="str">
            <v>NONE</v>
          </cell>
          <cell r="L495" t="str">
            <v>THRD ROUND HEAD CS A105 GALV. B16.11</v>
          </cell>
          <cell r="M495">
            <v>1</v>
          </cell>
        </row>
        <row r="496">
          <cell r="C496" t="str">
            <v>561</v>
          </cell>
          <cell r="D496" t="str">
            <v>T</v>
          </cell>
          <cell r="E496">
            <v>6311</v>
          </cell>
          <cell r="F496" t="str">
            <v>B431041V0F4224</v>
          </cell>
          <cell r="G496" t="str">
            <v>R TEE</v>
          </cell>
          <cell r="H496" t="str">
            <v>42</v>
          </cell>
          <cell r="I496" t="str">
            <v>24</v>
          </cell>
          <cell r="J496" t="str">
            <v>60.54MM WT</v>
          </cell>
          <cell r="K496" t="str">
            <v>SCH 100</v>
          </cell>
          <cell r="L496" t="str">
            <v>BW CS A234-WPB-W W/100% RT B16.9 SUNLIGHT L-200</v>
          </cell>
          <cell r="M496">
            <v>1</v>
          </cell>
        </row>
        <row r="497">
          <cell r="C497" t="str">
            <v>561</v>
          </cell>
          <cell r="D497" t="str">
            <v>T</v>
          </cell>
          <cell r="E497">
            <v>6311</v>
          </cell>
          <cell r="F497" t="str">
            <v>CG39030000030T</v>
          </cell>
          <cell r="G497" t="str">
            <v>TOL</v>
          </cell>
          <cell r="H497" t="str">
            <v>3</v>
          </cell>
          <cell r="I497" t="str">
            <v>3/4</v>
          </cell>
          <cell r="J497" t="str">
            <v>NONE</v>
          </cell>
          <cell r="K497" t="str">
            <v>NONE</v>
          </cell>
          <cell r="L497" t="str">
            <v>3000# CS A105 GALV. MSS SP-97</v>
          </cell>
          <cell r="M497">
            <v>1</v>
          </cell>
        </row>
        <row r="498">
          <cell r="C498" t="str">
            <v>561</v>
          </cell>
          <cell r="D498" t="str">
            <v>F</v>
          </cell>
          <cell r="E498">
            <v>6311</v>
          </cell>
          <cell r="F498" t="str">
            <v>CB279900000200</v>
          </cell>
          <cell r="G498" t="str">
            <v>BL FLG</v>
          </cell>
          <cell r="H498" t="str">
            <v>2</v>
          </cell>
          <cell r="I498" t="str">
            <v>--</v>
          </cell>
          <cell r="J498" t="str">
            <v>NONE</v>
          </cell>
          <cell r="K498" t="str">
            <v>NONE</v>
          </cell>
          <cell r="L498" t="str">
            <v>150# FF CS A105 B16.5 W/OVERLAY OF CU-NI ON CONTACT FACE</v>
          </cell>
          <cell r="M498">
            <v>2</v>
          </cell>
        </row>
        <row r="499">
          <cell r="C499" t="str">
            <v>561</v>
          </cell>
          <cell r="D499" t="str">
            <v>F</v>
          </cell>
          <cell r="E499">
            <v>6311</v>
          </cell>
          <cell r="F499" t="str">
            <v>CB836200000300</v>
          </cell>
          <cell r="G499" t="str">
            <v>SPACER</v>
          </cell>
          <cell r="H499" t="str">
            <v>3</v>
          </cell>
          <cell r="I499" t="str">
            <v>--</v>
          </cell>
          <cell r="J499" t="str">
            <v>NONE</v>
          </cell>
          <cell r="K499" t="str">
            <v>NONE</v>
          </cell>
          <cell r="L499" t="str">
            <v>150# FF CS A515-70 PER API 590 W/BLANK</v>
          </cell>
          <cell r="M499">
            <v>1</v>
          </cell>
        </row>
        <row r="500">
          <cell r="C500" t="str">
            <v>561</v>
          </cell>
          <cell r="D500" t="str">
            <v>F</v>
          </cell>
          <cell r="E500">
            <v>6311</v>
          </cell>
          <cell r="F500" t="str">
            <v>CB838200001200</v>
          </cell>
          <cell r="G500" t="str">
            <v>SPACER</v>
          </cell>
          <cell r="H500" t="str">
            <v>12</v>
          </cell>
          <cell r="I500" t="str">
            <v>--</v>
          </cell>
          <cell r="J500" t="str">
            <v>NONE</v>
          </cell>
          <cell r="K500" t="str">
            <v>NONE</v>
          </cell>
          <cell r="L500" t="str">
            <v>150# FF CS A515-70 PER API 590 W/OVERLAY OF CU-NI ON CONTACT FACE W/BLANK</v>
          </cell>
          <cell r="M500">
            <v>1</v>
          </cell>
        </row>
        <row r="501">
          <cell r="C501" t="str">
            <v>561</v>
          </cell>
          <cell r="D501" t="str">
            <v>F</v>
          </cell>
          <cell r="E501">
            <v>6311</v>
          </cell>
          <cell r="F501" t="str">
            <v>CB838200001400</v>
          </cell>
          <cell r="G501" t="str">
            <v>SPACER</v>
          </cell>
          <cell r="H501" t="str">
            <v>14</v>
          </cell>
          <cell r="I501" t="str">
            <v>--</v>
          </cell>
          <cell r="J501" t="str">
            <v>NONE</v>
          </cell>
          <cell r="K501" t="str">
            <v>NONE</v>
          </cell>
          <cell r="L501" t="str">
            <v>150# FF CS A515-70 PER API 590 W/OVERLAY OF CU-NI ON CONTACT FACE W/BLANK</v>
          </cell>
          <cell r="M501">
            <v>1</v>
          </cell>
        </row>
        <row r="502">
          <cell r="C502" t="str">
            <v>561</v>
          </cell>
          <cell r="D502" t="str">
            <v>F</v>
          </cell>
          <cell r="E502">
            <v>6311</v>
          </cell>
          <cell r="F502" t="str">
            <v>CB20240F002400</v>
          </cell>
          <cell r="G502" t="str">
            <v>WN FLG</v>
          </cell>
          <cell r="H502" t="str">
            <v>24</v>
          </cell>
          <cell r="I502" t="str">
            <v>--</v>
          </cell>
          <cell r="J502" t="str">
            <v>SCH 100</v>
          </cell>
          <cell r="K502" t="str">
            <v>NONE</v>
          </cell>
          <cell r="L502" t="str">
            <v>900# RTJ CS A105 B16.5</v>
          </cell>
          <cell r="M502">
            <v>1</v>
          </cell>
        </row>
        <row r="503">
          <cell r="C503" t="str">
            <v>561</v>
          </cell>
          <cell r="D503" t="str">
            <v>P</v>
          </cell>
          <cell r="E503">
            <v>6326</v>
          </cell>
          <cell r="F503" t="str">
            <v>JF12030P000200</v>
          </cell>
          <cell r="G503" t="str">
            <v>PIPE</v>
          </cell>
          <cell r="H503" t="str">
            <v>2</v>
          </cell>
          <cell r="I503" t="str">
            <v>--</v>
          </cell>
          <cell r="J503" t="str">
            <v>3.6MM WT</v>
          </cell>
          <cell r="K503" t="str">
            <v>NONE</v>
          </cell>
          <cell r="L503" t="str">
            <v>BELL &amp; SPIGOT TYPE RTRP D2996 TYPE1 GR.1 CL.F</v>
          </cell>
          <cell r="M503">
            <v>260</v>
          </cell>
        </row>
        <row r="504">
          <cell r="C504" t="str">
            <v>561</v>
          </cell>
          <cell r="D504" t="str">
            <v>P</v>
          </cell>
          <cell r="E504">
            <v>6326</v>
          </cell>
          <cell r="F504" t="str">
            <v>JF12030Q000400</v>
          </cell>
          <cell r="G504" t="str">
            <v>PIPE</v>
          </cell>
          <cell r="H504" t="str">
            <v>4</v>
          </cell>
          <cell r="I504" t="str">
            <v>--</v>
          </cell>
          <cell r="J504" t="str">
            <v>3.9MM WT</v>
          </cell>
          <cell r="K504" t="str">
            <v>NONE</v>
          </cell>
          <cell r="L504" t="str">
            <v>BELL &amp; SPIGOT TYPE RTRP D2996 TYPE1 GR.1 CL.F</v>
          </cell>
          <cell r="M504">
            <v>631</v>
          </cell>
        </row>
        <row r="505">
          <cell r="C505" t="str">
            <v>561</v>
          </cell>
          <cell r="D505" t="str">
            <v>P</v>
          </cell>
          <cell r="E505">
            <v>6326</v>
          </cell>
          <cell r="F505" t="str">
            <v>JF12030T000800</v>
          </cell>
          <cell r="G505" t="str">
            <v>PIPE</v>
          </cell>
          <cell r="H505" t="str">
            <v>8</v>
          </cell>
          <cell r="I505" t="str">
            <v>--</v>
          </cell>
          <cell r="J505" t="str">
            <v>5.8MM WT</v>
          </cell>
          <cell r="K505" t="str">
            <v>NONE</v>
          </cell>
          <cell r="L505" t="str">
            <v>BELL &amp; SPIGOT TYPE RTRP D2996 TYPE1 GR.1 CL.F</v>
          </cell>
          <cell r="M505">
            <v>700</v>
          </cell>
        </row>
        <row r="506">
          <cell r="C506" t="str">
            <v>561</v>
          </cell>
          <cell r="D506" t="str">
            <v>P</v>
          </cell>
          <cell r="E506">
            <v>6326</v>
          </cell>
          <cell r="F506" t="str">
            <v>JF12030X001400</v>
          </cell>
          <cell r="G506" t="str">
            <v>PIPE</v>
          </cell>
          <cell r="H506" t="str">
            <v>14</v>
          </cell>
          <cell r="I506" t="str">
            <v>--</v>
          </cell>
          <cell r="J506" t="str">
            <v>9.2MM WT</v>
          </cell>
          <cell r="K506" t="str">
            <v>NONE</v>
          </cell>
          <cell r="L506" t="str">
            <v>BELL &amp; SPIGOT TYPE RTRP D2996 TYPE1 GR.1 CL.F</v>
          </cell>
          <cell r="M506">
            <v>163</v>
          </cell>
        </row>
        <row r="507">
          <cell r="C507" t="str">
            <v>561</v>
          </cell>
          <cell r="D507" t="str">
            <v>P</v>
          </cell>
          <cell r="E507">
            <v>6326</v>
          </cell>
          <cell r="F507" t="str">
            <v>JF120316002600</v>
          </cell>
          <cell r="G507" t="str">
            <v>PIPE</v>
          </cell>
          <cell r="H507" t="str">
            <v>26</v>
          </cell>
          <cell r="I507" t="str">
            <v>--</v>
          </cell>
          <cell r="J507" t="str">
            <v>11.7MM WT</v>
          </cell>
          <cell r="K507" t="str">
            <v>NONE</v>
          </cell>
          <cell r="L507" t="str">
            <v>BELL &amp; SPIGOT TYPE RTRP D2996 TYPE1 GR.1 CL.F</v>
          </cell>
          <cell r="M507">
            <v>370</v>
          </cell>
        </row>
        <row r="508">
          <cell r="C508" t="str">
            <v>561</v>
          </cell>
          <cell r="D508" t="str">
            <v>P</v>
          </cell>
          <cell r="E508">
            <v>6326</v>
          </cell>
          <cell r="F508" t="str">
            <v>JF12031A001200</v>
          </cell>
          <cell r="G508" t="str">
            <v>PIPE</v>
          </cell>
          <cell r="H508" t="str">
            <v>12</v>
          </cell>
          <cell r="I508" t="str">
            <v>--</v>
          </cell>
          <cell r="J508" t="str">
            <v>8.4MM WT</v>
          </cell>
          <cell r="K508" t="str">
            <v>NONE</v>
          </cell>
          <cell r="L508" t="str">
            <v>BELL &amp; SPIGOT TYPE RTRP D2996 TYPE1 GR.1 CL.F</v>
          </cell>
          <cell r="M508">
            <v>144</v>
          </cell>
        </row>
        <row r="509">
          <cell r="C509" t="str">
            <v>561</v>
          </cell>
          <cell r="D509" t="str">
            <v>P</v>
          </cell>
          <cell r="E509">
            <v>6326</v>
          </cell>
          <cell r="F509" t="str">
            <v>JF12031B001800</v>
          </cell>
          <cell r="G509" t="str">
            <v>PIPE</v>
          </cell>
          <cell r="H509" t="str">
            <v>18</v>
          </cell>
          <cell r="I509" t="str">
            <v>--</v>
          </cell>
          <cell r="J509" t="str">
            <v>11.5MM WT</v>
          </cell>
          <cell r="K509" t="str">
            <v>NONE</v>
          </cell>
          <cell r="L509" t="str">
            <v>BELL &amp; SPIGOT TYPE RTRP D2996 TYPE1 GR.1 CL.F</v>
          </cell>
          <cell r="M509">
            <v>370</v>
          </cell>
        </row>
        <row r="510">
          <cell r="C510" t="str">
            <v>561</v>
          </cell>
          <cell r="D510" t="str">
            <v>P</v>
          </cell>
          <cell r="E510">
            <v>6326</v>
          </cell>
          <cell r="F510" t="str">
            <v>JF12031C002400</v>
          </cell>
          <cell r="G510" t="str">
            <v>PIPE</v>
          </cell>
          <cell r="H510" t="str">
            <v>24</v>
          </cell>
          <cell r="I510" t="str">
            <v>--</v>
          </cell>
          <cell r="J510" t="str">
            <v>15.1MM WT</v>
          </cell>
          <cell r="K510" t="str">
            <v>NONE</v>
          </cell>
          <cell r="L510" t="str">
            <v>BELL &amp; SPIGOT TYPE RTRP D2996 TYPE1 GR.1 CL.F</v>
          </cell>
          <cell r="M510">
            <v>85</v>
          </cell>
        </row>
        <row r="511">
          <cell r="C511" t="str">
            <v>561</v>
          </cell>
          <cell r="D511" t="str">
            <v>T</v>
          </cell>
          <cell r="E511">
            <v>6326</v>
          </cell>
          <cell r="F511" t="str">
            <v>JF46020X001400</v>
          </cell>
          <cell r="G511" t="str">
            <v>45 ELL</v>
          </cell>
          <cell r="H511" t="str">
            <v>14</v>
          </cell>
          <cell r="I511" t="str">
            <v>--</v>
          </cell>
          <cell r="J511" t="str">
            <v>9.2MM WT</v>
          </cell>
          <cell r="K511" t="str">
            <v>NONE</v>
          </cell>
          <cell r="L511" t="str">
            <v>BELL END RTRP D2996 TYPE1 GR.1 CL.F</v>
          </cell>
          <cell r="M511">
            <v>8</v>
          </cell>
        </row>
        <row r="512">
          <cell r="C512" t="str">
            <v>561</v>
          </cell>
          <cell r="D512" t="str">
            <v>T</v>
          </cell>
          <cell r="E512">
            <v>6326</v>
          </cell>
          <cell r="F512" t="str">
            <v>JF46021A001200</v>
          </cell>
          <cell r="G512" t="str">
            <v>45 ELL</v>
          </cell>
          <cell r="H512" t="str">
            <v>12</v>
          </cell>
          <cell r="I512" t="str">
            <v>--</v>
          </cell>
          <cell r="J512" t="str">
            <v>8.4MM WT</v>
          </cell>
          <cell r="K512" t="str">
            <v>NONE</v>
          </cell>
          <cell r="L512" t="str">
            <v>BELL END RTRP D2996 TYPE1 GR.1 CL.F</v>
          </cell>
          <cell r="M512">
            <v>8</v>
          </cell>
        </row>
        <row r="513">
          <cell r="C513" t="str">
            <v>561</v>
          </cell>
          <cell r="D513" t="str">
            <v>T</v>
          </cell>
          <cell r="E513">
            <v>6326</v>
          </cell>
          <cell r="F513" t="str">
            <v>JF46010P000200</v>
          </cell>
          <cell r="G513" t="str">
            <v>90 ELL</v>
          </cell>
          <cell r="H513" t="str">
            <v>2</v>
          </cell>
          <cell r="I513" t="str">
            <v>--</v>
          </cell>
          <cell r="J513" t="str">
            <v>3.6MM WT</v>
          </cell>
          <cell r="K513" t="str">
            <v>NONE</v>
          </cell>
          <cell r="L513" t="str">
            <v>BELL END RTRP D2996 TYPE1 GR.1 CL.F</v>
          </cell>
          <cell r="M513">
            <v>4</v>
          </cell>
        </row>
        <row r="514">
          <cell r="C514" t="str">
            <v>561</v>
          </cell>
          <cell r="D514" t="str">
            <v>T</v>
          </cell>
          <cell r="E514">
            <v>6326</v>
          </cell>
          <cell r="F514" t="str">
            <v>JF46010Q000400</v>
          </cell>
          <cell r="G514" t="str">
            <v>90 ELL</v>
          </cell>
          <cell r="H514" t="str">
            <v>4</v>
          </cell>
          <cell r="I514" t="str">
            <v>--</v>
          </cell>
          <cell r="J514" t="str">
            <v>3.9MM WT</v>
          </cell>
          <cell r="K514" t="str">
            <v>NONE</v>
          </cell>
          <cell r="L514" t="str">
            <v>BELL END RTRP D2996 TYPE1 GR.1 CL.F</v>
          </cell>
          <cell r="M514">
            <v>4</v>
          </cell>
        </row>
        <row r="515">
          <cell r="C515" t="str">
            <v>561</v>
          </cell>
          <cell r="D515" t="str">
            <v>T</v>
          </cell>
          <cell r="E515">
            <v>6326</v>
          </cell>
          <cell r="F515" t="str">
            <v>JF46010X001400</v>
          </cell>
          <cell r="G515" t="str">
            <v>90 ELL</v>
          </cell>
          <cell r="H515" t="str">
            <v>14</v>
          </cell>
          <cell r="I515" t="str">
            <v>--</v>
          </cell>
          <cell r="J515" t="str">
            <v>9.2MM WT</v>
          </cell>
          <cell r="K515" t="str">
            <v>NONE</v>
          </cell>
          <cell r="L515" t="str">
            <v>BELL END RTRP D2996 TYPE1 GR.1 CL.F</v>
          </cell>
          <cell r="M515">
            <v>3</v>
          </cell>
        </row>
        <row r="516">
          <cell r="C516" t="str">
            <v>561</v>
          </cell>
          <cell r="D516" t="str">
            <v>T</v>
          </cell>
          <cell r="E516">
            <v>6326</v>
          </cell>
          <cell r="F516" t="str">
            <v>JF46011A001200</v>
          </cell>
          <cell r="G516" t="str">
            <v>90 ELL</v>
          </cell>
          <cell r="H516" t="str">
            <v>12</v>
          </cell>
          <cell r="I516" t="str">
            <v>--</v>
          </cell>
          <cell r="J516" t="str">
            <v>8.4MM WT</v>
          </cell>
          <cell r="K516" t="str">
            <v>NONE</v>
          </cell>
          <cell r="L516" t="str">
            <v>BELL END RTRP D2996 TYPE1 GR.1 CL.F</v>
          </cell>
          <cell r="M516">
            <v>3</v>
          </cell>
        </row>
        <row r="517">
          <cell r="C517" t="str">
            <v>561</v>
          </cell>
          <cell r="D517" t="str">
            <v>T</v>
          </cell>
          <cell r="E517">
            <v>6326</v>
          </cell>
          <cell r="F517" t="str">
            <v>JF46140P000200</v>
          </cell>
          <cell r="G517" t="str">
            <v>ADAPTOR</v>
          </cell>
          <cell r="H517" t="str">
            <v>2</v>
          </cell>
          <cell r="I517" t="str">
            <v>--</v>
          </cell>
          <cell r="J517" t="str">
            <v>3.6MM WT</v>
          </cell>
          <cell r="K517" t="str">
            <v>NONE</v>
          </cell>
          <cell r="L517" t="str">
            <v>SPIGOT END RTRP D2996 TYPE1 GR.1 CL.F</v>
          </cell>
          <cell r="M517">
            <v>2</v>
          </cell>
        </row>
        <row r="518">
          <cell r="C518" t="str">
            <v>561</v>
          </cell>
          <cell r="D518" t="str">
            <v>T</v>
          </cell>
          <cell r="E518">
            <v>6326</v>
          </cell>
          <cell r="F518" t="str">
            <v>JF46040X0P1402</v>
          </cell>
          <cell r="G518" t="str">
            <v>R TEE</v>
          </cell>
          <cell r="H518" t="str">
            <v>14</v>
          </cell>
          <cell r="I518" t="str">
            <v>2</v>
          </cell>
          <cell r="J518" t="str">
            <v>9.2MM WT</v>
          </cell>
          <cell r="K518" t="str">
            <v>3.6MM WT</v>
          </cell>
          <cell r="L518" t="str">
            <v>BELL END RTRP D2996 TYPE1 GR.1 CL.F</v>
          </cell>
          <cell r="M518">
            <v>2</v>
          </cell>
        </row>
        <row r="519">
          <cell r="C519" t="str">
            <v>561</v>
          </cell>
          <cell r="D519" t="str">
            <v>T</v>
          </cell>
          <cell r="E519">
            <v>6326</v>
          </cell>
          <cell r="F519" t="str">
            <v>JF46041A0P1202</v>
          </cell>
          <cell r="G519" t="str">
            <v>R TEE</v>
          </cell>
          <cell r="H519" t="str">
            <v>12</v>
          </cell>
          <cell r="I519" t="str">
            <v>2</v>
          </cell>
          <cell r="J519" t="str">
            <v>8.4MM WT</v>
          </cell>
          <cell r="K519" t="str">
            <v>3.6MM WT</v>
          </cell>
          <cell r="L519" t="str">
            <v>BELL END RTRP D2996 TYPE1 GR.1 CL.F</v>
          </cell>
          <cell r="M519">
            <v>1</v>
          </cell>
        </row>
        <row r="520">
          <cell r="C520" t="str">
            <v>561</v>
          </cell>
          <cell r="D520" t="str">
            <v>F</v>
          </cell>
          <cell r="E520">
            <v>6326</v>
          </cell>
          <cell r="F520" t="str">
            <v>JF24070P000200</v>
          </cell>
          <cell r="G520" t="str">
            <v>FLG</v>
          </cell>
          <cell r="H520" t="str">
            <v>2</v>
          </cell>
          <cell r="I520" t="str">
            <v>--</v>
          </cell>
          <cell r="J520" t="str">
            <v>3.6MM WT</v>
          </cell>
          <cell r="K520" t="str">
            <v>NONE</v>
          </cell>
          <cell r="L520" t="str">
            <v>150# FF RTRP D4024 TYPE1 GR.1 CL.2 SOCKET END ADHESIVE BOND B16.5</v>
          </cell>
          <cell r="M520">
            <v>2</v>
          </cell>
        </row>
        <row r="521">
          <cell r="C521" t="str">
            <v>561</v>
          </cell>
          <cell r="D521" t="str">
            <v>F</v>
          </cell>
          <cell r="E521">
            <v>6326</v>
          </cell>
          <cell r="F521" t="str">
            <v>JF24070X001400</v>
          </cell>
          <cell r="G521" t="str">
            <v>FLG</v>
          </cell>
          <cell r="H521" t="str">
            <v>14</v>
          </cell>
          <cell r="I521" t="str">
            <v>--</v>
          </cell>
          <cell r="J521" t="str">
            <v>9.2MM WT</v>
          </cell>
          <cell r="K521" t="str">
            <v>NONE</v>
          </cell>
          <cell r="L521" t="str">
            <v>150# FF RTRP D4024 TYPE1 GR.1 CL.2 SOCKET END ADHESIVE BOND B16.5</v>
          </cell>
          <cell r="M521">
            <v>2</v>
          </cell>
        </row>
        <row r="522">
          <cell r="C522" t="str">
            <v>561</v>
          </cell>
          <cell r="D522" t="str">
            <v>F</v>
          </cell>
          <cell r="E522">
            <v>6326</v>
          </cell>
          <cell r="F522" t="str">
            <v>JF24071A001200</v>
          </cell>
          <cell r="G522" t="str">
            <v>FLG</v>
          </cell>
          <cell r="H522" t="str">
            <v>12</v>
          </cell>
          <cell r="I522" t="str">
            <v>--</v>
          </cell>
          <cell r="J522" t="str">
            <v>8.4MM WT</v>
          </cell>
          <cell r="K522" t="str">
            <v>NONE</v>
          </cell>
          <cell r="L522" t="str">
            <v>150# FF RTRP D4024 TYPE1 GR.1 CL.2 SOCKET END ADHESIVE BOND B16.5</v>
          </cell>
          <cell r="M522">
            <v>2</v>
          </cell>
        </row>
        <row r="523">
          <cell r="C523" t="str">
            <v>561</v>
          </cell>
          <cell r="D523" t="str">
            <v>V</v>
          </cell>
          <cell r="E523">
            <v>6315</v>
          </cell>
          <cell r="F523" t="str">
            <v>PGA16641000002</v>
          </cell>
          <cell r="G523" t="str">
            <v>GATE VA</v>
          </cell>
          <cell r="H523" t="str">
            <v>2</v>
          </cell>
          <cell r="I523" t="str">
            <v>--</v>
          </cell>
          <cell r="J523" t="str">
            <v>NONE</v>
          </cell>
          <cell r="K523" t="str">
            <v>NONE</v>
          </cell>
          <cell r="L523" t="str">
            <v>150# FF B148 Gr.C95800 W/SAME AS BODY MATERIAL BB, OS&amp;Y SOLID WEDGE, EXTENDED STEM</v>
          </cell>
          <cell r="M523">
            <v>2</v>
          </cell>
        </row>
        <row r="524">
          <cell r="C524" t="str">
            <v>561</v>
          </cell>
          <cell r="D524" t="str">
            <v>V</v>
          </cell>
          <cell r="E524">
            <v>6315</v>
          </cell>
          <cell r="F524" t="str">
            <v>PGA16641000012</v>
          </cell>
          <cell r="G524" t="str">
            <v>GATE VA</v>
          </cell>
          <cell r="H524" t="str">
            <v>12</v>
          </cell>
          <cell r="I524" t="str">
            <v>--</v>
          </cell>
          <cell r="J524" t="str">
            <v>NONE</v>
          </cell>
          <cell r="K524" t="str">
            <v>NONE</v>
          </cell>
          <cell r="L524" t="str">
            <v>150# FF B148 Gr.C95800 W/SAME AS BODY MATERIAL BB, OS&amp;Y SOLID WEDGE, EXTENDED STEM</v>
          </cell>
          <cell r="M524">
            <v>1</v>
          </cell>
        </row>
        <row r="525">
          <cell r="C525" t="str">
            <v>561</v>
          </cell>
          <cell r="D525" t="str">
            <v>V</v>
          </cell>
          <cell r="E525">
            <v>6315</v>
          </cell>
          <cell r="F525" t="str">
            <v>PGN16641000014</v>
          </cell>
          <cell r="G525" t="str">
            <v>GATE VA</v>
          </cell>
          <cell r="H525" t="str">
            <v>14</v>
          </cell>
          <cell r="I525" t="str">
            <v>--</v>
          </cell>
          <cell r="J525" t="str">
            <v>NONE</v>
          </cell>
          <cell r="K525" t="str">
            <v>NONE</v>
          </cell>
          <cell r="L525" t="str">
            <v>150# FF B148 Gr.C95800 W/SAME AS BODY MATERIAL BB, OS&amp;Y SOLID WEDGE GO, EXTENDED STEM</v>
          </cell>
          <cell r="M525">
            <v>1</v>
          </cell>
        </row>
        <row r="526">
          <cell r="C526" t="str">
            <v>561</v>
          </cell>
          <cell r="D526" t="str">
            <v>V</v>
          </cell>
          <cell r="E526">
            <v>6311</v>
          </cell>
          <cell r="F526" t="str">
            <v>VGA10132000003</v>
          </cell>
          <cell r="G526" t="str">
            <v>GATE VA</v>
          </cell>
          <cell r="H526" t="str">
            <v>3</v>
          </cell>
          <cell r="I526" t="str">
            <v>--</v>
          </cell>
          <cell r="J526" t="str">
            <v>NONE</v>
          </cell>
          <cell r="K526" t="str">
            <v>NONE</v>
          </cell>
          <cell r="L526" t="str">
            <v>150# FF A216-WCB W/ST BB, OS&amp;Y SOLID WEDGE</v>
          </cell>
          <cell r="M526">
            <v>1</v>
          </cell>
        </row>
        <row r="527">
          <cell r="C527" t="str">
            <v>561</v>
          </cell>
          <cell r="D527" t="str">
            <v>V</v>
          </cell>
          <cell r="E527">
            <v>6311</v>
          </cell>
          <cell r="F527" t="str">
            <v>VGA8013200000T</v>
          </cell>
          <cell r="G527" t="str">
            <v>GATE VA</v>
          </cell>
          <cell r="H527" t="str">
            <v>3/4</v>
          </cell>
          <cell r="I527" t="str">
            <v>--</v>
          </cell>
          <cell r="J527" t="str">
            <v>NONE</v>
          </cell>
          <cell r="K527" t="str">
            <v>NONE</v>
          </cell>
          <cell r="L527" t="str">
            <v>800# ST A105 W/ST BB, OS&amp;Y SOLID WEDGE</v>
          </cell>
          <cell r="M527">
            <v>1</v>
          </cell>
        </row>
        <row r="528">
          <cell r="C528" t="str">
            <v>561</v>
          </cell>
          <cell r="D528" t="str">
            <v>L</v>
          </cell>
          <cell r="E528">
            <v>6311</v>
          </cell>
          <cell r="F528" t="str">
            <v>CB740100000DVV</v>
          </cell>
          <cell r="G528" t="str">
            <v>B/N</v>
          </cell>
          <cell r="H528" t="str">
            <v>5/8</v>
          </cell>
          <cell r="I528" t="str">
            <v>95mm</v>
          </cell>
          <cell r="J528" t="str">
            <v>NONE</v>
          </cell>
          <cell r="K528" t="str">
            <v>NONE</v>
          </cell>
          <cell r="L528" t="str">
            <v>STUD BOLTS A193 B7 W/2 HEAVY HEX NUTS A194-2H</v>
          </cell>
          <cell r="M528">
            <v>8</v>
          </cell>
        </row>
        <row r="529">
          <cell r="C529" t="str">
            <v>561</v>
          </cell>
          <cell r="D529" t="str">
            <v>L</v>
          </cell>
          <cell r="E529">
            <v>6311</v>
          </cell>
          <cell r="F529" t="str">
            <v>CB744100000DVT</v>
          </cell>
          <cell r="G529" t="str">
            <v>B/N</v>
          </cell>
          <cell r="H529" t="str">
            <v>5/8</v>
          </cell>
          <cell r="I529" t="str">
            <v>85mm</v>
          </cell>
          <cell r="J529" t="str">
            <v>NONE</v>
          </cell>
          <cell r="K529" t="str">
            <v>NONE</v>
          </cell>
          <cell r="L529" t="str">
            <v>STUD BOLTS A193 B7 W/2 HEAVY HEX NUTS A194-2H W/WASHER</v>
          </cell>
          <cell r="M529">
            <v>16</v>
          </cell>
        </row>
        <row r="530">
          <cell r="C530" t="str">
            <v>561</v>
          </cell>
          <cell r="D530" t="str">
            <v>L</v>
          </cell>
          <cell r="E530">
            <v>6311</v>
          </cell>
          <cell r="F530" t="str">
            <v>CB744100000FWF</v>
          </cell>
          <cell r="G530" t="str">
            <v>B/N</v>
          </cell>
          <cell r="H530" t="str">
            <v>7/8</v>
          </cell>
          <cell r="I530" t="str">
            <v>125mm</v>
          </cell>
          <cell r="J530" t="str">
            <v>NONE</v>
          </cell>
          <cell r="K530" t="str">
            <v>NONE</v>
          </cell>
          <cell r="L530" t="str">
            <v>STUD BOLTS A193 B7 W/2 HEAVY HEX NUTS A194-2H W/WASHER</v>
          </cell>
          <cell r="M530">
            <v>24</v>
          </cell>
        </row>
        <row r="531">
          <cell r="C531" t="str">
            <v>561</v>
          </cell>
          <cell r="D531" t="str">
            <v>L</v>
          </cell>
          <cell r="E531">
            <v>6311</v>
          </cell>
          <cell r="F531" t="str">
            <v>CB7441000001WJ</v>
          </cell>
          <cell r="G531" t="str">
            <v>B/N</v>
          </cell>
          <cell r="H531" t="str">
            <v>1</v>
          </cell>
          <cell r="I531" t="str">
            <v>140mm</v>
          </cell>
          <cell r="J531" t="str">
            <v>NONE</v>
          </cell>
          <cell r="K531" t="str">
            <v>NONE</v>
          </cell>
          <cell r="L531" t="str">
            <v>STUD BOLTS A193 B7 W/2 HEAVY HEX NUTS A194-2H W/WASHER</v>
          </cell>
          <cell r="M531">
            <v>24</v>
          </cell>
        </row>
        <row r="532">
          <cell r="C532" t="str">
            <v>561</v>
          </cell>
          <cell r="D532" t="str">
            <v>G</v>
          </cell>
          <cell r="E532">
            <v>6318</v>
          </cell>
          <cell r="F532" t="str">
            <v>R4DF2-A3000002</v>
          </cell>
          <cell r="G532" t="str">
            <v>GSKT</v>
          </cell>
          <cell r="H532" t="str">
            <v>2</v>
          </cell>
          <cell r="I532" t="str">
            <v>--</v>
          </cell>
          <cell r="J532" t="str">
            <v>NONE</v>
          </cell>
          <cell r="K532" t="str">
            <v>NONE</v>
          </cell>
          <cell r="L532" t="str">
            <v>150# FF 3MM NEOPRENE FLAT GASKET B16.21</v>
          </cell>
          <cell r="M532">
            <v>4</v>
          </cell>
        </row>
        <row r="533">
          <cell r="C533" t="str">
            <v>561</v>
          </cell>
          <cell r="D533" t="str">
            <v>G</v>
          </cell>
          <cell r="E533">
            <v>6318</v>
          </cell>
          <cell r="F533" t="str">
            <v>R4DF2-A3000003</v>
          </cell>
          <cell r="G533" t="str">
            <v>GSKT</v>
          </cell>
          <cell r="H533" t="str">
            <v>3</v>
          </cell>
          <cell r="I533" t="str">
            <v>--</v>
          </cell>
          <cell r="J533" t="str">
            <v>NONE</v>
          </cell>
          <cell r="K533" t="str">
            <v>NONE</v>
          </cell>
          <cell r="L533" t="str">
            <v>150# FF 3MM NEOPRENE FLAT GASKET B16.21</v>
          </cell>
          <cell r="M533">
            <v>3</v>
          </cell>
        </row>
        <row r="534">
          <cell r="C534" t="str">
            <v>561</v>
          </cell>
          <cell r="D534" t="str">
            <v>G</v>
          </cell>
          <cell r="E534">
            <v>6318</v>
          </cell>
          <cell r="F534" t="str">
            <v>R4DF2-A5000012</v>
          </cell>
          <cell r="G534" t="str">
            <v>GSKT</v>
          </cell>
          <cell r="H534" t="str">
            <v>12</v>
          </cell>
          <cell r="I534" t="str">
            <v>--</v>
          </cell>
          <cell r="J534" t="str">
            <v>NONE</v>
          </cell>
          <cell r="K534" t="str">
            <v>NONE</v>
          </cell>
          <cell r="L534" t="str">
            <v>150# FF 5MM NEOPRENE FLAT GASKET B16.21</v>
          </cell>
          <cell r="M534">
            <v>3</v>
          </cell>
        </row>
        <row r="535">
          <cell r="C535" t="str">
            <v>561</v>
          </cell>
          <cell r="D535" t="str">
            <v>G</v>
          </cell>
          <cell r="E535">
            <v>6318</v>
          </cell>
          <cell r="F535" t="str">
            <v>R4DF2-A5000014</v>
          </cell>
          <cell r="G535" t="str">
            <v>GSKT</v>
          </cell>
          <cell r="H535" t="str">
            <v>14</v>
          </cell>
          <cell r="I535" t="str">
            <v>--</v>
          </cell>
          <cell r="J535" t="str">
            <v>NONE</v>
          </cell>
          <cell r="K535" t="str">
            <v>NONE</v>
          </cell>
          <cell r="L535" t="str">
            <v>150# FF 5MM NEOPRENE FLAT GASKET B16.21</v>
          </cell>
          <cell r="M535">
            <v>3</v>
          </cell>
        </row>
      </sheetData>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P"/>
      <sheetName val="Main"/>
      <sheetName val="DCI"/>
      <sheetName val="Progress"/>
      <sheetName val="S-Curve"/>
      <sheetName val="Sum"/>
      <sheetName val="Sum_dci"/>
      <sheetName val="Sum_mci"/>
      <sheetName val="Sum_FT"/>
      <sheetName val="data_dci"/>
      <sheetName val="data_mci"/>
      <sheetName val="dci_sch"/>
      <sheetName val="dci_act"/>
      <sheetName val="mci_sch"/>
      <sheetName val="mci_act"/>
      <sheetName val="behind"/>
      <sheetName val="DATA"/>
      <sheetName val="영업소실적"/>
      <sheetName val="주관사업"/>
      <sheetName val="요약배부"/>
      <sheetName val="CalCu"/>
      <sheetName val="BQ List"/>
      <sheetName val="PipWT"/>
      <sheetName val="VLOOKUP"/>
      <sheetName val="cal-foamglass"/>
      <sheetName val="CODE"/>
      <sheetName val="BLDG_DCI"/>
      <sheetName val="BLDG_MCI"/>
      <sheetName val="BQ_List"/>
      <sheetName val="7.6.3(B) UG Piping"/>
      <sheetName val="Regenerator  Concrete Structure"/>
      <sheetName val="기계내역서"/>
      <sheetName val="CAT_5"/>
      <sheetName val="환율change"/>
      <sheetName val="간접비 총괄표"/>
      <sheetName val="정부노임단가"/>
      <sheetName val="B"/>
      <sheetName val="inter"/>
      <sheetName val="수입"/>
      <sheetName val="ANX3A11"/>
    </sheetNames>
    <sheetDataSet>
      <sheetData sheetId="0" refreshError="1"/>
      <sheetData sheetId="1" refreshError="1">
        <row r="3">
          <cell r="C3">
            <v>37042</v>
          </cell>
        </row>
        <row r="8">
          <cell r="C8">
            <v>37035</v>
          </cell>
        </row>
        <row r="9">
          <cell r="C9">
            <v>37042</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row r="8">
          <cell r="E8" t="str">
            <v>PR</v>
          </cell>
          <cell r="G8">
            <v>37113</v>
          </cell>
          <cell r="H8">
            <v>37123</v>
          </cell>
          <cell r="I8">
            <v>37133</v>
          </cell>
          <cell r="J8">
            <v>37151</v>
          </cell>
          <cell r="K8">
            <v>37169</v>
          </cell>
          <cell r="L8">
            <v>37176</v>
          </cell>
        </row>
        <row r="9">
          <cell r="E9" t="str">
            <v>PR</v>
          </cell>
          <cell r="G9">
            <v>36983</v>
          </cell>
          <cell r="H9">
            <v>37046</v>
          </cell>
          <cell r="I9">
            <v>37054</v>
          </cell>
          <cell r="J9">
            <v>37142</v>
          </cell>
          <cell r="K9">
            <v>37169</v>
          </cell>
          <cell r="L9">
            <v>37054</v>
          </cell>
        </row>
        <row r="10">
          <cell r="E10" t="str">
            <v>PR</v>
          </cell>
          <cell r="G10">
            <v>36983</v>
          </cell>
          <cell r="H10">
            <v>37046</v>
          </cell>
          <cell r="I10">
            <v>37054</v>
          </cell>
          <cell r="J10">
            <v>37142</v>
          </cell>
          <cell r="K10">
            <v>37169</v>
          </cell>
          <cell r="L10">
            <v>37054</v>
          </cell>
        </row>
        <row r="11">
          <cell r="E11" t="str">
            <v>PR</v>
          </cell>
          <cell r="G11">
            <v>36983</v>
          </cell>
          <cell r="H11">
            <v>37046</v>
          </cell>
          <cell r="I11">
            <v>37054</v>
          </cell>
          <cell r="J11">
            <v>37142</v>
          </cell>
          <cell r="K11">
            <v>37169</v>
          </cell>
          <cell r="L11">
            <v>37054</v>
          </cell>
        </row>
        <row r="12">
          <cell r="E12" t="str">
            <v>PR</v>
          </cell>
          <cell r="G12">
            <v>36983</v>
          </cell>
          <cell r="H12">
            <v>37046</v>
          </cell>
          <cell r="I12">
            <v>37054</v>
          </cell>
          <cell r="J12">
            <v>37142</v>
          </cell>
          <cell r="K12">
            <v>37169</v>
          </cell>
          <cell r="L12">
            <v>37054</v>
          </cell>
        </row>
        <row r="13">
          <cell r="E13" t="str">
            <v>PR</v>
          </cell>
          <cell r="G13">
            <v>36983</v>
          </cell>
          <cell r="H13">
            <v>37046</v>
          </cell>
          <cell r="I13">
            <v>37054</v>
          </cell>
          <cell r="J13">
            <v>37142</v>
          </cell>
          <cell r="K13">
            <v>37169</v>
          </cell>
          <cell r="L13">
            <v>37054</v>
          </cell>
        </row>
        <row r="14">
          <cell r="E14" t="str">
            <v>PR</v>
          </cell>
          <cell r="G14">
            <v>36983</v>
          </cell>
          <cell r="H14">
            <v>37046</v>
          </cell>
          <cell r="I14">
            <v>37054</v>
          </cell>
          <cell r="J14">
            <v>37142</v>
          </cell>
          <cell r="K14">
            <v>37169</v>
          </cell>
          <cell r="L14">
            <v>37054</v>
          </cell>
        </row>
        <row r="15">
          <cell r="E15" t="str">
            <v>PR</v>
          </cell>
          <cell r="G15">
            <v>36983</v>
          </cell>
          <cell r="H15">
            <v>37046</v>
          </cell>
          <cell r="I15">
            <v>37054</v>
          </cell>
          <cell r="J15">
            <v>37142</v>
          </cell>
          <cell r="K15">
            <v>37169</v>
          </cell>
          <cell r="L15">
            <v>37054</v>
          </cell>
        </row>
        <row r="16">
          <cell r="E16" t="str">
            <v>PR</v>
          </cell>
          <cell r="G16">
            <v>36983</v>
          </cell>
          <cell r="H16">
            <v>37046</v>
          </cell>
          <cell r="I16">
            <v>37054</v>
          </cell>
          <cell r="J16">
            <v>37142</v>
          </cell>
          <cell r="K16">
            <v>37169</v>
          </cell>
          <cell r="L16">
            <v>37054</v>
          </cell>
        </row>
        <row r="17">
          <cell r="E17" t="str">
            <v>PR</v>
          </cell>
          <cell r="G17">
            <v>36983</v>
          </cell>
          <cell r="H17">
            <v>37046</v>
          </cell>
          <cell r="I17">
            <v>37054</v>
          </cell>
          <cell r="J17">
            <v>37142</v>
          </cell>
          <cell r="K17">
            <v>37169</v>
          </cell>
          <cell r="L17">
            <v>37054</v>
          </cell>
        </row>
        <row r="18">
          <cell r="E18" t="str">
            <v>PR</v>
          </cell>
          <cell r="G18">
            <v>36983</v>
          </cell>
          <cell r="H18">
            <v>37046</v>
          </cell>
          <cell r="I18">
            <v>37054</v>
          </cell>
          <cell r="J18">
            <v>37142</v>
          </cell>
          <cell r="K18">
            <v>37169</v>
          </cell>
          <cell r="L18">
            <v>37054</v>
          </cell>
        </row>
        <row r="19">
          <cell r="E19" t="str">
            <v>PR</v>
          </cell>
          <cell r="G19">
            <v>36983</v>
          </cell>
          <cell r="H19">
            <v>37046</v>
          </cell>
          <cell r="I19">
            <v>37054</v>
          </cell>
          <cell r="J19">
            <v>37142</v>
          </cell>
          <cell r="K19">
            <v>37169</v>
          </cell>
          <cell r="L19">
            <v>37054</v>
          </cell>
        </row>
        <row r="20">
          <cell r="E20" t="str">
            <v>PR</v>
          </cell>
          <cell r="G20">
            <v>36983</v>
          </cell>
          <cell r="H20">
            <v>37046</v>
          </cell>
          <cell r="I20">
            <v>37054</v>
          </cell>
          <cell r="J20">
            <v>37142</v>
          </cell>
          <cell r="K20">
            <v>37169</v>
          </cell>
          <cell r="L20">
            <v>37054</v>
          </cell>
        </row>
        <row r="21">
          <cell r="E21" t="str">
            <v>PR</v>
          </cell>
          <cell r="G21">
            <v>36983</v>
          </cell>
          <cell r="H21">
            <v>37046</v>
          </cell>
          <cell r="I21">
            <v>37054</v>
          </cell>
          <cell r="J21">
            <v>37142</v>
          </cell>
          <cell r="K21">
            <v>37169</v>
          </cell>
          <cell r="L21">
            <v>37054</v>
          </cell>
        </row>
        <row r="22">
          <cell r="E22" t="str">
            <v>PR</v>
          </cell>
          <cell r="G22">
            <v>36997</v>
          </cell>
          <cell r="H22">
            <v>37046</v>
          </cell>
          <cell r="I22">
            <v>37054</v>
          </cell>
          <cell r="J22">
            <v>37142</v>
          </cell>
          <cell r="K22">
            <v>37169</v>
          </cell>
          <cell r="L22">
            <v>37054</v>
          </cell>
        </row>
        <row r="23">
          <cell r="E23" t="str">
            <v>PR</v>
          </cell>
          <cell r="G23">
            <v>36997</v>
          </cell>
          <cell r="H23">
            <v>37046</v>
          </cell>
          <cell r="I23">
            <v>37054</v>
          </cell>
          <cell r="J23">
            <v>37142</v>
          </cell>
          <cell r="K23">
            <v>37169</v>
          </cell>
          <cell r="L23">
            <v>37054</v>
          </cell>
        </row>
        <row r="24">
          <cell r="E24" t="str">
            <v>PR</v>
          </cell>
          <cell r="G24">
            <v>36997</v>
          </cell>
          <cell r="H24">
            <v>37046</v>
          </cell>
          <cell r="I24">
            <v>37054</v>
          </cell>
          <cell r="J24">
            <v>37142</v>
          </cell>
          <cell r="K24">
            <v>37169</v>
          </cell>
          <cell r="L24">
            <v>37054</v>
          </cell>
        </row>
        <row r="25">
          <cell r="E25" t="str">
            <v>PR</v>
          </cell>
          <cell r="G25">
            <v>36997</v>
          </cell>
          <cell r="H25">
            <v>37046</v>
          </cell>
          <cell r="I25">
            <v>37054</v>
          </cell>
          <cell r="J25">
            <v>37142</v>
          </cell>
          <cell r="K25">
            <v>37169</v>
          </cell>
          <cell r="L25">
            <v>37054</v>
          </cell>
        </row>
        <row r="26">
          <cell r="E26" t="str">
            <v>PR</v>
          </cell>
          <cell r="G26">
            <v>36997</v>
          </cell>
          <cell r="H26">
            <v>37046</v>
          </cell>
          <cell r="I26">
            <v>37054</v>
          </cell>
          <cell r="J26">
            <v>37142</v>
          </cell>
          <cell r="K26">
            <v>37169</v>
          </cell>
          <cell r="L26">
            <v>37054</v>
          </cell>
        </row>
        <row r="27">
          <cell r="E27" t="str">
            <v>PR</v>
          </cell>
          <cell r="G27">
            <v>36997</v>
          </cell>
          <cell r="H27">
            <v>37046</v>
          </cell>
          <cell r="I27">
            <v>37054</v>
          </cell>
          <cell r="J27">
            <v>37142</v>
          </cell>
          <cell r="K27">
            <v>37169</v>
          </cell>
          <cell r="L27">
            <v>37054</v>
          </cell>
        </row>
        <row r="28">
          <cell r="E28" t="str">
            <v>PR</v>
          </cell>
          <cell r="G28">
            <v>36997</v>
          </cell>
          <cell r="H28">
            <v>37046</v>
          </cell>
          <cell r="I28">
            <v>37054</v>
          </cell>
          <cell r="J28">
            <v>37142</v>
          </cell>
          <cell r="K28">
            <v>37169</v>
          </cell>
          <cell r="L28">
            <v>37054</v>
          </cell>
        </row>
        <row r="29">
          <cell r="E29" t="str">
            <v>PR</v>
          </cell>
          <cell r="G29">
            <v>36997</v>
          </cell>
          <cell r="H29">
            <v>37046</v>
          </cell>
          <cell r="I29">
            <v>37054</v>
          </cell>
          <cell r="J29">
            <v>37142</v>
          </cell>
          <cell r="K29">
            <v>37169</v>
          </cell>
          <cell r="L29">
            <v>37054</v>
          </cell>
        </row>
        <row r="30">
          <cell r="E30" t="str">
            <v>PR</v>
          </cell>
          <cell r="G30">
            <v>36997</v>
          </cell>
          <cell r="H30">
            <v>37046</v>
          </cell>
          <cell r="I30">
            <v>37054</v>
          </cell>
          <cell r="J30">
            <v>37142</v>
          </cell>
          <cell r="K30">
            <v>37169</v>
          </cell>
          <cell r="L30">
            <v>37054</v>
          </cell>
        </row>
        <row r="31">
          <cell r="E31" t="str">
            <v>PR</v>
          </cell>
          <cell r="G31">
            <v>36997</v>
          </cell>
          <cell r="H31">
            <v>37046</v>
          </cell>
          <cell r="I31">
            <v>37054</v>
          </cell>
          <cell r="J31">
            <v>37142</v>
          </cell>
          <cell r="K31">
            <v>37169</v>
          </cell>
          <cell r="L31">
            <v>37054</v>
          </cell>
        </row>
        <row r="32">
          <cell r="E32" t="str">
            <v>PR</v>
          </cell>
          <cell r="G32">
            <v>36997</v>
          </cell>
          <cell r="H32">
            <v>37046</v>
          </cell>
          <cell r="I32">
            <v>37054</v>
          </cell>
          <cell r="J32">
            <v>37142</v>
          </cell>
          <cell r="K32">
            <v>37169</v>
          </cell>
          <cell r="L32">
            <v>37054</v>
          </cell>
        </row>
        <row r="33">
          <cell r="E33" t="str">
            <v>PR</v>
          </cell>
          <cell r="G33">
            <v>36997</v>
          </cell>
          <cell r="H33">
            <v>37046</v>
          </cell>
          <cell r="I33">
            <v>37054</v>
          </cell>
          <cell r="J33">
            <v>37142</v>
          </cell>
          <cell r="K33">
            <v>37169</v>
          </cell>
          <cell r="L33">
            <v>37054</v>
          </cell>
        </row>
        <row r="34">
          <cell r="E34" t="str">
            <v>PR</v>
          </cell>
          <cell r="G34">
            <v>36997</v>
          </cell>
          <cell r="H34">
            <v>37046</v>
          </cell>
          <cell r="I34">
            <v>37054</v>
          </cell>
          <cell r="J34">
            <v>37142</v>
          </cell>
          <cell r="K34">
            <v>37169</v>
          </cell>
          <cell r="L34">
            <v>37054</v>
          </cell>
        </row>
        <row r="35">
          <cell r="E35" t="str">
            <v>PR</v>
          </cell>
          <cell r="G35">
            <v>36997</v>
          </cell>
          <cell r="H35">
            <v>37046</v>
          </cell>
          <cell r="I35">
            <v>37054</v>
          </cell>
          <cell r="J35">
            <v>37142</v>
          </cell>
          <cell r="K35">
            <v>37169</v>
          </cell>
          <cell r="L35">
            <v>37054</v>
          </cell>
        </row>
        <row r="36">
          <cell r="E36" t="str">
            <v>PR</v>
          </cell>
          <cell r="G36">
            <v>36997</v>
          </cell>
          <cell r="H36">
            <v>37046</v>
          </cell>
          <cell r="I36">
            <v>37054</v>
          </cell>
          <cell r="J36">
            <v>37142</v>
          </cell>
          <cell r="K36">
            <v>37169</v>
          </cell>
          <cell r="L36">
            <v>37054</v>
          </cell>
        </row>
        <row r="37">
          <cell r="E37" t="str">
            <v>PR</v>
          </cell>
          <cell r="G37">
            <v>36997</v>
          </cell>
          <cell r="H37">
            <v>37046</v>
          </cell>
          <cell r="I37">
            <v>37054</v>
          </cell>
          <cell r="J37">
            <v>37142</v>
          </cell>
          <cell r="K37">
            <v>37169</v>
          </cell>
          <cell r="L37">
            <v>37054</v>
          </cell>
        </row>
        <row r="38">
          <cell r="E38" t="str">
            <v>PR</v>
          </cell>
          <cell r="G38">
            <v>36997</v>
          </cell>
          <cell r="H38">
            <v>37046</v>
          </cell>
          <cell r="I38">
            <v>37054</v>
          </cell>
          <cell r="J38">
            <v>37142</v>
          </cell>
          <cell r="K38">
            <v>37169</v>
          </cell>
          <cell r="L38">
            <v>37054</v>
          </cell>
        </row>
        <row r="39">
          <cell r="E39" t="str">
            <v>PR</v>
          </cell>
          <cell r="G39">
            <v>36997</v>
          </cell>
          <cell r="H39">
            <v>37046</v>
          </cell>
          <cell r="I39">
            <v>37054</v>
          </cell>
          <cell r="J39">
            <v>37142</v>
          </cell>
          <cell r="K39">
            <v>37169</v>
          </cell>
          <cell r="L39">
            <v>37054</v>
          </cell>
        </row>
        <row r="40">
          <cell r="E40" t="str">
            <v>PR</v>
          </cell>
          <cell r="G40">
            <v>36997</v>
          </cell>
          <cell r="H40">
            <v>37046</v>
          </cell>
          <cell r="I40">
            <v>37054</v>
          </cell>
          <cell r="J40">
            <v>37142</v>
          </cell>
          <cell r="K40">
            <v>37169</v>
          </cell>
          <cell r="L40">
            <v>37054</v>
          </cell>
        </row>
        <row r="41">
          <cell r="E41" t="str">
            <v>PR</v>
          </cell>
          <cell r="G41">
            <v>36997</v>
          </cell>
          <cell r="H41">
            <v>37046</v>
          </cell>
          <cell r="I41">
            <v>37054</v>
          </cell>
          <cell r="J41">
            <v>37142</v>
          </cell>
          <cell r="K41">
            <v>37169</v>
          </cell>
          <cell r="L41">
            <v>37054</v>
          </cell>
        </row>
        <row r="42">
          <cell r="E42" t="str">
            <v>PR</v>
          </cell>
          <cell r="G42">
            <v>36997</v>
          </cell>
          <cell r="H42">
            <v>37046</v>
          </cell>
          <cell r="I42">
            <v>37054</v>
          </cell>
          <cell r="J42">
            <v>37142</v>
          </cell>
          <cell r="K42">
            <v>37169</v>
          </cell>
          <cell r="L42">
            <v>37054</v>
          </cell>
        </row>
        <row r="43">
          <cell r="E43" t="str">
            <v>PR</v>
          </cell>
          <cell r="G43">
            <v>36997</v>
          </cell>
          <cell r="H43">
            <v>37046</v>
          </cell>
          <cell r="I43">
            <v>37054</v>
          </cell>
          <cell r="J43">
            <v>37142</v>
          </cell>
          <cell r="K43">
            <v>37169</v>
          </cell>
          <cell r="L43">
            <v>37054</v>
          </cell>
        </row>
        <row r="44">
          <cell r="E44" t="str">
            <v>PR</v>
          </cell>
          <cell r="G44">
            <v>36997</v>
          </cell>
          <cell r="H44">
            <v>37046</v>
          </cell>
          <cell r="I44">
            <v>37054</v>
          </cell>
          <cell r="J44">
            <v>37142</v>
          </cell>
          <cell r="K44">
            <v>37169</v>
          </cell>
          <cell r="L44">
            <v>37054</v>
          </cell>
        </row>
        <row r="45">
          <cell r="E45" t="str">
            <v>PR</v>
          </cell>
          <cell r="G45">
            <v>36997</v>
          </cell>
          <cell r="H45">
            <v>37046</v>
          </cell>
          <cell r="I45">
            <v>37054</v>
          </cell>
          <cell r="J45">
            <v>37142</v>
          </cell>
          <cell r="K45">
            <v>37169</v>
          </cell>
          <cell r="L45">
            <v>37054</v>
          </cell>
        </row>
        <row r="46">
          <cell r="E46" t="str">
            <v>PR</v>
          </cell>
          <cell r="G46">
            <v>36997</v>
          </cell>
          <cell r="H46">
            <v>37046</v>
          </cell>
          <cell r="I46">
            <v>37054</v>
          </cell>
          <cell r="J46">
            <v>37142</v>
          </cell>
          <cell r="K46">
            <v>37169</v>
          </cell>
          <cell r="L46">
            <v>37054</v>
          </cell>
        </row>
        <row r="47">
          <cell r="E47" t="str">
            <v>PR</v>
          </cell>
          <cell r="G47">
            <v>36997</v>
          </cell>
          <cell r="H47">
            <v>37046</v>
          </cell>
          <cell r="I47">
            <v>37054</v>
          </cell>
          <cell r="J47">
            <v>37142</v>
          </cell>
          <cell r="K47">
            <v>37169</v>
          </cell>
          <cell r="L47">
            <v>37054</v>
          </cell>
        </row>
        <row r="48">
          <cell r="E48" t="str">
            <v>PR</v>
          </cell>
          <cell r="G48">
            <v>36997</v>
          </cell>
          <cell r="H48">
            <v>37046</v>
          </cell>
          <cell r="I48">
            <v>37054</v>
          </cell>
          <cell r="J48">
            <v>37142</v>
          </cell>
          <cell r="K48">
            <v>37169</v>
          </cell>
          <cell r="L48">
            <v>37054</v>
          </cell>
        </row>
        <row r="49">
          <cell r="E49" t="str">
            <v>PR</v>
          </cell>
          <cell r="G49">
            <v>36997</v>
          </cell>
          <cell r="H49">
            <v>37046</v>
          </cell>
          <cell r="I49">
            <v>37054</v>
          </cell>
          <cell r="J49">
            <v>37142</v>
          </cell>
          <cell r="K49">
            <v>37169</v>
          </cell>
          <cell r="L49">
            <v>37054</v>
          </cell>
        </row>
        <row r="50">
          <cell r="E50" t="str">
            <v>PR</v>
          </cell>
          <cell r="G50">
            <v>36997</v>
          </cell>
          <cell r="H50">
            <v>37046</v>
          </cell>
          <cell r="I50">
            <v>37054</v>
          </cell>
          <cell r="J50">
            <v>37142</v>
          </cell>
          <cell r="K50">
            <v>37169</v>
          </cell>
          <cell r="L50">
            <v>37054</v>
          </cell>
        </row>
        <row r="51">
          <cell r="E51" t="str">
            <v>PR</v>
          </cell>
          <cell r="G51">
            <v>36997</v>
          </cell>
          <cell r="H51">
            <v>37046</v>
          </cell>
          <cell r="I51">
            <v>37054</v>
          </cell>
          <cell r="J51">
            <v>37142</v>
          </cell>
          <cell r="K51">
            <v>37169</v>
          </cell>
          <cell r="L51">
            <v>37054</v>
          </cell>
        </row>
        <row r="52">
          <cell r="E52" t="str">
            <v>PR</v>
          </cell>
          <cell r="G52">
            <v>37011</v>
          </cell>
          <cell r="H52">
            <v>37039</v>
          </cell>
          <cell r="I52">
            <v>37067</v>
          </cell>
          <cell r="J52">
            <v>37164</v>
          </cell>
          <cell r="K52">
            <v>37169</v>
          </cell>
          <cell r="L52">
            <v>37176</v>
          </cell>
        </row>
        <row r="53">
          <cell r="E53" t="str">
            <v>PR</v>
          </cell>
          <cell r="G53">
            <v>37011</v>
          </cell>
          <cell r="H53">
            <v>37039</v>
          </cell>
          <cell r="I53">
            <v>37067</v>
          </cell>
          <cell r="J53">
            <v>37164</v>
          </cell>
          <cell r="K53">
            <v>37169</v>
          </cell>
          <cell r="L53">
            <v>37176</v>
          </cell>
        </row>
        <row r="54">
          <cell r="E54" t="str">
            <v>PR</v>
          </cell>
          <cell r="G54">
            <v>37011</v>
          </cell>
          <cell r="H54">
            <v>37039</v>
          </cell>
          <cell r="I54">
            <v>37067</v>
          </cell>
          <cell r="J54">
            <v>37164</v>
          </cell>
          <cell r="K54">
            <v>37169</v>
          </cell>
          <cell r="L54">
            <v>37176</v>
          </cell>
        </row>
        <row r="55">
          <cell r="E55" t="str">
            <v>PR</v>
          </cell>
          <cell r="G55">
            <v>37011</v>
          </cell>
          <cell r="H55">
            <v>37039</v>
          </cell>
          <cell r="I55">
            <v>37067</v>
          </cell>
          <cell r="J55">
            <v>37164</v>
          </cell>
          <cell r="K55">
            <v>37169</v>
          </cell>
          <cell r="L55">
            <v>37176</v>
          </cell>
        </row>
        <row r="56">
          <cell r="E56" t="str">
            <v>PR</v>
          </cell>
          <cell r="G56">
            <v>37011</v>
          </cell>
          <cell r="H56">
            <v>37032.5</v>
          </cell>
          <cell r="I56">
            <v>37054</v>
          </cell>
          <cell r="J56">
            <v>37164</v>
          </cell>
          <cell r="K56">
            <v>37169</v>
          </cell>
          <cell r="L56">
            <v>37054</v>
          </cell>
        </row>
        <row r="57">
          <cell r="E57" t="str">
            <v>PR</v>
          </cell>
          <cell r="G57">
            <v>37011</v>
          </cell>
          <cell r="H57">
            <v>37032.5</v>
          </cell>
          <cell r="I57">
            <v>37054</v>
          </cell>
          <cell r="J57">
            <v>37164</v>
          </cell>
          <cell r="K57">
            <v>37169</v>
          </cell>
          <cell r="L57">
            <v>37054</v>
          </cell>
        </row>
        <row r="58">
          <cell r="E58" t="str">
            <v>PR</v>
          </cell>
          <cell r="G58">
            <v>37011</v>
          </cell>
          <cell r="H58">
            <v>37032.5</v>
          </cell>
          <cell r="I58">
            <v>37054</v>
          </cell>
          <cell r="J58">
            <v>37164</v>
          </cell>
          <cell r="K58">
            <v>37169</v>
          </cell>
          <cell r="L58">
            <v>37054</v>
          </cell>
        </row>
        <row r="59">
          <cell r="E59" t="str">
            <v>PR</v>
          </cell>
          <cell r="G59">
            <v>37011</v>
          </cell>
          <cell r="H59">
            <v>37032.5</v>
          </cell>
          <cell r="I59">
            <v>37054</v>
          </cell>
          <cell r="J59">
            <v>37164</v>
          </cell>
          <cell r="K59">
            <v>37169</v>
          </cell>
          <cell r="L59">
            <v>37054</v>
          </cell>
        </row>
        <row r="60">
          <cell r="E60" t="str">
            <v>PR</v>
          </cell>
          <cell r="G60">
            <v>37011</v>
          </cell>
          <cell r="H60">
            <v>37032.5</v>
          </cell>
          <cell r="I60">
            <v>37054</v>
          </cell>
          <cell r="J60">
            <v>37164</v>
          </cell>
          <cell r="K60">
            <v>37169</v>
          </cell>
          <cell r="L60">
            <v>37054</v>
          </cell>
        </row>
        <row r="61">
          <cell r="E61" t="str">
            <v>PR</v>
          </cell>
          <cell r="G61">
            <v>37011</v>
          </cell>
          <cell r="H61">
            <v>37032.5</v>
          </cell>
          <cell r="I61">
            <v>37054</v>
          </cell>
          <cell r="J61">
            <v>37164</v>
          </cell>
          <cell r="K61">
            <v>37169</v>
          </cell>
          <cell r="L61">
            <v>37054</v>
          </cell>
        </row>
        <row r="62">
          <cell r="E62" t="str">
            <v>PR</v>
          </cell>
          <cell r="G62">
            <v>37011</v>
          </cell>
          <cell r="H62">
            <v>37032.5</v>
          </cell>
          <cell r="I62">
            <v>37054</v>
          </cell>
          <cell r="J62">
            <v>37164</v>
          </cell>
          <cell r="K62">
            <v>37169</v>
          </cell>
          <cell r="L62">
            <v>37054</v>
          </cell>
        </row>
        <row r="63">
          <cell r="E63" t="str">
            <v>PR</v>
          </cell>
          <cell r="G63">
            <v>37011</v>
          </cell>
          <cell r="H63">
            <v>37032.5</v>
          </cell>
          <cell r="I63">
            <v>37054</v>
          </cell>
          <cell r="J63">
            <v>37164</v>
          </cell>
          <cell r="K63">
            <v>37169</v>
          </cell>
          <cell r="L63">
            <v>37054</v>
          </cell>
        </row>
        <row r="64">
          <cell r="E64" t="str">
            <v>PR</v>
          </cell>
          <cell r="G64">
            <v>37011</v>
          </cell>
          <cell r="H64">
            <v>37032.5</v>
          </cell>
          <cell r="I64">
            <v>37054</v>
          </cell>
          <cell r="J64">
            <v>37164</v>
          </cell>
          <cell r="K64">
            <v>37169</v>
          </cell>
          <cell r="L64">
            <v>37054</v>
          </cell>
        </row>
        <row r="65">
          <cell r="E65" t="str">
            <v>PR</v>
          </cell>
          <cell r="G65">
            <v>37011</v>
          </cell>
          <cell r="H65">
            <v>37032.5</v>
          </cell>
          <cell r="I65">
            <v>37054</v>
          </cell>
          <cell r="J65">
            <v>37164</v>
          </cell>
          <cell r="K65">
            <v>37169</v>
          </cell>
          <cell r="L65">
            <v>37054</v>
          </cell>
        </row>
        <row r="66">
          <cell r="E66" t="str">
            <v>PR</v>
          </cell>
          <cell r="G66">
            <v>37011</v>
          </cell>
          <cell r="H66">
            <v>37032.5</v>
          </cell>
          <cell r="I66">
            <v>37054</v>
          </cell>
          <cell r="J66">
            <v>37164</v>
          </cell>
          <cell r="K66">
            <v>37169</v>
          </cell>
          <cell r="L66">
            <v>37054</v>
          </cell>
        </row>
        <row r="67">
          <cell r="E67" t="str">
            <v>PR</v>
          </cell>
          <cell r="G67">
            <v>37011</v>
          </cell>
          <cell r="H67">
            <v>37032.5</v>
          </cell>
          <cell r="I67">
            <v>37054</v>
          </cell>
          <cell r="J67">
            <v>37164</v>
          </cell>
          <cell r="K67">
            <v>37169</v>
          </cell>
          <cell r="L67">
            <v>37054</v>
          </cell>
        </row>
        <row r="68">
          <cell r="E68" t="str">
            <v>PR</v>
          </cell>
          <cell r="G68">
            <v>37011</v>
          </cell>
          <cell r="H68">
            <v>37032.5</v>
          </cell>
          <cell r="I68">
            <v>37054</v>
          </cell>
          <cell r="J68">
            <v>37164</v>
          </cell>
          <cell r="K68">
            <v>37169</v>
          </cell>
          <cell r="L68">
            <v>37054</v>
          </cell>
        </row>
        <row r="69">
          <cell r="E69" t="str">
            <v>PR</v>
          </cell>
          <cell r="G69">
            <v>37011</v>
          </cell>
          <cell r="H69">
            <v>37032.5</v>
          </cell>
          <cell r="I69">
            <v>37054</v>
          </cell>
          <cell r="J69">
            <v>37164</v>
          </cell>
          <cell r="K69">
            <v>37169</v>
          </cell>
          <cell r="L69">
            <v>37054</v>
          </cell>
        </row>
        <row r="70">
          <cell r="E70" t="str">
            <v>PR</v>
          </cell>
          <cell r="G70">
            <v>37011</v>
          </cell>
          <cell r="H70">
            <v>37032.5</v>
          </cell>
          <cell r="I70">
            <v>37054</v>
          </cell>
          <cell r="J70">
            <v>37164</v>
          </cell>
          <cell r="K70">
            <v>37169</v>
          </cell>
          <cell r="L70">
            <v>37054</v>
          </cell>
        </row>
        <row r="71">
          <cell r="E71" t="str">
            <v>PR</v>
          </cell>
          <cell r="G71">
            <v>37011</v>
          </cell>
          <cell r="H71">
            <v>37032.5</v>
          </cell>
          <cell r="I71">
            <v>37054</v>
          </cell>
          <cell r="J71">
            <v>37164</v>
          </cell>
          <cell r="K71">
            <v>37169</v>
          </cell>
          <cell r="L71">
            <v>37054</v>
          </cell>
        </row>
        <row r="72">
          <cell r="E72" t="str">
            <v>PR</v>
          </cell>
          <cell r="G72">
            <v>37011</v>
          </cell>
          <cell r="H72">
            <v>37032.5</v>
          </cell>
          <cell r="I72">
            <v>37054</v>
          </cell>
          <cell r="J72">
            <v>37164</v>
          </cell>
          <cell r="K72">
            <v>37169</v>
          </cell>
          <cell r="L72">
            <v>37054</v>
          </cell>
        </row>
        <row r="73">
          <cell r="E73" t="str">
            <v>PR</v>
          </cell>
          <cell r="G73">
            <v>37011</v>
          </cell>
          <cell r="H73">
            <v>37032.5</v>
          </cell>
          <cell r="I73">
            <v>37054</v>
          </cell>
          <cell r="J73">
            <v>37164</v>
          </cell>
          <cell r="K73">
            <v>37169</v>
          </cell>
          <cell r="L73">
            <v>37054</v>
          </cell>
        </row>
        <row r="74">
          <cell r="E74" t="str">
            <v>PR</v>
          </cell>
          <cell r="G74">
            <v>37011</v>
          </cell>
          <cell r="H74">
            <v>37032.5</v>
          </cell>
          <cell r="I74">
            <v>37054</v>
          </cell>
          <cell r="J74">
            <v>37164</v>
          </cell>
          <cell r="K74">
            <v>37169</v>
          </cell>
          <cell r="L74">
            <v>37054</v>
          </cell>
        </row>
        <row r="75">
          <cell r="E75" t="str">
            <v>PR</v>
          </cell>
          <cell r="G75">
            <v>37011</v>
          </cell>
          <cell r="H75">
            <v>37032.5</v>
          </cell>
          <cell r="I75">
            <v>37054</v>
          </cell>
          <cell r="J75">
            <v>37164</v>
          </cell>
          <cell r="K75">
            <v>37169</v>
          </cell>
          <cell r="L75">
            <v>37054</v>
          </cell>
        </row>
        <row r="76">
          <cell r="E76" t="str">
            <v>PR</v>
          </cell>
          <cell r="G76">
            <v>37011</v>
          </cell>
          <cell r="H76">
            <v>37032.5</v>
          </cell>
          <cell r="I76">
            <v>37054</v>
          </cell>
          <cell r="J76">
            <v>37164</v>
          </cell>
          <cell r="K76">
            <v>37169</v>
          </cell>
          <cell r="L76">
            <v>37054</v>
          </cell>
        </row>
        <row r="77">
          <cell r="E77" t="str">
            <v>PR</v>
          </cell>
          <cell r="G77">
            <v>37011</v>
          </cell>
          <cell r="H77">
            <v>37032.5</v>
          </cell>
          <cell r="I77">
            <v>37054</v>
          </cell>
          <cell r="J77">
            <v>37164</v>
          </cell>
          <cell r="K77">
            <v>37169</v>
          </cell>
          <cell r="L77">
            <v>37054</v>
          </cell>
        </row>
        <row r="78">
          <cell r="E78" t="str">
            <v>PR</v>
          </cell>
          <cell r="G78">
            <v>36996</v>
          </cell>
          <cell r="H78">
            <v>37025</v>
          </cell>
          <cell r="I78">
            <v>37054</v>
          </cell>
          <cell r="J78">
            <v>37164</v>
          </cell>
          <cell r="K78">
            <v>37169</v>
          </cell>
          <cell r="L78">
            <v>37054</v>
          </cell>
        </row>
        <row r="79">
          <cell r="E79" t="str">
            <v>PR</v>
          </cell>
          <cell r="G79">
            <v>36996</v>
          </cell>
          <cell r="H79">
            <v>37025</v>
          </cell>
          <cell r="I79">
            <v>37054</v>
          </cell>
          <cell r="J79">
            <v>37164</v>
          </cell>
          <cell r="K79">
            <v>37169</v>
          </cell>
          <cell r="L79">
            <v>37054</v>
          </cell>
        </row>
        <row r="80">
          <cell r="E80" t="str">
            <v>PR</v>
          </cell>
          <cell r="G80">
            <v>37011</v>
          </cell>
          <cell r="H80">
            <v>37032.5</v>
          </cell>
          <cell r="I80">
            <v>37054</v>
          </cell>
          <cell r="J80">
            <v>37164</v>
          </cell>
          <cell r="K80">
            <v>37169</v>
          </cell>
          <cell r="L80">
            <v>37054</v>
          </cell>
        </row>
        <row r="81">
          <cell r="E81" t="str">
            <v>PR</v>
          </cell>
          <cell r="G81">
            <v>37011</v>
          </cell>
          <cell r="H81">
            <v>37032.5</v>
          </cell>
          <cell r="I81">
            <v>37054</v>
          </cell>
          <cell r="J81">
            <v>37164</v>
          </cell>
          <cell r="K81">
            <v>37169</v>
          </cell>
          <cell r="L81">
            <v>37054</v>
          </cell>
        </row>
        <row r="82">
          <cell r="E82" t="str">
            <v>PR</v>
          </cell>
          <cell r="G82">
            <v>37011</v>
          </cell>
          <cell r="H82">
            <v>37032.5</v>
          </cell>
          <cell r="I82">
            <v>37054</v>
          </cell>
          <cell r="J82">
            <v>37164</v>
          </cell>
          <cell r="K82">
            <v>37169</v>
          </cell>
          <cell r="L82">
            <v>37054</v>
          </cell>
        </row>
        <row r="83">
          <cell r="E83" t="str">
            <v>PR</v>
          </cell>
          <cell r="G83">
            <v>37011</v>
          </cell>
          <cell r="H83">
            <v>37032.5</v>
          </cell>
          <cell r="I83">
            <v>37054</v>
          </cell>
          <cell r="J83">
            <v>37164</v>
          </cell>
          <cell r="K83">
            <v>37169</v>
          </cell>
          <cell r="L83">
            <v>37054</v>
          </cell>
        </row>
        <row r="84">
          <cell r="E84" t="str">
            <v>PR</v>
          </cell>
          <cell r="G84">
            <v>37011</v>
          </cell>
          <cell r="H84">
            <v>37032.5</v>
          </cell>
          <cell r="I84">
            <v>37054</v>
          </cell>
          <cell r="J84">
            <v>37164</v>
          </cell>
          <cell r="K84">
            <v>37169</v>
          </cell>
          <cell r="L84">
            <v>37054</v>
          </cell>
        </row>
        <row r="85">
          <cell r="E85" t="str">
            <v>PR</v>
          </cell>
          <cell r="G85">
            <v>37011</v>
          </cell>
          <cell r="H85">
            <v>37032.5</v>
          </cell>
          <cell r="I85">
            <v>37054</v>
          </cell>
          <cell r="J85">
            <v>37164</v>
          </cell>
          <cell r="K85">
            <v>37169</v>
          </cell>
          <cell r="L85">
            <v>37054</v>
          </cell>
        </row>
        <row r="86">
          <cell r="E86" t="str">
            <v>PR</v>
          </cell>
          <cell r="G86">
            <v>37011</v>
          </cell>
          <cell r="H86">
            <v>37032.5</v>
          </cell>
          <cell r="I86">
            <v>37054</v>
          </cell>
          <cell r="J86">
            <v>37164</v>
          </cell>
          <cell r="K86">
            <v>37169</v>
          </cell>
          <cell r="L86">
            <v>37054</v>
          </cell>
        </row>
        <row r="87">
          <cell r="E87" t="str">
            <v>PR</v>
          </cell>
          <cell r="G87">
            <v>36996</v>
          </cell>
          <cell r="H87">
            <v>37025</v>
          </cell>
          <cell r="I87">
            <v>37054</v>
          </cell>
          <cell r="J87">
            <v>37164</v>
          </cell>
          <cell r="K87">
            <v>37169</v>
          </cell>
          <cell r="L87">
            <v>37054</v>
          </cell>
        </row>
        <row r="88">
          <cell r="E88" t="str">
            <v>PR</v>
          </cell>
          <cell r="G88">
            <v>37011</v>
          </cell>
          <cell r="H88">
            <v>37032.5</v>
          </cell>
          <cell r="I88">
            <v>37054</v>
          </cell>
          <cell r="J88">
            <v>37164</v>
          </cell>
          <cell r="K88">
            <v>37169</v>
          </cell>
          <cell r="L88">
            <v>37054</v>
          </cell>
        </row>
        <row r="89">
          <cell r="E89" t="str">
            <v>PR</v>
          </cell>
          <cell r="G89">
            <v>37011</v>
          </cell>
          <cell r="H89">
            <v>37032.5</v>
          </cell>
          <cell r="I89">
            <v>37054</v>
          </cell>
          <cell r="J89">
            <v>37164</v>
          </cell>
          <cell r="K89">
            <v>37169</v>
          </cell>
          <cell r="L89">
            <v>37054</v>
          </cell>
        </row>
        <row r="90">
          <cell r="E90" t="str">
            <v>PR</v>
          </cell>
          <cell r="G90">
            <v>37011</v>
          </cell>
          <cell r="H90">
            <v>37032.5</v>
          </cell>
          <cell r="I90">
            <v>37054</v>
          </cell>
          <cell r="J90">
            <v>37164</v>
          </cell>
          <cell r="K90">
            <v>37169</v>
          </cell>
          <cell r="L90">
            <v>37054</v>
          </cell>
        </row>
        <row r="91">
          <cell r="E91" t="str">
            <v>PR</v>
          </cell>
          <cell r="G91">
            <v>37011</v>
          </cell>
          <cell r="H91">
            <v>37032.5</v>
          </cell>
          <cell r="I91">
            <v>37054</v>
          </cell>
          <cell r="J91">
            <v>37164</v>
          </cell>
          <cell r="K91">
            <v>37169</v>
          </cell>
          <cell r="L91">
            <v>37054</v>
          </cell>
        </row>
        <row r="92">
          <cell r="E92" t="str">
            <v>PR</v>
          </cell>
          <cell r="G92">
            <v>37011</v>
          </cell>
          <cell r="H92">
            <v>37032.5</v>
          </cell>
          <cell r="I92">
            <v>37054</v>
          </cell>
          <cell r="J92">
            <v>37164</v>
          </cell>
          <cell r="K92">
            <v>37169</v>
          </cell>
          <cell r="L92">
            <v>37054</v>
          </cell>
        </row>
        <row r="93">
          <cell r="E93" t="str">
            <v>PR</v>
          </cell>
          <cell r="G93">
            <v>37011</v>
          </cell>
          <cell r="H93">
            <v>37032.5</v>
          </cell>
          <cell r="I93">
            <v>37054</v>
          </cell>
          <cell r="J93">
            <v>37164</v>
          </cell>
          <cell r="K93">
            <v>37169</v>
          </cell>
          <cell r="L93">
            <v>37054</v>
          </cell>
        </row>
        <row r="94">
          <cell r="E94" t="str">
            <v>PR</v>
          </cell>
          <cell r="G94">
            <v>37011</v>
          </cell>
          <cell r="H94">
            <v>37032.5</v>
          </cell>
          <cell r="I94">
            <v>37054</v>
          </cell>
          <cell r="J94">
            <v>37164</v>
          </cell>
          <cell r="K94">
            <v>37169</v>
          </cell>
          <cell r="L94">
            <v>37054</v>
          </cell>
        </row>
        <row r="95">
          <cell r="E95" t="str">
            <v>PR</v>
          </cell>
          <cell r="G95">
            <v>37011</v>
          </cell>
          <cell r="H95">
            <v>37032.5</v>
          </cell>
          <cell r="I95">
            <v>37054</v>
          </cell>
          <cell r="J95">
            <v>37164</v>
          </cell>
          <cell r="K95">
            <v>37169</v>
          </cell>
          <cell r="L95">
            <v>37054</v>
          </cell>
        </row>
        <row r="96">
          <cell r="E96" t="str">
            <v>PR</v>
          </cell>
          <cell r="G96">
            <v>37011</v>
          </cell>
          <cell r="H96">
            <v>37032.5</v>
          </cell>
          <cell r="I96">
            <v>37054</v>
          </cell>
          <cell r="J96">
            <v>37164</v>
          </cell>
          <cell r="K96">
            <v>37169</v>
          </cell>
          <cell r="L96">
            <v>37054</v>
          </cell>
        </row>
        <row r="97">
          <cell r="E97" t="str">
            <v>PR</v>
          </cell>
          <cell r="G97">
            <v>37011</v>
          </cell>
          <cell r="H97">
            <v>37032.5</v>
          </cell>
          <cell r="I97">
            <v>37054</v>
          </cell>
          <cell r="J97">
            <v>37164</v>
          </cell>
          <cell r="K97">
            <v>37169</v>
          </cell>
          <cell r="L97">
            <v>37054</v>
          </cell>
        </row>
        <row r="98">
          <cell r="E98" t="str">
            <v>PR</v>
          </cell>
          <cell r="G98">
            <v>37011</v>
          </cell>
          <cell r="H98">
            <v>37032.5</v>
          </cell>
          <cell r="I98">
            <v>37054</v>
          </cell>
          <cell r="J98">
            <v>37164</v>
          </cell>
          <cell r="K98">
            <v>37169</v>
          </cell>
          <cell r="L98">
            <v>37054</v>
          </cell>
        </row>
        <row r="99">
          <cell r="E99" t="str">
            <v>PR</v>
          </cell>
          <cell r="G99">
            <v>37011</v>
          </cell>
          <cell r="H99">
            <v>37032.5</v>
          </cell>
          <cell r="I99">
            <v>37054</v>
          </cell>
          <cell r="J99">
            <v>37164</v>
          </cell>
          <cell r="K99">
            <v>37169</v>
          </cell>
          <cell r="L99">
            <v>37054</v>
          </cell>
        </row>
        <row r="100">
          <cell r="E100" t="str">
            <v>PR</v>
          </cell>
          <cell r="G100">
            <v>37011</v>
          </cell>
          <cell r="H100">
            <v>37023.5</v>
          </cell>
          <cell r="I100">
            <v>37036</v>
          </cell>
          <cell r="J100">
            <v>37164</v>
          </cell>
          <cell r="K100">
            <v>37169</v>
          </cell>
          <cell r="L100">
            <v>37054</v>
          </cell>
        </row>
        <row r="101">
          <cell r="E101" t="str">
            <v>PR</v>
          </cell>
          <cell r="G101">
            <v>37011</v>
          </cell>
          <cell r="H101">
            <v>37032.5</v>
          </cell>
          <cell r="I101">
            <v>37054</v>
          </cell>
          <cell r="J101">
            <v>37164</v>
          </cell>
          <cell r="K101">
            <v>37169</v>
          </cell>
          <cell r="L101">
            <v>37054</v>
          </cell>
        </row>
        <row r="102">
          <cell r="E102" t="str">
            <v>PR</v>
          </cell>
          <cell r="G102">
            <v>37011</v>
          </cell>
          <cell r="H102">
            <v>37032.5</v>
          </cell>
          <cell r="I102">
            <v>37054</v>
          </cell>
          <cell r="J102">
            <v>37164</v>
          </cell>
          <cell r="K102">
            <v>37169</v>
          </cell>
          <cell r="L102">
            <v>37054</v>
          </cell>
        </row>
        <row r="103">
          <cell r="E103" t="str">
            <v>PR</v>
          </cell>
          <cell r="G103">
            <v>37011</v>
          </cell>
          <cell r="H103">
            <v>37023.5</v>
          </cell>
          <cell r="I103">
            <v>37036</v>
          </cell>
          <cell r="J103">
            <v>37164</v>
          </cell>
          <cell r="K103">
            <v>37169</v>
          </cell>
          <cell r="L103">
            <v>37054</v>
          </cell>
        </row>
        <row r="104">
          <cell r="E104" t="str">
            <v>PR</v>
          </cell>
          <cell r="G104">
            <v>37011</v>
          </cell>
          <cell r="H104">
            <v>37032.5</v>
          </cell>
          <cell r="I104">
            <v>37054</v>
          </cell>
          <cell r="J104">
            <v>37164</v>
          </cell>
          <cell r="K104">
            <v>37169</v>
          </cell>
          <cell r="L104">
            <v>37054</v>
          </cell>
        </row>
        <row r="105">
          <cell r="E105" t="str">
            <v>PR</v>
          </cell>
          <cell r="G105">
            <v>37011</v>
          </cell>
          <cell r="H105">
            <v>37032.5</v>
          </cell>
          <cell r="I105">
            <v>37054</v>
          </cell>
          <cell r="J105">
            <v>37164</v>
          </cell>
          <cell r="K105">
            <v>37169</v>
          </cell>
          <cell r="L105">
            <v>37054</v>
          </cell>
        </row>
        <row r="106">
          <cell r="E106" t="str">
            <v>PR</v>
          </cell>
          <cell r="G106">
            <v>37011</v>
          </cell>
          <cell r="H106">
            <v>37032.5</v>
          </cell>
          <cell r="I106">
            <v>37054</v>
          </cell>
          <cell r="J106">
            <v>37164</v>
          </cell>
          <cell r="K106">
            <v>37169</v>
          </cell>
          <cell r="L106">
            <v>37054</v>
          </cell>
        </row>
        <row r="107">
          <cell r="E107" t="str">
            <v>PR</v>
          </cell>
          <cell r="G107">
            <v>37011</v>
          </cell>
          <cell r="H107">
            <v>37032.5</v>
          </cell>
          <cell r="I107">
            <v>37054</v>
          </cell>
          <cell r="J107">
            <v>37164</v>
          </cell>
          <cell r="K107">
            <v>37169</v>
          </cell>
          <cell r="L107">
            <v>37054</v>
          </cell>
        </row>
        <row r="108">
          <cell r="E108" t="str">
            <v>PR</v>
          </cell>
          <cell r="G108">
            <v>37011</v>
          </cell>
          <cell r="H108">
            <v>37032.5</v>
          </cell>
          <cell r="I108">
            <v>37054</v>
          </cell>
          <cell r="J108">
            <v>37164</v>
          </cell>
          <cell r="K108">
            <v>37169</v>
          </cell>
          <cell r="L108">
            <v>37054</v>
          </cell>
        </row>
        <row r="109">
          <cell r="E109" t="str">
            <v>PR</v>
          </cell>
          <cell r="G109">
            <v>37011</v>
          </cell>
          <cell r="H109">
            <v>37032.5</v>
          </cell>
          <cell r="I109">
            <v>37054</v>
          </cell>
          <cell r="J109">
            <v>37164</v>
          </cell>
          <cell r="K109">
            <v>37169</v>
          </cell>
          <cell r="L109">
            <v>37054</v>
          </cell>
        </row>
        <row r="110">
          <cell r="E110" t="str">
            <v>PR</v>
          </cell>
          <cell r="G110">
            <v>37011</v>
          </cell>
          <cell r="H110">
            <v>37032.5</v>
          </cell>
          <cell r="I110">
            <v>37054</v>
          </cell>
          <cell r="J110">
            <v>37164</v>
          </cell>
          <cell r="K110">
            <v>37169</v>
          </cell>
          <cell r="L110">
            <v>37054</v>
          </cell>
        </row>
        <row r="111">
          <cell r="E111" t="str">
            <v>PR</v>
          </cell>
          <cell r="G111">
            <v>37011</v>
          </cell>
          <cell r="H111">
            <v>37032.5</v>
          </cell>
          <cell r="I111">
            <v>37054</v>
          </cell>
          <cell r="J111">
            <v>37164</v>
          </cell>
          <cell r="K111">
            <v>37169</v>
          </cell>
          <cell r="L111">
            <v>37054</v>
          </cell>
        </row>
        <row r="112">
          <cell r="E112" t="str">
            <v>PR</v>
          </cell>
          <cell r="G112">
            <v>37011</v>
          </cell>
          <cell r="H112">
            <v>37032.5</v>
          </cell>
          <cell r="I112">
            <v>37054</v>
          </cell>
          <cell r="J112">
            <v>37164</v>
          </cell>
          <cell r="K112">
            <v>37169</v>
          </cell>
          <cell r="L112">
            <v>37054</v>
          </cell>
        </row>
        <row r="113">
          <cell r="E113" t="str">
            <v>PR</v>
          </cell>
          <cell r="G113">
            <v>37011</v>
          </cell>
          <cell r="H113">
            <v>37032.5</v>
          </cell>
          <cell r="I113">
            <v>37054</v>
          </cell>
          <cell r="J113">
            <v>37164</v>
          </cell>
          <cell r="K113">
            <v>37169</v>
          </cell>
          <cell r="L113">
            <v>37054</v>
          </cell>
        </row>
        <row r="114">
          <cell r="E114" t="str">
            <v>PR</v>
          </cell>
          <cell r="G114">
            <v>37011</v>
          </cell>
          <cell r="H114">
            <v>37032.5</v>
          </cell>
          <cell r="I114">
            <v>37054</v>
          </cell>
          <cell r="J114">
            <v>37164</v>
          </cell>
          <cell r="K114">
            <v>37169</v>
          </cell>
          <cell r="L114">
            <v>37054</v>
          </cell>
        </row>
        <row r="115">
          <cell r="E115" t="str">
            <v>PR</v>
          </cell>
          <cell r="G115">
            <v>36996</v>
          </cell>
          <cell r="H115">
            <v>37025</v>
          </cell>
          <cell r="I115">
            <v>37054</v>
          </cell>
          <cell r="J115">
            <v>37164</v>
          </cell>
          <cell r="K115">
            <v>37169</v>
          </cell>
          <cell r="L115">
            <v>37054</v>
          </cell>
        </row>
        <row r="116">
          <cell r="E116" t="str">
            <v>PR</v>
          </cell>
          <cell r="G116">
            <v>37011</v>
          </cell>
          <cell r="H116">
            <v>37032.5</v>
          </cell>
          <cell r="I116">
            <v>37054</v>
          </cell>
          <cell r="J116">
            <v>37164</v>
          </cell>
          <cell r="K116">
            <v>37169</v>
          </cell>
          <cell r="L116">
            <v>37054</v>
          </cell>
        </row>
        <row r="117">
          <cell r="E117" t="str">
            <v>PR</v>
          </cell>
          <cell r="G117">
            <v>37011</v>
          </cell>
          <cell r="H117">
            <v>37032.5</v>
          </cell>
          <cell r="I117">
            <v>37054</v>
          </cell>
          <cell r="J117">
            <v>37164</v>
          </cell>
          <cell r="K117">
            <v>37169</v>
          </cell>
          <cell r="L117">
            <v>37054</v>
          </cell>
        </row>
        <row r="118">
          <cell r="E118" t="str">
            <v>PR</v>
          </cell>
          <cell r="G118">
            <v>37029</v>
          </cell>
          <cell r="H118">
            <v>37039</v>
          </cell>
          <cell r="I118">
            <v>37049</v>
          </cell>
          <cell r="J118">
            <v>37164</v>
          </cell>
          <cell r="K118">
            <v>37169</v>
          </cell>
          <cell r="L118">
            <v>37176</v>
          </cell>
        </row>
        <row r="119">
          <cell r="E119" t="str">
            <v>PR</v>
          </cell>
          <cell r="G119">
            <v>37081</v>
          </cell>
          <cell r="H119">
            <v>37100</v>
          </cell>
          <cell r="I119">
            <v>37107</v>
          </cell>
          <cell r="J119">
            <v>37164</v>
          </cell>
          <cell r="K119">
            <v>37169</v>
          </cell>
          <cell r="L119">
            <v>37176</v>
          </cell>
        </row>
        <row r="120">
          <cell r="E120" t="str">
            <v>PR</v>
          </cell>
          <cell r="G120">
            <v>37104</v>
          </cell>
          <cell r="H120">
            <v>37116</v>
          </cell>
          <cell r="I120">
            <v>37128</v>
          </cell>
          <cell r="J120">
            <v>37148.5</v>
          </cell>
          <cell r="K120">
            <v>37169</v>
          </cell>
          <cell r="L120">
            <v>37176</v>
          </cell>
        </row>
        <row r="121">
          <cell r="E121" t="str">
            <v>PR</v>
          </cell>
          <cell r="G121">
            <v>37104</v>
          </cell>
          <cell r="H121">
            <v>37116</v>
          </cell>
          <cell r="I121">
            <v>37128</v>
          </cell>
          <cell r="J121">
            <v>37148.5</v>
          </cell>
          <cell r="K121">
            <v>37169</v>
          </cell>
          <cell r="L121">
            <v>37176</v>
          </cell>
        </row>
        <row r="122">
          <cell r="E122" t="str">
            <v>PR</v>
          </cell>
          <cell r="G122">
            <v>37104</v>
          </cell>
          <cell r="H122">
            <v>37116</v>
          </cell>
          <cell r="I122">
            <v>37128</v>
          </cell>
          <cell r="J122">
            <v>37148.5</v>
          </cell>
          <cell r="K122">
            <v>37169</v>
          </cell>
          <cell r="L122">
            <v>37176</v>
          </cell>
        </row>
        <row r="123">
          <cell r="E123" t="str">
            <v>PR</v>
          </cell>
          <cell r="G123">
            <v>37104</v>
          </cell>
          <cell r="H123">
            <v>37116</v>
          </cell>
          <cell r="I123">
            <v>37128</v>
          </cell>
          <cell r="J123">
            <v>37148.5</v>
          </cell>
          <cell r="K123">
            <v>37169</v>
          </cell>
          <cell r="L123">
            <v>37176</v>
          </cell>
        </row>
        <row r="124">
          <cell r="E124" t="str">
            <v>PR</v>
          </cell>
          <cell r="G124">
            <v>37104</v>
          </cell>
          <cell r="H124">
            <v>37136.5</v>
          </cell>
          <cell r="I124">
            <v>37169</v>
          </cell>
          <cell r="J124">
            <v>37169</v>
          </cell>
          <cell r="K124">
            <v>37169</v>
          </cell>
          <cell r="L124">
            <v>37176</v>
          </cell>
        </row>
        <row r="125">
          <cell r="E125" t="str">
            <v>PR</v>
          </cell>
          <cell r="G125">
            <v>37025</v>
          </cell>
          <cell r="H125">
            <v>37094.5</v>
          </cell>
          <cell r="I125">
            <v>37164</v>
          </cell>
          <cell r="J125">
            <v>37166.5</v>
          </cell>
          <cell r="K125">
            <v>37169</v>
          </cell>
          <cell r="L125">
            <v>37176</v>
          </cell>
        </row>
        <row r="126">
          <cell r="E126" t="str">
            <v>PR</v>
          </cell>
          <cell r="G126">
            <v>37012</v>
          </cell>
          <cell r="H126">
            <v>37135</v>
          </cell>
          <cell r="I126">
            <v>37164</v>
          </cell>
          <cell r="J126">
            <v>37166.5</v>
          </cell>
          <cell r="K126">
            <v>37169</v>
          </cell>
          <cell r="L126">
            <v>37176</v>
          </cell>
        </row>
        <row r="132">
          <cell r="G132" t="str">
            <v xml:space="preserve"> </v>
          </cell>
          <cell r="I132" t="str">
            <v xml:space="preserve"> </v>
          </cell>
        </row>
        <row r="133">
          <cell r="E133" t="str">
            <v>SA</v>
          </cell>
          <cell r="G133">
            <v>37043</v>
          </cell>
          <cell r="H133">
            <v>37113</v>
          </cell>
          <cell r="I133">
            <v>37120</v>
          </cell>
          <cell r="J133">
            <v>37146</v>
          </cell>
          <cell r="K133">
            <v>37169</v>
          </cell>
          <cell r="L133">
            <v>37176</v>
          </cell>
        </row>
        <row r="134">
          <cell r="E134" t="str">
            <v>SA</v>
          </cell>
          <cell r="G134">
            <v>37043</v>
          </cell>
          <cell r="H134">
            <v>37113</v>
          </cell>
          <cell r="I134">
            <v>37120</v>
          </cell>
          <cell r="J134">
            <v>37146</v>
          </cell>
          <cell r="K134">
            <v>37169</v>
          </cell>
          <cell r="L134">
            <v>37176</v>
          </cell>
        </row>
        <row r="135">
          <cell r="E135" t="str">
            <v>SA</v>
          </cell>
          <cell r="G135">
            <v>37043</v>
          </cell>
          <cell r="H135">
            <v>37083</v>
          </cell>
          <cell r="I135">
            <v>37091</v>
          </cell>
          <cell r="J135">
            <v>37120</v>
          </cell>
          <cell r="K135">
            <v>37169</v>
          </cell>
          <cell r="L135">
            <v>37176</v>
          </cell>
        </row>
        <row r="136">
          <cell r="E136" t="str">
            <v>SA</v>
          </cell>
          <cell r="G136">
            <v>37021</v>
          </cell>
          <cell r="H136">
            <v>37082</v>
          </cell>
          <cell r="I136">
            <v>37092</v>
          </cell>
          <cell r="J136">
            <v>37126</v>
          </cell>
          <cell r="K136">
            <v>37155</v>
          </cell>
          <cell r="L136">
            <v>37176</v>
          </cell>
        </row>
        <row r="137">
          <cell r="E137" t="str">
            <v>SA</v>
          </cell>
          <cell r="G137">
            <v>37021</v>
          </cell>
          <cell r="H137">
            <v>37070</v>
          </cell>
          <cell r="I137">
            <v>37078</v>
          </cell>
          <cell r="J137">
            <v>37120</v>
          </cell>
          <cell r="K137">
            <v>37152</v>
          </cell>
          <cell r="L137">
            <v>37176</v>
          </cell>
        </row>
        <row r="138">
          <cell r="E138" t="str">
            <v>SA</v>
          </cell>
          <cell r="G138">
            <v>37021</v>
          </cell>
          <cell r="H138">
            <v>37070</v>
          </cell>
          <cell r="I138">
            <v>37078</v>
          </cell>
          <cell r="J138">
            <v>37120</v>
          </cell>
          <cell r="K138">
            <v>37152</v>
          </cell>
          <cell r="L138">
            <v>37176</v>
          </cell>
        </row>
        <row r="139">
          <cell r="E139" t="str">
            <v>SA</v>
          </cell>
          <cell r="G139">
            <v>37021</v>
          </cell>
          <cell r="H139">
            <v>37070</v>
          </cell>
          <cell r="I139">
            <v>37078</v>
          </cell>
          <cell r="J139">
            <v>37120</v>
          </cell>
          <cell r="K139">
            <v>37152</v>
          </cell>
          <cell r="L139">
            <v>37176</v>
          </cell>
        </row>
        <row r="140">
          <cell r="E140" t="str">
            <v>SA</v>
          </cell>
          <cell r="G140">
            <v>37021</v>
          </cell>
          <cell r="H140">
            <v>37070</v>
          </cell>
          <cell r="I140">
            <v>37078</v>
          </cell>
          <cell r="J140">
            <v>37120</v>
          </cell>
          <cell r="K140">
            <v>37152</v>
          </cell>
          <cell r="L140">
            <v>37176</v>
          </cell>
        </row>
        <row r="141">
          <cell r="E141" t="str">
            <v>SA</v>
          </cell>
          <cell r="G141">
            <v>37021</v>
          </cell>
          <cell r="H141">
            <v>37070</v>
          </cell>
          <cell r="I141">
            <v>37078</v>
          </cell>
          <cell r="J141">
            <v>37120</v>
          </cell>
          <cell r="K141">
            <v>37152</v>
          </cell>
          <cell r="L141">
            <v>37176</v>
          </cell>
        </row>
        <row r="142">
          <cell r="E142" t="str">
            <v>SA</v>
          </cell>
          <cell r="G142">
            <v>37021</v>
          </cell>
          <cell r="H142">
            <v>37070</v>
          </cell>
          <cell r="I142">
            <v>37078</v>
          </cell>
          <cell r="J142">
            <v>37120</v>
          </cell>
          <cell r="K142">
            <v>37152</v>
          </cell>
          <cell r="L142">
            <v>37176</v>
          </cell>
        </row>
        <row r="143">
          <cell r="E143" t="str">
            <v>SA</v>
          </cell>
          <cell r="G143">
            <v>37021</v>
          </cell>
          <cell r="H143">
            <v>37070</v>
          </cell>
          <cell r="I143">
            <v>37078</v>
          </cell>
          <cell r="J143">
            <v>37120</v>
          </cell>
          <cell r="K143">
            <v>37152</v>
          </cell>
          <cell r="L143">
            <v>37176</v>
          </cell>
        </row>
        <row r="144">
          <cell r="E144" t="str">
            <v>SA</v>
          </cell>
          <cell r="G144">
            <v>37021</v>
          </cell>
          <cell r="H144">
            <v>37070</v>
          </cell>
          <cell r="I144">
            <v>37078</v>
          </cell>
          <cell r="J144">
            <v>37120</v>
          </cell>
          <cell r="K144">
            <v>37152</v>
          </cell>
          <cell r="L144">
            <v>37176</v>
          </cell>
        </row>
        <row r="145">
          <cell r="E145" t="str">
            <v>SA</v>
          </cell>
          <cell r="G145">
            <v>37021</v>
          </cell>
          <cell r="H145">
            <v>37070</v>
          </cell>
          <cell r="I145">
            <v>37078</v>
          </cell>
          <cell r="J145">
            <v>37120</v>
          </cell>
          <cell r="K145">
            <v>37152</v>
          </cell>
          <cell r="L145">
            <v>37176</v>
          </cell>
        </row>
        <row r="146">
          <cell r="E146" t="str">
            <v>SA</v>
          </cell>
          <cell r="G146">
            <v>37021</v>
          </cell>
          <cell r="H146">
            <v>37070</v>
          </cell>
          <cell r="I146">
            <v>37078</v>
          </cell>
          <cell r="J146">
            <v>37120</v>
          </cell>
          <cell r="K146">
            <v>37152</v>
          </cell>
          <cell r="L146">
            <v>37176</v>
          </cell>
        </row>
        <row r="147">
          <cell r="E147" t="str">
            <v>SA</v>
          </cell>
          <cell r="G147">
            <v>37021</v>
          </cell>
          <cell r="H147">
            <v>37070</v>
          </cell>
          <cell r="I147">
            <v>37078</v>
          </cell>
          <cell r="J147">
            <v>37120</v>
          </cell>
          <cell r="K147">
            <v>37152</v>
          </cell>
          <cell r="L147">
            <v>37176</v>
          </cell>
        </row>
        <row r="148">
          <cell r="E148" t="str">
            <v>SA</v>
          </cell>
          <cell r="G148">
            <v>37021</v>
          </cell>
          <cell r="H148">
            <v>37070</v>
          </cell>
          <cell r="I148">
            <v>37078</v>
          </cell>
          <cell r="J148">
            <v>37120</v>
          </cell>
          <cell r="K148">
            <v>37152</v>
          </cell>
          <cell r="L148">
            <v>37176</v>
          </cell>
        </row>
        <row r="149">
          <cell r="E149" t="str">
            <v>SA</v>
          </cell>
          <cell r="G149">
            <v>37021</v>
          </cell>
          <cell r="H149">
            <v>37070</v>
          </cell>
          <cell r="I149">
            <v>37078</v>
          </cell>
          <cell r="J149">
            <v>37120</v>
          </cell>
          <cell r="K149">
            <v>37152</v>
          </cell>
          <cell r="L149">
            <v>37176</v>
          </cell>
        </row>
        <row r="150">
          <cell r="E150" t="str">
            <v>SA</v>
          </cell>
          <cell r="G150">
            <v>37021</v>
          </cell>
          <cell r="H150">
            <v>37070</v>
          </cell>
          <cell r="I150">
            <v>37078</v>
          </cell>
          <cell r="J150">
            <v>37120</v>
          </cell>
          <cell r="K150">
            <v>37152</v>
          </cell>
          <cell r="L150">
            <v>37176</v>
          </cell>
        </row>
        <row r="151">
          <cell r="E151" t="str">
            <v>SA</v>
          </cell>
          <cell r="G151">
            <v>37021</v>
          </cell>
          <cell r="H151">
            <v>37070</v>
          </cell>
          <cell r="I151">
            <v>37078</v>
          </cell>
          <cell r="J151">
            <v>37120</v>
          </cell>
          <cell r="K151">
            <v>37152</v>
          </cell>
          <cell r="L151">
            <v>37176</v>
          </cell>
        </row>
        <row r="152">
          <cell r="E152" t="str">
            <v>SA</v>
          </cell>
          <cell r="G152">
            <v>37021</v>
          </cell>
          <cell r="H152">
            <v>37070</v>
          </cell>
          <cell r="I152">
            <v>37078</v>
          </cell>
          <cell r="J152">
            <v>37120</v>
          </cell>
          <cell r="K152">
            <v>37152</v>
          </cell>
          <cell r="L152">
            <v>37176</v>
          </cell>
        </row>
        <row r="153">
          <cell r="E153" t="str">
            <v>SA</v>
          </cell>
          <cell r="G153">
            <v>37021</v>
          </cell>
          <cell r="H153">
            <v>37070</v>
          </cell>
          <cell r="I153">
            <v>37078</v>
          </cell>
          <cell r="J153">
            <v>37120</v>
          </cell>
          <cell r="K153">
            <v>37152</v>
          </cell>
          <cell r="L153">
            <v>37176</v>
          </cell>
        </row>
        <row r="154">
          <cell r="E154" t="str">
            <v>SA</v>
          </cell>
          <cell r="G154">
            <v>37021</v>
          </cell>
          <cell r="H154">
            <v>37070</v>
          </cell>
          <cell r="I154">
            <v>37078</v>
          </cell>
          <cell r="J154">
            <v>37120</v>
          </cell>
          <cell r="K154">
            <v>37152</v>
          </cell>
          <cell r="L154">
            <v>37176</v>
          </cell>
        </row>
        <row r="155">
          <cell r="E155" t="str">
            <v>SA</v>
          </cell>
          <cell r="G155">
            <v>37052</v>
          </cell>
          <cell r="H155">
            <v>37070</v>
          </cell>
          <cell r="I155">
            <v>37092</v>
          </cell>
          <cell r="J155">
            <v>37125</v>
          </cell>
          <cell r="K155">
            <v>37155</v>
          </cell>
          <cell r="L155">
            <v>37176</v>
          </cell>
        </row>
        <row r="156">
          <cell r="E156" t="str">
            <v>SA</v>
          </cell>
          <cell r="G156">
            <v>37058</v>
          </cell>
          <cell r="H156">
            <v>37104</v>
          </cell>
          <cell r="I156">
            <v>37113</v>
          </cell>
          <cell r="J156">
            <v>37141</v>
          </cell>
          <cell r="K156">
            <v>37169</v>
          </cell>
          <cell r="L156">
            <v>37176</v>
          </cell>
        </row>
        <row r="157">
          <cell r="E157" t="str">
            <v>SA</v>
          </cell>
          <cell r="G157">
            <v>37058</v>
          </cell>
          <cell r="H157">
            <v>37104</v>
          </cell>
          <cell r="I157">
            <v>37113</v>
          </cell>
          <cell r="J157">
            <v>37141</v>
          </cell>
          <cell r="K157">
            <v>37169</v>
          </cell>
          <cell r="L157">
            <v>37176</v>
          </cell>
        </row>
        <row r="158">
          <cell r="E158" t="str">
            <v>SA</v>
          </cell>
          <cell r="G158">
            <v>37058</v>
          </cell>
          <cell r="H158">
            <v>37104</v>
          </cell>
          <cell r="I158">
            <v>37113</v>
          </cell>
          <cell r="J158">
            <v>37141</v>
          </cell>
          <cell r="K158">
            <v>37169</v>
          </cell>
          <cell r="L158">
            <v>37176</v>
          </cell>
        </row>
        <row r="159">
          <cell r="E159" t="str">
            <v>SA</v>
          </cell>
          <cell r="G159">
            <v>37058</v>
          </cell>
          <cell r="H159">
            <v>37104</v>
          </cell>
          <cell r="I159">
            <v>37113</v>
          </cell>
          <cell r="J159">
            <v>37141</v>
          </cell>
          <cell r="K159">
            <v>37169</v>
          </cell>
          <cell r="L159">
            <v>37176</v>
          </cell>
        </row>
        <row r="160">
          <cell r="E160" t="str">
            <v>SA</v>
          </cell>
          <cell r="G160">
            <v>37021</v>
          </cell>
          <cell r="H160">
            <v>37070</v>
          </cell>
          <cell r="I160">
            <v>37078</v>
          </cell>
          <cell r="J160">
            <v>37120</v>
          </cell>
          <cell r="K160">
            <v>37152</v>
          </cell>
          <cell r="L160">
            <v>37176</v>
          </cell>
        </row>
        <row r="161">
          <cell r="E161" t="str">
            <v>SA</v>
          </cell>
          <cell r="G161">
            <v>37021</v>
          </cell>
          <cell r="H161">
            <v>37070</v>
          </cell>
          <cell r="I161">
            <v>37078</v>
          </cell>
          <cell r="J161">
            <v>37120</v>
          </cell>
          <cell r="K161">
            <v>37152</v>
          </cell>
          <cell r="L161">
            <v>37176</v>
          </cell>
        </row>
        <row r="162">
          <cell r="E162" t="str">
            <v>SA</v>
          </cell>
          <cell r="G162">
            <v>37021</v>
          </cell>
          <cell r="H162">
            <v>37070</v>
          </cell>
          <cell r="I162">
            <v>37078</v>
          </cell>
          <cell r="J162">
            <v>37120</v>
          </cell>
          <cell r="K162">
            <v>37152</v>
          </cell>
          <cell r="L162">
            <v>37176</v>
          </cell>
        </row>
        <row r="163">
          <cell r="E163" t="str">
            <v>SA</v>
          </cell>
          <cell r="G163">
            <v>37058</v>
          </cell>
          <cell r="H163">
            <v>37104</v>
          </cell>
          <cell r="I163">
            <v>37113</v>
          </cell>
          <cell r="J163">
            <v>37141</v>
          </cell>
          <cell r="K163">
            <v>37169</v>
          </cell>
          <cell r="L163">
            <v>37176</v>
          </cell>
        </row>
        <row r="164">
          <cell r="E164" t="str">
            <v>SA</v>
          </cell>
          <cell r="G164">
            <v>37021</v>
          </cell>
          <cell r="H164">
            <v>37068</v>
          </cell>
          <cell r="I164">
            <v>37074</v>
          </cell>
          <cell r="J164">
            <v>37113</v>
          </cell>
          <cell r="K164">
            <v>37148</v>
          </cell>
          <cell r="L164">
            <v>37176</v>
          </cell>
        </row>
        <row r="165">
          <cell r="E165" t="str">
            <v>SA</v>
          </cell>
          <cell r="G165">
            <v>37021</v>
          </cell>
          <cell r="H165">
            <v>37068</v>
          </cell>
          <cell r="I165">
            <v>37074</v>
          </cell>
          <cell r="J165">
            <v>37113</v>
          </cell>
          <cell r="K165">
            <v>37148</v>
          </cell>
          <cell r="L165">
            <v>37176</v>
          </cell>
        </row>
        <row r="166">
          <cell r="E166" t="str">
            <v>SA</v>
          </cell>
          <cell r="G166">
            <v>37021</v>
          </cell>
          <cell r="H166">
            <v>37068</v>
          </cell>
          <cell r="I166">
            <v>37074</v>
          </cell>
          <cell r="J166">
            <v>37113</v>
          </cell>
          <cell r="K166">
            <v>37148</v>
          </cell>
          <cell r="L166">
            <v>37176</v>
          </cell>
        </row>
        <row r="167">
          <cell r="E167" t="str">
            <v>SA</v>
          </cell>
          <cell r="G167">
            <v>37021</v>
          </cell>
          <cell r="H167">
            <v>37068</v>
          </cell>
          <cell r="I167">
            <v>37074</v>
          </cell>
          <cell r="J167">
            <v>37113</v>
          </cell>
          <cell r="K167">
            <v>37148</v>
          </cell>
          <cell r="L167">
            <v>37176</v>
          </cell>
        </row>
        <row r="168">
          <cell r="E168" t="str">
            <v>SA</v>
          </cell>
          <cell r="G168">
            <v>37021</v>
          </cell>
          <cell r="H168">
            <v>37068</v>
          </cell>
          <cell r="I168">
            <v>37074</v>
          </cell>
          <cell r="J168">
            <v>37113</v>
          </cell>
          <cell r="K168">
            <v>37148</v>
          </cell>
          <cell r="L168">
            <v>37176</v>
          </cell>
        </row>
        <row r="169">
          <cell r="E169" t="str">
            <v>SA</v>
          </cell>
          <cell r="G169">
            <v>37021</v>
          </cell>
          <cell r="H169">
            <v>37068</v>
          </cell>
          <cell r="I169">
            <v>37074</v>
          </cell>
          <cell r="J169">
            <v>37113</v>
          </cell>
          <cell r="K169">
            <v>37148</v>
          </cell>
          <cell r="L169">
            <v>37176</v>
          </cell>
        </row>
        <row r="170">
          <cell r="E170" t="str">
            <v>SA</v>
          </cell>
          <cell r="G170">
            <v>37021</v>
          </cell>
          <cell r="H170">
            <v>37068</v>
          </cell>
          <cell r="I170">
            <v>37074</v>
          </cell>
          <cell r="J170">
            <v>37113</v>
          </cell>
          <cell r="K170">
            <v>37148</v>
          </cell>
          <cell r="L170">
            <v>37176</v>
          </cell>
        </row>
        <row r="171">
          <cell r="E171" t="str">
            <v>SA</v>
          </cell>
          <cell r="G171">
            <v>37032</v>
          </cell>
          <cell r="H171">
            <v>37034</v>
          </cell>
          <cell r="I171">
            <v>37078</v>
          </cell>
          <cell r="J171">
            <v>37120</v>
          </cell>
          <cell r="K171">
            <v>37152</v>
          </cell>
          <cell r="L171">
            <v>37176</v>
          </cell>
        </row>
        <row r="172">
          <cell r="E172" t="str">
            <v>SA</v>
          </cell>
          <cell r="G172">
            <v>37058</v>
          </cell>
          <cell r="H172">
            <v>37104</v>
          </cell>
          <cell r="I172">
            <v>37113</v>
          </cell>
          <cell r="J172">
            <v>37141</v>
          </cell>
          <cell r="K172">
            <v>37169</v>
          </cell>
          <cell r="L172">
            <v>37176</v>
          </cell>
        </row>
        <row r="173">
          <cell r="E173" t="str">
            <v>SA</v>
          </cell>
          <cell r="G173">
            <v>37058</v>
          </cell>
          <cell r="H173">
            <v>37104</v>
          </cell>
          <cell r="I173">
            <v>37113</v>
          </cell>
          <cell r="J173">
            <v>37141</v>
          </cell>
          <cell r="K173">
            <v>37169</v>
          </cell>
          <cell r="L173">
            <v>37176</v>
          </cell>
        </row>
        <row r="174">
          <cell r="E174" t="str">
            <v>SA</v>
          </cell>
          <cell r="G174">
            <v>37058</v>
          </cell>
          <cell r="H174">
            <v>37104</v>
          </cell>
          <cell r="I174">
            <v>37113</v>
          </cell>
          <cell r="J174">
            <v>37141</v>
          </cell>
          <cell r="K174">
            <v>37169</v>
          </cell>
          <cell r="L174">
            <v>37176</v>
          </cell>
        </row>
        <row r="175">
          <cell r="E175" t="str">
            <v>SA</v>
          </cell>
          <cell r="G175">
            <v>37058</v>
          </cell>
          <cell r="H175">
            <v>37104</v>
          </cell>
          <cell r="I175">
            <v>37113</v>
          </cell>
          <cell r="J175">
            <v>37141</v>
          </cell>
          <cell r="K175">
            <v>37169</v>
          </cell>
          <cell r="L175">
            <v>37176</v>
          </cell>
        </row>
        <row r="176">
          <cell r="E176" t="str">
            <v>SA</v>
          </cell>
          <cell r="G176">
            <v>37058</v>
          </cell>
          <cell r="H176">
            <v>37104</v>
          </cell>
          <cell r="I176">
            <v>37113</v>
          </cell>
          <cell r="J176">
            <v>37141</v>
          </cell>
          <cell r="K176">
            <v>37169</v>
          </cell>
          <cell r="L176">
            <v>37176</v>
          </cell>
        </row>
        <row r="177">
          <cell r="E177" t="str">
            <v>SA</v>
          </cell>
          <cell r="G177">
            <v>37058</v>
          </cell>
          <cell r="H177">
            <v>37104</v>
          </cell>
          <cell r="I177">
            <v>37113</v>
          </cell>
          <cell r="J177">
            <v>37141</v>
          </cell>
          <cell r="K177">
            <v>37169</v>
          </cell>
          <cell r="L177">
            <v>37176</v>
          </cell>
        </row>
        <row r="178">
          <cell r="E178" t="str">
            <v>SA</v>
          </cell>
          <cell r="G178">
            <v>37087</v>
          </cell>
          <cell r="H178">
            <v>37096.5</v>
          </cell>
          <cell r="I178">
            <v>37106</v>
          </cell>
          <cell r="J178">
            <v>37146</v>
          </cell>
          <cell r="K178">
            <v>37194</v>
          </cell>
          <cell r="L178">
            <v>37176</v>
          </cell>
        </row>
        <row r="179">
          <cell r="E179" t="str">
            <v>SA</v>
          </cell>
          <cell r="G179">
            <v>37127</v>
          </cell>
          <cell r="H179">
            <v>37148</v>
          </cell>
          <cell r="I179">
            <v>37169</v>
          </cell>
          <cell r="J179">
            <v>37218</v>
          </cell>
          <cell r="K179">
            <v>37232</v>
          </cell>
          <cell r="L179">
            <v>37176</v>
          </cell>
        </row>
        <row r="184">
          <cell r="E184" t="str">
            <v>ME</v>
          </cell>
          <cell r="G184">
            <v>36983</v>
          </cell>
          <cell r="H184">
            <v>37030</v>
          </cell>
          <cell r="I184">
            <v>37037</v>
          </cell>
          <cell r="J184">
            <v>37054</v>
          </cell>
          <cell r="K184">
            <v>37091</v>
          </cell>
          <cell r="L184">
            <v>37054</v>
          </cell>
        </row>
        <row r="185">
          <cell r="E185" t="str">
            <v>ME</v>
          </cell>
          <cell r="G185">
            <v>36983</v>
          </cell>
          <cell r="H185">
            <v>37030</v>
          </cell>
          <cell r="I185">
            <v>37037</v>
          </cell>
          <cell r="J185">
            <v>37054</v>
          </cell>
          <cell r="K185">
            <v>37091</v>
          </cell>
          <cell r="L185">
            <v>37054</v>
          </cell>
        </row>
        <row r="186">
          <cell r="E186" t="str">
            <v>ME</v>
          </cell>
          <cell r="G186">
            <v>36983</v>
          </cell>
          <cell r="H186">
            <v>37030</v>
          </cell>
          <cell r="I186">
            <v>37037</v>
          </cell>
          <cell r="J186">
            <v>37054</v>
          </cell>
          <cell r="K186">
            <v>37091</v>
          </cell>
          <cell r="L186">
            <v>37054</v>
          </cell>
        </row>
        <row r="187">
          <cell r="E187" t="str">
            <v>ME</v>
          </cell>
          <cell r="G187">
            <v>36983</v>
          </cell>
          <cell r="H187">
            <v>37030</v>
          </cell>
          <cell r="I187">
            <v>37037</v>
          </cell>
          <cell r="J187">
            <v>37054</v>
          </cell>
          <cell r="K187">
            <v>37091</v>
          </cell>
          <cell r="L187">
            <v>37054</v>
          </cell>
        </row>
        <row r="188">
          <cell r="E188" t="str">
            <v>ME</v>
          </cell>
          <cell r="G188">
            <v>36983</v>
          </cell>
          <cell r="H188">
            <v>37030</v>
          </cell>
          <cell r="I188">
            <v>37037</v>
          </cell>
          <cell r="J188">
            <v>37054</v>
          </cell>
          <cell r="K188">
            <v>37091</v>
          </cell>
          <cell r="L188">
            <v>37054</v>
          </cell>
        </row>
        <row r="189">
          <cell r="E189" t="str">
            <v>ME</v>
          </cell>
          <cell r="G189">
            <v>36983</v>
          </cell>
          <cell r="H189">
            <v>37030</v>
          </cell>
          <cell r="I189">
            <v>37037</v>
          </cell>
          <cell r="J189">
            <v>37054</v>
          </cell>
          <cell r="K189">
            <v>37091</v>
          </cell>
          <cell r="L189">
            <v>37054</v>
          </cell>
        </row>
        <row r="190">
          <cell r="E190" t="str">
            <v>ME</v>
          </cell>
          <cell r="G190">
            <v>36983</v>
          </cell>
          <cell r="H190">
            <v>37030</v>
          </cell>
          <cell r="I190">
            <v>37037</v>
          </cell>
          <cell r="J190">
            <v>37054</v>
          </cell>
          <cell r="K190">
            <v>37091</v>
          </cell>
          <cell r="L190">
            <v>37054</v>
          </cell>
        </row>
        <row r="191">
          <cell r="E191" t="str">
            <v>ME</v>
          </cell>
          <cell r="G191">
            <v>36983</v>
          </cell>
          <cell r="H191">
            <v>37030</v>
          </cell>
          <cell r="I191">
            <v>37037</v>
          </cell>
          <cell r="J191">
            <v>37054</v>
          </cell>
          <cell r="K191">
            <v>37091</v>
          </cell>
          <cell r="L191">
            <v>37054</v>
          </cell>
        </row>
        <row r="192">
          <cell r="E192" t="str">
            <v>ME</v>
          </cell>
          <cell r="G192">
            <v>36983</v>
          </cell>
          <cell r="H192">
            <v>37030</v>
          </cell>
          <cell r="I192">
            <v>37037</v>
          </cell>
          <cell r="J192">
            <v>37054</v>
          </cell>
          <cell r="K192">
            <v>37091</v>
          </cell>
          <cell r="L192">
            <v>37054</v>
          </cell>
        </row>
        <row r="193">
          <cell r="E193" t="str">
            <v>ME</v>
          </cell>
          <cell r="G193">
            <v>36983</v>
          </cell>
          <cell r="H193">
            <v>37030</v>
          </cell>
          <cell r="I193">
            <v>37037</v>
          </cell>
          <cell r="J193">
            <v>37054</v>
          </cell>
          <cell r="K193">
            <v>37091</v>
          </cell>
          <cell r="L193">
            <v>37054</v>
          </cell>
        </row>
        <row r="194">
          <cell r="E194" t="str">
            <v>ME</v>
          </cell>
          <cell r="G194">
            <v>36983</v>
          </cell>
          <cell r="H194">
            <v>37030</v>
          </cell>
          <cell r="I194">
            <v>37037</v>
          </cell>
          <cell r="J194">
            <v>37054</v>
          </cell>
          <cell r="K194">
            <v>37091</v>
          </cell>
          <cell r="L194">
            <v>37054</v>
          </cell>
        </row>
        <row r="195">
          <cell r="E195" t="str">
            <v>ME</v>
          </cell>
          <cell r="G195">
            <v>36983</v>
          </cell>
          <cell r="H195">
            <v>37030</v>
          </cell>
          <cell r="I195">
            <v>37037</v>
          </cell>
          <cell r="J195">
            <v>37054</v>
          </cell>
          <cell r="K195">
            <v>37091</v>
          </cell>
          <cell r="L195">
            <v>37054</v>
          </cell>
        </row>
        <row r="196">
          <cell r="E196" t="str">
            <v>ME</v>
          </cell>
          <cell r="G196">
            <v>36983</v>
          </cell>
          <cell r="H196">
            <v>37030</v>
          </cell>
          <cell r="I196">
            <v>37037</v>
          </cell>
          <cell r="J196">
            <v>37054</v>
          </cell>
          <cell r="K196">
            <v>37091</v>
          </cell>
          <cell r="L196">
            <v>37054</v>
          </cell>
        </row>
        <row r="197">
          <cell r="E197" t="str">
            <v>ME</v>
          </cell>
          <cell r="G197">
            <v>36983</v>
          </cell>
          <cell r="H197">
            <v>37030</v>
          </cell>
          <cell r="I197">
            <v>37037</v>
          </cell>
          <cell r="J197">
            <v>37054</v>
          </cell>
          <cell r="K197">
            <v>37091</v>
          </cell>
          <cell r="L197">
            <v>37054</v>
          </cell>
        </row>
        <row r="198">
          <cell r="E198" t="str">
            <v>ME</v>
          </cell>
          <cell r="G198">
            <v>36983</v>
          </cell>
          <cell r="H198">
            <v>37030</v>
          </cell>
          <cell r="I198">
            <v>37037</v>
          </cell>
          <cell r="J198">
            <v>37054</v>
          </cell>
          <cell r="K198">
            <v>37091</v>
          </cell>
          <cell r="L198">
            <v>37054</v>
          </cell>
        </row>
        <row r="199">
          <cell r="E199" t="str">
            <v>ME</v>
          </cell>
          <cell r="G199">
            <v>36983</v>
          </cell>
          <cell r="H199">
            <v>37030</v>
          </cell>
          <cell r="I199">
            <v>37037</v>
          </cell>
          <cell r="J199">
            <v>37070</v>
          </cell>
          <cell r="K199">
            <v>37091</v>
          </cell>
          <cell r="L199">
            <v>37176</v>
          </cell>
        </row>
        <row r="200">
          <cell r="E200" t="str">
            <v>ME</v>
          </cell>
          <cell r="G200">
            <v>36983</v>
          </cell>
          <cell r="H200">
            <v>37030</v>
          </cell>
          <cell r="I200">
            <v>37037</v>
          </cell>
          <cell r="J200">
            <v>37070</v>
          </cell>
          <cell r="K200">
            <v>37091</v>
          </cell>
          <cell r="L200">
            <v>37176</v>
          </cell>
        </row>
        <row r="201">
          <cell r="E201" t="str">
            <v>ME</v>
          </cell>
          <cell r="G201">
            <v>36983</v>
          </cell>
          <cell r="H201">
            <v>37030</v>
          </cell>
          <cell r="I201">
            <v>37037</v>
          </cell>
          <cell r="J201">
            <v>37070</v>
          </cell>
          <cell r="K201">
            <v>37091</v>
          </cell>
          <cell r="L201">
            <v>37176</v>
          </cell>
        </row>
        <row r="202">
          <cell r="E202" t="str">
            <v>ME</v>
          </cell>
          <cell r="G202">
            <v>36983</v>
          </cell>
          <cell r="H202">
            <v>37030</v>
          </cell>
          <cell r="I202">
            <v>37037</v>
          </cell>
          <cell r="J202">
            <v>37070</v>
          </cell>
          <cell r="K202">
            <v>37091</v>
          </cell>
          <cell r="L202">
            <v>37176</v>
          </cell>
        </row>
        <row r="203">
          <cell r="E203" t="str">
            <v>ME</v>
          </cell>
          <cell r="G203">
            <v>36983</v>
          </cell>
          <cell r="H203">
            <v>37030</v>
          </cell>
          <cell r="I203">
            <v>37037</v>
          </cell>
          <cell r="J203">
            <v>37070</v>
          </cell>
          <cell r="K203">
            <v>37091</v>
          </cell>
          <cell r="L203">
            <v>37176</v>
          </cell>
        </row>
        <row r="204">
          <cell r="E204" t="str">
            <v>ME</v>
          </cell>
          <cell r="G204">
            <v>37037</v>
          </cell>
          <cell r="H204">
            <v>37040</v>
          </cell>
          <cell r="I204">
            <v>37054</v>
          </cell>
          <cell r="J204">
            <v>37076</v>
          </cell>
          <cell r="K204">
            <v>37092</v>
          </cell>
          <cell r="L204">
            <v>37054</v>
          </cell>
        </row>
        <row r="205">
          <cell r="E205" t="str">
            <v>ME</v>
          </cell>
          <cell r="G205">
            <v>37037</v>
          </cell>
          <cell r="H205">
            <v>37040</v>
          </cell>
          <cell r="I205">
            <v>37054</v>
          </cell>
          <cell r="J205">
            <v>37076</v>
          </cell>
          <cell r="K205">
            <v>37092</v>
          </cell>
          <cell r="L205">
            <v>37054</v>
          </cell>
        </row>
        <row r="206">
          <cell r="E206" t="str">
            <v>ME</v>
          </cell>
          <cell r="G206">
            <v>37037</v>
          </cell>
          <cell r="H206">
            <v>37040</v>
          </cell>
          <cell r="I206">
            <v>37054</v>
          </cell>
          <cell r="J206">
            <v>37076</v>
          </cell>
          <cell r="K206">
            <v>37092</v>
          </cell>
          <cell r="L206">
            <v>37054</v>
          </cell>
        </row>
        <row r="207">
          <cell r="E207" t="str">
            <v>ME</v>
          </cell>
          <cell r="G207">
            <v>37037</v>
          </cell>
          <cell r="H207">
            <v>37040</v>
          </cell>
          <cell r="I207">
            <v>37054</v>
          </cell>
          <cell r="J207">
            <v>37076</v>
          </cell>
          <cell r="K207">
            <v>37092</v>
          </cell>
          <cell r="L207">
            <v>37054</v>
          </cell>
        </row>
        <row r="208">
          <cell r="E208" t="str">
            <v>ME</v>
          </cell>
          <cell r="G208">
            <v>37037</v>
          </cell>
          <cell r="H208">
            <v>37040</v>
          </cell>
          <cell r="I208">
            <v>37054</v>
          </cell>
          <cell r="J208">
            <v>37076</v>
          </cell>
          <cell r="K208">
            <v>37092</v>
          </cell>
          <cell r="L208">
            <v>37054</v>
          </cell>
        </row>
        <row r="209">
          <cell r="E209" t="str">
            <v>ME</v>
          </cell>
          <cell r="G209">
            <v>37037</v>
          </cell>
          <cell r="H209">
            <v>37040</v>
          </cell>
          <cell r="I209">
            <v>37054</v>
          </cell>
          <cell r="J209">
            <v>37076</v>
          </cell>
          <cell r="K209">
            <v>37092</v>
          </cell>
          <cell r="L209">
            <v>37054</v>
          </cell>
        </row>
        <row r="210">
          <cell r="E210" t="str">
            <v>ME</v>
          </cell>
          <cell r="G210">
            <v>37037</v>
          </cell>
          <cell r="H210">
            <v>37040</v>
          </cell>
          <cell r="I210">
            <v>37054</v>
          </cell>
          <cell r="J210">
            <v>37076</v>
          </cell>
          <cell r="K210">
            <v>37092</v>
          </cell>
          <cell r="L210">
            <v>37054</v>
          </cell>
        </row>
        <row r="211">
          <cell r="E211" t="str">
            <v>ME</v>
          </cell>
          <cell r="G211">
            <v>37037</v>
          </cell>
          <cell r="H211">
            <v>37040</v>
          </cell>
          <cell r="I211">
            <v>37054</v>
          </cell>
          <cell r="J211">
            <v>37076</v>
          </cell>
          <cell r="K211">
            <v>37092</v>
          </cell>
          <cell r="L211">
            <v>37054</v>
          </cell>
        </row>
        <row r="212">
          <cell r="E212" t="str">
            <v>ME</v>
          </cell>
          <cell r="G212">
            <v>37037</v>
          </cell>
          <cell r="H212">
            <v>37040</v>
          </cell>
          <cell r="I212">
            <v>37054</v>
          </cell>
          <cell r="J212">
            <v>37076</v>
          </cell>
          <cell r="K212">
            <v>37092</v>
          </cell>
          <cell r="L212">
            <v>37054</v>
          </cell>
        </row>
        <row r="213">
          <cell r="E213" t="str">
            <v>ME</v>
          </cell>
          <cell r="G213">
            <v>37037</v>
          </cell>
          <cell r="H213">
            <v>37040</v>
          </cell>
          <cell r="I213">
            <v>37054</v>
          </cell>
          <cell r="J213">
            <v>37076</v>
          </cell>
          <cell r="K213">
            <v>37092</v>
          </cell>
          <cell r="L213">
            <v>37054</v>
          </cell>
        </row>
        <row r="214">
          <cell r="E214" t="str">
            <v>ME</v>
          </cell>
          <cell r="G214">
            <v>37037</v>
          </cell>
          <cell r="H214">
            <v>37040</v>
          </cell>
          <cell r="I214">
            <v>37054</v>
          </cell>
          <cell r="J214">
            <v>37076</v>
          </cell>
          <cell r="K214">
            <v>37092</v>
          </cell>
          <cell r="L214">
            <v>37054</v>
          </cell>
        </row>
        <row r="215">
          <cell r="E215" t="str">
            <v>ME</v>
          </cell>
          <cell r="G215">
            <v>37037</v>
          </cell>
          <cell r="H215">
            <v>37040</v>
          </cell>
          <cell r="I215">
            <v>37054</v>
          </cell>
          <cell r="J215">
            <v>37076</v>
          </cell>
          <cell r="K215">
            <v>37092</v>
          </cell>
          <cell r="L215">
            <v>37054</v>
          </cell>
        </row>
        <row r="216">
          <cell r="E216" t="str">
            <v>ME</v>
          </cell>
          <cell r="G216">
            <v>37037</v>
          </cell>
          <cell r="H216">
            <v>37040</v>
          </cell>
          <cell r="I216">
            <v>37054</v>
          </cell>
          <cell r="J216">
            <v>37076</v>
          </cell>
          <cell r="K216">
            <v>37092</v>
          </cell>
          <cell r="L216">
            <v>37054</v>
          </cell>
        </row>
        <row r="217">
          <cell r="E217" t="str">
            <v>ME</v>
          </cell>
          <cell r="G217">
            <v>37037</v>
          </cell>
          <cell r="H217">
            <v>37040</v>
          </cell>
          <cell r="I217">
            <v>37054</v>
          </cell>
          <cell r="J217">
            <v>37076</v>
          </cell>
          <cell r="K217">
            <v>37092</v>
          </cell>
          <cell r="L217">
            <v>37054</v>
          </cell>
        </row>
        <row r="218">
          <cell r="E218" t="str">
            <v>ME</v>
          </cell>
          <cell r="G218">
            <v>37037</v>
          </cell>
          <cell r="H218">
            <v>37040</v>
          </cell>
          <cell r="I218">
            <v>37054</v>
          </cell>
          <cell r="J218">
            <v>37076</v>
          </cell>
          <cell r="K218">
            <v>37092</v>
          </cell>
          <cell r="L218">
            <v>37054</v>
          </cell>
        </row>
        <row r="219">
          <cell r="E219" t="str">
            <v>ME</v>
          </cell>
          <cell r="G219">
            <v>37037</v>
          </cell>
          <cell r="H219">
            <v>37040</v>
          </cell>
          <cell r="I219">
            <v>37054</v>
          </cell>
          <cell r="J219">
            <v>37076</v>
          </cell>
          <cell r="K219">
            <v>37092</v>
          </cell>
          <cell r="L219">
            <v>37054</v>
          </cell>
        </row>
        <row r="220">
          <cell r="E220" t="str">
            <v>ME</v>
          </cell>
          <cell r="G220">
            <v>37037</v>
          </cell>
          <cell r="H220">
            <v>37040</v>
          </cell>
          <cell r="I220">
            <v>37054</v>
          </cell>
          <cell r="J220">
            <v>37076</v>
          </cell>
          <cell r="K220">
            <v>37092</v>
          </cell>
          <cell r="L220">
            <v>37054</v>
          </cell>
        </row>
        <row r="221">
          <cell r="E221" t="str">
            <v>ME</v>
          </cell>
          <cell r="G221">
            <v>37037</v>
          </cell>
          <cell r="H221">
            <v>37040</v>
          </cell>
          <cell r="I221">
            <v>37054</v>
          </cell>
          <cell r="J221">
            <v>37076</v>
          </cell>
          <cell r="K221">
            <v>37092</v>
          </cell>
          <cell r="L221">
            <v>37054</v>
          </cell>
        </row>
        <row r="222">
          <cell r="E222" t="str">
            <v>ME</v>
          </cell>
          <cell r="G222">
            <v>37037</v>
          </cell>
          <cell r="H222">
            <v>37040</v>
          </cell>
          <cell r="I222">
            <v>37054</v>
          </cell>
          <cell r="J222">
            <v>37076</v>
          </cell>
          <cell r="K222">
            <v>37092</v>
          </cell>
          <cell r="L222">
            <v>37054</v>
          </cell>
        </row>
        <row r="223">
          <cell r="E223" t="str">
            <v>ME</v>
          </cell>
          <cell r="G223">
            <v>37037</v>
          </cell>
          <cell r="H223">
            <v>37040</v>
          </cell>
          <cell r="I223">
            <v>37054</v>
          </cell>
          <cell r="J223">
            <v>37076</v>
          </cell>
          <cell r="K223">
            <v>37092</v>
          </cell>
          <cell r="L223">
            <v>37054</v>
          </cell>
        </row>
        <row r="224">
          <cell r="E224" t="str">
            <v>ME</v>
          </cell>
          <cell r="G224">
            <v>37037</v>
          </cell>
          <cell r="H224">
            <v>37040</v>
          </cell>
          <cell r="I224">
            <v>37054</v>
          </cell>
          <cell r="J224">
            <v>37076</v>
          </cell>
          <cell r="K224">
            <v>37092</v>
          </cell>
          <cell r="L224">
            <v>37054</v>
          </cell>
        </row>
        <row r="225">
          <cell r="E225" t="str">
            <v>ME</v>
          </cell>
          <cell r="G225">
            <v>37037</v>
          </cell>
          <cell r="H225">
            <v>37040</v>
          </cell>
          <cell r="I225">
            <v>37054</v>
          </cell>
          <cell r="J225">
            <v>37076</v>
          </cell>
          <cell r="K225">
            <v>37092</v>
          </cell>
          <cell r="L225">
            <v>37054</v>
          </cell>
        </row>
        <row r="226">
          <cell r="E226" t="str">
            <v>ME</v>
          </cell>
          <cell r="G226">
            <v>37037</v>
          </cell>
          <cell r="H226">
            <v>37040</v>
          </cell>
          <cell r="I226">
            <v>37054</v>
          </cell>
          <cell r="J226">
            <v>37076</v>
          </cell>
          <cell r="K226">
            <v>37092</v>
          </cell>
          <cell r="L226">
            <v>37054</v>
          </cell>
        </row>
        <row r="227">
          <cell r="E227" t="str">
            <v>ME</v>
          </cell>
          <cell r="G227">
            <v>37037</v>
          </cell>
          <cell r="H227">
            <v>37040</v>
          </cell>
          <cell r="I227">
            <v>37054</v>
          </cell>
          <cell r="J227">
            <v>37076</v>
          </cell>
          <cell r="K227">
            <v>37092</v>
          </cell>
          <cell r="L227">
            <v>37054</v>
          </cell>
        </row>
        <row r="228">
          <cell r="E228" t="str">
            <v>ME</v>
          </cell>
          <cell r="G228">
            <v>37037</v>
          </cell>
          <cell r="H228">
            <v>37040</v>
          </cell>
          <cell r="I228">
            <v>37054</v>
          </cell>
          <cell r="J228">
            <v>37076</v>
          </cell>
          <cell r="K228">
            <v>37092</v>
          </cell>
          <cell r="L228">
            <v>37054</v>
          </cell>
        </row>
        <row r="229">
          <cell r="E229" t="str">
            <v>ME</v>
          </cell>
          <cell r="G229">
            <v>37037</v>
          </cell>
          <cell r="H229">
            <v>37040</v>
          </cell>
          <cell r="I229">
            <v>37054</v>
          </cell>
          <cell r="J229">
            <v>37076</v>
          </cell>
          <cell r="K229">
            <v>37092</v>
          </cell>
          <cell r="L229">
            <v>37054</v>
          </cell>
        </row>
        <row r="230">
          <cell r="E230" t="str">
            <v>ME</v>
          </cell>
          <cell r="G230">
            <v>37037</v>
          </cell>
          <cell r="H230">
            <v>37040</v>
          </cell>
          <cell r="I230">
            <v>37054</v>
          </cell>
          <cell r="J230">
            <v>37076</v>
          </cell>
          <cell r="K230">
            <v>37092</v>
          </cell>
          <cell r="L230">
            <v>37054</v>
          </cell>
        </row>
        <row r="231">
          <cell r="E231" t="str">
            <v>ME</v>
          </cell>
          <cell r="G231">
            <v>37037</v>
          </cell>
          <cell r="H231">
            <v>37040</v>
          </cell>
          <cell r="I231">
            <v>37054</v>
          </cell>
          <cell r="J231">
            <v>37076</v>
          </cell>
          <cell r="K231">
            <v>37092</v>
          </cell>
          <cell r="L231">
            <v>37054</v>
          </cell>
        </row>
        <row r="232">
          <cell r="E232" t="str">
            <v>ME</v>
          </cell>
          <cell r="G232">
            <v>37017</v>
          </cell>
          <cell r="H232">
            <v>37040</v>
          </cell>
          <cell r="I232">
            <v>37054</v>
          </cell>
          <cell r="J232">
            <v>37076</v>
          </cell>
          <cell r="K232">
            <v>37092</v>
          </cell>
          <cell r="L232">
            <v>37054</v>
          </cell>
        </row>
        <row r="233">
          <cell r="E233" t="str">
            <v>ME</v>
          </cell>
          <cell r="G233">
            <v>37017</v>
          </cell>
          <cell r="H233">
            <v>37040</v>
          </cell>
          <cell r="I233">
            <v>37054</v>
          </cell>
          <cell r="J233">
            <v>37076</v>
          </cell>
          <cell r="K233">
            <v>37092</v>
          </cell>
          <cell r="L233">
            <v>37054</v>
          </cell>
        </row>
        <row r="234">
          <cell r="E234" t="str">
            <v>ME</v>
          </cell>
          <cell r="G234">
            <v>37017</v>
          </cell>
          <cell r="H234">
            <v>37040</v>
          </cell>
          <cell r="I234">
            <v>37054</v>
          </cell>
          <cell r="J234">
            <v>37076</v>
          </cell>
          <cell r="K234">
            <v>37092</v>
          </cell>
          <cell r="L234">
            <v>37054</v>
          </cell>
        </row>
        <row r="235">
          <cell r="E235" t="str">
            <v>ME</v>
          </cell>
          <cell r="G235">
            <v>37017</v>
          </cell>
          <cell r="H235">
            <v>37040</v>
          </cell>
          <cell r="I235">
            <v>37054</v>
          </cell>
          <cell r="J235">
            <v>37076</v>
          </cell>
          <cell r="K235">
            <v>37092</v>
          </cell>
          <cell r="L235">
            <v>37054</v>
          </cell>
        </row>
        <row r="236">
          <cell r="E236" t="str">
            <v>ME</v>
          </cell>
          <cell r="G236">
            <v>37017</v>
          </cell>
          <cell r="H236">
            <v>37040</v>
          </cell>
          <cell r="I236">
            <v>37054</v>
          </cell>
          <cell r="J236">
            <v>37076</v>
          </cell>
          <cell r="K236">
            <v>37092</v>
          </cell>
          <cell r="L236">
            <v>37054</v>
          </cell>
        </row>
        <row r="237">
          <cell r="E237" t="str">
            <v>ME</v>
          </cell>
          <cell r="G237">
            <v>37017</v>
          </cell>
          <cell r="H237">
            <v>37040</v>
          </cell>
          <cell r="I237">
            <v>37054</v>
          </cell>
          <cell r="J237">
            <v>37076</v>
          </cell>
          <cell r="K237">
            <v>37092</v>
          </cell>
          <cell r="L237">
            <v>37054</v>
          </cell>
        </row>
        <row r="238">
          <cell r="E238" t="str">
            <v>ME</v>
          </cell>
          <cell r="G238">
            <v>37017</v>
          </cell>
          <cell r="H238">
            <v>37040</v>
          </cell>
          <cell r="I238">
            <v>37054</v>
          </cell>
          <cell r="J238">
            <v>37076</v>
          </cell>
          <cell r="K238">
            <v>37092</v>
          </cell>
          <cell r="L238">
            <v>37054</v>
          </cell>
        </row>
        <row r="239">
          <cell r="E239" t="str">
            <v>ME</v>
          </cell>
          <cell r="G239">
            <v>37017</v>
          </cell>
          <cell r="H239">
            <v>37040</v>
          </cell>
          <cell r="I239">
            <v>37054</v>
          </cell>
          <cell r="J239">
            <v>37076</v>
          </cell>
          <cell r="K239">
            <v>37092</v>
          </cell>
          <cell r="L239">
            <v>37054</v>
          </cell>
        </row>
        <row r="240">
          <cell r="E240" t="str">
            <v>ME</v>
          </cell>
          <cell r="G240">
            <v>37017</v>
          </cell>
          <cell r="H240">
            <v>37040</v>
          </cell>
          <cell r="I240">
            <v>37054</v>
          </cell>
          <cell r="J240">
            <v>37076</v>
          </cell>
          <cell r="K240">
            <v>37092</v>
          </cell>
          <cell r="L240">
            <v>37054</v>
          </cell>
        </row>
        <row r="241">
          <cell r="E241" t="str">
            <v>ME</v>
          </cell>
          <cell r="G241">
            <v>37017</v>
          </cell>
          <cell r="H241">
            <v>37040</v>
          </cell>
          <cell r="I241">
            <v>37054</v>
          </cell>
          <cell r="J241">
            <v>37076</v>
          </cell>
          <cell r="K241">
            <v>37092</v>
          </cell>
          <cell r="L241">
            <v>37054</v>
          </cell>
        </row>
        <row r="242">
          <cell r="E242" t="str">
            <v>ME</v>
          </cell>
          <cell r="G242">
            <v>37017</v>
          </cell>
          <cell r="H242">
            <v>37040</v>
          </cell>
          <cell r="I242">
            <v>37054</v>
          </cell>
          <cell r="J242">
            <v>37076</v>
          </cell>
          <cell r="K242">
            <v>37092</v>
          </cell>
          <cell r="L242">
            <v>37054</v>
          </cell>
        </row>
        <row r="243">
          <cell r="E243" t="str">
            <v>ME</v>
          </cell>
          <cell r="G243">
            <v>37017</v>
          </cell>
          <cell r="H243">
            <v>37040</v>
          </cell>
          <cell r="I243">
            <v>37054</v>
          </cell>
          <cell r="J243">
            <v>37076</v>
          </cell>
          <cell r="K243">
            <v>37092</v>
          </cell>
          <cell r="L243">
            <v>37054</v>
          </cell>
        </row>
        <row r="244">
          <cell r="E244" t="str">
            <v>ME</v>
          </cell>
          <cell r="G244">
            <v>37017</v>
          </cell>
          <cell r="H244">
            <v>37040</v>
          </cell>
          <cell r="I244">
            <v>37054</v>
          </cell>
          <cell r="J244">
            <v>37076</v>
          </cell>
          <cell r="K244">
            <v>37092</v>
          </cell>
          <cell r="L244">
            <v>37054</v>
          </cell>
        </row>
        <row r="245">
          <cell r="E245" t="str">
            <v>ME</v>
          </cell>
          <cell r="G245">
            <v>37017</v>
          </cell>
          <cell r="H245">
            <v>37040</v>
          </cell>
          <cell r="I245">
            <v>37054</v>
          </cell>
          <cell r="J245">
            <v>37076</v>
          </cell>
          <cell r="K245">
            <v>37092</v>
          </cell>
          <cell r="L245">
            <v>37054</v>
          </cell>
        </row>
        <row r="246">
          <cell r="E246" t="str">
            <v>ME</v>
          </cell>
          <cell r="G246">
            <v>37017</v>
          </cell>
          <cell r="H246">
            <v>37040</v>
          </cell>
          <cell r="I246">
            <v>37054</v>
          </cell>
          <cell r="J246">
            <v>37076</v>
          </cell>
          <cell r="K246">
            <v>37092</v>
          </cell>
          <cell r="L246">
            <v>37054</v>
          </cell>
        </row>
        <row r="247">
          <cell r="E247" t="str">
            <v>ME</v>
          </cell>
          <cell r="G247">
            <v>37037</v>
          </cell>
          <cell r="H247">
            <v>37040</v>
          </cell>
          <cell r="I247">
            <v>37054</v>
          </cell>
          <cell r="J247">
            <v>37076</v>
          </cell>
          <cell r="K247">
            <v>37092</v>
          </cell>
          <cell r="L247">
            <v>37054</v>
          </cell>
        </row>
        <row r="248">
          <cell r="E248" t="str">
            <v>ME</v>
          </cell>
          <cell r="G248">
            <v>37037</v>
          </cell>
          <cell r="H248">
            <v>37040</v>
          </cell>
          <cell r="I248">
            <v>37054</v>
          </cell>
          <cell r="J248">
            <v>37076</v>
          </cell>
          <cell r="K248">
            <v>37092</v>
          </cell>
          <cell r="L248">
            <v>37054</v>
          </cell>
        </row>
        <row r="249">
          <cell r="E249" t="str">
            <v>ME</v>
          </cell>
          <cell r="G249">
            <v>37037</v>
          </cell>
          <cell r="H249">
            <v>37040</v>
          </cell>
          <cell r="I249">
            <v>37054</v>
          </cell>
          <cell r="J249">
            <v>37076</v>
          </cell>
          <cell r="K249">
            <v>37092</v>
          </cell>
          <cell r="L249">
            <v>37054</v>
          </cell>
        </row>
        <row r="250">
          <cell r="E250" t="str">
            <v>ME</v>
          </cell>
          <cell r="G250">
            <v>37001</v>
          </cell>
          <cell r="H250">
            <v>37040</v>
          </cell>
          <cell r="I250">
            <v>37054</v>
          </cell>
          <cell r="J250">
            <v>37076</v>
          </cell>
          <cell r="K250">
            <v>37092</v>
          </cell>
          <cell r="L250">
            <v>37054</v>
          </cell>
        </row>
        <row r="251">
          <cell r="E251" t="str">
            <v>ME</v>
          </cell>
          <cell r="G251">
            <v>37001</v>
          </cell>
          <cell r="H251">
            <v>37040</v>
          </cell>
          <cell r="I251">
            <v>37054</v>
          </cell>
          <cell r="J251">
            <v>37076</v>
          </cell>
          <cell r="K251">
            <v>37092</v>
          </cell>
          <cell r="L251">
            <v>37054</v>
          </cell>
        </row>
        <row r="252">
          <cell r="E252" t="str">
            <v>ME</v>
          </cell>
          <cell r="G252">
            <v>37123</v>
          </cell>
          <cell r="H252">
            <v>37154</v>
          </cell>
          <cell r="I252">
            <v>37169</v>
          </cell>
          <cell r="J252">
            <v>37194</v>
          </cell>
          <cell r="K252">
            <v>37210</v>
          </cell>
          <cell r="L252">
            <v>37054</v>
          </cell>
        </row>
        <row r="253">
          <cell r="E253" t="str">
            <v>ME</v>
          </cell>
          <cell r="G253">
            <v>37123</v>
          </cell>
          <cell r="H253">
            <v>37154</v>
          </cell>
          <cell r="I253">
            <v>37169</v>
          </cell>
          <cell r="J253">
            <v>37194</v>
          </cell>
          <cell r="K253">
            <v>37210</v>
          </cell>
          <cell r="L253">
            <v>37054</v>
          </cell>
        </row>
        <row r="258">
          <cell r="E258" t="str">
            <v>HV</v>
          </cell>
          <cell r="G258">
            <v>37037</v>
          </cell>
          <cell r="H258">
            <v>37097</v>
          </cell>
          <cell r="I258">
            <v>37127</v>
          </cell>
          <cell r="J258">
            <v>37148</v>
          </cell>
          <cell r="K258">
            <v>37169</v>
          </cell>
          <cell r="L258">
            <v>37176</v>
          </cell>
        </row>
        <row r="259">
          <cell r="E259" t="str">
            <v>HV</v>
          </cell>
          <cell r="G259">
            <v>37037</v>
          </cell>
          <cell r="H259">
            <v>37097</v>
          </cell>
          <cell r="I259">
            <v>37127</v>
          </cell>
          <cell r="J259">
            <v>37148</v>
          </cell>
          <cell r="K259">
            <v>37169</v>
          </cell>
          <cell r="L259">
            <v>37176</v>
          </cell>
        </row>
        <row r="260">
          <cell r="E260" t="str">
            <v>HV</v>
          </cell>
          <cell r="G260">
            <v>37037</v>
          </cell>
          <cell r="H260">
            <v>37097</v>
          </cell>
          <cell r="I260">
            <v>37127</v>
          </cell>
          <cell r="J260">
            <v>37148</v>
          </cell>
          <cell r="K260">
            <v>37169</v>
          </cell>
          <cell r="L260">
            <v>37176</v>
          </cell>
        </row>
        <row r="261">
          <cell r="E261" t="str">
            <v>HV</v>
          </cell>
          <cell r="G261">
            <v>37037</v>
          </cell>
          <cell r="H261">
            <v>37097</v>
          </cell>
          <cell r="I261">
            <v>37127</v>
          </cell>
          <cell r="J261">
            <v>37148</v>
          </cell>
          <cell r="K261">
            <v>37169</v>
          </cell>
          <cell r="L261">
            <v>37176</v>
          </cell>
        </row>
        <row r="262">
          <cell r="E262" t="str">
            <v>HV</v>
          </cell>
          <cell r="G262">
            <v>37037</v>
          </cell>
          <cell r="H262">
            <v>37097</v>
          </cell>
          <cell r="I262">
            <v>37127</v>
          </cell>
          <cell r="J262">
            <v>37148</v>
          </cell>
          <cell r="K262">
            <v>37169</v>
          </cell>
          <cell r="L262">
            <v>37176</v>
          </cell>
        </row>
        <row r="263">
          <cell r="E263" t="str">
            <v>HV</v>
          </cell>
          <cell r="G263">
            <v>37037</v>
          </cell>
          <cell r="H263">
            <v>37097</v>
          </cell>
          <cell r="I263">
            <v>37127</v>
          </cell>
          <cell r="J263">
            <v>37148</v>
          </cell>
          <cell r="K263">
            <v>37169</v>
          </cell>
          <cell r="L263">
            <v>37176</v>
          </cell>
        </row>
        <row r="264">
          <cell r="E264" t="str">
            <v>HV</v>
          </cell>
          <cell r="G264">
            <v>37037</v>
          </cell>
          <cell r="H264">
            <v>37097</v>
          </cell>
          <cell r="I264">
            <v>37127</v>
          </cell>
          <cell r="J264">
            <v>37148</v>
          </cell>
          <cell r="K264">
            <v>37169</v>
          </cell>
          <cell r="L264">
            <v>37176</v>
          </cell>
        </row>
        <row r="265">
          <cell r="E265" t="str">
            <v>HV</v>
          </cell>
          <cell r="G265">
            <v>37037</v>
          </cell>
          <cell r="H265">
            <v>37097</v>
          </cell>
          <cell r="I265">
            <v>37127</v>
          </cell>
          <cell r="J265">
            <v>37148</v>
          </cell>
          <cell r="K265">
            <v>37169</v>
          </cell>
          <cell r="L265">
            <v>37176</v>
          </cell>
        </row>
        <row r="266">
          <cell r="E266" t="str">
            <v>HV</v>
          </cell>
          <cell r="G266">
            <v>37037</v>
          </cell>
          <cell r="H266">
            <v>37097</v>
          </cell>
          <cell r="I266">
            <v>37127</v>
          </cell>
          <cell r="J266">
            <v>37148</v>
          </cell>
          <cell r="K266">
            <v>37169</v>
          </cell>
          <cell r="L266">
            <v>37176</v>
          </cell>
        </row>
        <row r="267">
          <cell r="E267" t="str">
            <v>HV</v>
          </cell>
          <cell r="G267">
            <v>37037</v>
          </cell>
          <cell r="H267">
            <v>37097</v>
          </cell>
          <cell r="I267">
            <v>37127</v>
          </cell>
          <cell r="J267">
            <v>37148</v>
          </cell>
          <cell r="K267">
            <v>37169</v>
          </cell>
          <cell r="L267">
            <v>37176</v>
          </cell>
        </row>
        <row r="268">
          <cell r="E268" t="str">
            <v>HV</v>
          </cell>
          <cell r="G268">
            <v>37037</v>
          </cell>
          <cell r="H268">
            <v>37097</v>
          </cell>
          <cell r="I268">
            <v>37127</v>
          </cell>
          <cell r="J268">
            <v>37148</v>
          </cell>
          <cell r="K268">
            <v>37169</v>
          </cell>
          <cell r="L268">
            <v>37176</v>
          </cell>
        </row>
        <row r="269">
          <cell r="E269" t="str">
            <v>HV</v>
          </cell>
          <cell r="G269">
            <v>37037</v>
          </cell>
          <cell r="H269">
            <v>37097</v>
          </cell>
          <cell r="I269">
            <v>37127</v>
          </cell>
          <cell r="J269">
            <v>37148</v>
          </cell>
          <cell r="K269">
            <v>37169</v>
          </cell>
          <cell r="L269">
            <v>37176</v>
          </cell>
        </row>
        <row r="270">
          <cell r="E270" t="str">
            <v>HV</v>
          </cell>
          <cell r="G270">
            <v>37037</v>
          </cell>
          <cell r="H270">
            <v>37097</v>
          </cell>
          <cell r="I270">
            <v>37127</v>
          </cell>
          <cell r="J270">
            <v>37148</v>
          </cell>
          <cell r="K270">
            <v>37169</v>
          </cell>
          <cell r="L270">
            <v>37176</v>
          </cell>
        </row>
        <row r="271">
          <cell r="E271" t="str">
            <v>HV</v>
          </cell>
          <cell r="G271">
            <v>37037</v>
          </cell>
          <cell r="H271">
            <v>37097</v>
          </cell>
          <cell r="I271">
            <v>37127</v>
          </cell>
          <cell r="J271">
            <v>37148</v>
          </cell>
          <cell r="K271">
            <v>37169</v>
          </cell>
          <cell r="L271">
            <v>37176</v>
          </cell>
        </row>
        <row r="272">
          <cell r="E272" t="str">
            <v>HV</v>
          </cell>
          <cell r="G272">
            <v>37037</v>
          </cell>
          <cell r="H272">
            <v>37097</v>
          </cell>
          <cell r="I272">
            <v>37127</v>
          </cell>
          <cell r="J272">
            <v>37148</v>
          </cell>
          <cell r="K272">
            <v>37169</v>
          </cell>
          <cell r="L272">
            <v>37176</v>
          </cell>
        </row>
        <row r="273">
          <cell r="E273" t="str">
            <v>HV</v>
          </cell>
          <cell r="G273">
            <v>37037</v>
          </cell>
          <cell r="H273">
            <v>37097</v>
          </cell>
          <cell r="I273">
            <v>37127</v>
          </cell>
          <cell r="J273">
            <v>37148</v>
          </cell>
          <cell r="K273">
            <v>37169</v>
          </cell>
          <cell r="L273">
            <v>37176</v>
          </cell>
        </row>
        <row r="274">
          <cell r="E274" t="str">
            <v>HV</v>
          </cell>
          <cell r="G274">
            <v>37037</v>
          </cell>
          <cell r="H274">
            <v>37097</v>
          </cell>
          <cell r="I274">
            <v>37127</v>
          </cell>
          <cell r="J274">
            <v>37148</v>
          </cell>
          <cell r="K274">
            <v>37169</v>
          </cell>
          <cell r="L274">
            <v>37176</v>
          </cell>
        </row>
        <row r="275">
          <cell r="E275" t="str">
            <v>HV</v>
          </cell>
          <cell r="G275">
            <v>37037</v>
          </cell>
          <cell r="H275">
            <v>37097</v>
          </cell>
          <cell r="I275">
            <v>37127</v>
          </cell>
          <cell r="J275">
            <v>37148</v>
          </cell>
          <cell r="K275">
            <v>37169</v>
          </cell>
          <cell r="L275">
            <v>37176</v>
          </cell>
        </row>
        <row r="276">
          <cell r="E276" t="str">
            <v>HV</v>
          </cell>
          <cell r="G276">
            <v>37037</v>
          </cell>
          <cell r="H276">
            <v>37097</v>
          </cell>
          <cell r="I276">
            <v>37127</v>
          </cell>
          <cell r="J276">
            <v>37148</v>
          </cell>
          <cell r="K276">
            <v>37169</v>
          </cell>
          <cell r="L276">
            <v>37176</v>
          </cell>
        </row>
        <row r="277">
          <cell r="E277" t="str">
            <v>HV</v>
          </cell>
          <cell r="G277">
            <v>37037</v>
          </cell>
          <cell r="H277">
            <v>37097</v>
          </cell>
          <cell r="I277">
            <v>37127</v>
          </cell>
          <cell r="J277">
            <v>37148</v>
          </cell>
          <cell r="K277">
            <v>37169</v>
          </cell>
          <cell r="L277">
            <v>37176</v>
          </cell>
        </row>
        <row r="278">
          <cell r="E278" t="str">
            <v>HV</v>
          </cell>
          <cell r="G278">
            <v>37037</v>
          </cell>
          <cell r="H278">
            <v>37097</v>
          </cell>
          <cell r="I278">
            <v>37127</v>
          </cell>
          <cell r="J278">
            <v>37148</v>
          </cell>
          <cell r="K278">
            <v>37169</v>
          </cell>
          <cell r="L278">
            <v>37176</v>
          </cell>
        </row>
        <row r="279">
          <cell r="E279" t="str">
            <v>HV</v>
          </cell>
          <cell r="G279">
            <v>37037</v>
          </cell>
          <cell r="H279">
            <v>37097</v>
          </cell>
          <cell r="I279">
            <v>37127</v>
          </cell>
          <cell r="J279">
            <v>37148</v>
          </cell>
          <cell r="K279">
            <v>37169</v>
          </cell>
          <cell r="L279">
            <v>37176</v>
          </cell>
        </row>
        <row r="280">
          <cell r="E280" t="str">
            <v>HV</v>
          </cell>
          <cell r="G280">
            <v>37037</v>
          </cell>
          <cell r="H280">
            <v>37097</v>
          </cell>
          <cell r="I280">
            <v>37127</v>
          </cell>
          <cell r="J280">
            <v>37148</v>
          </cell>
          <cell r="K280">
            <v>37169</v>
          </cell>
          <cell r="L280">
            <v>37176</v>
          </cell>
        </row>
        <row r="281">
          <cell r="E281" t="str">
            <v>HV</v>
          </cell>
          <cell r="G281">
            <v>37037</v>
          </cell>
          <cell r="H281">
            <v>37097</v>
          </cell>
          <cell r="I281">
            <v>37127</v>
          </cell>
          <cell r="J281">
            <v>37148</v>
          </cell>
          <cell r="K281">
            <v>37169</v>
          </cell>
          <cell r="L281">
            <v>37176</v>
          </cell>
        </row>
        <row r="282">
          <cell r="E282" t="str">
            <v>HV</v>
          </cell>
          <cell r="G282">
            <v>37017</v>
          </cell>
          <cell r="H282">
            <v>37077</v>
          </cell>
          <cell r="I282">
            <v>37107</v>
          </cell>
          <cell r="J282">
            <v>37128</v>
          </cell>
          <cell r="K282">
            <v>37149</v>
          </cell>
          <cell r="L282">
            <v>37176</v>
          </cell>
        </row>
        <row r="283">
          <cell r="E283" t="str">
            <v>HV</v>
          </cell>
          <cell r="G283">
            <v>37017</v>
          </cell>
          <cell r="H283">
            <v>37077</v>
          </cell>
          <cell r="I283">
            <v>37107</v>
          </cell>
          <cell r="J283">
            <v>37128</v>
          </cell>
          <cell r="K283">
            <v>37149</v>
          </cell>
          <cell r="L283">
            <v>37176</v>
          </cell>
        </row>
        <row r="284">
          <cell r="E284" t="str">
            <v>HV</v>
          </cell>
          <cell r="G284">
            <v>37017</v>
          </cell>
          <cell r="H284">
            <v>37077</v>
          </cell>
          <cell r="I284">
            <v>37107</v>
          </cell>
          <cell r="J284">
            <v>37128</v>
          </cell>
          <cell r="K284">
            <v>37149</v>
          </cell>
          <cell r="L284">
            <v>37176</v>
          </cell>
        </row>
        <row r="285">
          <cell r="E285" t="str">
            <v>HV</v>
          </cell>
          <cell r="G285">
            <v>37017</v>
          </cell>
          <cell r="H285">
            <v>37077</v>
          </cell>
          <cell r="I285">
            <v>37107</v>
          </cell>
          <cell r="J285">
            <v>37128</v>
          </cell>
          <cell r="K285">
            <v>37149</v>
          </cell>
          <cell r="L285">
            <v>37176</v>
          </cell>
        </row>
        <row r="286">
          <cell r="E286" t="str">
            <v>HV</v>
          </cell>
          <cell r="G286">
            <v>37017</v>
          </cell>
          <cell r="H286">
            <v>37077</v>
          </cell>
          <cell r="I286">
            <v>37107</v>
          </cell>
          <cell r="J286">
            <v>37128</v>
          </cell>
          <cell r="K286">
            <v>37149</v>
          </cell>
          <cell r="L286">
            <v>37176</v>
          </cell>
        </row>
        <row r="287">
          <cell r="E287" t="str">
            <v>HV</v>
          </cell>
          <cell r="G287">
            <v>37017</v>
          </cell>
          <cell r="H287">
            <v>37077</v>
          </cell>
          <cell r="I287">
            <v>37107</v>
          </cell>
          <cell r="J287">
            <v>37128</v>
          </cell>
          <cell r="K287">
            <v>37149</v>
          </cell>
          <cell r="L287">
            <v>37176</v>
          </cell>
        </row>
        <row r="288">
          <cell r="E288" t="str">
            <v>HV</v>
          </cell>
          <cell r="G288">
            <v>37017</v>
          </cell>
          <cell r="H288">
            <v>37077</v>
          </cell>
          <cell r="I288">
            <v>37107</v>
          </cell>
          <cell r="J288">
            <v>37128</v>
          </cell>
          <cell r="K288">
            <v>37149</v>
          </cell>
          <cell r="L288">
            <v>37176</v>
          </cell>
        </row>
        <row r="289">
          <cell r="E289" t="str">
            <v>HV</v>
          </cell>
          <cell r="G289">
            <v>37017</v>
          </cell>
          <cell r="H289">
            <v>37077</v>
          </cell>
          <cell r="I289">
            <v>37107</v>
          </cell>
          <cell r="J289">
            <v>37128</v>
          </cell>
          <cell r="K289">
            <v>37149</v>
          </cell>
          <cell r="L289">
            <v>37176</v>
          </cell>
        </row>
        <row r="290">
          <cell r="E290" t="str">
            <v>HV</v>
          </cell>
          <cell r="G290">
            <v>37017</v>
          </cell>
          <cell r="H290">
            <v>37077</v>
          </cell>
          <cell r="I290">
            <v>37107</v>
          </cell>
          <cell r="J290">
            <v>37128</v>
          </cell>
          <cell r="K290">
            <v>37149</v>
          </cell>
          <cell r="L290">
            <v>37176</v>
          </cell>
        </row>
        <row r="291">
          <cell r="E291" t="str">
            <v>HV</v>
          </cell>
          <cell r="G291">
            <v>37017</v>
          </cell>
          <cell r="H291">
            <v>37077</v>
          </cell>
          <cell r="I291">
            <v>37107</v>
          </cell>
          <cell r="J291">
            <v>37128</v>
          </cell>
          <cell r="K291">
            <v>37149</v>
          </cell>
          <cell r="L291">
            <v>37176</v>
          </cell>
        </row>
        <row r="292">
          <cell r="E292" t="str">
            <v>HV</v>
          </cell>
          <cell r="G292">
            <v>37017</v>
          </cell>
          <cell r="H292">
            <v>37077</v>
          </cell>
          <cell r="I292">
            <v>37107</v>
          </cell>
          <cell r="J292">
            <v>37128</v>
          </cell>
          <cell r="K292">
            <v>37149</v>
          </cell>
          <cell r="L292">
            <v>37176</v>
          </cell>
        </row>
        <row r="293">
          <cell r="E293" t="str">
            <v>HV</v>
          </cell>
          <cell r="G293">
            <v>37017</v>
          </cell>
          <cell r="H293">
            <v>37077</v>
          </cell>
          <cell r="I293">
            <v>37107</v>
          </cell>
          <cell r="J293">
            <v>37128</v>
          </cell>
          <cell r="K293">
            <v>37149</v>
          </cell>
          <cell r="L293">
            <v>37176</v>
          </cell>
        </row>
        <row r="294">
          <cell r="E294" t="str">
            <v>HV</v>
          </cell>
          <cell r="G294">
            <v>37017</v>
          </cell>
          <cell r="H294">
            <v>37077</v>
          </cell>
          <cell r="I294">
            <v>37107</v>
          </cell>
          <cell r="J294">
            <v>37128</v>
          </cell>
          <cell r="K294">
            <v>37149</v>
          </cell>
          <cell r="L294">
            <v>37176</v>
          </cell>
        </row>
        <row r="295">
          <cell r="E295" t="str">
            <v>HV</v>
          </cell>
          <cell r="G295">
            <v>37017</v>
          </cell>
          <cell r="H295">
            <v>37077</v>
          </cell>
          <cell r="I295">
            <v>37107</v>
          </cell>
          <cell r="J295">
            <v>37128</v>
          </cell>
          <cell r="K295">
            <v>37149</v>
          </cell>
          <cell r="L295">
            <v>37176</v>
          </cell>
        </row>
        <row r="296">
          <cell r="E296" t="str">
            <v>HV</v>
          </cell>
          <cell r="G296">
            <v>37017</v>
          </cell>
          <cell r="H296">
            <v>37077</v>
          </cell>
          <cell r="I296">
            <v>37107</v>
          </cell>
          <cell r="J296">
            <v>37128</v>
          </cell>
          <cell r="K296">
            <v>37149</v>
          </cell>
          <cell r="L296">
            <v>37176</v>
          </cell>
        </row>
        <row r="297">
          <cell r="E297" t="str">
            <v>HV</v>
          </cell>
          <cell r="G297">
            <v>37037</v>
          </cell>
          <cell r="H297">
            <v>37097</v>
          </cell>
          <cell r="I297">
            <v>37127</v>
          </cell>
          <cell r="J297">
            <v>37148</v>
          </cell>
          <cell r="K297">
            <v>37169</v>
          </cell>
          <cell r="L297">
            <v>37176</v>
          </cell>
        </row>
        <row r="298">
          <cell r="E298" t="str">
            <v>HV</v>
          </cell>
          <cell r="G298">
            <v>37037</v>
          </cell>
          <cell r="H298">
            <v>37097</v>
          </cell>
          <cell r="I298">
            <v>37127</v>
          </cell>
          <cell r="J298">
            <v>37148</v>
          </cell>
          <cell r="K298">
            <v>37169</v>
          </cell>
          <cell r="L298">
            <v>37176</v>
          </cell>
        </row>
        <row r="299">
          <cell r="E299" t="str">
            <v>HV</v>
          </cell>
          <cell r="G299">
            <v>37037</v>
          </cell>
          <cell r="H299">
            <v>37097</v>
          </cell>
          <cell r="I299">
            <v>37127</v>
          </cell>
          <cell r="J299">
            <v>37148</v>
          </cell>
          <cell r="K299">
            <v>37169</v>
          </cell>
          <cell r="L299">
            <v>37176</v>
          </cell>
        </row>
        <row r="300">
          <cell r="E300" t="str">
            <v>HV</v>
          </cell>
          <cell r="G300">
            <v>37001</v>
          </cell>
          <cell r="H300">
            <v>37061</v>
          </cell>
          <cell r="I300">
            <v>37091</v>
          </cell>
          <cell r="J300">
            <v>37112</v>
          </cell>
          <cell r="K300">
            <v>37133</v>
          </cell>
          <cell r="L300">
            <v>37176</v>
          </cell>
        </row>
        <row r="301">
          <cell r="E301" t="str">
            <v>HV</v>
          </cell>
          <cell r="G301">
            <v>37001</v>
          </cell>
          <cell r="H301">
            <v>37061</v>
          </cell>
          <cell r="I301">
            <v>37091</v>
          </cell>
          <cell r="J301">
            <v>37112</v>
          </cell>
          <cell r="K301">
            <v>37133</v>
          </cell>
          <cell r="L301">
            <v>37176</v>
          </cell>
        </row>
        <row r="302">
          <cell r="E302" t="str">
            <v>HV</v>
          </cell>
          <cell r="G302">
            <v>37037</v>
          </cell>
          <cell r="H302">
            <v>37097</v>
          </cell>
          <cell r="I302">
            <v>37127</v>
          </cell>
          <cell r="J302">
            <v>37148</v>
          </cell>
          <cell r="K302">
            <v>37169</v>
          </cell>
          <cell r="L302">
            <v>37176</v>
          </cell>
        </row>
        <row r="307">
          <cell r="E307" t="str">
            <v>PI</v>
          </cell>
          <cell r="G307">
            <v>36982</v>
          </cell>
          <cell r="H307">
            <v>37042</v>
          </cell>
          <cell r="I307">
            <v>37057</v>
          </cell>
          <cell r="J307">
            <v>37134</v>
          </cell>
          <cell r="K307">
            <v>37154</v>
          </cell>
          <cell r="L307">
            <v>37176</v>
          </cell>
        </row>
        <row r="308">
          <cell r="E308" t="str">
            <v>PI</v>
          </cell>
          <cell r="G308">
            <v>36982</v>
          </cell>
          <cell r="H308">
            <v>37042</v>
          </cell>
          <cell r="I308">
            <v>37057</v>
          </cell>
          <cell r="J308">
            <v>37134</v>
          </cell>
          <cell r="K308">
            <v>37154</v>
          </cell>
          <cell r="L308">
            <v>37176</v>
          </cell>
        </row>
        <row r="309">
          <cell r="E309" t="str">
            <v>PI</v>
          </cell>
          <cell r="G309">
            <v>36982</v>
          </cell>
          <cell r="H309">
            <v>37042</v>
          </cell>
          <cell r="I309">
            <v>37057</v>
          </cell>
          <cell r="J309">
            <v>37134</v>
          </cell>
          <cell r="K309">
            <v>37154</v>
          </cell>
          <cell r="L309">
            <v>37176</v>
          </cell>
        </row>
        <row r="310">
          <cell r="E310" t="str">
            <v>PI</v>
          </cell>
          <cell r="G310">
            <v>36982</v>
          </cell>
          <cell r="H310">
            <v>37042</v>
          </cell>
          <cell r="I310">
            <v>37057</v>
          </cell>
          <cell r="J310">
            <v>37134</v>
          </cell>
          <cell r="K310">
            <v>37154</v>
          </cell>
          <cell r="L310">
            <v>37176</v>
          </cell>
        </row>
        <row r="311">
          <cell r="E311" t="str">
            <v>PI</v>
          </cell>
          <cell r="G311">
            <v>36982</v>
          </cell>
          <cell r="H311">
            <v>37042</v>
          </cell>
          <cell r="I311">
            <v>37057</v>
          </cell>
          <cell r="J311">
            <v>37134</v>
          </cell>
          <cell r="K311">
            <v>37154</v>
          </cell>
          <cell r="L311">
            <v>37176</v>
          </cell>
        </row>
        <row r="312">
          <cell r="E312" t="str">
            <v>PI</v>
          </cell>
          <cell r="G312">
            <v>36982</v>
          </cell>
          <cell r="H312">
            <v>37042</v>
          </cell>
          <cell r="I312">
            <v>37057</v>
          </cell>
          <cell r="J312">
            <v>37134</v>
          </cell>
          <cell r="K312">
            <v>37154</v>
          </cell>
          <cell r="L312">
            <v>37176</v>
          </cell>
        </row>
        <row r="313">
          <cell r="E313" t="str">
            <v>PI</v>
          </cell>
          <cell r="G313">
            <v>36982</v>
          </cell>
          <cell r="H313">
            <v>37042</v>
          </cell>
          <cell r="I313">
            <v>37057</v>
          </cell>
          <cell r="J313">
            <v>37134</v>
          </cell>
          <cell r="K313">
            <v>37154</v>
          </cell>
          <cell r="L313">
            <v>37176</v>
          </cell>
        </row>
        <row r="314">
          <cell r="E314" t="str">
            <v>PI</v>
          </cell>
          <cell r="G314">
            <v>36982</v>
          </cell>
          <cell r="H314">
            <v>37042</v>
          </cell>
          <cell r="I314">
            <v>37057</v>
          </cell>
          <cell r="J314">
            <v>37134</v>
          </cell>
          <cell r="K314">
            <v>37154</v>
          </cell>
          <cell r="L314">
            <v>37176</v>
          </cell>
        </row>
        <row r="315">
          <cell r="E315" t="str">
            <v>PI</v>
          </cell>
          <cell r="G315">
            <v>36982</v>
          </cell>
          <cell r="H315">
            <v>37042</v>
          </cell>
          <cell r="I315">
            <v>37057</v>
          </cell>
          <cell r="J315">
            <v>37134</v>
          </cell>
          <cell r="K315">
            <v>37154</v>
          </cell>
          <cell r="L315">
            <v>37176</v>
          </cell>
        </row>
        <row r="316">
          <cell r="E316" t="str">
            <v>PI</v>
          </cell>
          <cell r="G316">
            <v>36982</v>
          </cell>
          <cell r="H316">
            <v>37042</v>
          </cell>
          <cell r="I316">
            <v>37057</v>
          </cell>
          <cell r="J316">
            <v>37134</v>
          </cell>
          <cell r="K316">
            <v>37154</v>
          </cell>
          <cell r="L316">
            <v>37176</v>
          </cell>
        </row>
        <row r="317">
          <cell r="E317" t="str">
            <v>PI</v>
          </cell>
          <cell r="G317">
            <v>36982</v>
          </cell>
          <cell r="H317">
            <v>37042</v>
          </cell>
          <cell r="I317">
            <v>37057</v>
          </cell>
          <cell r="J317">
            <v>37134</v>
          </cell>
          <cell r="K317">
            <v>37154</v>
          </cell>
          <cell r="L317">
            <v>37176</v>
          </cell>
        </row>
        <row r="318">
          <cell r="E318" t="str">
            <v>PI</v>
          </cell>
          <cell r="G318">
            <v>37026</v>
          </cell>
          <cell r="H318">
            <v>37102</v>
          </cell>
          <cell r="I318">
            <v>37123</v>
          </cell>
          <cell r="J318">
            <v>37169</v>
          </cell>
          <cell r="K318">
            <v>37212</v>
          </cell>
          <cell r="L318">
            <v>37176</v>
          </cell>
        </row>
        <row r="319">
          <cell r="E319" t="str">
            <v>PI</v>
          </cell>
          <cell r="G319">
            <v>37026</v>
          </cell>
          <cell r="H319">
            <v>37102</v>
          </cell>
          <cell r="I319">
            <v>37123</v>
          </cell>
          <cell r="J319">
            <v>37169</v>
          </cell>
          <cell r="K319">
            <v>37212</v>
          </cell>
          <cell r="L319">
            <v>37176</v>
          </cell>
        </row>
        <row r="320">
          <cell r="E320" t="str">
            <v>PI</v>
          </cell>
          <cell r="G320">
            <v>37026</v>
          </cell>
          <cell r="H320">
            <v>37102</v>
          </cell>
          <cell r="I320">
            <v>37123</v>
          </cell>
          <cell r="J320">
            <v>37169</v>
          </cell>
          <cell r="K320">
            <v>37212</v>
          </cell>
          <cell r="L320">
            <v>37176</v>
          </cell>
        </row>
        <row r="321">
          <cell r="E321" t="str">
            <v>PI</v>
          </cell>
          <cell r="G321">
            <v>37026</v>
          </cell>
          <cell r="H321">
            <v>37102</v>
          </cell>
          <cell r="I321">
            <v>37123</v>
          </cell>
          <cell r="J321">
            <v>37169</v>
          </cell>
          <cell r="K321">
            <v>37212</v>
          </cell>
          <cell r="L321">
            <v>37176</v>
          </cell>
        </row>
        <row r="322">
          <cell r="E322" t="str">
            <v>PI</v>
          </cell>
          <cell r="G322">
            <v>37026</v>
          </cell>
          <cell r="H322">
            <v>37102</v>
          </cell>
          <cell r="I322">
            <v>37123</v>
          </cell>
          <cell r="J322">
            <v>37169</v>
          </cell>
          <cell r="K322">
            <v>37212</v>
          </cell>
          <cell r="L322">
            <v>37176</v>
          </cell>
        </row>
        <row r="323">
          <cell r="E323" t="str">
            <v>PI</v>
          </cell>
          <cell r="G323">
            <v>37026</v>
          </cell>
          <cell r="H323">
            <v>37102</v>
          </cell>
          <cell r="I323">
            <v>37123</v>
          </cell>
          <cell r="J323">
            <v>37169</v>
          </cell>
          <cell r="K323">
            <v>37212</v>
          </cell>
          <cell r="L323">
            <v>37176</v>
          </cell>
        </row>
        <row r="324">
          <cell r="E324" t="str">
            <v>PI</v>
          </cell>
          <cell r="G324">
            <v>37026</v>
          </cell>
          <cell r="H324">
            <v>37102</v>
          </cell>
          <cell r="I324">
            <v>37123</v>
          </cell>
          <cell r="J324">
            <v>37169</v>
          </cell>
          <cell r="K324">
            <v>37212</v>
          </cell>
          <cell r="L324">
            <v>37176</v>
          </cell>
        </row>
        <row r="325">
          <cell r="E325" t="str">
            <v>PI</v>
          </cell>
          <cell r="G325">
            <v>37026</v>
          </cell>
          <cell r="H325">
            <v>37102</v>
          </cell>
          <cell r="I325">
            <v>37123</v>
          </cell>
          <cell r="J325">
            <v>37169</v>
          </cell>
          <cell r="K325">
            <v>37212</v>
          </cell>
          <cell r="L325">
            <v>37176</v>
          </cell>
        </row>
        <row r="326">
          <cell r="E326" t="str">
            <v>PI</v>
          </cell>
          <cell r="G326">
            <v>37026</v>
          </cell>
          <cell r="H326">
            <v>37102</v>
          </cell>
          <cell r="I326">
            <v>37123</v>
          </cell>
          <cell r="J326">
            <v>37169</v>
          </cell>
          <cell r="K326">
            <v>37212</v>
          </cell>
          <cell r="L326">
            <v>37176</v>
          </cell>
        </row>
        <row r="327">
          <cell r="E327" t="str">
            <v>PI</v>
          </cell>
          <cell r="G327">
            <v>37026</v>
          </cell>
          <cell r="H327">
            <v>37102</v>
          </cell>
          <cell r="I327">
            <v>37123</v>
          </cell>
          <cell r="J327">
            <v>37169</v>
          </cell>
          <cell r="K327">
            <v>37212</v>
          </cell>
          <cell r="L327">
            <v>37176</v>
          </cell>
        </row>
        <row r="328">
          <cell r="E328" t="str">
            <v>PI</v>
          </cell>
          <cell r="G328">
            <v>37026</v>
          </cell>
          <cell r="H328">
            <v>37102</v>
          </cell>
          <cell r="I328">
            <v>37123</v>
          </cell>
          <cell r="J328">
            <v>37169</v>
          </cell>
          <cell r="K328">
            <v>37212</v>
          </cell>
          <cell r="L328">
            <v>37176</v>
          </cell>
        </row>
        <row r="329">
          <cell r="E329" t="str">
            <v>PI</v>
          </cell>
          <cell r="G329">
            <v>37026</v>
          </cell>
          <cell r="H329">
            <v>37102</v>
          </cell>
          <cell r="I329">
            <v>37123</v>
          </cell>
          <cell r="J329">
            <v>37169</v>
          </cell>
          <cell r="K329">
            <v>37212</v>
          </cell>
          <cell r="L329">
            <v>37176</v>
          </cell>
        </row>
        <row r="330">
          <cell r="E330" t="str">
            <v>PI</v>
          </cell>
          <cell r="G330">
            <v>37026</v>
          </cell>
          <cell r="H330">
            <v>37102</v>
          </cell>
          <cell r="I330">
            <v>37123</v>
          </cell>
          <cell r="J330">
            <v>37169</v>
          </cell>
          <cell r="K330">
            <v>37212</v>
          </cell>
          <cell r="L330">
            <v>37176</v>
          </cell>
        </row>
        <row r="331">
          <cell r="E331" t="str">
            <v>PI</v>
          </cell>
          <cell r="G331">
            <v>37026</v>
          </cell>
          <cell r="H331">
            <v>37102</v>
          </cell>
          <cell r="I331">
            <v>37123</v>
          </cell>
          <cell r="J331">
            <v>37169</v>
          </cell>
          <cell r="K331">
            <v>37212</v>
          </cell>
          <cell r="L331">
            <v>37176</v>
          </cell>
        </row>
        <row r="332">
          <cell r="E332" t="str">
            <v>PI</v>
          </cell>
          <cell r="G332">
            <v>37026</v>
          </cell>
          <cell r="H332">
            <v>37102</v>
          </cell>
          <cell r="I332">
            <v>37123</v>
          </cell>
          <cell r="J332">
            <v>37169</v>
          </cell>
          <cell r="K332">
            <v>37212</v>
          </cell>
          <cell r="L332">
            <v>37176</v>
          </cell>
        </row>
        <row r="333">
          <cell r="E333" t="str">
            <v>PI</v>
          </cell>
          <cell r="G333">
            <v>37026</v>
          </cell>
          <cell r="H333">
            <v>37102</v>
          </cell>
          <cell r="I333">
            <v>37123</v>
          </cell>
          <cell r="J333">
            <v>37169</v>
          </cell>
          <cell r="K333">
            <v>37212</v>
          </cell>
          <cell r="L333">
            <v>37176</v>
          </cell>
        </row>
        <row r="334">
          <cell r="E334" t="str">
            <v>PI</v>
          </cell>
          <cell r="G334">
            <v>37026</v>
          </cell>
          <cell r="H334">
            <v>37102</v>
          </cell>
          <cell r="I334">
            <v>37123</v>
          </cell>
          <cell r="J334">
            <v>37169</v>
          </cell>
          <cell r="K334">
            <v>37212</v>
          </cell>
          <cell r="L334">
            <v>37176</v>
          </cell>
        </row>
        <row r="335">
          <cell r="E335" t="str">
            <v>PI</v>
          </cell>
          <cell r="G335">
            <v>37026</v>
          </cell>
          <cell r="H335">
            <v>37102</v>
          </cell>
          <cell r="I335">
            <v>37123</v>
          </cell>
          <cell r="J335">
            <v>37169</v>
          </cell>
          <cell r="K335">
            <v>37212</v>
          </cell>
          <cell r="L335">
            <v>37176</v>
          </cell>
        </row>
        <row r="336">
          <cell r="E336" t="str">
            <v>PI</v>
          </cell>
          <cell r="G336">
            <v>37026</v>
          </cell>
          <cell r="H336">
            <v>37102</v>
          </cell>
          <cell r="I336">
            <v>37123</v>
          </cell>
          <cell r="J336">
            <v>37169</v>
          </cell>
          <cell r="K336">
            <v>37212</v>
          </cell>
          <cell r="L336">
            <v>37176</v>
          </cell>
        </row>
        <row r="337">
          <cell r="E337" t="str">
            <v>PI</v>
          </cell>
          <cell r="G337">
            <v>37026</v>
          </cell>
          <cell r="H337">
            <v>37102</v>
          </cell>
          <cell r="I337">
            <v>37123</v>
          </cell>
          <cell r="J337">
            <v>37169</v>
          </cell>
          <cell r="K337">
            <v>37212</v>
          </cell>
          <cell r="L337">
            <v>37176</v>
          </cell>
        </row>
        <row r="338">
          <cell r="E338" t="str">
            <v>PI</v>
          </cell>
          <cell r="G338">
            <v>37026</v>
          </cell>
          <cell r="H338">
            <v>37102</v>
          </cell>
          <cell r="I338">
            <v>37123</v>
          </cell>
          <cell r="J338">
            <v>37169</v>
          </cell>
          <cell r="K338">
            <v>37212</v>
          </cell>
          <cell r="L338">
            <v>37176</v>
          </cell>
        </row>
        <row r="339">
          <cell r="E339" t="str">
            <v>PI</v>
          </cell>
          <cell r="G339">
            <v>37026</v>
          </cell>
          <cell r="H339">
            <v>37102</v>
          </cell>
          <cell r="I339">
            <v>37123</v>
          </cell>
          <cell r="J339">
            <v>37169</v>
          </cell>
          <cell r="K339">
            <v>37212</v>
          </cell>
          <cell r="L339">
            <v>37176</v>
          </cell>
        </row>
        <row r="340">
          <cell r="E340" t="str">
            <v>PI</v>
          </cell>
          <cell r="G340">
            <v>37026</v>
          </cell>
          <cell r="H340">
            <v>37102</v>
          </cell>
          <cell r="I340">
            <v>37123</v>
          </cell>
          <cell r="J340">
            <v>37169</v>
          </cell>
          <cell r="K340">
            <v>37212</v>
          </cell>
          <cell r="L340">
            <v>37176</v>
          </cell>
        </row>
        <row r="341">
          <cell r="E341" t="str">
            <v>PI</v>
          </cell>
          <cell r="G341">
            <v>37026</v>
          </cell>
          <cell r="H341">
            <v>37102</v>
          </cell>
          <cell r="I341">
            <v>37123</v>
          </cell>
          <cell r="J341">
            <v>37169</v>
          </cell>
          <cell r="K341">
            <v>37212</v>
          </cell>
          <cell r="L341">
            <v>37176</v>
          </cell>
        </row>
        <row r="342">
          <cell r="E342" t="str">
            <v>PI</v>
          </cell>
          <cell r="G342">
            <v>37026</v>
          </cell>
          <cell r="H342">
            <v>37102</v>
          </cell>
          <cell r="I342">
            <v>37123</v>
          </cell>
          <cell r="J342">
            <v>37169</v>
          </cell>
          <cell r="K342">
            <v>37212</v>
          </cell>
          <cell r="L342">
            <v>37176</v>
          </cell>
        </row>
        <row r="343">
          <cell r="E343" t="str">
            <v>PI</v>
          </cell>
          <cell r="G343">
            <v>37026</v>
          </cell>
          <cell r="H343">
            <v>37102</v>
          </cell>
          <cell r="I343">
            <v>37123</v>
          </cell>
          <cell r="J343">
            <v>37169</v>
          </cell>
          <cell r="K343">
            <v>37212</v>
          </cell>
          <cell r="L343">
            <v>37176</v>
          </cell>
        </row>
        <row r="344">
          <cell r="E344" t="str">
            <v>PI</v>
          </cell>
          <cell r="G344">
            <v>37026</v>
          </cell>
          <cell r="H344">
            <v>37102</v>
          </cell>
          <cell r="I344">
            <v>37123</v>
          </cell>
          <cell r="J344">
            <v>37169</v>
          </cell>
          <cell r="K344">
            <v>37212</v>
          </cell>
          <cell r="L344">
            <v>37176</v>
          </cell>
        </row>
        <row r="345">
          <cell r="E345" t="str">
            <v>PI</v>
          </cell>
          <cell r="G345">
            <v>37026</v>
          </cell>
          <cell r="H345">
            <v>37102</v>
          </cell>
          <cell r="I345">
            <v>37123</v>
          </cell>
          <cell r="J345">
            <v>37169</v>
          </cell>
          <cell r="K345">
            <v>37212</v>
          </cell>
          <cell r="L345">
            <v>37176</v>
          </cell>
        </row>
        <row r="346">
          <cell r="E346" t="str">
            <v>PI</v>
          </cell>
          <cell r="G346">
            <v>37026</v>
          </cell>
          <cell r="H346">
            <v>37102</v>
          </cell>
          <cell r="I346">
            <v>37123</v>
          </cell>
          <cell r="J346">
            <v>37169</v>
          </cell>
          <cell r="K346">
            <v>37212</v>
          </cell>
          <cell r="L346">
            <v>37176</v>
          </cell>
        </row>
        <row r="347">
          <cell r="E347" t="str">
            <v>PI</v>
          </cell>
          <cell r="G347">
            <v>37026</v>
          </cell>
          <cell r="H347">
            <v>37102</v>
          </cell>
          <cell r="I347">
            <v>37123</v>
          </cell>
          <cell r="J347">
            <v>37169</v>
          </cell>
          <cell r="K347">
            <v>37212</v>
          </cell>
          <cell r="L347">
            <v>37176</v>
          </cell>
        </row>
        <row r="348">
          <cell r="E348" t="str">
            <v>PI</v>
          </cell>
          <cell r="G348">
            <v>37026</v>
          </cell>
          <cell r="H348">
            <v>37102</v>
          </cell>
          <cell r="I348">
            <v>37123</v>
          </cell>
          <cell r="J348">
            <v>37169</v>
          </cell>
          <cell r="K348">
            <v>37212</v>
          </cell>
          <cell r="L348">
            <v>37176</v>
          </cell>
        </row>
        <row r="349">
          <cell r="E349" t="str">
            <v>PI</v>
          </cell>
          <cell r="G349">
            <v>37026</v>
          </cell>
          <cell r="H349">
            <v>37102</v>
          </cell>
          <cell r="I349">
            <v>37123</v>
          </cell>
          <cell r="J349">
            <v>37169</v>
          </cell>
          <cell r="K349">
            <v>37212</v>
          </cell>
          <cell r="L349">
            <v>37176</v>
          </cell>
        </row>
        <row r="350">
          <cell r="E350" t="str">
            <v>PI</v>
          </cell>
          <cell r="G350">
            <v>37104</v>
          </cell>
          <cell r="H350">
            <v>37133</v>
          </cell>
          <cell r="I350">
            <v>37144</v>
          </cell>
          <cell r="J350">
            <v>37183</v>
          </cell>
          <cell r="K350">
            <v>37225</v>
          </cell>
          <cell r="L350">
            <v>37176</v>
          </cell>
        </row>
        <row r="351">
          <cell r="E351" t="str">
            <v>PI</v>
          </cell>
          <cell r="G351">
            <v>37104</v>
          </cell>
          <cell r="H351">
            <v>37133</v>
          </cell>
          <cell r="I351">
            <v>37144</v>
          </cell>
          <cell r="J351">
            <v>37183</v>
          </cell>
          <cell r="K351">
            <v>37225</v>
          </cell>
          <cell r="L351">
            <v>37176</v>
          </cell>
        </row>
        <row r="352">
          <cell r="E352" t="str">
            <v>PI</v>
          </cell>
          <cell r="G352">
            <v>37104</v>
          </cell>
          <cell r="H352">
            <v>37133</v>
          </cell>
          <cell r="I352">
            <v>37144</v>
          </cell>
          <cell r="J352">
            <v>37183</v>
          </cell>
          <cell r="K352">
            <v>37225</v>
          </cell>
          <cell r="L352">
            <v>37176</v>
          </cell>
        </row>
        <row r="353">
          <cell r="E353" t="str">
            <v>PI</v>
          </cell>
          <cell r="G353">
            <v>37104</v>
          </cell>
          <cell r="H353">
            <v>37133</v>
          </cell>
          <cell r="I353">
            <v>37144</v>
          </cell>
          <cell r="J353">
            <v>37183</v>
          </cell>
          <cell r="K353">
            <v>37225</v>
          </cell>
          <cell r="L353">
            <v>37176</v>
          </cell>
        </row>
        <row r="354">
          <cell r="E354" t="str">
            <v>PI</v>
          </cell>
          <cell r="G354">
            <v>37104</v>
          </cell>
          <cell r="H354">
            <v>37133</v>
          </cell>
          <cell r="I354">
            <v>37144</v>
          </cell>
          <cell r="J354">
            <v>37183</v>
          </cell>
          <cell r="K354">
            <v>37225</v>
          </cell>
          <cell r="L354">
            <v>37176</v>
          </cell>
        </row>
        <row r="355">
          <cell r="E355" t="str">
            <v>PI</v>
          </cell>
          <cell r="G355">
            <v>37104</v>
          </cell>
          <cell r="H355">
            <v>37133</v>
          </cell>
          <cell r="I355">
            <v>37144</v>
          </cell>
          <cell r="J355">
            <v>37183</v>
          </cell>
          <cell r="K355">
            <v>37225</v>
          </cell>
          <cell r="L355">
            <v>37176</v>
          </cell>
        </row>
        <row r="356">
          <cell r="E356" t="str">
            <v>PI</v>
          </cell>
          <cell r="G356">
            <v>37104</v>
          </cell>
          <cell r="H356">
            <v>37133</v>
          </cell>
          <cell r="I356">
            <v>37144</v>
          </cell>
          <cell r="J356">
            <v>37183</v>
          </cell>
          <cell r="K356">
            <v>37225</v>
          </cell>
          <cell r="L356">
            <v>37176</v>
          </cell>
        </row>
        <row r="357">
          <cell r="E357" t="str">
            <v>PI</v>
          </cell>
          <cell r="G357">
            <v>37104</v>
          </cell>
          <cell r="H357">
            <v>37133</v>
          </cell>
          <cell r="I357">
            <v>37144</v>
          </cell>
          <cell r="J357">
            <v>37183</v>
          </cell>
          <cell r="K357">
            <v>37225</v>
          </cell>
          <cell r="L357">
            <v>37176</v>
          </cell>
        </row>
        <row r="358">
          <cell r="E358" t="str">
            <v>PI</v>
          </cell>
          <cell r="G358">
            <v>37104</v>
          </cell>
          <cell r="H358">
            <v>37133</v>
          </cell>
          <cell r="I358">
            <v>37144</v>
          </cell>
          <cell r="J358">
            <v>37183</v>
          </cell>
          <cell r="K358">
            <v>37225</v>
          </cell>
          <cell r="L358">
            <v>37176</v>
          </cell>
        </row>
        <row r="359">
          <cell r="E359" t="str">
            <v>PI</v>
          </cell>
          <cell r="G359">
            <v>37104</v>
          </cell>
          <cell r="H359">
            <v>37133</v>
          </cell>
          <cell r="I359">
            <v>37144</v>
          </cell>
          <cell r="J359">
            <v>37183</v>
          </cell>
          <cell r="K359">
            <v>37225</v>
          </cell>
          <cell r="L359">
            <v>37176</v>
          </cell>
        </row>
        <row r="360">
          <cell r="E360" t="str">
            <v>PI</v>
          </cell>
          <cell r="G360">
            <v>37104</v>
          </cell>
          <cell r="H360">
            <v>37133</v>
          </cell>
          <cell r="I360">
            <v>37144</v>
          </cell>
          <cell r="J360">
            <v>37183</v>
          </cell>
          <cell r="K360">
            <v>37225</v>
          </cell>
          <cell r="L360">
            <v>37176</v>
          </cell>
        </row>
        <row r="361">
          <cell r="E361" t="str">
            <v>PI</v>
          </cell>
          <cell r="G361">
            <v>37104</v>
          </cell>
          <cell r="H361">
            <v>37133</v>
          </cell>
          <cell r="I361">
            <v>37144</v>
          </cell>
          <cell r="J361">
            <v>37183</v>
          </cell>
          <cell r="K361">
            <v>37225</v>
          </cell>
          <cell r="L361">
            <v>37176</v>
          </cell>
        </row>
        <row r="362">
          <cell r="E362" t="str">
            <v>PI</v>
          </cell>
          <cell r="G362">
            <v>37104</v>
          </cell>
          <cell r="H362">
            <v>37133</v>
          </cell>
          <cell r="I362">
            <v>37144</v>
          </cell>
          <cell r="J362">
            <v>37183</v>
          </cell>
          <cell r="K362">
            <v>37225</v>
          </cell>
          <cell r="L362">
            <v>37176</v>
          </cell>
        </row>
        <row r="363">
          <cell r="E363" t="str">
            <v>PI</v>
          </cell>
          <cell r="G363">
            <v>37104</v>
          </cell>
          <cell r="H363">
            <v>37133</v>
          </cell>
          <cell r="I363">
            <v>37144</v>
          </cell>
          <cell r="J363">
            <v>37183</v>
          </cell>
          <cell r="K363">
            <v>37225</v>
          </cell>
          <cell r="L363">
            <v>37176</v>
          </cell>
        </row>
        <row r="364">
          <cell r="E364" t="str">
            <v>PI</v>
          </cell>
          <cell r="G364">
            <v>37104</v>
          </cell>
          <cell r="H364">
            <v>37133</v>
          </cell>
          <cell r="I364">
            <v>37144</v>
          </cell>
          <cell r="J364">
            <v>37183</v>
          </cell>
          <cell r="K364">
            <v>37225</v>
          </cell>
          <cell r="L364">
            <v>37176</v>
          </cell>
        </row>
        <row r="365">
          <cell r="E365" t="str">
            <v>PI</v>
          </cell>
          <cell r="G365">
            <v>37104</v>
          </cell>
          <cell r="H365">
            <v>37133</v>
          </cell>
          <cell r="I365">
            <v>37144</v>
          </cell>
          <cell r="J365">
            <v>37183</v>
          </cell>
          <cell r="K365">
            <v>37225</v>
          </cell>
          <cell r="L365">
            <v>37176</v>
          </cell>
        </row>
        <row r="366">
          <cell r="E366" t="str">
            <v>PI</v>
          </cell>
          <cell r="G366">
            <v>37104</v>
          </cell>
          <cell r="H366">
            <v>37133</v>
          </cell>
          <cell r="I366">
            <v>37144</v>
          </cell>
          <cell r="J366">
            <v>37183</v>
          </cell>
          <cell r="K366">
            <v>37225</v>
          </cell>
          <cell r="L366">
            <v>37176</v>
          </cell>
        </row>
        <row r="367">
          <cell r="E367" t="str">
            <v>PI</v>
          </cell>
          <cell r="G367">
            <v>37104</v>
          </cell>
          <cell r="H367">
            <v>37133</v>
          </cell>
          <cell r="I367">
            <v>37144</v>
          </cell>
          <cell r="J367">
            <v>37183</v>
          </cell>
          <cell r="K367">
            <v>37225</v>
          </cell>
          <cell r="L367">
            <v>37176</v>
          </cell>
        </row>
        <row r="368">
          <cell r="E368" t="str">
            <v>PI</v>
          </cell>
          <cell r="G368">
            <v>37104</v>
          </cell>
          <cell r="H368">
            <v>37133</v>
          </cell>
          <cell r="I368">
            <v>37144</v>
          </cell>
          <cell r="J368">
            <v>37183</v>
          </cell>
          <cell r="K368">
            <v>37225</v>
          </cell>
          <cell r="L368">
            <v>37176</v>
          </cell>
        </row>
        <row r="369">
          <cell r="E369" t="str">
            <v>PI</v>
          </cell>
          <cell r="G369">
            <v>37104</v>
          </cell>
          <cell r="H369">
            <v>37133</v>
          </cell>
          <cell r="I369">
            <v>37144</v>
          </cell>
          <cell r="J369">
            <v>37183</v>
          </cell>
          <cell r="K369">
            <v>37225</v>
          </cell>
          <cell r="L369">
            <v>37176</v>
          </cell>
        </row>
        <row r="370">
          <cell r="E370" t="str">
            <v>PI</v>
          </cell>
          <cell r="G370">
            <v>37104</v>
          </cell>
          <cell r="H370">
            <v>37133</v>
          </cell>
          <cell r="I370">
            <v>37144</v>
          </cell>
          <cell r="J370">
            <v>37183</v>
          </cell>
          <cell r="K370">
            <v>37225</v>
          </cell>
          <cell r="L370">
            <v>37176</v>
          </cell>
        </row>
        <row r="371">
          <cell r="E371" t="str">
            <v>PI</v>
          </cell>
          <cell r="G371">
            <v>37104</v>
          </cell>
          <cell r="H371">
            <v>37133</v>
          </cell>
          <cell r="I371">
            <v>37144</v>
          </cell>
          <cell r="J371">
            <v>37183</v>
          </cell>
          <cell r="K371">
            <v>37225</v>
          </cell>
          <cell r="L371">
            <v>37176</v>
          </cell>
        </row>
        <row r="372">
          <cell r="E372" t="str">
            <v>PI</v>
          </cell>
          <cell r="G372">
            <v>37104</v>
          </cell>
          <cell r="H372">
            <v>37133</v>
          </cell>
          <cell r="I372">
            <v>37144</v>
          </cell>
          <cell r="J372">
            <v>37183</v>
          </cell>
          <cell r="K372">
            <v>37225</v>
          </cell>
          <cell r="L372">
            <v>37176</v>
          </cell>
        </row>
        <row r="373">
          <cell r="E373" t="str">
            <v>PI</v>
          </cell>
          <cell r="G373">
            <v>37104</v>
          </cell>
          <cell r="H373">
            <v>37133</v>
          </cell>
          <cell r="I373">
            <v>37144</v>
          </cell>
          <cell r="J373">
            <v>37183</v>
          </cell>
          <cell r="K373">
            <v>37225</v>
          </cell>
          <cell r="L373">
            <v>37176</v>
          </cell>
        </row>
        <row r="374">
          <cell r="E374" t="str">
            <v>PI</v>
          </cell>
          <cell r="G374">
            <v>37104</v>
          </cell>
          <cell r="H374">
            <v>37133</v>
          </cell>
          <cell r="I374">
            <v>37144</v>
          </cell>
          <cell r="J374">
            <v>37183</v>
          </cell>
          <cell r="K374">
            <v>37225</v>
          </cell>
          <cell r="L374">
            <v>37176</v>
          </cell>
        </row>
        <row r="375">
          <cell r="E375" t="str">
            <v>PI</v>
          </cell>
          <cell r="G375">
            <v>37104</v>
          </cell>
          <cell r="H375">
            <v>37133</v>
          </cell>
          <cell r="I375">
            <v>37144</v>
          </cell>
          <cell r="J375">
            <v>37183</v>
          </cell>
          <cell r="K375">
            <v>37225</v>
          </cell>
          <cell r="L375">
            <v>37176</v>
          </cell>
        </row>
        <row r="376">
          <cell r="E376" t="str">
            <v>PI</v>
          </cell>
          <cell r="G376">
            <v>37057</v>
          </cell>
          <cell r="H376">
            <v>37100.5</v>
          </cell>
          <cell r="I376">
            <v>37144</v>
          </cell>
          <cell r="J376">
            <v>37183</v>
          </cell>
          <cell r="K376">
            <v>37225</v>
          </cell>
          <cell r="L376">
            <v>37176</v>
          </cell>
        </row>
        <row r="377">
          <cell r="E377" t="str">
            <v>PI</v>
          </cell>
          <cell r="G377">
            <v>37057</v>
          </cell>
          <cell r="H377">
            <v>37100.5</v>
          </cell>
          <cell r="I377">
            <v>37144</v>
          </cell>
          <cell r="J377">
            <v>37183</v>
          </cell>
          <cell r="K377">
            <v>37225</v>
          </cell>
          <cell r="L377">
            <v>37176</v>
          </cell>
        </row>
        <row r="378">
          <cell r="E378" t="str">
            <v>PI</v>
          </cell>
          <cell r="G378">
            <v>37057</v>
          </cell>
          <cell r="H378">
            <v>37100.5</v>
          </cell>
          <cell r="I378">
            <v>37144</v>
          </cell>
          <cell r="J378">
            <v>37169</v>
          </cell>
          <cell r="K378">
            <v>37225</v>
          </cell>
          <cell r="L378">
            <v>37176</v>
          </cell>
        </row>
        <row r="379">
          <cell r="I379">
            <v>37127</v>
          </cell>
        </row>
        <row r="380">
          <cell r="I380">
            <v>37127</v>
          </cell>
        </row>
        <row r="381">
          <cell r="I381">
            <v>37127</v>
          </cell>
        </row>
        <row r="382">
          <cell r="I382">
            <v>37047</v>
          </cell>
        </row>
        <row r="383">
          <cell r="E383" t="str">
            <v>PI</v>
          </cell>
          <cell r="G383">
            <v>37025</v>
          </cell>
          <cell r="H383">
            <v>37037</v>
          </cell>
          <cell r="I383">
            <v>37047</v>
          </cell>
          <cell r="J383">
            <v>37140</v>
          </cell>
          <cell r="K383">
            <v>37164</v>
          </cell>
          <cell r="L383">
            <v>37176</v>
          </cell>
        </row>
        <row r="384">
          <cell r="E384" t="str">
            <v>PI</v>
          </cell>
          <cell r="G384">
            <v>37043</v>
          </cell>
          <cell r="H384">
            <v>37106</v>
          </cell>
          <cell r="I384">
            <v>37127</v>
          </cell>
          <cell r="J384">
            <v>37148</v>
          </cell>
          <cell r="K384">
            <v>37169</v>
          </cell>
          <cell r="L384">
            <v>37176</v>
          </cell>
        </row>
        <row r="385">
          <cell r="E385" t="str">
            <v>PI</v>
          </cell>
          <cell r="G385">
            <v>37043</v>
          </cell>
          <cell r="H385">
            <v>37106</v>
          </cell>
          <cell r="I385">
            <v>37127</v>
          </cell>
          <cell r="J385">
            <v>37148</v>
          </cell>
          <cell r="K385">
            <v>37169</v>
          </cell>
          <cell r="L385">
            <v>37176</v>
          </cell>
        </row>
        <row r="386">
          <cell r="E386" t="str">
            <v>PI</v>
          </cell>
          <cell r="G386">
            <v>37043</v>
          </cell>
          <cell r="H386">
            <v>37106</v>
          </cell>
          <cell r="I386">
            <v>37127</v>
          </cell>
          <cell r="J386">
            <v>37148</v>
          </cell>
          <cell r="K386">
            <v>37169</v>
          </cell>
          <cell r="L386">
            <v>37176</v>
          </cell>
        </row>
        <row r="387">
          <cell r="I387">
            <v>37047</v>
          </cell>
        </row>
        <row r="388">
          <cell r="E388" t="str">
            <v>PI</v>
          </cell>
          <cell r="G388">
            <v>37025</v>
          </cell>
          <cell r="H388">
            <v>37037</v>
          </cell>
          <cell r="I388">
            <v>37047</v>
          </cell>
          <cell r="J388">
            <v>37140</v>
          </cell>
          <cell r="K388">
            <v>37164</v>
          </cell>
          <cell r="L388">
            <v>37176</v>
          </cell>
        </row>
        <row r="389">
          <cell r="I389">
            <v>37127</v>
          </cell>
        </row>
        <row r="390">
          <cell r="I390">
            <v>37127</v>
          </cell>
        </row>
        <row r="391">
          <cell r="I391">
            <v>37127</v>
          </cell>
        </row>
        <row r="392">
          <cell r="I392">
            <v>37127</v>
          </cell>
        </row>
        <row r="393">
          <cell r="I393">
            <v>37127</v>
          </cell>
        </row>
        <row r="394">
          <cell r="I394">
            <v>37127</v>
          </cell>
        </row>
        <row r="395">
          <cell r="I395">
            <v>37041</v>
          </cell>
        </row>
        <row r="396">
          <cell r="E396" t="str">
            <v>PI</v>
          </cell>
          <cell r="G396">
            <v>37043</v>
          </cell>
          <cell r="H396">
            <v>37106</v>
          </cell>
          <cell r="I396">
            <v>37127</v>
          </cell>
          <cell r="J396">
            <v>37148</v>
          </cell>
          <cell r="K396">
            <v>37169</v>
          </cell>
          <cell r="L396">
            <v>37176</v>
          </cell>
        </row>
        <row r="400">
          <cell r="E400" t="str">
            <v>EL</v>
          </cell>
          <cell r="G400">
            <v>37012</v>
          </cell>
          <cell r="H400">
            <v>37026.5</v>
          </cell>
          <cell r="I400">
            <v>37041</v>
          </cell>
          <cell r="J400">
            <v>37062</v>
          </cell>
          <cell r="K400">
            <v>37083</v>
          </cell>
          <cell r="L400">
            <v>37176</v>
          </cell>
        </row>
        <row r="401">
          <cell r="E401" t="str">
            <v>EL</v>
          </cell>
          <cell r="G401">
            <v>37012</v>
          </cell>
          <cell r="H401">
            <v>37026.5</v>
          </cell>
          <cell r="I401">
            <v>37041</v>
          </cell>
          <cell r="J401">
            <v>37062</v>
          </cell>
          <cell r="K401">
            <v>37083</v>
          </cell>
          <cell r="L401">
            <v>37176</v>
          </cell>
        </row>
        <row r="402">
          <cell r="E402" t="str">
            <v>EL</v>
          </cell>
          <cell r="G402">
            <v>37012</v>
          </cell>
          <cell r="H402">
            <v>37043</v>
          </cell>
          <cell r="I402">
            <v>37057</v>
          </cell>
          <cell r="J402">
            <v>37140</v>
          </cell>
          <cell r="K402">
            <v>37164</v>
          </cell>
          <cell r="L402">
            <v>37176</v>
          </cell>
        </row>
        <row r="403">
          <cell r="E403" t="str">
            <v>EL</v>
          </cell>
          <cell r="G403">
            <v>37057</v>
          </cell>
          <cell r="H403">
            <v>37088</v>
          </cell>
          <cell r="I403">
            <v>37102</v>
          </cell>
          <cell r="J403">
            <v>37123</v>
          </cell>
          <cell r="K403">
            <v>37144</v>
          </cell>
          <cell r="L403">
            <v>37176</v>
          </cell>
        </row>
        <row r="404">
          <cell r="E404" t="str">
            <v>EL</v>
          </cell>
          <cell r="G404">
            <v>37087</v>
          </cell>
          <cell r="H404">
            <v>37119.5</v>
          </cell>
          <cell r="I404">
            <v>37152</v>
          </cell>
          <cell r="J404">
            <v>37173</v>
          </cell>
          <cell r="K404">
            <v>37194</v>
          </cell>
          <cell r="L404">
            <v>37176</v>
          </cell>
        </row>
        <row r="405">
          <cell r="E405" t="str">
            <v>EL</v>
          </cell>
          <cell r="G405">
            <v>37087</v>
          </cell>
          <cell r="H405">
            <v>37119.5</v>
          </cell>
          <cell r="I405">
            <v>37152</v>
          </cell>
          <cell r="J405">
            <v>37173</v>
          </cell>
          <cell r="K405">
            <v>37194</v>
          </cell>
          <cell r="L405">
            <v>37176</v>
          </cell>
        </row>
        <row r="406">
          <cell r="E406" t="str">
            <v>EL</v>
          </cell>
          <cell r="G406">
            <v>37104</v>
          </cell>
          <cell r="H406">
            <v>37138</v>
          </cell>
          <cell r="I406">
            <v>37152</v>
          </cell>
          <cell r="J406">
            <v>37173</v>
          </cell>
          <cell r="K406">
            <v>37194</v>
          </cell>
          <cell r="L406">
            <v>37176</v>
          </cell>
        </row>
        <row r="407">
          <cell r="E407" t="str">
            <v>EL</v>
          </cell>
          <cell r="G407">
            <v>37104</v>
          </cell>
          <cell r="H407">
            <v>37128</v>
          </cell>
          <cell r="I407">
            <v>37152</v>
          </cell>
          <cell r="J407">
            <v>37173</v>
          </cell>
          <cell r="K407">
            <v>37194</v>
          </cell>
          <cell r="L407">
            <v>37176</v>
          </cell>
        </row>
        <row r="408">
          <cell r="E408" t="str">
            <v>EL</v>
          </cell>
          <cell r="G408">
            <v>37135</v>
          </cell>
          <cell r="H408">
            <v>37149.5</v>
          </cell>
          <cell r="I408">
            <v>37164</v>
          </cell>
          <cell r="J408">
            <v>37185</v>
          </cell>
          <cell r="K408">
            <v>37206</v>
          </cell>
          <cell r="L408">
            <v>37176</v>
          </cell>
        </row>
        <row r="409">
          <cell r="E409" t="str">
            <v>EL</v>
          </cell>
          <cell r="G409">
            <v>37135</v>
          </cell>
          <cell r="H409">
            <v>37168</v>
          </cell>
          <cell r="I409">
            <v>37182</v>
          </cell>
          <cell r="J409">
            <v>37204</v>
          </cell>
          <cell r="K409">
            <v>37225</v>
          </cell>
          <cell r="L409">
            <v>37176</v>
          </cell>
        </row>
        <row r="410">
          <cell r="E410" t="str">
            <v>EL</v>
          </cell>
          <cell r="G410">
            <v>37135</v>
          </cell>
          <cell r="H410">
            <v>37154</v>
          </cell>
          <cell r="I410">
            <v>37164</v>
          </cell>
          <cell r="J410">
            <v>37185</v>
          </cell>
          <cell r="K410">
            <v>37206</v>
          </cell>
          <cell r="L410">
            <v>37176</v>
          </cell>
        </row>
        <row r="411">
          <cell r="E411" t="str">
            <v>EL</v>
          </cell>
          <cell r="G411">
            <v>37135</v>
          </cell>
          <cell r="H411">
            <v>37154</v>
          </cell>
          <cell r="I411">
            <v>37164</v>
          </cell>
          <cell r="J411">
            <v>37185</v>
          </cell>
          <cell r="K411">
            <v>37206</v>
          </cell>
          <cell r="L411">
            <v>37176</v>
          </cell>
        </row>
        <row r="412">
          <cell r="E412" t="str">
            <v>EL</v>
          </cell>
          <cell r="G412">
            <v>37041</v>
          </cell>
          <cell r="H412">
            <v>37071.5</v>
          </cell>
          <cell r="I412">
            <v>37102</v>
          </cell>
          <cell r="J412">
            <v>37164</v>
          </cell>
          <cell r="K412">
            <v>37169</v>
          </cell>
          <cell r="L412">
            <v>37176</v>
          </cell>
        </row>
        <row r="413">
          <cell r="E413" t="str">
            <v>EL</v>
          </cell>
          <cell r="G413">
            <v>37087</v>
          </cell>
          <cell r="H413">
            <v>37110</v>
          </cell>
          <cell r="I413">
            <v>37133</v>
          </cell>
          <cell r="J413">
            <v>37154</v>
          </cell>
          <cell r="K413">
            <v>37175</v>
          </cell>
          <cell r="L413">
            <v>37176</v>
          </cell>
        </row>
        <row r="414">
          <cell r="E414" t="str">
            <v>EL</v>
          </cell>
          <cell r="G414">
            <v>37133</v>
          </cell>
          <cell r="H414">
            <v>37164</v>
          </cell>
          <cell r="I414">
            <v>37194</v>
          </cell>
          <cell r="J414">
            <v>37215</v>
          </cell>
          <cell r="K414">
            <v>37236</v>
          </cell>
          <cell r="L414">
            <v>37176</v>
          </cell>
        </row>
        <row r="415">
          <cell r="E415" t="str">
            <v>EL</v>
          </cell>
          <cell r="G415">
            <v>37072</v>
          </cell>
          <cell r="H415">
            <v>37102</v>
          </cell>
          <cell r="I415">
            <v>37194</v>
          </cell>
          <cell r="J415">
            <v>37215</v>
          </cell>
          <cell r="K415">
            <v>37236</v>
          </cell>
          <cell r="L415">
            <v>37176</v>
          </cell>
        </row>
        <row r="416">
          <cell r="E416" t="str">
            <v>EL</v>
          </cell>
          <cell r="G416">
            <v>37026</v>
          </cell>
          <cell r="H416">
            <v>37052</v>
          </cell>
          <cell r="I416">
            <v>37067</v>
          </cell>
          <cell r="J416">
            <v>37149</v>
          </cell>
          <cell r="K416">
            <v>37169</v>
          </cell>
          <cell r="L416">
            <v>37176</v>
          </cell>
        </row>
        <row r="417">
          <cell r="E417" t="str">
            <v>EL</v>
          </cell>
          <cell r="G417">
            <v>37041</v>
          </cell>
          <cell r="H417">
            <v>37049</v>
          </cell>
          <cell r="I417">
            <v>37072</v>
          </cell>
          <cell r="J417">
            <v>37169</v>
          </cell>
          <cell r="K417">
            <v>37190</v>
          </cell>
          <cell r="L417">
            <v>37176</v>
          </cell>
        </row>
        <row r="418">
          <cell r="E418" t="str">
            <v>EL</v>
          </cell>
          <cell r="G418">
            <v>37041</v>
          </cell>
          <cell r="H418">
            <v>37056.5</v>
          </cell>
          <cell r="I418">
            <v>37072</v>
          </cell>
          <cell r="J418">
            <v>37169</v>
          </cell>
          <cell r="K418">
            <v>37190</v>
          </cell>
          <cell r="L418">
            <v>37176</v>
          </cell>
        </row>
        <row r="419">
          <cell r="E419" t="str">
            <v>EL</v>
          </cell>
          <cell r="G419">
            <v>37026</v>
          </cell>
          <cell r="H419">
            <v>37056.5</v>
          </cell>
          <cell r="I419">
            <v>37087</v>
          </cell>
          <cell r="J419">
            <v>37169</v>
          </cell>
          <cell r="K419">
            <v>37190</v>
          </cell>
          <cell r="L419">
            <v>37176</v>
          </cell>
        </row>
        <row r="420">
          <cell r="E420" t="str">
            <v>EL</v>
          </cell>
          <cell r="G420">
            <v>37026</v>
          </cell>
          <cell r="H420">
            <v>37049</v>
          </cell>
          <cell r="I420">
            <v>37072</v>
          </cell>
          <cell r="J420">
            <v>37164</v>
          </cell>
          <cell r="K420">
            <v>37169</v>
          </cell>
          <cell r="L420">
            <v>37176</v>
          </cell>
        </row>
        <row r="421">
          <cell r="E421" t="str">
            <v>EL</v>
          </cell>
          <cell r="G421">
            <v>37026</v>
          </cell>
          <cell r="H421">
            <v>37049</v>
          </cell>
          <cell r="I421">
            <v>37072</v>
          </cell>
          <cell r="J421">
            <v>37164</v>
          </cell>
          <cell r="K421">
            <v>37169</v>
          </cell>
          <cell r="L421">
            <v>37176</v>
          </cell>
        </row>
        <row r="422">
          <cell r="E422" t="str">
            <v>EL</v>
          </cell>
          <cell r="G422">
            <v>37026</v>
          </cell>
          <cell r="H422">
            <v>37049</v>
          </cell>
          <cell r="I422">
            <v>37072</v>
          </cell>
          <cell r="J422">
            <v>37164</v>
          </cell>
          <cell r="K422">
            <v>37169</v>
          </cell>
          <cell r="L422">
            <v>37176</v>
          </cell>
        </row>
        <row r="423">
          <cell r="E423" t="str">
            <v>EL</v>
          </cell>
          <cell r="G423">
            <v>37026</v>
          </cell>
          <cell r="H423">
            <v>37049</v>
          </cell>
          <cell r="I423">
            <v>37072</v>
          </cell>
          <cell r="J423">
            <v>37164</v>
          </cell>
          <cell r="K423">
            <v>37169</v>
          </cell>
          <cell r="L423">
            <v>37176</v>
          </cell>
        </row>
        <row r="424">
          <cell r="E424" t="str">
            <v>EL</v>
          </cell>
          <cell r="G424">
            <v>37026</v>
          </cell>
          <cell r="H424">
            <v>37049</v>
          </cell>
          <cell r="I424">
            <v>37072</v>
          </cell>
          <cell r="J424">
            <v>37164</v>
          </cell>
          <cell r="K424">
            <v>37169</v>
          </cell>
          <cell r="L424">
            <v>37176</v>
          </cell>
        </row>
        <row r="425">
          <cell r="E425" t="str">
            <v>EL</v>
          </cell>
          <cell r="G425">
            <v>37026</v>
          </cell>
          <cell r="H425">
            <v>37049</v>
          </cell>
          <cell r="I425">
            <v>37072</v>
          </cell>
          <cell r="J425">
            <v>37164</v>
          </cell>
          <cell r="K425">
            <v>37169</v>
          </cell>
          <cell r="L425">
            <v>37176</v>
          </cell>
        </row>
        <row r="426">
          <cell r="E426" t="str">
            <v>EL</v>
          </cell>
          <cell r="G426">
            <v>37087</v>
          </cell>
          <cell r="H426">
            <v>37110</v>
          </cell>
          <cell r="I426">
            <v>37133</v>
          </cell>
          <cell r="J426">
            <v>37169</v>
          </cell>
          <cell r="K426">
            <v>37190</v>
          </cell>
          <cell r="L426">
            <v>37176</v>
          </cell>
        </row>
        <row r="427">
          <cell r="E427" t="str">
            <v>EL</v>
          </cell>
          <cell r="G427">
            <v>37087</v>
          </cell>
          <cell r="H427">
            <v>37110</v>
          </cell>
          <cell r="I427">
            <v>37133</v>
          </cell>
          <cell r="J427">
            <v>37164</v>
          </cell>
          <cell r="K427">
            <v>37184</v>
          </cell>
          <cell r="L427">
            <v>37176</v>
          </cell>
        </row>
        <row r="428">
          <cell r="E428" t="str">
            <v>EL</v>
          </cell>
          <cell r="G428">
            <v>37073</v>
          </cell>
          <cell r="H428">
            <v>37118</v>
          </cell>
          <cell r="I428">
            <v>37164</v>
          </cell>
          <cell r="J428">
            <v>37167</v>
          </cell>
          <cell r="K428">
            <v>37173</v>
          </cell>
          <cell r="L428">
            <v>37176</v>
          </cell>
        </row>
        <row r="429">
          <cell r="E429" t="str">
            <v>EL</v>
          </cell>
          <cell r="G429">
            <v>37073</v>
          </cell>
          <cell r="H429">
            <v>37118</v>
          </cell>
          <cell r="I429">
            <v>37164</v>
          </cell>
          <cell r="J429">
            <v>37167</v>
          </cell>
          <cell r="K429">
            <v>37173</v>
          </cell>
          <cell r="L429">
            <v>37176</v>
          </cell>
        </row>
        <row r="430">
          <cell r="E430" t="str">
            <v>EL</v>
          </cell>
          <cell r="G430">
            <v>37087</v>
          </cell>
          <cell r="H430">
            <v>37144</v>
          </cell>
          <cell r="I430">
            <v>37169</v>
          </cell>
          <cell r="J430">
            <v>37172.5</v>
          </cell>
          <cell r="K430">
            <v>37176</v>
          </cell>
          <cell r="L430">
            <v>37176</v>
          </cell>
        </row>
        <row r="431">
          <cell r="E431" t="str">
            <v>EL</v>
          </cell>
          <cell r="G431">
            <v>37087</v>
          </cell>
          <cell r="H431">
            <v>37144</v>
          </cell>
          <cell r="I431">
            <v>37169</v>
          </cell>
          <cell r="J431">
            <v>37172.5</v>
          </cell>
          <cell r="K431">
            <v>37176</v>
          </cell>
          <cell r="L431">
            <v>37176</v>
          </cell>
        </row>
        <row r="432">
          <cell r="E432" t="str">
            <v>EL</v>
          </cell>
          <cell r="G432">
            <v>37149</v>
          </cell>
          <cell r="H432">
            <v>37162.5</v>
          </cell>
          <cell r="I432">
            <v>37176</v>
          </cell>
          <cell r="J432">
            <v>37176</v>
          </cell>
          <cell r="K432">
            <v>37176</v>
          </cell>
          <cell r="L432">
            <v>37176</v>
          </cell>
        </row>
        <row r="433">
          <cell r="E433" t="str">
            <v>EL</v>
          </cell>
          <cell r="G433">
            <v>36996</v>
          </cell>
          <cell r="H433">
            <v>37022</v>
          </cell>
          <cell r="I433">
            <v>37055</v>
          </cell>
          <cell r="J433">
            <v>37133</v>
          </cell>
          <cell r="K433">
            <v>37164</v>
          </cell>
          <cell r="L433">
            <v>37186</v>
          </cell>
        </row>
        <row r="434">
          <cell r="E434" t="str">
            <v>EL</v>
          </cell>
          <cell r="G434">
            <v>36996</v>
          </cell>
          <cell r="H434">
            <v>37022</v>
          </cell>
          <cell r="I434">
            <v>37055</v>
          </cell>
          <cell r="J434">
            <v>37133</v>
          </cell>
          <cell r="K434">
            <v>37164</v>
          </cell>
          <cell r="L434">
            <v>37186</v>
          </cell>
        </row>
        <row r="435">
          <cell r="E435" t="str">
            <v>EL</v>
          </cell>
          <cell r="G435">
            <v>36996</v>
          </cell>
          <cell r="H435">
            <v>37022</v>
          </cell>
          <cell r="I435">
            <v>37055</v>
          </cell>
          <cell r="J435">
            <v>37133</v>
          </cell>
          <cell r="K435">
            <v>37164</v>
          </cell>
          <cell r="L435">
            <v>37186</v>
          </cell>
        </row>
        <row r="436">
          <cell r="E436" t="str">
            <v>EL</v>
          </cell>
          <cell r="G436">
            <v>36996</v>
          </cell>
          <cell r="H436">
            <v>37022</v>
          </cell>
          <cell r="I436">
            <v>37055</v>
          </cell>
          <cell r="J436">
            <v>37133</v>
          </cell>
          <cell r="K436">
            <v>37164</v>
          </cell>
          <cell r="L436">
            <v>37186</v>
          </cell>
        </row>
        <row r="437">
          <cell r="E437" t="str">
            <v>EL</v>
          </cell>
          <cell r="G437">
            <v>37043</v>
          </cell>
          <cell r="H437">
            <v>37058</v>
          </cell>
          <cell r="I437">
            <v>37073</v>
          </cell>
          <cell r="J437">
            <v>37129</v>
          </cell>
          <cell r="K437">
            <v>37143</v>
          </cell>
          <cell r="L437">
            <v>37176</v>
          </cell>
        </row>
        <row r="438">
          <cell r="E438" t="str">
            <v>EL</v>
          </cell>
          <cell r="G438">
            <v>37043</v>
          </cell>
          <cell r="H438">
            <v>37080.5</v>
          </cell>
          <cell r="I438">
            <v>37118</v>
          </cell>
          <cell r="J438">
            <v>37173</v>
          </cell>
          <cell r="K438">
            <v>37187</v>
          </cell>
          <cell r="L438">
            <v>37176</v>
          </cell>
        </row>
        <row r="439">
          <cell r="E439" t="str">
            <v>EL</v>
          </cell>
          <cell r="G439">
            <v>37043</v>
          </cell>
          <cell r="H439">
            <v>37080.5</v>
          </cell>
          <cell r="I439">
            <v>37118</v>
          </cell>
          <cell r="J439">
            <v>37173</v>
          </cell>
          <cell r="K439">
            <v>37187</v>
          </cell>
          <cell r="L439">
            <v>37176</v>
          </cell>
        </row>
        <row r="440">
          <cell r="E440" t="str">
            <v>EL</v>
          </cell>
          <cell r="G440">
            <v>37043</v>
          </cell>
          <cell r="H440">
            <v>37080.5</v>
          </cell>
          <cell r="I440">
            <v>37118</v>
          </cell>
          <cell r="J440">
            <v>37173</v>
          </cell>
          <cell r="K440">
            <v>37187</v>
          </cell>
          <cell r="L440">
            <v>37176</v>
          </cell>
        </row>
        <row r="441">
          <cell r="E441" t="str">
            <v>EL</v>
          </cell>
          <cell r="G441">
            <v>37043</v>
          </cell>
          <cell r="H441">
            <v>37080.5</v>
          </cell>
          <cell r="I441">
            <v>37118</v>
          </cell>
          <cell r="J441">
            <v>37173</v>
          </cell>
          <cell r="K441">
            <v>37187</v>
          </cell>
          <cell r="L441">
            <v>37176</v>
          </cell>
        </row>
        <row r="442">
          <cell r="E442" t="str">
            <v>EL</v>
          </cell>
          <cell r="G442">
            <v>37025</v>
          </cell>
          <cell r="H442">
            <v>37029</v>
          </cell>
          <cell r="I442">
            <v>37055</v>
          </cell>
          <cell r="J442">
            <v>37072</v>
          </cell>
          <cell r="K442">
            <v>37102</v>
          </cell>
          <cell r="L442">
            <v>37176</v>
          </cell>
        </row>
        <row r="443">
          <cell r="E443" t="str">
            <v>EL</v>
          </cell>
          <cell r="G443">
            <v>37118</v>
          </cell>
          <cell r="H443">
            <v>37141.5</v>
          </cell>
          <cell r="I443">
            <v>37165</v>
          </cell>
          <cell r="J443">
            <v>37221</v>
          </cell>
          <cell r="K443">
            <v>37235</v>
          </cell>
          <cell r="L443">
            <v>37176</v>
          </cell>
        </row>
        <row r="444">
          <cell r="E444" t="str">
            <v>EL</v>
          </cell>
          <cell r="G444">
            <v>37057</v>
          </cell>
          <cell r="H444">
            <v>37108</v>
          </cell>
          <cell r="I444">
            <v>37118</v>
          </cell>
          <cell r="J444">
            <v>37173</v>
          </cell>
          <cell r="K444">
            <v>37187</v>
          </cell>
          <cell r="L444">
            <v>37176</v>
          </cell>
        </row>
        <row r="445">
          <cell r="E445" t="str">
            <v>EL</v>
          </cell>
          <cell r="G445">
            <v>37057</v>
          </cell>
          <cell r="H445">
            <v>37087.5</v>
          </cell>
          <cell r="I445">
            <v>37118</v>
          </cell>
          <cell r="J445">
            <v>37173</v>
          </cell>
          <cell r="K445">
            <v>37187</v>
          </cell>
          <cell r="L445">
            <v>37176</v>
          </cell>
        </row>
        <row r="446">
          <cell r="E446" t="str">
            <v>EL</v>
          </cell>
          <cell r="G446">
            <v>37135</v>
          </cell>
          <cell r="H446">
            <v>37150</v>
          </cell>
          <cell r="I446">
            <v>37165</v>
          </cell>
          <cell r="J446">
            <v>37221</v>
          </cell>
          <cell r="K446">
            <v>37235</v>
          </cell>
          <cell r="L446">
            <v>37176</v>
          </cell>
        </row>
        <row r="447">
          <cell r="E447" t="str">
            <v>EL</v>
          </cell>
          <cell r="G447">
            <v>37135</v>
          </cell>
          <cell r="H447">
            <v>37150</v>
          </cell>
          <cell r="I447">
            <v>37165</v>
          </cell>
          <cell r="J447">
            <v>37221</v>
          </cell>
          <cell r="K447">
            <v>37235</v>
          </cell>
          <cell r="L447">
            <v>37176</v>
          </cell>
        </row>
        <row r="448">
          <cell r="E448" t="str">
            <v>EL</v>
          </cell>
          <cell r="G448">
            <v>37135</v>
          </cell>
          <cell r="H448">
            <v>37150</v>
          </cell>
          <cell r="I448">
            <v>37165</v>
          </cell>
          <cell r="J448">
            <v>37221</v>
          </cell>
          <cell r="K448">
            <v>37235</v>
          </cell>
          <cell r="L448">
            <v>37176</v>
          </cell>
        </row>
        <row r="449">
          <cell r="E449" t="str">
            <v>EL</v>
          </cell>
          <cell r="G449">
            <v>37087</v>
          </cell>
          <cell r="H449">
            <v>37111</v>
          </cell>
          <cell r="I449">
            <v>37135</v>
          </cell>
          <cell r="J449">
            <v>37204</v>
          </cell>
          <cell r="K449">
            <v>37218</v>
          </cell>
          <cell r="L449">
            <v>37176</v>
          </cell>
        </row>
        <row r="450">
          <cell r="E450" t="str">
            <v>EL</v>
          </cell>
          <cell r="G450">
            <v>37012</v>
          </cell>
          <cell r="H450">
            <v>37080.5</v>
          </cell>
          <cell r="I450">
            <v>37149</v>
          </cell>
          <cell r="J450">
            <v>37204</v>
          </cell>
          <cell r="K450">
            <v>37218</v>
          </cell>
          <cell r="L450">
            <v>37176</v>
          </cell>
        </row>
        <row r="451">
          <cell r="E451" t="str">
            <v>EL</v>
          </cell>
          <cell r="G451">
            <v>37135</v>
          </cell>
          <cell r="H451">
            <v>37158</v>
          </cell>
          <cell r="I451">
            <v>37165</v>
          </cell>
          <cell r="J451">
            <v>37221</v>
          </cell>
          <cell r="K451">
            <v>37235</v>
          </cell>
          <cell r="L451">
            <v>37176</v>
          </cell>
        </row>
        <row r="452">
          <cell r="E452" t="str">
            <v>EL</v>
          </cell>
          <cell r="G452">
            <v>37087</v>
          </cell>
          <cell r="H452">
            <v>37111</v>
          </cell>
          <cell r="I452">
            <v>37135</v>
          </cell>
          <cell r="J452">
            <v>37204</v>
          </cell>
          <cell r="K452">
            <v>37218</v>
          </cell>
          <cell r="L452">
            <v>37176</v>
          </cell>
        </row>
        <row r="453">
          <cell r="E453" t="str">
            <v>EL</v>
          </cell>
          <cell r="G453">
            <v>37104</v>
          </cell>
          <cell r="H453">
            <v>37126.5</v>
          </cell>
          <cell r="I453">
            <v>37149</v>
          </cell>
          <cell r="J453">
            <v>37204</v>
          </cell>
          <cell r="K453">
            <v>37235</v>
          </cell>
          <cell r="L453">
            <v>37176</v>
          </cell>
        </row>
        <row r="454">
          <cell r="E454" t="str">
            <v>EL</v>
          </cell>
          <cell r="G454">
            <v>37087</v>
          </cell>
          <cell r="H454">
            <v>37111</v>
          </cell>
          <cell r="I454">
            <v>37135</v>
          </cell>
          <cell r="J454">
            <v>37204</v>
          </cell>
          <cell r="K454">
            <v>37218</v>
          </cell>
          <cell r="L454">
            <v>37176</v>
          </cell>
        </row>
        <row r="455">
          <cell r="E455" t="str">
            <v>EL</v>
          </cell>
          <cell r="G455">
            <v>37043</v>
          </cell>
          <cell r="H455">
            <v>37100</v>
          </cell>
          <cell r="I455">
            <v>37108</v>
          </cell>
          <cell r="J455">
            <v>37144</v>
          </cell>
          <cell r="K455">
            <v>37154</v>
          </cell>
          <cell r="L455">
            <v>37176</v>
          </cell>
        </row>
        <row r="456">
          <cell r="E456" t="str">
            <v>EL</v>
          </cell>
          <cell r="G456">
            <v>37043</v>
          </cell>
          <cell r="H456">
            <v>37154</v>
          </cell>
          <cell r="I456">
            <v>37165</v>
          </cell>
          <cell r="J456">
            <v>37221</v>
          </cell>
          <cell r="K456">
            <v>37235</v>
          </cell>
          <cell r="L456">
            <v>37176</v>
          </cell>
        </row>
        <row r="457">
          <cell r="E457" t="str">
            <v>EL</v>
          </cell>
          <cell r="G457">
            <v>37043</v>
          </cell>
          <cell r="H457">
            <v>37154</v>
          </cell>
          <cell r="I457">
            <v>37165</v>
          </cell>
          <cell r="J457">
            <v>37221</v>
          </cell>
          <cell r="K457">
            <v>37235</v>
          </cell>
          <cell r="L457">
            <v>37176</v>
          </cell>
        </row>
        <row r="458">
          <cell r="E458" t="str">
            <v>EL</v>
          </cell>
          <cell r="G458">
            <v>37087</v>
          </cell>
          <cell r="H458">
            <v>37111</v>
          </cell>
          <cell r="I458">
            <v>37135</v>
          </cell>
          <cell r="J458">
            <v>37204</v>
          </cell>
          <cell r="K458">
            <v>37218</v>
          </cell>
          <cell r="L458">
            <v>37176</v>
          </cell>
        </row>
        <row r="459">
          <cell r="L459">
            <v>37186</v>
          </cell>
        </row>
        <row r="460">
          <cell r="L460">
            <v>37186</v>
          </cell>
        </row>
        <row r="461">
          <cell r="L461">
            <v>37186</v>
          </cell>
        </row>
        <row r="462">
          <cell r="L462">
            <v>37186</v>
          </cell>
        </row>
        <row r="463">
          <cell r="L463">
            <v>37186</v>
          </cell>
        </row>
        <row r="464">
          <cell r="E464" t="str">
            <v>EL</v>
          </cell>
          <cell r="G464">
            <v>37087</v>
          </cell>
          <cell r="H464">
            <v>37102.5</v>
          </cell>
          <cell r="I464">
            <v>37118</v>
          </cell>
          <cell r="J464">
            <v>37144</v>
          </cell>
          <cell r="K464">
            <v>37169</v>
          </cell>
          <cell r="L464">
            <v>37186</v>
          </cell>
        </row>
        <row r="469">
          <cell r="E469" t="str">
            <v>IN</v>
          </cell>
          <cell r="G469">
            <v>37043</v>
          </cell>
          <cell r="H469">
            <v>37092</v>
          </cell>
          <cell r="I469">
            <v>37103</v>
          </cell>
          <cell r="J469">
            <v>37123</v>
          </cell>
          <cell r="K469">
            <v>37144</v>
          </cell>
          <cell r="L469">
            <v>37176</v>
          </cell>
        </row>
        <row r="470">
          <cell r="E470" t="str">
            <v>IN</v>
          </cell>
          <cell r="G470">
            <v>37073</v>
          </cell>
          <cell r="H470">
            <v>37149</v>
          </cell>
          <cell r="I470">
            <v>37164</v>
          </cell>
          <cell r="J470">
            <v>37184</v>
          </cell>
          <cell r="K470">
            <v>37205</v>
          </cell>
          <cell r="L470">
            <v>37176</v>
          </cell>
        </row>
        <row r="471">
          <cell r="E471" t="str">
            <v>IN</v>
          </cell>
          <cell r="G471">
            <v>37012</v>
          </cell>
          <cell r="H471">
            <v>37062</v>
          </cell>
          <cell r="I471">
            <v>37072</v>
          </cell>
          <cell r="J471">
            <v>37092</v>
          </cell>
          <cell r="K471">
            <v>37113</v>
          </cell>
          <cell r="L471">
            <v>37176</v>
          </cell>
        </row>
        <row r="472">
          <cell r="E472" t="str">
            <v>IN</v>
          </cell>
          <cell r="G472">
            <v>37012</v>
          </cell>
          <cell r="H472">
            <v>37174</v>
          </cell>
          <cell r="I472">
            <v>37184</v>
          </cell>
          <cell r="J472">
            <v>37205</v>
          </cell>
          <cell r="K472">
            <v>37225</v>
          </cell>
          <cell r="L472">
            <v>37176</v>
          </cell>
        </row>
        <row r="473">
          <cell r="E473" t="str">
            <v>IN</v>
          </cell>
          <cell r="G473">
            <v>37012</v>
          </cell>
          <cell r="H473">
            <v>37092</v>
          </cell>
          <cell r="I473">
            <v>37103</v>
          </cell>
          <cell r="J473">
            <v>37123</v>
          </cell>
          <cell r="K473">
            <v>37144</v>
          </cell>
          <cell r="L473">
            <v>37176</v>
          </cell>
        </row>
        <row r="474">
          <cell r="E474" t="str">
            <v>IN</v>
          </cell>
          <cell r="G474">
            <v>37165</v>
          </cell>
          <cell r="H474">
            <v>37194</v>
          </cell>
          <cell r="I474">
            <v>37205</v>
          </cell>
          <cell r="J474">
            <v>37225</v>
          </cell>
          <cell r="K474">
            <v>37245</v>
          </cell>
          <cell r="L474">
            <v>37176</v>
          </cell>
        </row>
        <row r="475">
          <cell r="E475" t="str">
            <v>IN</v>
          </cell>
          <cell r="G475">
            <v>37073</v>
          </cell>
          <cell r="H475">
            <v>37092</v>
          </cell>
          <cell r="I475">
            <v>37103</v>
          </cell>
          <cell r="J475">
            <v>37123</v>
          </cell>
          <cell r="K475">
            <v>37144</v>
          </cell>
          <cell r="L475">
            <v>37176</v>
          </cell>
        </row>
        <row r="476">
          <cell r="E476" t="str">
            <v>IN</v>
          </cell>
          <cell r="G476">
            <v>37073</v>
          </cell>
          <cell r="H476">
            <v>37092</v>
          </cell>
          <cell r="I476">
            <v>37103</v>
          </cell>
          <cell r="J476">
            <v>37123</v>
          </cell>
          <cell r="K476">
            <v>37144</v>
          </cell>
          <cell r="L476">
            <v>37176</v>
          </cell>
        </row>
        <row r="477">
          <cell r="E477" t="str">
            <v>IN</v>
          </cell>
          <cell r="G477">
            <v>37073</v>
          </cell>
          <cell r="H477">
            <v>37092</v>
          </cell>
          <cell r="I477">
            <v>37103</v>
          </cell>
          <cell r="J477">
            <v>37123</v>
          </cell>
          <cell r="K477">
            <v>37144</v>
          </cell>
          <cell r="L477">
            <v>37176</v>
          </cell>
        </row>
        <row r="478">
          <cell r="E478" t="str">
            <v>IN</v>
          </cell>
          <cell r="G478">
            <v>37073</v>
          </cell>
          <cell r="H478">
            <v>37092</v>
          </cell>
          <cell r="I478">
            <v>37103</v>
          </cell>
          <cell r="J478">
            <v>37123</v>
          </cell>
          <cell r="K478">
            <v>37144</v>
          </cell>
          <cell r="L478">
            <v>37176</v>
          </cell>
        </row>
        <row r="479">
          <cell r="E479" t="str">
            <v>IN</v>
          </cell>
          <cell r="G479">
            <v>37073</v>
          </cell>
          <cell r="H479">
            <v>37092</v>
          </cell>
          <cell r="I479">
            <v>37103</v>
          </cell>
          <cell r="J479">
            <v>37123</v>
          </cell>
          <cell r="K479">
            <v>37144</v>
          </cell>
          <cell r="L479">
            <v>37176</v>
          </cell>
        </row>
        <row r="480">
          <cell r="E480" t="str">
            <v>IN</v>
          </cell>
          <cell r="G480">
            <v>37073</v>
          </cell>
          <cell r="H480">
            <v>37092</v>
          </cell>
          <cell r="I480">
            <v>37103</v>
          </cell>
          <cell r="J480">
            <v>37123</v>
          </cell>
          <cell r="K480">
            <v>37144</v>
          </cell>
          <cell r="L480">
            <v>37176</v>
          </cell>
        </row>
        <row r="481">
          <cell r="E481" t="str">
            <v>IN</v>
          </cell>
          <cell r="G481">
            <v>37058</v>
          </cell>
          <cell r="H481">
            <v>37087</v>
          </cell>
          <cell r="I481">
            <v>37103</v>
          </cell>
          <cell r="J481">
            <v>37123</v>
          </cell>
          <cell r="K481">
            <v>37144</v>
          </cell>
          <cell r="L481">
            <v>37176</v>
          </cell>
        </row>
        <row r="482">
          <cell r="E482" t="str">
            <v>IN</v>
          </cell>
          <cell r="G482">
            <v>37073</v>
          </cell>
          <cell r="H482">
            <v>37123</v>
          </cell>
          <cell r="I482">
            <v>37134</v>
          </cell>
          <cell r="J482">
            <v>37154</v>
          </cell>
          <cell r="K482">
            <v>37174</v>
          </cell>
          <cell r="L482">
            <v>37176</v>
          </cell>
        </row>
        <row r="483">
          <cell r="E483" t="str">
            <v>IN</v>
          </cell>
          <cell r="G483">
            <v>37135</v>
          </cell>
          <cell r="H483">
            <v>37164</v>
          </cell>
          <cell r="I483">
            <v>37179</v>
          </cell>
          <cell r="J483">
            <v>37200</v>
          </cell>
          <cell r="K483">
            <v>37220</v>
          </cell>
          <cell r="L483">
            <v>37176</v>
          </cell>
        </row>
        <row r="484">
          <cell r="E484" t="str">
            <v>IN</v>
          </cell>
          <cell r="G484">
            <v>37165</v>
          </cell>
          <cell r="H484">
            <v>37184</v>
          </cell>
          <cell r="I484">
            <v>37195</v>
          </cell>
          <cell r="J484">
            <v>37215</v>
          </cell>
          <cell r="K484">
            <v>37235</v>
          </cell>
          <cell r="L484">
            <v>37176</v>
          </cell>
        </row>
        <row r="485">
          <cell r="E485" t="str">
            <v>IN</v>
          </cell>
          <cell r="G485">
            <v>37082</v>
          </cell>
          <cell r="H485">
            <v>37123</v>
          </cell>
          <cell r="I485">
            <v>37134</v>
          </cell>
          <cell r="J485">
            <v>37154</v>
          </cell>
          <cell r="K485">
            <v>37174</v>
          </cell>
          <cell r="L485">
            <v>37176</v>
          </cell>
        </row>
        <row r="486">
          <cell r="E486" t="str">
            <v>IN</v>
          </cell>
          <cell r="G486">
            <v>37104</v>
          </cell>
          <cell r="H486">
            <v>37169</v>
          </cell>
          <cell r="I486">
            <v>37179</v>
          </cell>
          <cell r="J486">
            <v>37200</v>
          </cell>
          <cell r="K486">
            <v>37220</v>
          </cell>
          <cell r="L486">
            <v>37176</v>
          </cell>
        </row>
        <row r="487">
          <cell r="E487" t="str">
            <v>IN</v>
          </cell>
          <cell r="G487">
            <v>37104</v>
          </cell>
          <cell r="H487">
            <v>37169</v>
          </cell>
          <cell r="I487">
            <v>37179</v>
          </cell>
          <cell r="J487">
            <v>37200</v>
          </cell>
          <cell r="K487">
            <v>37220</v>
          </cell>
          <cell r="L487">
            <v>37176</v>
          </cell>
        </row>
        <row r="488">
          <cell r="E488" t="str">
            <v>IN</v>
          </cell>
          <cell r="G488">
            <v>37104</v>
          </cell>
          <cell r="H488">
            <v>37169</v>
          </cell>
          <cell r="I488">
            <v>37179</v>
          </cell>
          <cell r="J488">
            <v>37200</v>
          </cell>
          <cell r="K488">
            <v>37220</v>
          </cell>
          <cell r="L488">
            <v>37176</v>
          </cell>
        </row>
        <row r="489">
          <cell r="E489" t="str">
            <v>IN</v>
          </cell>
          <cell r="G489">
            <v>37104</v>
          </cell>
          <cell r="H489">
            <v>37169</v>
          </cell>
          <cell r="I489">
            <v>37179</v>
          </cell>
          <cell r="J489">
            <v>37200</v>
          </cell>
          <cell r="K489">
            <v>37220</v>
          </cell>
          <cell r="L489">
            <v>37176</v>
          </cell>
        </row>
        <row r="490">
          <cell r="E490" t="str">
            <v>IN</v>
          </cell>
          <cell r="G490">
            <v>37104</v>
          </cell>
          <cell r="H490">
            <v>37169</v>
          </cell>
          <cell r="I490">
            <v>37179</v>
          </cell>
          <cell r="J490">
            <v>37200</v>
          </cell>
          <cell r="K490">
            <v>37220</v>
          </cell>
          <cell r="L490">
            <v>37176</v>
          </cell>
        </row>
        <row r="491">
          <cell r="E491" t="str">
            <v>IN</v>
          </cell>
          <cell r="G491">
            <v>37104</v>
          </cell>
          <cell r="H491">
            <v>37169</v>
          </cell>
          <cell r="I491">
            <v>37179</v>
          </cell>
          <cell r="J491">
            <v>37200</v>
          </cell>
          <cell r="K491">
            <v>37220</v>
          </cell>
          <cell r="L491">
            <v>37176</v>
          </cell>
        </row>
        <row r="492">
          <cell r="E492" t="str">
            <v>IN</v>
          </cell>
          <cell r="G492">
            <v>37104</v>
          </cell>
          <cell r="H492">
            <v>37169</v>
          </cell>
          <cell r="I492">
            <v>37179</v>
          </cell>
          <cell r="J492">
            <v>37200</v>
          </cell>
          <cell r="K492">
            <v>37220</v>
          </cell>
          <cell r="L492">
            <v>37176</v>
          </cell>
        </row>
        <row r="493">
          <cell r="E493" t="str">
            <v>IN</v>
          </cell>
          <cell r="G493">
            <v>37104</v>
          </cell>
          <cell r="H493">
            <v>37169</v>
          </cell>
          <cell r="I493">
            <v>37179</v>
          </cell>
          <cell r="J493">
            <v>37200</v>
          </cell>
          <cell r="K493">
            <v>37220</v>
          </cell>
          <cell r="L493">
            <v>37176</v>
          </cell>
        </row>
        <row r="494">
          <cell r="E494" t="str">
            <v>IN</v>
          </cell>
          <cell r="G494">
            <v>37104</v>
          </cell>
          <cell r="H494">
            <v>37169</v>
          </cell>
          <cell r="I494">
            <v>37179</v>
          </cell>
          <cell r="J494">
            <v>37200</v>
          </cell>
          <cell r="K494">
            <v>37220</v>
          </cell>
          <cell r="L494">
            <v>37176</v>
          </cell>
        </row>
        <row r="495">
          <cell r="E495" t="str">
            <v>IN</v>
          </cell>
          <cell r="G495">
            <v>37104</v>
          </cell>
          <cell r="H495">
            <v>37169</v>
          </cell>
          <cell r="I495">
            <v>37179</v>
          </cell>
          <cell r="J495">
            <v>37200</v>
          </cell>
          <cell r="K495">
            <v>37220</v>
          </cell>
          <cell r="L495">
            <v>37176</v>
          </cell>
        </row>
        <row r="496">
          <cell r="E496" t="str">
            <v>IN</v>
          </cell>
          <cell r="G496">
            <v>37104</v>
          </cell>
          <cell r="H496">
            <v>37169</v>
          </cell>
          <cell r="I496">
            <v>37179</v>
          </cell>
          <cell r="J496">
            <v>37200</v>
          </cell>
          <cell r="K496">
            <v>37220</v>
          </cell>
          <cell r="L496">
            <v>37176</v>
          </cell>
        </row>
        <row r="497">
          <cell r="E497" t="str">
            <v>IN</v>
          </cell>
          <cell r="G497">
            <v>37104</v>
          </cell>
          <cell r="H497">
            <v>37169</v>
          </cell>
          <cell r="I497">
            <v>37179</v>
          </cell>
          <cell r="J497">
            <v>37200</v>
          </cell>
          <cell r="K497">
            <v>37220</v>
          </cell>
          <cell r="L497">
            <v>37176</v>
          </cell>
        </row>
        <row r="498">
          <cell r="E498" t="str">
            <v>IN</v>
          </cell>
          <cell r="G498">
            <v>37104</v>
          </cell>
          <cell r="H498">
            <v>37169</v>
          </cell>
          <cell r="I498">
            <v>37179</v>
          </cell>
          <cell r="J498">
            <v>37200</v>
          </cell>
          <cell r="K498">
            <v>37220</v>
          </cell>
          <cell r="L498">
            <v>37176</v>
          </cell>
        </row>
        <row r="499">
          <cell r="E499" t="str">
            <v>IN</v>
          </cell>
          <cell r="G499">
            <v>37104</v>
          </cell>
          <cell r="H499">
            <v>37169</v>
          </cell>
          <cell r="I499">
            <v>37179</v>
          </cell>
          <cell r="J499">
            <v>37200</v>
          </cell>
          <cell r="K499">
            <v>37220</v>
          </cell>
          <cell r="L499">
            <v>37176</v>
          </cell>
        </row>
        <row r="500">
          <cell r="E500" t="str">
            <v>IN</v>
          </cell>
          <cell r="G500">
            <v>37104</v>
          </cell>
          <cell r="H500">
            <v>37169</v>
          </cell>
          <cell r="I500">
            <v>37179</v>
          </cell>
          <cell r="J500">
            <v>37200</v>
          </cell>
          <cell r="K500">
            <v>37220</v>
          </cell>
          <cell r="L500">
            <v>37176</v>
          </cell>
        </row>
        <row r="501">
          <cell r="E501" t="str">
            <v>IN</v>
          </cell>
          <cell r="G501">
            <v>37104</v>
          </cell>
          <cell r="H501">
            <v>37169</v>
          </cell>
          <cell r="I501">
            <v>37179</v>
          </cell>
          <cell r="J501">
            <v>37200</v>
          </cell>
          <cell r="K501">
            <v>37220</v>
          </cell>
          <cell r="L501">
            <v>37176</v>
          </cell>
        </row>
        <row r="502">
          <cell r="E502" t="str">
            <v>IN</v>
          </cell>
          <cell r="G502">
            <v>37104</v>
          </cell>
          <cell r="H502">
            <v>37169</v>
          </cell>
          <cell r="I502">
            <v>37179</v>
          </cell>
          <cell r="J502">
            <v>37200</v>
          </cell>
          <cell r="K502">
            <v>37220</v>
          </cell>
          <cell r="L502">
            <v>37176</v>
          </cell>
        </row>
        <row r="503">
          <cell r="E503" t="str">
            <v>IN</v>
          </cell>
          <cell r="G503">
            <v>37104</v>
          </cell>
          <cell r="H503">
            <v>37169</v>
          </cell>
          <cell r="I503">
            <v>37179</v>
          </cell>
          <cell r="J503">
            <v>37200</v>
          </cell>
          <cell r="K503">
            <v>37220</v>
          </cell>
          <cell r="L503">
            <v>37176</v>
          </cell>
        </row>
        <row r="504">
          <cell r="E504" t="str">
            <v>IN</v>
          </cell>
          <cell r="G504">
            <v>37104</v>
          </cell>
          <cell r="H504">
            <v>37169</v>
          </cell>
          <cell r="I504">
            <v>37179</v>
          </cell>
          <cell r="J504">
            <v>37200</v>
          </cell>
          <cell r="K504">
            <v>37220</v>
          </cell>
          <cell r="L504">
            <v>37176</v>
          </cell>
        </row>
        <row r="505">
          <cell r="E505" t="str">
            <v>IN</v>
          </cell>
          <cell r="G505">
            <v>37104</v>
          </cell>
          <cell r="H505">
            <v>37169</v>
          </cell>
          <cell r="I505">
            <v>37179</v>
          </cell>
          <cell r="J505">
            <v>37200</v>
          </cell>
          <cell r="K505">
            <v>37220</v>
          </cell>
          <cell r="L505">
            <v>37176</v>
          </cell>
        </row>
        <row r="506">
          <cell r="E506" t="str">
            <v>IN</v>
          </cell>
          <cell r="G506">
            <v>37104</v>
          </cell>
          <cell r="H506">
            <v>37154</v>
          </cell>
          <cell r="I506">
            <v>37164</v>
          </cell>
          <cell r="J506">
            <v>37184</v>
          </cell>
          <cell r="K506">
            <v>37205</v>
          </cell>
          <cell r="L506">
            <v>37176</v>
          </cell>
        </row>
        <row r="507">
          <cell r="E507" t="str">
            <v>IN</v>
          </cell>
          <cell r="G507">
            <v>37104</v>
          </cell>
          <cell r="H507">
            <v>37154</v>
          </cell>
          <cell r="I507">
            <v>37164</v>
          </cell>
          <cell r="J507">
            <v>37184</v>
          </cell>
          <cell r="K507">
            <v>37205</v>
          </cell>
          <cell r="L507">
            <v>37176</v>
          </cell>
        </row>
        <row r="508">
          <cell r="E508" t="str">
            <v>IN</v>
          </cell>
          <cell r="G508">
            <v>37104</v>
          </cell>
          <cell r="H508">
            <v>37154</v>
          </cell>
          <cell r="I508">
            <v>37164</v>
          </cell>
          <cell r="J508">
            <v>37184</v>
          </cell>
          <cell r="K508">
            <v>37205</v>
          </cell>
          <cell r="L508">
            <v>37176</v>
          </cell>
        </row>
        <row r="509">
          <cell r="E509" t="str">
            <v>IN</v>
          </cell>
          <cell r="G509">
            <v>37104</v>
          </cell>
          <cell r="H509">
            <v>37154</v>
          </cell>
          <cell r="I509">
            <v>37164</v>
          </cell>
          <cell r="J509">
            <v>37184</v>
          </cell>
          <cell r="K509">
            <v>37205</v>
          </cell>
          <cell r="L509">
            <v>37176</v>
          </cell>
        </row>
        <row r="510">
          <cell r="E510" t="str">
            <v>IN</v>
          </cell>
          <cell r="G510">
            <v>37104</v>
          </cell>
          <cell r="H510">
            <v>37154</v>
          </cell>
          <cell r="I510">
            <v>37164</v>
          </cell>
          <cell r="J510">
            <v>37184</v>
          </cell>
          <cell r="K510">
            <v>37205</v>
          </cell>
          <cell r="L510">
            <v>37176</v>
          </cell>
        </row>
        <row r="511">
          <cell r="E511" t="str">
            <v>IN</v>
          </cell>
          <cell r="G511">
            <v>37119</v>
          </cell>
          <cell r="H511">
            <v>37169</v>
          </cell>
          <cell r="I511">
            <v>37179</v>
          </cell>
          <cell r="J511">
            <v>37200</v>
          </cell>
          <cell r="K511">
            <v>37220</v>
          </cell>
          <cell r="L511">
            <v>37176</v>
          </cell>
        </row>
        <row r="512">
          <cell r="E512" t="str">
            <v>IN</v>
          </cell>
          <cell r="G512">
            <v>37119</v>
          </cell>
          <cell r="H512">
            <v>37169</v>
          </cell>
          <cell r="I512">
            <v>37179</v>
          </cell>
          <cell r="J512">
            <v>37200</v>
          </cell>
          <cell r="K512">
            <v>37220</v>
          </cell>
          <cell r="L512">
            <v>37176</v>
          </cell>
        </row>
        <row r="513">
          <cell r="E513" t="str">
            <v>IN</v>
          </cell>
          <cell r="G513">
            <v>37119</v>
          </cell>
          <cell r="H513">
            <v>37169</v>
          </cell>
          <cell r="I513">
            <v>37179</v>
          </cell>
          <cell r="J513">
            <v>37200</v>
          </cell>
          <cell r="K513">
            <v>37220</v>
          </cell>
          <cell r="L513">
            <v>37176</v>
          </cell>
        </row>
        <row r="514">
          <cell r="E514" t="str">
            <v>IN</v>
          </cell>
          <cell r="G514">
            <v>37119</v>
          </cell>
          <cell r="H514">
            <v>37169</v>
          </cell>
          <cell r="I514">
            <v>37179</v>
          </cell>
          <cell r="J514">
            <v>37200</v>
          </cell>
          <cell r="K514">
            <v>37220</v>
          </cell>
          <cell r="L514">
            <v>37176</v>
          </cell>
        </row>
        <row r="515">
          <cell r="E515" t="str">
            <v>IN</v>
          </cell>
          <cell r="G515">
            <v>37119</v>
          </cell>
          <cell r="H515">
            <v>37169</v>
          </cell>
          <cell r="I515">
            <v>37179</v>
          </cell>
          <cell r="J515">
            <v>37200</v>
          </cell>
          <cell r="K515">
            <v>37220</v>
          </cell>
          <cell r="L515">
            <v>37176</v>
          </cell>
        </row>
        <row r="516">
          <cell r="E516" t="str">
            <v>IN</v>
          </cell>
          <cell r="G516">
            <v>37043</v>
          </cell>
          <cell r="H516">
            <v>37087</v>
          </cell>
          <cell r="I516">
            <v>37102</v>
          </cell>
          <cell r="J516">
            <v>37123</v>
          </cell>
          <cell r="K516">
            <v>37144</v>
          </cell>
          <cell r="L516">
            <v>37176</v>
          </cell>
        </row>
        <row r="517">
          <cell r="E517" t="str">
            <v>IN</v>
          </cell>
          <cell r="G517">
            <v>37104</v>
          </cell>
          <cell r="H517">
            <v>37134</v>
          </cell>
          <cell r="I517">
            <v>37144</v>
          </cell>
          <cell r="J517">
            <v>37154</v>
          </cell>
          <cell r="K517">
            <v>37164</v>
          </cell>
          <cell r="L517">
            <v>37176</v>
          </cell>
        </row>
        <row r="518">
          <cell r="E518" t="str">
            <v>IN</v>
          </cell>
          <cell r="G518">
            <v>37104</v>
          </cell>
          <cell r="H518">
            <v>37134</v>
          </cell>
          <cell r="I518">
            <v>37144</v>
          </cell>
          <cell r="J518">
            <v>37154</v>
          </cell>
          <cell r="K518">
            <v>37164</v>
          </cell>
          <cell r="L518">
            <v>37176</v>
          </cell>
        </row>
        <row r="519">
          <cell r="E519" t="str">
            <v>IN</v>
          </cell>
          <cell r="G519">
            <v>37104</v>
          </cell>
          <cell r="H519">
            <v>37134</v>
          </cell>
          <cell r="I519">
            <v>37144</v>
          </cell>
          <cell r="J519">
            <v>37154</v>
          </cell>
          <cell r="K519">
            <v>37164</v>
          </cell>
          <cell r="L519">
            <v>37176</v>
          </cell>
        </row>
        <row r="520">
          <cell r="E520" t="str">
            <v>IN</v>
          </cell>
          <cell r="G520">
            <v>37001</v>
          </cell>
          <cell r="H520">
            <v>37021</v>
          </cell>
          <cell r="I520">
            <v>37031</v>
          </cell>
          <cell r="J520">
            <v>37100</v>
          </cell>
          <cell r="K520">
            <v>37169</v>
          </cell>
          <cell r="L520">
            <v>37176</v>
          </cell>
        </row>
        <row r="521">
          <cell r="L521">
            <v>37176</v>
          </cell>
        </row>
        <row r="522">
          <cell r="L522">
            <v>37176</v>
          </cell>
        </row>
        <row r="523">
          <cell r="L523">
            <v>37176</v>
          </cell>
        </row>
        <row r="524">
          <cell r="E524" t="str">
            <v>IN</v>
          </cell>
          <cell r="G524">
            <v>37135</v>
          </cell>
          <cell r="H524">
            <v>37169</v>
          </cell>
          <cell r="I524">
            <v>37179</v>
          </cell>
          <cell r="J524">
            <v>37215</v>
          </cell>
          <cell r="K524">
            <v>37255</v>
          </cell>
          <cell r="L524">
            <v>37176</v>
          </cell>
        </row>
        <row r="529">
          <cell r="E529" t="str">
            <v>CI</v>
          </cell>
          <cell r="G529">
            <v>36970</v>
          </cell>
          <cell r="H529">
            <v>37016</v>
          </cell>
          <cell r="I529">
            <v>37026</v>
          </cell>
          <cell r="J529">
            <v>37052</v>
          </cell>
          <cell r="K529">
            <v>37072</v>
          </cell>
          <cell r="L529">
            <v>37176</v>
          </cell>
        </row>
        <row r="530">
          <cell r="E530" t="str">
            <v>CI</v>
          </cell>
          <cell r="G530">
            <v>36970</v>
          </cell>
          <cell r="H530">
            <v>37005.5</v>
          </cell>
          <cell r="I530">
            <v>37041</v>
          </cell>
          <cell r="J530">
            <v>37123</v>
          </cell>
          <cell r="K530">
            <v>37134</v>
          </cell>
          <cell r="L530">
            <v>37176</v>
          </cell>
        </row>
        <row r="531">
          <cell r="E531" t="str">
            <v>CI</v>
          </cell>
          <cell r="G531">
            <v>36982</v>
          </cell>
          <cell r="H531">
            <v>37011.5</v>
          </cell>
          <cell r="I531">
            <v>37041</v>
          </cell>
          <cell r="J531">
            <v>37134</v>
          </cell>
          <cell r="K531">
            <v>37149</v>
          </cell>
          <cell r="L531">
            <v>37176</v>
          </cell>
        </row>
        <row r="532">
          <cell r="E532" t="str">
            <v>CI</v>
          </cell>
          <cell r="G532">
            <v>37058</v>
          </cell>
          <cell r="H532">
            <v>37070</v>
          </cell>
          <cell r="I532">
            <v>37082</v>
          </cell>
          <cell r="J532">
            <v>37139</v>
          </cell>
          <cell r="K532">
            <v>37154</v>
          </cell>
          <cell r="L532">
            <v>37176</v>
          </cell>
        </row>
        <row r="533">
          <cell r="E533" t="str">
            <v>CI</v>
          </cell>
          <cell r="G533">
            <v>37058</v>
          </cell>
          <cell r="H533">
            <v>37075</v>
          </cell>
          <cell r="I533">
            <v>37092</v>
          </cell>
          <cell r="J533">
            <v>37144</v>
          </cell>
          <cell r="K533">
            <v>37159</v>
          </cell>
          <cell r="L533">
            <v>37176</v>
          </cell>
        </row>
        <row r="534">
          <cell r="E534" t="str">
            <v>CI</v>
          </cell>
          <cell r="G534">
            <v>37012</v>
          </cell>
          <cell r="H534">
            <v>37049.5</v>
          </cell>
          <cell r="I534">
            <v>37087</v>
          </cell>
          <cell r="J534">
            <v>37154</v>
          </cell>
          <cell r="K534">
            <v>37169</v>
          </cell>
          <cell r="L534">
            <v>37176</v>
          </cell>
        </row>
        <row r="535">
          <cell r="E535" t="str">
            <v>CI</v>
          </cell>
          <cell r="G535">
            <v>37021</v>
          </cell>
          <cell r="H535">
            <v>37059</v>
          </cell>
          <cell r="I535">
            <v>37097</v>
          </cell>
          <cell r="J535">
            <v>37149</v>
          </cell>
          <cell r="K535">
            <v>37164</v>
          </cell>
          <cell r="L535">
            <v>37176</v>
          </cell>
        </row>
        <row r="536">
          <cell r="E536" t="str">
            <v>CI</v>
          </cell>
          <cell r="G536">
            <v>37036</v>
          </cell>
          <cell r="H536">
            <v>37068</v>
          </cell>
          <cell r="I536">
            <v>37100</v>
          </cell>
          <cell r="J536">
            <v>37154</v>
          </cell>
          <cell r="K536">
            <v>37169</v>
          </cell>
          <cell r="L536">
            <v>37176</v>
          </cell>
        </row>
        <row r="537">
          <cell r="E537" t="str">
            <v>CI</v>
          </cell>
          <cell r="G537">
            <v>37073</v>
          </cell>
          <cell r="H537">
            <v>37088</v>
          </cell>
          <cell r="I537">
            <v>37103</v>
          </cell>
          <cell r="J537">
            <v>37149</v>
          </cell>
          <cell r="K537">
            <v>37169</v>
          </cell>
          <cell r="L537">
            <v>37176</v>
          </cell>
        </row>
        <row r="538">
          <cell r="E538" t="str">
            <v>CI</v>
          </cell>
          <cell r="G538">
            <v>37012</v>
          </cell>
          <cell r="H538">
            <v>37057.5</v>
          </cell>
          <cell r="I538">
            <v>37103</v>
          </cell>
          <cell r="J538">
            <v>37154</v>
          </cell>
          <cell r="K538">
            <v>37169</v>
          </cell>
          <cell r="L538">
            <v>37176</v>
          </cell>
        </row>
        <row r="539">
          <cell r="E539" t="str">
            <v>CI</v>
          </cell>
          <cell r="G539">
            <v>37073</v>
          </cell>
          <cell r="H539">
            <v>37093</v>
          </cell>
          <cell r="I539">
            <v>37113</v>
          </cell>
          <cell r="J539">
            <v>37194</v>
          </cell>
          <cell r="K539">
            <v>37210</v>
          </cell>
          <cell r="L539">
            <v>37176</v>
          </cell>
        </row>
        <row r="540">
          <cell r="E540" t="str">
            <v>CI</v>
          </cell>
          <cell r="G540">
            <v>37124</v>
          </cell>
          <cell r="H540">
            <v>37144</v>
          </cell>
          <cell r="I540">
            <v>37164</v>
          </cell>
          <cell r="J540">
            <v>37194</v>
          </cell>
          <cell r="K540">
            <v>37210</v>
          </cell>
          <cell r="L540">
            <v>37176</v>
          </cell>
        </row>
        <row r="541">
          <cell r="E541" t="str">
            <v>CI</v>
          </cell>
          <cell r="G541">
            <v>36991</v>
          </cell>
          <cell r="H541">
            <v>37031.5</v>
          </cell>
          <cell r="I541">
            <v>37072</v>
          </cell>
          <cell r="J541">
            <v>37118</v>
          </cell>
          <cell r="K541">
            <v>37149</v>
          </cell>
          <cell r="L541">
            <v>37176</v>
          </cell>
        </row>
        <row r="542">
          <cell r="E542" t="str">
            <v>CI</v>
          </cell>
          <cell r="G542">
            <v>37058</v>
          </cell>
          <cell r="H542">
            <v>37072.5</v>
          </cell>
          <cell r="I542">
            <v>37087</v>
          </cell>
          <cell r="J542">
            <v>37128</v>
          </cell>
          <cell r="K542">
            <v>37154</v>
          </cell>
          <cell r="L542">
            <v>37176</v>
          </cell>
        </row>
        <row r="543">
          <cell r="E543" t="str">
            <v>CI</v>
          </cell>
          <cell r="G543">
            <v>37058</v>
          </cell>
          <cell r="H543">
            <v>37080.5</v>
          </cell>
          <cell r="I543">
            <v>37103</v>
          </cell>
          <cell r="J543">
            <v>37139</v>
          </cell>
          <cell r="K543">
            <v>37164</v>
          </cell>
          <cell r="L543">
            <v>37176</v>
          </cell>
        </row>
        <row r="544">
          <cell r="E544" t="str">
            <v>CI</v>
          </cell>
          <cell r="G544">
            <v>37082</v>
          </cell>
          <cell r="H544">
            <v>37092.5</v>
          </cell>
          <cell r="I544">
            <v>37103</v>
          </cell>
          <cell r="J544">
            <v>37149</v>
          </cell>
          <cell r="K544">
            <v>37169</v>
          </cell>
          <cell r="L544">
            <v>37176</v>
          </cell>
        </row>
        <row r="545">
          <cell r="E545" t="str">
            <v>CI</v>
          </cell>
          <cell r="G545">
            <v>37058</v>
          </cell>
          <cell r="H545">
            <v>37085.5</v>
          </cell>
          <cell r="I545">
            <v>37113</v>
          </cell>
          <cell r="J545">
            <v>37174</v>
          </cell>
          <cell r="K545">
            <v>37194</v>
          </cell>
          <cell r="L545">
            <v>37176</v>
          </cell>
        </row>
        <row r="546">
          <cell r="E546" t="str">
            <v>CI</v>
          </cell>
          <cell r="G546">
            <v>37145</v>
          </cell>
          <cell r="H546">
            <v>37154.5</v>
          </cell>
          <cell r="I546">
            <v>37164</v>
          </cell>
          <cell r="J546">
            <v>37194</v>
          </cell>
          <cell r="K546">
            <v>37210</v>
          </cell>
          <cell r="L546">
            <v>37176</v>
          </cell>
        </row>
        <row r="547">
          <cell r="E547" t="str">
            <v>CI</v>
          </cell>
          <cell r="G547">
            <v>37012</v>
          </cell>
          <cell r="H547">
            <v>37072.5</v>
          </cell>
          <cell r="I547">
            <v>37133</v>
          </cell>
          <cell r="J547">
            <v>37179</v>
          </cell>
          <cell r="K547">
            <v>37194</v>
          </cell>
          <cell r="L547">
            <v>37176</v>
          </cell>
        </row>
        <row r="548">
          <cell r="E548" t="str">
            <v>CI</v>
          </cell>
          <cell r="G548">
            <v>36982</v>
          </cell>
          <cell r="H548">
            <v>37006.5</v>
          </cell>
          <cell r="I548">
            <v>37031</v>
          </cell>
          <cell r="J548">
            <v>37072</v>
          </cell>
          <cell r="K548">
            <v>37102</v>
          </cell>
          <cell r="L548">
            <v>37176</v>
          </cell>
        </row>
        <row r="549">
          <cell r="E549" t="str">
            <v>CI</v>
          </cell>
          <cell r="G549">
            <v>36982</v>
          </cell>
          <cell r="H549">
            <v>37006.5</v>
          </cell>
          <cell r="I549">
            <v>37031</v>
          </cell>
          <cell r="J549">
            <v>37072</v>
          </cell>
          <cell r="K549">
            <v>37097</v>
          </cell>
          <cell r="L549">
            <v>37176</v>
          </cell>
        </row>
        <row r="550">
          <cell r="E550" t="str">
            <v>CI</v>
          </cell>
          <cell r="G550">
            <v>36982</v>
          </cell>
          <cell r="H550">
            <v>37006.5</v>
          </cell>
          <cell r="I550">
            <v>37031</v>
          </cell>
          <cell r="J550">
            <v>37072</v>
          </cell>
          <cell r="K550">
            <v>37097</v>
          </cell>
          <cell r="L550">
            <v>37176</v>
          </cell>
        </row>
        <row r="551">
          <cell r="E551" t="str">
            <v>CI</v>
          </cell>
          <cell r="G551">
            <v>36982</v>
          </cell>
          <cell r="H551">
            <v>37006.5</v>
          </cell>
          <cell r="I551">
            <v>37031</v>
          </cell>
          <cell r="J551">
            <v>37072</v>
          </cell>
          <cell r="K551">
            <v>37097</v>
          </cell>
          <cell r="L551">
            <v>37176</v>
          </cell>
        </row>
        <row r="552">
          <cell r="E552" t="str">
            <v>CI</v>
          </cell>
          <cell r="G552">
            <v>36997</v>
          </cell>
          <cell r="H552">
            <v>37016.5</v>
          </cell>
          <cell r="I552">
            <v>37036</v>
          </cell>
          <cell r="J552">
            <v>37072</v>
          </cell>
          <cell r="K552">
            <v>37097</v>
          </cell>
          <cell r="L552">
            <v>37176</v>
          </cell>
        </row>
        <row r="553">
          <cell r="E553" t="str">
            <v>CI</v>
          </cell>
          <cell r="G553">
            <v>36997</v>
          </cell>
          <cell r="H553">
            <v>37016.5</v>
          </cell>
          <cell r="I553">
            <v>37036</v>
          </cell>
          <cell r="J553">
            <v>37072</v>
          </cell>
          <cell r="K553">
            <v>37097</v>
          </cell>
          <cell r="L553">
            <v>37176</v>
          </cell>
        </row>
        <row r="554">
          <cell r="E554" t="str">
            <v>CI</v>
          </cell>
          <cell r="G554">
            <v>37012</v>
          </cell>
          <cell r="H554">
            <v>37032</v>
          </cell>
          <cell r="I554">
            <v>37052</v>
          </cell>
          <cell r="J554">
            <v>37164</v>
          </cell>
          <cell r="K554">
            <v>37169</v>
          </cell>
          <cell r="L554">
            <v>37176</v>
          </cell>
        </row>
        <row r="555">
          <cell r="E555" t="str">
            <v>CI</v>
          </cell>
          <cell r="G555">
            <v>37012</v>
          </cell>
          <cell r="H555">
            <v>37032</v>
          </cell>
          <cell r="I555">
            <v>37052</v>
          </cell>
          <cell r="J555">
            <v>37164</v>
          </cell>
          <cell r="K555">
            <v>37169</v>
          </cell>
          <cell r="L555">
            <v>37176</v>
          </cell>
        </row>
        <row r="556">
          <cell r="E556" t="str">
            <v>CI</v>
          </cell>
          <cell r="G556">
            <v>37012</v>
          </cell>
          <cell r="H556">
            <v>37032</v>
          </cell>
          <cell r="I556">
            <v>37052</v>
          </cell>
          <cell r="J556">
            <v>37164</v>
          </cell>
          <cell r="K556">
            <v>37169</v>
          </cell>
          <cell r="L556">
            <v>37176</v>
          </cell>
        </row>
        <row r="557">
          <cell r="E557" t="str">
            <v>CI</v>
          </cell>
          <cell r="G557">
            <v>37012</v>
          </cell>
          <cell r="H557">
            <v>37032</v>
          </cell>
          <cell r="I557">
            <v>37052</v>
          </cell>
          <cell r="J557">
            <v>37164</v>
          </cell>
          <cell r="K557">
            <v>37169</v>
          </cell>
          <cell r="L557">
            <v>37176</v>
          </cell>
        </row>
        <row r="558">
          <cell r="E558" t="str">
            <v>CI</v>
          </cell>
          <cell r="G558">
            <v>37012</v>
          </cell>
          <cell r="H558">
            <v>37032</v>
          </cell>
          <cell r="I558">
            <v>37052</v>
          </cell>
          <cell r="J558">
            <v>37164</v>
          </cell>
          <cell r="K558">
            <v>37169</v>
          </cell>
          <cell r="L558">
            <v>37176</v>
          </cell>
        </row>
        <row r="559">
          <cell r="E559" t="str">
            <v>CI</v>
          </cell>
          <cell r="G559">
            <v>37012</v>
          </cell>
          <cell r="H559">
            <v>37026.5</v>
          </cell>
          <cell r="I559">
            <v>37041</v>
          </cell>
          <cell r="J559">
            <v>37087</v>
          </cell>
          <cell r="K559">
            <v>37113</v>
          </cell>
          <cell r="L559">
            <v>37176</v>
          </cell>
        </row>
        <row r="560">
          <cell r="E560" t="str">
            <v>CI</v>
          </cell>
          <cell r="G560">
            <v>37012</v>
          </cell>
          <cell r="H560">
            <v>37032</v>
          </cell>
          <cell r="I560">
            <v>37052</v>
          </cell>
          <cell r="J560">
            <v>37164</v>
          </cell>
          <cell r="K560">
            <v>37169</v>
          </cell>
          <cell r="L560">
            <v>37176</v>
          </cell>
        </row>
        <row r="561">
          <cell r="E561" t="str">
            <v>CI</v>
          </cell>
          <cell r="G561">
            <v>37012</v>
          </cell>
          <cell r="H561">
            <v>37032</v>
          </cell>
          <cell r="I561">
            <v>37052</v>
          </cell>
          <cell r="J561">
            <v>37164</v>
          </cell>
          <cell r="K561">
            <v>37169</v>
          </cell>
          <cell r="L561">
            <v>37176</v>
          </cell>
        </row>
        <row r="562">
          <cell r="E562" t="str">
            <v>CI</v>
          </cell>
          <cell r="G562">
            <v>37012</v>
          </cell>
          <cell r="H562">
            <v>37032</v>
          </cell>
          <cell r="I562">
            <v>37052</v>
          </cell>
          <cell r="J562">
            <v>37164</v>
          </cell>
          <cell r="K562">
            <v>37169</v>
          </cell>
          <cell r="L562">
            <v>37176</v>
          </cell>
        </row>
        <row r="563">
          <cell r="E563" t="str">
            <v>CI</v>
          </cell>
          <cell r="G563">
            <v>37012</v>
          </cell>
          <cell r="H563">
            <v>37032</v>
          </cell>
          <cell r="I563">
            <v>37052</v>
          </cell>
          <cell r="J563">
            <v>37164</v>
          </cell>
          <cell r="K563">
            <v>37169</v>
          </cell>
          <cell r="L563">
            <v>37176</v>
          </cell>
        </row>
        <row r="564">
          <cell r="E564" t="str">
            <v>CI</v>
          </cell>
          <cell r="G564">
            <v>37027</v>
          </cell>
          <cell r="H564">
            <v>37039.5</v>
          </cell>
          <cell r="I564">
            <v>37052</v>
          </cell>
          <cell r="J564">
            <v>37164</v>
          </cell>
          <cell r="K564">
            <v>37169</v>
          </cell>
          <cell r="L564">
            <v>37176</v>
          </cell>
        </row>
        <row r="565">
          <cell r="E565" t="str">
            <v>CI</v>
          </cell>
          <cell r="G565">
            <v>37027</v>
          </cell>
          <cell r="H565">
            <v>37039.5</v>
          </cell>
          <cell r="I565">
            <v>37052</v>
          </cell>
          <cell r="J565">
            <v>37164</v>
          </cell>
          <cell r="K565">
            <v>37169</v>
          </cell>
          <cell r="L565">
            <v>37176</v>
          </cell>
        </row>
        <row r="566">
          <cell r="E566" t="str">
            <v>CI</v>
          </cell>
          <cell r="G566">
            <v>36997</v>
          </cell>
          <cell r="H566">
            <v>37019</v>
          </cell>
          <cell r="I566">
            <v>37041</v>
          </cell>
          <cell r="J566">
            <v>37087</v>
          </cell>
          <cell r="K566">
            <v>37113</v>
          </cell>
          <cell r="L566">
            <v>37176</v>
          </cell>
        </row>
        <row r="567">
          <cell r="E567" t="str">
            <v>CI</v>
          </cell>
          <cell r="G567">
            <v>37058</v>
          </cell>
          <cell r="H567">
            <v>37072.5</v>
          </cell>
          <cell r="I567">
            <v>37087</v>
          </cell>
          <cell r="J567">
            <v>37184</v>
          </cell>
          <cell r="K567">
            <v>37200</v>
          </cell>
          <cell r="L567">
            <v>37176</v>
          </cell>
        </row>
        <row r="568">
          <cell r="E568" t="str">
            <v>CI</v>
          </cell>
          <cell r="G568">
            <v>37058</v>
          </cell>
          <cell r="H568">
            <v>37072.5</v>
          </cell>
          <cell r="I568">
            <v>37087</v>
          </cell>
          <cell r="J568">
            <v>37184</v>
          </cell>
          <cell r="K568">
            <v>37200</v>
          </cell>
          <cell r="L568">
            <v>37176</v>
          </cell>
        </row>
        <row r="569">
          <cell r="E569" t="str">
            <v>CI</v>
          </cell>
          <cell r="G569">
            <v>37058</v>
          </cell>
          <cell r="H569">
            <v>37072.5</v>
          </cell>
          <cell r="I569">
            <v>37087</v>
          </cell>
          <cell r="J569">
            <v>37184</v>
          </cell>
          <cell r="K569">
            <v>37200</v>
          </cell>
          <cell r="L569">
            <v>37176</v>
          </cell>
        </row>
        <row r="570">
          <cell r="E570" t="str">
            <v>CI</v>
          </cell>
          <cell r="G570">
            <v>37058</v>
          </cell>
          <cell r="H570">
            <v>37088</v>
          </cell>
          <cell r="I570">
            <v>37118</v>
          </cell>
          <cell r="J570">
            <v>37184</v>
          </cell>
          <cell r="K570">
            <v>37200</v>
          </cell>
          <cell r="L570">
            <v>37176</v>
          </cell>
        </row>
        <row r="571">
          <cell r="E571" t="str">
            <v>CI</v>
          </cell>
          <cell r="G571">
            <v>37058</v>
          </cell>
          <cell r="H571">
            <v>37088</v>
          </cell>
          <cell r="I571">
            <v>37118</v>
          </cell>
          <cell r="J571">
            <v>37184</v>
          </cell>
          <cell r="K571">
            <v>37200</v>
          </cell>
          <cell r="L571">
            <v>37176</v>
          </cell>
        </row>
        <row r="572">
          <cell r="E572" t="str">
            <v>CI</v>
          </cell>
          <cell r="G572">
            <v>37058</v>
          </cell>
          <cell r="H572">
            <v>37088</v>
          </cell>
          <cell r="I572">
            <v>37118</v>
          </cell>
          <cell r="J572">
            <v>37139</v>
          </cell>
          <cell r="K572">
            <v>37154</v>
          </cell>
          <cell r="L572">
            <v>37176</v>
          </cell>
        </row>
        <row r="573">
          <cell r="E573" t="str">
            <v>CI</v>
          </cell>
          <cell r="G573">
            <v>37058</v>
          </cell>
          <cell r="H573">
            <v>37088</v>
          </cell>
          <cell r="I573">
            <v>37118</v>
          </cell>
          <cell r="J573">
            <v>37139</v>
          </cell>
          <cell r="K573">
            <v>37154</v>
          </cell>
          <cell r="L573">
            <v>37176</v>
          </cell>
        </row>
        <row r="574">
          <cell r="E574" t="str">
            <v>CI</v>
          </cell>
          <cell r="G574">
            <v>37119</v>
          </cell>
          <cell r="H574">
            <v>37131.5</v>
          </cell>
          <cell r="I574">
            <v>37144</v>
          </cell>
          <cell r="J574">
            <v>37164</v>
          </cell>
          <cell r="K574">
            <v>37179</v>
          </cell>
          <cell r="L574">
            <v>37176</v>
          </cell>
        </row>
        <row r="575">
          <cell r="E575" t="str">
            <v>CI</v>
          </cell>
          <cell r="G575">
            <v>37119</v>
          </cell>
          <cell r="H575">
            <v>37131.5</v>
          </cell>
          <cell r="I575">
            <v>37144</v>
          </cell>
          <cell r="J575">
            <v>37164</v>
          </cell>
          <cell r="K575">
            <v>37179</v>
          </cell>
          <cell r="L575">
            <v>37176</v>
          </cell>
        </row>
        <row r="576">
          <cell r="E576" t="str">
            <v>CI</v>
          </cell>
          <cell r="G576">
            <v>37119</v>
          </cell>
          <cell r="H576">
            <v>37131.5</v>
          </cell>
          <cell r="I576">
            <v>37144</v>
          </cell>
          <cell r="J576">
            <v>37164</v>
          </cell>
          <cell r="K576">
            <v>37179</v>
          </cell>
          <cell r="L576">
            <v>37176</v>
          </cell>
        </row>
        <row r="577">
          <cell r="E577" t="str">
            <v>CI</v>
          </cell>
          <cell r="G577">
            <v>37119</v>
          </cell>
          <cell r="H577">
            <v>37131.5</v>
          </cell>
          <cell r="I577">
            <v>37144</v>
          </cell>
          <cell r="J577">
            <v>37164</v>
          </cell>
          <cell r="K577">
            <v>37179</v>
          </cell>
          <cell r="L577">
            <v>37176</v>
          </cell>
        </row>
        <row r="578">
          <cell r="E578" t="str">
            <v>CI</v>
          </cell>
          <cell r="G578">
            <v>37119</v>
          </cell>
          <cell r="H578">
            <v>37131.5</v>
          </cell>
          <cell r="I578">
            <v>37144</v>
          </cell>
          <cell r="J578">
            <v>37164</v>
          </cell>
          <cell r="K578">
            <v>37179</v>
          </cell>
          <cell r="L578">
            <v>37176</v>
          </cell>
        </row>
        <row r="579">
          <cell r="E579" t="str">
            <v>CI</v>
          </cell>
          <cell r="G579">
            <v>37058</v>
          </cell>
          <cell r="H579">
            <v>37088</v>
          </cell>
          <cell r="I579">
            <v>37118</v>
          </cell>
          <cell r="J579">
            <v>37159</v>
          </cell>
          <cell r="K579">
            <v>37179</v>
          </cell>
          <cell r="L579">
            <v>37176</v>
          </cell>
        </row>
        <row r="580">
          <cell r="E580" t="str">
            <v>CI</v>
          </cell>
          <cell r="G580">
            <v>37058</v>
          </cell>
          <cell r="H580">
            <v>37088</v>
          </cell>
          <cell r="I580">
            <v>37118</v>
          </cell>
          <cell r="J580">
            <v>37159</v>
          </cell>
          <cell r="K580">
            <v>37179</v>
          </cell>
          <cell r="L580">
            <v>37176</v>
          </cell>
        </row>
        <row r="581">
          <cell r="E581" t="str">
            <v>CI</v>
          </cell>
          <cell r="G581">
            <v>37058</v>
          </cell>
          <cell r="H581">
            <v>37088</v>
          </cell>
          <cell r="I581">
            <v>37118</v>
          </cell>
          <cell r="J581">
            <v>37159</v>
          </cell>
          <cell r="K581">
            <v>37179</v>
          </cell>
          <cell r="L581">
            <v>37176</v>
          </cell>
        </row>
        <row r="582">
          <cell r="E582" t="str">
            <v>CI</v>
          </cell>
          <cell r="G582">
            <v>37058</v>
          </cell>
          <cell r="H582">
            <v>37088</v>
          </cell>
          <cell r="I582">
            <v>37118</v>
          </cell>
          <cell r="J582">
            <v>37159</v>
          </cell>
          <cell r="K582">
            <v>37179</v>
          </cell>
          <cell r="L582">
            <v>37176</v>
          </cell>
        </row>
        <row r="583">
          <cell r="E583" t="str">
            <v>CI</v>
          </cell>
          <cell r="G583">
            <v>37058</v>
          </cell>
          <cell r="H583">
            <v>37088</v>
          </cell>
          <cell r="I583">
            <v>37118</v>
          </cell>
          <cell r="J583">
            <v>37159</v>
          </cell>
          <cell r="K583">
            <v>37179</v>
          </cell>
          <cell r="L583">
            <v>37176</v>
          </cell>
        </row>
        <row r="584">
          <cell r="E584" t="str">
            <v>CI</v>
          </cell>
          <cell r="G584">
            <v>37088</v>
          </cell>
          <cell r="H584">
            <v>37110.5</v>
          </cell>
          <cell r="I584">
            <v>37133</v>
          </cell>
          <cell r="J584">
            <v>37164</v>
          </cell>
          <cell r="K584">
            <v>37169</v>
          </cell>
          <cell r="L584">
            <v>37176</v>
          </cell>
        </row>
        <row r="585">
          <cell r="E585" t="str">
            <v>CI</v>
          </cell>
          <cell r="G585">
            <v>37088</v>
          </cell>
          <cell r="H585">
            <v>37110.5</v>
          </cell>
          <cell r="I585">
            <v>37133</v>
          </cell>
          <cell r="J585">
            <v>37164</v>
          </cell>
          <cell r="K585">
            <v>37169</v>
          </cell>
          <cell r="L585">
            <v>37176</v>
          </cell>
        </row>
        <row r="586">
          <cell r="E586" t="str">
            <v>CI</v>
          </cell>
          <cell r="G586">
            <v>37027</v>
          </cell>
          <cell r="H586">
            <v>37039.5</v>
          </cell>
          <cell r="I586">
            <v>37052</v>
          </cell>
          <cell r="J586">
            <v>37149</v>
          </cell>
          <cell r="K586">
            <v>37169</v>
          </cell>
          <cell r="L586">
            <v>37176</v>
          </cell>
        </row>
        <row r="587">
          <cell r="E587" t="str">
            <v>CI</v>
          </cell>
          <cell r="G587">
            <v>37027</v>
          </cell>
          <cell r="H587">
            <v>37039.5</v>
          </cell>
          <cell r="I587">
            <v>37052</v>
          </cell>
          <cell r="J587">
            <v>37149</v>
          </cell>
          <cell r="K587">
            <v>37169</v>
          </cell>
          <cell r="L587">
            <v>37176</v>
          </cell>
        </row>
        <row r="588">
          <cell r="E588" t="str">
            <v>CI</v>
          </cell>
          <cell r="G588">
            <v>37027</v>
          </cell>
          <cell r="H588">
            <v>37072.5</v>
          </cell>
          <cell r="I588">
            <v>37118</v>
          </cell>
          <cell r="J588">
            <v>37149</v>
          </cell>
          <cell r="K588">
            <v>37169</v>
          </cell>
          <cell r="L588">
            <v>37176</v>
          </cell>
        </row>
        <row r="589">
          <cell r="E589" t="str">
            <v>CI</v>
          </cell>
          <cell r="G589">
            <v>37027</v>
          </cell>
          <cell r="H589">
            <v>37072.5</v>
          </cell>
          <cell r="I589">
            <v>37118</v>
          </cell>
          <cell r="J589">
            <v>37149</v>
          </cell>
          <cell r="K589">
            <v>37169</v>
          </cell>
          <cell r="L589">
            <v>37176</v>
          </cell>
        </row>
        <row r="590">
          <cell r="E590" t="str">
            <v>CI</v>
          </cell>
          <cell r="G590">
            <v>37027</v>
          </cell>
          <cell r="H590">
            <v>37072.5</v>
          </cell>
          <cell r="I590">
            <v>37118</v>
          </cell>
          <cell r="J590">
            <v>37149</v>
          </cell>
          <cell r="K590">
            <v>37169</v>
          </cell>
          <cell r="L590">
            <v>37176</v>
          </cell>
        </row>
        <row r="591">
          <cell r="E591" t="str">
            <v>CI</v>
          </cell>
          <cell r="G591">
            <v>37027</v>
          </cell>
          <cell r="H591">
            <v>37072.5</v>
          </cell>
          <cell r="I591">
            <v>37118</v>
          </cell>
          <cell r="J591">
            <v>37149</v>
          </cell>
          <cell r="K591">
            <v>37169</v>
          </cell>
          <cell r="L591">
            <v>37176</v>
          </cell>
        </row>
        <row r="592">
          <cell r="E592" t="str">
            <v>CI</v>
          </cell>
          <cell r="G592">
            <v>37027</v>
          </cell>
          <cell r="H592">
            <v>37049.5</v>
          </cell>
          <cell r="I592">
            <v>37072</v>
          </cell>
          <cell r="J592">
            <v>37102</v>
          </cell>
          <cell r="K592">
            <v>37123</v>
          </cell>
          <cell r="L592">
            <v>37176</v>
          </cell>
        </row>
        <row r="593">
          <cell r="E593" t="str">
            <v>CI</v>
          </cell>
          <cell r="G593">
            <v>37027</v>
          </cell>
          <cell r="H593">
            <v>37049.5</v>
          </cell>
          <cell r="I593">
            <v>37072</v>
          </cell>
          <cell r="J593">
            <v>37102</v>
          </cell>
          <cell r="K593">
            <v>37123</v>
          </cell>
          <cell r="L593">
            <v>37176</v>
          </cell>
        </row>
        <row r="594">
          <cell r="E594" t="str">
            <v>CI</v>
          </cell>
          <cell r="G594">
            <v>37027</v>
          </cell>
          <cell r="H594">
            <v>37049.5</v>
          </cell>
          <cell r="I594">
            <v>37072</v>
          </cell>
          <cell r="J594">
            <v>37102</v>
          </cell>
          <cell r="K594">
            <v>37123</v>
          </cell>
          <cell r="L594">
            <v>37176</v>
          </cell>
        </row>
        <row r="595">
          <cell r="E595" t="str">
            <v>CI</v>
          </cell>
          <cell r="G595">
            <v>37027</v>
          </cell>
          <cell r="H595">
            <v>37049.5</v>
          </cell>
          <cell r="I595">
            <v>37072</v>
          </cell>
          <cell r="J595">
            <v>37102</v>
          </cell>
          <cell r="K595">
            <v>37123</v>
          </cell>
          <cell r="L595">
            <v>37176</v>
          </cell>
        </row>
        <row r="596">
          <cell r="E596" t="str">
            <v>CI</v>
          </cell>
          <cell r="G596">
            <v>37088</v>
          </cell>
          <cell r="H596">
            <v>37118.5</v>
          </cell>
          <cell r="I596">
            <v>37149</v>
          </cell>
          <cell r="J596">
            <v>37174</v>
          </cell>
          <cell r="K596">
            <v>37194</v>
          </cell>
          <cell r="L596">
            <v>37176</v>
          </cell>
        </row>
        <row r="597">
          <cell r="E597" t="str">
            <v>CI</v>
          </cell>
          <cell r="G597">
            <v>37088</v>
          </cell>
          <cell r="H597">
            <v>37118.5</v>
          </cell>
          <cell r="I597">
            <v>37149</v>
          </cell>
          <cell r="J597">
            <v>37174</v>
          </cell>
          <cell r="K597">
            <v>37194</v>
          </cell>
          <cell r="L597">
            <v>37176</v>
          </cell>
        </row>
        <row r="598">
          <cell r="E598" t="str">
            <v>CI</v>
          </cell>
          <cell r="G598">
            <v>37088</v>
          </cell>
          <cell r="H598">
            <v>37118.5</v>
          </cell>
          <cell r="I598">
            <v>37149</v>
          </cell>
          <cell r="J598">
            <v>37174</v>
          </cell>
          <cell r="K598">
            <v>37194</v>
          </cell>
          <cell r="L598">
            <v>37176</v>
          </cell>
        </row>
        <row r="599">
          <cell r="E599" t="str">
            <v>CI</v>
          </cell>
          <cell r="G599">
            <v>37113</v>
          </cell>
          <cell r="H599">
            <v>37123</v>
          </cell>
          <cell r="I599">
            <v>37133</v>
          </cell>
          <cell r="J599">
            <v>37164</v>
          </cell>
          <cell r="K599">
            <v>37179</v>
          </cell>
          <cell r="L599">
            <v>37176</v>
          </cell>
        </row>
        <row r="600">
          <cell r="E600" t="str">
            <v>CI</v>
          </cell>
          <cell r="G600">
            <v>37113</v>
          </cell>
          <cell r="H600">
            <v>37123</v>
          </cell>
          <cell r="I600">
            <v>37133</v>
          </cell>
          <cell r="J600">
            <v>37164</v>
          </cell>
          <cell r="K600">
            <v>37179</v>
          </cell>
          <cell r="L600">
            <v>37176</v>
          </cell>
        </row>
        <row r="601">
          <cell r="E601" t="str">
            <v>CI</v>
          </cell>
          <cell r="G601">
            <v>37113</v>
          </cell>
          <cell r="H601">
            <v>37123</v>
          </cell>
          <cell r="I601">
            <v>37133</v>
          </cell>
          <cell r="J601">
            <v>37164</v>
          </cell>
          <cell r="K601">
            <v>37179</v>
          </cell>
          <cell r="L601">
            <v>37176</v>
          </cell>
        </row>
        <row r="602">
          <cell r="E602" t="str">
            <v>CI</v>
          </cell>
          <cell r="G602">
            <v>37149</v>
          </cell>
          <cell r="H602">
            <v>37159</v>
          </cell>
          <cell r="I602">
            <v>37169</v>
          </cell>
          <cell r="J602">
            <v>37194</v>
          </cell>
          <cell r="K602">
            <v>37210</v>
          </cell>
          <cell r="L602">
            <v>37176</v>
          </cell>
        </row>
        <row r="603">
          <cell r="E603" t="str">
            <v>CI</v>
          </cell>
          <cell r="G603">
            <v>37149</v>
          </cell>
          <cell r="H603">
            <v>37159</v>
          </cell>
          <cell r="I603">
            <v>37169</v>
          </cell>
          <cell r="J603">
            <v>37194</v>
          </cell>
          <cell r="K603">
            <v>37210</v>
          </cell>
          <cell r="L603">
            <v>37176</v>
          </cell>
        </row>
        <row r="604">
          <cell r="E604" t="str">
            <v>CI</v>
          </cell>
          <cell r="G604">
            <v>37012</v>
          </cell>
          <cell r="H604">
            <v>37032</v>
          </cell>
          <cell r="I604">
            <v>37052</v>
          </cell>
          <cell r="J604">
            <v>37164</v>
          </cell>
          <cell r="K604">
            <v>37169</v>
          </cell>
          <cell r="L604">
            <v>37176</v>
          </cell>
        </row>
        <row r="605">
          <cell r="E605" t="str">
            <v>CI</v>
          </cell>
          <cell r="G605">
            <v>37012</v>
          </cell>
          <cell r="H605">
            <v>37032</v>
          </cell>
          <cell r="I605">
            <v>37052</v>
          </cell>
          <cell r="J605">
            <v>37164</v>
          </cell>
          <cell r="K605">
            <v>37169</v>
          </cell>
          <cell r="L605">
            <v>37176</v>
          </cell>
        </row>
        <row r="606">
          <cell r="E606" t="str">
            <v>CI</v>
          </cell>
          <cell r="G606">
            <v>37012</v>
          </cell>
          <cell r="H606">
            <v>37032</v>
          </cell>
          <cell r="I606">
            <v>37052</v>
          </cell>
          <cell r="J606">
            <v>37164</v>
          </cell>
          <cell r="K606">
            <v>37169</v>
          </cell>
          <cell r="L606">
            <v>37176</v>
          </cell>
        </row>
        <row r="607">
          <cell r="E607" t="str">
            <v>CI</v>
          </cell>
          <cell r="G607">
            <v>37012</v>
          </cell>
          <cell r="H607">
            <v>37032</v>
          </cell>
          <cell r="I607">
            <v>37052</v>
          </cell>
          <cell r="J607">
            <v>37164</v>
          </cell>
          <cell r="K607">
            <v>37169</v>
          </cell>
          <cell r="L607">
            <v>37176</v>
          </cell>
        </row>
        <row r="608">
          <cell r="E608" t="str">
            <v>CI</v>
          </cell>
          <cell r="G608">
            <v>37012</v>
          </cell>
          <cell r="H608">
            <v>37032</v>
          </cell>
          <cell r="I608">
            <v>37052</v>
          </cell>
          <cell r="J608">
            <v>37164</v>
          </cell>
          <cell r="K608">
            <v>37169</v>
          </cell>
          <cell r="L608">
            <v>37176</v>
          </cell>
        </row>
        <row r="609">
          <cell r="E609" t="str">
            <v>CI</v>
          </cell>
          <cell r="G609">
            <v>37012</v>
          </cell>
          <cell r="H609">
            <v>37032</v>
          </cell>
          <cell r="I609">
            <v>37052</v>
          </cell>
          <cell r="J609">
            <v>37164</v>
          </cell>
          <cell r="K609">
            <v>37169</v>
          </cell>
          <cell r="L609">
            <v>37176</v>
          </cell>
        </row>
        <row r="610">
          <cell r="E610" t="str">
            <v>CI</v>
          </cell>
          <cell r="G610">
            <v>37012</v>
          </cell>
          <cell r="H610">
            <v>37032</v>
          </cell>
          <cell r="I610">
            <v>37052</v>
          </cell>
          <cell r="J610">
            <v>37164</v>
          </cell>
          <cell r="K610">
            <v>37169</v>
          </cell>
          <cell r="L610">
            <v>37176</v>
          </cell>
        </row>
        <row r="611">
          <cell r="E611" t="str">
            <v>CI</v>
          </cell>
          <cell r="G611">
            <v>37012</v>
          </cell>
          <cell r="H611">
            <v>37032</v>
          </cell>
          <cell r="I611">
            <v>37052</v>
          </cell>
          <cell r="J611">
            <v>37169</v>
          </cell>
          <cell r="K611">
            <v>37179</v>
          </cell>
          <cell r="L611">
            <v>37176</v>
          </cell>
        </row>
        <row r="612">
          <cell r="E612" t="str">
            <v>CI</v>
          </cell>
          <cell r="G612">
            <v>37012</v>
          </cell>
          <cell r="H612">
            <v>37032</v>
          </cell>
          <cell r="I612">
            <v>37052</v>
          </cell>
          <cell r="J612">
            <v>37169</v>
          </cell>
          <cell r="K612">
            <v>37179</v>
          </cell>
          <cell r="L612">
            <v>37176</v>
          </cell>
        </row>
        <row r="613">
          <cell r="E613" t="str">
            <v>CI</v>
          </cell>
          <cell r="G613">
            <v>37012</v>
          </cell>
          <cell r="H613">
            <v>37032</v>
          </cell>
          <cell r="I613">
            <v>37052</v>
          </cell>
          <cell r="J613">
            <v>37169</v>
          </cell>
          <cell r="K613">
            <v>37179</v>
          </cell>
          <cell r="L613">
            <v>37176</v>
          </cell>
        </row>
        <row r="614">
          <cell r="E614" t="str">
            <v>CI</v>
          </cell>
          <cell r="G614">
            <v>37012</v>
          </cell>
          <cell r="H614">
            <v>37032</v>
          </cell>
          <cell r="I614">
            <v>37052</v>
          </cell>
          <cell r="J614">
            <v>37169</v>
          </cell>
          <cell r="K614">
            <v>37179</v>
          </cell>
          <cell r="L614">
            <v>37176</v>
          </cell>
        </row>
        <row r="615">
          <cell r="E615" t="str">
            <v>CI</v>
          </cell>
          <cell r="G615">
            <v>37058</v>
          </cell>
          <cell r="H615">
            <v>37088</v>
          </cell>
          <cell r="I615">
            <v>37118</v>
          </cell>
          <cell r="J615">
            <v>37159</v>
          </cell>
          <cell r="K615">
            <v>37179</v>
          </cell>
          <cell r="L615">
            <v>37176</v>
          </cell>
        </row>
        <row r="616">
          <cell r="E616" t="str">
            <v>CI</v>
          </cell>
          <cell r="G616">
            <v>37058</v>
          </cell>
          <cell r="H616">
            <v>37088</v>
          </cell>
          <cell r="I616">
            <v>37118</v>
          </cell>
          <cell r="J616">
            <v>37159</v>
          </cell>
          <cell r="K616">
            <v>37179</v>
          </cell>
          <cell r="L616">
            <v>37176</v>
          </cell>
        </row>
        <row r="617">
          <cell r="E617" t="str">
            <v>CI</v>
          </cell>
          <cell r="G617">
            <v>37058</v>
          </cell>
          <cell r="H617">
            <v>37088</v>
          </cell>
          <cell r="I617">
            <v>37118</v>
          </cell>
          <cell r="J617">
            <v>37139</v>
          </cell>
          <cell r="K617">
            <v>37154</v>
          </cell>
          <cell r="L617">
            <v>37176</v>
          </cell>
        </row>
        <row r="618">
          <cell r="E618" t="str">
            <v>CI</v>
          </cell>
          <cell r="G618">
            <v>37088</v>
          </cell>
          <cell r="H618">
            <v>37118.5</v>
          </cell>
          <cell r="I618">
            <v>37149</v>
          </cell>
          <cell r="J618">
            <v>37174</v>
          </cell>
          <cell r="K618">
            <v>37194</v>
          </cell>
          <cell r="L618">
            <v>37176</v>
          </cell>
        </row>
        <row r="619">
          <cell r="E619" t="str">
            <v>CI</v>
          </cell>
          <cell r="G619">
            <v>37088</v>
          </cell>
          <cell r="H619">
            <v>37118.5</v>
          </cell>
          <cell r="I619">
            <v>37149</v>
          </cell>
          <cell r="J619">
            <v>37174</v>
          </cell>
          <cell r="K619">
            <v>37194</v>
          </cell>
          <cell r="L619">
            <v>37176</v>
          </cell>
        </row>
        <row r="620">
          <cell r="E620" t="str">
            <v>CI</v>
          </cell>
          <cell r="G620">
            <v>37088</v>
          </cell>
          <cell r="H620">
            <v>37118.5</v>
          </cell>
          <cell r="I620">
            <v>37149</v>
          </cell>
          <cell r="J620">
            <v>37174</v>
          </cell>
          <cell r="K620">
            <v>37194</v>
          </cell>
          <cell r="L620">
            <v>37176</v>
          </cell>
        </row>
        <row r="621">
          <cell r="E621" t="str">
            <v>CI</v>
          </cell>
          <cell r="G621">
            <v>37088</v>
          </cell>
          <cell r="H621">
            <v>37118.5</v>
          </cell>
          <cell r="I621">
            <v>37149</v>
          </cell>
          <cell r="J621">
            <v>37174</v>
          </cell>
          <cell r="K621">
            <v>37194</v>
          </cell>
          <cell r="L621">
            <v>37176</v>
          </cell>
        </row>
        <row r="622">
          <cell r="E622" t="str">
            <v>CI</v>
          </cell>
          <cell r="G622">
            <v>37149</v>
          </cell>
          <cell r="H622">
            <v>37159</v>
          </cell>
          <cell r="I622">
            <v>37169</v>
          </cell>
          <cell r="J622">
            <v>37194</v>
          </cell>
          <cell r="K622">
            <v>37210</v>
          </cell>
          <cell r="L622">
            <v>37176</v>
          </cell>
        </row>
        <row r="623">
          <cell r="E623" t="str">
            <v>CI</v>
          </cell>
          <cell r="G623">
            <v>37149</v>
          </cell>
          <cell r="H623">
            <v>37159</v>
          </cell>
          <cell r="I623">
            <v>37169</v>
          </cell>
          <cell r="J623">
            <v>37194</v>
          </cell>
          <cell r="K623">
            <v>37210</v>
          </cell>
          <cell r="L623">
            <v>37176</v>
          </cell>
        </row>
        <row r="624">
          <cell r="E624" t="str">
            <v>CI</v>
          </cell>
          <cell r="G624">
            <v>37149</v>
          </cell>
          <cell r="H624">
            <v>37159</v>
          </cell>
          <cell r="I624">
            <v>37169</v>
          </cell>
          <cell r="J624">
            <v>37194</v>
          </cell>
          <cell r="K624">
            <v>37210</v>
          </cell>
          <cell r="L624">
            <v>37176</v>
          </cell>
        </row>
        <row r="625">
          <cell r="E625" t="str">
            <v>CI</v>
          </cell>
          <cell r="G625">
            <v>37149</v>
          </cell>
          <cell r="H625">
            <v>37159</v>
          </cell>
          <cell r="I625">
            <v>37169</v>
          </cell>
          <cell r="J625">
            <v>37200</v>
          </cell>
          <cell r="K625">
            <v>37215</v>
          </cell>
          <cell r="L625">
            <v>37176</v>
          </cell>
        </row>
        <row r="626">
          <cell r="E626" t="str">
            <v>CI</v>
          </cell>
          <cell r="G626">
            <v>37149</v>
          </cell>
          <cell r="H626">
            <v>37159</v>
          </cell>
          <cell r="I626">
            <v>37169</v>
          </cell>
          <cell r="J626">
            <v>37200</v>
          </cell>
          <cell r="K626">
            <v>37215</v>
          </cell>
          <cell r="L626">
            <v>37176</v>
          </cell>
        </row>
        <row r="627">
          <cell r="E627" t="str">
            <v>CI</v>
          </cell>
          <cell r="G627">
            <v>37149</v>
          </cell>
          <cell r="H627">
            <v>37159</v>
          </cell>
          <cell r="I627">
            <v>37169</v>
          </cell>
          <cell r="J627">
            <v>37200</v>
          </cell>
          <cell r="K627">
            <v>37215</v>
          </cell>
          <cell r="L627">
            <v>37176</v>
          </cell>
        </row>
        <row r="628">
          <cell r="E628" t="str">
            <v>CI</v>
          </cell>
          <cell r="G628">
            <v>37149</v>
          </cell>
          <cell r="H628">
            <v>37159</v>
          </cell>
          <cell r="I628">
            <v>37169</v>
          </cell>
          <cell r="J628">
            <v>37200</v>
          </cell>
          <cell r="K628">
            <v>37215</v>
          </cell>
          <cell r="L628">
            <v>37176</v>
          </cell>
        </row>
        <row r="629">
          <cell r="E629" t="str">
            <v>CI</v>
          </cell>
          <cell r="G629">
            <v>37149</v>
          </cell>
          <cell r="H629">
            <v>37159</v>
          </cell>
          <cell r="I629">
            <v>37169</v>
          </cell>
          <cell r="J629">
            <v>37200</v>
          </cell>
          <cell r="K629">
            <v>37215</v>
          </cell>
          <cell r="L629">
            <v>37176</v>
          </cell>
        </row>
        <row r="630">
          <cell r="E630" t="str">
            <v>CI</v>
          </cell>
          <cell r="G630">
            <v>37149</v>
          </cell>
          <cell r="H630">
            <v>37159</v>
          </cell>
          <cell r="I630">
            <v>37169</v>
          </cell>
          <cell r="J630">
            <v>37200</v>
          </cell>
          <cell r="K630">
            <v>37215</v>
          </cell>
          <cell r="L630">
            <v>37176</v>
          </cell>
        </row>
        <row r="631">
          <cell r="E631" t="str">
            <v>CI</v>
          </cell>
          <cell r="G631">
            <v>37012</v>
          </cell>
          <cell r="H631">
            <v>37042</v>
          </cell>
          <cell r="I631">
            <v>37072</v>
          </cell>
          <cell r="J631">
            <v>37097</v>
          </cell>
          <cell r="K631">
            <v>37119</v>
          </cell>
          <cell r="L631">
            <v>37176</v>
          </cell>
        </row>
        <row r="632">
          <cell r="E632" t="str">
            <v>CI</v>
          </cell>
          <cell r="G632">
            <v>37012</v>
          </cell>
          <cell r="H632">
            <v>37042</v>
          </cell>
          <cell r="I632">
            <v>37072</v>
          </cell>
          <cell r="J632">
            <v>37097</v>
          </cell>
          <cell r="K632">
            <v>37119</v>
          </cell>
          <cell r="L632">
            <v>37176</v>
          </cell>
        </row>
        <row r="633">
          <cell r="E633" t="str">
            <v>CI</v>
          </cell>
          <cell r="G633">
            <v>37012</v>
          </cell>
          <cell r="H633">
            <v>37042</v>
          </cell>
          <cell r="I633">
            <v>37072</v>
          </cell>
          <cell r="J633">
            <v>37097</v>
          </cell>
          <cell r="K633">
            <v>37119</v>
          </cell>
          <cell r="L633">
            <v>37176</v>
          </cell>
        </row>
        <row r="634">
          <cell r="E634" t="str">
            <v>CI</v>
          </cell>
          <cell r="G634">
            <v>37149</v>
          </cell>
          <cell r="H634">
            <v>37159</v>
          </cell>
          <cell r="I634">
            <v>37169</v>
          </cell>
          <cell r="J634">
            <v>37194</v>
          </cell>
          <cell r="K634">
            <v>37210</v>
          </cell>
          <cell r="L634">
            <v>37176</v>
          </cell>
        </row>
        <row r="635">
          <cell r="E635" t="str">
            <v>CI</v>
          </cell>
          <cell r="G635">
            <v>37149</v>
          </cell>
          <cell r="H635">
            <v>37159</v>
          </cell>
          <cell r="I635">
            <v>37169</v>
          </cell>
          <cell r="J635">
            <v>37194</v>
          </cell>
          <cell r="K635">
            <v>37210</v>
          </cell>
          <cell r="L635">
            <v>37176</v>
          </cell>
        </row>
        <row r="636">
          <cell r="E636" t="str">
            <v>CI</v>
          </cell>
          <cell r="G636">
            <v>37149</v>
          </cell>
          <cell r="H636">
            <v>37159</v>
          </cell>
          <cell r="I636">
            <v>37169</v>
          </cell>
          <cell r="J636">
            <v>37194</v>
          </cell>
          <cell r="K636">
            <v>37210</v>
          </cell>
          <cell r="L636">
            <v>37176</v>
          </cell>
        </row>
        <row r="637">
          <cell r="E637" t="str">
            <v>CI</v>
          </cell>
          <cell r="G637">
            <v>37027</v>
          </cell>
          <cell r="H637">
            <v>37049.5</v>
          </cell>
          <cell r="I637">
            <v>37072</v>
          </cell>
          <cell r="J637">
            <v>37133</v>
          </cell>
          <cell r="K637">
            <v>37154</v>
          </cell>
          <cell r="L637">
            <v>37176</v>
          </cell>
        </row>
        <row r="638">
          <cell r="E638" t="str">
            <v>CI</v>
          </cell>
          <cell r="G638">
            <v>37027</v>
          </cell>
          <cell r="H638">
            <v>37049.5</v>
          </cell>
          <cell r="I638">
            <v>37072</v>
          </cell>
          <cell r="J638">
            <v>37133</v>
          </cell>
          <cell r="K638">
            <v>37154</v>
          </cell>
          <cell r="L638">
            <v>37176</v>
          </cell>
        </row>
        <row r="639">
          <cell r="E639" t="str">
            <v>CI</v>
          </cell>
          <cell r="G639">
            <v>37058</v>
          </cell>
          <cell r="H639">
            <v>37088</v>
          </cell>
          <cell r="I639">
            <v>37118</v>
          </cell>
          <cell r="J639">
            <v>37184</v>
          </cell>
          <cell r="K639">
            <v>37200</v>
          </cell>
          <cell r="L639">
            <v>37176</v>
          </cell>
        </row>
        <row r="640">
          <cell r="E640" t="str">
            <v>CI</v>
          </cell>
          <cell r="G640">
            <v>37058</v>
          </cell>
          <cell r="H640">
            <v>37088</v>
          </cell>
          <cell r="I640">
            <v>37118</v>
          </cell>
          <cell r="J640">
            <v>37184</v>
          </cell>
          <cell r="K640">
            <v>37200</v>
          </cell>
          <cell r="L640">
            <v>37176</v>
          </cell>
        </row>
        <row r="641">
          <cell r="E641" t="str">
            <v>CI</v>
          </cell>
          <cell r="G641">
            <v>37058</v>
          </cell>
          <cell r="H641">
            <v>37088</v>
          </cell>
          <cell r="I641">
            <v>37118</v>
          </cell>
          <cell r="J641">
            <v>37184</v>
          </cell>
          <cell r="K641">
            <v>37200</v>
          </cell>
          <cell r="L641">
            <v>37176</v>
          </cell>
        </row>
        <row r="642">
          <cell r="E642" t="str">
            <v>CI</v>
          </cell>
          <cell r="G642">
            <v>37058</v>
          </cell>
          <cell r="H642">
            <v>37088</v>
          </cell>
          <cell r="I642">
            <v>37118</v>
          </cell>
          <cell r="J642">
            <v>37184</v>
          </cell>
          <cell r="K642">
            <v>37200</v>
          </cell>
          <cell r="L642">
            <v>37176</v>
          </cell>
        </row>
        <row r="643">
          <cell r="E643" t="str">
            <v>CI</v>
          </cell>
          <cell r="G643">
            <v>37058</v>
          </cell>
          <cell r="H643">
            <v>37088</v>
          </cell>
          <cell r="I643">
            <v>37118</v>
          </cell>
          <cell r="J643">
            <v>37184</v>
          </cell>
          <cell r="K643">
            <v>37200</v>
          </cell>
          <cell r="L643">
            <v>37176</v>
          </cell>
        </row>
        <row r="644">
          <cell r="E644" t="str">
            <v>CI</v>
          </cell>
          <cell r="G644">
            <v>37119</v>
          </cell>
          <cell r="H644">
            <v>37134</v>
          </cell>
          <cell r="I644">
            <v>37149</v>
          </cell>
          <cell r="J644">
            <v>37179</v>
          </cell>
          <cell r="K644">
            <v>37200</v>
          </cell>
          <cell r="L644">
            <v>37176</v>
          </cell>
        </row>
        <row r="645">
          <cell r="E645" t="str">
            <v>CI</v>
          </cell>
          <cell r="G645">
            <v>37119</v>
          </cell>
          <cell r="H645">
            <v>37134</v>
          </cell>
          <cell r="I645">
            <v>37149</v>
          </cell>
          <cell r="J645">
            <v>37179</v>
          </cell>
          <cell r="K645">
            <v>37200</v>
          </cell>
          <cell r="L645">
            <v>37176</v>
          </cell>
        </row>
        <row r="646">
          <cell r="E646" t="str">
            <v>CI</v>
          </cell>
          <cell r="G646">
            <v>37119</v>
          </cell>
          <cell r="H646">
            <v>37134</v>
          </cell>
          <cell r="I646">
            <v>37149</v>
          </cell>
          <cell r="J646">
            <v>37179</v>
          </cell>
          <cell r="K646">
            <v>37200</v>
          </cell>
          <cell r="L646">
            <v>37176</v>
          </cell>
        </row>
        <row r="647">
          <cell r="E647" t="str">
            <v>CI</v>
          </cell>
          <cell r="G647">
            <v>37012</v>
          </cell>
          <cell r="H647">
            <v>37041</v>
          </cell>
          <cell r="I647">
            <v>37052</v>
          </cell>
          <cell r="J647">
            <v>37110.5</v>
          </cell>
          <cell r="K647">
            <v>37169</v>
          </cell>
          <cell r="L647">
            <v>37176</v>
          </cell>
        </row>
        <row r="652">
          <cell r="E652" t="str">
            <v>AR</v>
          </cell>
          <cell r="G652">
            <v>37123</v>
          </cell>
          <cell r="H652">
            <v>37155</v>
          </cell>
          <cell r="I652">
            <v>37176</v>
          </cell>
          <cell r="J652">
            <v>37197</v>
          </cell>
          <cell r="K652">
            <v>37218</v>
          </cell>
          <cell r="L652">
            <v>37176</v>
          </cell>
        </row>
        <row r="653">
          <cell r="E653" t="str">
            <v>AR</v>
          </cell>
          <cell r="G653">
            <v>37004</v>
          </cell>
          <cell r="H653">
            <v>37043</v>
          </cell>
          <cell r="I653">
            <v>37064</v>
          </cell>
          <cell r="J653">
            <v>37085</v>
          </cell>
          <cell r="K653">
            <v>37106</v>
          </cell>
          <cell r="L653">
            <v>37176</v>
          </cell>
        </row>
        <row r="654">
          <cell r="E654" t="str">
            <v>AR</v>
          </cell>
          <cell r="G654">
            <v>37004</v>
          </cell>
          <cell r="H654">
            <v>37043</v>
          </cell>
          <cell r="I654">
            <v>37064</v>
          </cell>
          <cell r="J654">
            <v>37085</v>
          </cell>
          <cell r="K654">
            <v>37106</v>
          </cell>
          <cell r="L654">
            <v>37176</v>
          </cell>
        </row>
        <row r="655">
          <cell r="E655" t="str">
            <v>AR</v>
          </cell>
          <cell r="G655">
            <v>37004</v>
          </cell>
          <cell r="H655">
            <v>37043</v>
          </cell>
          <cell r="I655">
            <v>37064</v>
          </cell>
          <cell r="J655">
            <v>37085</v>
          </cell>
          <cell r="K655">
            <v>37106</v>
          </cell>
          <cell r="L655">
            <v>37176</v>
          </cell>
        </row>
        <row r="656">
          <cell r="E656" t="str">
            <v>AR</v>
          </cell>
          <cell r="G656">
            <v>37004</v>
          </cell>
          <cell r="H656">
            <v>37043</v>
          </cell>
          <cell r="I656">
            <v>37064</v>
          </cell>
          <cell r="J656">
            <v>37085</v>
          </cell>
          <cell r="K656">
            <v>37106</v>
          </cell>
          <cell r="L656">
            <v>37176</v>
          </cell>
        </row>
        <row r="657">
          <cell r="E657" t="str">
            <v>AR</v>
          </cell>
          <cell r="G657">
            <v>37004</v>
          </cell>
          <cell r="H657">
            <v>37043</v>
          </cell>
          <cell r="I657">
            <v>37064</v>
          </cell>
          <cell r="J657">
            <v>37085</v>
          </cell>
          <cell r="K657">
            <v>37106</v>
          </cell>
          <cell r="L657">
            <v>37176</v>
          </cell>
        </row>
        <row r="658">
          <cell r="E658" t="str">
            <v>AR</v>
          </cell>
          <cell r="G658">
            <v>37004</v>
          </cell>
          <cell r="H658">
            <v>37043</v>
          </cell>
          <cell r="I658">
            <v>37064</v>
          </cell>
          <cell r="J658">
            <v>37085</v>
          </cell>
          <cell r="K658">
            <v>37106</v>
          </cell>
          <cell r="L658">
            <v>37176</v>
          </cell>
        </row>
        <row r="659">
          <cell r="E659" t="str">
            <v>AR</v>
          </cell>
          <cell r="G659">
            <v>37004</v>
          </cell>
          <cell r="H659">
            <v>37043</v>
          </cell>
          <cell r="I659">
            <v>37064</v>
          </cell>
          <cell r="J659">
            <v>37085</v>
          </cell>
          <cell r="K659">
            <v>37106</v>
          </cell>
          <cell r="L659">
            <v>37176</v>
          </cell>
        </row>
        <row r="660">
          <cell r="E660" t="str">
            <v>AR</v>
          </cell>
          <cell r="G660">
            <v>37004</v>
          </cell>
          <cell r="H660">
            <v>37043</v>
          </cell>
          <cell r="I660">
            <v>37064</v>
          </cell>
          <cell r="J660">
            <v>37085</v>
          </cell>
          <cell r="K660">
            <v>37106</v>
          </cell>
          <cell r="L660">
            <v>37176</v>
          </cell>
        </row>
        <row r="661">
          <cell r="E661" t="str">
            <v>AR</v>
          </cell>
          <cell r="G661">
            <v>37046</v>
          </cell>
          <cell r="H661">
            <v>37078</v>
          </cell>
          <cell r="I661">
            <v>37099</v>
          </cell>
          <cell r="J661">
            <v>37120</v>
          </cell>
          <cell r="K661">
            <v>37141</v>
          </cell>
          <cell r="L661">
            <v>37176</v>
          </cell>
        </row>
        <row r="662">
          <cell r="E662" t="str">
            <v>AR</v>
          </cell>
          <cell r="G662">
            <v>37025</v>
          </cell>
          <cell r="H662">
            <v>37057</v>
          </cell>
          <cell r="I662">
            <v>37078</v>
          </cell>
          <cell r="J662">
            <v>37099</v>
          </cell>
          <cell r="K662">
            <v>37120</v>
          </cell>
          <cell r="L662">
            <v>37176</v>
          </cell>
        </row>
        <row r="663">
          <cell r="E663" t="str">
            <v>AR</v>
          </cell>
          <cell r="G663">
            <v>37025</v>
          </cell>
          <cell r="H663">
            <v>37057</v>
          </cell>
          <cell r="I663">
            <v>37078</v>
          </cell>
          <cell r="J663">
            <v>37099</v>
          </cell>
          <cell r="K663">
            <v>37120</v>
          </cell>
          <cell r="L663">
            <v>37176</v>
          </cell>
        </row>
        <row r="664">
          <cell r="E664" t="str">
            <v>AR</v>
          </cell>
          <cell r="G664">
            <v>37046</v>
          </cell>
          <cell r="H664">
            <v>37078</v>
          </cell>
          <cell r="I664">
            <v>37099</v>
          </cell>
          <cell r="J664">
            <v>37120</v>
          </cell>
          <cell r="K664">
            <v>37141</v>
          </cell>
          <cell r="L664">
            <v>37176</v>
          </cell>
        </row>
        <row r="665">
          <cell r="E665" t="str">
            <v>AR</v>
          </cell>
          <cell r="G665">
            <v>37046</v>
          </cell>
          <cell r="H665">
            <v>37078</v>
          </cell>
          <cell r="I665">
            <v>37099</v>
          </cell>
          <cell r="J665">
            <v>37120</v>
          </cell>
          <cell r="K665">
            <v>37141</v>
          </cell>
          <cell r="L665">
            <v>37176</v>
          </cell>
        </row>
        <row r="666">
          <cell r="E666" t="str">
            <v>AR</v>
          </cell>
          <cell r="G666">
            <v>37046</v>
          </cell>
          <cell r="H666">
            <v>37078</v>
          </cell>
          <cell r="I666">
            <v>37099</v>
          </cell>
          <cell r="J666">
            <v>37120</v>
          </cell>
          <cell r="K666">
            <v>37141</v>
          </cell>
          <cell r="L666">
            <v>37176</v>
          </cell>
        </row>
        <row r="667">
          <cell r="E667" t="str">
            <v>AR</v>
          </cell>
          <cell r="G667">
            <v>37067</v>
          </cell>
          <cell r="H667">
            <v>37099</v>
          </cell>
          <cell r="I667">
            <v>37120</v>
          </cell>
          <cell r="J667">
            <v>37141</v>
          </cell>
          <cell r="K667">
            <v>37162</v>
          </cell>
          <cell r="L667">
            <v>37176</v>
          </cell>
        </row>
        <row r="668">
          <cell r="E668" t="str">
            <v>AR</v>
          </cell>
          <cell r="G668">
            <v>37067</v>
          </cell>
          <cell r="H668">
            <v>37099</v>
          </cell>
          <cell r="I668">
            <v>37120</v>
          </cell>
          <cell r="J668">
            <v>37141</v>
          </cell>
          <cell r="K668">
            <v>37162</v>
          </cell>
          <cell r="L668">
            <v>37176</v>
          </cell>
        </row>
        <row r="669">
          <cell r="E669" t="str">
            <v>AR</v>
          </cell>
          <cell r="G669">
            <v>37088</v>
          </cell>
          <cell r="H669">
            <v>37120</v>
          </cell>
          <cell r="I669">
            <v>37141</v>
          </cell>
          <cell r="J669">
            <v>37162</v>
          </cell>
          <cell r="K669">
            <v>37183</v>
          </cell>
          <cell r="L669">
            <v>37176</v>
          </cell>
        </row>
        <row r="670">
          <cell r="E670" t="str">
            <v>AR</v>
          </cell>
          <cell r="G670">
            <v>37088</v>
          </cell>
          <cell r="H670">
            <v>37120</v>
          </cell>
          <cell r="I670">
            <v>37141</v>
          </cell>
          <cell r="J670">
            <v>37162</v>
          </cell>
          <cell r="K670">
            <v>37183</v>
          </cell>
          <cell r="L670">
            <v>37176</v>
          </cell>
        </row>
        <row r="671">
          <cell r="E671" t="str">
            <v>AR</v>
          </cell>
          <cell r="G671">
            <v>37088</v>
          </cell>
          <cell r="H671">
            <v>37120</v>
          </cell>
          <cell r="I671">
            <v>37141</v>
          </cell>
          <cell r="J671">
            <v>37162</v>
          </cell>
          <cell r="K671">
            <v>37183</v>
          </cell>
          <cell r="L671">
            <v>37176</v>
          </cell>
        </row>
        <row r="672">
          <cell r="E672" t="str">
            <v>AR</v>
          </cell>
          <cell r="G672">
            <v>37004</v>
          </cell>
          <cell r="H672">
            <v>37043</v>
          </cell>
          <cell r="I672">
            <v>37064</v>
          </cell>
          <cell r="J672">
            <v>37085</v>
          </cell>
          <cell r="K672">
            <v>37106</v>
          </cell>
          <cell r="L672">
            <v>37176</v>
          </cell>
        </row>
        <row r="673">
          <cell r="E673" t="str">
            <v>AR</v>
          </cell>
          <cell r="G673">
            <v>37004</v>
          </cell>
          <cell r="H673">
            <v>37043</v>
          </cell>
          <cell r="I673">
            <v>37064</v>
          </cell>
          <cell r="J673">
            <v>37085</v>
          </cell>
          <cell r="K673">
            <v>37106</v>
          </cell>
          <cell r="L673">
            <v>37176</v>
          </cell>
        </row>
        <row r="674">
          <cell r="E674" t="str">
            <v>AR</v>
          </cell>
          <cell r="G674">
            <v>37109</v>
          </cell>
          <cell r="H674">
            <v>37141</v>
          </cell>
          <cell r="I674">
            <v>37162</v>
          </cell>
          <cell r="J674">
            <v>37183</v>
          </cell>
          <cell r="K674">
            <v>37204</v>
          </cell>
          <cell r="L674">
            <v>37176</v>
          </cell>
        </row>
        <row r="675">
          <cell r="E675" t="str">
            <v>AR</v>
          </cell>
          <cell r="G675">
            <v>37109</v>
          </cell>
          <cell r="H675">
            <v>37141</v>
          </cell>
          <cell r="I675">
            <v>37162</v>
          </cell>
          <cell r="J675">
            <v>37183</v>
          </cell>
          <cell r="K675">
            <v>37204</v>
          </cell>
          <cell r="L675">
            <v>37176</v>
          </cell>
        </row>
        <row r="676">
          <cell r="E676" t="str">
            <v>AR</v>
          </cell>
          <cell r="G676">
            <v>37123</v>
          </cell>
          <cell r="H676">
            <v>37155</v>
          </cell>
          <cell r="I676">
            <v>37176</v>
          </cell>
          <cell r="J676">
            <v>37197</v>
          </cell>
          <cell r="K676">
            <v>37218</v>
          </cell>
          <cell r="L676">
            <v>37176</v>
          </cell>
        </row>
        <row r="677">
          <cell r="E677" t="str">
            <v>AR</v>
          </cell>
          <cell r="G677">
            <v>37123</v>
          </cell>
          <cell r="H677">
            <v>37155</v>
          </cell>
          <cell r="I677">
            <v>37176</v>
          </cell>
          <cell r="J677">
            <v>37197</v>
          </cell>
          <cell r="K677">
            <v>37218</v>
          </cell>
          <cell r="L677">
            <v>37176</v>
          </cell>
        </row>
        <row r="678">
          <cell r="E678" t="str">
            <v>AR</v>
          </cell>
          <cell r="G678">
            <v>37109</v>
          </cell>
          <cell r="H678">
            <v>37141</v>
          </cell>
          <cell r="I678">
            <v>37162</v>
          </cell>
          <cell r="J678">
            <v>37183</v>
          </cell>
          <cell r="K678">
            <v>37204</v>
          </cell>
          <cell r="L678">
            <v>37176</v>
          </cell>
        </row>
        <row r="679">
          <cell r="E679" t="str">
            <v>AR</v>
          </cell>
          <cell r="G679">
            <v>37109</v>
          </cell>
          <cell r="H679">
            <v>37141</v>
          </cell>
          <cell r="I679">
            <v>37162</v>
          </cell>
          <cell r="J679">
            <v>37183</v>
          </cell>
          <cell r="K679">
            <v>37204</v>
          </cell>
          <cell r="L679">
            <v>37176</v>
          </cell>
        </row>
        <row r="680">
          <cell r="E680" t="str">
            <v>AR</v>
          </cell>
          <cell r="G680">
            <v>37109</v>
          </cell>
          <cell r="H680">
            <v>37141</v>
          </cell>
          <cell r="I680">
            <v>37162</v>
          </cell>
          <cell r="J680">
            <v>37183</v>
          </cell>
          <cell r="K680">
            <v>37204</v>
          </cell>
          <cell r="L680">
            <v>37176</v>
          </cell>
        </row>
        <row r="681">
          <cell r="E681" t="str">
            <v>AR</v>
          </cell>
          <cell r="G681">
            <v>37004</v>
          </cell>
          <cell r="H681">
            <v>37043</v>
          </cell>
          <cell r="I681">
            <v>37064</v>
          </cell>
          <cell r="J681">
            <v>37085</v>
          </cell>
          <cell r="K681">
            <v>37106</v>
          </cell>
          <cell r="L681">
            <v>37176</v>
          </cell>
        </row>
        <row r="682">
          <cell r="E682" t="str">
            <v>AR</v>
          </cell>
          <cell r="G682">
            <v>37004</v>
          </cell>
          <cell r="H682">
            <v>37043</v>
          </cell>
          <cell r="I682">
            <v>37064</v>
          </cell>
          <cell r="J682">
            <v>37085</v>
          </cell>
          <cell r="K682">
            <v>37106</v>
          </cell>
          <cell r="L682">
            <v>37176</v>
          </cell>
        </row>
        <row r="683">
          <cell r="E683" t="str">
            <v>AR</v>
          </cell>
          <cell r="G683">
            <v>37004</v>
          </cell>
          <cell r="H683">
            <v>37043</v>
          </cell>
          <cell r="I683">
            <v>37064</v>
          </cell>
          <cell r="J683">
            <v>37085</v>
          </cell>
          <cell r="K683">
            <v>37106</v>
          </cell>
          <cell r="L683">
            <v>37176</v>
          </cell>
        </row>
        <row r="684">
          <cell r="E684" t="str">
            <v>AR</v>
          </cell>
          <cell r="G684">
            <v>37004</v>
          </cell>
          <cell r="H684">
            <v>37043</v>
          </cell>
          <cell r="I684">
            <v>37064</v>
          </cell>
          <cell r="J684">
            <v>37085</v>
          </cell>
          <cell r="K684">
            <v>37106</v>
          </cell>
          <cell r="L684">
            <v>37176</v>
          </cell>
        </row>
        <row r="685">
          <cell r="E685" t="str">
            <v>AR</v>
          </cell>
          <cell r="G685">
            <v>37004</v>
          </cell>
          <cell r="H685">
            <v>37043</v>
          </cell>
          <cell r="I685">
            <v>37064</v>
          </cell>
          <cell r="J685">
            <v>37085</v>
          </cell>
          <cell r="K685">
            <v>37106</v>
          </cell>
          <cell r="L685">
            <v>37176</v>
          </cell>
        </row>
        <row r="686">
          <cell r="E686" t="str">
            <v>AR</v>
          </cell>
          <cell r="G686">
            <v>37004</v>
          </cell>
          <cell r="H686">
            <v>37043</v>
          </cell>
          <cell r="I686">
            <v>37064</v>
          </cell>
          <cell r="J686">
            <v>37085</v>
          </cell>
          <cell r="K686">
            <v>37106</v>
          </cell>
          <cell r="L686">
            <v>37176</v>
          </cell>
        </row>
        <row r="687">
          <cell r="E687" t="str">
            <v>AR</v>
          </cell>
          <cell r="G687">
            <v>37004</v>
          </cell>
          <cell r="H687">
            <v>37043</v>
          </cell>
          <cell r="I687">
            <v>37064</v>
          </cell>
          <cell r="J687">
            <v>37085</v>
          </cell>
          <cell r="K687">
            <v>37106</v>
          </cell>
          <cell r="L687">
            <v>37176</v>
          </cell>
        </row>
        <row r="688">
          <cell r="E688" t="str">
            <v>AR</v>
          </cell>
          <cell r="G688">
            <v>37046</v>
          </cell>
          <cell r="H688">
            <v>37078</v>
          </cell>
          <cell r="I688">
            <v>37099</v>
          </cell>
          <cell r="J688">
            <v>37120</v>
          </cell>
          <cell r="K688">
            <v>37141</v>
          </cell>
          <cell r="L688">
            <v>37176</v>
          </cell>
        </row>
        <row r="689">
          <cell r="E689" t="str">
            <v>AR</v>
          </cell>
          <cell r="G689">
            <v>37025</v>
          </cell>
          <cell r="H689">
            <v>37057</v>
          </cell>
          <cell r="I689">
            <v>37078</v>
          </cell>
          <cell r="J689">
            <v>37099</v>
          </cell>
          <cell r="K689">
            <v>37120</v>
          </cell>
          <cell r="L689">
            <v>37176</v>
          </cell>
        </row>
        <row r="690">
          <cell r="E690" t="str">
            <v>AR</v>
          </cell>
          <cell r="G690">
            <v>37046</v>
          </cell>
          <cell r="H690">
            <v>37078</v>
          </cell>
          <cell r="I690">
            <v>37099</v>
          </cell>
          <cell r="J690">
            <v>37120</v>
          </cell>
          <cell r="K690">
            <v>37141</v>
          </cell>
          <cell r="L690">
            <v>37176</v>
          </cell>
        </row>
        <row r="691">
          <cell r="E691" t="str">
            <v>AR</v>
          </cell>
          <cell r="G691">
            <v>37046</v>
          </cell>
          <cell r="H691">
            <v>37078</v>
          </cell>
          <cell r="I691">
            <v>37099</v>
          </cell>
          <cell r="J691">
            <v>37120</v>
          </cell>
          <cell r="K691">
            <v>37141</v>
          </cell>
          <cell r="L691">
            <v>37176</v>
          </cell>
        </row>
        <row r="692">
          <cell r="E692" t="str">
            <v>AR</v>
          </cell>
          <cell r="G692">
            <v>37088</v>
          </cell>
          <cell r="H692">
            <v>37120</v>
          </cell>
          <cell r="I692">
            <v>37141</v>
          </cell>
          <cell r="J692">
            <v>37162</v>
          </cell>
          <cell r="K692">
            <v>37183</v>
          </cell>
          <cell r="L692">
            <v>37176</v>
          </cell>
        </row>
        <row r="693">
          <cell r="E693" t="str">
            <v>AR</v>
          </cell>
          <cell r="G693">
            <v>37088</v>
          </cell>
          <cell r="H693">
            <v>37120</v>
          </cell>
          <cell r="I693">
            <v>37141</v>
          </cell>
          <cell r="J693">
            <v>37162</v>
          </cell>
          <cell r="K693">
            <v>37183</v>
          </cell>
          <cell r="L693">
            <v>37176</v>
          </cell>
        </row>
        <row r="694">
          <cell r="E694" t="str">
            <v>AR</v>
          </cell>
          <cell r="G694">
            <v>37109</v>
          </cell>
          <cell r="H694">
            <v>37141</v>
          </cell>
          <cell r="I694">
            <v>37162</v>
          </cell>
          <cell r="J694">
            <v>37183</v>
          </cell>
          <cell r="K694">
            <v>37204</v>
          </cell>
          <cell r="L694">
            <v>37176</v>
          </cell>
        </row>
        <row r="695">
          <cell r="E695" t="str">
            <v>AR</v>
          </cell>
          <cell r="G695">
            <v>37123</v>
          </cell>
          <cell r="H695">
            <v>37155</v>
          </cell>
          <cell r="I695">
            <v>37176</v>
          </cell>
          <cell r="J695">
            <v>37197</v>
          </cell>
          <cell r="K695">
            <v>37218</v>
          </cell>
          <cell r="L695">
            <v>37176</v>
          </cell>
        </row>
        <row r="696">
          <cell r="E696" t="str">
            <v>AR</v>
          </cell>
          <cell r="G696">
            <v>37109</v>
          </cell>
          <cell r="H696">
            <v>37141</v>
          </cell>
          <cell r="I696">
            <v>37162</v>
          </cell>
          <cell r="J696">
            <v>37183</v>
          </cell>
          <cell r="K696">
            <v>37204</v>
          </cell>
          <cell r="L696">
            <v>37176</v>
          </cell>
        </row>
        <row r="697">
          <cell r="E697" t="str">
            <v>AR</v>
          </cell>
          <cell r="G697">
            <v>37137</v>
          </cell>
          <cell r="H697">
            <v>37162</v>
          </cell>
          <cell r="I697">
            <v>37169</v>
          </cell>
          <cell r="J697">
            <v>37190</v>
          </cell>
          <cell r="K697">
            <v>37211</v>
          </cell>
          <cell r="L697">
            <v>37176</v>
          </cell>
        </row>
        <row r="698">
          <cell r="E698" t="str">
            <v>AR</v>
          </cell>
          <cell r="G698">
            <v>37046</v>
          </cell>
          <cell r="H698">
            <v>37078</v>
          </cell>
          <cell r="I698">
            <v>37092</v>
          </cell>
          <cell r="J698">
            <v>37113</v>
          </cell>
          <cell r="K698">
            <v>37134</v>
          </cell>
          <cell r="L698">
            <v>37176</v>
          </cell>
        </row>
        <row r="699">
          <cell r="E699" t="str">
            <v>AR</v>
          </cell>
          <cell r="G699">
            <v>37046</v>
          </cell>
          <cell r="H699">
            <v>37078</v>
          </cell>
          <cell r="I699">
            <v>37092</v>
          </cell>
          <cell r="J699">
            <v>37113</v>
          </cell>
          <cell r="K699">
            <v>37134</v>
          </cell>
          <cell r="L699">
            <v>37176</v>
          </cell>
        </row>
        <row r="700">
          <cell r="E700" t="str">
            <v>AR</v>
          </cell>
          <cell r="G700">
            <v>37046</v>
          </cell>
          <cell r="H700">
            <v>37078</v>
          </cell>
          <cell r="I700">
            <v>37092</v>
          </cell>
          <cell r="J700">
            <v>37113</v>
          </cell>
          <cell r="K700">
            <v>37134</v>
          </cell>
          <cell r="L700">
            <v>37176</v>
          </cell>
        </row>
        <row r="701">
          <cell r="E701" t="str">
            <v>AR</v>
          </cell>
          <cell r="G701">
            <v>37046</v>
          </cell>
          <cell r="H701">
            <v>37078</v>
          </cell>
          <cell r="I701">
            <v>37092</v>
          </cell>
          <cell r="J701">
            <v>37113</v>
          </cell>
          <cell r="K701">
            <v>37134</v>
          </cell>
          <cell r="L701">
            <v>37176</v>
          </cell>
        </row>
        <row r="702">
          <cell r="E702" t="str">
            <v>AR</v>
          </cell>
          <cell r="G702">
            <v>37046</v>
          </cell>
          <cell r="H702">
            <v>37078</v>
          </cell>
          <cell r="I702">
            <v>37092</v>
          </cell>
          <cell r="J702">
            <v>37113</v>
          </cell>
          <cell r="K702">
            <v>37134</v>
          </cell>
          <cell r="L702">
            <v>37176</v>
          </cell>
        </row>
        <row r="703">
          <cell r="E703" t="str">
            <v>AR</v>
          </cell>
          <cell r="G703">
            <v>37046</v>
          </cell>
          <cell r="H703">
            <v>37078</v>
          </cell>
          <cell r="I703">
            <v>37092</v>
          </cell>
          <cell r="J703">
            <v>37113</v>
          </cell>
          <cell r="K703">
            <v>37134</v>
          </cell>
          <cell r="L703">
            <v>37176</v>
          </cell>
        </row>
        <row r="704">
          <cell r="E704" t="str">
            <v>AR</v>
          </cell>
          <cell r="G704">
            <v>37046</v>
          </cell>
          <cell r="H704">
            <v>37078</v>
          </cell>
          <cell r="I704">
            <v>37092</v>
          </cell>
          <cell r="J704">
            <v>37113</v>
          </cell>
          <cell r="K704">
            <v>37134</v>
          </cell>
          <cell r="L704">
            <v>37176</v>
          </cell>
        </row>
        <row r="705">
          <cell r="E705" t="str">
            <v>AR</v>
          </cell>
          <cell r="G705">
            <v>37046</v>
          </cell>
          <cell r="H705">
            <v>37078</v>
          </cell>
          <cell r="I705">
            <v>37092</v>
          </cell>
          <cell r="J705">
            <v>37113</v>
          </cell>
          <cell r="K705">
            <v>37134</v>
          </cell>
          <cell r="L705">
            <v>37176</v>
          </cell>
        </row>
        <row r="706">
          <cell r="E706" t="str">
            <v>AR</v>
          </cell>
          <cell r="G706">
            <v>37046</v>
          </cell>
          <cell r="H706">
            <v>37078</v>
          </cell>
          <cell r="I706">
            <v>37092</v>
          </cell>
          <cell r="J706">
            <v>37113</v>
          </cell>
          <cell r="K706">
            <v>37134</v>
          </cell>
          <cell r="L706">
            <v>37176</v>
          </cell>
        </row>
        <row r="707">
          <cell r="E707" t="str">
            <v>AR</v>
          </cell>
          <cell r="G707">
            <v>37046</v>
          </cell>
          <cell r="H707">
            <v>37078</v>
          </cell>
          <cell r="I707">
            <v>37092</v>
          </cell>
          <cell r="J707">
            <v>37113</v>
          </cell>
          <cell r="K707">
            <v>37134</v>
          </cell>
          <cell r="L707">
            <v>37176</v>
          </cell>
        </row>
        <row r="708">
          <cell r="E708" t="str">
            <v>AR</v>
          </cell>
          <cell r="G708">
            <v>37102</v>
          </cell>
          <cell r="H708">
            <v>37134</v>
          </cell>
          <cell r="I708">
            <v>37141</v>
          </cell>
          <cell r="J708">
            <v>37162</v>
          </cell>
          <cell r="K708">
            <v>37183</v>
          </cell>
          <cell r="L708">
            <v>37176</v>
          </cell>
        </row>
        <row r="709">
          <cell r="E709" t="str">
            <v>AR</v>
          </cell>
          <cell r="G709">
            <v>37102</v>
          </cell>
          <cell r="H709">
            <v>37134</v>
          </cell>
          <cell r="I709">
            <v>37141</v>
          </cell>
          <cell r="J709">
            <v>37162</v>
          </cell>
          <cell r="K709">
            <v>37183</v>
          </cell>
          <cell r="L709">
            <v>37176</v>
          </cell>
        </row>
        <row r="710">
          <cell r="E710" t="str">
            <v>AR</v>
          </cell>
          <cell r="G710">
            <v>37102</v>
          </cell>
          <cell r="H710">
            <v>37134</v>
          </cell>
          <cell r="I710">
            <v>37141</v>
          </cell>
          <cell r="J710">
            <v>37162</v>
          </cell>
          <cell r="K710">
            <v>37183</v>
          </cell>
          <cell r="L710">
            <v>37176</v>
          </cell>
        </row>
        <row r="711">
          <cell r="E711" t="str">
            <v>AR</v>
          </cell>
          <cell r="G711">
            <v>37102</v>
          </cell>
          <cell r="H711">
            <v>37134</v>
          </cell>
          <cell r="I711">
            <v>37141</v>
          </cell>
          <cell r="J711">
            <v>37162</v>
          </cell>
          <cell r="K711">
            <v>37183</v>
          </cell>
          <cell r="L711">
            <v>37176</v>
          </cell>
        </row>
        <row r="712">
          <cell r="E712" t="str">
            <v>AR</v>
          </cell>
          <cell r="G712">
            <v>37081</v>
          </cell>
          <cell r="H712">
            <v>37113</v>
          </cell>
          <cell r="I712">
            <v>37120</v>
          </cell>
          <cell r="J712">
            <v>37141</v>
          </cell>
          <cell r="K712">
            <v>37162</v>
          </cell>
          <cell r="L712">
            <v>37176</v>
          </cell>
        </row>
        <row r="713">
          <cell r="E713" t="str">
            <v>AR</v>
          </cell>
          <cell r="G713">
            <v>37081</v>
          </cell>
          <cell r="H713">
            <v>37113</v>
          </cell>
          <cell r="I713">
            <v>37120</v>
          </cell>
          <cell r="J713">
            <v>37141</v>
          </cell>
          <cell r="K713">
            <v>37162</v>
          </cell>
          <cell r="L713">
            <v>37176</v>
          </cell>
        </row>
        <row r="714">
          <cell r="E714" t="str">
            <v>AR</v>
          </cell>
          <cell r="G714">
            <v>37081</v>
          </cell>
          <cell r="H714">
            <v>37113</v>
          </cell>
          <cell r="I714">
            <v>37120</v>
          </cell>
          <cell r="J714">
            <v>37141</v>
          </cell>
          <cell r="K714">
            <v>37162</v>
          </cell>
          <cell r="L714">
            <v>37176</v>
          </cell>
        </row>
        <row r="715">
          <cell r="E715" t="str">
            <v>AR</v>
          </cell>
          <cell r="G715">
            <v>37081</v>
          </cell>
          <cell r="H715">
            <v>37113</v>
          </cell>
          <cell r="I715">
            <v>37120</v>
          </cell>
          <cell r="J715">
            <v>37141</v>
          </cell>
          <cell r="K715">
            <v>37162</v>
          </cell>
          <cell r="L715">
            <v>37176</v>
          </cell>
        </row>
        <row r="716">
          <cell r="E716" t="str">
            <v>AR</v>
          </cell>
          <cell r="G716">
            <v>37081</v>
          </cell>
          <cell r="H716">
            <v>37113</v>
          </cell>
          <cell r="I716">
            <v>37120</v>
          </cell>
          <cell r="J716">
            <v>37141</v>
          </cell>
          <cell r="K716">
            <v>37162</v>
          </cell>
          <cell r="L716">
            <v>37176</v>
          </cell>
        </row>
        <row r="717">
          <cell r="E717" t="str">
            <v>AR</v>
          </cell>
          <cell r="G717">
            <v>37081</v>
          </cell>
          <cell r="H717">
            <v>37113</v>
          </cell>
          <cell r="I717">
            <v>37120</v>
          </cell>
          <cell r="J717">
            <v>37141</v>
          </cell>
          <cell r="K717">
            <v>37162</v>
          </cell>
          <cell r="L717">
            <v>37176</v>
          </cell>
        </row>
        <row r="718">
          <cell r="E718" t="str">
            <v>AR</v>
          </cell>
          <cell r="G718">
            <v>37081</v>
          </cell>
          <cell r="H718">
            <v>37113</v>
          </cell>
          <cell r="I718">
            <v>37120</v>
          </cell>
          <cell r="J718">
            <v>37141</v>
          </cell>
          <cell r="K718">
            <v>37162</v>
          </cell>
          <cell r="L718">
            <v>37176</v>
          </cell>
        </row>
        <row r="719">
          <cell r="E719" t="str">
            <v>AR</v>
          </cell>
          <cell r="G719">
            <v>37081</v>
          </cell>
          <cell r="H719">
            <v>37113</v>
          </cell>
          <cell r="I719">
            <v>37120</v>
          </cell>
          <cell r="J719">
            <v>37141</v>
          </cell>
          <cell r="K719">
            <v>37162</v>
          </cell>
          <cell r="L719">
            <v>37176</v>
          </cell>
        </row>
        <row r="720">
          <cell r="E720" t="str">
            <v>AR</v>
          </cell>
          <cell r="G720">
            <v>37081</v>
          </cell>
          <cell r="H720">
            <v>37113</v>
          </cell>
          <cell r="I720">
            <v>37120</v>
          </cell>
          <cell r="J720">
            <v>37141</v>
          </cell>
          <cell r="K720">
            <v>37162</v>
          </cell>
          <cell r="L720">
            <v>37176</v>
          </cell>
        </row>
        <row r="721">
          <cell r="E721" t="str">
            <v>AR</v>
          </cell>
          <cell r="G721">
            <v>37081</v>
          </cell>
          <cell r="H721">
            <v>37113</v>
          </cell>
          <cell r="I721">
            <v>37120</v>
          </cell>
          <cell r="J721">
            <v>37141</v>
          </cell>
          <cell r="K721">
            <v>37162</v>
          </cell>
          <cell r="L721">
            <v>37176</v>
          </cell>
        </row>
        <row r="722">
          <cell r="E722" t="str">
            <v>AR</v>
          </cell>
          <cell r="G722">
            <v>37081</v>
          </cell>
          <cell r="H722">
            <v>37113</v>
          </cell>
          <cell r="I722">
            <v>37120</v>
          </cell>
          <cell r="J722">
            <v>37141</v>
          </cell>
          <cell r="K722">
            <v>37162</v>
          </cell>
          <cell r="L722">
            <v>37176</v>
          </cell>
        </row>
        <row r="723">
          <cell r="E723" t="str">
            <v>AR</v>
          </cell>
          <cell r="G723">
            <v>37116</v>
          </cell>
          <cell r="H723">
            <v>37148</v>
          </cell>
          <cell r="I723">
            <v>37155</v>
          </cell>
          <cell r="J723">
            <v>37176</v>
          </cell>
          <cell r="K723">
            <v>37197</v>
          </cell>
          <cell r="L723">
            <v>37176</v>
          </cell>
        </row>
        <row r="724">
          <cell r="E724" t="str">
            <v>AR</v>
          </cell>
          <cell r="G724">
            <v>37116</v>
          </cell>
          <cell r="H724">
            <v>37148</v>
          </cell>
          <cell r="I724">
            <v>37155</v>
          </cell>
          <cell r="J724">
            <v>37176</v>
          </cell>
          <cell r="K724">
            <v>37197</v>
          </cell>
          <cell r="L724">
            <v>37176</v>
          </cell>
        </row>
        <row r="725">
          <cell r="E725" t="str">
            <v>AR</v>
          </cell>
          <cell r="G725">
            <v>37116</v>
          </cell>
          <cell r="H725">
            <v>37148</v>
          </cell>
          <cell r="I725">
            <v>37155</v>
          </cell>
          <cell r="J725">
            <v>37176</v>
          </cell>
          <cell r="K725">
            <v>37197</v>
          </cell>
          <cell r="L725">
            <v>37176</v>
          </cell>
        </row>
        <row r="726">
          <cell r="E726" t="str">
            <v>AR</v>
          </cell>
          <cell r="G726">
            <v>37116</v>
          </cell>
          <cell r="H726">
            <v>37148</v>
          </cell>
          <cell r="I726">
            <v>37155</v>
          </cell>
          <cell r="J726">
            <v>37176</v>
          </cell>
          <cell r="K726">
            <v>37197</v>
          </cell>
          <cell r="L726">
            <v>37176</v>
          </cell>
        </row>
        <row r="727">
          <cell r="E727" t="str">
            <v>AR</v>
          </cell>
          <cell r="G727">
            <v>37137</v>
          </cell>
          <cell r="H727">
            <v>37162</v>
          </cell>
          <cell r="I727">
            <v>37169</v>
          </cell>
          <cell r="J727">
            <v>37190</v>
          </cell>
          <cell r="K727">
            <v>37211</v>
          </cell>
          <cell r="L727">
            <v>37176</v>
          </cell>
        </row>
        <row r="728">
          <cell r="E728" t="str">
            <v>AR</v>
          </cell>
          <cell r="G728">
            <v>37137</v>
          </cell>
          <cell r="H728">
            <v>37162</v>
          </cell>
          <cell r="I728">
            <v>37169</v>
          </cell>
          <cell r="J728">
            <v>37190</v>
          </cell>
          <cell r="K728">
            <v>37211</v>
          </cell>
          <cell r="L728">
            <v>37176</v>
          </cell>
        </row>
        <row r="729">
          <cell r="E729" t="str">
            <v>AR</v>
          </cell>
          <cell r="G729">
            <v>37046</v>
          </cell>
          <cell r="H729">
            <v>37078</v>
          </cell>
          <cell r="I729">
            <v>37092</v>
          </cell>
          <cell r="J729">
            <v>37113</v>
          </cell>
          <cell r="K729">
            <v>37134</v>
          </cell>
          <cell r="L729">
            <v>37176</v>
          </cell>
        </row>
        <row r="730">
          <cell r="E730" t="str">
            <v>AR</v>
          </cell>
          <cell r="G730">
            <v>37046</v>
          </cell>
          <cell r="H730">
            <v>37078</v>
          </cell>
          <cell r="I730">
            <v>37092</v>
          </cell>
          <cell r="J730">
            <v>37113</v>
          </cell>
          <cell r="K730">
            <v>37134</v>
          </cell>
          <cell r="L730">
            <v>37176</v>
          </cell>
        </row>
        <row r="731">
          <cell r="E731" t="str">
            <v>AR</v>
          </cell>
          <cell r="G731">
            <v>37046</v>
          </cell>
          <cell r="H731">
            <v>37078</v>
          </cell>
          <cell r="I731">
            <v>37092</v>
          </cell>
          <cell r="J731">
            <v>37113</v>
          </cell>
          <cell r="K731">
            <v>37134</v>
          </cell>
          <cell r="L731">
            <v>37176</v>
          </cell>
        </row>
        <row r="732">
          <cell r="E732" t="str">
            <v>AR</v>
          </cell>
          <cell r="G732">
            <v>37102</v>
          </cell>
          <cell r="H732">
            <v>37134</v>
          </cell>
          <cell r="I732">
            <v>37141</v>
          </cell>
          <cell r="J732">
            <v>37162</v>
          </cell>
          <cell r="K732">
            <v>37183</v>
          </cell>
          <cell r="L732">
            <v>37176</v>
          </cell>
        </row>
        <row r="733">
          <cell r="E733" t="str">
            <v>AR</v>
          </cell>
          <cell r="G733">
            <v>37081</v>
          </cell>
          <cell r="H733">
            <v>37113</v>
          </cell>
          <cell r="I733">
            <v>37120</v>
          </cell>
          <cell r="J733">
            <v>37141</v>
          </cell>
          <cell r="K733">
            <v>37162</v>
          </cell>
          <cell r="L733">
            <v>37176</v>
          </cell>
        </row>
        <row r="734">
          <cell r="E734" t="str">
            <v>AR</v>
          </cell>
          <cell r="G734">
            <v>37116</v>
          </cell>
          <cell r="H734">
            <v>37148</v>
          </cell>
          <cell r="I734">
            <v>37155</v>
          </cell>
          <cell r="J734">
            <v>37176</v>
          </cell>
          <cell r="K734">
            <v>37197</v>
          </cell>
          <cell r="L734">
            <v>37176</v>
          </cell>
        </row>
        <row r="735">
          <cell r="E735" t="str">
            <v>AR</v>
          </cell>
          <cell r="G735">
            <v>37046</v>
          </cell>
          <cell r="H735">
            <v>37078</v>
          </cell>
          <cell r="I735">
            <v>37092</v>
          </cell>
          <cell r="J735">
            <v>37113</v>
          </cell>
          <cell r="K735">
            <v>37134</v>
          </cell>
          <cell r="L735">
            <v>37176</v>
          </cell>
        </row>
        <row r="736">
          <cell r="E736" t="str">
            <v>AR</v>
          </cell>
          <cell r="G736">
            <v>37046</v>
          </cell>
          <cell r="H736">
            <v>37078</v>
          </cell>
          <cell r="I736">
            <v>37092</v>
          </cell>
          <cell r="J736">
            <v>37113</v>
          </cell>
          <cell r="K736">
            <v>37134</v>
          </cell>
          <cell r="L736">
            <v>37176</v>
          </cell>
        </row>
        <row r="737">
          <cell r="E737" t="str">
            <v>AR</v>
          </cell>
          <cell r="G737">
            <v>37081</v>
          </cell>
          <cell r="H737">
            <v>37113</v>
          </cell>
          <cell r="I737">
            <v>37120</v>
          </cell>
          <cell r="J737">
            <v>37141</v>
          </cell>
          <cell r="K737">
            <v>37162</v>
          </cell>
          <cell r="L737">
            <v>37176</v>
          </cell>
        </row>
        <row r="738">
          <cell r="E738" t="str">
            <v>AR</v>
          </cell>
          <cell r="G738">
            <v>37081</v>
          </cell>
          <cell r="H738">
            <v>37113</v>
          </cell>
          <cell r="I738">
            <v>37120</v>
          </cell>
          <cell r="J738">
            <v>37141</v>
          </cell>
          <cell r="K738">
            <v>37162</v>
          </cell>
          <cell r="L738">
            <v>37176</v>
          </cell>
        </row>
        <row r="739">
          <cell r="E739" t="str">
            <v>AR</v>
          </cell>
          <cell r="G739">
            <v>37081</v>
          </cell>
          <cell r="H739">
            <v>37113</v>
          </cell>
          <cell r="I739">
            <v>37120</v>
          </cell>
          <cell r="J739">
            <v>37141</v>
          </cell>
          <cell r="K739">
            <v>37162</v>
          </cell>
          <cell r="L739">
            <v>37176</v>
          </cell>
        </row>
        <row r="740">
          <cell r="E740" t="str">
            <v>AR</v>
          </cell>
          <cell r="G740">
            <v>37081</v>
          </cell>
          <cell r="H740">
            <v>37113</v>
          </cell>
          <cell r="I740">
            <v>37120</v>
          </cell>
          <cell r="J740">
            <v>37141</v>
          </cell>
          <cell r="K740">
            <v>37162</v>
          </cell>
          <cell r="L740">
            <v>37176</v>
          </cell>
        </row>
        <row r="741">
          <cell r="E741" t="str">
            <v>AR</v>
          </cell>
          <cell r="G741">
            <v>37116</v>
          </cell>
          <cell r="H741">
            <v>37148</v>
          </cell>
          <cell r="I741">
            <v>37155</v>
          </cell>
          <cell r="J741">
            <v>37176</v>
          </cell>
          <cell r="K741">
            <v>37197</v>
          </cell>
          <cell r="L741">
            <v>37176</v>
          </cell>
        </row>
        <row r="742">
          <cell r="E742" t="str">
            <v>AR</v>
          </cell>
          <cell r="G742">
            <v>37018</v>
          </cell>
          <cell r="H742">
            <v>37050</v>
          </cell>
          <cell r="I742">
            <v>37064</v>
          </cell>
          <cell r="J742">
            <v>37134</v>
          </cell>
          <cell r="K742">
            <v>37190</v>
          </cell>
          <cell r="L742">
            <v>37176</v>
          </cell>
        </row>
        <row r="743">
          <cell r="E743" t="str">
            <v>AR</v>
          </cell>
          <cell r="G743">
            <v>37039</v>
          </cell>
          <cell r="H743">
            <v>37078</v>
          </cell>
          <cell r="I743">
            <v>37092</v>
          </cell>
          <cell r="J743">
            <v>37148</v>
          </cell>
          <cell r="K743">
            <v>37197</v>
          </cell>
          <cell r="L743">
            <v>37176</v>
          </cell>
        </row>
        <row r="744">
          <cell r="E744" t="str">
            <v>AR</v>
          </cell>
          <cell r="G744">
            <v>37060</v>
          </cell>
          <cell r="H744">
            <v>37092</v>
          </cell>
          <cell r="I744">
            <v>37106</v>
          </cell>
          <cell r="J744">
            <v>37155</v>
          </cell>
          <cell r="K744">
            <v>37204</v>
          </cell>
          <cell r="L744">
            <v>37176</v>
          </cell>
        </row>
        <row r="745">
          <cell r="E745" t="str">
            <v>AR</v>
          </cell>
          <cell r="G745">
            <v>37088</v>
          </cell>
          <cell r="H745">
            <v>37113</v>
          </cell>
          <cell r="I745">
            <v>37120</v>
          </cell>
          <cell r="J745">
            <v>37176</v>
          </cell>
          <cell r="K745">
            <v>37218</v>
          </cell>
          <cell r="L745">
            <v>37176</v>
          </cell>
        </row>
        <row r="746">
          <cell r="E746" t="str">
            <v>AR</v>
          </cell>
          <cell r="G746">
            <v>37116</v>
          </cell>
          <cell r="H746">
            <v>37148</v>
          </cell>
          <cell r="I746">
            <v>37155</v>
          </cell>
          <cell r="J746">
            <v>37176</v>
          </cell>
          <cell r="K746">
            <v>37197</v>
          </cell>
          <cell r="L746">
            <v>37176</v>
          </cell>
        </row>
      </sheetData>
      <sheetData sheetId="10" refreshError="1">
        <row r="8">
          <cell r="E8" t="str">
            <v>ME</v>
          </cell>
          <cell r="G8">
            <v>36983</v>
          </cell>
          <cell r="H8">
            <v>37001</v>
          </cell>
          <cell r="I8">
            <v>37025</v>
          </cell>
          <cell r="J8">
            <v>37047</v>
          </cell>
          <cell r="K8">
            <v>37069</v>
          </cell>
          <cell r="L8">
            <v>37076</v>
          </cell>
        </row>
        <row r="9">
          <cell r="E9" t="str">
            <v>ME</v>
          </cell>
          <cell r="G9">
            <v>36983</v>
          </cell>
          <cell r="H9">
            <v>37001</v>
          </cell>
          <cell r="I9">
            <v>37025</v>
          </cell>
          <cell r="J9">
            <v>37047</v>
          </cell>
          <cell r="K9">
            <v>37069</v>
          </cell>
          <cell r="L9">
            <v>37076</v>
          </cell>
        </row>
        <row r="10">
          <cell r="E10" t="str">
            <v>ME</v>
          </cell>
          <cell r="G10">
            <v>36976</v>
          </cell>
          <cell r="H10">
            <v>37001</v>
          </cell>
          <cell r="I10">
            <v>37025</v>
          </cell>
          <cell r="J10">
            <v>37047</v>
          </cell>
          <cell r="K10">
            <v>37069</v>
          </cell>
          <cell r="L10">
            <v>37076</v>
          </cell>
        </row>
        <row r="11">
          <cell r="E11" t="str">
            <v>ME</v>
          </cell>
          <cell r="G11">
            <v>36976</v>
          </cell>
          <cell r="H11">
            <v>37001</v>
          </cell>
          <cell r="I11">
            <v>37025</v>
          </cell>
          <cell r="J11">
            <v>37047</v>
          </cell>
          <cell r="K11">
            <v>37069</v>
          </cell>
          <cell r="L11">
            <v>37076</v>
          </cell>
        </row>
        <row r="12">
          <cell r="E12" t="str">
            <v>ME</v>
          </cell>
          <cell r="G12">
            <v>36976</v>
          </cell>
          <cell r="H12">
            <v>37001</v>
          </cell>
          <cell r="I12">
            <v>37025</v>
          </cell>
          <cell r="J12">
            <v>37047</v>
          </cell>
          <cell r="K12">
            <v>37069</v>
          </cell>
          <cell r="L12">
            <v>37076</v>
          </cell>
        </row>
        <row r="13">
          <cell r="E13" t="str">
            <v>ME</v>
          </cell>
          <cell r="G13">
            <v>36983</v>
          </cell>
          <cell r="H13">
            <v>37030</v>
          </cell>
          <cell r="I13">
            <v>37051</v>
          </cell>
          <cell r="J13">
            <v>37067</v>
          </cell>
          <cell r="K13">
            <v>37075</v>
          </cell>
          <cell r="L13">
            <v>37082</v>
          </cell>
        </row>
        <row r="14">
          <cell r="E14" t="str">
            <v>ME</v>
          </cell>
          <cell r="G14">
            <v>36983</v>
          </cell>
          <cell r="H14">
            <v>37030</v>
          </cell>
          <cell r="I14">
            <v>37051</v>
          </cell>
          <cell r="J14">
            <v>37067</v>
          </cell>
          <cell r="K14">
            <v>37075</v>
          </cell>
          <cell r="L14">
            <v>37082</v>
          </cell>
        </row>
        <row r="15">
          <cell r="E15" t="str">
            <v>ME</v>
          </cell>
          <cell r="G15">
            <v>36983</v>
          </cell>
          <cell r="H15">
            <v>37030</v>
          </cell>
          <cell r="I15">
            <v>37051</v>
          </cell>
          <cell r="J15">
            <v>37067</v>
          </cell>
          <cell r="K15">
            <v>37075</v>
          </cell>
          <cell r="L15">
            <v>37082</v>
          </cell>
        </row>
        <row r="16">
          <cell r="E16" t="str">
            <v>ME</v>
          </cell>
          <cell r="G16">
            <v>36983</v>
          </cell>
          <cell r="H16">
            <v>37030</v>
          </cell>
          <cell r="I16">
            <v>37051</v>
          </cell>
          <cell r="J16">
            <v>37067</v>
          </cell>
          <cell r="K16">
            <v>37075</v>
          </cell>
          <cell r="L16">
            <v>37082</v>
          </cell>
        </row>
        <row r="17">
          <cell r="E17" t="str">
            <v>ME</v>
          </cell>
          <cell r="G17">
            <v>36983</v>
          </cell>
          <cell r="H17">
            <v>37030</v>
          </cell>
          <cell r="I17">
            <v>37051</v>
          </cell>
          <cell r="J17">
            <v>37067</v>
          </cell>
          <cell r="K17">
            <v>37075</v>
          </cell>
          <cell r="L17">
            <v>37082</v>
          </cell>
        </row>
        <row r="18">
          <cell r="E18" t="str">
            <v>ME</v>
          </cell>
          <cell r="G18">
            <v>36983</v>
          </cell>
          <cell r="H18">
            <v>37030</v>
          </cell>
          <cell r="I18">
            <v>37051</v>
          </cell>
          <cell r="J18">
            <v>37067</v>
          </cell>
          <cell r="K18">
            <v>37075</v>
          </cell>
          <cell r="L18">
            <v>37082</v>
          </cell>
        </row>
        <row r="19">
          <cell r="E19" t="str">
            <v>ME</v>
          </cell>
          <cell r="G19">
            <v>36983</v>
          </cell>
          <cell r="H19">
            <v>37030</v>
          </cell>
          <cell r="I19">
            <v>37051</v>
          </cell>
          <cell r="J19">
            <v>37067</v>
          </cell>
          <cell r="K19">
            <v>37075</v>
          </cell>
          <cell r="L19">
            <v>37082</v>
          </cell>
        </row>
        <row r="20">
          <cell r="E20" t="str">
            <v>ME</v>
          </cell>
          <cell r="G20">
            <v>36983</v>
          </cell>
          <cell r="H20">
            <v>37030</v>
          </cell>
          <cell r="I20">
            <v>37051</v>
          </cell>
          <cell r="J20">
            <v>37067</v>
          </cell>
          <cell r="K20">
            <v>37075</v>
          </cell>
          <cell r="L20">
            <v>37082</v>
          </cell>
        </row>
        <row r="21">
          <cell r="E21" t="str">
            <v>ME</v>
          </cell>
          <cell r="G21">
            <v>36983</v>
          </cell>
          <cell r="H21">
            <v>37030</v>
          </cell>
          <cell r="I21">
            <v>37051</v>
          </cell>
          <cell r="J21">
            <v>37067</v>
          </cell>
          <cell r="K21">
            <v>37075</v>
          </cell>
          <cell r="L21">
            <v>37082</v>
          </cell>
        </row>
        <row r="22">
          <cell r="E22" t="str">
            <v>ME</v>
          </cell>
          <cell r="G22">
            <v>36983</v>
          </cell>
          <cell r="H22">
            <v>37030</v>
          </cell>
          <cell r="I22">
            <v>37051</v>
          </cell>
          <cell r="J22">
            <v>37067</v>
          </cell>
          <cell r="K22">
            <v>37075</v>
          </cell>
          <cell r="L22">
            <v>37082</v>
          </cell>
        </row>
        <row r="23">
          <cell r="E23" t="str">
            <v>ME</v>
          </cell>
          <cell r="G23">
            <v>36983</v>
          </cell>
          <cell r="H23">
            <v>37030</v>
          </cell>
          <cell r="I23">
            <v>37051</v>
          </cell>
          <cell r="J23">
            <v>37067</v>
          </cell>
          <cell r="K23">
            <v>37075</v>
          </cell>
          <cell r="L23">
            <v>37082</v>
          </cell>
        </row>
        <row r="24">
          <cell r="E24" t="str">
            <v>ME</v>
          </cell>
          <cell r="G24">
            <v>36983</v>
          </cell>
          <cell r="H24">
            <v>37030</v>
          </cell>
          <cell r="I24">
            <v>37051</v>
          </cell>
          <cell r="J24">
            <v>37067</v>
          </cell>
          <cell r="K24">
            <v>37075</v>
          </cell>
          <cell r="L24">
            <v>37082</v>
          </cell>
        </row>
        <row r="25">
          <cell r="E25" t="str">
            <v>ME</v>
          </cell>
          <cell r="G25">
            <v>36983</v>
          </cell>
          <cell r="H25">
            <v>37030</v>
          </cell>
          <cell r="I25">
            <v>37051</v>
          </cell>
          <cell r="J25">
            <v>37067</v>
          </cell>
          <cell r="K25">
            <v>37075</v>
          </cell>
          <cell r="L25">
            <v>37082</v>
          </cell>
        </row>
        <row r="26">
          <cell r="E26" t="str">
            <v>ME</v>
          </cell>
          <cell r="G26">
            <v>36983</v>
          </cell>
          <cell r="H26">
            <v>37035</v>
          </cell>
          <cell r="I26">
            <v>37065</v>
          </cell>
          <cell r="J26">
            <v>37077</v>
          </cell>
          <cell r="K26">
            <v>37085</v>
          </cell>
          <cell r="L26">
            <v>37092</v>
          </cell>
        </row>
        <row r="27">
          <cell r="E27" t="str">
            <v>ME</v>
          </cell>
          <cell r="G27">
            <v>36983</v>
          </cell>
          <cell r="H27">
            <v>37035</v>
          </cell>
          <cell r="I27">
            <v>37065</v>
          </cell>
          <cell r="J27">
            <v>37077</v>
          </cell>
          <cell r="K27">
            <v>37085</v>
          </cell>
          <cell r="L27">
            <v>37092</v>
          </cell>
        </row>
        <row r="28">
          <cell r="E28" t="str">
            <v>ME</v>
          </cell>
          <cell r="G28">
            <v>36983</v>
          </cell>
          <cell r="H28">
            <v>37035</v>
          </cell>
          <cell r="I28">
            <v>37065</v>
          </cell>
          <cell r="J28">
            <v>37077</v>
          </cell>
          <cell r="K28">
            <v>37085</v>
          </cell>
          <cell r="L28">
            <v>37092</v>
          </cell>
        </row>
        <row r="29">
          <cell r="E29" t="str">
            <v>ME</v>
          </cell>
          <cell r="G29">
            <v>36983</v>
          </cell>
          <cell r="H29">
            <v>37035</v>
          </cell>
          <cell r="I29">
            <v>37065</v>
          </cell>
          <cell r="J29">
            <v>37077</v>
          </cell>
          <cell r="K29">
            <v>37085</v>
          </cell>
          <cell r="L29">
            <v>37092</v>
          </cell>
        </row>
        <row r="30">
          <cell r="E30" t="str">
            <v>ME</v>
          </cell>
          <cell r="G30">
            <v>36983</v>
          </cell>
          <cell r="H30">
            <v>37035</v>
          </cell>
          <cell r="I30">
            <v>37065</v>
          </cell>
          <cell r="J30">
            <v>37077</v>
          </cell>
          <cell r="K30">
            <v>37085</v>
          </cell>
          <cell r="L30">
            <v>37092</v>
          </cell>
        </row>
        <row r="31">
          <cell r="E31" t="str">
            <v>ME</v>
          </cell>
          <cell r="G31">
            <v>36983</v>
          </cell>
          <cell r="H31">
            <v>37035</v>
          </cell>
          <cell r="I31">
            <v>37065</v>
          </cell>
          <cell r="J31">
            <v>37077</v>
          </cell>
          <cell r="K31">
            <v>37085</v>
          </cell>
          <cell r="L31">
            <v>37092</v>
          </cell>
        </row>
        <row r="32">
          <cell r="E32" t="str">
            <v>ME</v>
          </cell>
          <cell r="G32">
            <v>36983</v>
          </cell>
          <cell r="H32">
            <v>37035</v>
          </cell>
          <cell r="I32">
            <v>37065</v>
          </cell>
          <cell r="J32">
            <v>37077</v>
          </cell>
          <cell r="K32">
            <v>37085</v>
          </cell>
          <cell r="L32">
            <v>37092</v>
          </cell>
        </row>
        <row r="33">
          <cell r="E33" t="str">
            <v>ME</v>
          </cell>
          <cell r="G33">
            <v>36983</v>
          </cell>
          <cell r="H33">
            <v>37035</v>
          </cell>
          <cell r="I33">
            <v>37065</v>
          </cell>
          <cell r="J33">
            <v>37077</v>
          </cell>
          <cell r="K33">
            <v>37085</v>
          </cell>
          <cell r="L33">
            <v>37092</v>
          </cell>
        </row>
        <row r="34">
          <cell r="E34" t="str">
            <v>ME</v>
          </cell>
          <cell r="G34">
            <v>36983</v>
          </cell>
          <cell r="H34">
            <v>37035</v>
          </cell>
          <cell r="I34">
            <v>37065</v>
          </cell>
          <cell r="J34">
            <v>37077</v>
          </cell>
          <cell r="K34">
            <v>37085</v>
          </cell>
          <cell r="L34">
            <v>37092</v>
          </cell>
        </row>
        <row r="35">
          <cell r="E35" t="str">
            <v>ME</v>
          </cell>
          <cell r="G35">
            <v>37025</v>
          </cell>
          <cell r="H35">
            <v>37133</v>
          </cell>
          <cell r="I35">
            <v>37159</v>
          </cell>
          <cell r="J35">
            <v>37174</v>
          </cell>
          <cell r="K35">
            <v>37189</v>
          </cell>
          <cell r="L35">
            <v>37196</v>
          </cell>
        </row>
        <row r="36">
          <cell r="E36" t="str">
            <v>ME</v>
          </cell>
          <cell r="G36">
            <v>37025</v>
          </cell>
          <cell r="H36">
            <v>37133</v>
          </cell>
          <cell r="I36">
            <v>37159</v>
          </cell>
          <cell r="J36">
            <v>37174</v>
          </cell>
          <cell r="K36">
            <v>37189</v>
          </cell>
          <cell r="L36">
            <v>37196</v>
          </cell>
        </row>
        <row r="37">
          <cell r="E37" t="str">
            <v>ME</v>
          </cell>
          <cell r="G37">
            <v>37025</v>
          </cell>
          <cell r="H37">
            <v>37133</v>
          </cell>
          <cell r="I37">
            <v>37159</v>
          </cell>
          <cell r="J37">
            <v>37174</v>
          </cell>
          <cell r="K37">
            <v>37189</v>
          </cell>
          <cell r="L37">
            <v>37196</v>
          </cell>
        </row>
        <row r="38">
          <cell r="E38" t="str">
            <v>ME</v>
          </cell>
          <cell r="G38">
            <v>36976</v>
          </cell>
          <cell r="H38">
            <v>37001</v>
          </cell>
          <cell r="I38">
            <v>37025</v>
          </cell>
          <cell r="J38">
            <v>37047</v>
          </cell>
          <cell r="K38">
            <v>37069</v>
          </cell>
          <cell r="L38">
            <v>37076</v>
          </cell>
        </row>
        <row r="39">
          <cell r="E39" t="str">
            <v>ME</v>
          </cell>
          <cell r="G39">
            <v>36983</v>
          </cell>
          <cell r="H39">
            <v>37030</v>
          </cell>
          <cell r="I39">
            <v>37051</v>
          </cell>
          <cell r="J39">
            <v>37067</v>
          </cell>
          <cell r="K39">
            <v>37075</v>
          </cell>
          <cell r="L39">
            <v>37082</v>
          </cell>
        </row>
        <row r="40">
          <cell r="E40" t="str">
            <v>ME</v>
          </cell>
          <cell r="G40">
            <v>37025</v>
          </cell>
          <cell r="H40">
            <v>37133</v>
          </cell>
          <cell r="I40">
            <v>37159</v>
          </cell>
          <cell r="J40">
            <v>37174</v>
          </cell>
          <cell r="K40">
            <v>37189</v>
          </cell>
          <cell r="L40">
            <v>37196</v>
          </cell>
        </row>
        <row r="41">
          <cell r="E41" t="str">
            <v>ME</v>
          </cell>
          <cell r="G41">
            <v>37025</v>
          </cell>
          <cell r="H41">
            <v>37133</v>
          </cell>
          <cell r="I41">
            <v>37159</v>
          </cell>
          <cell r="J41">
            <v>37174</v>
          </cell>
          <cell r="K41">
            <v>37189</v>
          </cell>
          <cell r="L41">
            <v>37196</v>
          </cell>
        </row>
        <row r="42">
          <cell r="E42" t="str">
            <v>ME</v>
          </cell>
          <cell r="G42">
            <v>37025</v>
          </cell>
          <cell r="H42">
            <v>37133</v>
          </cell>
          <cell r="I42">
            <v>37159</v>
          </cell>
          <cell r="J42">
            <v>37174</v>
          </cell>
          <cell r="K42">
            <v>37189</v>
          </cell>
          <cell r="L42">
            <v>37196</v>
          </cell>
        </row>
        <row r="43">
          <cell r="E43" t="str">
            <v>ME</v>
          </cell>
          <cell r="G43">
            <v>37025</v>
          </cell>
          <cell r="H43">
            <v>37133</v>
          </cell>
          <cell r="I43">
            <v>37159</v>
          </cell>
          <cell r="J43">
            <v>37174</v>
          </cell>
          <cell r="K43">
            <v>37189</v>
          </cell>
          <cell r="L43">
            <v>37196</v>
          </cell>
        </row>
        <row r="48">
          <cell r="E48" t="str">
            <v>HV</v>
          </cell>
          <cell r="G48">
            <v>37007</v>
          </cell>
          <cell r="H48">
            <v>37055</v>
          </cell>
          <cell r="I48">
            <v>37076</v>
          </cell>
          <cell r="J48">
            <v>37097</v>
          </cell>
          <cell r="K48">
            <v>37139</v>
          </cell>
          <cell r="L48">
            <v>37153</v>
          </cell>
        </row>
        <row r="49">
          <cell r="E49" t="str">
            <v>HV</v>
          </cell>
          <cell r="G49">
            <v>37007</v>
          </cell>
          <cell r="H49">
            <v>37055</v>
          </cell>
          <cell r="I49">
            <v>37076</v>
          </cell>
          <cell r="J49">
            <v>37097</v>
          </cell>
          <cell r="K49">
            <v>37139</v>
          </cell>
          <cell r="L49">
            <v>37153</v>
          </cell>
        </row>
        <row r="50">
          <cell r="E50" t="str">
            <v>HV</v>
          </cell>
          <cell r="G50">
            <v>37007</v>
          </cell>
          <cell r="H50">
            <v>37116</v>
          </cell>
          <cell r="I50">
            <v>37138</v>
          </cell>
          <cell r="J50">
            <v>37159</v>
          </cell>
          <cell r="K50">
            <v>37207</v>
          </cell>
          <cell r="L50">
            <v>37214</v>
          </cell>
        </row>
        <row r="51">
          <cell r="E51" t="str">
            <v>HV</v>
          </cell>
          <cell r="G51">
            <v>37007</v>
          </cell>
          <cell r="H51">
            <v>37116</v>
          </cell>
          <cell r="I51">
            <v>37138</v>
          </cell>
          <cell r="J51">
            <v>37159</v>
          </cell>
          <cell r="K51">
            <v>37207</v>
          </cell>
          <cell r="L51">
            <v>37214</v>
          </cell>
        </row>
        <row r="52">
          <cell r="E52" t="str">
            <v>HV</v>
          </cell>
          <cell r="G52">
            <v>37007</v>
          </cell>
          <cell r="H52">
            <v>37116</v>
          </cell>
          <cell r="I52">
            <v>37138</v>
          </cell>
          <cell r="J52">
            <v>37159</v>
          </cell>
          <cell r="K52">
            <v>37207</v>
          </cell>
          <cell r="L52">
            <v>37214</v>
          </cell>
        </row>
        <row r="56">
          <cell r="E56" t="str">
            <v>PI</v>
          </cell>
          <cell r="G56">
            <v>37012</v>
          </cell>
          <cell r="H56">
            <v>37047</v>
          </cell>
          <cell r="I56">
            <v>37075</v>
          </cell>
          <cell r="J56">
            <v>37096</v>
          </cell>
          <cell r="K56">
            <v>37152</v>
          </cell>
          <cell r="L56">
            <v>37159</v>
          </cell>
        </row>
        <row r="57">
          <cell r="E57" t="str">
            <v>PI</v>
          </cell>
          <cell r="G57">
            <v>37012</v>
          </cell>
          <cell r="H57">
            <v>37047</v>
          </cell>
          <cell r="I57">
            <v>37075</v>
          </cell>
          <cell r="J57">
            <v>37096</v>
          </cell>
          <cell r="K57">
            <v>37152</v>
          </cell>
          <cell r="L57">
            <v>37159</v>
          </cell>
        </row>
        <row r="58">
          <cell r="E58" t="str">
            <v>PI</v>
          </cell>
          <cell r="G58">
            <v>37012</v>
          </cell>
          <cell r="H58">
            <v>37047</v>
          </cell>
          <cell r="I58">
            <v>37075</v>
          </cell>
          <cell r="J58">
            <v>37096</v>
          </cell>
          <cell r="K58">
            <v>37152</v>
          </cell>
          <cell r="L58">
            <v>37159</v>
          </cell>
        </row>
        <row r="59">
          <cell r="E59" t="str">
            <v>PI</v>
          </cell>
          <cell r="G59">
            <v>37012</v>
          </cell>
          <cell r="H59">
            <v>37047</v>
          </cell>
          <cell r="I59">
            <v>37075</v>
          </cell>
          <cell r="J59">
            <v>37096</v>
          </cell>
          <cell r="K59">
            <v>37152</v>
          </cell>
          <cell r="L59">
            <v>37159</v>
          </cell>
        </row>
        <row r="60">
          <cell r="E60" t="str">
            <v>PI</v>
          </cell>
          <cell r="G60">
            <v>37026</v>
          </cell>
          <cell r="H60">
            <v>37054</v>
          </cell>
          <cell r="I60">
            <v>37082</v>
          </cell>
          <cell r="J60">
            <v>37103</v>
          </cell>
          <cell r="K60">
            <v>37159</v>
          </cell>
          <cell r="L60">
            <v>37166</v>
          </cell>
        </row>
        <row r="61">
          <cell r="E61" t="str">
            <v>PI</v>
          </cell>
          <cell r="G61">
            <v>37026</v>
          </cell>
          <cell r="H61">
            <v>37054</v>
          </cell>
          <cell r="I61">
            <v>37082</v>
          </cell>
          <cell r="J61">
            <v>37103</v>
          </cell>
          <cell r="K61">
            <v>37159</v>
          </cell>
          <cell r="L61">
            <v>37166</v>
          </cell>
        </row>
        <row r="64">
          <cell r="E64" t="str">
            <v>EL</v>
          </cell>
          <cell r="G64">
            <v>37018</v>
          </cell>
          <cell r="H64">
            <v>37035</v>
          </cell>
          <cell r="I64">
            <v>37065</v>
          </cell>
          <cell r="J64">
            <v>37077</v>
          </cell>
          <cell r="K64">
            <v>37085</v>
          </cell>
          <cell r="L64">
            <v>37092</v>
          </cell>
        </row>
        <row r="65">
          <cell r="E65" t="str">
            <v>EL</v>
          </cell>
          <cell r="G65">
            <v>37043</v>
          </cell>
          <cell r="H65">
            <v>37073</v>
          </cell>
          <cell r="I65">
            <v>37094</v>
          </cell>
          <cell r="J65">
            <v>37115</v>
          </cell>
          <cell r="K65">
            <v>37164</v>
          </cell>
          <cell r="L65">
            <v>37171</v>
          </cell>
        </row>
        <row r="66">
          <cell r="E66" t="str">
            <v>EL</v>
          </cell>
          <cell r="G66">
            <v>37057</v>
          </cell>
          <cell r="H66">
            <v>37118</v>
          </cell>
          <cell r="I66">
            <v>37139</v>
          </cell>
          <cell r="J66">
            <v>37160</v>
          </cell>
          <cell r="K66">
            <v>37208</v>
          </cell>
          <cell r="L66">
            <v>37215</v>
          </cell>
        </row>
        <row r="67">
          <cell r="E67" t="str">
            <v>EL</v>
          </cell>
          <cell r="G67">
            <v>37057</v>
          </cell>
          <cell r="H67">
            <v>37118</v>
          </cell>
          <cell r="I67">
            <v>37139</v>
          </cell>
          <cell r="J67">
            <v>37160</v>
          </cell>
          <cell r="K67">
            <v>37208</v>
          </cell>
          <cell r="L67">
            <v>37215</v>
          </cell>
        </row>
        <row r="68">
          <cell r="E68" t="str">
            <v>EL</v>
          </cell>
          <cell r="G68">
            <v>37057</v>
          </cell>
          <cell r="H68">
            <v>37118</v>
          </cell>
          <cell r="I68">
            <v>37139</v>
          </cell>
          <cell r="J68">
            <v>37160</v>
          </cell>
          <cell r="K68">
            <v>37208</v>
          </cell>
          <cell r="L68">
            <v>37215</v>
          </cell>
        </row>
        <row r="69">
          <cell r="E69" t="str">
            <v>EL</v>
          </cell>
          <cell r="G69">
            <v>37118</v>
          </cell>
          <cell r="H69">
            <v>37165</v>
          </cell>
          <cell r="I69">
            <v>37186</v>
          </cell>
          <cell r="J69">
            <v>37207</v>
          </cell>
          <cell r="K69">
            <v>37211</v>
          </cell>
          <cell r="L69">
            <v>37218</v>
          </cell>
        </row>
        <row r="70">
          <cell r="E70" t="str">
            <v>EL</v>
          </cell>
          <cell r="G70">
            <v>37073</v>
          </cell>
          <cell r="H70">
            <v>37120</v>
          </cell>
          <cell r="I70">
            <v>37141</v>
          </cell>
          <cell r="J70">
            <v>37162</v>
          </cell>
          <cell r="K70">
            <v>37211</v>
          </cell>
          <cell r="L70">
            <v>37218</v>
          </cell>
        </row>
        <row r="71">
          <cell r="E71" t="str">
            <v>EL</v>
          </cell>
          <cell r="G71">
            <v>37073</v>
          </cell>
          <cell r="H71">
            <v>37120</v>
          </cell>
          <cell r="I71">
            <v>37141</v>
          </cell>
          <cell r="J71">
            <v>37162</v>
          </cell>
          <cell r="K71">
            <v>37211</v>
          </cell>
          <cell r="L71">
            <v>37218</v>
          </cell>
        </row>
        <row r="72">
          <cell r="E72" t="str">
            <v>EL</v>
          </cell>
          <cell r="G72">
            <v>37073</v>
          </cell>
          <cell r="H72">
            <v>37120</v>
          </cell>
          <cell r="I72">
            <v>37141</v>
          </cell>
          <cell r="J72">
            <v>37162</v>
          </cell>
          <cell r="K72">
            <v>37211</v>
          </cell>
          <cell r="L72">
            <v>37218</v>
          </cell>
        </row>
        <row r="73">
          <cell r="E73" t="str">
            <v>EL</v>
          </cell>
          <cell r="G73">
            <v>37073</v>
          </cell>
          <cell r="H73">
            <v>37120</v>
          </cell>
          <cell r="I73">
            <v>37141</v>
          </cell>
          <cell r="J73">
            <v>37162</v>
          </cell>
          <cell r="K73">
            <v>37211</v>
          </cell>
          <cell r="L73">
            <v>37218</v>
          </cell>
        </row>
        <row r="74">
          <cell r="E74" t="str">
            <v>EL</v>
          </cell>
          <cell r="G74">
            <v>37073</v>
          </cell>
          <cell r="H74">
            <v>37120</v>
          </cell>
          <cell r="I74">
            <v>37141</v>
          </cell>
          <cell r="J74">
            <v>37162</v>
          </cell>
          <cell r="K74">
            <v>37211</v>
          </cell>
          <cell r="L74">
            <v>37218</v>
          </cell>
        </row>
        <row r="75">
          <cell r="E75" t="str">
            <v>EL</v>
          </cell>
          <cell r="G75">
            <v>37082</v>
          </cell>
          <cell r="H75">
            <v>37108</v>
          </cell>
          <cell r="I75">
            <v>37119</v>
          </cell>
          <cell r="J75">
            <v>37133</v>
          </cell>
          <cell r="K75">
            <v>37179</v>
          </cell>
          <cell r="L75">
            <v>37186</v>
          </cell>
        </row>
        <row r="76">
          <cell r="E76" t="str">
            <v>EL</v>
          </cell>
          <cell r="G76">
            <v>37082</v>
          </cell>
          <cell r="H76">
            <v>37108</v>
          </cell>
          <cell r="I76">
            <v>37119</v>
          </cell>
          <cell r="J76">
            <v>37133</v>
          </cell>
          <cell r="K76">
            <v>37179</v>
          </cell>
          <cell r="L76">
            <v>37186</v>
          </cell>
        </row>
        <row r="77">
          <cell r="E77" t="str">
            <v>EL</v>
          </cell>
          <cell r="G77">
            <v>37135</v>
          </cell>
          <cell r="H77">
            <v>37165</v>
          </cell>
          <cell r="I77">
            <v>37193</v>
          </cell>
          <cell r="J77">
            <v>37207</v>
          </cell>
          <cell r="K77">
            <v>37211</v>
          </cell>
          <cell r="L77">
            <v>37218</v>
          </cell>
        </row>
        <row r="78">
          <cell r="E78" t="str">
            <v>EL</v>
          </cell>
          <cell r="G78">
            <v>37073</v>
          </cell>
          <cell r="H78">
            <v>37120</v>
          </cell>
          <cell r="I78">
            <v>37141</v>
          </cell>
          <cell r="J78">
            <v>37162</v>
          </cell>
          <cell r="K78">
            <v>37211</v>
          </cell>
          <cell r="L78">
            <v>37218</v>
          </cell>
        </row>
        <row r="79">
          <cell r="E79" t="str">
            <v>EL</v>
          </cell>
          <cell r="G79">
            <v>37073</v>
          </cell>
          <cell r="H79">
            <v>37120</v>
          </cell>
          <cell r="I79">
            <v>37141</v>
          </cell>
          <cell r="J79">
            <v>37162</v>
          </cell>
          <cell r="K79">
            <v>37211</v>
          </cell>
          <cell r="L79">
            <v>37218</v>
          </cell>
        </row>
        <row r="80">
          <cell r="E80" t="str">
            <v>EL</v>
          </cell>
          <cell r="G80">
            <v>37073</v>
          </cell>
          <cell r="H80">
            <v>37120</v>
          </cell>
          <cell r="I80">
            <v>37141</v>
          </cell>
          <cell r="J80">
            <v>37162</v>
          </cell>
          <cell r="K80">
            <v>37211</v>
          </cell>
          <cell r="L80">
            <v>37218</v>
          </cell>
        </row>
        <row r="81">
          <cell r="E81" t="str">
            <v>EL</v>
          </cell>
          <cell r="G81">
            <v>37073</v>
          </cell>
          <cell r="H81">
            <v>37120</v>
          </cell>
          <cell r="I81">
            <v>37141</v>
          </cell>
          <cell r="J81">
            <v>37162</v>
          </cell>
          <cell r="K81">
            <v>37211</v>
          </cell>
          <cell r="L81">
            <v>37218</v>
          </cell>
        </row>
        <row r="82">
          <cell r="E82" t="str">
            <v>EL</v>
          </cell>
          <cell r="G82">
            <v>37073</v>
          </cell>
          <cell r="H82">
            <v>37120</v>
          </cell>
          <cell r="I82">
            <v>37141</v>
          </cell>
          <cell r="J82">
            <v>37162</v>
          </cell>
          <cell r="K82">
            <v>37211</v>
          </cell>
          <cell r="L82">
            <v>37218</v>
          </cell>
        </row>
        <row r="85">
          <cell r="E85" t="str">
            <v>IN</v>
          </cell>
          <cell r="G85">
            <v>37012</v>
          </cell>
          <cell r="H85">
            <v>37052</v>
          </cell>
          <cell r="I85">
            <v>37067</v>
          </cell>
          <cell r="J85">
            <v>37087</v>
          </cell>
          <cell r="K85">
            <v>37130</v>
          </cell>
          <cell r="L85">
            <v>37144</v>
          </cell>
        </row>
        <row r="86">
          <cell r="E86" t="str">
            <v>IN</v>
          </cell>
          <cell r="G86">
            <v>37012</v>
          </cell>
          <cell r="H86">
            <v>37052</v>
          </cell>
          <cell r="I86">
            <v>37097</v>
          </cell>
          <cell r="J86">
            <v>37118</v>
          </cell>
          <cell r="K86">
            <v>37161</v>
          </cell>
          <cell r="L86">
            <v>37175</v>
          </cell>
        </row>
        <row r="87">
          <cell r="E87" t="str">
            <v>IN</v>
          </cell>
          <cell r="G87">
            <v>37021</v>
          </cell>
          <cell r="H87">
            <v>37057</v>
          </cell>
          <cell r="I87">
            <v>37097</v>
          </cell>
          <cell r="J87">
            <v>37118</v>
          </cell>
          <cell r="K87">
            <v>37168</v>
          </cell>
          <cell r="L87">
            <v>37175</v>
          </cell>
        </row>
        <row r="88">
          <cell r="E88" t="str">
            <v>IN</v>
          </cell>
          <cell r="G88">
            <v>37043</v>
          </cell>
          <cell r="H88">
            <v>37077</v>
          </cell>
          <cell r="I88">
            <v>37118</v>
          </cell>
          <cell r="J88">
            <v>37139</v>
          </cell>
          <cell r="K88">
            <v>37189</v>
          </cell>
          <cell r="L88">
            <v>37196</v>
          </cell>
        </row>
        <row r="89">
          <cell r="E89" t="str">
            <v>IN</v>
          </cell>
          <cell r="G89">
            <v>37043</v>
          </cell>
          <cell r="H89">
            <v>37077</v>
          </cell>
          <cell r="I89">
            <v>37118</v>
          </cell>
          <cell r="J89">
            <v>37139</v>
          </cell>
          <cell r="K89">
            <v>37189</v>
          </cell>
          <cell r="L89">
            <v>37196</v>
          </cell>
        </row>
        <row r="90">
          <cell r="E90" t="str">
            <v>IN</v>
          </cell>
          <cell r="G90">
            <v>37043</v>
          </cell>
          <cell r="H90">
            <v>37102</v>
          </cell>
          <cell r="I90">
            <v>37133</v>
          </cell>
          <cell r="J90">
            <v>37154</v>
          </cell>
          <cell r="K90">
            <v>37204</v>
          </cell>
          <cell r="L90">
            <v>37211</v>
          </cell>
        </row>
        <row r="91">
          <cell r="E91" t="str">
            <v>IN</v>
          </cell>
          <cell r="G91">
            <v>37043</v>
          </cell>
          <cell r="H91">
            <v>37077</v>
          </cell>
          <cell r="I91">
            <v>37118</v>
          </cell>
          <cell r="J91">
            <v>37139</v>
          </cell>
          <cell r="K91">
            <v>37189</v>
          </cell>
          <cell r="L91">
            <v>37196</v>
          </cell>
        </row>
        <row r="92">
          <cell r="E92" t="str">
            <v>IN</v>
          </cell>
          <cell r="G92">
            <v>37021</v>
          </cell>
          <cell r="H92">
            <v>37052</v>
          </cell>
          <cell r="I92">
            <v>37102</v>
          </cell>
          <cell r="J92">
            <v>37123</v>
          </cell>
          <cell r="K92">
            <v>37167</v>
          </cell>
          <cell r="L92">
            <v>37181</v>
          </cell>
        </row>
        <row r="93">
          <cell r="E93" t="str">
            <v>IN</v>
          </cell>
          <cell r="G93">
            <v>37021</v>
          </cell>
          <cell r="H93">
            <v>37052</v>
          </cell>
          <cell r="I93">
            <v>37102</v>
          </cell>
          <cell r="J93">
            <v>37123</v>
          </cell>
          <cell r="K93">
            <v>37167</v>
          </cell>
          <cell r="L93">
            <v>37181</v>
          </cell>
        </row>
        <row r="94">
          <cell r="E94" t="str">
            <v>IN</v>
          </cell>
          <cell r="G94">
            <v>37021</v>
          </cell>
          <cell r="H94">
            <v>37052</v>
          </cell>
          <cell r="I94">
            <v>37102</v>
          </cell>
          <cell r="J94">
            <v>37123</v>
          </cell>
          <cell r="K94">
            <v>37167</v>
          </cell>
          <cell r="L94">
            <v>37181</v>
          </cell>
        </row>
        <row r="95">
          <cell r="E95" t="str">
            <v>IN</v>
          </cell>
          <cell r="G95">
            <v>37021</v>
          </cell>
          <cell r="H95">
            <v>37062</v>
          </cell>
          <cell r="I95">
            <v>37102</v>
          </cell>
          <cell r="J95">
            <v>37123</v>
          </cell>
          <cell r="K95">
            <v>37174</v>
          </cell>
          <cell r="L95">
            <v>37181</v>
          </cell>
        </row>
        <row r="96">
          <cell r="E96" t="str">
            <v>IN</v>
          </cell>
          <cell r="G96">
            <v>37025</v>
          </cell>
          <cell r="H96">
            <v>37052</v>
          </cell>
          <cell r="I96">
            <v>37107</v>
          </cell>
          <cell r="J96">
            <v>37128</v>
          </cell>
          <cell r="K96">
            <v>37172</v>
          </cell>
          <cell r="L96">
            <v>37186</v>
          </cell>
        </row>
        <row r="97">
          <cell r="E97" t="str">
            <v>IN</v>
          </cell>
          <cell r="G97">
            <v>37025</v>
          </cell>
          <cell r="H97">
            <v>37052</v>
          </cell>
          <cell r="I97">
            <v>37107</v>
          </cell>
          <cell r="J97">
            <v>37128</v>
          </cell>
          <cell r="K97">
            <v>37172</v>
          </cell>
          <cell r="L97">
            <v>37186</v>
          </cell>
        </row>
        <row r="98">
          <cell r="E98" t="str">
            <v>IN</v>
          </cell>
          <cell r="G98">
            <v>37025</v>
          </cell>
          <cell r="H98">
            <v>37052</v>
          </cell>
          <cell r="I98">
            <v>37107</v>
          </cell>
          <cell r="J98">
            <v>37128</v>
          </cell>
          <cell r="K98">
            <v>37172</v>
          </cell>
          <cell r="L98">
            <v>37186</v>
          </cell>
        </row>
        <row r="99">
          <cell r="E99" t="str">
            <v>IN</v>
          </cell>
          <cell r="G99">
            <v>37025</v>
          </cell>
          <cell r="H99">
            <v>37052</v>
          </cell>
          <cell r="I99">
            <v>37112</v>
          </cell>
          <cell r="J99">
            <v>37133</v>
          </cell>
          <cell r="K99">
            <v>37177</v>
          </cell>
          <cell r="L99">
            <v>37191</v>
          </cell>
        </row>
        <row r="100">
          <cell r="E100" t="str">
            <v>IN</v>
          </cell>
          <cell r="G100">
            <v>37025</v>
          </cell>
          <cell r="H100">
            <v>37052</v>
          </cell>
          <cell r="I100">
            <v>37112</v>
          </cell>
          <cell r="J100">
            <v>37133</v>
          </cell>
          <cell r="K100">
            <v>37177</v>
          </cell>
          <cell r="L100">
            <v>37191</v>
          </cell>
        </row>
        <row r="101">
          <cell r="E101" t="str">
            <v>IN</v>
          </cell>
          <cell r="G101">
            <v>37025</v>
          </cell>
          <cell r="H101">
            <v>37052</v>
          </cell>
          <cell r="I101">
            <v>37112</v>
          </cell>
          <cell r="J101">
            <v>37133</v>
          </cell>
          <cell r="K101">
            <v>37177</v>
          </cell>
          <cell r="L101">
            <v>37191</v>
          </cell>
        </row>
        <row r="102">
          <cell r="E102" t="str">
            <v>IN</v>
          </cell>
          <cell r="G102">
            <v>37043</v>
          </cell>
          <cell r="H102">
            <v>37077</v>
          </cell>
          <cell r="I102">
            <v>37118</v>
          </cell>
          <cell r="J102">
            <v>37139</v>
          </cell>
          <cell r="K102">
            <v>37189</v>
          </cell>
          <cell r="L102">
            <v>37196</v>
          </cell>
        </row>
        <row r="103">
          <cell r="E103" t="str">
            <v>IN</v>
          </cell>
          <cell r="G103">
            <v>37043</v>
          </cell>
          <cell r="H103">
            <v>37082</v>
          </cell>
          <cell r="I103">
            <v>37123</v>
          </cell>
          <cell r="J103">
            <v>37144</v>
          </cell>
          <cell r="K103">
            <v>37194</v>
          </cell>
          <cell r="L103">
            <v>37201</v>
          </cell>
        </row>
        <row r="104">
          <cell r="E104" t="str">
            <v>IN</v>
          </cell>
          <cell r="G104">
            <v>37043</v>
          </cell>
          <cell r="H104">
            <v>37082</v>
          </cell>
          <cell r="I104">
            <v>37123</v>
          </cell>
          <cell r="J104">
            <v>37144</v>
          </cell>
          <cell r="K104">
            <v>37194</v>
          </cell>
          <cell r="L104">
            <v>37201</v>
          </cell>
        </row>
        <row r="107">
          <cell r="E107" t="str">
            <v>CI</v>
          </cell>
          <cell r="G107">
            <v>36982</v>
          </cell>
          <cell r="H107">
            <v>37072</v>
          </cell>
          <cell r="I107">
            <v>37097</v>
          </cell>
          <cell r="J107">
            <v>37113</v>
          </cell>
          <cell r="K107">
            <v>37133</v>
          </cell>
          <cell r="L107">
            <v>37149</v>
          </cell>
        </row>
        <row r="108">
          <cell r="E108" t="str">
            <v>CI</v>
          </cell>
          <cell r="G108">
            <v>36982</v>
          </cell>
          <cell r="H108">
            <v>37072</v>
          </cell>
          <cell r="I108">
            <v>37097</v>
          </cell>
          <cell r="J108">
            <v>37113</v>
          </cell>
          <cell r="K108">
            <v>37133</v>
          </cell>
          <cell r="L108">
            <v>37149</v>
          </cell>
        </row>
        <row r="111">
          <cell r="E111" t="str">
            <v>AR</v>
          </cell>
          <cell r="G111">
            <v>37018</v>
          </cell>
          <cell r="H111">
            <v>37036</v>
          </cell>
          <cell r="I111">
            <v>37057</v>
          </cell>
          <cell r="J111">
            <v>37071</v>
          </cell>
          <cell r="K111">
            <v>37127</v>
          </cell>
          <cell r="L111">
            <v>37134</v>
          </cell>
        </row>
        <row r="112">
          <cell r="E112" t="str">
            <v>AR</v>
          </cell>
          <cell r="G112">
            <v>37018</v>
          </cell>
          <cell r="H112">
            <v>37036</v>
          </cell>
          <cell r="I112">
            <v>37057</v>
          </cell>
          <cell r="J112">
            <v>37071</v>
          </cell>
          <cell r="K112">
            <v>37127</v>
          </cell>
          <cell r="L112">
            <v>37134</v>
          </cell>
        </row>
        <row r="113">
          <cell r="E113" t="str">
            <v>AR</v>
          </cell>
          <cell r="G113">
            <v>37018</v>
          </cell>
          <cell r="H113">
            <v>37036</v>
          </cell>
          <cell r="I113">
            <v>37057</v>
          </cell>
          <cell r="J113">
            <v>37071</v>
          </cell>
          <cell r="K113">
            <v>37127</v>
          </cell>
          <cell r="L113">
            <v>37134</v>
          </cell>
        </row>
        <row r="114">
          <cell r="E114" t="str">
            <v>AR</v>
          </cell>
          <cell r="G114">
            <v>37018</v>
          </cell>
          <cell r="H114">
            <v>37036</v>
          </cell>
          <cell r="I114">
            <v>37057</v>
          </cell>
          <cell r="J114">
            <v>37071</v>
          </cell>
          <cell r="K114">
            <v>37127</v>
          </cell>
          <cell r="L114">
            <v>37134</v>
          </cell>
        </row>
        <row r="115">
          <cell r="E115" t="str">
            <v>AR</v>
          </cell>
          <cell r="G115">
            <v>37032</v>
          </cell>
          <cell r="H115">
            <v>37050</v>
          </cell>
          <cell r="I115">
            <v>37071</v>
          </cell>
          <cell r="J115">
            <v>37085</v>
          </cell>
          <cell r="K115">
            <v>37141</v>
          </cell>
          <cell r="L115">
            <v>37148</v>
          </cell>
        </row>
        <row r="116">
          <cell r="E116" t="str">
            <v>AR</v>
          </cell>
          <cell r="G116">
            <v>37032</v>
          </cell>
          <cell r="H116">
            <v>37050</v>
          </cell>
          <cell r="I116">
            <v>37071</v>
          </cell>
          <cell r="J116">
            <v>37085</v>
          </cell>
          <cell r="K116">
            <v>37141</v>
          </cell>
          <cell r="L116">
            <v>37148</v>
          </cell>
        </row>
        <row r="117">
          <cell r="E117" t="str">
            <v>AR</v>
          </cell>
          <cell r="G117">
            <v>37032</v>
          </cell>
          <cell r="H117">
            <v>37050</v>
          </cell>
          <cell r="I117">
            <v>37071</v>
          </cell>
          <cell r="J117">
            <v>37085</v>
          </cell>
          <cell r="K117">
            <v>37141</v>
          </cell>
          <cell r="L117">
            <v>37148</v>
          </cell>
        </row>
        <row r="118">
          <cell r="E118" t="str">
            <v>AR</v>
          </cell>
          <cell r="G118">
            <v>37032</v>
          </cell>
          <cell r="H118">
            <v>37050</v>
          </cell>
          <cell r="I118">
            <v>37071</v>
          </cell>
          <cell r="J118">
            <v>37085</v>
          </cell>
          <cell r="K118">
            <v>37141</v>
          </cell>
          <cell r="L118">
            <v>37148</v>
          </cell>
        </row>
        <row r="119">
          <cell r="E119" t="str">
            <v>AR</v>
          </cell>
          <cell r="G119">
            <v>37039</v>
          </cell>
          <cell r="H119">
            <v>37057</v>
          </cell>
          <cell r="I119">
            <v>37078</v>
          </cell>
          <cell r="J119">
            <v>37092</v>
          </cell>
          <cell r="K119">
            <v>37155</v>
          </cell>
          <cell r="L119">
            <v>37162</v>
          </cell>
        </row>
        <row r="120">
          <cell r="E120" t="str">
            <v>AR</v>
          </cell>
          <cell r="G120">
            <v>37039</v>
          </cell>
          <cell r="H120">
            <v>37057</v>
          </cell>
          <cell r="I120">
            <v>37078</v>
          </cell>
          <cell r="J120">
            <v>37092</v>
          </cell>
          <cell r="K120">
            <v>37155</v>
          </cell>
          <cell r="L120">
            <v>37162</v>
          </cell>
        </row>
        <row r="121">
          <cell r="E121" t="str">
            <v>AR</v>
          </cell>
          <cell r="G121">
            <v>37039</v>
          </cell>
          <cell r="H121">
            <v>37057</v>
          </cell>
          <cell r="I121">
            <v>37078</v>
          </cell>
          <cell r="J121">
            <v>37092</v>
          </cell>
          <cell r="K121">
            <v>37155</v>
          </cell>
          <cell r="L121">
            <v>37162</v>
          </cell>
        </row>
        <row r="122">
          <cell r="E122" t="str">
            <v>AR</v>
          </cell>
          <cell r="G122">
            <v>37039</v>
          </cell>
          <cell r="H122">
            <v>37057</v>
          </cell>
          <cell r="I122">
            <v>37078</v>
          </cell>
          <cell r="J122">
            <v>37092</v>
          </cell>
          <cell r="K122">
            <v>37155</v>
          </cell>
          <cell r="L122">
            <v>37162</v>
          </cell>
        </row>
        <row r="123">
          <cell r="E123" t="str">
            <v>AR</v>
          </cell>
          <cell r="G123">
            <v>37053</v>
          </cell>
          <cell r="H123">
            <v>37071</v>
          </cell>
          <cell r="I123">
            <v>37092</v>
          </cell>
          <cell r="J123">
            <v>37106</v>
          </cell>
          <cell r="K123">
            <v>37169</v>
          </cell>
          <cell r="L123">
            <v>37176</v>
          </cell>
        </row>
        <row r="124">
          <cell r="E124" t="str">
            <v>AR</v>
          </cell>
          <cell r="G124">
            <v>37053</v>
          </cell>
          <cell r="H124">
            <v>37071</v>
          </cell>
          <cell r="I124">
            <v>37092</v>
          </cell>
          <cell r="J124">
            <v>37106</v>
          </cell>
          <cell r="K124">
            <v>37169</v>
          </cell>
          <cell r="L124">
            <v>37176</v>
          </cell>
        </row>
        <row r="125">
          <cell r="E125" t="str">
            <v>AR</v>
          </cell>
          <cell r="G125">
            <v>37053</v>
          </cell>
          <cell r="H125">
            <v>37071</v>
          </cell>
          <cell r="I125">
            <v>37092</v>
          </cell>
          <cell r="J125">
            <v>37106</v>
          </cell>
          <cell r="K125">
            <v>37169</v>
          </cell>
          <cell r="L125">
            <v>37176</v>
          </cell>
        </row>
        <row r="126">
          <cell r="E126" t="str">
            <v>AR</v>
          </cell>
          <cell r="G126">
            <v>37053</v>
          </cell>
          <cell r="H126">
            <v>37071</v>
          </cell>
          <cell r="I126">
            <v>37092</v>
          </cell>
          <cell r="J126">
            <v>37106</v>
          </cell>
          <cell r="K126">
            <v>37169</v>
          </cell>
          <cell r="L126">
            <v>37176</v>
          </cell>
        </row>
      </sheetData>
      <sheetData sheetId="11" refreshError="1"/>
      <sheetData sheetId="12" refreshError="1"/>
      <sheetData sheetId="13" refreshError="1"/>
      <sheetData sheetId="14" refreshError="1"/>
      <sheetData sheetId="15" refreshError="1">
        <row r="4">
          <cell r="F4">
            <v>37042</v>
          </cell>
        </row>
      </sheetData>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1차이내역"/>
      <sheetName val="9_1차이내역"/>
      <sheetName val="9-1Â÷ÀÌ³»¿ª"/>
      <sheetName val="주관사업"/>
      <sheetName val="산출근거#2-3"/>
      <sheetName val="96CONF"/>
      <sheetName val="영업소실적"/>
      <sheetName val="수입"/>
      <sheetName val="AILC004"/>
      <sheetName val="집계표"/>
      <sheetName val="개시대사 (2)"/>
      <sheetName val="세금자료"/>
      <sheetName val="경제지표"/>
      <sheetName val="연습"/>
      <sheetName val="97 사업추정(WEKI)"/>
      <sheetName val="사업부배부A"/>
      <sheetName val="VA_code"/>
      <sheetName val="수주현황2월"/>
      <sheetName val="소화실적"/>
      <sheetName val="BATCH"/>
      <sheetName val="손익차9월2"/>
      <sheetName val="세부내역"/>
      <sheetName val="총괄표양식"/>
      <sheetName val="차량운영비"/>
      <sheetName val="E_Rate PM"/>
      <sheetName val="용수량"/>
      <sheetName val="견적조건"/>
      <sheetName val="cp1"/>
      <sheetName val="#REF"/>
      <sheetName val="내역서"/>
      <sheetName val="eq_data"/>
      <sheetName val="상반기손익차2총괄"/>
      <sheetName val="BLDG_DCI"/>
      <sheetName val="BLDG_MCI"/>
      <sheetName val="일위대가"/>
      <sheetName val="개시대사_(2)"/>
      <sheetName val="E_Rate_PM"/>
      <sheetName val="97_사업추정(WEKI)"/>
      <sheetName val="data_dci"/>
      <sheetName val="data_mci"/>
      <sheetName val="behind"/>
      <sheetName val="Main"/>
      <sheetName val="sw1"/>
      <sheetName val="정 "/>
      <sheetName val="정산서  (2)"/>
    </sheetNames>
    <sheetDataSet>
      <sheetData sheetId="0"/>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43(1X6) (2)"/>
      <sheetName val="SH.44(1X25) (2)"/>
      <sheetName val="SH.45(1X35) (2)"/>
      <sheetName val="FS1"/>
      <sheetName val="FS21"/>
      <sheetName val="SH.1(1X2X1.5)"/>
      <sheetName val="SH.2(1X2X4)"/>
      <sheetName val="SH.3(1X2X1.5)"/>
      <sheetName val="SH.4(1X2X1.5)"/>
      <sheetName val="SH.5(1X2X4)"/>
      <sheetName val="SH.6(1X2X1FF)"/>
      <sheetName val="SH.7(1X3X1.5)"/>
      <sheetName val="SH.8(1X2X2.5)"/>
      <sheetName val="SH.9(1X2X4)"/>
      <sheetName val="SH.10(1X2X1.3k)"/>
      <sheetName val="SH.11(1X3X4)"/>
      <sheetName val="SH.12(1X2X1.5)"/>
      <sheetName val="SH.13(1X3X1.5)"/>
      <sheetName val="SH.14(1X2X2.5)"/>
      <sheetName val="SH.15(1X3X4)"/>
      <sheetName val="SH.16(5X2X1)"/>
      <sheetName val="SH.17(5X2X1)PS"/>
      <sheetName val="SH.18(10X2X1)"/>
      <sheetName val="SH.19(10X2X4)"/>
      <sheetName val="SH.20(10X2X1)"/>
      <sheetName val="SH.21(5X2X1)"/>
      <sheetName val="SH.22(5X2X4)"/>
      <sheetName val="SH.23(10X2X1)"/>
      <sheetName val="SH.24(10X2X4)"/>
      <sheetName val="SH.25(2X2X1FF)"/>
      <sheetName val="SH.26(4X2X1FF)"/>
      <sheetName val="SH.27(5X3X1)"/>
      <sheetName val="SH.28(10X3X1)"/>
      <sheetName val="SH.29(5X2X4)"/>
      <sheetName val="SH.30(10X2X4)"/>
      <sheetName val="SH.31(5X2X1K)"/>
      <sheetName val="SH.32(10X2X1K)"/>
      <sheetName val="SH.33(5X3X4)"/>
      <sheetName val="SH.34(5X2X1)"/>
      <sheetName val="SH.35(10X2X1)"/>
      <sheetName val="SH.36(5X3X1)"/>
      <sheetName val="SH.37(10X3X1)"/>
      <sheetName val="SH.38(5X2X2.5)"/>
      <sheetName val="SH.39(10X2X2.5)"/>
      <sheetName val="SH.40(5X3X2.5)"/>
      <sheetName val="SH.41(10X3X2.5)"/>
      <sheetName val="SH.42(1X4X1.5)"/>
      <sheetName val="SH.43(1X6)"/>
      <sheetName val="SH.44(1X25)"/>
      <sheetName val="SH.45(1X35)"/>
      <sheetName val="SH.46(5X2X1.5)"/>
      <sheetName val=" SH.47(5X2X1.5)"/>
      <sheetName val="SH.48(5X2X2.5)"/>
      <sheetName val="SH.49(10X2X2.5)"/>
      <sheetName val="#REF"/>
      <sheetName val="9-1차이내역"/>
      <sheetName val="sum3"/>
      <sheetName val="VA_cod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refreshError="1"/>
      <sheetData sheetId="55" refreshError="1"/>
      <sheetData sheetId="56" refreshError="1"/>
      <sheetData sheetId="57"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rm-3-배관 (1)-fire water-CCR"/>
      <sheetName val="Form-3-배관 (1)-fire water-TRUCK"/>
      <sheetName val="Form-3-배관 (1)-NAFS-III"/>
      <sheetName val="Form-3-배관 (3)-CCR"/>
      <sheetName val="Form-3-배관 (3)-TRUCK"/>
      <sheetName val="Form-5-보온(배관)"/>
      <sheetName val="BLDG_DCI"/>
      <sheetName val="BLDG_MCI"/>
      <sheetName val="INSTR"/>
      <sheetName val="상반기손익차2총괄"/>
    </sheetNames>
    <sheetDataSet>
      <sheetData sheetId="0"/>
      <sheetData sheetId="1"/>
      <sheetData sheetId="2"/>
      <sheetData sheetId="3"/>
      <sheetData sheetId="4"/>
      <sheetData sheetId="5"/>
      <sheetData sheetId="6" refreshError="1"/>
      <sheetData sheetId="7" refreshError="1"/>
      <sheetData sheetId="8" refreshError="1"/>
      <sheetData sheetId="9"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SD"/>
      <sheetName val="BSD 1"/>
      <sheetName val="BSD (2)"/>
      <sheetName val="BLDG_DCI"/>
      <sheetName val="BLDG_MCI"/>
    </sheetNames>
    <sheetDataSet>
      <sheetData sheetId="0"/>
      <sheetData sheetId="1"/>
      <sheetData sheetId="2"/>
      <sheetData sheetId="3" refreshError="1"/>
      <sheetData sheetId="4"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주관사업"/>
      <sheetName val="사업부배부"/>
      <sheetName val="계정보고 (2)"/>
      <sheetName val="요약배부 (보고)"/>
      <sheetName val="요약배부 (보고) (2)"/>
      <sheetName val="10월계정별"/>
      <sheetName val="10월년간추정"/>
      <sheetName val="기타매출 (3)"/>
      <sheetName val="Module1"/>
      <sheetName val="계정실적"/>
      <sheetName val="계정보고"/>
      <sheetName val="요약배부"/>
      <sheetName val="배부부별"/>
      <sheetName val="배부비목"/>
      <sheetName val="임대원가"/>
      <sheetName val="기타매출"/>
      <sheetName val="기타매출 (2)"/>
      <sheetName val="영업소실적"/>
      <sheetName val="새마을금고"/>
      <sheetName val="참고인원"/>
      <sheetName val="표지"/>
      <sheetName val="content(내부)"/>
      <sheetName val="7.4.1.A(input)"/>
      <sheetName val="7.4.1(B) BOQ Breakdown"/>
      <sheetName val="7.4.1.C(scope)"/>
      <sheetName val="7.4.1.D(Basis)"/>
      <sheetName val="7.4.1.E(allow)"/>
      <sheetName val="7.4.2.A-Build(list)"/>
      <sheetName val="7.4.3.B-BOQ-SUM"/>
      <sheetName val="7.4.3(BOQ_각표지)"/>
      <sheetName val="7.4.3.A(Shelter)"/>
      <sheetName val="7.4.3.B(Module)"/>
      <sheetName val="7.4.3.C(Shelter-FLB)"/>
      <sheetName val="7.4.3.D(Brief Spec.)"/>
      <sheetName val="95삼성급(본사)"/>
      <sheetName val="PRO_A"/>
      <sheetName val="ELEC_MCI"/>
      <sheetName val="MAIN"/>
      <sheetName val="INST_MCI"/>
      <sheetName val="MECH_MCI"/>
      <sheetName val="PRO"/>
      <sheetName val="인원계획"/>
      <sheetName val="Tension"/>
    </sheetNames>
    <sheetDataSet>
      <sheetData sheetId="0" refreshError="1"/>
      <sheetData sheetId="1" refreshError="1"/>
      <sheetData sheetId="2" refreshError="1"/>
      <sheetData sheetId="3"/>
      <sheetData sheetId="4"/>
      <sheetData sheetId="5"/>
      <sheetData sheetId="6"/>
      <sheetData sheetId="7"/>
      <sheetData sheetId="8" refreshError="1"/>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LAN"/>
      <sheetName val="제1안"/>
      <sheetName val="제2안"/>
      <sheetName val="토공"/>
      <sheetName val="금액대비"/>
      <sheetName val="토공가실행"/>
      <sheetName val="Sheet5"/>
      <sheetName val="PRO_A"/>
      <sheetName val="DWG"/>
      <sheetName val="ELEC_MCI"/>
      <sheetName val="MAIN"/>
      <sheetName val="INST_MCI"/>
      <sheetName val="MECH_MCI"/>
      <sheetName val="PRO"/>
    </sheetNames>
    <sheetDataSet>
      <sheetData sheetId="0"/>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M-101(Vessel)"/>
      <sheetName val="M-102(Flare)"/>
      <sheetName val="M-111(CENT.PP)"/>
      <sheetName val="M-112-Inst Air"/>
      <sheetName val="M-113(Chem.Injct)"/>
      <sheetName val="M-114(GasEngineGen)"/>
      <sheetName val="M-xxx(Skid)"/>
      <sheetName val="환율"/>
      <sheetName val="Module1"/>
      <sheetName val="주관사업"/>
      <sheetName val="요약배부"/>
      <sheetName val="PRO_A"/>
      <sheetName val="DWG"/>
      <sheetName val="ELEC_MCI"/>
      <sheetName val="MAIN"/>
      <sheetName val="INST_MCI"/>
      <sheetName val="MECH_MCI"/>
      <sheetName val="PRO"/>
      <sheetName val="BLDG_DCI"/>
      <sheetName val="BLDG_MCI"/>
      <sheetName val="VA_code"/>
      <sheetName val="inter"/>
      <sheetName val="PumpSpec"/>
      <sheetName val="작성기준"/>
      <sheetName val="Sheet5"/>
      <sheetName val="INPUT DATA"/>
      <sheetName val="Graph (LGEN)"/>
      <sheetName val="out_prog"/>
      <sheetName val="선적schedule (2)"/>
      <sheetName val="VV보온LINK"/>
      <sheetName val="FIT보온LINK"/>
      <sheetName val="PRICE-COMP"/>
      <sheetName val=" GULF"/>
      <sheetName val="M-111(CENT_PP)"/>
      <sheetName val="M-112-Inst_Air"/>
      <sheetName val="M-113(Chem_Injct)"/>
      <sheetName val="INPUT_DATA"/>
      <sheetName val="Graph_(LGEN)"/>
      <sheetName val="선적schedule_(2)"/>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CI"/>
      <sheetName val="#REF"/>
      <sheetName val="INSTR"/>
      <sheetName val="RFP007"/>
      <sheetName val="RFP006"/>
      <sheetName val="RFP005"/>
      <sheetName val="RFP009"/>
      <sheetName val="환율"/>
      <sheetName val="IT-BAT"/>
      <sheetName val="VA_code"/>
      <sheetName val="연습"/>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BLE&amp;WIRE"/>
      <sheetName val="FITTING"/>
      <sheetName val="PBS"/>
      <sheetName val="BULK"/>
      <sheetName val="LTG(PROCESS)"/>
      <sheetName val="LTG(CONTROLBLDG)"/>
      <sheetName val="PANELBOARD"/>
      <sheetName val="CONDUIT"/>
      <sheetName val="SHRINKABLE"/>
      <sheetName val="TERMINATIONKIT"/>
      <sheetName val="TB&amp;SPEAKER"/>
      <sheetName val="GND사급"/>
      <sheetName val="GND도급"/>
      <sheetName val="MCI"/>
      <sheetName val="Input"/>
      <sheetName val="CODE"/>
      <sheetName val="Sheet2"/>
      <sheetName val="Proposal"/>
      <sheetName val="BQ List"/>
      <sheetName val="#REF"/>
      <sheetName val="Sheet1"/>
      <sheetName val="Sheet5"/>
      <sheetName val="COA-17"/>
      <sheetName val="C-18"/>
      <sheetName val="POWERBM"/>
      <sheetName val="Connections"/>
      <sheetName val="DWTables"/>
      <sheetName val="Y-MOV2011"/>
      <sheetName val="Corrib Haz"/>
      <sheetName val="부표총괄"/>
      <sheetName val="Dsndata"/>
      <sheetName val="StrucData"/>
      <sheetName val="CONTROL"/>
      <sheetName val="LV SWGR"/>
      <sheetName val="MV SWGR"/>
      <sheetName val="BSD (2)"/>
      <sheetName val="DGchitiet "/>
      <sheetName val="PRICE-COMP"/>
      <sheetName val="적용환율"/>
      <sheetName val="RFP002"/>
      <sheetName val="환율"/>
      <sheetName val="UXSLCNK4"/>
      <sheetName val="산근"/>
      <sheetName val="주관사업"/>
      <sheetName val="요약배부"/>
      <sheetName val="LEGEND"/>
      <sheetName val="Mech_1030"/>
      <sheetName val="CommSpare"/>
      <sheetName val="eGAP Work Sht"/>
      <sheetName val="DESIGN CRITERIA"/>
      <sheetName val="LABTOTAL"/>
      <sheetName val="COEF. C"/>
      <sheetName val="Cab_Commodity Code."/>
      <sheetName val="Takeoff"/>
      <sheetName val="ANALYSER"/>
      <sheetName val="FWBS7000,8000"/>
      <sheetName val="FACTOR"/>
      <sheetName val="연돌일위집계"/>
      <sheetName val="REBAR"/>
      <sheetName val="El(Increased)"/>
      <sheetName val="DATA"/>
    </sheetNames>
    <sheetDataSet>
      <sheetData sheetId="0" refreshError="1"/>
      <sheetData sheetId="1" refreshError="1"/>
      <sheetData sheetId="2" refreshError="1">
        <row r="2">
          <cell r="F2" t="str">
            <v xml:space="preserve">        BILL  OF  MATERIAL</v>
          </cell>
          <cell r="G2" t="str">
            <v>PROJ.  NO. :</v>
          </cell>
          <cell r="I2" t="str">
            <v>Z99085</v>
          </cell>
        </row>
        <row r="3">
          <cell r="D3" t="str">
            <v xml:space="preserve"> </v>
          </cell>
          <cell r="G3" t="str">
            <v>DATE         :</v>
          </cell>
          <cell r="I3" t="str">
            <v>AUG,11,99</v>
          </cell>
        </row>
        <row r="4">
          <cell r="B4" t="str">
            <v>FOR   POWER SYSTEM(PUSH BUTTON SWITCH)</v>
          </cell>
          <cell r="G4" t="str">
            <v xml:space="preserve">MADE BY   :    </v>
          </cell>
          <cell r="I4" t="str">
            <v>T,Y,PARK</v>
          </cell>
        </row>
        <row r="5">
          <cell r="G5" t="str">
            <v xml:space="preserve">CHK'D BY  :    </v>
          </cell>
          <cell r="I5" t="str">
            <v>.</v>
          </cell>
        </row>
        <row r="7">
          <cell r="A7" t="str">
            <v>NO.</v>
          </cell>
          <cell r="B7" t="str">
            <v>REQ'D</v>
          </cell>
          <cell r="D7" t="str">
            <v>SIZE</v>
          </cell>
          <cell r="F7" t="str">
            <v xml:space="preserve">                             DESCRIPTION</v>
          </cell>
          <cell r="G7" t="str">
            <v>UNIT COST</v>
          </cell>
          <cell r="I7" t="str">
            <v>EXTENSION</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본지점중"/>
      <sheetName val="결산대"/>
      <sheetName val="Sheet1 (3)"/>
      <sheetName val="선급금 (2)"/>
      <sheetName val="Sheet1 (2)"/>
      <sheetName val="당좌예금"/>
      <sheetName val="공사집계"/>
      <sheetName val="개시전표"/>
      <sheetName val="수입"/>
      <sheetName val="외자재 현황"/>
      <sheetName val="w't table"/>
      <sheetName val="crude.SLAB RE-bar"/>
      <sheetName val="CRUDE RE-bar"/>
      <sheetName val="견적"/>
      <sheetName val="INSTR"/>
      <sheetName val="97 사업추정(WEKI)"/>
      <sheetName val="공사비 내역 (가)"/>
      <sheetName val="TT 매입율"/>
      <sheetName val="eq_data"/>
      <sheetName val="간접비총괄 (2)"/>
      <sheetName val="Tender"/>
      <sheetName val="DESCRIPTION"/>
      <sheetName val="KP1590_E"/>
      <sheetName val="TUAS"/>
      <sheetName val="변수데이타"/>
      <sheetName val="간접비 총괄표"/>
      <sheetName val="BQ List"/>
      <sheetName val="IT-BAT"/>
      <sheetName val="24.보증금(전신전화가입권)"/>
      <sheetName val="비교"/>
      <sheetName val="COMPARISON TABLE"/>
      <sheetName val="M1"/>
      <sheetName val="BRICK"/>
      <sheetName val="총괄표"/>
      <sheetName val="집계표"/>
      <sheetName val="자료"/>
      <sheetName val="Details"/>
      <sheetName val="상반기손익차2총괄"/>
      <sheetName val="plan&amp;section of foundation"/>
      <sheetName val="design load"/>
      <sheetName val="working load at the btm ft."/>
      <sheetName val="stability check"/>
      <sheetName val="design criteria"/>
      <sheetName val="지역-가마감"/>
      <sheetName val="영업소실적"/>
      <sheetName val="1-11조직표"/>
      <sheetName val="수리결과"/>
      <sheetName val="영업.일1"/>
      <sheetName val="VC2 8.98"/>
      <sheetName val="9-1차이내역"/>
      <sheetName val="공통부대비"/>
      <sheetName val="Sheet1_(3)"/>
      <sheetName val="선급금_(2)"/>
      <sheetName val="Sheet1_(2)"/>
      <sheetName val="외자재_현황"/>
      <sheetName val="97_사업추정(WEKI)"/>
      <sheetName val="공사비_내역_(가)"/>
      <sheetName val="TT_매입율"/>
      <sheetName val="w't_table"/>
      <sheetName val="crude_SLAB_RE-bar"/>
      <sheetName val="CRUDE_RE-bar"/>
      <sheetName val="간접비총괄_(2)"/>
      <sheetName val="간접비_총괄표"/>
      <sheetName val="BQ_List"/>
      <sheetName val="COMPARISON_TABLE"/>
      <sheetName val="24_보증금(전신전화가입권)"/>
      <sheetName val="적용기준"/>
      <sheetName val="설계조건"/>
      <sheetName val="개시대사 (2)"/>
      <sheetName val="CIV"/>
      <sheetName val="TDC COA Sumry"/>
      <sheetName val="COA Sumry by Area"/>
      <sheetName val="COA Sumry by Contr"/>
      <sheetName val="COA Sumry by RG"/>
      <sheetName val="TDC COA Grp Sumry"/>
      <sheetName val="TDC Item Dets-Full"/>
      <sheetName val="TDC Item Dets"/>
      <sheetName val="TDC Item Sumry"/>
      <sheetName val="TDC Key Qty Sumry"/>
      <sheetName val="List - Components"/>
      <sheetName val="List - Equipment"/>
      <sheetName val="COA Sumry - Std Imp"/>
      <sheetName val="Contr TDC - Std Imp"/>
      <sheetName val="Item Sumry - Std Imp"/>
      <sheetName val="Proj TIC - Std Imp"/>
      <sheetName val="Project Metrics"/>
      <sheetName val="Unit Costs - Std Imp"/>
      <sheetName val="Unit MH - Std Imp"/>
      <sheetName val="استخراج"/>
      <sheetName val="95삼성급(본사)"/>
    </sheetNames>
    <sheetDataSet>
      <sheetData sheetId="0" refreshError="1"/>
      <sheetData sheetId="1"/>
      <sheetData sheetId="2"/>
      <sheetData sheetId="3"/>
      <sheetData sheetId="4"/>
      <sheetData sheetId="5"/>
      <sheetData sheetId="6"/>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F_DCI"/>
      <sheetName val="MECH_DCI"/>
      <sheetName val="HVAC_DCI"/>
      <sheetName val="PIPE_DCI"/>
      <sheetName val="ELEC_DCI"/>
      <sheetName val="INST_DCI"/>
      <sheetName val="CIVIL_DCI"/>
      <sheetName val="BLDG_DCI"/>
      <sheetName val="BLDG_MCI"/>
      <sheetName val="97 사업추정(WEKI)"/>
      <sheetName val="설계조건"/>
      <sheetName val="BB2현대건설견적"/>
      <sheetName val="h_013211_2"/>
      <sheetName val="h-013211-2"/>
      <sheetName val="투입실적"/>
      <sheetName val="전력"/>
      <sheetName val="견적의뢰"/>
      <sheetName val="Resource summary"/>
      <sheetName val="9-1차이내역"/>
      <sheetName val="상반기손익차2총괄"/>
      <sheetName val="REINF."/>
      <sheetName val="LOADS"/>
      <sheetName val="crude.SLAB RE-bar"/>
      <sheetName val="CRUDE RE-bar"/>
      <sheetName val="도"/>
      <sheetName val="ACTDATA"/>
      <sheetName val="수입"/>
      <sheetName val="labor"/>
      <sheetName val="환율"/>
      <sheetName val="Lookup"/>
      <sheetName val="area-table"/>
      <sheetName val="Thk-table"/>
      <sheetName val="DCI_010419"/>
      <sheetName val="일위대가"/>
      <sheetName val="LinerWt"/>
      <sheetName val="ISO"/>
      <sheetName val="LEGEND"/>
      <sheetName val="Assumptions"/>
      <sheetName val="VESSEL Sh. 1"/>
      <sheetName val="전기일위대가"/>
      <sheetName val="VA_code"/>
      <sheetName val="CAT_5"/>
      <sheetName val="대비"/>
      <sheetName val="Data"/>
      <sheetName val="Estimate"/>
      <sheetName val="Major"/>
      <sheetName val="Sheet1"/>
      <sheetName val="인원계획"/>
      <sheetName val="Cover"/>
      <sheetName val="eq_data"/>
      <sheetName val="세금자료"/>
      <sheetName val="경제지표"/>
      <sheetName val="PRO_A"/>
      <sheetName val="DWG"/>
      <sheetName val="ELEC_MCI"/>
      <sheetName val="MAIN"/>
      <sheetName val="INST_MCI"/>
      <sheetName val="MECH_MCI"/>
      <sheetName val="PRO"/>
      <sheetName val="97_사업추정(WEKI)"/>
      <sheetName val="97_사업추정(WEKI)1"/>
      <sheetName val="가도공"/>
      <sheetName val="PRO_DCI"/>
      <sheetName val="hvac(제어동)"/>
      <sheetName val="ITB COST"/>
      <sheetName val="REINF_"/>
      <sheetName val="SKETCH"/>
      <sheetName val="단가"/>
      <sheetName val="DESCRIPTION"/>
      <sheetName val="BM DATA SHEET"/>
      <sheetName val="PRICING SUMMARY"/>
      <sheetName val="plan&amp;section of foundation"/>
      <sheetName val="design criteria"/>
      <sheetName val="내역"/>
      <sheetName val="cable"/>
      <sheetName val="KP1590_E"/>
      <sheetName val="CODE"/>
      <sheetName val="정부노임단가"/>
      <sheetName val="Stl Backup"/>
      <sheetName val="WBS Split"/>
      <sheetName val="#REF"/>
      <sheetName val="내역서"/>
      <sheetName val="Bach Dang"/>
      <sheetName val="3.1.Breakdown CIVIL "/>
      <sheetName val="steel-gr"/>
      <sheetName val="Calc"/>
      <sheetName val="Report_Pur"/>
    </sheetNames>
    <sheetDataSet>
      <sheetData sheetId="0" refreshError="1"/>
      <sheetData sheetId="1" refreshError="1"/>
      <sheetData sheetId="2"/>
      <sheetData sheetId="3" refreshError="1"/>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nual"/>
      <sheetName val="equipment"/>
      <sheetName val="eq_data"/>
      <sheetName val="out_put"/>
      <sheetName val="drawing"/>
      <sheetName val="Loading"/>
      <sheetName val="Sheet1"/>
      <sheetName val="Sheet2"/>
      <sheetName val="Sheet3"/>
      <sheetName val="ELEC_DCI"/>
      <sheetName val="INST_DCI"/>
      <sheetName val="개시대사 (2)"/>
      <sheetName val="h-013211-2"/>
    </sheetNames>
    <sheetDataSet>
      <sheetData sheetId="0"/>
      <sheetData sheetId="1"/>
      <sheetData sheetId="2" refreshError="1"/>
      <sheetData sheetId="3"/>
      <sheetData sheetId="4"/>
      <sheetData sheetId="5"/>
      <sheetData sheetId="6"/>
      <sheetData sheetId="7"/>
      <sheetData sheetId="8"/>
      <sheetData sheetId="9" refreshError="1"/>
      <sheetData sheetId="10" refreshError="1"/>
      <sheetData sheetId="11" refreshError="1"/>
      <sheetData sheetId="12"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7 사업추정(WEKI)"/>
      <sheetName val="97 사업추정_WEKI_"/>
      <sheetName val="9-1차이내역"/>
      <sheetName val="PumpSpec"/>
      <sheetName val="투찰가"/>
      <sheetName val="수량집계"/>
      <sheetName val="총괄집계표"/>
      <sheetName val="상반기손익차2총괄"/>
      <sheetName val="97SAUPCU"/>
      <sheetName val="RCF CLAIMED"/>
      <sheetName val="Expat Conditions"/>
      <sheetName val="eq_data"/>
      <sheetName val="수입"/>
      <sheetName val="손익차9월2"/>
      <sheetName val="시행예산"/>
      <sheetName val="단면가정"/>
      <sheetName val="fitting"/>
      <sheetName val="VENDOR LIST"/>
      <sheetName val="공통비"/>
      <sheetName val="95삼성급(본사)"/>
      <sheetName val="Total"/>
      <sheetName val="ITB COST"/>
      <sheetName val="영업소실적"/>
      <sheetName val="환율"/>
      <sheetName val="TTL"/>
      <sheetName val="터널조도"/>
      <sheetName val="정부노임단가"/>
      <sheetName val="PBS"/>
      <sheetName val="SILICATE"/>
      <sheetName val="h-013211-2"/>
      <sheetName val="main-sht"/>
      <sheetName val="요약배부"/>
      <sheetName val="주관사업"/>
      <sheetName val="Summary Sheets"/>
      <sheetName val="AP1"/>
      <sheetName val="Sheet1"/>
      <sheetName val="PRO_A"/>
      <sheetName val="ELEC_MCI"/>
      <sheetName val="MAIN"/>
      <sheetName val="INST_MCI"/>
      <sheetName val="MECH_MCI"/>
      <sheetName val="PRO"/>
      <sheetName val="Regenerator  Concrete Structure"/>
      <sheetName val="단가비교(TOTAL)"/>
      <sheetName val="Option"/>
      <sheetName val="Graph (LGEN)"/>
      <sheetName val="out_prog"/>
      <sheetName val="선적schedule (2)"/>
      <sheetName val="VA_code"/>
      <sheetName val="97 »ç¾÷ÃßÁ¤(WEKI)"/>
      <sheetName val="Sheet5"/>
      <sheetName val="사업부배부A"/>
      <sheetName val="unit 4"/>
      <sheetName val="J直材4"/>
      <sheetName val="N賃率-職"/>
      <sheetName val="소화실적"/>
      <sheetName val="청산공사"/>
      <sheetName val="Sheet2"/>
      <sheetName val="#REF"/>
      <sheetName val="EACT10"/>
      <sheetName val="일위대가"/>
      <sheetName val="직노"/>
      <sheetName val="Sheet4"/>
      <sheetName val="현금"/>
      <sheetName val="97 ????(WEKI)"/>
      <sheetName val="간접비 총괄표"/>
      <sheetName val="공사비 내역 (가)"/>
      <sheetName val="무전표"/>
      <sheetName val="Steam-Sys"/>
      <sheetName val="인원계획"/>
      <sheetName val="보온자재단가표"/>
      <sheetName val="Rekap A"/>
      <sheetName val="대비내역"/>
      <sheetName val="DOC"/>
      <sheetName val="BM DATA SHEET"/>
      <sheetName val="VL"/>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essels"/>
      <sheetName val="Aircoolers"/>
      <sheetName val="Pumps "/>
      <sheetName val="Auxiliaries"/>
      <sheetName val="AGITATOR"/>
      <sheetName val="eq_data"/>
      <sheetName val="본지점중"/>
    </sheetNames>
    <sheetDataSet>
      <sheetData sheetId="0" refreshError="1"/>
      <sheetData sheetId="1" refreshError="1"/>
      <sheetData sheetId="2" refreshError="1"/>
      <sheetData sheetId="3" refreshError="1"/>
      <sheetData sheetId="4" refreshError="1"/>
      <sheetData sheetId="5" refreshError="1"/>
      <sheetData sheetId="6"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영업소실적"/>
      <sheetName val="손익차9월2"/>
      <sheetName val="Basic"/>
      <sheetName val="eq_data"/>
      <sheetName val="TOTAL"/>
      <sheetName val="Equipment"/>
      <sheetName val="Piping"/>
      <sheetName val="수입"/>
      <sheetName val="97 사업추정(WEKI)"/>
      <sheetName val="상반기손익차2총괄"/>
      <sheetName val="E_Rate "/>
      <sheetName val="환율"/>
      <sheetName val="집계표(OPTION)"/>
      <sheetName val="주관사업"/>
      <sheetName val="data_dci"/>
      <sheetName val="data_mci"/>
      <sheetName val="behind"/>
      <sheetName val="Main"/>
      <sheetName val="배부981"/>
      <sheetName val="B"/>
      <sheetName val="적용환율"/>
      <sheetName val="PumpSpec"/>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umpSpec"/>
      <sheetName val="Motor Rating"/>
      <sheetName val="INSTR"/>
      <sheetName val="Sheet2"/>
      <sheetName val="Sheet1"/>
      <sheetName val="PRO_A"/>
      <sheetName val="DWG"/>
      <sheetName val="ELEC_MCI"/>
      <sheetName val="MAIN"/>
      <sheetName val="INST_MCI"/>
      <sheetName val="MECH_MCI"/>
      <sheetName val="PRO"/>
      <sheetName val="h-013211-2"/>
      <sheetName val="영업소실적"/>
      <sheetName val="수량산출서"/>
      <sheetName val="eq_data"/>
      <sheetName val="Checks"/>
      <sheetName val="LOOKUP"/>
      <sheetName val="TIE-INS"/>
      <sheetName val="환율"/>
      <sheetName val="Graph (LGEN)"/>
      <sheetName val="out_prog"/>
      <sheetName val="선적schedule (2)"/>
      <sheetName val="Basic"/>
      <sheetName val="정부노임단가"/>
      <sheetName val="item I"/>
      <sheetName val="BQ List"/>
      <sheetName val="Instruction"/>
      <sheetName val="piping"/>
      <sheetName val="BM"/>
      <sheetName val="Motor_Rating"/>
      <sheetName val="적용환율"/>
      <sheetName val="할증 "/>
      <sheetName val="Database"/>
      <sheetName val="SUMMARY"/>
      <sheetName val="motor pump kw"/>
      <sheetName val="look"/>
      <sheetName val="Equipment"/>
      <sheetName val="97 사업추정(WEKI)"/>
      <sheetName val="Wt of Mod."/>
      <sheetName val="공사내역"/>
      <sheetName val="Total"/>
      <sheetName val="mhr"/>
      <sheetName val="mom"/>
      <sheetName val="mhrscaff"/>
      <sheetName val="ind"/>
      <sheetName val="Lookup Table"/>
      <sheetName val="TABLE2"/>
      <sheetName val="집계표"/>
      <sheetName val="금액내역서"/>
      <sheetName val="공사비_NDE"/>
      <sheetName val="E_Rate "/>
      <sheetName val="견적내역서"/>
      <sheetName val="PRO_DCI"/>
      <sheetName val="Overview"/>
      <sheetName val="Basis"/>
      <sheetName val="집계"/>
      <sheetName val="Conduit"/>
      <sheetName val="ASME B 36.10 M"/>
      <sheetName val="내역"/>
      <sheetName val="외주가공"/>
      <sheetName val="수입"/>
      <sheetName val="INST_DCI"/>
      <sheetName val="HVAC_DCI"/>
      <sheetName val="PIPE_DCI"/>
      <sheetName val="표지"/>
      <sheetName val="A"/>
      <sheetName val="BM DATA SHEET"/>
      <sheetName val="Steam-Sys"/>
      <sheetName val="직원동원SCH"/>
      <sheetName val="IO"/>
      <sheetName val="DUPA-Raceways"/>
      <sheetName val="SILICATE"/>
      <sheetName val="Motor_Rating1"/>
      <sheetName val="Graph_(LGEN)"/>
      <sheetName val="선적schedule_(2)"/>
      <sheetName val="BQ_List"/>
      <sheetName val="할증_"/>
      <sheetName val="costing_CV"/>
      <sheetName val="costing_ESDV"/>
      <sheetName val="costing_FE"/>
      <sheetName val="costing_Misc"/>
      <sheetName val="costing_MOV"/>
      <sheetName val="costing_Press"/>
      <sheetName val="Motor_Rating2"/>
      <sheetName val="Graph_(LGEN)1"/>
      <sheetName val="선적schedule_(2)1"/>
      <sheetName val="BQ_List1"/>
      <sheetName val="할증_1"/>
      <sheetName val="Notes for BOQ"/>
      <sheetName val="4K - (6a) Non Manual Breakdown"/>
      <sheetName val="견적기준"/>
      <sheetName val="DATA"/>
      <sheetName val="C급보 "/>
      <sheetName val="Module Wt"/>
      <sheetName val="ACTDATA"/>
      <sheetName val="FORCE"/>
      <sheetName val="SOURCE"/>
      <sheetName val="KP1590_E"/>
      <sheetName val="P1- General"/>
      <sheetName val="고자현황"/>
      <sheetName val="지표산출"/>
      <sheetName val="견적의뢰"/>
      <sheetName val="Summary Sheets"/>
      <sheetName val="Lab-Rate"/>
      <sheetName val="SITE EST"/>
      <sheetName val="system &amp; LOOK_UP_FUNC"/>
      <sheetName val="General Data"/>
      <sheetName val="Base_Data"/>
      <sheetName val="대비"/>
      <sheetName val="Resource"/>
      <sheetName val="ELEC_DCI"/>
      <sheetName val="Resource summary"/>
      <sheetName val="COVER"/>
      <sheetName val="예산서"/>
      <sheetName val="FACTOR"/>
      <sheetName val="6,000"/>
      <sheetName val="토목주소"/>
      <sheetName val="프랜트면허"/>
      <sheetName val="일위대가"/>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013211-2"/>
      <sheetName val="h-013201-2"/>
      <sheetName val="h-113003-3"/>
      <sheetName val="h-213002-3"/>
      <sheetName val="h-13101-3"/>
      <sheetName val="h-013001-3"/>
      <sheetName val="013301-2"/>
      <sheetName val="h-013202-2"/>
      <sheetName val="Total"/>
      <sheetName val="PumpSpec"/>
      <sheetName val="Testing"/>
      <sheetName val="h_013211_2"/>
      <sheetName val="design criteria"/>
      <sheetName val="working load at the btm ft_"/>
      <sheetName val="plan_section of foundation"/>
      <sheetName val="member design"/>
      <sheetName val="soil bearing check"/>
      <sheetName val="TO  MEST"/>
      <sheetName val="TRANSPORT"/>
      <sheetName val="Est-Trench1"/>
      <sheetName val="PRO_DCI"/>
      <sheetName val="INST_DCI"/>
      <sheetName val="HVAC_DCI"/>
      <sheetName val="PIPE_DCI"/>
      <sheetName val="Proposal"/>
      <sheetName val="mhrrate"/>
      <sheetName val="Ind"/>
      <sheetName val="직원동원SCH"/>
      <sheetName val="영업소실적"/>
      <sheetName val="Sheet1"/>
      <sheetName val="AABS내역"/>
      <sheetName val="Main Code"/>
      <sheetName val="Sheet4"/>
      <sheetName val="집계표(OPTION)"/>
      <sheetName val="간접비내역-1"/>
      <sheetName val="ELEC_DCI"/>
      <sheetName val="eq_data"/>
      <sheetName val="BM DATA SHEET"/>
      <sheetName val="변수데이타"/>
      <sheetName val="C급보 "/>
      <sheetName val="집계표"/>
      <sheetName val="BQ List"/>
      <sheetName val="INSTR"/>
      <sheetName val="정부노임단가"/>
      <sheetName val="Sheet2"/>
      <sheetName val="할증 "/>
      <sheetName val="공사내역"/>
      <sheetName val="PHALAIDUCT "/>
      <sheetName val="개시대사 (2)"/>
      <sheetName val="RENUN"/>
      <sheetName val="설계조건"/>
      <sheetName val="단면검토"/>
      <sheetName val="CAT_5"/>
      <sheetName val="2월가격"/>
      <sheetName val="사업계획"/>
      <sheetName val="TOEC"/>
      <sheetName val="Define"/>
      <sheetName val="DESIGN"/>
      <sheetName val="OCT.FDN"/>
      <sheetName val="INSPECTOR (EPC-1)"/>
      <sheetName val="analisa"/>
      <sheetName val="Base_Data"/>
      <sheetName val="투입실적"/>
      <sheetName val="Pipe Classes"/>
      <sheetName val="SPEC"/>
      <sheetName val="Basic"/>
      <sheetName val="견적기준"/>
      <sheetName val="DATA"/>
      <sheetName val="REINF."/>
      <sheetName val="LOADS"/>
      <sheetName val="CHECK1"/>
      <sheetName val="MAIN"/>
      <sheetName val="PRO_A"/>
      <sheetName val="PRO"/>
      <sheetName val="Cover"/>
      <sheetName val="최민영집계25"/>
      <sheetName val="Rekap A"/>
      <sheetName val="piping"/>
      <sheetName val="VL"/>
      <sheetName val="Cash2"/>
      <sheetName val="Z"/>
      <sheetName val="일위대가표(DEEP)"/>
      <sheetName val="영업2"/>
      <sheetName val="Ox-Air"/>
      <sheetName val="인원현황"/>
      <sheetName val="수입"/>
      <sheetName val="Instruction"/>
      <sheetName val="NEWDRAW"/>
      <sheetName val="Hangers"/>
      <sheetName val="Read Me"/>
      <sheetName val="Tbl"/>
      <sheetName val="자동이름-삽입-시트"/>
      <sheetName val="3.현장배치"/>
      <sheetName val="plan&amp;section of foundation"/>
      <sheetName val="U+SRU 5UG"/>
      <sheetName val="ECC Master Title"/>
      <sheetName val="SE-611"/>
      <sheetName val="개시전표"/>
      <sheetName val="연돌일위집계"/>
      <sheetName val="상반기손익차2총괄"/>
      <sheetName val="ACTDATA"/>
      <sheetName val="95삼성급(본사)"/>
      <sheetName val="생산계획"/>
      <sheetName val="BQ"/>
      <sheetName val="EQUIP"/>
      <sheetName val="131COMP"/>
      <sheetName val="인원동원계획"/>
      <sheetName val="BQMPALOC"/>
      <sheetName val="steam table"/>
      <sheetName val="갑지"/>
      <sheetName val="PUMP"/>
      <sheetName val="산근"/>
      <sheetName val="#REF"/>
      <sheetName val="PROCURE"/>
      <sheetName val="ITstk"/>
      <sheetName val="PI"/>
      <sheetName val="jobhist"/>
      <sheetName val="PipWT"/>
      <sheetName val="INPUT DATA"/>
      <sheetName val="Summary Sheets"/>
      <sheetName val="cal"/>
      <sheetName val="내역서"/>
      <sheetName val="7.6.3(B) UG Piping"/>
      <sheetName val="수량산출서"/>
      <sheetName val="BOQ"/>
      <sheetName val=" Sum"/>
      <sheetName val="LOOKUP"/>
      <sheetName val="ANALYSER"/>
      <sheetName val="SPrep_E4TK(R187)"/>
      <sheetName val="U00"/>
      <sheetName val="U01"/>
      <sheetName val="U02"/>
      <sheetName val="U03"/>
      <sheetName val="U06"/>
      <sheetName val="U07"/>
      <sheetName val="U08"/>
      <sheetName val="U09"/>
      <sheetName val="U10"/>
      <sheetName val="U11"/>
      <sheetName val="U13"/>
      <sheetName val="U21"/>
      <sheetName val="U25"/>
      <sheetName val="U26"/>
      <sheetName val="U29"/>
      <sheetName val="U30"/>
      <sheetName val="U31_Base"/>
      <sheetName val="U40"/>
      <sheetName val="U42"/>
      <sheetName val="U43"/>
      <sheetName val="U45"/>
      <sheetName val="U47"/>
      <sheetName val="U48"/>
      <sheetName val="U60"/>
      <sheetName val="말뚝물량"/>
      <sheetName val="8.현장관리비"/>
      <sheetName val="7.안전관리비"/>
      <sheetName val="노임단가"/>
      <sheetName val="w't table"/>
      <sheetName val="CondPol"/>
      <sheetName val="경제지표"/>
      <sheetName val="세금자료"/>
      <sheetName val="cable"/>
      <sheetName val="DESIGN(77C-102A)-2"/>
      <sheetName val="RFP007"/>
      <sheetName val="0.갑지"/>
      <sheetName val="제출sche(Basic)"/>
      <sheetName val="5"/>
      <sheetName val="Database"/>
      <sheetName val="Gia vat tu"/>
      <sheetName val="PDS U-1400"/>
      <sheetName val="Summary"/>
      <sheetName val="대치판정"/>
      <sheetName val="AILC004"/>
      <sheetName val="MR"/>
      <sheetName val="EQT-ESTN"/>
      <sheetName val="ZAR SAZ"/>
      <sheetName val="Unit 49_분개표"/>
      <sheetName val="Unit 76_분개표"/>
      <sheetName val="Macro"/>
      <sheetName val="Taux"/>
      <sheetName val="rates"/>
      <sheetName val="구조물철거타공정이월"/>
      <sheetName val="HVAC"/>
      <sheetName val="Seals"/>
      <sheetName val="4K - (6a) Non Manual Breakdown"/>
      <sheetName val="투입인력"/>
      <sheetName val="wagerate"/>
      <sheetName val="IT-BAT"/>
      <sheetName val="Lab-Rate"/>
      <sheetName val="SITE EST"/>
      <sheetName val="단중표"/>
      <sheetName val="TABLE2-2 OSBL-(SITE PREP)"/>
      <sheetName val="견적의뢰"/>
      <sheetName val="B"/>
      <sheetName val="TANK"/>
      <sheetName val="nde_request"/>
      <sheetName val="Piping(Methanol)"/>
      <sheetName val="공사비 내역 (가)"/>
      <sheetName val="요약배부"/>
      <sheetName val="주관사업"/>
      <sheetName val="내역"/>
      <sheetName val="DATE"/>
      <sheetName val="12CGOU"/>
      <sheetName val="X17-TOTAL"/>
      <sheetName val="간접비 총괄표"/>
      <sheetName val="PAINT"/>
      <sheetName val="공정계획(내부계획25%,내부w.f)"/>
      <sheetName val="VC2 8.98"/>
      <sheetName val="FDM TOT"/>
      <sheetName val="단중표-ST"/>
      <sheetName val="UnitList"/>
      <sheetName val="CIVIL WORK"/>
      <sheetName val="96.12"/>
      <sheetName val="직원동원계획"/>
      <sheetName val="REDUCER"/>
      <sheetName val="WE'T"/>
      <sheetName val="Factor"/>
      <sheetName val="98TSON4A"/>
      <sheetName val="환율"/>
      <sheetName val="인원계획"/>
      <sheetName val="물량집계(전기)"/>
      <sheetName val="물량집계(계장)"/>
      <sheetName val="예산M12A"/>
      <sheetName val="TYPE-B 평균H"/>
      <sheetName val="RFP009"/>
      <sheetName val="FJK 0"/>
      <sheetName val="본지점중"/>
      <sheetName val="data_dci"/>
      <sheetName val="data_mci"/>
      <sheetName val="CODE"/>
      <sheetName val="costing_CV"/>
      <sheetName val="토목"/>
      <sheetName val="공사비예산서(토목분)"/>
      <sheetName val="PIPE"/>
      <sheetName val="DESIGN CRETERIA"/>
      <sheetName val="COVERSHEET"/>
      <sheetName val="DESIGN_CRETERIA"/>
      <sheetName val="Graph (LGEN)"/>
      <sheetName val="out_prog"/>
      <sheetName val="선적schedule (2)"/>
      <sheetName val="조도계산서 (도서)"/>
      <sheetName val="배수내역"/>
      <sheetName val="tank3"/>
      <sheetName val="2.2 STAFF Scedule"/>
      <sheetName val="대비표"/>
      <sheetName val="焊工状态表"/>
      <sheetName val="예총"/>
      <sheetName val="D-3109"/>
      <sheetName val="뜃맟뭁돽띿맟?-BLDG"/>
      <sheetName val="BREAKDOWN(신규설치)"/>
      <sheetName val="SUMMARY_철거"/>
      <sheetName val="BREAKDOWN(철거설치)"/>
      <sheetName val="Default"/>
      <sheetName val="breakdown"/>
      <sheetName val="INPUT_DATA"/>
      <sheetName val="Summary_Sheets"/>
      <sheetName val="7_6_3(B)_UG_Piping"/>
      <sheetName val="PHALAIDUCT_"/>
      <sheetName val="_Sum"/>
      <sheetName val="DB@Acess"/>
      <sheetName val="Civil"/>
      <sheetName val="Quantity"/>
      <sheetName val="97 사업추정(WEKI)"/>
      <sheetName val="TTL"/>
      <sheetName val="뜃맟뭁돽띿맟_-BLDG"/>
      <sheetName val="TUAS"/>
      <sheetName val="회사99"/>
      <sheetName val="기성내역"/>
      <sheetName val="표지"/>
      <sheetName val="7.5.2 BOQ Summary "/>
      <sheetName val="실행"/>
      <sheetName val="DO AM D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sheetData sheetId="255"/>
      <sheetData sheetId="256"/>
      <sheetData sheetId="257"/>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견적조건(국내가)"/>
      <sheetName val="견적조건(PROPOSAL)"/>
      <sheetName val="Table"/>
      <sheetName val="DOMESTIC"/>
      <sheetName val="PIVOT"/>
      <sheetName val="SUMMARY"/>
      <sheetName val="Proposal"/>
      <sheetName val="PIVOT (2)"/>
      <sheetName val="SUMMARY (2)"/>
      <sheetName val="PUMP"/>
      <sheetName val="수량집계"/>
      <sheetName val="총괄집계표"/>
      <sheetName val="PBS"/>
      <sheetName val="PumpSpec"/>
      <sheetName val="BQ"/>
      <sheetName val="내역"/>
      <sheetName val="노임"/>
      <sheetName val="기본단가"/>
      <sheetName val="eq_data"/>
      <sheetName val="예산M12A"/>
      <sheetName val="EQUIPMENT"/>
      <sheetName val="영업소실적"/>
      <sheetName val="EQCOST_1"/>
      <sheetName val="Basic"/>
      <sheetName val="Piping"/>
      <sheetName val="#2_일위대가목록"/>
      <sheetName val="test1"/>
      <sheetName val="Concrete_Works"/>
      <sheetName val="Earth_Zim"/>
      <sheetName val="적용환율"/>
      <sheetName val="Sheet4"/>
      <sheetName val="Sheet5"/>
      <sheetName val="Main"/>
      <sheetName val="Data"/>
      <sheetName val="말뚝물량"/>
      <sheetName val="목록"/>
      <sheetName val="General Data"/>
      <sheetName val="BM"/>
      <sheetName val="Sheet1"/>
      <sheetName val="도"/>
      <sheetName val="노임단가"/>
      <sheetName val="Proposal?_x0008_"/>
      <sheetName val="Proposal?."/>
      <sheetName val="CAL."/>
      <sheetName val="Nuayyi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VITY"/>
    </sheetNames>
    <definedNames>
      <definedName name="GoForm"/>
      <definedName name="GoSpec"/>
      <definedName name="GoTop"/>
    </definedNames>
    <sheetDataSet>
      <sheetData sheetId="0"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EG. CONDITION"/>
      <sheetName val="견적 조건"/>
      <sheetName val="Table"/>
      <sheetName val="BQ"/>
      <sheetName val="가설전기"/>
      <sheetName val="Pivot"/>
      <sheetName val="SUMMARY"/>
      <sheetName val="정부노임단가"/>
      <sheetName val="OCT.FDN"/>
      <sheetName val="도급양식"/>
      <sheetName val="Proposal"/>
      <sheetName val="ZA0092-E0"/>
      <sheetName val="cable"/>
      <sheetName val="D-3503"/>
      <sheetName val="공사비 내역 (가)"/>
      <sheetName val="Y-WORK"/>
      <sheetName val="조도계산서 (도서)"/>
      <sheetName val="계산근거"/>
      <sheetName val="일위대가목록"/>
      <sheetName val="BM"/>
      <sheetName val="TICI Indirects"/>
      <sheetName val="Sheet1"/>
      <sheetName val="UOP 508 PG 2-9"/>
      <sheetName val="BQ?월23일 10시40분)."/>
      <sheetName val="일위대가"/>
      <sheetName val="CAL."/>
      <sheetName val="회사99"/>
      <sheetName val="SE-611"/>
    </sheetNames>
    <sheetDataSet>
      <sheetData sheetId="0"/>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L-3003C"/>
      <sheetName val="FIL-3003R"/>
      <sheetName val="정부노임단가"/>
    </sheetNames>
    <sheetDataSet>
      <sheetData sheetId="0"/>
      <sheetData sheetId="1"/>
      <sheetData sheetId="2"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51"/>
      <sheetName val="사업본부별"/>
      <sheetName val="9월(일별)"/>
      <sheetName val="9월(현장별)"/>
      <sheetName val="10월(일별)"/>
      <sheetName val="10월(현장별)"/>
      <sheetName val="11월(일별) "/>
      <sheetName val="11월(현장별)"/>
      <sheetName val="11월(어음결재)"/>
      <sheetName val="12월(일별) "/>
      <sheetName val="12월(현장별)"/>
      <sheetName val="12월(어음결재)"/>
      <sheetName val="shn"/>
      <sheetName val="상환스케쥴"/>
      <sheetName val="상환총괄"/>
      <sheetName val="양도자산부채"/>
      <sheetName val="지원사항1"/>
      <sheetName val="지원사항 2"/>
      <sheetName val="지원사항3"/>
      <sheetName val="연도별수주계획"/>
      <sheetName val="동종업계"/>
      <sheetName val="#REF"/>
      <sheetName val="List"/>
      <sheetName val="Field Change Notice"/>
      <sheetName val="waiver request"/>
      <sheetName val="ENWA(OUT)"/>
      <sheetName val="from KNPC"/>
      <sheetName val="HDEC Site Memo"/>
      <sheetName val="KNPC Site Memo"/>
      <sheetName val="from HDEC"/>
      <sheetName val="7.6.3.BOQ"/>
      <sheetName val="7.6.3(A) AG Piping"/>
      <sheetName val="7.6.3(B) UG Piping"/>
      <sheetName val="7.6.3(C) INSUL"/>
      <sheetName val="7.6.3(D) PAINT"/>
      <sheetName val="7.6.3(E) NDE"/>
      <sheetName val="7.6.3(F) Sup't"/>
      <sheetName val="7.6.3(G) CHEMICAL CL"/>
      <sheetName val="7.6.3(H) Steam"/>
      <sheetName val="DCN Status "/>
      <sheetName val="FCN Status"/>
      <sheetName val="packing cover"/>
      <sheetName val="packing list"/>
      <sheetName val="Invoice cover"/>
      <sheetName val="invoice"/>
      <sheetName val="Content"/>
      <sheetName val="7.5.1(A) Data"/>
      <sheetName val="7.5.1(B) BOQ Breakdown"/>
      <sheetName val="7.5.1(C) Scope"/>
      <sheetName val="7.5.1(D) Basis"/>
      <sheetName val="7.5.1(E) Allowance"/>
      <sheetName val="7.5.2 BOQ Summary"/>
      <sheetName val="7.5.3 BOQ"/>
      <sheetName val="A. Erec_BOQ(Shop)"/>
      <sheetName val="B. Erec_BOQ(Field)"/>
      <sheetName val="C. Surface_Protection"/>
      <sheetName val="A. Erec_BOQ(Shop) (2)"/>
      <sheetName val="B. Erec_BOQ(Field) (2)"/>
      <sheetName val="C. Surf_Protection"/>
      <sheetName val="Attachment #1"/>
      <sheetName val="Attachment #2"/>
      <sheetName val="301"/>
      <sheetName val="302 C1"/>
      <sheetName val="302 C2"/>
      <sheetName val="302"/>
      <sheetName val="SUPPLY (2)"/>
      <sheetName val="RETURN (2)"/>
      <sheetName val="SUPPLY"/>
      <sheetName val="RETURN"/>
      <sheetName val="303"/>
      <sheetName val="303 (2)"/>
      <sheetName val="304"/>
      <sheetName val="305"/>
      <sheetName val="306"/>
      <sheetName val="307"/>
      <sheetName val="308"/>
      <sheetName val="308 (2)"/>
      <sheetName val="309"/>
      <sheetName val="309 (2)"/>
      <sheetName val="Sheet2"/>
      <sheetName val="작성요약"/>
      <sheetName val="표지"/>
      <sheetName val="목차"/>
      <sheetName val="1.사업개요"/>
      <sheetName val="2.총괄표"/>
      <sheetName val="3.설계총괄(확정)"/>
      <sheetName val="3.전문외주(확정)"/>
      <sheetName val="3.설계총괄(정산)"/>
      <sheetName val="3.전문외주(정산)"/>
      <sheetName val="전문외주비 (Third Party)"/>
      <sheetName val="4.인력(확정)"/>
      <sheetName val="4.인력(조정)"/>
      <sheetName val="4.인력(정산)"/>
      <sheetName val="5.경비내역(확정)"/>
      <sheetName val="운영계획"/>
      <sheetName val="SOFTWARE"/>
      <sheetName val="5.현장경비(확정)"/>
      <sheetName val="5.경비내역(정산)"/>
      <sheetName val="5.현장경비(정산)"/>
      <sheetName val="7.자금수지"/>
      <sheetName val="(참고)제수당현황"/>
      <sheetName val="MH합계"/>
      <sheetName val="6.프로젝트"/>
      <sheetName val="6.PCM"/>
      <sheetName val="6.프로세스"/>
      <sheetName val="6.프로세스-1"/>
      <sheetName val="6.안전"/>
      <sheetName val="6.MR"/>
      <sheetName val="6.MS"/>
      <sheetName val="6.MT"/>
      <sheetName val="6.MM"/>
      <sheetName val="6.MY"/>
      <sheetName val="6.MH"/>
      <sheetName val="6.배관"/>
      <sheetName val="6.전기"/>
      <sheetName val="6.계장"/>
      <sheetName val="6.토목"/>
      <sheetName val="6.건축"/>
      <sheetName val="실행MH비교"/>
      <sheetName val="입찰MH비교"/>
      <sheetName val="규모비교"/>
      <sheetName val="정부노임단가"/>
      <sheetName val="예산서"/>
      <sheetName val="ABUT수량-A1"/>
      <sheetName val="견적"/>
      <sheetName val="내역서"/>
      <sheetName val="details"/>
      <sheetName val="WK16"/>
      <sheetName val="Bend_fact "/>
      <sheetName val="total-mse제외"/>
      <sheetName val="P-PM"/>
      <sheetName val="P-품질"/>
      <sheetName val="P-토목"/>
      <sheetName val="P-건축"/>
      <sheetName val="P-기계"/>
      <sheetName val="P-원자력"/>
      <sheetName val="P-배관"/>
      <sheetName val="P-전기"/>
      <sheetName val="P-계장"/>
      <sheetName val="P-인허가"/>
      <sheetName val="P-공통"/>
      <sheetName val="P-SGN"/>
      <sheetName val="P-MSE"/>
      <sheetName val="95년12월말"/>
      <sheetName val="현금"/>
      <sheetName val="D-3"/>
      <sheetName val="다이꾸"/>
      <sheetName val="노임"/>
      <sheetName val="BID"/>
      <sheetName val="#REF!"/>
      <sheetName val="견적 집계"/>
      <sheetName val="BOQ"/>
      <sheetName val="F-302"/>
      <sheetName val="공사비 내역 (가)"/>
      <sheetName val="회사99"/>
      <sheetName val="DOC"/>
      <sheetName val="수안보-MBR1"/>
      <sheetName val="상반기손익차2총괄"/>
      <sheetName val="설치공사"/>
      <sheetName val="일위대가목차"/>
      <sheetName val="전차선로 물량표"/>
      <sheetName val="한강운반비"/>
      <sheetName val="현장관리비"/>
      <sheetName val="도급양식"/>
      <sheetName val="예산"/>
      <sheetName val="실행내역"/>
      <sheetName val="하조서"/>
      <sheetName val="전기내역서(총계)"/>
      <sheetName val="공통(20-91)"/>
      <sheetName val="조도계산서 (도서)"/>
      <sheetName val="화재 탐지 설비"/>
      <sheetName val="PROCESS"/>
      <sheetName val="Sheet1"/>
      <sheetName val="h-013211-2"/>
      <sheetName val="공사비PK5월"/>
      <sheetName val="현황CODE"/>
      <sheetName val="손익현황"/>
      <sheetName val="CALCULATION"/>
      <sheetName val="산근"/>
      <sheetName val="노무비"/>
      <sheetName val="SKETCH"/>
      <sheetName val="LOADS"/>
      <sheetName val="단가비교표"/>
      <sheetName val="工완성공사율"/>
      <sheetName val="사급자재"/>
      <sheetName val="Total"/>
      <sheetName val="부대공내역서적용수량"/>
      <sheetName val="부대공(집계)"/>
      <sheetName val="낙석방지책"/>
      <sheetName val="난간"/>
      <sheetName val="교통안내표지판"/>
      <sheetName val="교통표지판기초"/>
      <sheetName val="교통표지판기초단위"/>
      <sheetName val="조경공사"/>
      <sheetName val="COVER"/>
      <sheetName val="summary"/>
      <sheetName val="Sum-Equipment"/>
      <sheetName val="Sum-Piping"/>
      <sheetName val="1-1"/>
      <sheetName val="1-2"/>
      <sheetName val="1-3"/>
      <sheetName val="2-1"/>
      <sheetName val="2-2"/>
      <sheetName val="2-3"/>
      <sheetName val="Dir-Manpower"/>
      <sheetName val="Indir-Manpower"/>
      <sheetName val="Equip-Sch"/>
      <sheetName val="Elec. Power"/>
      <sheetName val="IN"/>
      <sheetName val="간접비총괄 (2)"/>
      <sheetName val="Sheet5"/>
      <sheetName val="직원동원SCH"/>
      <sheetName val="97 사업추정(WEKI)"/>
      <sheetName val="동원(3)"/>
      <sheetName val="예정(3)"/>
      <sheetName val="품셈집계"/>
      <sheetName val="기준액"/>
      <sheetName val="10한빛"/>
      <sheetName val="Sheet1 (2)"/>
      <sheetName val="설계흐름도"/>
      <sheetName val="6PILE  (돌출)"/>
      <sheetName val="실행자재"/>
      <sheetName val="법인6-2(11)호(을)"/>
      <sheetName val="Base_Data"/>
      <sheetName val="(10.bis OGB_hours ratio)"/>
      <sheetName val="과천MAIN"/>
      <sheetName val="JUCK"/>
      <sheetName val="개비온집계"/>
      <sheetName val="개비온 단위"/>
      <sheetName val="동결보온"/>
      <sheetName val="OD5000"/>
      <sheetName val="당좌차월"/>
      <sheetName val="4002"/>
      <sheetName val="eq_data"/>
      <sheetName val="Piping Cost"/>
      <sheetName val="PipWT"/>
      <sheetName val="FORMULA"/>
      <sheetName val="자압1"/>
      <sheetName val="Euro-conversion"/>
      <sheetName val="out_prog"/>
      <sheetName val="선적schedule (2)"/>
      <sheetName val="필리핀"/>
      <sheetName val="인원계획"/>
      <sheetName val="일보"/>
      <sheetName val="piping"/>
      <sheetName val="Basis"/>
      <sheetName val="釤.전기"/>
      <sheetName val="실행철강하도"/>
      <sheetName val="TOEC"/>
      <sheetName val="Mtl Summary"/>
      <sheetName val="FWBS7000,8000"/>
      <sheetName val="DCS"/>
      <sheetName val="ANALYSER"/>
      <sheetName val="설비"/>
      <sheetName val="CABLE"/>
      <sheetName val="2008년"/>
      <sheetName val="청산공사"/>
      <sheetName val="CW Piping Work"/>
      <sheetName val="철수현황"/>
      <sheetName val="T6-6(2)"/>
      <sheetName val="본부고정이하현황(월말)"/>
      <sheetName val="정리별분류"/>
      <sheetName val="증감내역"/>
      <sheetName val="FX Exposure_Nov00"/>
      <sheetName val="USdebt"/>
      <sheetName val="debtmonth"/>
      <sheetName val="purchasing"/>
      <sheetName val="Exposure0007"/>
      <sheetName val="FX Exposure0011_BOD"/>
      <sheetName val="FX Exposure_Apr2001"/>
      <sheetName val="부표목록"/>
      <sheetName val="추정PL"/>
      <sheetName val="매출액(내수)"/>
      <sheetName val="시장현황"/>
      <sheetName val="매출원가"/>
      <sheetName val="원재료비(내수)"/>
      <sheetName val="과거매출액대비구성비"/>
      <sheetName val="판관비"/>
      <sheetName val="인건비"/>
      <sheetName val="영업외"/>
      <sheetName val="지급이자"/>
      <sheetName val="감가상각"/>
      <sheetName val="유보금"/>
      <sheetName val="제세산출"/>
      <sheetName val="운전자금"/>
      <sheetName val="1회전자금(참고)"/>
      <sheetName val="1회전기간(참고)"/>
      <sheetName val="현금수지예상표"/>
      <sheetName val="영업후조성자금"/>
      <sheetName val="118.세금과공과"/>
      <sheetName val="교각계산"/>
      <sheetName val="가도공"/>
      <sheetName val="종배수관"/>
      <sheetName val="Hoja3"/>
      <sheetName val="Hoja2"/>
      <sheetName val="ITstk"/>
      <sheetName val="주사무실종합"/>
      <sheetName val="Steam-Sys"/>
      <sheetName val="BQ List"/>
      <sheetName val="07"/>
      <sheetName val="07월"/>
      <sheetName val="07월분"/>
      <sheetName val="5월 회원사 배분 명세서(2)"/>
      <sheetName val="어음청구서"/>
      <sheetName val="예비비청구서"/>
      <sheetName val="TABLE2-2 OSBL-(SITE PREP)"/>
      <sheetName val="배수내역 (2)"/>
      <sheetName val="영업2"/>
      <sheetName val="영업3"/>
      <sheetName val="Testing"/>
      <sheetName val="Tipo Terzi"/>
      <sheetName val="Salary"/>
      <sheetName val="PumpSpec"/>
      <sheetName val="소화실적"/>
      <sheetName val="P.M 별"/>
      <sheetName val="BQ(Piping)"/>
      <sheetName val="BM DATA SHEET"/>
      <sheetName val="터널조도"/>
      <sheetName val="»ç¾÷º»ºÎº°"/>
      <sheetName val="9¿ù(ÀÏº°)"/>
      <sheetName val="9¿ù(ÇöÀåº°)"/>
      <sheetName val="10¿ù(ÀÏº°)"/>
      <sheetName val="10¿ù(ÇöÀåº°)"/>
      <sheetName val="11¿ù(ÀÏº°) "/>
      <sheetName val="11¿ù(ÇöÀåº°)"/>
      <sheetName val="11¿ù(¾îÀ½°áÀç)"/>
      <sheetName val="12¿ù(ÀÏº°) "/>
      <sheetName val="12¿ù(ÇöÀåº°)"/>
      <sheetName val="12¿ù(¾îÀ½°áÀç)"/>
      <sheetName val="»óÈ¯½ºÄÉÁì"/>
      <sheetName val="»óÈ¯ÃÑ°ý"/>
      <sheetName val="¾çµµÀÚ»êºÎÃ¤"/>
      <sheetName val="Áö¿ø»çÇ×1"/>
      <sheetName val="Áö¿ø»çÇ× 2"/>
      <sheetName val="Áö¿ø»çÇ×3"/>
      <sheetName val="¿¬µµº°¼öÁÖ°èÈ¹"/>
      <sheetName val="µ¿Á¾¾÷°è"/>
      <sheetName val="ÀÛ¼º¿ä¾à"/>
      <sheetName val="Ç¥Áö"/>
      <sheetName val="¸ñÂ÷"/>
      <sheetName val="1.»ç¾÷°³¿ä"/>
      <sheetName val="2.ÃÑ°ýÇ¥"/>
      <sheetName val="3.¼³°èÃÑ°ý(È®Á¤)"/>
      <sheetName val="3.Àü¹®¿ÜÁÖ(È®Á¤)"/>
      <sheetName val="3.¼³°èÃÑ°ý(Á¤»ê)"/>
      <sheetName val="3.Àü¹®¿ÜÁÖ(Á¤»ê)"/>
      <sheetName val="Àü¹®¿ÜÁÖºñ (Third Party)"/>
      <sheetName val="4.ÀÎ·Â(È®Á¤)"/>
      <sheetName val="4.ÀÎ·Â(Á¶Á¤)"/>
      <sheetName val="4.ÀÎ·Â(Á¤»ê)"/>
      <sheetName val="5.°æºñ³»¿ª(È®Á¤)"/>
      <sheetName val="¿î¿µ°èÈ¹"/>
      <sheetName val="5.ÇöÀå°æºñ(È®Á¤)"/>
      <sheetName val="5.°æºñ³»¿ª(Á¤»ê)"/>
      <sheetName val="5.ÇöÀå°æºñ(Á¤»ê)"/>
      <sheetName val="7.ÀÚ±Ý¼öÁö"/>
      <sheetName val="(Âü°í)Á¦¼ö´çÇöÈ²"/>
      <sheetName val="MHÇÕ°è"/>
      <sheetName val="6.ÇÁ·ÎÁ§Æ®"/>
      <sheetName val="6.ÇÁ·Î¼¼½º"/>
      <sheetName val="6.ÇÁ·Î¼¼½º-1"/>
      <sheetName val="6.¾ÈÀü"/>
      <sheetName val="6.¹è°ü"/>
      <sheetName val="6.Àü±â"/>
      <sheetName val="6.°èÀå"/>
      <sheetName val="6.Åä¸ñ"/>
      <sheetName val="6.°ÇÃà"/>
      <sheetName val="½ÇÇàMHºñ±³"/>
      <sheetName val="ÀÔÂûMHºñ±³"/>
      <sheetName val="±Ô¸ðºñ±³"/>
      <sheetName val="Á¤ºÎ³ëÀÓ´Ü°¡"/>
      <sheetName val="¿¹»ê¼­"/>
      <sheetName val="ABUT¼ö·®-A1"/>
      <sheetName val="°ßÀû"/>
      <sheetName val="³»¿ª¼­"/>
      <sheetName val="°ßÀû Áý°è"/>
      <sheetName val="total-mseÁ¦¿Ü"/>
      <sheetName val="P-Ç°Áú"/>
      <sheetName val="P-Åä¸ñ"/>
      <sheetName val="P-°ÇÃà"/>
      <sheetName val="P-±â°è"/>
      <sheetName val="P-¿øÀÚ·Â"/>
      <sheetName val="P-¹è°ü"/>
      <sheetName val="P-Àü±â"/>
      <sheetName val="P-°èÀå"/>
      <sheetName val="P-ÀÎÇã°¡"/>
      <sheetName val="P-°øÅë"/>
      <sheetName val="´ÙÀÌ²Ù"/>
      <sheetName val="95³â12¿ù¸»"/>
      <sheetName val="Çö±Ý"/>
      <sheetName val="³ëÀÓ"/>
      <sheetName val="¼ö¾Èº¸-MBR1"/>
      <sheetName val="´Ü°¡ºñ±³Ç¥"/>
      <sheetName val="È¸»ç99"/>
      <sheetName val="°ø»çºñ ³»¿ª (°¡)"/>
      <sheetName val="ÇöÈ²CODE"/>
      <sheetName val="¼ÕÀÍÇöÈ²"/>
      <sheetName val="°ø»çºñPK5¿ù"/>
      <sheetName val="»ê±Ù"/>
      <sheetName val="»ó¹Ý±â¼ÕÀÍÂ÷2ÃÑ°ý"/>
      <sheetName val="¼³Ä¡°ø»ç"/>
      <sheetName val="ÀÏÀ§´ë°¡¸ñÂ÷"/>
      <sheetName val="ÀüÂ÷¼±·Î ¹°·®Ç¥"/>
      <sheetName val="ÇÑ°­¿î¹Ýºñ"/>
      <sheetName val="ÇöÀå°ü¸®ºñ"/>
      <sheetName val="µµ±Þ¾ç½Ä"/>
      <sheetName val="¿¹»ê"/>
      <sheetName val="½ÇÇà³»¿ª"/>
      <sheetName val="ÇÏÁ¶¼­"/>
      <sheetName val="Àü±â³»¿ª¼­(ÃÑ°è)"/>
      <sheetName val="°øÅë(20-91)"/>
      <sheetName val="Á¶µµ°è»ê¼­ (µµ¼­)"/>
      <sheetName val="È­Àç Å½Áö ¼³ºñ"/>
      <sheetName val="³ë¹«ºñ"/>
      <sheetName val="Íï¿Ï¼º°ø»çÀ²"/>
      <sheetName val="»ç±ÞÀÚÀç"/>
      <sheetName val="ºÎ´ë°ø³»¿ª¼­Àû¿ë¼ö·®"/>
      <sheetName val="ºÎ´ë°ø(Áý°è)"/>
      <sheetName val="³«¼®¹æÁöÃ¥"/>
      <sheetName val="³­°£"/>
      <sheetName val="±³Åë¾È³»Ç¥ÁöÆÇ"/>
      <sheetName val="±³ÅëÇ¥ÁöÆÇ±âÃÊ"/>
      <sheetName val="±³ÅëÇ¥ÁöÆÇ±âÃÊ´ÜÀ§"/>
      <sheetName val="Á¶°æ°ø»ç"/>
      <sheetName val="°úÃµMAIN"/>
      <sheetName val="97 »ç¾÷ÃßÁ¤(WEKI)"/>
      <sheetName val="Á÷¿øµ¿¿øSCH"/>
      <sheetName val="°£Á¢ºñÃÑ°ý (2)"/>
      <sheetName val="Sheet3"/>
      <sheetName val="DATA"/>
      <sheetName val="Spread_sht"/>
      <sheetName val="MOB-MAN1"/>
      <sheetName val="Graph (LGEN)"/>
      <sheetName val="ELECTRICAL"/>
      <sheetName val="Income Statement"/>
      <sheetName val="frmm HDEC"/>
      <sheetName val="개시전표"/>
      <sheetName val="공사집계"/>
      <sheetName val="借積IQ"/>
      <sheetName val="11월(일별)_"/>
      <sheetName val="12월(일별)_"/>
      <sheetName val="지원사항_2"/>
      <sheetName val="7_6_3_BOQ"/>
      <sheetName val="7_6_3(A)_AG_Piping"/>
      <sheetName val="7_6_3(B)_UG_Piping"/>
      <sheetName val="7_6_3(C)_INSUL"/>
      <sheetName val="7_6_3(D)_PAINT"/>
      <sheetName val="7_6_3(E)_NDE"/>
      <sheetName val="7_6_3(F)_Sup't"/>
      <sheetName val="7_6_3(G)_CHEMICAL_CL"/>
      <sheetName val="7_6_3(H)_Steam"/>
      <sheetName val="Field_Change_Notice"/>
      <sheetName val="waiver_request"/>
      <sheetName val="from_KNPC"/>
      <sheetName val="HDEC_Site_Memo"/>
      <sheetName val="KNPC_Site_Memo"/>
      <sheetName val="from_HDEC"/>
      <sheetName val="packing_cover"/>
      <sheetName val="packing_list"/>
      <sheetName val="Invoice_cover"/>
      <sheetName val="DCN_Status_"/>
      <sheetName val="FCN_Status"/>
      <sheetName val="7_5_1(A)_Data"/>
      <sheetName val="7_5_1(B)_BOQ_Breakdown"/>
      <sheetName val="7_5_1(C)_Scope"/>
      <sheetName val="7_5_1(D)_Basis"/>
      <sheetName val="7_5_1(E)_Allowance"/>
      <sheetName val="7_5_2_BOQ_Summary"/>
      <sheetName val="7_5_3_BOQ"/>
      <sheetName val="A__Erec_BOQ(Shop)"/>
      <sheetName val="B__Erec_BOQ(Field)"/>
      <sheetName val="C__Surface_Protection"/>
      <sheetName val="A__Erec_BOQ(Shop)_(2)"/>
      <sheetName val="B__Erec_BOQ(Field)_(2)"/>
      <sheetName val="C__Surf_Protection"/>
      <sheetName val="Attachment_#1"/>
      <sheetName val="Attachment_#2"/>
      <sheetName val="302_C1"/>
      <sheetName val="302_C2"/>
      <sheetName val="SUPPLY_(2)"/>
      <sheetName val="RETURN_(2)"/>
      <sheetName val="303_(2)"/>
      <sheetName val="308_(2)"/>
      <sheetName val="309_(2)"/>
      <sheetName val="1_사업개요"/>
      <sheetName val="2_총괄표"/>
      <sheetName val="3_설계총괄(확정)"/>
      <sheetName val="3_전문외주(확정)"/>
      <sheetName val="3_설계총괄(정산)"/>
      <sheetName val="3_전문외주(정산)"/>
      <sheetName val="전문외주비_(Third_Party)"/>
      <sheetName val="4_인력(확정)"/>
      <sheetName val="4_인력(조정)"/>
      <sheetName val="4_인력(정산)"/>
      <sheetName val="5_경비내역(확정)"/>
      <sheetName val="5_현장경비(확정)"/>
      <sheetName val="5_경비내역(정산)"/>
      <sheetName val="5_현장경비(정산)"/>
      <sheetName val="7_자금수지"/>
      <sheetName val="6_프로젝트"/>
      <sheetName val="6_PCM"/>
      <sheetName val="6_프로세스"/>
      <sheetName val="6_프로세스-1"/>
      <sheetName val="6_안전"/>
      <sheetName val="6_MR"/>
      <sheetName val="6_MS"/>
      <sheetName val="6_MT"/>
      <sheetName val="6_MM"/>
      <sheetName val="6_MY"/>
      <sheetName val="6_MH"/>
      <sheetName val="6_배관"/>
      <sheetName val="6_전기"/>
      <sheetName val="6_계장"/>
      <sheetName val="6_토목"/>
      <sheetName val="6_건축"/>
      <sheetName val="Bend_fact_"/>
      <sheetName val="공사비_내역_(가)"/>
      <sheetName val="견적_집계"/>
      <sheetName val="전차선로_물량표"/>
      <sheetName val="조도계산서_(도서)"/>
      <sheetName val="화재_탐지_설비"/>
      <sheetName val="Elec__Power"/>
      <sheetName val="97_사업추정(WEKI)"/>
      <sheetName val="간접비총괄_(2)"/>
      <sheetName val="개비온_단위"/>
      <sheetName val="(10_bis_OGB_hours_ratio)"/>
      <sheetName val="Sheet1_(2)"/>
      <sheetName val="6PILE__(돌출)"/>
      <sheetName val="선적schedule_(2)"/>
      <sheetName val="釤_전기"/>
      <sheetName val="Piping_Cost"/>
      <sheetName val="CW_Piping_Work"/>
      <sheetName val="new급여T(4을-운전)"/>
      <sheetName val="Civil"/>
      <sheetName val="DPRKMHDT"/>
      <sheetName val="ITEM"/>
      <sheetName val="기둥(원형)"/>
      <sheetName val="LOPCALC"/>
      <sheetName val="NOMUBI"/>
      <sheetName val="P110"/>
      <sheetName val="전체내역 (2)"/>
      <sheetName val="Sohar담수Target"/>
      <sheetName val="자압"/>
      <sheetName val="COPING"/>
      <sheetName val="General Data"/>
      <sheetName val="panel board installation"/>
      <sheetName val="Default_Magics"/>
      <sheetName val="Code_Magics"/>
      <sheetName val="DRUM"/>
      <sheetName val="연돌일위집계"/>
      <sheetName val="steam table"/>
      <sheetName val="200712(법인)"/>
      <sheetName val="200712(해외현지법인계)"/>
      <sheetName val="FORM-3"/>
      <sheetName val="Rekap A"/>
      <sheetName val="15 문제점"/>
      <sheetName val="MOTOR"/>
      <sheetName val="전기"/>
      <sheetName val="SHEET 19"/>
      <sheetName val="CODE"/>
      <sheetName val="지급자재"/>
      <sheetName val="갑지"/>
      <sheetName val="El(Increased)"/>
      <sheetName val="간접비내역-1"/>
      <sheetName val=" 견적서"/>
      <sheetName val="최민영집계25"/>
      <sheetName val="Units"/>
      <sheetName val="Instructions"/>
      <sheetName val="실행비교"/>
      <sheetName val="1을"/>
      <sheetName val="FPU"/>
      <sheetName val="Macro1"/>
      <sheetName val="HRD"/>
      <sheetName val="예비품 및 특수공구"/>
      <sheetName val="Pag. 1"/>
      <sheetName val="자문요청"/>
      <sheetName val="Piping(Methanol)"/>
      <sheetName val="cement"/>
      <sheetName val="FORM_3"/>
      <sheetName val="건내용"/>
      <sheetName val="I_O Module"/>
      <sheetName val="I_O List"/>
      <sheetName val="건장설비"/>
      <sheetName val="Instruction"/>
      <sheetName val="집계표"/>
      <sheetName val="인원동원계획"/>
      <sheetName val="123"/>
      <sheetName val="와동25-3(변경)"/>
      <sheetName val="SE-611"/>
      <sheetName val="spec' sheet"/>
      <sheetName val="경비"/>
      <sheetName val="차수"/>
      <sheetName val="간접비"/>
      <sheetName val="계장공사"/>
      <sheetName val="PRICE LIST"/>
      <sheetName val="자재코드"/>
      <sheetName val="comm"/>
      <sheetName val="영동"/>
      <sheetName val="1월"/>
      <sheetName val="전신환매도율"/>
      <sheetName val="차집관로내역"/>
      <sheetName val="Pipe Calc"/>
      <sheetName val="부하(성남)"/>
      <sheetName val="ISBL"/>
      <sheetName val="SHL"/>
      <sheetName val="extra"/>
      <sheetName val="old"/>
      <sheetName val="CVA"/>
      <sheetName val="가공비"/>
      <sheetName val="수량산출"/>
      <sheetName val="11월(일별)_1"/>
      <sheetName val="12월(일별)_1"/>
      <sheetName val="지원사항_21"/>
      <sheetName val="DATA01"/>
      <sheetName val="1998"/>
      <sheetName val="1999"/>
      <sheetName val="2000"/>
      <sheetName val="EQUIPMENT LIST"/>
      <sheetName val="TRAY"/>
      <sheetName val="STAND20"/>
      <sheetName val="OE"/>
      <sheetName val="부속동"/>
      <sheetName val="설계조건"/>
      <sheetName val="Pier 3"/>
      <sheetName val="PULLING SUPT등"/>
      <sheetName val="변품8-37"/>
      <sheetName val="TUAS"/>
      <sheetName val="HA2TOTAL(Original)"/>
      <sheetName val="부표총괄"/>
      <sheetName val="insulation"/>
      <sheetName val="공통부대비"/>
      <sheetName val="95삼성급(본사)"/>
      <sheetName val="투찰"/>
      <sheetName val="신호등일위대가"/>
      <sheetName val="배수관공"/>
      <sheetName val="기타공"/>
      <sheetName val="배수집계"/>
      <sheetName val="단가조사서"/>
      <sheetName val="내역서적용수량"/>
      <sheetName val="산출내역서집계표"/>
      <sheetName val="바닥판"/>
      <sheetName val="영업소실적"/>
      <sheetName val="DDR"/>
      <sheetName val="MOTﻍᇕ"/>
      <sheetName val="GiaVL"/>
      <sheetName val="교통처리우회도로"/>
      <sheetName val="가설건물"/>
      <sheetName val="An.Ars"/>
      <sheetName val="OSBL"/>
      <sheetName val="PIPES"/>
      <sheetName val="INSTR"/>
      <sheetName val="설계"/>
      <sheetName val="평균환율-USD"/>
      <sheetName val="CONCRETE"/>
      <sheetName val="9-1차이내역"/>
      <sheetName val="통합"/>
      <sheetName val="SCH"/>
      <sheetName val="01하반기노임"/>
      <sheetName val="L형 옹벽"/>
      <sheetName val="ilch"/>
      <sheetName val="공사비집계"/>
      <sheetName val="예산변경사항"/>
      <sheetName val="3.현장배치"/>
      <sheetName val="현장배치"/>
      <sheetName val="대비"/>
      <sheetName val="전기일위대가"/>
      <sheetName val="MOT᳍፜"/>
      <sheetName val="내역"/>
      <sheetName val="우각부보강"/>
      <sheetName val="VXXXXXXX"/>
      <sheetName val="VENDOR LIST"/>
      <sheetName val="일위대가"/>
      <sheetName val="factor"/>
      <sheetName val="견적기준"/>
      <sheetName val="ITB COST"/>
      <sheetName val="자재군별"/>
      <sheetName val="재료내역"/>
      <sheetName val="TABLE2-1 ISBL(GENEAL-CIVIL)"/>
      <sheetName val="TABLE2-1 ISBL-(SlTE PREP)"/>
      <sheetName val="TABLE2.1 ISBL (Soil Invest)"/>
      <sheetName val="TABLE2-2 OSBL(GENERAL-CIVIL)"/>
      <sheetName val="COMPRESSOR"/>
      <sheetName val="Table"/>
      <sheetName val="가BM"/>
      <sheetName val="B부대공"/>
      <sheetName val="Sheet4"/>
      <sheetName val="眞비상(진주)"/>
      <sheetName val="DATE"/>
      <sheetName val="W-현원가"/>
      <sheetName val="COMPARISON TABLE"/>
      <sheetName val="입사시직위"/>
      <sheetName val="A-4"/>
      <sheetName val="설직재-1"/>
      <sheetName val="제-노임"/>
      <sheetName val="제직재"/>
      <sheetName val="AP1"/>
      <sheetName val="손익요약(미사용)"/>
      <sheetName val="간접비(1)"/>
      <sheetName val="tggwan(mac)"/>
      <sheetName val="C급보 "/>
      <sheetName val="Macro"/>
      <sheetName val="Compare"/>
      <sheetName val="FBODYID"/>
      <sheetName val="NEWDRAW"/>
      <sheetName val="MFAB"/>
      <sheetName val="MFRT"/>
      <sheetName val="MPKG"/>
      <sheetName val="MPRD"/>
      <sheetName val="Field_Change_Notice1"/>
      <sheetName val="waiver_request1"/>
      <sheetName val="from_KNPC1"/>
      <sheetName val="HDEC_Site_Memo1"/>
      <sheetName val="KNPC_Site_Memo1"/>
      <sheetName val="from_HDEC1"/>
      <sheetName val="7_6_3_BOQ1"/>
      <sheetName val="7_6_3(A)_AG_Piping1"/>
      <sheetName val="7_6_3(B)_UG_Piping1"/>
      <sheetName val="7_6_3(C)_INSUL1"/>
      <sheetName val="7_6_3(D)_PAINT1"/>
      <sheetName val="7_6_3(E)_NDE1"/>
      <sheetName val="7_6_3(F)_Sup't1"/>
      <sheetName val="7_6_3(G)_CHEMICAL_CL1"/>
      <sheetName val="7_6_3(H)_Steam1"/>
      <sheetName val="DCN_Status_1"/>
      <sheetName val="FCN_Status1"/>
      <sheetName val="packing_cover1"/>
      <sheetName val="packing_list1"/>
      <sheetName val="Invoice_cover1"/>
      <sheetName val="7_5_1(A)_Data1"/>
      <sheetName val="7_5_1(B)_BOQ_Breakdown1"/>
      <sheetName val="7_5_1(C)_Scope1"/>
      <sheetName val="7_5_1(D)_Basis1"/>
      <sheetName val="7_5_1(E)_Allowance1"/>
      <sheetName val="7_5_2_BOQ_Summary1"/>
      <sheetName val="7_5_3_BOQ1"/>
      <sheetName val="A__Erec_BOQ(Shop)1"/>
      <sheetName val="B__Erec_BOQ(Field)1"/>
      <sheetName val="C__Surface_Protection1"/>
      <sheetName val="A__Erec_BOQ(Shop)_(2)1"/>
      <sheetName val="B__Erec_BOQ(Field)_(2)1"/>
      <sheetName val="C__Surf_Protection1"/>
      <sheetName val="Attachment_#11"/>
      <sheetName val="Attachment_#21"/>
      <sheetName val="302_C11"/>
      <sheetName val="302_C21"/>
      <sheetName val="SUPPLY_(2)1"/>
      <sheetName val="RETURN_(2)1"/>
      <sheetName val="303_(2)1"/>
      <sheetName val="308_(2)1"/>
      <sheetName val="309_(2)1"/>
      <sheetName val="1_사업개요1"/>
      <sheetName val="2_총괄표1"/>
      <sheetName val="3_설계총괄(확정)1"/>
      <sheetName val="3_전문외주(확정)1"/>
      <sheetName val="3_설계총괄(정산)1"/>
      <sheetName val="3_전문외주(정산)1"/>
      <sheetName val="전문외주비_(Third_Party)1"/>
      <sheetName val="4_인력(확정)1"/>
      <sheetName val="4_인력(조정)1"/>
      <sheetName val="4_인력(정산)1"/>
      <sheetName val="5_경비내역(확정)1"/>
      <sheetName val="5_현장경비(확정)1"/>
      <sheetName val="5_경비내역(정산)1"/>
      <sheetName val="5_현장경비(정산)1"/>
      <sheetName val="7_자금수지1"/>
      <sheetName val="6_프로젝트1"/>
      <sheetName val="6_PCM1"/>
      <sheetName val="6_프로세스1"/>
      <sheetName val="6_프로세스-11"/>
      <sheetName val="6_안전1"/>
      <sheetName val="6_MR1"/>
      <sheetName val="6_MS1"/>
      <sheetName val="6_MT1"/>
      <sheetName val="6_MM1"/>
      <sheetName val="6_MY1"/>
      <sheetName val="6_MH1"/>
      <sheetName val="6_배관1"/>
      <sheetName val="6_전기1"/>
      <sheetName val="6_계장1"/>
      <sheetName val="6_토목1"/>
      <sheetName val="6_건축1"/>
      <sheetName val="Bend_fact_1"/>
      <sheetName val="견적_집계1"/>
      <sheetName val="공사비_내역_(가)1"/>
      <sheetName val="전차선로_물량표1"/>
      <sheetName val="조도계산서_(도서)1"/>
      <sheetName val="화재_탐지_설비1"/>
      <sheetName val="간접비총괄_(2)1"/>
      <sheetName val="Elec__Power1"/>
      <sheetName val="97_사업추정(WEKI)1"/>
      <sheetName val="6PILE__(돌출)1"/>
      <sheetName val="Sheet1_(2)1"/>
      <sheetName val="개비온_단위1"/>
      <sheetName val="(10_bis_OGB_hours_ratio)1"/>
      <sheetName val="Piping_Cost1"/>
      <sheetName val="釤_전기1"/>
      <sheetName val="선적schedule_(2)1"/>
      <sheetName val="CW_Piping_Work1"/>
      <sheetName val="Mtl_Summary"/>
      <sheetName val="FX_Exposure_Nov00"/>
      <sheetName val="FX_Exposure0011_BOD"/>
      <sheetName val="FX_Exposure_Apr2001"/>
      <sheetName val="118_세금과공과"/>
      <sheetName val="Tipo_Terzi"/>
      <sheetName val="TABLE2-2_OSBL-(SITE_PREP)"/>
      <sheetName val="5월_회원사_배분_명세서(2)"/>
      <sheetName val="BQ_List"/>
      <sheetName val="배수내역_(2)"/>
      <sheetName val="BM_DATA_SHEET"/>
      <sheetName val="P_M_별"/>
      <sheetName val="Graph_(LGEN)"/>
      <sheetName val="15_문제점"/>
      <sheetName val="frmm_HDEC"/>
      <sheetName val="Income_Statement"/>
      <sheetName val="General_Data"/>
      <sheetName val="panel_board_installation"/>
      <sheetName val="전체내역_(2)"/>
      <sheetName val="Rekap_A"/>
      <sheetName val="11¿ù(ÀÏº°)_"/>
      <sheetName val="12¿ù(ÀÏº°)_"/>
      <sheetName val="Áö¿ø»çÇ×_2"/>
      <sheetName val="1_»ç¾÷°³¿ä"/>
      <sheetName val="2_ÃÑ°ýÇ¥"/>
      <sheetName val="3_¼³°èÃÑ°ý(È®Á¤)"/>
      <sheetName val="3_Àü¹®¿ÜÁÖ(È®Á¤)"/>
      <sheetName val="3_¼³°èÃÑ°ý(Á¤»ê)"/>
      <sheetName val="3_Àü¹®¿ÜÁÖ(Á¤»ê)"/>
      <sheetName val="Àü¹®¿ÜÁÖºñ_(Third_Party)"/>
      <sheetName val="4_ÀÎ·Â(È®Á¤)"/>
      <sheetName val="4_ÀÎ·Â(Á¶Á¤)"/>
      <sheetName val="4_ÀÎ·Â(Á¤»ê)"/>
      <sheetName val="5_°æºñ³»¿ª(È®Á¤)"/>
      <sheetName val="5_ÇöÀå°æºñ(È®Á¤)"/>
      <sheetName val="5_°æºñ³»¿ª(Á¤»ê)"/>
      <sheetName val="5_ÇöÀå°æºñ(Á¤»ê)"/>
      <sheetName val="7_ÀÚ±Ý¼öÁö"/>
      <sheetName val="6_ÇÁ·ÎÁ§Æ®"/>
      <sheetName val="6_ÇÁ·Î¼¼½º"/>
      <sheetName val="6_ÇÁ·Î¼¼½º-1"/>
      <sheetName val="6_¾ÈÀü"/>
      <sheetName val="6_¹è°ü"/>
      <sheetName val="6_Àü±â"/>
      <sheetName val="6_°èÀå"/>
      <sheetName val="6_Åä¸ñ"/>
      <sheetName val="6_°ÇÃà"/>
      <sheetName val="°ßÀû_Áý°è"/>
      <sheetName val="°ø»çºñ_³»¿ª_(°¡)"/>
      <sheetName val="ÀüÂ÷¼±·Î_¹°·®Ç¥"/>
      <sheetName val="Á¶µµ°è»ê¼­_(µµ¼­)"/>
      <sheetName val="È­Àç_Å½Áö_¼³ºñ"/>
      <sheetName val="97_»ç¾÷ÃßÁ¤(WEKI)"/>
      <sheetName val="°£Á¢ºñÃÑ°ý_(2)"/>
      <sheetName val="steam_table"/>
      <sheetName val="_견적서"/>
      <sheetName val="SHEET_19"/>
      <sheetName val="예비품_및_특수공구"/>
      <sheetName val="BQLIST"/>
      <sheetName val="Oficios"/>
      <sheetName val="투입실적"/>
      <sheetName val="INST LIST"/>
      <sheetName val="PAGE 3_GENERAL DETAILS"/>
      <sheetName val="PAGE_3_GENERAL_DETAILS"/>
      <sheetName val="Notes for BOQ"/>
      <sheetName val="Pipe Classes"/>
      <sheetName val="토목"/>
      <sheetName val="공사설계서"/>
      <sheetName val="M+1"/>
      <sheetName val="REDUCER"/>
      <sheetName val="WE'T"/>
      <sheetName val="공사진행"/>
      <sheetName val="6월ERP"/>
      <sheetName val="인건-측정"/>
      <sheetName val="일반공사"/>
      <sheetName val="신내택지내역서"/>
      <sheetName val="5.세운W-A"/>
      <sheetName val="기둥"/>
      <sheetName val="부하계산서"/>
      <sheetName val="진주방향"/>
      <sheetName val="TYPE-A"/>
      <sheetName val="쌍송교"/>
      <sheetName val="PRICE_LIST"/>
      <sheetName val="EQUIPMENT_LIST"/>
      <sheetName val="March"/>
      <sheetName val="Ex-Rate"/>
      <sheetName val="D=700"/>
      <sheetName val="예비품 및 특수렀቟"/>
      <sheetName val="Shipping Cost"/>
      <sheetName val="¿µ¾÷¼Ò½ÇÀû"/>
      <sheetName val="Detail"/>
      <sheetName val="Dieuchinh"/>
      <sheetName val="PRO_DCI"/>
      <sheetName val="INST_DCI"/>
      <sheetName val="HVAC_DCI"/>
      <sheetName val="PIPE_DCI"/>
      <sheetName val="RFP009"/>
      <sheetName val="RFP007"/>
      <sheetName val="96.12"/>
      <sheetName val="Sheet3 (2)"/>
      <sheetName val="lookup"/>
      <sheetName val="E_Rate PM"/>
      <sheetName val="Proposal"/>
      <sheetName val="calcul"/>
      <sheetName val="Data Sheet"/>
      <sheetName val="가상data"/>
      <sheetName val="관세,통관수수료,운반비"/>
      <sheetName val="수입"/>
      <sheetName val="연돌일頀ᎆ뤀"/>
      <sheetName val="BEAM"/>
      <sheetName val="8"/>
      <sheetName val="10"/>
      <sheetName val="12"/>
      <sheetName val="9"/>
      <sheetName val="11"/>
      <sheetName val="2"/>
      <sheetName val="금액내역서"/>
      <sheetName val="유기공정"/>
      <sheetName val="Bdown_ISBL"/>
      <sheetName val="总概算"/>
      <sheetName val="TOTAL-PL"/>
      <sheetName val="DCVD공정요약"/>
      <sheetName val="북방3터널"/>
      <sheetName val="fitting"/>
      <sheetName val="당초"/>
      <sheetName val="A"/>
      <sheetName val="소상 &quot;1&quot;"/>
      <sheetName val="BQ"/>
      <sheetName val="7.2.1 Man Power Mob.(HHI)"/>
      <sheetName val="7.2.2 Man Power Mob.(subcon)"/>
      <sheetName val="Piping_C䶘_x001c_▰"/>
      <sheetName val="Piping_C揄⾧_x0000_"/>
      <sheetName val="산출2-기기동력"/>
      <sheetName val="Revenue"/>
      <sheetName val="BQ(실행)"/>
      <sheetName val="설계가"/>
      <sheetName val="inter"/>
      <sheetName val="4)유동표"/>
      <sheetName val="Sheet17"/>
      <sheetName val="Settings"/>
      <sheetName val="14.3.5 Coating"/>
      <sheetName val="pipe data"/>
      <sheetName val="SS-Steel Estimate (ASTM - AISC)"/>
      <sheetName val="작성기준"/>
      <sheetName val="06 -Structural Steeel"/>
      <sheetName val="200712(해외현지법인杸뽥"/>
      <sheetName val="남양시작동자105노65기1.3화1.2"/>
      <sheetName val="입찰안"/>
      <sheetName val="연습"/>
      <sheetName val="공문"/>
      <sheetName val="차액보증"/>
      <sheetName val="비탈면보호공수량산출"/>
      <sheetName val="역T형교대(말뚝기초)"/>
      <sheetName val="WIND"/>
      <sheetName val="배수공 주요자재 집계표"/>
      <sheetName val="WIND-EQ"/>
      <sheetName val="HORI. VESSEL"/>
      <sheetName val="D-3503"/>
      <sheetName val="GC-08_1&quot;"/>
      <sheetName val="(A)내역서"/>
      <sheetName val="원가서"/>
      <sheetName val="신규일위대가"/>
      <sheetName val="단면 (2)"/>
      <sheetName val="RFP005"/>
      <sheetName val="빙장비사양"/>
      <sheetName val="장비사양"/>
      <sheetName val="자료(통합)"/>
      <sheetName val="대상공사(조달청)"/>
      <sheetName val="EST-1"/>
      <sheetName val="WORK"/>
      <sheetName val="General Dat︞"/>
      <sheetName val="단가비교(TOTAL)"/>
      <sheetName val="사용성검토"/>
      <sheetName val="11.1 단면hwp"/>
      <sheetName val="Actbase"/>
      <sheetName val="I-O(번호별)"/>
      <sheetName val="__MAIN"/>
      <sheetName val="공예을"/>
      <sheetName val="자료입력"/>
      <sheetName val="을"/>
      <sheetName val="공통가설"/>
      <sheetName val="1.설계조건"/>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refreshError="1"/>
      <sheetData sheetId="22" refreshError="1"/>
      <sheetData sheetId="23" refreshError="1"/>
      <sheetData sheetId="24" refreshError="1"/>
      <sheetData sheetId="25" refreshError="1"/>
      <sheetData sheetId="26"/>
      <sheetData sheetId="27"/>
      <sheetData sheetId="28"/>
      <sheetData sheetId="29"/>
      <sheetData sheetId="30"/>
      <sheetData sheetId="31"/>
      <sheetData sheetId="32"/>
      <sheetData sheetId="33"/>
      <sheetData sheetId="34" refreshError="1"/>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refreshError="1"/>
      <sheetData sheetId="57" refreshError="1"/>
      <sheetData sheetId="58" refreshError="1"/>
      <sheetData sheetId="59" refreshError="1"/>
      <sheetData sheetId="60" refreshError="1"/>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refreshError="1"/>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refreshError="1"/>
      <sheetData sheetId="144" refreshError="1"/>
      <sheetData sheetId="145" refreshError="1"/>
      <sheetData sheetId="146" refreshError="1"/>
      <sheetData sheetId="147" refreshError="1"/>
      <sheetData sheetId="148" refreshError="1"/>
      <sheetData sheetId="149" refreshError="1"/>
      <sheetData sheetId="150"/>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sheetData sheetId="176"/>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sheetData sheetId="187"/>
      <sheetData sheetId="188"/>
      <sheetData sheetId="189"/>
      <sheetData sheetId="190"/>
      <sheetData sheetId="191"/>
      <sheetData sheetId="192"/>
      <sheetData sheetId="193"/>
      <sheetData sheetId="194" refreshError="1"/>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sheetData sheetId="297"/>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sheetData sheetId="308"/>
      <sheetData sheetId="309"/>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sheetData sheetId="430" refreshError="1"/>
      <sheetData sheetId="431" refreshError="1"/>
      <sheetData sheetId="432"/>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sheetData sheetId="643" refreshError="1"/>
      <sheetData sheetId="644"/>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sheetData sheetId="709"/>
      <sheetData sheetId="710"/>
      <sheetData sheetId="711"/>
      <sheetData sheetId="712"/>
      <sheetData sheetId="713"/>
      <sheetData sheetId="714"/>
      <sheetData sheetId="715"/>
      <sheetData sheetId="716"/>
      <sheetData sheetId="717"/>
      <sheetData sheetId="718"/>
      <sheetData sheetId="719"/>
      <sheetData sheetId="720"/>
      <sheetData sheetId="721"/>
      <sheetData sheetId="722"/>
      <sheetData sheetId="723"/>
      <sheetData sheetId="724"/>
      <sheetData sheetId="725"/>
      <sheetData sheetId="726"/>
      <sheetData sheetId="727"/>
      <sheetData sheetId="728"/>
      <sheetData sheetId="729"/>
      <sheetData sheetId="730"/>
      <sheetData sheetId="731"/>
      <sheetData sheetId="732"/>
      <sheetData sheetId="733"/>
      <sheetData sheetId="734"/>
      <sheetData sheetId="735"/>
      <sheetData sheetId="736"/>
      <sheetData sheetId="737"/>
      <sheetData sheetId="738"/>
      <sheetData sheetId="739"/>
      <sheetData sheetId="740"/>
      <sheetData sheetId="741"/>
      <sheetData sheetId="742"/>
      <sheetData sheetId="743"/>
      <sheetData sheetId="744"/>
      <sheetData sheetId="745"/>
      <sheetData sheetId="746"/>
      <sheetData sheetId="747"/>
      <sheetData sheetId="748"/>
      <sheetData sheetId="749"/>
      <sheetData sheetId="750"/>
      <sheetData sheetId="751"/>
      <sheetData sheetId="752"/>
      <sheetData sheetId="753"/>
      <sheetData sheetId="754"/>
      <sheetData sheetId="755"/>
      <sheetData sheetId="756"/>
      <sheetData sheetId="757"/>
      <sheetData sheetId="758"/>
      <sheetData sheetId="759"/>
      <sheetData sheetId="760"/>
      <sheetData sheetId="761"/>
      <sheetData sheetId="762"/>
      <sheetData sheetId="763"/>
      <sheetData sheetId="764"/>
      <sheetData sheetId="765"/>
      <sheetData sheetId="766"/>
      <sheetData sheetId="767"/>
      <sheetData sheetId="768"/>
      <sheetData sheetId="769"/>
      <sheetData sheetId="770"/>
      <sheetData sheetId="771"/>
      <sheetData sheetId="772"/>
      <sheetData sheetId="773"/>
      <sheetData sheetId="774"/>
      <sheetData sheetId="775"/>
      <sheetData sheetId="776"/>
      <sheetData sheetId="777"/>
      <sheetData sheetId="778"/>
      <sheetData sheetId="779"/>
      <sheetData sheetId="780"/>
      <sheetData sheetId="781"/>
      <sheetData sheetId="782"/>
      <sheetData sheetId="783"/>
      <sheetData sheetId="784"/>
      <sheetData sheetId="785"/>
      <sheetData sheetId="786"/>
      <sheetData sheetId="787"/>
      <sheetData sheetId="788"/>
      <sheetData sheetId="789"/>
      <sheetData sheetId="790"/>
      <sheetData sheetId="791"/>
      <sheetData sheetId="792"/>
      <sheetData sheetId="793"/>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sheetData sheetId="826"/>
      <sheetData sheetId="827"/>
      <sheetData sheetId="828"/>
      <sheetData sheetId="829"/>
      <sheetData sheetId="830"/>
      <sheetData sheetId="831"/>
      <sheetData sheetId="832"/>
      <sheetData sheetId="833"/>
      <sheetData sheetId="834"/>
      <sheetData sheetId="835"/>
      <sheetData sheetId="836"/>
      <sheetData sheetId="837"/>
      <sheetData sheetId="838"/>
      <sheetData sheetId="839"/>
      <sheetData sheetId="840"/>
      <sheetData sheetId="841"/>
      <sheetData sheetId="842"/>
      <sheetData sheetId="843"/>
      <sheetData sheetId="844"/>
      <sheetData sheetId="845"/>
      <sheetData sheetId="846"/>
      <sheetData sheetId="847"/>
      <sheetData sheetId="848"/>
      <sheetData sheetId="849"/>
      <sheetData sheetId="850"/>
      <sheetData sheetId="851"/>
      <sheetData sheetId="852"/>
      <sheetData sheetId="853"/>
      <sheetData sheetId="854"/>
      <sheetData sheetId="855"/>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WDOWN"/>
      <sheetName val="Cover"/>
    </sheetNames>
    <definedNames>
      <definedName name="main"/>
    </definedNames>
    <sheetDataSet>
      <sheetData sheetId="0" refreshError="1"/>
      <sheetData sheetId="1"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부배부"/>
      <sheetName val="9901사업부배부"/>
      <sheetName val="Sheet1"/>
      <sheetName val="계정실적"/>
      <sheetName val="계정보고"/>
      <sheetName val="계정보고 (2)"/>
      <sheetName val="99년1월추정실적 (2)"/>
      <sheetName val="요약배부"/>
      <sheetName val="요약배부 (보고)"/>
      <sheetName val="요약배부 (보고) (2)"/>
      <sheetName val="12월계정별 (2)"/>
      <sheetName val="배부부별"/>
      <sheetName val="배부비목"/>
      <sheetName val="임대원가"/>
      <sheetName val="기타매출"/>
      <sheetName val="기타매출 (2)"/>
      <sheetName val="기타매출 (3)"/>
      <sheetName val="기타매출 (4)"/>
      <sheetName val="영업소실적"/>
      <sheetName val="새마을금고"/>
      <sheetName val="Module1"/>
      <sheetName val="참고인원"/>
      <sheetName val="INSTR"/>
      <sheetName val="주관사업"/>
      <sheetName val="eq_data"/>
      <sheetName val="95삼성급(본사)"/>
      <sheetName val="mom"/>
      <sheetName val="carboline price"/>
      <sheetName val="Piping Design Data"/>
      <sheetName val="PipWT"/>
      <sheetName val="UG분석표"/>
      <sheetName val="VV보온LINK"/>
      <sheetName val="FIT보온LINK"/>
      <sheetName val="정부노임단가"/>
      <sheetName val="수입"/>
      <sheetName val="인원계획"/>
      <sheetName val="10현장조직"/>
      <sheetName val="갑지"/>
      <sheetName val="pnt-sigma"/>
      <sheetName val="OD5000"/>
      <sheetName val="PumpSpec"/>
      <sheetName val="표지"/>
      <sheetName val="사업부배부A"/>
      <sheetName val="상반기손익차2총괄"/>
      <sheetName val="INST_DCI"/>
      <sheetName val="HVAC_DCI"/>
      <sheetName val="PIPE_DCI"/>
      <sheetName val="PRO_DCI"/>
      <sheetName val="배부9901"/>
      <sheetName val="h-013211-2"/>
      <sheetName val="단가조사"/>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본지점중"/>
      <sheetName val="영업소실적"/>
      <sheetName val="Basic"/>
      <sheetName val="수입"/>
      <sheetName val="INSTR"/>
      <sheetName val="VC2 8.98"/>
      <sheetName val="고자현황"/>
      <sheetName val="집계표"/>
      <sheetName val="개시전표"/>
      <sheetName val="공사집계"/>
      <sheetName val="SubSum"/>
      <sheetName val="MEED"/>
      <sheetName val="Sheet1"/>
      <sheetName val="P.M 별"/>
      <sheetName val="DATE"/>
      <sheetName val="95WBS"/>
      <sheetName val="공통"/>
      <sheetName val="현금흐름표"/>
      <sheetName val="DATA"/>
      <sheetName val="직원수당"/>
      <sheetName val="공사손익"/>
      <sheetName val="DESIGN CRETERIA"/>
      <sheetName val="간접비내역-1"/>
      <sheetName val="가락화장을지"/>
      <sheetName val="정부노임단가"/>
      <sheetName val="상반기손익차2총괄"/>
      <sheetName val="Piping Design Data"/>
      <sheetName val="소상 &quot;1&quot;"/>
      <sheetName val="97년 SEACO예산"/>
      <sheetName val="STAND98"/>
      <sheetName val="예산서"/>
      <sheetName val="UnitList"/>
      <sheetName val="남양구조시험동"/>
      <sheetName val="ANALYSER"/>
      <sheetName val="eq_data"/>
      <sheetName val="OUT"/>
      <sheetName val="Param"/>
      <sheetName val="9-1차이내역"/>
      <sheetName val="주요지표"/>
      <sheetName val="FACTOR"/>
      <sheetName val="VAT duoc khau tru"/>
      <sheetName val="TABLE2-2 OSBL-(SITE PREP)"/>
      <sheetName val="boq"/>
      <sheetName val="OSBL-TOTAL (OTHER WORK)"/>
      <sheetName val="OSBL-TOTAL (SEA WATER)"/>
      <sheetName val="OSBL-TOTAL (CIVIL WORK)"/>
      <sheetName val="3.현장배치"/>
      <sheetName val="VC2_8_98"/>
      <sheetName val="P_M_별"/>
      <sheetName val="Piping_Design_Data"/>
      <sheetName val="소상_&quot;1&quot;"/>
      <sheetName val="97년_SEACO예산"/>
      <sheetName val="Unit 49_분개표"/>
      <sheetName val="Unit 76_분개표"/>
      <sheetName val="h-013211-2"/>
      <sheetName val="내역"/>
      <sheetName val="ISBL"/>
      <sheetName val="OSBL"/>
      <sheetName val="BQ"/>
      <sheetName val="97 사업추정(WEKI)"/>
      <sheetName val="I_O Module"/>
      <sheetName val="I_O List"/>
      <sheetName val="급여관련자료"/>
      <sheetName val="수주추정"/>
      <sheetName val="XREF"/>
      <sheetName val="마북 손익분석(CATIA)"/>
      <sheetName val="주요공사"/>
      <sheetName val="RENUN"/>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sheetData sheetId="48"/>
      <sheetData sheetId="49"/>
      <sheetData sheetId="50"/>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OUT(현황)"/>
      <sheetName val="98동원실적"/>
      <sheetName val="IN"/>
      <sheetName val="OUT"/>
      <sheetName val="98폐기"/>
      <sheetName val="매 각"/>
      <sheetName val="취득"/>
      <sheetName val="MARINEBUILD"/>
      <sheetName val="본지점중"/>
    </sheetNames>
    <sheetDataSet>
      <sheetData sheetId="0"/>
      <sheetData sheetId="1"/>
      <sheetData sheetId="2"/>
      <sheetData sheetId="3"/>
      <sheetData sheetId="4"/>
      <sheetData sheetId="5"/>
      <sheetData sheetId="6"/>
      <sheetData sheetId="7"/>
      <sheetData sheetId="8"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T-TR"/>
      <sheetName val="IT-P"/>
      <sheetName val="SW6_CBE"/>
      <sheetName val="IT-P1"/>
      <sheetName val="IT-BAT"/>
      <sheetName val="Cover"/>
      <sheetName val="Pipe &amp; Fitting"/>
      <sheetName val="Tube &amp; Fitting"/>
      <sheetName val="Cable Tray"/>
      <sheetName val="Elec Conn"/>
      <sheetName val="cable"/>
      <sheetName val="Junction Box"/>
      <sheetName val="Support &amp; Misc."/>
      <sheetName val="IT_BAT"/>
      <sheetName val="9-1차이내역"/>
      <sheetName val="목록"/>
      <sheetName val="중기"/>
      <sheetName val="화재 탐지 설비"/>
      <sheetName val="BQ_Utl_Off"/>
      <sheetName val="OUT"/>
      <sheetName val="Proposal"/>
      <sheetName val=" 갑지"/>
      <sheetName val="RFP002"/>
      <sheetName val="RFP003E"/>
      <sheetName val="터널조도"/>
      <sheetName val="견적집계"/>
      <sheetName val="영업소실적"/>
      <sheetName val="본지점중"/>
      <sheetName val="일위대가"/>
      <sheetName val="Sheet5"/>
      <sheetName val="자재단가"/>
      <sheetName val="INCHON"/>
      <sheetName val="원가계산서"/>
      <sheetName val="맨홀수량산출"/>
      <sheetName val="BACK DATA"/>
      <sheetName val="sheet1"/>
      <sheetName val="INSTR"/>
      <sheetName val="소화실적"/>
      <sheetName val="#REF"/>
      <sheetName val="일위"/>
      <sheetName val="TTL"/>
      <sheetName val="120"/>
      <sheetName val="130"/>
      <sheetName val="100"/>
      <sheetName val="101"/>
      <sheetName val="102"/>
      <sheetName val="103"/>
      <sheetName val="106"/>
      <sheetName val="108"/>
      <sheetName val="109"/>
      <sheetName val="131"/>
      <sheetName val="110"/>
      <sheetName val="111"/>
      <sheetName val="114"/>
      <sheetName val="116"/>
      <sheetName val="132"/>
      <sheetName val="140"/>
      <sheetName val="141"/>
      <sheetName val="142"/>
      <sheetName val="143"/>
      <sheetName val="144"/>
      <sheetName val="145"/>
      <sheetName val="146"/>
      <sheetName val="121"/>
      <sheetName val="147"/>
      <sheetName val="148"/>
      <sheetName val="160"/>
      <sheetName val="164"/>
      <sheetName val="Flaer Area"/>
      <sheetName val="123"/>
      <sheetName val="124"/>
      <sheetName val="125"/>
      <sheetName val="126"/>
      <sheetName val="127"/>
      <sheetName val="128"/>
      <sheetName val="129"/>
      <sheetName val="Hauptdaten"/>
      <sheetName val="Lumen"/>
      <sheetName val="노임단가"/>
      <sheetName val="Data Sheet"/>
      <sheetName val="WE'T"/>
      <sheetName val="BREAKDOWN(철거설치)"/>
      <sheetName val="뜃맟뭁돽띿맟?-BLDG"/>
      <sheetName val="입력값"/>
      <sheetName val="2공구산출내역"/>
      <sheetName val="일위대가목차"/>
      <sheetName val="eq_data"/>
      <sheetName val="실행내역서_DCU_"/>
      <sheetName val="unit 4"/>
      <sheetName val="LINE,UNIT 구분"/>
      <sheetName val="MixBed"/>
      <sheetName val="IBASE"/>
      <sheetName val="노임"/>
      <sheetName val="단가비교"/>
      <sheetName val="Pipe_&amp;_Fitting"/>
      <sheetName val="Tube_&amp;_Fitting"/>
      <sheetName val="Cable_Tray"/>
      <sheetName val="Elec_Conn"/>
      <sheetName val="Junction_Box"/>
      <sheetName val="Support_&amp;_Misc_"/>
      <sheetName val="화재_탐지_설비"/>
      <sheetName val="PLC B-M"/>
      <sheetName val="WOC95467"/>
      <sheetName val="DANGA"/>
      <sheetName val="작업년월"/>
      <sheetName val="세부내역"/>
      <sheetName val="총괄표양식"/>
      <sheetName val="차량운영비"/>
      <sheetName val="E_Rate PM"/>
      <sheetName val="계측"/>
      <sheetName val="가열로SW"/>
      <sheetName val="내역서"/>
      <sheetName val="장비종합부표"/>
      <sheetName val="집계표_식재"/>
      <sheetName val="부표"/>
      <sheetName val="A-4"/>
      <sheetName val="투찰내역"/>
      <sheetName val="ISOP"/>
      <sheetName val="Inst. Cable"/>
      <sheetName val="C급보 "/>
      <sheetName val="배수내역"/>
      <sheetName val="Q-7100-001"/>
      <sheetName val="summary"/>
      <sheetName val="MATERIAL BALANCE"/>
      <sheetName val="뜃맟뭁돽띿맟_-BLDG"/>
      <sheetName val="DRUM"/>
      <sheetName val="Summary Sheets"/>
      <sheetName val="DATA"/>
      <sheetName val="TOTAL 구매 내역"/>
      <sheetName val="10공구일위"/>
      <sheetName val="실행철강하도"/>
      <sheetName val="9GNG운반"/>
      <sheetName val="Sheet2"/>
      <sheetName val="1,2공구원가계산서"/>
      <sheetName val="1공구산출내역서"/>
      <sheetName val="을지"/>
      <sheetName val="VA_code"/>
      <sheetName val="CP BACKDATA"/>
      <sheetName val="NC(공사)입력"/>
      <sheetName val="2001년 예산"/>
      <sheetName val="RECIMAKE"/>
      <sheetName val="할증 "/>
      <sheetName val="_갑지"/>
      <sheetName val="BACK_DATA"/>
      <sheetName val="실행내역서 "/>
      <sheetName val="Total"/>
      <sheetName val="거래처계좌"/>
      <sheetName val="일위대가(1)"/>
      <sheetName val="CONT10"/>
      <sheetName val="충주"/>
      <sheetName val="Piping Design Data"/>
      <sheetName val="양수장(기계)"/>
      <sheetName val="실행(표지,갑,을)"/>
      <sheetName val="종배수관"/>
      <sheetName val="설계"/>
      <sheetName val="건축설비"/>
      <sheetName val="검토"/>
      <sheetName val="실행내역서(DCU)"/>
      <sheetName val="여과지동"/>
      <sheetName val="기초자료"/>
      <sheetName val="갑지(추정)"/>
      <sheetName val="차액보증"/>
      <sheetName val="CondPol"/>
      <sheetName val="Hoja3"/>
      <sheetName val="Hoja2"/>
      <sheetName val="프로젝트"/>
      <sheetName val="BQ"/>
      <sheetName val="CAT_5"/>
      <sheetName val="간지"/>
      <sheetName val=" 견적서"/>
      <sheetName val="1 OF 7"/>
      <sheetName val="VLOOKUP"/>
      <sheetName val="PRC-SUM"/>
      <sheetName val="BATCH"/>
      <sheetName val="설비비4"/>
      <sheetName val="TYPE-B 평균H"/>
      <sheetName val="out_prog"/>
      <sheetName val="선적schedule (2)"/>
      <sheetName val="가중치 종합"/>
      <sheetName val="일일공정보고(안)"/>
      <sheetName val="BOQ"/>
      <sheetName val="대공종"/>
      <sheetName val="산근"/>
      <sheetName val="Royalty"/>
      <sheetName val="Pipe"/>
      <sheetName val="Stack"/>
      <sheetName val="열계산"/>
      <sheetName val="5.소재"/>
      <sheetName val="SAN"/>
      <sheetName val="Insts"/>
      <sheetName val="COVER-P"/>
      <sheetName val="대치판정"/>
      <sheetName val="DATE"/>
      <sheetName val="Sheet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Index"/>
      <sheetName val="Description"/>
      <sheetName val="Process"/>
      <sheetName val="Mechanical"/>
      <sheetName val="Elec"/>
      <sheetName val="Civil"/>
      <sheetName val="ProcurementService"/>
      <sheetName val="작성시 유의사항"/>
      <sheetName val="IT-BAT"/>
      <sheetName val="eq_data"/>
      <sheetName val="OUT"/>
    </sheetNames>
    <sheetDataSet>
      <sheetData sheetId="0">
        <row r="6">
          <cell r="N6" t="str">
            <v>HH</v>
          </cell>
        </row>
      </sheetData>
      <sheetData sheetId="1"/>
      <sheetData sheetId="2"/>
      <sheetData sheetId="3"/>
      <sheetData sheetId="4"/>
      <sheetData sheetId="5"/>
      <sheetData sheetId="6"/>
      <sheetData sheetId="7"/>
      <sheetData sheetId="8"/>
      <sheetData sheetId="9" refreshError="1"/>
      <sheetData sheetId="10" refreshError="1"/>
      <sheetData sheetId="11" refreshError="1"/>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Project Review 4-Blocker"/>
      <sheetName val="Proj Logistics Task Checklist"/>
      <sheetName val="ITO Quote"/>
      <sheetName val="ITO Strategy"/>
      <sheetName val="Project Summary"/>
      <sheetName val="Shipping Instructions"/>
      <sheetName val="EAC Analysis"/>
      <sheetName val="EAC Waterfall"/>
      <sheetName val="Communication Plan"/>
      <sheetName val="Issue Resolution"/>
      <sheetName val="Post Mortem"/>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nual"/>
      <sheetName val="equipment"/>
      <sheetName val="eq_data"/>
      <sheetName val="out_put"/>
      <sheetName val="drawing"/>
      <sheetName val="Loading"/>
      <sheetName val="Cover"/>
      <sheetName val="INSTR"/>
      <sheetName val="공사비_NDE"/>
      <sheetName val="TOEC"/>
      <sheetName val="ELEC_DCI"/>
      <sheetName val="INST_DCI"/>
      <sheetName val="A"/>
      <sheetName val="OUT"/>
      <sheetName val="본지점중"/>
      <sheetName val="A(Rev.3)"/>
      <sheetName val="영업소실적"/>
      <sheetName val="직원동원계획"/>
      <sheetName val="수입"/>
      <sheetName val="CONTROL-100"/>
      <sheetName val="General Data"/>
      <sheetName val="PRICE COMP"/>
      <sheetName val="PRO_A"/>
      <sheetName val="ELEC_MCI"/>
      <sheetName val="MAIN"/>
      <sheetName val="INST_MCI"/>
      <sheetName val="MECH_MCI"/>
      <sheetName val="PRO"/>
      <sheetName val="h-013211-2"/>
      <sheetName val="PAGE 1"/>
      <sheetName val="Sheet1"/>
      <sheetName val="fdn_bm_pro"/>
      <sheetName val="Eng.hour_DB"/>
      <sheetName val="ACTDATA"/>
      <sheetName val="IBASE"/>
      <sheetName val="내역(한신APT)"/>
      <sheetName val="IT-BAT"/>
      <sheetName val="환율표"/>
      <sheetName val="7.6.3(B) UG Piping"/>
      <sheetName val="static.cal"/>
      <sheetName val="crude.SLAB RE-bar"/>
      <sheetName val="ANX3A65"/>
      <sheetName val="Lup"/>
      <sheetName val="BOQ0822"/>
      <sheetName val="PRICE LIST"/>
      <sheetName val="Information"/>
      <sheetName val="인건비"/>
      <sheetName val="WORKER"/>
      <sheetName val="OFFER RATE"/>
      <sheetName val="Job Data"/>
      <sheetName val="투입실적"/>
      <sheetName val="Sheet1 (2)"/>
      <sheetName val="PipWT"/>
      <sheetName val="제품현황"/>
      <sheetName val="Preface"/>
      <sheetName val="Source"/>
      <sheetName val="Sheet5"/>
      <sheetName val="Tipo Terzi"/>
      <sheetName val="Feuil2"/>
      <sheetName val="작성기준"/>
      <sheetName val="BCPAB"/>
      <sheetName val="노임"/>
      <sheetName val="ANALYSER"/>
      <sheetName val="세금자료"/>
      <sheetName val="Piping Design Data"/>
      <sheetName val="97 사업추정(WEKI)"/>
      <sheetName val="총괄표"/>
      <sheetName val="Summary 2002"/>
      <sheetName val="내역서"/>
      <sheetName val="98TSON4A"/>
      <sheetName val="품셈 "/>
      <sheetName val="PAINT"/>
      <sheetName val="방화도료"/>
      <sheetName val="가도공"/>
      <sheetName val="POWER"/>
      <sheetName val="TABLE2-2 OSBL-(SITE PREP)"/>
      <sheetName val="Contents"/>
      <sheetName val="REINF."/>
      <sheetName val="SKETCH"/>
      <sheetName val="LOADS"/>
      <sheetName val="ASME B 36.10 M"/>
      <sheetName val="boq"/>
      <sheetName val="PRC-SUM"/>
      <sheetName val="Y-WORK"/>
      <sheetName val="대공종"/>
      <sheetName val="_생산성_분석_체계_절차.xlsx"/>
      <sheetName val="General_Data"/>
      <sheetName val="PRICE_COMP"/>
      <sheetName val="A(Rev_3)"/>
      <sheetName val="단가비교(TOTAL)"/>
      <sheetName val="General_Data1"/>
      <sheetName val="PRICE_COMP1"/>
      <sheetName val="A(Rev_3)1"/>
      <sheetName val="cable"/>
      <sheetName val="pri-com"/>
      <sheetName val="견적의뢰"/>
      <sheetName val="기준"/>
      <sheetName val="CAL"/>
      <sheetName val="BQ List"/>
      <sheetName val="노임단가"/>
      <sheetName val="전기일위대가"/>
      <sheetName val="SHIPPING"/>
      <sheetName val="Content"/>
      <sheetName val="7.5.1(A) Data"/>
      <sheetName val="7.5.1(B) BOQ Breakdown"/>
      <sheetName val="7.5.1(C) Scope"/>
      <sheetName val="7.5.1(D) Basis"/>
      <sheetName val="7.5.1(E) Allowance"/>
      <sheetName val="7.5.2 BOQ Summary"/>
      <sheetName val="7.5.3 BOQ"/>
      <sheetName val="A. Erec_BOQ(Shop)"/>
      <sheetName val="B. Erec_BOQ(Field)"/>
      <sheetName val="C. Surface_Protection"/>
      <sheetName val="A. Erec_BOQ(Shop) (2)"/>
      <sheetName val="B. Erec_BOQ(Field) (2)"/>
      <sheetName val="C. Surf_Protection"/>
      <sheetName val="Attachment #1"/>
      <sheetName val="Attachment #2"/>
      <sheetName val="LIST"/>
      <sheetName val="301"/>
      <sheetName val="302 C1"/>
      <sheetName val="302 C2"/>
      <sheetName val="302"/>
      <sheetName val="SUPPLY (2)"/>
      <sheetName val="RETURN (2)"/>
      <sheetName val="SUPPLY"/>
      <sheetName val="RETURN"/>
      <sheetName val="303"/>
      <sheetName val="303 (2)"/>
      <sheetName val="304"/>
      <sheetName val="305"/>
      <sheetName val="306"/>
      <sheetName val="307"/>
      <sheetName val="308"/>
      <sheetName val="308 (2)"/>
      <sheetName val="309"/>
      <sheetName val="309 (2)"/>
      <sheetName val="산출기준"/>
      <sheetName val="JUNCTION BOX"/>
      <sheetName val="TRAY"/>
      <sheetName val="PIPE"/>
      <sheetName val="PIPE FITTING"/>
      <sheetName val="TUBE"/>
      <sheetName val="TUBE FITTING"/>
      <sheetName val="CABLE GLAND"/>
      <sheetName val="VALVE"/>
      <sheetName val="MCT"/>
      <sheetName val="SUPPORT"/>
      <sheetName val="예산서"/>
      <sheetName val="P3"/>
      <sheetName val="CAT_5"/>
      <sheetName val="CONS. EQUIP.  "/>
      <sheetName val="일위대가"/>
      <sheetName val="VA_code"/>
      <sheetName val="갑지(추정)"/>
      <sheetName val="T1"/>
      <sheetName val="가시설공"/>
      <sheetName val="DWG"/>
      <sheetName val="BLR 1"/>
      <sheetName val="GEN"/>
      <sheetName val="GAS"/>
      <sheetName val="DEAE"/>
      <sheetName val="BLR2"/>
      <sheetName val="BLR3"/>
      <sheetName val="BLR4"/>
      <sheetName val="BLR5"/>
      <sheetName val="DEM"/>
      <sheetName val="SAM"/>
      <sheetName val="CHEM"/>
      <sheetName val="COP"/>
      <sheetName val="CHECK1"/>
      <sheetName val="기별수량산출서"/>
      <sheetName val="출력X"/>
      <sheetName val="ITB COST"/>
      <sheetName val="건축"/>
      <sheetName val="SPEC"/>
      <sheetName val="PIP"/>
      <sheetName val="토공"/>
      <sheetName val="TL,Termination"/>
      <sheetName val="Cable,Conduit"/>
      <sheetName val="WORK"/>
      <sheetName val="#REF"/>
      <sheetName val="보온 회사분"/>
      <sheetName val="예산"/>
      <sheetName val="FACTOR"/>
      <sheetName val="90EL JACKET"/>
      <sheetName val="BAND(200)"/>
      <sheetName val="보온재"/>
      <sheetName val="7_5_1(A)_Data"/>
      <sheetName val="7_5_1(B)_BOQ_Breakdown"/>
      <sheetName val="7_5_1(C)_Scope"/>
      <sheetName val="7_5_1(D)_Basis"/>
      <sheetName val="7_5_1(E)_Allowance"/>
      <sheetName val="7_5_2_BOQ_Summary"/>
      <sheetName val="7_5_3_BOQ"/>
      <sheetName val="A__Erec_BOQ(Shop)"/>
      <sheetName val="B__Erec_BOQ(Field)"/>
      <sheetName val="C__Surface_Protection"/>
      <sheetName val="A__Erec_BOQ(Shop)_(2)"/>
      <sheetName val="B__Erec_BOQ(Field)_(2)"/>
      <sheetName val="C__Surf_Protection"/>
      <sheetName val="Attachment_#1"/>
      <sheetName val="Attachment_#2"/>
      <sheetName val="302_C1"/>
      <sheetName val="302_C2"/>
      <sheetName val="SUPPLY_(2)"/>
      <sheetName val="RETURN_(2)"/>
      <sheetName val="303_(2)"/>
      <sheetName val="308_(2)"/>
      <sheetName val="309_(2)"/>
      <sheetName val="JUNCTION_BOX"/>
      <sheetName val="PIPE_FITTING"/>
      <sheetName val="TUBE_FITTING"/>
      <sheetName val="CABLE_GLAND"/>
      <sheetName val="BLR_1"/>
      <sheetName val="CONS__EQUIP___"/>
      <sheetName val="REINF_"/>
      <sheetName val="부표총괄"/>
      <sheetName val="소비자가"/>
      <sheetName val="Cost control"/>
      <sheetName val="Elect"/>
      <sheetName val="FIRE FIGHTING"/>
      <sheetName val="내역"/>
      <sheetName val="Macro(전선)"/>
      <sheetName val="을"/>
      <sheetName val="배관"/>
      <sheetName val="9-1차이내역"/>
      <sheetName val="plan&amp;section of foundation"/>
      <sheetName val="design criteria"/>
      <sheetName val="DATA"/>
      <sheetName val="DESCRIPTION"/>
      <sheetName val="BM DATA SHEET"/>
      <sheetName val="PBS"/>
      <sheetName val="costing_CV"/>
      <sheetName val="costing_ESDV"/>
      <sheetName val="costing_FE"/>
      <sheetName val="costing_Misc"/>
      <sheetName val="costing_MOV"/>
      <sheetName val="costing_Press"/>
      <sheetName val="Dati"/>
      <sheetName val="DN"/>
      <sheetName val="Fluidi"/>
      <sheetName val="Temperatura"/>
      <sheetName val="Mat Stelo"/>
      <sheetName val="CIVIL"/>
      <sheetName val="N+"/>
      <sheetName val="주관사업"/>
      <sheetName val="요약배부"/>
      <sheetName val="도"/>
      <sheetName val="SHL"/>
      <sheetName val="DWTables"/>
      <sheetName val="BB2현대건설견적"/>
      <sheetName val="BREAKDOWN"/>
      <sheetName val="R2_0908"/>
      <sheetName val="BAP"/>
      <sheetName val="1.설계기준"/>
      <sheetName val="Resource"/>
      <sheetName val="95삼성급(본사)"/>
      <sheetName val="working load at the btm ft."/>
      <sheetName val="stability check"/>
      <sheetName val="CHK_OUT_BM_090914"/>
      <sheetName val="Unit SUM"/>
      <sheetName val="Total"/>
      <sheetName val="환율"/>
      <sheetName val="Page2"/>
      <sheetName val="Tables"/>
      <sheetName val="AILC004"/>
      <sheetName val="조경"/>
      <sheetName val="HRS"/>
      <sheetName val="DATA1"/>
      <sheetName val="OUTER AREA(겹침없음)"/>
      <sheetName val="JACKET(50,50)"/>
      <sheetName val="FLANGE"/>
      <sheetName val="Break Dw"/>
      <sheetName val="TblPriceDB"/>
      <sheetName val="Material Specification"/>
      <sheetName val="special item 양진규 작성"/>
      <sheetName val="MOTOR"/>
      <sheetName val="bill 2"/>
      <sheetName val="Sheet2"/>
      <sheetName val="CODE"/>
      <sheetName val="방유제용량 계산서"/>
      <sheetName val="dnc4"/>
      <sheetName val="SILICATE"/>
      <sheetName val="Sch.6"/>
      <sheetName val="정부노임단가"/>
      <sheetName val="인원계획"/>
      <sheetName val="lookup"/>
      <sheetName val="경제지표"/>
      <sheetName val="대비내역"/>
      <sheetName val="CAPVC"/>
      <sheetName val="Condition"/>
      <sheetName val="표지 (2)"/>
      <sheetName val="자료"/>
      <sheetName val="CAMP OPERATING COST"/>
      <sheetName val="PERSONNEL SETUP"/>
      <sheetName val="LIST OF OFFICE EQUIPMENT"/>
      <sheetName val="STAFF&amp;INDIRECT SALARY - SUMMARY"/>
      <sheetName val="KOREAN STAFF SALARY_BREAKDOWN"/>
      <sheetName val="WELFARE COST - SITE"/>
      <sheetName val="pile bearing capa &amp; arrenge"/>
      <sheetName val="design load"/>
      <sheetName val="oper_load"/>
      <sheetName val="evap"/>
      <sheetName val="개시대사 (2)"/>
      <sheetName val="집계표"/>
      <sheetName val="A-4"/>
      <sheetName val="Fab. Skid"/>
      <sheetName val="단가정보"/>
      <sheetName val="INPUT DATA"/>
      <sheetName val="CSTSUM"/>
      <sheetName val="UNSTEADY"/>
      <sheetName val="ITB_COST"/>
      <sheetName val="Mat_Stelo"/>
      <sheetName val="Unit_SUM"/>
      <sheetName val="Schedule(1)"/>
      <sheetName val="data_dci"/>
      <sheetName val="data_mci"/>
      <sheetName val="behind"/>
      <sheetName val="combi(wall)"/>
      <sheetName val="변수적용"/>
      <sheetName val="평3"/>
      <sheetName val="BLDG_MCI"/>
      <sheetName val="L V Separator"/>
      <sheetName val="7_5_1(A)_Data1"/>
      <sheetName val="7_5_1(B)_BOQ_Breakdown1"/>
      <sheetName val="7_5_1(C)_Scope1"/>
      <sheetName val="7_5_1(D)_Basis1"/>
      <sheetName val="7_5_1(E)_Allowance1"/>
      <sheetName val="7_5_2_BOQ_Summary1"/>
      <sheetName val="7_5_3_BOQ1"/>
      <sheetName val="A__Erec_BOQ(Shop)1"/>
      <sheetName val="B__Erec_BOQ(Field)1"/>
      <sheetName val="C__Surface_Protection1"/>
      <sheetName val="A__Erec_BOQ(Shop)_(2)1"/>
      <sheetName val="B__Erec_BOQ(Field)_(2)1"/>
      <sheetName val="C__Surf_Protection1"/>
      <sheetName val="Attachment_#11"/>
      <sheetName val="Attachment_#21"/>
      <sheetName val="302_C11"/>
      <sheetName val="302_C21"/>
      <sheetName val="SUPPLY_(2)1"/>
      <sheetName val="RETURN_(2)1"/>
      <sheetName val="303_(2)1"/>
      <sheetName val="308_(2)1"/>
      <sheetName val="309_(2)1"/>
      <sheetName val="JUNCTION_BOX1"/>
      <sheetName val="PIPE_FITTING1"/>
      <sheetName val="TUBE_FITTING1"/>
      <sheetName val="CABLE_GLAND1"/>
      <sheetName val="CONS__EQUIP___1"/>
      <sheetName val="REINF_1"/>
      <sheetName val="BLR_11"/>
      <sheetName val="97_사업추정(WEKI)"/>
      <sheetName val="Cost_control"/>
      <sheetName val="90EL_JACKET"/>
      <sheetName val="보온_회사분"/>
      <sheetName val="FIRE_FIGHTING"/>
      <sheetName val="Tipo_Terzi"/>
      <sheetName val="plan&amp;section_of_foundation"/>
      <sheetName val="design_criteria"/>
      <sheetName val="BM_DATA_SHEET"/>
      <sheetName val="sheeet2"/>
      <sheetName val="仪表分析表"/>
      <sheetName val="sum"/>
      <sheetName val="입고장부 (4)"/>
      <sheetName val="공통비"/>
      <sheetName val="FEUILLE INTERNE"/>
      <sheetName val="인원현황"/>
      <sheetName val="역T형"/>
      <sheetName val="CAMP - CONSTRUCTION"/>
      <sheetName val="설계조건"/>
      <sheetName val="조명시설"/>
      <sheetName val="e4-6-%"/>
      <sheetName val="EG-09"/>
      <sheetName val="Schedule 2 and 3"/>
      <sheetName val="Sheet3"/>
      <sheetName val="IBL-C"/>
      <sheetName val="총괄표양식"/>
      <sheetName val="차량운영비"/>
      <sheetName val="세부내역"/>
      <sheetName val="E_Rate PM"/>
      <sheetName val="현황CODE"/>
      <sheetName val="손익현황"/>
      <sheetName val="BOM_DWG"/>
      <sheetName val="회사99"/>
      <sheetName val="laroux"/>
      <sheetName val="7.5.2 BOQ Summary "/>
      <sheetName val="Perfiles"/>
      <sheetName val="PumpSpec"/>
      <sheetName val="Rekap A"/>
      <sheetName val="RFP009"/>
      <sheetName val="RFP007"/>
      <sheetName val="NP"/>
      <sheetName val="견적기준"/>
      <sheetName val="OD5000"/>
      <sheetName val="upah"/>
      <sheetName val="bahan"/>
      <sheetName val="measure"/>
      <sheetName val="paint mat"/>
      <sheetName val="工완성공사율"/>
      <sheetName val="IN"/>
      <sheetName val="TTL"/>
      <sheetName val="VE Estimate"/>
      <sheetName val="CALCULATION"/>
      <sheetName val="COMPRESSOR"/>
      <sheetName val="D=700"/>
      <sheetName val="Units"/>
      <sheetName val="Instructions"/>
      <sheetName val="건축내역"/>
      <sheetName val="심사계산"/>
      <sheetName val="심사물량"/>
      <sheetName val="CAL."/>
      <sheetName val="BOQ건축"/>
      <sheetName val="LD-OVERALL"/>
      <sheetName val="7_5_1(A)_Data2"/>
      <sheetName val="7_5_1(B)_BOQ_Breakdown2"/>
      <sheetName val="7_5_1(C)_Scope2"/>
      <sheetName val="7_5_1(D)_Basis2"/>
      <sheetName val="7_5_1(E)_Allowance2"/>
      <sheetName val="7_5_2_BOQ_Summary2"/>
      <sheetName val="7_5_3_BOQ2"/>
      <sheetName val="A__Erec_BOQ(Shop)2"/>
      <sheetName val="B__Erec_BOQ(Field)2"/>
      <sheetName val="C__Surface_Protection2"/>
      <sheetName val="A__Erec_BOQ(Shop)_(2)2"/>
      <sheetName val="B__Erec_BOQ(Field)_(2)2"/>
      <sheetName val="C__Surf_Protection2"/>
      <sheetName val="Attachment_#12"/>
      <sheetName val="Attachment_#22"/>
      <sheetName val="302_C12"/>
      <sheetName val="302_C22"/>
      <sheetName val="SUPPLY_(2)2"/>
      <sheetName val="RETURN_(2)2"/>
      <sheetName val="303_(2)2"/>
      <sheetName val="308_(2)2"/>
      <sheetName val="309_(2)2"/>
      <sheetName val="JUNCTION_BOX2"/>
      <sheetName val="PIPE_FITTING2"/>
      <sheetName val="TUBE_FITTING2"/>
      <sheetName val="CABLE_GLAND2"/>
      <sheetName val="CONS__EQUIP___2"/>
      <sheetName val="BLR_12"/>
      <sheetName val="REINF_2"/>
      <sheetName val="ITB_COST1"/>
      <sheetName val="97_사업추정(WEKI)1"/>
      <sheetName val="Cost_control1"/>
      <sheetName val="90EL_JACKET1"/>
      <sheetName val="보온_회사분1"/>
      <sheetName val="FIRE_FIGHTING1"/>
      <sheetName val="NDOCBT"/>
      <sheetName val="Summary"/>
      <sheetName val="Definitions"/>
      <sheetName val="input"/>
      <sheetName val="COMPARISON TABLE"/>
      <sheetName val="eq_data _x0000__x0000__x0000__x0000_"/>
      <sheetName val="Summary Sheets"/>
      <sheetName val="Sheet6"/>
      <sheetName val="원본"/>
      <sheetName val="Cover sheet"/>
      <sheetName val="BSD (2)"/>
      <sheetName val="KLHT"/>
      <sheetName val="General"/>
      <sheetName val="Menus"/>
      <sheetName val="단가"/>
      <sheetName val="TRAY BM"/>
      <sheetName val="Set"/>
      <sheetName val="LABTOTAL"/>
      <sheetName val="일위대가표"/>
      <sheetName val="품셈1-17"/>
      <sheetName val="11.자재단가"/>
      <sheetName val="Imp-Data"/>
      <sheetName val="PROJECT"/>
      <sheetName val="1 OF 9"/>
      <sheetName val="Quantity"/>
      <sheetName val="KP_List"/>
      <sheetName val="나이대조표"/>
      <sheetName val="BLDG_DCI"/>
      <sheetName val="기둥(원형)"/>
      <sheetName val="COPING"/>
      <sheetName val="예산M11A"/>
      <sheetName val="Graph (LGEN)"/>
      <sheetName val="out_prog"/>
      <sheetName val="선적schedule (2)"/>
      <sheetName val="NPC500"/>
      <sheetName val="D-3"/>
      <sheetName val="norms"/>
      <sheetName val="HVAC"/>
      <sheetName val="2.3"/>
      <sheetName val="기계공사비집계(원안)"/>
      <sheetName val="10현장조직"/>
      <sheetName val="TB-내역서"/>
      <sheetName val="new급여T(4을-운전)"/>
      <sheetName val="갑지"/>
      <sheetName val="Design"/>
      <sheetName val="RFP002"/>
      <sheetName val="실행내역"/>
      <sheetName val="공사"/>
      <sheetName val="MyLists"/>
      <sheetName val="산근"/>
      <sheetName val="을지"/>
      <sheetName val="#3E1_GCR"/>
      <sheetName val="대치판정"/>
      <sheetName val="EE-PROP"/>
      <sheetName val="영업2"/>
      <sheetName val="영업3"/>
      <sheetName val="Code_Magics"/>
      <sheetName val="Titel"/>
      <sheetName val="1_설계기준"/>
      <sheetName val="bill_2"/>
      <sheetName val="NAMES"/>
      <sheetName val="표지"/>
      <sheetName val="데이타"/>
      <sheetName val="Sheet10"/>
      <sheetName val="VV-REV2"/>
      <sheetName val="-15.0"/>
      <sheetName val="부재치수입력"/>
      <sheetName val="BREAKDOWN(철거설치)"/>
      <sheetName val="맨홀수량산출"/>
      <sheetName val="11"/>
      <sheetName val="plan&amp;section_of_foundation1"/>
      <sheetName val="design_criteria1"/>
      <sheetName val="Tipo_Terzi1"/>
      <sheetName val="BM_DATA_SHEET1"/>
      <sheetName val="Mat_Stelo1"/>
      <sheetName val="working_load_at_the_btm_ft_"/>
      <sheetName val="stability_check"/>
      <sheetName val="Unit_SUM1"/>
      <sheetName val="Break_Dw"/>
      <sheetName val="방유제용량_계산서"/>
      <sheetName val="INPUT_DATA"/>
      <sheetName val="special_item_양진규_작성"/>
      <sheetName val="OUTER_AREA(겹침없음)"/>
      <sheetName val="Material_Specification"/>
      <sheetName val="개시대사_(2)"/>
      <sheetName val="pile_bearing_capa_&amp;_arrenge"/>
      <sheetName val="design_load"/>
      <sheetName val="표지_(2)"/>
      <sheetName val="Sch_6"/>
      <sheetName val="Fab__Skid"/>
      <sheetName val="CAMP_OPERATING_COST"/>
      <sheetName val="PERSONNEL_SETUP"/>
      <sheetName val="LIST_OF_OFFICE_EQUIPMENT"/>
      <sheetName val="STAFF&amp;INDIRECT_SALARY_-_SUMMARY"/>
      <sheetName val="KOREAN_STAFF_SALARY_BREAKDOWN"/>
      <sheetName val="WELFARE_COST_-_SITE"/>
      <sheetName val="입고장부_(4)"/>
      <sheetName val="FEUILLE_INTERNE"/>
      <sheetName val="11_자재단가"/>
      <sheetName val="1_OF_9"/>
      <sheetName val="COMPARISON_TABLE"/>
      <sheetName val="L_V_Separator"/>
      <sheetName val="CAMP_-_CONSTRUCTION"/>
      <sheetName val="E_Rate_PM"/>
      <sheetName val="Schedule_2_and_3"/>
      <sheetName val="sc0314 Index"/>
      <sheetName val="종목코드"/>
      <sheetName val="COA-17"/>
      <sheetName val="C-18"/>
      <sheetName val="Rev No"/>
      <sheetName val="NC"/>
      <sheetName val="Resource summary"/>
      <sheetName val="SG"/>
      <sheetName val="Data_Vert"/>
      <sheetName val="Rebar"/>
      <sheetName val="Data_ST"/>
      <sheetName val="Load"/>
      <sheetName val="건축집계"/>
      <sheetName val="Tiburon"/>
      <sheetName val="Diainch"/>
      <sheetName val="w't table"/>
      <sheetName val="3.0 Overall Progress S-curve"/>
      <sheetName val="3-4 SPI"/>
      <sheetName val="Lists"/>
      <sheetName val="B"/>
      <sheetName val="단가비교"/>
      <sheetName val="Basic"/>
      <sheetName val="견적 집계"/>
      <sheetName val="PULLING SUPT등"/>
      <sheetName val="DATE"/>
      <sheetName val="eq_data _x005f_x0000__x005f_x0000__x005f_x0000__x"/>
      <sheetName val="cashflow"/>
      <sheetName val="급여일반"/>
      <sheetName val="choose"/>
      <sheetName val="당초"/>
      <sheetName val="Quotation"/>
      <sheetName val="Info"/>
      <sheetName val="차액보증"/>
      <sheetName val="말뚝지지력산정"/>
      <sheetName val="단중표"/>
      <sheetName val="SORTING"/>
      <sheetName val="배관물량 (STEEL)"/>
      <sheetName val="Sheet 1"/>
      <sheetName val="Offertemodel"/>
      <sheetName val="연돌일위집계"/>
      <sheetName val="품셈"/>
      <sheetName val="Break Down"/>
      <sheetName val="BQ"/>
      <sheetName val="22-Plant"/>
      <sheetName val="Supervision List"/>
      <sheetName val="Equip_Pipe_Insulation"/>
      <sheetName val="BQ_Piping"/>
      <sheetName val="PROCURE"/>
      <sheetName val="labor"/>
      <sheetName val="간접비 총괄표"/>
      <sheetName val="Struct-Grass root"/>
      <sheetName val="미입고자재목록_설계1과"/>
      <sheetName val="PAGE 2"/>
      <sheetName val="입력값"/>
      <sheetName val="_x0000_è"/>
      <sheetName val="BQLIST"/>
      <sheetName val="제출계산서"/>
      <sheetName val="품셈1-26"/>
      <sheetName val="LEGEND"/>
      <sheetName val="KP1590_E"/>
      <sheetName val="한계원가"/>
      <sheetName val="Page 10"/>
      <sheetName val="CRUDE RE-bar"/>
      <sheetName val="database-emp"/>
      <sheetName val="평균환율-USD"/>
      <sheetName val="REG-BASIS"/>
      <sheetName val="TENDER PROG."/>
      <sheetName val="PROC.PROG"/>
      <sheetName val="DUTCH CONE"/>
      <sheetName val="harga"/>
      <sheetName val="koef"/>
      <sheetName val="Resume"/>
      <sheetName val="C급보 "/>
      <sheetName val="자재군별"/>
      <sheetName val="재료내역"/>
      <sheetName val="EXCHANGE_RATE"/>
      <sheetName val="Scaffold"/>
      <sheetName val="Access"/>
      <sheetName val="PAGE 3_GENERAL DETAILS"/>
      <sheetName val="Proposal"/>
      <sheetName val="적용 환율"/>
      <sheetName val="SPEC-DT2"/>
      <sheetName val="공사내역"/>
      <sheetName val="북제주-표지"/>
      <sheetName val="Macro"/>
      <sheetName val="Taux"/>
      <sheetName val="Rectangular Beam"/>
      <sheetName val="현금"/>
      <sheetName val="요율"/>
      <sheetName val="자재대"/>
      <sheetName val="八幡"/>
      <sheetName val="GM 000"/>
      <sheetName val="PRECAST lightconc-II"/>
      <sheetName val="csdim"/>
      <sheetName val="cdsload"/>
      <sheetName val="chsload"/>
      <sheetName val="CLAMP"/>
      <sheetName val="cvsload"/>
      <sheetName val="Cash2"/>
      <sheetName val="Z"/>
      <sheetName val="환산표"/>
      <sheetName val="El(Increased)"/>
      <sheetName val="COVER-P"/>
      <sheetName val="PUMP SHT"/>
      <sheetName val="FC-01"/>
      <sheetName val="FC-06"/>
      <sheetName val="MC-01"/>
      <sheetName val="Sal"/>
      <sheetName val="eq_data _x0000__x0000__x0000__x"/>
      <sheetName val=""/>
      <sheetName val="TIE-INS"/>
      <sheetName val="6.공사비 내역 (가)"/>
      <sheetName val="ORIGN"/>
      <sheetName val="PRI CIV"/>
      <sheetName val="FOR CIV"/>
      <sheetName val="SUB CIV"/>
      <sheetName val="ANA CIV"/>
      <sheetName val="AUX CIV"/>
      <sheetName val="DCS"/>
      <sheetName val="Elect (3)"/>
      <sheetName val="TS-TC"/>
      <sheetName val="hori. vessel(E-895)"/>
      <sheetName val="FLD"/>
      <sheetName val="TDC_ADMIN"/>
      <sheetName val="Requisitions"/>
      <sheetName val="ICDS"/>
      <sheetName val="수량산출"/>
      <sheetName val="PSV"/>
      <sheetName val="P-Ph3-F-002"/>
      <sheetName val="전기"/>
      <sheetName val="200"/>
      <sheetName val="BM1"/>
      <sheetName val="REDUCER"/>
      <sheetName val="WE'T"/>
      <sheetName val="Assumptions"/>
      <sheetName val="CARBOLINE분석"/>
      <sheetName val="RFP005"/>
      <sheetName val="RFP006"/>
      <sheetName val="CostDB"/>
      <sheetName val="FWBS7000,8000"/>
      <sheetName val="Reference Table"/>
      <sheetName val="Lookups"/>
      <sheetName val="co-no.2"/>
      <sheetName val="CAL(1)."/>
      <sheetName val="Activity(new)"/>
      <sheetName val="물량집계(전기)"/>
      <sheetName val="물량집계(계장)"/>
      <sheetName val="bdown"/>
      <sheetName val="33628-Rev. A"/>
      <sheetName val="TYPE-B 평균H"/>
      <sheetName val="뜃맟뭁돽띿맟?-BLDG"/>
      <sheetName val="D-623D"/>
      <sheetName val="member design"/>
      <sheetName val="soil bearing check"/>
      <sheetName val="OCT.FDN"/>
      <sheetName val=" "/>
    </sheetNames>
    <sheetDataSet>
      <sheetData sheetId="0">
        <row r="5">
          <cell r="C5" t="str">
            <v>Isolated type</v>
          </cell>
        </row>
      </sheetData>
      <sheetData sheetId="1">
        <row r="5">
          <cell r="C5" t="str">
            <v>Isolated type</v>
          </cell>
        </row>
      </sheetData>
      <sheetData sheetId="2" refreshError="1"/>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sheetData sheetId="103"/>
      <sheetData sheetId="104"/>
      <sheetData sheetId="105"/>
      <sheetData sheetId="106"/>
      <sheetData sheetId="107"/>
      <sheetData sheetId="108"/>
      <sheetData sheetId="109"/>
      <sheetData sheetId="110"/>
      <sheetData sheetId="111">
        <row r="5">
          <cell r="C5" t="str">
            <v>PACKAGE NO.</v>
          </cell>
        </row>
      </sheetData>
      <sheetData sheetId="112"/>
      <sheetData sheetId="113"/>
      <sheetData sheetId="114"/>
      <sheetData sheetId="115"/>
      <sheetData sheetId="116"/>
      <sheetData sheetId="117"/>
      <sheetData sheetId="118" refreshError="1"/>
      <sheetData sheetId="119">
        <row r="9">
          <cell r="C9" t="str">
            <v>현대건설㈜</v>
          </cell>
        </row>
      </sheetData>
      <sheetData sheetId="120"/>
      <sheetData sheetId="121"/>
      <sheetData sheetId="122"/>
      <sheetData sheetId="123"/>
      <sheetData sheetId="124"/>
      <sheetData sheetId="125"/>
      <sheetData sheetId="126"/>
      <sheetData sheetId="127"/>
      <sheetData sheetId="128"/>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sheetData sheetId="690"/>
      <sheetData sheetId="691"/>
      <sheetData sheetId="692"/>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tle"/>
      <sheetName val="Help - Getting Started"/>
      <sheetName val="SortedList"/>
      <sheetName val="Index"/>
      <sheetName val="GenNotes"/>
      <sheetName val="PSV-3401"/>
      <sheetName val="PSV-3402"/>
      <sheetName val="PSV-3403"/>
      <sheetName val="PSV-3404"/>
      <sheetName val="PSV-3405"/>
      <sheetName val="PSV-3406A-B"/>
      <sheetName val="PSV-3407"/>
      <sheetName val="PSV-3409A-B"/>
      <sheetName val="PSV-3410"/>
      <sheetName val="PSV-3413A-B-C"/>
      <sheetName val="PSV-3414A-B-C"/>
      <sheetName val="PSV-3415A-B-C"/>
      <sheetName val="PSV-3418A-B"/>
      <sheetName val="PSV-3420"/>
      <sheetName val="PSV-3465"/>
      <sheetName val="PSV-3471"/>
      <sheetName val="PRV29"/>
      <sheetName val="PRV03"/>
      <sheetName val="PRV31"/>
      <sheetName val="PRV32"/>
      <sheetName val="PRV33"/>
      <sheetName val="PRV34"/>
      <sheetName val="PRV35"/>
      <sheetName val="PRV36"/>
      <sheetName val="PRV37"/>
      <sheetName val="PRV38"/>
      <sheetName val="PRV39"/>
      <sheetName val="PRV40"/>
      <sheetName val="PRV13"/>
      <sheetName val="PRV14"/>
      <sheetName val="PRV15"/>
      <sheetName val="PRV16"/>
      <sheetName val="PRV17"/>
      <sheetName val="PRV18"/>
      <sheetName val="PRV19"/>
      <sheetName val="PRV20"/>
      <sheetName val="PRV21"/>
      <sheetName val="PRV22"/>
      <sheetName val="PRV23"/>
      <sheetName val="PRV24"/>
      <sheetName val="eq_dat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주요물량분석"/>
      <sheetName val="Concrete물량분석"/>
      <sheetName val="BIDBase"/>
      <sheetName val="비교1"/>
      <sheetName val="비교2"/>
      <sheetName val="비교3"/>
      <sheetName val="BM(2)_Humepipe"/>
      <sheetName val="BM(3)_Total(CVnSTR)"/>
      <sheetName val="U00"/>
      <sheetName val="U01"/>
      <sheetName val="U02"/>
      <sheetName val="U03"/>
      <sheetName val="U06"/>
      <sheetName val="U07"/>
      <sheetName val="U08"/>
      <sheetName val="U09"/>
      <sheetName val="U10"/>
      <sheetName val="U11"/>
      <sheetName val="U13"/>
      <sheetName val="U31_Base"/>
      <sheetName val="U21"/>
      <sheetName val="U25"/>
      <sheetName val="U26"/>
      <sheetName val="U29"/>
      <sheetName val="U30"/>
      <sheetName val="U40"/>
      <sheetName val="U42"/>
      <sheetName val="U43"/>
      <sheetName val="U45"/>
      <sheetName val="U47"/>
      <sheetName val="U48"/>
      <sheetName val="U60"/>
      <sheetName val="Circular18"/>
      <sheetName val="U47U48_Pway"/>
      <sheetName val="U25_SWI"/>
      <sheetName val="U20_GTG"/>
      <sheetName val="SPrep_MainONLY"/>
      <sheetName val="SPrep_E3TK(R264)"/>
      <sheetName val="SPrep_E4TK(R187)"/>
      <sheetName val="SPrep_E4TK (R233)"/>
      <sheetName val="U43_Opt-Rmote"/>
      <sheetName val="Category"/>
      <sheetName val="SortedList"/>
      <sheetName val="OU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8">
          <cell r="C8" t="str">
            <v>Topographical Survey(Plant Area)</v>
          </cell>
        </row>
      </sheetData>
      <sheetData sheetId="9">
        <row r="8">
          <cell r="C8" t="str">
            <v>Topographical Survey(Plant Area)</v>
          </cell>
        </row>
      </sheetData>
      <sheetData sheetId="10">
        <row r="8">
          <cell r="C8" t="str">
            <v>Topographical Survey(Plant Area)</v>
          </cell>
        </row>
      </sheetData>
      <sheetData sheetId="11">
        <row r="8">
          <cell r="C8" t="str">
            <v>Topographical Survey(Plant Area)</v>
          </cell>
        </row>
      </sheetData>
      <sheetData sheetId="12">
        <row r="8">
          <cell r="C8" t="str">
            <v>Topographical Survey(Plant Area)</v>
          </cell>
        </row>
      </sheetData>
      <sheetData sheetId="13">
        <row r="8">
          <cell r="C8" t="str">
            <v>Topographical Survey(Plant Area)</v>
          </cell>
        </row>
      </sheetData>
      <sheetData sheetId="14">
        <row r="8">
          <cell r="C8" t="str">
            <v>Topographical Survey(Plant Area)</v>
          </cell>
        </row>
      </sheetData>
      <sheetData sheetId="15">
        <row r="8">
          <cell r="C8" t="str">
            <v>Topographical Survey(Plant Area)</v>
          </cell>
        </row>
      </sheetData>
      <sheetData sheetId="16">
        <row r="8">
          <cell r="C8" t="str">
            <v>Topographical Survey(Plant Area)</v>
          </cell>
        </row>
      </sheetData>
      <sheetData sheetId="17">
        <row r="8">
          <cell r="C8" t="str">
            <v>Topographical Survey(Plant Area)</v>
          </cell>
        </row>
      </sheetData>
      <sheetData sheetId="18">
        <row r="8">
          <cell r="C8" t="str">
            <v>Topographical Survey(Plant Area)</v>
          </cell>
        </row>
      </sheetData>
      <sheetData sheetId="19">
        <row r="8">
          <cell r="C8" t="str">
            <v>Topographical Survey(Plant Area)</v>
          </cell>
        </row>
      </sheetData>
      <sheetData sheetId="20">
        <row r="8">
          <cell r="C8" t="str">
            <v>Topographical Survey(Plant Area)</v>
          </cell>
        </row>
      </sheetData>
      <sheetData sheetId="21">
        <row r="8">
          <cell r="C8" t="str">
            <v>Topographical Survey(Plant Area)</v>
          </cell>
        </row>
      </sheetData>
      <sheetData sheetId="22">
        <row r="8">
          <cell r="C8" t="str">
            <v>Topographical Survey(Plant Area)</v>
          </cell>
        </row>
      </sheetData>
      <sheetData sheetId="23">
        <row r="8">
          <cell r="C8" t="str">
            <v>Topographical Survey(Plant Area)</v>
          </cell>
        </row>
      </sheetData>
      <sheetData sheetId="24">
        <row r="8">
          <cell r="C8" t="str">
            <v>Topographical Survey(Plant Area)</v>
          </cell>
        </row>
      </sheetData>
      <sheetData sheetId="25">
        <row r="8">
          <cell r="C8" t="str">
            <v>Topographical Survey(Plant Area)</v>
          </cell>
        </row>
      </sheetData>
      <sheetData sheetId="26">
        <row r="8">
          <cell r="C8" t="str">
            <v>Topographical Survey(Plant Area)</v>
          </cell>
        </row>
      </sheetData>
      <sheetData sheetId="27">
        <row r="8">
          <cell r="C8" t="str">
            <v>Topographical Survey(Plant Area)</v>
          </cell>
        </row>
      </sheetData>
      <sheetData sheetId="28">
        <row r="8">
          <cell r="C8" t="str">
            <v>Topographical Survey(Plant Area)</v>
          </cell>
        </row>
      </sheetData>
      <sheetData sheetId="29">
        <row r="8">
          <cell r="C8" t="str">
            <v>Topographical Survey(Plant Area)</v>
          </cell>
        </row>
      </sheetData>
      <sheetData sheetId="30">
        <row r="8">
          <cell r="C8" t="str">
            <v>Topographical Survey(Plant Area)</v>
          </cell>
        </row>
      </sheetData>
      <sheetData sheetId="31">
        <row r="8">
          <cell r="C8" t="str">
            <v>Topographical Survey(Plant Area)</v>
          </cell>
        </row>
      </sheetData>
      <sheetData sheetId="32" refreshError="1"/>
      <sheetData sheetId="33" refreshError="1"/>
      <sheetData sheetId="34" refreshError="1"/>
      <sheetData sheetId="35" refreshError="1"/>
      <sheetData sheetId="36" refreshError="1"/>
      <sheetData sheetId="37" refreshError="1"/>
      <sheetData sheetId="38">
        <row r="8">
          <cell r="C8" t="str">
            <v>Topographical Survey(Plant Area)</v>
          </cell>
        </row>
      </sheetData>
      <sheetData sheetId="39" refreshError="1"/>
      <sheetData sheetId="40" refreshError="1"/>
      <sheetData sheetId="41" refreshError="1"/>
      <sheetData sheetId="42" refreshError="1"/>
      <sheetData sheetId="43" refreshError="1"/>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 2 BM list"/>
      <sheetName val="7.3.3.B"/>
      <sheetName val="7.3.3.B_Attachment"/>
      <sheetName val="SPrep_E4TK(R187)"/>
      <sheetName val="U00"/>
      <sheetName val="U01"/>
      <sheetName val="U02"/>
      <sheetName val="U03"/>
      <sheetName val="U06"/>
      <sheetName val="U07"/>
      <sheetName val="U08"/>
      <sheetName val="U09"/>
      <sheetName val="U10"/>
      <sheetName val="U11"/>
      <sheetName val="U13"/>
      <sheetName val="U21"/>
      <sheetName val="U25"/>
      <sheetName val="U26"/>
      <sheetName val="U29"/>
      <sheetName val="U30"/>
      <sheetName val="U31_Base"/>
      <sheetName val="U40"/>
      <sheetName val="U42"/>
      <sheetName val="U43"/>
      <sheetName val="U45"/>
      <sheetName val="U47"/>
      <sheetName val="U48"/>
      <sheetName val="U60"/>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표지"/>
      <sheetName val="경제지표"/>
      <sheetName val="인원"/>
      <sheetName val="부서면적"/>
      <sheetName val="부서면적1"/>
      <sheetName val="임대면적"/>
      <sheetName val="출장교통"/>
      <sheetName val="세금자료"/>
      <sheetName val="인원계획"/>
      <sheetName val="공사비_NDE"/>
      <sheetName val="POL6차-PIPING"/>
      <sheetName val="Sheet1"/>
      <sheetName val="INPUT DATA"/>
      <sheetName val="h-013211-2"/>
      <sheetName val="공사비 내역 (가)"/>
      <sheetName val="산근"/>
      <sheetName val="BOJUNGGM"/>
      <sheetName val="정부노임단가"/>
      <sheetName val="eq_data"/>
      <sheetName val="출금실적"/>
      <sheetName val="영업2"/>
      <sheetName val="영업3"/>
      <sheetName val="손익차9월2"/>
      <sheetName val="SPrep_E4TK(R187)"/>
      <sheetName val="U00"/>
      <sheetName val="U01"/>
      <sheetName val="U02"/>
      <sheetName val="U03"/>
      <sheetName val="U06"/>
      <sheetName val="U07"/>
      <sheetName val="U08"/>
      <sheetName val="U09"/>
      <sheetName val="U10"/>
      <sheetName val="U11"/>
      <sheetName val="U13"/>
      <sheetName val="U21"/>
      <sheetName val="U25"/>
      <sheetName val="U26"/>
      <sheetName val="U29"/>
      <sheetName val="U30"/>
      <sheetName val="U31_Base"/>
      <sheetName val="U40"/>
      <sheetName val="U42"/>
      <sheetName val="U43"/>
      <sheetName val="U45"/>
      <sheetName val="U47"/>
      <sheetName val="U48"/>
      <sheetName val="U60"/>
      <sheetName val="8"/>
      <sheetName val="10"/>
      <sheetName val="12"/>
      <sheetName val="9"/>
      <sheetName val="11"/>
      <sheetName val="2"/>
      <sheetName val="할증 "/>
      <sheetName val="VST재료산출"/>
      <sheetName val="Civil"/>
      <sheetName val="DB@Acess"/>
      <sheetName val="Cover"/>
      <sheetName val="수입"/>
      <sheetName val="HVAC"/>
      <sheetName val="95삼성급(본사)"/>
      <sheetName val="주관사업"/>
      <sheetName val="소화실적"/>
      <sheetName val="정산표2"/>
      <sheetName val="원단위자료2xls"/>
      <sheetName val="영업소실적"/>
      <sheetName val="Panel제작명세서"/>
      <sheetName val="동아합의"/>
      <sheetName val="사업부배부A"/>
      <sheetName val="Compressors"/>
      <sheetName val="97 사업추정(WEKI)"/>
      <sheetName val="CondPol"/>
      <sheetName val="원가계산서"/>
      <sheetName val="갑지"/>
      <sheetName val="Sheet2"/>
      <sheetName val="5"/>
      <sheetName val="INSTR"/>
      <sheetName val="9-1차이내역"/>
      <sheetName val="설계산출기초"/>
      <sheetName val="도급예산내역서봉투"/>
      <sheetName val="공사원가계산서"/>
      <sheetName val="설계산출표지"/>
      <sheetName val="도급예산내역서총괄표"/>
      <sheetName val="을부담운반비"/>
      <sheetName val="운반비산출"/>
      <sheetName val="간접비 총괄표"/>
      <sheetName val="CIVIL WORK"/>
      <sheetName val="footing"/>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t"/>
      <sheetName val="t"/>
      <sheetName val="os"/>
      <sheetName val="Sheet1"/>
      <sheetName val="Sheet2"/>
      <sheetName val="경제지표"/>
      <sheetName val="세금자료"/>
      <sheetName val="SortedList"/>
      <sheetName val="Cover"/>
    </sheetNames>
    <sheetDataSet>
      <sheetData sheetId="0"/>
      <sheetData sheetId="1"/>
      <sheetData sheetId="2"/>
      <sheetData sheetId="3" refreshError="1"/>
      <sheetData sheetId="4" refreshError="1"/>
      <sheetData sheetId="5" refreshError="1"/>
      <sheetData sheetId="6" refreshError="1"/>
      <sheetData sheetId="7" refreshError="1"/>
      <sheetData sheetId="8"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tenance Work Order"/>
      <sheetName val="BLANK - Maintenance Work Order "/>
      <sheetName val="- Disclaimer -"/>
    </sheetNames>
    <sheetDataSet>
      <sheetData sheetId="0"/>
      <sheetData sheetId="1" refreshError="1"/>
      <sheetData sheetId="2" refreshError="1"/>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BOQ_Summary"/>
      <sheetName val="BOQ_HVAC &amp; Plumbing"/>
      <sheetName val="h-013211-2"/>
    </sheetNames>
    <sheetDataSet>
      <sheetData sheetId="0" refreshError="1"/>
      <sheetData sheetId="1"/>
      <sheetData sheetId="2" refreshError="1"/>
      <sheetData sheetId="3"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주간행사내부용"/>
      <sheetName val="주간행현황"/>
      <sheetName val="나스미디어"/>
      <sheetName val="지니웍스"/>
      <sheetName val="LGCNS"/>
      <sheetName val="네티웰"/>
      <sheetName val="국카몰"/>
      <sheetName val="온누리굿데이"/>
      <sheetName val="파이어볼"/>
      <sheetName val="명진"/>
      <sheetName val="오렌지스펙트럼"/>
      <sheetName val="코디웍스"/>
      <sheetName val="씨튼"/>
      <sheetName val="이솔랏코리아"/>
      <sheetName val="마이웰"/>
      <sheetName val="서울도시미디어"/>
      <sheetName val="마트스마트 BMW몰"/>
      <sheetName val="sk엠앤서비스"/>
      <sheetName val="SK엠앤(박스단위)"/>
      <sheetName val="베네피아"/>
      <sheetName val="이제너두"/>
      <sheetName val="제이원비전(월간,제안서X_등록만)"/>
      <sheetName val="아임퀸(월간,제안서만발송)"/>
      <sheetName val="다샵커머스(주간행사X)"/>
      <sheetName val="군번몰(주간행사X)"/>
      <sheetName val="이준시스템(매월마지막주)"/>
      <sheetName val="지에스리테일"/>
      <sheetName val="더웰솔루션"/>
      <sheetName val="딜라이브"/>
      <sheetName val="엔바이탈(주간행사X)"/>
      <sheetName val="원스토어(주간행사X)"/>
      <sheetName val="몽땅뚝딱(요청오면 제안)"/>
      <sheetName val="플레이한"/>
      <sheetName val="우정사업본부"/>
      <sheetName val="디앤케이(파트너사정보)"/>
      <sheetName val="디앤케이(상품제안서)"/>
    </sheetNames>
    <sheetDataSet>
      <sheetData sheetId="0">
        <row r="13">
          <cell r="A13" t="str">
            <v>■. 주간행사 제안서 10월 3주차</v>
          </cell>
        </row>
        <row r="15">
          <cell r="A15" t="str">
            <v>NO.</v>
          </cell>
          <cell r="B15" t="str">
            <v>상품군</v>
          </cell>
          <cell r="C15" t="str">
            <v>이미지</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7.6.1.B. BOQ Breakdown pkg2B"/>
      <sheetName val="7.6.1.B. BOQ Breakdown pkg3"/>
      <sheetName val="Sheet2"/>
      <sheetName val="Sheet3"/>
      <sheetName val="공사비_NDE"/>
    </sheetNames>
    <sheetDataSet>
      <sheetData sheetId="0" refreshError="1"/>
      <sheetData sheetId="1" refreshError="1"/>
      <sheetData sheetId="2" refreshError="1"/>
      <sheetData sheetId="3" refreshError="1"/>
      <sheetData sheetId="4"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급사 상품제안서"/>
      <sheetName val="공급사 상품제안서_샘플"/>
      <sheetName val="★수정금지★ 카테고리"/>
      <sheetName val="★수정금지★ 삼성카드담당자용"/>
      <sheetName val="분류표_변경"/>
    </sheetNames>
    <sheetDataSet>
      <sheetData sheetId="0"/>
      <sheetData sheetId="1"/>
      <sheetData sheetId="2"/>
      <sheetData sheetId="3"/>
      <sheetData sheetId="4">
        <row r="3">
          <cell r="H3" t="str">
            <v>패션의류</v>
          </cell>
        </row>
        <row r="4">
          <cell r="H4" t="str">
            <v>패션잡화</v>
          </cell>
        </row>
        <row r="5">
          <cell r="H5" t="str">
            <v>가방_지갑</v>
          </cell>
        </row>
        <row r="6">
          <cell r="H6" t="str">
            <v>슈즈</v>
          </cell>
        </row>
        <row r="7">
          <cell r="H7" t="str">
            <v>뷰티</v>
          </cell>
        </row>
        <row r="8">
          <cell r="H8" t="str">
            <v>삼성전자</v>
          </cell>
        </row>
        <row r="9">
          <cell r="H9" t="str">
            <v>주방가전</v>
          </cell>
        </row>
        <row r="10">
          <cell r="H10" t="str">
            <v>식품_음료</v>
          </cell>
        </row>
        <row r="11">
          <cell r="H11" t="str">
            <v>건강식품</v>
          </cell>
        </row>
        <row r="12">
          <cell r="H12" t="str">
            <v>생활가전</v>
          </cell>
        </row>
        <row r="13">
          <cell r="H13" t="str">
            <v>홈인테리어</v>
          </cell>
        </row>
        <row r="14">
          <cell r="H14" t="str">
            <v>자동차</v>
          </cell>
        </row>
        <row r="15">
          <cell r="H15" t="str">
            <v>조리도구</v>
          </cell>
        </row>
        <row r="16">
          <cell r="H16" t="str">
            <v>디지털</v>
          </cell>
        </row>
        <row r="17">
          <cell r="H17" t="str">
            <v>스포츠</v>
          </cell>
        </row>
        <row r="18">
          <cell r="H18" t="str">
            <v>헬스</v>
          </cell>
        </row>
        <row r="19">
          <cell r="H19" t="str">
            <v>등산</v>
          </cell>
        </row>
        <row r="20">
          <cell r="H20" t="str">
            <v>캠핑</v>
          </cell>
        </row>
        <row r="21">
          <cell r="H21" t="str">
            <v>생활용품</v>
          </cell>
        </row>
        <row r="22">
          <cell r="H22" t="str">
            <v>취미_학습</v>
          </cell>
        </row>
        <row r="23">
          <cell r="H23" t="str">
            <v>리움샵</v>
          </cell>
        </row>
        <row r="24">
          <cell r="H24" t="str">
            <v>FOR_BABY</v>
          </cell>
        </row>
        <row r="25">
          <cell r="H25" t="str">
            <v>유모차_자전거</v>
          </cell>
        </row>
        <row r="26">
          <cell r="H26" t="str">
            <v>아가사랑 세탁기</v>
          </cell>
        </row>
        <row r="27">
          <cell r="H27" t="str">
            <v>FOR_KIDS</v>
          </cell>
        </row>
        <row r="28">
          <cell r="H28" t="str">
            <v>완구_학습</v>
          </cell>
        </row>
        <row r="29">
          <cell r="H29" t="str">
            <v>가구_침구</v>
          </cell>
        </row>
        <row r="30">
          <cell r="H30" t="str">
            <v>골프관</v>
          </cell>
        </row>
        <row r="31">
          <cell r="H31" t="str">
            <v>판촉물관</v>
          </cell>
        </row>
      </sheetData>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부배부A"/>
      <sheetName val="영업소실적"/>
      <sheetName val="사업부배부B"/>
      <sheetName val="사업부별실적A"/>
      <sheetName val="사업부별실적B"/>
      <sheetName val="계정별실적"/>
      <sheetName val="분기별계획"/>
      <sheetName val="임대원가"/>
      <sheetName val="관리비 추정"/>
      <sheetName val="예산초과내역"/>
      <sheetName val="해외인원추이"/>
      <sheetName val="배부비교"/>
      <sheetName val="상반기손익차2총괄"/>
      <sheetName val="BEND LOSS"/>
      <sheetName val="부표"/>
      <sheetName val="장비종합부표"/>
      <sheetName val="도급양식"/>
      <sheetName val="접대비명세서"/>
      <sheetName val="Sheet1"/>
      <sheetName val="간접비 총괄표"/>
      <sheetName val="C급보 "/>
      <sheetName val="환율"/>
      <sheetName val="할증 "/>
      <sheetName val="N賃率-職"/>
      <sheetName val="6호기"/>
      <sheetName val="배부961"/>
      <sheetName val="b_balju-단가단가단가"/>
      <sheetName val="패널"/>
      <sheetName val="세금자료"/>
      <sheetName val="주관사업"/>
      <sheetName val="수입"/>
      <sheetName val="노임단가"/>
      <sheetName val="공사내역"/>
      <sheetName val="노무비"/>
      <sheetName val="물가대비표"/>
      <sheetName val="단가산출"/>
      <sheetName val="7단가"/>
      <sheetName val="공사비_NDE"/>
      <sheetName val="설계명세서"/>
      <sheetName val="품셈표"/>
      <sheetName val="70%"/>
      <sheetName val="일위대가(건축)"/>
      <sheetName val="DATE"/>
      <sheetName val="2.1.1"/>
      <sheetName val="첨1.4"/>
      <sheetName val="첨1.5"/>
      <sheetName val="첨1.3"/>
      <sheetName val="2공구산출내역"/>
      <sheetName val="내역서"/>
      <sheetName val="매각(6)"/>
      <sheetName val="실행예산SHEET도장재검토"/>
      <sheetName val="Cover"/>
      <sheetName val="견적서을"/>
      <sheetName val="C3"/>
      <sheetName val="예산내역"/>
      <sheetName val="총괄수지표"/>
      <sheetName val="잡설비내역"/>
      <sheetName val="일위목록"/>
      <sheetName val="요율"/>
      <sheetName val="SIMULATION"/>
      <sheetName val="#REF"/>
      <sheetName val="가로등내역서"/>
      <sheetName val="도장시공집계"/>
      <sheetName val="부표총괄"/>
      <sheetName val="Sheet2"/>
      <sheetName val="NPC500"/>
      <sheetName val="경제지표"/>
      <sheetName val="PI"/>
      <sheetName val="코드목록(시스템담당용)"/>
      <sheetName val="1호인버트수량"/>
      <sheetName val="외화"/>
      <sheetName val="수주추정"/>
      <sheetName val="품셈"/>
      <sheetName val="노임단가산출근거"/>
      <sheetName val="정산표2"/>
      <sheetName val="Back up"/>
      <sheetName val="LOOKUP"/>
      <sheetName val="Bond Fee"/>
      <sheetName val="9-1차이내역"/>
      <sheetName val="eq_data"/>
      <sheetName val="산근"/>
      <sheetName val="97 사업추정(WEKI)"/>
      <sheetName val="DAN"/>
      <sheetName val="백호우계수"/>
      <sheetName val="h-013211-2"/>
      <sheetName val="입력"/>
      <sheetName val="연돌일위집계"/>
      <sheetName val="PumpSpec"/>
      <sheetName val="손익차9월2"/>
      <sheetName val="자재표"/>
      <sheetName val="노임9월"/>
      <sheetName val="도기류"/>
      <sheetName val="RENUN"/>
      <sheetName val="당초"/>
      <sheetName val="95삼성급(본사)"/>
      <sheetName val="CAT_5"/>
      <sheetName val="견적서"/>
      <sheetName val="집계표"/>
      <sheetName val="가도공"/>
      <sheetName val="Piping(Methanol)"/>
      <sheetName val="공사비 내역 (가)"/>
      <sheetName val="전선 및 전선관"/>
      <sheetName val="INSTR"/>
      <sheetName val="인건비"/>
      <sheetName val="ANALYSER"/>
      <sheetName val="3.건축(현장안)"/>
      <sheetName val="P.M 별"/>
      <sheetName val="골조시행"/>
      <sheetName val="기타경비"/>
      <sheetName val="분개"/>
      <sheetName val="자재"/>
      <sheetName val="장산"/>
      <sheetName val="인산"/>
      <sheetName val="투입실적"/>
      <sheetName val="CBE-VSL"/>
      <sheetName val="member design"/>
      <sheetName val="working load at the btm ft."/>
      <sheetName val="soil bearing check"/>
      <sheetName val="육상토목 견적대비표-Rev.0(13.07.03).xlsx"/>
      <sheetName val="관리비_추정"/>
      <sheetName val="Instruction"/>
      <sheetName val="인원현황"/>
      <sheetName val="BM"/>
      <sheetName val="Sheet3"/>
      <sheetName val="음성방향"/>
      <sheetName val="ELEC_DCI"/>
      <sheetName val="INST_DCI"/>
      <sheetName val="공사자료입력"/>
      <sheetName val="BEND_LOSS"/>
      <sheetName val="C급보_"/>
      <sheetName val="간접비_총괄표"/>
      <sheetName val="할증_"/>
      <sheetName val="2_1_1"/>
      <sheetName val="첨1_4"/>
      <sheetName val="첨1_5"/>
      <sheetName val="첨1_3"/>
      <sheetName val="Back_up"/>
      <sheetName val="Bond_Fee"/>
      <sheetName val="97_사업추정(WEKI)"/>
      <sheetName val="자재단가"/>
      <sheetName val="전선_및_전선관"/>
      <sheetName val="★도급내역"/>
      <sheetName val="옥외 전력간선공사"/>
      <sheetName val="단가조사"/>
      <sheetName val="재료비"/>
      <sheetName val="매출vl"/>
      <sheetName val="수목데이타 "/>
      <sheetName val="ISBL"/>
      <sheetName val="OSBL"/>
      <sheetName val="사업계획"/>
      <sheetName val="1-11조직표"/>
      <sheetName val="세부내역"/>
      <sheetName val="차량운영비"/>
      <sheetName val="1.설계기준"/>
      <sheetName val="SS2"/>
      <sheetName val="현장업무"/>
      <sheetName val="일위대가 "/>
      <sheetName val="Sheet4"/>
      <sheetName val="HDEC"/>
      <sheetName val="Mech CIF"/>
      <sheetName val="인원동원계획"/>
      <sheetName val="SE-611"/>
      <sheetName val="간접비총괄"/>
    </sheetNames>
    <sheetDataSet>
      <sheetData sheetId="0"/>
      <sheetData sheetId="1"/>
      <sheetData sheetId="2"/>
      <sheetData sheetId="3"/>
      <sheetData sheetId="4"/>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내역을지"/>
      <sheetName val="총괄표"/>
      <sheetName val="원가계산"/>
      <sheetName val="표지"/>
      <sheetName val="Sheet5"/>
      <sheetName val="Sheet6"/>
      <sheetName val="Sheet7"/>
      <sheetName val="Sheet8"/>
      <sheetName val="Sheet9"/>
      <sheetName val="Sheet10"/>
      <sheetName val="Sheet11"/>
      <sheetName val="Sheet12"/>
      <sheetName val="Sheet13"/>
      <sheetName val="Sheet14"/>
      <sheetName val="Sheet15"/>
      <sheetName val="Sheet16"/>
      <sheetName val="Module1"/>
      <sheetName val="Module2"/>
      <sheetName val="Module3"/>
      <sheetName val="사업부배부A"/>
      <sheetName val="b_balju-단가단가단가"/>
      <sheetName val="공사비_ND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I"/>
      <sheetName val="중장비"/>
    </sheetNames>
    <sheetDataSet>
      <sheetData sheetId="0" refreshError="1"/>
      <sheetData sheetId="1"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인원계획"/>
      <sheetName val="인원계획 (2)"/>
      <sheetName val="인원계획 (3)"/>
      <sheetName val="인원차이"/>
      <sheetName val="인원차이 (2)"/>
      <sheetName val="9-1차이내역"/>
      <sheetName val="정부노임단가"/>
      <sheetName val="효율표"/>
      <sheetName val="소화실적"/>
      <sheetName val=" 갑지"/>
      <sheetName val="갑지"/>
      <sheetName val="영업소실적"/>
      <sheetName val="IT-BAT"/>
      <sheetName val="인원"/>
      <sheetName val="기본설계기준"/>
      <sheetName val="할증 "/>
      <sheetName val="사업부배부A"/>
      <sheetName val="DATE"/>
      <sheetName val="집계표"/>
      <sheetName val="BQ"/>
      <sheetName val="수입"/>
      <sheetName val="수주현황2월"/>
      <sheetName val="손익차9월2"/>
      <sheetName val="주관사업"/>
      <sheetName val="일위대가"/>
      <sheetName val="국내"/>
      <sheetName val="일일"/>
      <sheetName val="사업관리"/>
      <sheetName val="함수"/>
      <sheetName val="DANGA"/>
      <sheetName val="투찰가"/>
      <sheetName val="97 사업추정(WEKI)"/>
      <sheetName val="HVAC집계"/>
      <sheetName val="실행철강하도"/>
      <sheetName val="연습"/>
      <sheetName val="예제"/>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 BLDG"/>
      <sheetName val="Substation"/>
      <sheetName val="Ref Capa."/>
      <sheetName val="Sheet3"/>
      <sheetName val="인원계획"/>
      <sheetName val="경제지표"/>
      <sheetName val="Cover"/>
      <sheetName val="10현장조직"/>
      <sheetName val="#REF"/>
      <sheetName val="본지점중"/>
      <sheetName val="영업소실적"/>
    </sheetNames>
    <sheetDataSet>
      <sheetData sheetId="0"/>
      <sheetData sheetId="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 val="IT-BAT"/>
      <sheetName val="INSTR"/>
      <sheetName val="Price List"/>
      <sheetName val="Sheet1"/>
      <sheetName val="내"/>
      <sheetName val="U.G Embedded conduit"/>
      <sheetName val="Unit 49_분개표"/>
      <sheetName val="Unit 76_분개표"/>
      <sheetName val="PipWT"/>
      <sheetName val="진행 DATA (2)"/>
      <sheetName val="DCS"/>
      <sheetName val="FWBS7000,8000"/>
      <sheetName val="ANALYSER"/>
      <sheetName val="UnitList"/>
      <sheetName val="98TSON4A"/>
      <sheetName val="LCP"/>
      <sheetName val="Material List (TRAY &amp; SUPPORT) "/>
      <sheetName val="수입"/>
      <sheetName val="예산실적전체당월"/>
      <sheetName val="표지"/>
      <sheetName val="REDUCER"/>
      <sheetName val="본지점중"/>
      <sheetName val="영업3"/>
      <sheetName val="영업2"/>
      <sheetName val="95삼성급(본사)"/>
      <sheetName val="DRUM"/>
      <sheetName val="OU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ent"/>
      <sheetName val="7.5.1(A) Data_MR"/>
      <sheetName val="7.5.1(A) Data_MS"/>
      <sheetName val="7.5.1(A) Data_PK"/>
      <sheetName val="7.5.1(B) BOQ Breakdown"/>
      <sheetName val="7.5.1(C) Scope_Common"/>
      <sheetName val="7.5.1(D) Basis_MR"/>
      <sheetName val="7.5.1(D) Basis_MS"/>
      <sheetName val="7.5.1(E) Allowance"/>
      <sheetName val="7.5.3 BOQ"/>
      <sheetName val="7.5.2 BOQ Summary"/>
      <sheetName val="A. Erec_BOQ(Shop)"/>
      <sheetName val="B. Erec_BOQ(Field)"/>
      <sheetName val="C. Surface_BOQ"/>
      <sheetName val="D. Shipping_Detail"/>
      <sheetName val="Master"/>
      <sheetName val="연습"/>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71F60-97FF-4355-AFBA-D396597EF7E7}">
  <dimension ref="B1:J57"/>
  <sheetViews>
    <sheetView showGridLines="0" workbookViewId="0">
      <selection activeCell="G3" sqref="G3"/>
    </sheetView>
  </sheetViews>
  <sheetFormatPr defaultRowHeight="16.5"/>
  <cols>
    <col min="2" max="2" width="30.625" style="1" bestFit="1" customWidth="1"/>
    <col min="3" max="3" width="12.625" style="1" bestFit="1" customWidth="1"/>
    <col min="4" max="4" width="13.25" style="1" bestFit="1" customWidth="1"/>
    <col min="5" max="5" width="30.625" style="1" customWidth="1"/>
    <col min="6" max="6" width="11.875" bestFit="1" customWidth="1"/>
    <col min="7" max="7" width="11.875" customWidth="1"/>
    <col min="10" max="10" width="10.25" bestFit="1" customWidth="1"/>
  </cols>
  <sheetData>
    <row r="1" spans="2:10" ht="39" customHeight="1">
      <c r="B1" s="31" t="s">
        <v>9903</v>
      </c>
      <c r="D1" s="7" t="s">
        <v>9911</v>
      </c>
    </row>
    <row r="2" spans="2:10">
      <c r="B2" s="7"/>
      <c r="C2" s="7"/>
      <c r="D2" s="27" t="s">
        <v>10092</v>
      </c>
      <c r="E2" s="26">
        <v>17000000</v>
      </c>
    </row>
    <row r="3" spans="2:10">
      <c r="G3" s="28">
        <f>SUBTOTAL(9,G5:G42)</f>
        <v>0</v>
      </c>
      <c r="I3" s="32">
        <f>IFERROR(G3/$E$2,"0%")</f>
        <v>0</v>
      </c>
      <c r="J3" s="5"/>
    </row>
    <row r="4" spans="2:10">
      <c r="B4" s="8" t="s">
        <v>9904</v>
      </c>
      <c r="C4" s="8" t="s">
        <v>9908</v>
      </c>
      <c r="D4" s="8" t="s">
        <v>9910</v>
      </c>
      <c r="E4" s="8" t="s">
        <v>9909</v>
      </c>
      <c r="F4" s="8" t="s">
        <v>9905</v>
      </c>
      <c r="G4" s="8" t="s">
        <v>10091</v>
      </c>
      <c r="H4" s="8" t="s">
        <v>9907</v>
      </c>
      <c r="I4" s="8" t="s">
        <v>9906</v>
      </c>
    </row>
    <row r="5" spans="2:10">
      <c r="B5" s="9" t="s">
        <v>15</v>
      </c>
      <c r="C5" s="9">
        <v>1321</v>
      </c>
      <c r="D5" s="9" t="str">
        <f>IFERROR(VLOOKUP(B5,#REF!,3,0),"")</f>
        <v/>
      </c>
      <c r="E5" s="11" t="str">
        <f>IFERROR(1-C5/D5,"0%")</f>
        <v>0%</v>
      </c>
      <c r="F5" s="12" t="str">
        <f>IFERROR(VLOOKUP(B5,#REF!,2,0),"")</f>
        <v/>
      </c>
      <c r="G5" s="12" t="str">
        <f>IFERROR(VLOOKUP(B5,#REF!,5,0),"")</f>
        <v/>
      </c>
      <c r="H5" s="25" t="str">
        <f>IFERROR(VLOOKUP(B5,#REF!,4,0),"")</f>
        <v/>
      </c>
      <c r="I5" s="11" t="str">
        <f t="shared" ref="I5:I42" si="0">IFERROR(G5/$E$2,"0%")</f>
        <v>0%</v>
      </c>
    </row>
    <row r="6" spans="2:10">
      <c r="B6" s="9" t="s">
        <v>577</v>
      </c>
      <c r="C6" s="9">
        <v>1230</v>
      </c>
      <c r="D6" s="9" t="str">
        <f>IFERROR(VLOOKUP(B6,#REF!,3,0),"")</f>
        <v/>
      </c>
      <c r="E6" s="11" t="str">
        <f t="shared" ref="E6:E42" si="1">IFERROR(1-C6/D6,"0%")</f>
        <v>0%</v>
      </c>
      <c r="F6" s="12" t="str">
        <f>IFERROR(VLOOKUP(B6,#REF!,2,0),"")</f>
        <v/>
      </c>
      <c r="G6" s="12" t="str">
        <f>IFERROR(VLOOKUP(B6,#REF!,5,0),"")</f>
        <v/>
      </c>
      <c r="H6" s="25" t="str">
        <f>IFERROR(VLOOKUP(B6,#REF!,4,0),"")</f>
        <v/>
      </c>
      <c r="I6" s="11" t="str">
        <f t="shared" si="0"/>
        <v>0%</v>
      </c>
    </row>
    <row r="7" spans="2:10">
      <c r="B7" s="9" t="s">
        <v>602</v>
      </c>
      <c r="C7" s="9">
        <v>128</v>
      </c>
      <c r="D7" s="9" t="str">
        <f>IFERROR(VLOOKUP(B7,#REF!,3,0),"")</f>
        <v/>
      </c>
      <c r="E7" s="11" t="str">
        <f t="shared" si="1"/>
        <v>0%</v>
      </c>
      <c r="F7" s="12" t="str">
        <f>IFERROR(VLOOKUP(B7,#REF!,2,0),"")</f>
        <v/>
      </c>
      <c r="G7" s="12" t="str">
        <f>IFERROR(VLOOKUP(B7,#REF!,5,0),"")</f>
        <v/>
      </c>
      <c r="H7" s="25" t="str">
        <f>IFERROR(VLOOKUP(B7,#REF!,4,0),"")</f>
        <v/>
      </c>
      <c r="I7" s="11" t="str">
        <f t="shared" si="0"/>
        <v>0%</v>
      </c>
    </row>
    <row r="8" spans="2:10">
      <c r="B8" s="9" t="s">
        <v>312</v>
      </c>
      <c r="C8" s="9">
        <v>561</v>
      </c>
      <c r="D8" s="9" t="str">
        <f>IFERROR(VLOOKUP(B8,#REF!,3,0),"")</f>
        <v/>
      </c>
      <c r="E8" s="11" t="str">
        <f t="shared" si="1"/>
        <v>0%</v>
      </c>
      <c r="F8" s="12" t="str">
        <f>IFERROR(VLOOKUP(B8,#REF!,2,0),"")</f>
        <v/>
      </c>
      <c r="G8" s="12" t="str">
        <f>IFERROR(VLOOKUP(B8,#REF!,5,0),"")</f>
        <v/>
      </c>
      <c r="H8" s="25" t="str">
        <f>IFERROR(VLOOKUP(B8,#REF!,4,0),"")</f>
        <v/>
      </c>
      <c r="I8" s="11" t="str">
        <f t="shared" si="0"/>
        <v>0%</v>
      </c>
    </row>
    <row r="9" spans="2:10">
      <c r="B9" s="9" t="s">
        <v>649</v>
      </c>
      <c r="C9" s="9">
        <v>371</v>
      </c>
      <c r="D9" s="9" t="str">
        <f>IFERROR(VLOOKUP(B9,#REF!,3,0),"")</f>
        <v/>
      </c>
      <c r="E9" s="11" t="str">
        <f t="shared" si="1"/>
        <v>0%</v>
      </c>
      <c r="F9" s="12" t="str">
        <f>IFERROR(VLOOKUP(B9,#REF!,2,0),"")</f>
        <v/>
      </c>
      <c r="G9" s="12" t="str">
        <f>IFERROR(VLOOKUP(B9,#REF!,5,0),"")</f>
        <v/>
      </c>
      <c r="H9" s="25" t="str">
        <f>IFERROR(VLOOKUP(B9,#REF!,4,0),"")</f>
        <v/>
      </c>
      <c r="I9" s="11" t="str">
        <f t="shared" si="0"/>
        <v>0%</v>
      </c>
    </row>
    <row r="10" spans="2:10">
      <c r="B10" s="9" t="s">
        <v>2724</v>
      </c>
      <c r="C10" s="9">
        <v>3</v>
      </c>
      <c r="D10" s="9" t="str">
        <f>IFERROR(VLOOKUP(B10,#REF!,3,0),"")</f>
        <v/>
      </c>
      <c r="E10" s="11" t="str">
        <f t="shared" si="1"/>
        <v>0%</v>
      </c>
      <c r="F10" s="12" t="str">
        <f>IFERROR(VLOOKUP(B10,#REF!,2,0),"")</f>
        <v/>
      </c>
      <c r="G10" s="12" t="str">
        <f>IFERROR(VLOOKUP(B10,#REF!,5,0),"")</f>
        <v/>
      </c>
      <c r="H10" s="25" t="str">
        <f>IFERROR(VLOOKUP(B10,#REF!,4,0),"")</f>
        <v/>
      </c>
      <c r="I10" s="11" t="str">
        <f t="shared" si="0"/>
        <v>0%</v>
      </c>
    </row>
    <row r="11" spans="2:10">
      <c r="B11" s="9" t="s">
        <v>2725</v>
      </c>
      <c r="C11" s="9"/>
      <c r="D11" s="9" t="str">
        <f>IFERROR(VLOOKUP(B11,#REF!,3,0),"")</f>
        <v/>
      </c>
      <c r="E11" s="11" t="str">
        <f t="shared" si="1"/>
        <v>0%</v>
      </c>
      <c r="F11" s="12" t="str">
        <f>IFERROR(VLOOKUP(B11,#REF!,2,0),"")</f>
        <v/>
      </c>
      <c r="G11" s="12" t="str">
        <f>IFERROR(VLOOKUP(B11,#REF!,5,0),"")</f>
        <v/>
      </c>
      <c r="H11" s="25" t="str">
        <f>IFERROR(VLOOKUP(B11,#REF!,4,0),"")</f>
        <v/>
      </c>
      <c r="I11" s="11" t="str">
        <f t="shared" si="0"/>
        <v>0%</v>
      </c>
    </row>
    <row r="12" spans="2:10">
      <c r="B12" s="9" t="s">
        <v>2726</v>
      </c>
      <c r="C12" s="9"/>
      <c r="D12" s="9" t="str">
        <f>IFERROR(VLOOKUP(B12,#REF!,3,0),"")</f>
        <v/>
      </c>
      <c r="E12" s="11" t="str">
        <f t="shared" si="1"/>
        <v>0%</v>
      </c>
      <c r="F12" s="12" t="str">
        <f>IFERROR(VLOOKUP(B12,#REF!,2,0),"")</f>
        <v/>
      </c>
      <c r="G12" s="12" t="str">
        <f>IFERROR(VLOOKUP(B12,#REF!,5,0),"")</f>
        <v/>
      </c>
      <c r="H12" s="25" t="str">
        <f>IFERROR(VLOOKUP(B12,#REF!,4,0),"")</f>
        <v/>
      </c>
      <c r="I12" s="11" t="str">
        <f t="shared" si="0"/>
        <v>0%</v>
      </c>
    </row>
    <row r="13" spans="2:10">
      <c r="B13" s="9" t="s">
        <v>722</v>
      </c>
      <c r="C13" s="9">
        <v>276</v>
      </c>
      <c r="D13" s="9" t="str">
        <f>IFERROR(VLOOKUP(B13,#REF!,3,0),"")</f>
        <v/>
      </c>
      <c r="E13" s="11" t="str">
        <f t="shared" si="1"/>
        <v>0%</v>
      </c>
      <c r="F13" s="12" t="str">
        <f>IFERROR(VLOOKUP(B13,#REF!,2,0),"")</f>
        <v/>
      </c>
      <c r="G13" s="12" t="str">
        <f>IFERROR(VLOOKUP(B13,#REF!,5,0),"")</f>
        <v/>
      </c>
      <c r="H13" s="25" t="str">
        <f>IFERROR(VLOOKUP(B13,#REF!,4,0),"")</f>
        <v/>
      </c>
      <c r="I13" s="11" t="str">
        <f t="shared" si="0"/>
        <v>0%</v>
      </c>
    </row>
    <row r="14" spans="2:10">
      <c r="B14" s="9" t="s">
        <v>733</v>
      </c>
      <c r="C14" s="9">
        <v>617</v>
      </c>
      <c r="D14" s="9" t="str">
        <f>IFERROR(VLOOKUP(B14,#REF!,3,0),"")</f>
        <v/>
      </c>
      <c r="E14" s="11" t="str">
        <f t="shared" si="1"/>
        <v>0%</v>
      </c>
      <c r="F14" s="12" t="str">
        <f>IFERROR(VLOOKUP(B14,#REF!,2,0),"")</f>
        <v/>
      </c>
      <c r="G14" s="12" t="str">
        <f>IFERROR(VLOOKUP(B14,#REF!,5,0),"")</f>
        <v/>
      </c>
      <c r="H14" s="25" t="str">
        <f>IFERROR(VLOOKUP(B14,#REF!,4,0),"")</f>
        <v/>
      </c>
      <c r="I14" s="11" t="str">
        <f t="shared" si="0"/>
        <v>0%</v>
      </c>
    </row>
    <row r="15" spans="2:10">
      <c r="B15" s="9" t="s">
        <v>739</v>
      </c>
      <c r="C15" s="9">
        <v>1084</v>
      </c>
      <c r="D15" s="9" t="str">
        <f>IFERROR(VLOOKUP(B15,#REF!,3,0),"")</f>
        <v/>
      </c>
      <c r="E15" s="11" t="str">
        <f t="shared" si="1"/>
        <v>0%</v>
      </c>
      <c r="F15" s="12" t="str">
        <f>IFERROR(VLOOKUP(B15,#REF!,2,0),"")</f>
        <v/>
      </c>
      <c r="G15" s="12" t="str">
        <f>IFERROR(VLOOKUP(B15,#REF!,5,0),"")</f>
        <v/>
      </c>
      <c r="H15" s="25" t="str">
        <f>IFERROR(VLOOKUP(B15,#REF!,4,0),"")</f>
        <v/>
      </c>
      <c r="I15" s="11" t="str">
        <f t="shared" si="0"/>
        <v>0%</v>
      </c>
    </row>
    <row r="16" spans="2:10">
      <c r="B16" s="9" t="s">
        <v>2727</v>
      </c>
      <c r="C16" s="9">
        <v>14</v>
      </c>
      <c r="D16" s="9" t="str">
        <f>IFERROR(VLOOKUP(B16,#REF!,3,0),"")</f>
        <v/>
      </c>
      <c r="E16" s="11" t="str">
        <f t="shared" si="1"/>
        <v>0%</v>
      </c>
      <c r="F16" s="12" t="str">
        <f>IFERROR(VLOOKUP(B16,#REF!,2,0),"")</f>
        <v/>
      </c>
      <c r="G16" s="12" t="str">
        <f>IFERROR(VLOOKUP(B16,#REF!,5,0),"")</f>
        <v/>
      </c>
      <c r="H16" s="25" t="str">
        <f>IFERROR(VLOOKUP(B16,#REF!,4,0),"")</f>
        <v/>
      </c>
      <c r="I16" s="11" t="str">
        <f t="shared" si="0"/>
        <v>0%</v>
      </c>
    </row>
    <row r="17" spans="2:9">
      <c r="B17" s="9" t="s">
        <v>707</v>
      </c>
      <c r="C17" s="9">
        <v>578</v>
      </c>
      <c r="D17" s="9" t="str">
        <f>IFERROR(VLOOKUP(B17,#REF!,3,0),"")</f>
        <v/>
      </c>
      <c r="E17" s="11" t="str">
        <f t="shared" si="1"/>
        <v>0%</v>
      </c>
      <c r="F17" s="12" t="str">
        <f>IFERROR(VLOOKUP(B17,#REF!,2,0),"")</f>
        <v/>
      </c>
      <c r="G17" s="12" t="str">
        <f>IFERROR(VLOOKUP(B17,#REF!,5,0),"")</f>
        <v/>
      </c>
      <c r="H17" s="25" t="str">
        <f>IFERROR(VLOOKUP(B17,#REF!,4,0),"")</f>
        <v/>
      </c>
      <c r="I17" s="11" t="str">
        <f t="shared" si="0"/>
        <v>0%</v>
      </c>
    </row>
    <row r="18" spans="2:9">
      <c r="B18" s="9" t="s">
        <v>2082</v>
      </c>
      <c r="C18" s="9">
        <v>147</v>
      </c>
      <c r="D18" s="9" t="str">
        <f>IFERROR(VLOOKUP(B18,#REF!,3,0),"")</f>
        <v/>
      </c>
      <c r="E18" s="11" t="str">
        <f t="shared" si="1"/>
        <v>0%</v>
      </c>
      <c r="F18" s="12" t="str">
        <f>IFERROR(VLOOKUP(B18,#REF!,2,0),"")</f>
        <v/>
      </c>
      <c r="G18" s="12" t="str">
        <f>IFERROR(VLOOKUP(B18,#REF!,5,0),"")</f>
        <v/>
      </c>
      <c r="H18" s="25" t="str">
        <f>IFERROR(VLOOKUP(B18,#REF!,4,0),"")</f>
        <v/>
      </c>
      <c r="I18" s="11" t="str">
        <f t="shared" si="0"/>
        <v>0%</v>
      </c>
    </row>
    <row r="19" spans="2:9">
      <c r="B19" s="9" t="s">
        <v>711</v>
      </c>
      <c r="C19" s="9">
        <v>287</v>
      </c>
      <c r="D19" s="9" t="str">
        <f>IFERROR(VLOOKUP(B19,#REF!,3,0),"")</f>
        <v/>
      </c>
      <c r="E19" s="11" t="str">
        <f t="shared" si="1"/>
        <v>0%</v>
      </c>
      <c r="F19" s="12" t="str">
        <f>IFERROR(VLOOKUP(B19,#REF!,2,0),"")</f>
        <v/>
      </c>
      <c r="G19" s="12" t="str">
        <f>IFERROR(VLOOKUP(B19,#REF!,5,0),"")</f>
        <v/>
      </c>
      <c r="H19" s="25" t="str">
        <f>IFERROR(VLOOKUP(B19,#REF!,4,0),"")</f>
        <v/>
      </c>
      <c r="I19" s="11" t="str">
        <f t="shared" si="0"/>
        <v>0%</v>
      </c>
    </row>
    <row r="20" spans="2:9">
      <c r="B20" s="9" t="s">
        <v>718</v>
      </c>
      <c r="C20" s="9">
        <v>674</v>
      </c>
      <c r="D20" s="9" t="str">
        <f>IFERROR(VLOOKUP(B20,#REF!,3,0),"")</f>
        <v/>
      </c>
      <c r="E20" s="11" t="str">
        <f t="shared" si="1"/>
        <v>0%</v>
      </c>
      <c r="F20" s="12" t="str">
        <f>IFERROR(VLOOKUP(B20,#REF!,2,0),"")</f>
        <v/>
      </c>
      <c r="G20" s="12" t="str">
        <f>IFERROR(VLOOKUP(B20,#REF!,5,0),"")</f>
        <v/>
      </c>
      <c r="H20" s="25" t="str">
        <f>IFERROR(VLOOKUP(B20,#REF!,4,0),"")</f>
        <v/>
      </c>
      <c r="I20" s="11" t="str">
        <f t="shared" si="0"/>
        <v>0%</v>
      </c>
    </row>
    <row r="21" spans="2:9">
      <c r="B21" s="9" t="s">
        <v>2728</v>
      </c>
      <c r="C21" s="9">
        <v>30</v>
      </c>
      <c r="D21" s="9" t="str">
        <f>IFERROR(VLOOKUP(B21,#REF!,3,0),"")</f>
        <v/>
      </c>
      <c r="E21" s="11" t="str">
        <f t="shared" si="1"/>
        <v>0%</v>
      </c>
      <c r="F21" s="12" t="str">
        <f>IFERROR(VLOOKUP(B21,#REF!,2,0),"")</f>
        <v/>
      </c>
      <c r="G21" s="12" t="str">
        <f>IFERROR(VLOOKUP(B21,#REF!,5,0),"")</f>
        <v/>
      </c>
      <c r="H21" s="25" t="str">
        <f>IFERROR(VLOOKUP(B21,#REF!,4,0),"")</f>
        <v/>
      </c>
      <c r="I21" s="11" t="str">
        <f t="shared" si="0"/>
        <v>0%</v>
      </c>
    </row>
    <row r="22" spans="2:9">
      <c r="B22" s="9" t="s">
        <v>2729</v>
      </c>
      <c r="C22" s="9">
        <v>98</v>
      </c>
      <c r="D22" s="9" t="str">
        <f>IFERROR(VLOOKUP(B22,#REF!,3,0),"")</f>
        <v/>
      </c>
      <c r="E22" s="11" t="str">
        <f t="shared" si="1"/>
        <v>0%</v>
      </c>
      <c r="F22" s="12" t="str">
        <f>IFERROR(VLOOKUP(B22,#REF!,2,0),"")</f>
        <v/>
      </c>
      <c r="G22" s="12" t="str">
        <f>IFERROR(VLOOKUP(B22,#REF!,5,0),"")</f>
        <v/>
      </c>
      <c r="H22" s="25" t="str">
        <f>IFERROR(VLOOKUP(B22,#REF!,4,0),"")</f>
        <v/>
      </c>
      <c r="I22" s="11" t="str">
        <f t="shared" si="0"/>
        <v>0%</v>
      </c>
    </row>
    <row r="23" spans="2:9">
      <c r="B23" s="9" t="s">
        <v>616</v>
      </c>
      <c r="C23" s="9">
        <v>27</v>
      </c>
      <c r="D23" s="9" t="str">
        <f>IFERROR(VLOOKUP(B23,#REF!,3,0),"")</f>
        <v/>
      </c>
      <c r="E23" s="11" t="str">
        <f t="shared" si="1"/>
        <v>0%</v>
      </c>
      <c r="F23" s="12" t="str">
        <f>IFERROR(VLOOKUP(B23,#REF!,2,0),"")</f>
        <v/>
      </c>
      <c r="G23" s="12" t="str">
        <f>IFERROR(VLOOKUP(B23,#REF!,5,0),"")</f>
        <v/>
      </c>
      <c r="H23" s="25" t="str">
        <f>IFERROR(VLOOKUP(B23,#REF!,4,0),"")</f>
        <v/>
      </c>
      <c r="I23" s="11" t="str">
        <f t="shared" si="0"/>
        <v>0%</v>
      </c>
    </row>
    <row r="24" spans="2:9">
      <c r="B24" s="9" t="s">
        <v>2730</v>
      </c>
      <c r="C24" s="9">
        <v>12</v>
      </c>
      <c r="D24" s="9" t="str">
        <f>IFERROR(VLOOKUP(B24,#REF!,3,0),"")</f>
        <v/>
      </c>
      <c r="E24" s="11" t="str">
        <f t="shared" si="1"/>
        <v>0%</v>
      </c>
      <c r="F24" s="12" t="str">
        <f>IFERROR(VLOOKUP(B24,#REF!,2,0),"")</f>
        <v/>
      </c>
      <c r="G24" s="12" t="str">
        <f>IFERROR(VLOOKUP(B24,#REF!,5,0),"")</f>
        <v/>
      </c>
      <c r="H24" s="25" t="str">
        <f>IFERROR(VLOOKUP(B24,#REF!,4,0),"")</f>
        <v/>
      </c>
      <c r="I24" s="11" t="str">
        <f t="shared" si="0"/>
        <v>0%</v>
      </c>
    </row>
    <row r="25" spans="2:9">
      <c r="B25" s="9" t="s">
        <v>2731</v>
      </c>
      <c r="C25" s="9">
        <v>0</v>
      </c>
      <c r="D25" s="9" t="str">
        <f>IFERROR(VLOOKUP(B25,#REF!,3,0),"")</f>
        <v/>
      </c>
      <c r="E25" s="11" t="str">
        <f t="shared" si="1"/>
        <v>0%</v>
      </c>
      <c r="F25" s="12" t="str">
        <f>IFERROR(VLOOKUP(B25,#REF!,2,0),"")</f>
        <v/>
      </c>
      <c r="G25" s="12" t="str">
        <f>IFERROR(VLOOKUP(B25,#REF!,5,0),"")</f>
        <v/>
      </c>
      <c r="H25" s="25" t="str">
        <f>IFERROR(VLOOKUP(B25,#REF!,4,0),"")</f>
        <v/>
      </c>
      <c r="I25" s="11" t="str">
        <f t="shared" si="0"/>
        <v>0%</v>
      </c>
    </row>
    <row r="26" spans="2:9">
      <c r="B26" s="9" t="s">
        <v>620</v>
      </c>
      <c r="C26" s="9">
        <v>369</v>
      </c>
      <c r="D26" s="9" t="str">
        <f>IFERROR(VLOOKUP(B26,#REF!,3,0),"")</f>
        <v/>
      </c>
      <c r="E26" s="11" t="str">
        <f t="shared" si="1"/>
        <v>0%</v>
      </c>
      <c r="F26" s="12" t="str">
        <f>IFERROR(VLOOKUP(B26,#REF!,2,0),"")</f>
        <v/>
      </c>
      <c r="G26" s="12" t="str">
        <f>IFERROR(VLOOKUP(B26,#REF!,5,0),"")</f>
        <v/>
      </c>
      <c r="H26" s="25" t="str">
        <f>IFERROR(VLOOKUP(B26,#REF!,4,0),"")</f>
        <v/>
      </c>
      <c r="I26" s="11" t="str">
        <f t="shared" si="0"/>
        <v>0%</v>
      </c>
    </row>
    <row r="27" spans="2:9">
      <c r="B27" s="9" t="s">
        <v>624</v>
      </c>
      <c r="C27" s="9">
        <v>206</v>
      </c>
      <c r="D27" s="9" t="str">
        <f>IFERROR(VLOOKUP(B27,#REF!,3,0),"")</f>
        <v/>
      </c>
      <c r="E27" s="11" t="str">
        <f t="shared" si="1"/>
        <v>0%</v>
      </c>
      <c r="F27" s="12" t="str">
        <f>IFERROR(VLOOKUP(B27,#REF!,2,0),"")</f>
        <v/>
      </c>
      <c r="G27" s="12" t="str">
        <f>IFERROR(VLOOKUP(B27,#REF!,5,0),"")</f>
        <v/>
      </c>
      <c r="H27" s="25" t="str">
        <f>IFERROR(VLOOKUP(B27,#REF!,4,0),"")</f>
        <v/>
      </c>
      <c r="I27" s="11" t="str">
        <f t="shared" si="0"/>
        <v>0%</v>
      </c>
    </row>
    <row r="28" spans="2:9">
      <c r="B28" s="9" t="s">
        <v>2732</v>
      </c>
      <c r="C28" s="9">
        <v>153</v>
      </c>
      <c r="D28" s="9" t="str">
        <f>IFERROR(VLOOKUP(B28,#REF!,3,0),"")</f>
        <v/>
      </c>
      <c r="E28" s="11" t="str">
        <f t="shared" si="1"/>
        <v>0%</v>
      </c>
      <c r="F28" s="12" t="str">
        <f>IFERROR(VLOOKUP(B28,#REF!,2,0),"")</f>
        <v/>
      </c>
      <c r="G28" s="12" t="str">
        <f>IFERROR(VLOOKUP(B28,#REF!,5,0),"")</f>
        <v/>
      </c>
      <c r="H28" s="25" t="str">
        <f>IFERROR(VLOOKUP(B28,#REF!,4,0),"")</f>
        <v/>
      </c>
      <c r="I28" s="11" t="str">
        <f t="shared" si="0"/>
        <v>0%</v>
      </c>
    </row>
    <row r="29" spans="2:9">
      <c r="B29" s="9" t="s">
        <v>2733</v>
      </c>
      <c r="C29" s="9">
        <v>7</v>
      </c>
      <c r="D29" s="9" t="str">
        <f>IFERROR(VLOOKUP(B29,#REF!,3,0),"")</f>
        <v/>
      </c>
      <c r="E29" s="11" t="str">
        <f t="shared" si="1"/>
        <v>0%</v>
      </c>
      <c r="F29" s="12" t="str">
        <f>IFERROR(VLOOKUP(B29,#REF!,2,0),"")</f>
        <v/>
      </c>
      <c r="G29" s="12" t="str">
        <f>IFERROR(VLOOKUP(B29,#REF!,5,0),"")</f>
        <v/>
      </c>
      <c r="H29" s="25" t="str">
        <f>IFERROR(VLOOKUP(B29,#REF!,4,0),"")</f>
        <v/>
      </c>
      <c r="I29" s="11" t="str">
        <f t="shared" si="0"/>
        <v>0%</v>
      </c>
    </row>
    <row r="30" spans="2:9">
      <c r="B30" s="9" t="s">
        <v>626</v>
      </c>
      <c r="C30" s="9">
        <v>3</v>
      </c>
      <c r="D30" s="9" t="str">
        <f>IFERROR(VLOOKUP(B30,#REF!,3,0),"")</f>
        <v/>
      </c>
      <c r="E30" s="11" t="str">
        <f t="shared" si="1"/>
        <v>0%</v>
      </c>
      <c r="F30" s="12" t="str">
        <f>IFERROR(VLOOKUP(B30,#REF!,2,0),"")</f>
        <v/>
      </c>
      <c r="G30" s="12" t="str">
        <f>IFERROR(VLOOKUP(B30,#REF!,5,0),"")</f>
        <v/>
      </c>
      <c r="H30" s="25" t="str">
        <f>IFERROR(VLOOKUP(B30,#REF!,4,0),"")</f>
        <v/>
      </c>
      <c r="I30" s="11" t="str">
        <f t="shared" si="0"/>
        <v>0%</v>
      </c>
    </row>
    <row r="31" spans="2:9">
      <c r="B31" s="9" t="s">
        <v>630</v>
      </c>
      <c r="C31" s="9">
        <v>10</v>
      </c>
      <c r="D31" s="9" t="str">
        <f>IFERROR(VLOOKUP(B31,#REF!,3,0),"")</f>
        <v/>
      </c>
      <c r="E31" s="11" t="str">
        <f t="shared" si="1"/>
        <v>0%</v>
      </c>
      <c r="F31" s="12" t="str">
        <f>IFERROR(VLOOKUP(B31,#REF!,2,0),"")</f>
        <v/>
      </c>
      <c r="G31" s="12" t="str">
        <f>IFERROR(VLOOKUP(B31,#REF!,5,0),"")</f>
        <v/>
      </c>
      <c r="H31" s="25" t="str">
        <f>IFERROR(VLOOKUP(B31,#REF!,4,0),"")</f>
        <v/>
      </c>
      <c r="I31" s="11" t="str">
        <f t="shared" si="0"/>
        <v>0%</v>
      </c>
    </row>
    <row r="32" spans="2:9">
      <c r="B32" s="9" t="s">
        <v>632</v>
      </c>
      <c r="C32" s="9">
        <v>912</v>
      </c>
      <c r="D32" s="9" t="str">
        <f>IFERROR(VLOOKUP(B32,#REF!,3,0),"")</f>
        <v/>
      </c>
      <c r="E32" s="11" t="str">
        <f t="shared" si="1"/>
        <v>0%</v>
      </c>
      <c r="F32" s="12" t="str">
        <f>IFERROR(VLOOKUP(B32,#REF!,2,0),"")</f>
        <v/>
      </c>
      <c r="G32" s="12" t="str">
        <f>IFERROR(VLOOKUP(B32,#REF!,5,0),"")</f>
        <v/>
      </c>
      <c r="H32" s="25" t="str">
        <f>IFERROR(VLOOKUP(B32,#REF!,4,0),"")</f>
        <v/>
      </c>
      <c r="I32" s="11" t="str">
        <f t="shared" si="0"/>
        <v>0%</v>
      </c>
    </row>
    <row r="33" spans="2:9">
      <c r="B33" s="9" t="s">
        <v>2734</v>
      </c>
      <c r="C33" s="9">
        <v>315</v>
      </c>
      <c r="D33" s="9" t="str">
        <f>IFERROR(VLOOKUP(B33,#REF!,3,0),"")</f>
        <v/>
      </c>
      <c r="E33" s="11" t="str">
        <f t="shared" si="1"/>
        <v>0%</v>
      </c>
      <c r="F33" s="12" t="str">
        <f>IFERROR(VLOOKUP(B33,#REF!,2,0),"")</f>
        <v/>
      </c>
      <c r="G33" s="12" t="str">
        <f>IFERROR(VLOOKUP(B33,#REF!,5,0),"")</f>
        <v/>
      </c>
      <c r="H33" s="25" t="str">
        <f>IFERROR(VLOOKUP(B33,#REF!,4,0),"")</f>
        <v/>
      </c>
      <c r="I33" s="11" t="str">
        <f t="shared" si="0"/>
        <v>0%</v>
      </c>
    </row>
    <row r="34" spans="2:9">
      <c r="B34" s="9" t="s">
        <v>1917</v>
      </c>
      <c r="C34" s="9">
        <v>932</v>
      </c>
      <c r="D34" s="9" t="str">
        <f>IFERROR(VLOOKUP(B34,#REF!,3,0),"")</f>
        <v/>
      </c>
      <c r="E34" s="11" t="str">
        <f t="shared" si="1"/>
        <v>0%</v>
      </c>
      <c r="F34" s="12" t="str">
        <f>IFERROR(VLOOKUP(B34,#REF!,2,0),"")</f>
        <v/>
      </c>
      <c r="G34" s="12" t="str">
        <f>IFERROR(VLOOKUP(B34,#REF!,5,0),"")</f>
        <v/>
      </c>
      <c r="H34" s="25" t="str">
        <f>IFERROR(VLOOKUP(B34,#REF!,4,0),"")</f>
        <v/>
      </c>
      <c r="I34" s="11" t="str">
        <f t="shared" si="0"/>
        <v>0%</v>
      </c>
    </row>
    <row r="35" spans="2:9">
      <c r="B35" s="9" t="s">
        <v>686</v>
      </c>
      <c r="C35" s="9">
        <v>1364</v>
      </c>
      <c r="D35" s="9" t="str">
        <f>IFERROR(VLOOKUP(B35,#REF!,3,0),"")</f>
        <v/>
      </c>
      <c r="E35" s="11" t="str">
        <f t="shared" si="1"/>
        <v>0%</v>
      </c>
      <c r="F35" s="12" t="str">
        <f>IFERROR(VLOOKUP(B35,#REF!,2,0),"")</f>
        <v/>
      </c>
      <c r="G35" s="12" t="str">
        <f>IFERROR(VLOOKUP(B35,#REF!,5,0),"")</f>
        <v/>
      </c>
      <c r="H35" s="25" t="str">
        <f>IFERROR(VLOOKUP(B35,#REF!,4,0),"")</f>
        <v/>
      </c>
      <c r="I35" s="11" t="str">
        <f t="shared" si="0"/>
        <v>0%</v>
      </c>
    </row>
    <row r="36" spans="2:9">
      <c r="B36" s="9" t="s">
        <v>1849</v>
      </c>
      <c r="C36" s="9">
        <v>394</v>
      </c>
      <c r="D36" s="9" t="str">
        <f>IFERROR(VLOOKUP(B36,#REF!,3,0),"")</f>
        <v/>
      </c>
      <c r="E36" s="11" t="str">
        <f t="shared" si="1"/>
        <v>0%</v>
      </c>
      <c r="F36" s="12" t="str">
        <f>IFERROR(VLOOKUP(B36,#REF!,2,0),"")</f>
        <v/>
      </c>
      <c r="G36" s="12" t="str">
        <f>IFERROR(VLOOKUP(B36,#REF!,5,0),"")</f>
        <v/>
      </c>
      <c r="H36" s="25" t="str">
        <f>IFERROR(VLOOKUP(B36,#REF!,4,0),"")</f>
        <v/>
      </c>
      <c r="I36" s="11" t="str">
        <f t="shared" si="0"/>
        <v>0%</v>
      </c>
    </row>
    <row r="37" spans="2:9">
      <c r="B37" s="9" t="s">
        <v>692</v>
      </c>
      <c r="C37" s="9">
        <v>137</v>
      </c>
      <c r="D37" s="9" t="str">
        <f>IFERROR(VLOOKUP(B37,#REF!,3,0),"")</f>
        <v/>
      </c>
      <c r="E37" s="11" t="str">
        <f t="shared" si="1"/>
        <v>0%</v>
      </c>
      <c r="F37" s="12" t="str">
        <f>IFERROR(VLOOKUP(B37,#REF!,2,0),"")</f>
        <v/>
      </c>
      <c r="G37" s="12" t="str">
        <f>IFERROR(VLOOKUP(B37,#REF!,5,0),"")</f>
        <v/>
      </c>
      <c r="H37" s="25" t="str">
        <f>IFERROR(VLOOKUP(B37,#REF!,4,0),"")</f>
        <v/>
      </c>
      <c r="I37" s="11" t="str">
        <f t="shared" si="0"/>
        <v>0%</v>
      </c>
    </row>
    <row r="38" spans="2:9">
      <c r="B38" s="9" t="s">
        <v>2033</v>
      </c>
      <c r="C38" s="9">
        <v>888</v>
      </c>
      <c r="D38" s="9" t="str">
        <f>IFERROR(VLOOKUP(B38,#REF!,3,0),"")</f>
        <v/>
      </c>
      <c r="E38" s="11" t="str">
        <f t="shared" si="1"/>
        <v>0%</v>
      </c>
      <c r="F38" s="12" t="str">
        <f>IFERROR(VLOOKUP(B38,#REF!,2,0),"")</f>
        <v/>
      </c>
      <c r="G38" s="12" t="str">
        <f>IFERROR(VLOOKUP(B38,#REF!,5,0),"")</f>
        <v/>
      </c>
      <c r="H38" s="25" t="str">
        <f>IFERROR(VLOOKUP(B38,#REF!,4,0),"")</f>
        <v/>
      </c>
      <c r="I38" s="11" t="str">
        <f t="shared" si="0"/>
        <v>0%</v>
      </c>
    </row>
    <row r="39" spans="2:9">
      <c r="B39" s="9" t="s">
        <v>702</v>
      </c>
      <c r="C39" s="9">
        <v>891</v>
      </c>
      <c r="D39" s="9" t="str">
        <f>IFERROR(VLOOKUP(B39,#REF!,3,0),"")</f>
        <v/>
      </c>
      <c r="E39" s="11" t="str">
        <f t="shared" si="1"/>
        <v>0%</v>
      </c>
      <c r="F39" s="12" t="str">
        <f>IFERROR(VLOOKUP(B39,#REF!,2,0),"")</f>
        <v/>
      </c>
      <c r="G39" s="12" t="str">
        <f>IFERROR(VLOOKUP(B39,#REF!,5,0),"")</f>
        <v/>
      </c>
      <c r="H39" s="25" t="str">
        <f>IFERROR(VLOOKUP(B39,#REF!,4,0),"")</f>
        <v/>
      </c>
      <c r="I39" s="11" t="str">
        <f t="shared" si="0"/>
        <v>0%</v>
      </c>
    </row>
    <row r="40" spans="2:9">
      <c r="B40" s="9" t="s">
        <v>2735</v>
      </c>
      <c r="C40" s="9"/>
      <c r="D40" s="9" t="str">
        <f>IFERROR(VLOOKUP(B40,#REF!,3,0),"")</f>
        <v/>
      </c>
      <c r="E40" s="11" t="str">
        <f t="shared" si="1"/>
        <v>0%</v>
      </c>
      <c r="F40" s="12" t="str">
        <f>IFERROR(VLOOKUP(B40,#REF!,2,0),"")</f>
        <v/>
      </c>
      <c r="G40" s="12" t="str">
        <f>IFERROR(VLOOKUP(B40,#REF!,5,0),"")</f>
        <v/>
      </c>
      <c r="H40" s="25" t="str">
        <f>IFERROR(VLOOKUP(B40,#REF!,4,0),"")</f>
        <v/>
      </c>
      <c r="I40" s="11" t="str">
        <f t="shared" si="0"/>
        <v>0%</v>
      </c>
    </row>
    <row r="41" spans="2:9">
      <c r="B41" s="9" t="s">
        <v>2736</v>
      </c>
      <c r="C41" s="9">
        <v>307</v>
      </c>
      <c r="D41" s="9" t="str">
        <f>IFERROR(VLOOKUP(B41,#REF!,3,0),"")</f>
        <v/>
      </c>
      <c r="E41" s="11" t="str">
        <f t="shared" si="1"/>
        <v>0%</v>
      </c>
      <c r="F41" s="12" t="str">
        <f>IFERROR(VLOOKUP(B41,#REF!,2,0),"")</f>
        <v/>
      </c>
      <c r="G41" s="12" t="str">
        <f>IFERROR(VLOOKUP(B41,#REF!,5,0),"")</f>
        <v/>
      </c>
      <c r="H41" s="25" t="str">
        <f>IFERROR(VLOOKUP(B41,#REF!,4,0),"")</f>
        <v/>
      </c>
      <c r="I41" s="11" t="str">
        <f t="shared" si="0"/>
        <v>0%</v>
      </c>
    </row>
    <row r="42" spans="2:9">
      <c r="B42" s="9" t="s">
        <v>2737</v>
      </c>
      <c r="C42" s="9">
        <v>307</v>
      </c>
      <c r="D42" s="9" t="str">
        <f>IFERROR(VLOOKUP(B42,#REF!,3,0),"")</f>
        <v/>
      </c>
      <c r="E42" s="11" t="str">
        <f t="shared" si="1"/>
        <v>0%</v>
      </c>
      <c r="F42" s="12" t="str">
        <f>IFERROR(VLOOKUP(B42,#REF!,2,0),"")</f>
        <v/>
      </c>
      <c r="G42" s="12" t="str">
        <f>IFERROR(VLOOKUP(B42,#REF!,5,0),"")</f>
        <v/>
      </c>
      <c r="H42" s="25" t="str">
        <f>IFERROR(VLOOKUP(B42,#REF!,4,0),"")</f>
        <v/>
      </c>
      <c r="I42" s="11" t="str">
        <f t="shared" si="0"/>
        <v>0%</v>
      </c>
    </row>
    <row r="43" spans="2:9">
      <c r="E43" s="29"/>
      <c r="F43" s="30"/>
      <c r="G43" s="30"/>
      <c r="H43" s="10"/>
      <c r="I43" s="29"/>
    </row>
    <row r="44" spans="2:9">
      <c r="D44" s="27" t="s">
        <v>10092</v>
      </c>
      <c r="E44" s="26">
        <v>1000000</v>
      </c>
      <c r="F44" s="30"/>
      <c r="G44" s="30"/>
      <c r="H44" s="10"/>
      <c r="I44" s="29"/>
    </row>
    <row r="45" spans="2:9">
      <c r="G45" s="28">
        <f>SUBTOTAL(9,G47:G57)</f>
        <v>0</v>
      </c>
      <c r="I45" s="32">
        <f>IFERROR(G45/$E$44,"0%")</f>
        <v>0</v>
      </c>
    </row>
    <row r="46" spans="2:9">
      <c r="B46" s="8" t="s">
        <v>2722</v>
      </c>
      <c r="C46" s="8" t="s">
        <v>9908</v>
      </c>
      <c r="D46" s="8" t="s">
        <v>9910</v>
      </c>
      <c r="E46" s="8" t="s">
        <v>9909</v>
      </c>
      <c r="F46" s="8" t="s">
        <v>9905</v>
      </c>
      <c r="G46" s="8" t="s">
        <v>10091</v>
      </c>
      <c r="H46" s="8" t="s">
        <v>9907</v>
      </c>
      <c r="I46" s="8" t="s">
        <v>9906</v>
      </c>
    </row>
    <row r="47" spans="2:9">
      <c r="B47" s="9" t="s">
        <v>756</v>
      </c>
      <c r="C47" s="9">
        <v>654</v>
      </c>
      <c r="D47" s="9" t="str">
        <f>IFERROR(VLOOKUP(B47,#REF!,3,0),"")</f>
        <v/>
      </c>
      <c r="E47" s="11" t="str">
        <f t="shared" ref="E47:E57" si="2">IFERROR(1-C47/D47,"0%")</f>
        <v>0%</v>
      </c>
      <c r="F47" s="12" t="str">
        <f>IFERROR(VLOOKUP(B47,#REF!,2,0),"")</f>
        <v/>
      </c>
      <c r="G47" s="12" t="str">
        <f>IFERROR(VLOOKUP(B47,#REF!,5,0),"")</f>
        <v/>
      </c>
      <c r="H47" s="25" t="str">
        <f>IFERROR(VLOOKUP(B47,#REF!,4,0),"")</f>
        <v/>
      </c>
      <c r="I47" s="11" t="str">
        <f t="shared" ref="I47:I57" si="3">IFERROR(G47/$E$44,"0%")</f>
        <v>0%</v>
      </c>
    </row>
    <row r="48" spans="2:9">
      <c r="B48" s="9" t="s">
        <v>2179</v>
      </c>
      <c r="C48" s="9">
        <v>159</v>
      </c>
      <c r="D48" s="9" t="str">
        <f>IFERROR(VLOOKUP(B48,#REF!,3,0),"")</f>
        <v/>
      </c>
      <c r="E48" s="11" t="str">
        <f t="shared" si="2"/>
        <v>0%</v>
      </c>
      <c r="F48" s="12" t="str">
        <f>IFERROR(VLOOKUP(B48,#REF!,2,0),"")</f>
        <v/>
      </c>
      <c r="G48" s="12" t="str">
        <f>IFERROR(VLOOKUP(B48,#REF!,5,0),"")</f>
        <v/>
      </c>
      <c r="H48" s="25" t="str">
        <f>IFERROR(VLOOKUP(B48,#REF!,4,0),"")</f>
        <v/>
      </c>
      <c r="I48" s="11" t="str">
        <f t="shared" si="3"/>
        <v>0%</v>
      </c>
    </row>
    <row r="49" spans="2:9">
      <c r="B49" s="9" t="s">
        <v>761</v>
      </c>
      <c r="C49" s="9">
        <v>296</v>
      </c>
      <c r="D49" s="9" t="str">
        <f>IFERROR(VLOOKUP(B49,#REF!,3,0),"")</f>
        <v/>
      </c>
      <c r="E49" s="11" t="str">
        <f t="shared" si="2"/>
        <v>0%</v>
      </c>
      <c r="F49" s="12" t="str">
        <f>IFERROR(VLOOKUP(B49,#REF!,2,0),"")</f>
        <v/>
      </c>
      <c r="G49" s="12" t="str">
        <f>IFERROR(VLOOKUP(B49,#REF!,5,0),"")</f>
        <v/>
      </c>
      <c r="H49" s="25" t="str">
        <f>IFERROR(VLOOKUP(B49,#REF!,4,0),"")</f>
        <v/>
      </c>
      <c r="I49" s="11" t="str">
        <f t="shared" si="3"/>
        <v>0%</v>
      </c>
    </row>
    <row r="50" spans="2:9">
      <c r="B50" s="9" t="s">
        <v>2738</v>
      </c>
      <c r="C50" s="9">
        <v>89</v>
      </c>
      <c r="D50" s="9" t="str">
        <f>IFERROR(VLOOKUP(B50,#REF!,3,0),"")</f>
        <v/>
      </c>
      <c r="E50" s="11" t="str">
        <f t="shared" si="2"/>
        <v>0%</v>
      </c>
      <c r="F50" s="12" t="str">
        <f>IFERROR(VLOOKUP(B50,#REF!,2,0),"")</f>
        <v/>
      </c>
      <c r="G50" s="12" t="str">
        <f>IFERROR(VLOOKUP(B50,#REF!,5,0),"")</f>
        <v/>
      </c>
      <c r="H50" s="25" t="str">
        <f>IFERROR(VLOOKUP(B50,#REF!,4,0),"")</f>
        <v/>
      </c>
      <c r="I50" s="11" t="str">
        <f t="shared" si="3"/>
        <v>0%</v>
      </c>
    </row>
    <row r="51" spans="2:9">
      <c r="B51" s="9" t="s">
        <v>763</v>
      </c>
      <c r="C51" s="9">
        <v>987</v>
      </c>
      <c r="D51" s="9" t="str">
        <f>IFERROR(VLOOKUP(B51,#REF!,3,0),"")</f>
        <v/>
      </c>
      <c r="E51" s="11" t="str">
        <f t="shared" si="2"/>
        <v>0%</v>
      </c>
      <c r="F51" s="12" t="str">
        <f>IFERROR(VLOOKUP(B51,#REF!,2,0),"")</f>
        <v/>
      </c>
      <c r="G51" s="12" t="str">
        <f>IFERROR(VLOOKUP(B51,#REF!,5,0),"")</f>
        <v/>
      </c>
      <c r="H51" s="25" t="str">
        <f>IFERROR(VLOOKUP(B51,#REF!,4,0),"")</f>
        <v/>
      </c>
      <c r="I51" s="11" t="str">
        <f t="shared" si="3"/>
        <v>0%</v>
      </c>
    </row>
    <row r="52" spans="2:9">
      <c r="B52" s="9" t="s">
        <v>2193</v>
      </c>
      <c r="C52" s="9">
        <v>1418</v>
      </c>
      <c r="D52" s="9" t="str">
        <f>IFERROR(VLOOKUP(B52,#REF!,3,0),"")</f>
        <v/>
      </c>
      <c r="E52" s="11" t="str">
        <f t="shared" si="2"/>
        <v>0%</v>
      </c>
      <c r="F52" s="12" t="str">
        <f>IFERROR(VLOOKUP(B52,#REF!,2,0),"")</f>
        <v/>
      </c>
      <c r="G52" s="12" t="str">
        <f>IFERROR(VLOOKUP(B52,#REF!,5,0),"")</f>
        <v/>
      </c>
      <c r="H52" s="25" t="str">
        <f>IFERROR(VLOOKUP(B52,#REF!,4,0),"")</f>
        <v/>
      </c>
      <c r="I52" s="11" t="str">
        <f t="shared" si="3"/>
        <v>0%</v>
      </c>
    </row>
    <row r="53" spans="2:9">
      <c r="B53" s="9" t="s">
        <v>2739</v>
      </c>
      <c r="C53" s="9"/>
      <c r="D53" s="9" t="str">
        <f>IFERROR(VLOOKUP(B53,#REF!,3,0),"")</f>
        <v/>
      </c>
      <c r="E53" s="11" t="str">
        <f t="shared" si="2"/>
        <v>0%</v>
      </c>
      <c r="F53" s="12" t="str">
        <f>IFERROR(VLOOKUP(B53,#REF!,2,0),"")</f>
        <v/>
      </c>
      <c r="G53" s="12" t="str">
        <f>IFERROR(VLOOKUP(B53,#REF!,5,0),"")</f>
        <v/>
      </c>
      <c r="H53" s="25" t="str">
        <f>IFERROR(VLOOKUP(B53,#REF!,4,0),"")</f>
        <v/>
      </c>
      <c r="I53" s="11" t="str">
        <f t="shared" si="3"/>
        <v>0%</v>
      </c>
    </row>
    <row r="54" spans="2:9">
      <c r="B54" s="9" t="s">
        <v>2740</v>
      </c>
      <c r="C54" s="9"/>
      <c r="D54" s="9" t="str">
        <f>IFERROR(VLOOKUP(B54,#REF!,3,0),"")</f>
        <v/>
      </c>
      <c r="E54" s="11" t="str">
        <f t="shared" si="2"/>
        <v>0%</v>
      </c>
      <c r="F54" s="12" t="str">
        <f>IFERROR(VLOOKUP(B54,#REF!,2,0),"")</f>
        <v/>
      </c>
      <c r="G54" s="12" t="str">
        <f>IFERROR(VLOOKUP(B54,#REF!,5,0),"")</f>
        <v/>
      </c>
      <c r="H54" s="25" t="str">
        <f>IFERROR(VLOOKUP(B54,#REF!,4,0),"")</f>
        <v/>
      </c>
      <c r="I54" s="11" t="str">
        <f t="shared" si="3"/>
        <v>0%</v>
      </c>
    </row>
    <row r="55" spans="2:9">
      <c r="B55" s="9" t="s">
        <v>2741</v>
      </c>
      <c r="C55" s="9">
        <v>40</v>
      </c>
      <c r="D55" s="9" t="str">
        <f>IFERROR(VLOOKUP(B55,#REF!,3,0),"")</f>
        <v/>
      </c>
      <c r="E55" s="11" t="str">
        <f t="shared" si="2"/>
        <v>0%</v>
      </c>
      <c r="F55" s="12" t="str">
        <f>IFERROR(VLOOKUP(B55,#REF!,2,0),"")</f>
        <v/>
      </c>
      <c r="G55" s="12" t="str">
        <f>IFERROR(VLOOKUP(B55,#REF!,5,0),"")</f>
        <v/>
      </c>
      <c r="H55" s="25" t="str">
        <f>IFERROR(VLOOKUP(B55,#REF!,4,0),"")</f>
        <v/>
      </c>
      <c r="I55" s="11" t="str">
        <f t="shared" si="3"/>
        <v>0%</v>
      </c>
    </row>
    <row r="56" spans="2:9">
      <c r="B56" s="9" t="s">
        <v>2200</v>
      </c>
      <c r="C56" s="9">
        <v>501</v>
      </c>
      <c r="D56" s="9" t="str">
        <f>IFERROR(VLOOKUP(B56,#REF!,3,0),"")</f>
        <v/>
      </c>
      <c r="E56" s="11" t="str">
        <f t="shared" si="2"/>
        <v>0%</v>
      </c>
      <c r="F56" s="12" t="str">
        <f>IFERROR(VLOOKUP(B56,#REF!,2,0),"")</f>
        <v/>
      </c>
      <c r="G56" s="12" t="str">
        <f>IFERROR(VLOOKUP(B56,#REF!,5,0),"")</f>
        <v/>
      </c>
      <c r="H56" s="25" t="str">
        <f>IFERROR(VLOOKUP(B56,#REF!,4,0),"")</f>
        <v/>
      </c>
      <c r="I56" s="11" t="str">
        <f t="shared" si="3"/>
        <v>0%</v>
      </c>
    </row>
    <row r="57" spans="2:9">
      <c r="B57" s="9" t="s">
        <v>2742</v>
      </c>
      <c r="C57" s="9"/>
      <c r="D57" s="9" t="str">
        <f>IFERROR(VLOOKUP(B57,#REF!,3,0),"")</f>
        <v/>
      </c>
      <c r="E57" s="11" t="str">
        <f t="shared" si="2"/>
        <v>0%</v>
      </c>
      <c r="F57" s="12" t="str">
        <f>IFERROR(VLOOKUP(B57,#REF!,2,0),"")</f>
        <v/>
      </c>
      <c r="G57" s="12" t="str">
        <f>IFERROR(VLOOKUP(B57,#REF!,5,0),"")</f>
        <v/>
      </c>
      <c r="H57" s="25" t="str">
        <f>IFERROR(VLOOKUP(B57,#REF!,4,0),"")</f>
        <v/>
      </c>
      <c r="I57" s="11" t="str">
        <f t="shared" si="3"/>
        <v>0%</v>
      </c>
    </row>
  </sheetData>
  <phoneticPr fontId="1" type="noConversion"/>
  <conditionalFormatting sqref="E5:E43">
    <cfRule type="dataBar" priority="15">
      <dataBar>
        <cfvo type="num" val="0"/>
        <cfvo type="num" val="1"/>
        <color rgb="FF63C384"/>
      </dataBar>
      <extLst>
        <ext xmlns:x14="http://schemas.microsoft.com/office/spreadsheetml/2009/9/main" uri="{B025F937-C7B1-47D3-B67F-A62EFF666E3E}">
          <x14:id>{1C15B25E-081C-486B-BE7A-F960A60E09BE}</x14:id>
        </ext>
      </extLst>
    </cfRule>
    <cfRule type="dataBar" priority="16">
      <dataBar>
        <cfvo type="min"/>
        <cfvo type="max"/>
        <color rgb="FF63C384"/>
      </dataBar>
      <extLst>
        <ext xmlns:x14="http://schemas.microsoft.com/office/spreadsheetml/2009/9/main" uri="{B025F937-C7B1-47D3-B67F-A62EFF666E3E}">
          <x14:id>{64BC00E2-98B8-4F38-AC9D-3A4B1FD0EB8C}</x14:id>
        </ext>
      </extLst>
    </cfRule>
  </conditionalFormatting>
  <conditionalFormatting sqref="E47:E57">
    <cfRule type="dataBar" priority="11">
      <dataBar>
        <cfvo type="num" val="0"/>
        <cfvo type="num" val="1"/>
        <color rgb="FF63C384"/>
      </dataBar>
      <extLst>
        <ext xmlns:x14="http://schemas.microsoft.com/office/spreadsheetml/2009/9/main" uri="{B025F937-C7B1-47D3-B67F-A62EFF666E3E}">
          <x14:id>{5610B3B5-8B80-4400-9709-36AE20DD806F}</x14:id>
        </ext>
      </extLst>
    </cfRule>
    <cfRule type="dataBar" priority="12">
      <dataBar>
        <cfvo type="min"/>
        <cfvo type="max"/>
        <color rgb="FF63C384"/>
      </dataBar>
      <extLst>
        <ext xmlns:x14="http://schemas.microsoft.com/office/spreadsheetml/2009/9/main" uri="{B025F937-C7B1-47D3-B67F-A62EFF666E3E}">
          <x14:id>{33469CCC-948F-42F5-9A01-D312B96C09F7}</x14:id>
        </ext>
      </extLst>
    </cfRule>
  </conditionalFormatting>
  <conditionalFormatting sqref="I3">
    <cfRule type="dataBar" priority="1">
      <dataBar>
        <cfvo type="num" val="0"/>
        <cfvo type="num" val="1"/>
        <color rgb="FF63C384"/>
      </dataBar>
      <extLst>
        <ext xmlns:x14="http://schemas.microsoft.com/office/spreadsheetml/2009/9/main" uri="{B025F937-C7B1-47D3-B67F-A62EFF666E3E}">
          <x14:id>{A2B3929E-B464-40E2-AA67-0ADF886348B5}</x14:id>
        </ext>
      </extLst>
    </cfRule>
    <cfRule type="dataBar" priority="2">
      <dataBar>
        <cfvo type="min"/>
        <cfvo type="max"/>
        <color rgb="FF63C384"/>
      </dataBar>
      <extLst>
        <ext xmlns:x14="http://schemas.microsoft.com/office/spreadsheetml/2009/9/main" uri="{B025F937-C7B1-47D3-B67F-A62EFF666E3E}">
          <x14:id>{1405DF41-4C90-4F33-A581-BFEA0803B831}</x14:id>
        </ext>
      </extLst>
    </cfRule>
  </conditionalFormatting>
  <conditionalFormatting sqref="I5:I44">
    <cfRule type="dataBar" priority="9">
      <dataBar>
        <cfvo type="num" val="0"/>
        <cfvo type="num" val="1"/>
        <color rgb="FF63C384"/>
      </dataBar>
      <extLst>
        <ext xmlns:x14="http://schemas.microsoft.com/office/spreadsheetml/2009/9/main" uri="{B025F937-C7B1-47D3-B67F-A62EFF666E3E}">
          <x14:id>{E1C25419-7500-4BB9-8B9B-A1A9067C0B12}</x14:id>
        </ext>
      </extLst>
    </cfRule>
    <cfRule type="dataBar" priority="10">
      <dataBar>
        <cfvo type="min"/>
        <cfvo type="max"/>
        <color rgb="FF63C384"/>
      </dataBar>
      <extLst>
        <ext xmlns:x14="http://schemas.microsoft.com/office/spreadsheetml/2009/9/main" uri="{B025F937-C7B1-47D3-B67F-A62EFF666E3E}">
          <x14:id>{5D50E6DF-DC3E-4FC7-87A0-23D77BE16917}</x14:id>
        </ext>
      </extLst>
    </cfRule>
  </conditionalFormatting>
  <conditionalFormatting sqref="I45">
    <cfRule type="dataBar" priority="5">
      <dataBar>
        <cfvo type="num" val="0"/>
        <cfvo type="num" val="1"/>
        <color rgb="FF63C384"/>
      </dataBar>
      <extLst>
        <ext xmlns:x14="http://schemas.microsoft.com/office/spreadsheetml/2009/9/main" uri="{B025F937-C7B1-47D3-B67F-A62EFF666E3E}">
          <x14:id>{B3AB9803-73FA-4B3C-B158-CBBE5B067B26}</x14:id>
        </ext>
      </extLst>
    </cfRule>
    <cfRule type="dataBar" priority="6">
      <dataBar>
        <cfvo type="min"/>
        <cfvo type="max"/>
        <color rgb="FF63C384"/>
      </dataBar>
      <extLst>
        <ext xmlns:x14="http://schemas.microsoft.com/office/spreadsheetml/2009/9/main" uri="{B025F937-C7B1-47D3-B67F-A62EFF666E3E}">
          <x14:id>{9790AF22-ED40-4651-B923-E9340713C2B4}</x14:id>
        </ext>
      </extLst>
    </cfRule>
  </conditionalFormatting>
  <conditionalFormatting sqref="I47:I57">
    <cfRule type="dataBar" priority="3">
      <dataBar>
        <cfvo type="num" val="0"/>
        <cfvo type="num" val="1"/>
        <color rgb="FF63C384"/>
      </dataBar>
      <extLst>
        <ext xmlns:x14="http://schemas.microsoft.com/office/spreadsheetml/2009/9/main" uri="{B025F937-C7B1-47D3-B67F-A62EFF666E3E}">
          <x14:id>{BBE805C5-4833-4C95-83F5-71969AFDE1C4}</x14:id>
        </ext>
      </extLst>
    </cfRule>
    <cfRule type="dataBar" priority="4">
      <dataBar>
        <cfvo type="min"/>
        <cfvo type="max"/>
        <color rgb="FF63C384"/>
      </dataBar>
      <extLst>
        <ext xmlns:x14="http://schemas.microsoft.com/office/spreadsheetml/2009/9/main" uri="{B025F937-C7B1-47D3-B67F-A62EFF666E3E}">
          <x14:id>{46E50B64-4AD3-4CDE-A1DB-DA79E6395ACD}</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1C15B25E-081C-486B-BE7A-F960A60E09B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14:cfRule type="dataBar" id="{64BC00E2-98B8-4F38-AC9D-3A4B1FD0EB8C}">
            <x14:dataBar minLength="0" maxLength="100" border="1" negativeBarBorderColorSameAsPositive="0">
              <x14:cfvo type="autoMin"/>
              <x14:cfvo type="autoMax"/>
              <x14:borderColor rgb="FF63C384"/>
              <x14:negativeFillColor rgb="FFFF0000"/>
              <x14:negativeBorderColor rgb="FFFF0000"/>
              <x14:axisColor rgb="FF000000"/>
            </x14:dataBar>
          </x14:cfRule>
          <xm:sqref>E5:E43</xm:sqref>
        </x14:conditionalFormatting>
        <x14:conditionalFormatting xmlns:xm="http://schemas.microsoft.com/office/excel/2006/main">
          <x14:cfRule type="dataBar" id="{5610B3B5-8B80-4400-9709-36AE20DD806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14:cfRule type="dataBar" id="{33469CCC-948F-42F5-9A01-D312B96C09F7}">
            <x14:dataBar minLength="0" maxLength="100" border="1" negativeBarBorderColorSameAsPositive="0">
              <x14:cfvo type="autoMin"/>
              <x14:cfvo type="autoMax"/>
              <x14:borderColor rgb="FF63C384"/>
              <x14:negativeFillColor rgb="FFFF0000"/>
              <x14:negativeBorderColor rgb="FFFF0000"/>
              <x14:axisColor rgb="FF000000"/>
            </x14:dataBar>
          </x14:cfRule>
          <xm:sqref>E47:E57</xm:sqref>
        </x14:conditionalFormatting>
        <x14:conditionalFormatting xmlns:xm="http://schemas.microsoft.com/office/excel/2006/main">
          <x14:cfRule type="dataBar" id="{A2B3929E-B464-40E2-AA67-0ADF886348B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14:cfRule type="dataBar" id="{1405DF41-4C90-4F33-A581-BFEA0803B831}">
            <x14:dataBar minLength="0" maxLength="100" border="1" negativeBarBorderColorSameAsPositive="0">
              <x14:cfvo type="autoMin"/>
              <x14:cfvo type="autoMax"/>
              <x14:borderColor rgb="FF63C384"/>
              <x14:negativeFillColor rgb="FFFF0000"/>
              <x14:negativeBorderColor rgb="FFFF0000"/>
              <x14:axisColor rgb="FF000000"/>
            </x14:dataBar>
          </x14:cfRule>
          <xm:sqref>I3</xm:sqref>
        </x14:conditionalFormatting>
        <x14:conditionalFormatting xmlns:xm="http://schemas.microsoft.com/office/excel/2006/main">
          <x14:cfRule type="dataBar" id="{E1C25419-7500-4BB9-8B9B-A1A9067C0B1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14:cfRule type="dataBar" id="{5D50E6DF-DC3E-4FC7-87A0-23D77BE16917}">
            <x14:dataBar minLength="0" maxLength="100" border="1" negativeBarBorderColorSameAsPositive="0">
              <x14:cfvo type="autoMin"/>
              <x14:cfvo type="autoMax"/>
              <x14:borderColor rgb="FF63C384"/>
              <x14:negativeFillColor rgb="FFFF0000"/>
              <x14:negativeBorderColor rgb="FFFF0000"/>
              <x14:axisColor rgb="FF000000"/>
            </x14:dataBar>
          </x14:cfRule>
          <xm:sqref>I5:I44</xm:sqref>
        </x14:conditionalFormatting>
        <x14:conditionalFormatting xmlns:xm="http://schemas.microsoft.com/office/excel/2006/main">
          <x14:cfRule type="dataBar" id="{B3AB9803-73FA-4B3C-B158-CBBE5B067B26}">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14:cfRule type="dataBar" id="{9790AF22-ED40-4651-B923-E9340713C2B4}">
            <x14:dataBar minLength="0" maxLength="100" border="1" negativeBarBorderColorSameAsPositive="0">
              <x14:cfvo type="autoMin"/>
              <x14:cfvo type="autoMax"/>
              <x14:borderColor rgb="FF63C384"/>
              <x14:negativeFillColor rgb="FFFF0000"/>
              <x14:negativeBorderColor rgb="FFFF0000"/>
              <x14:axisColor rgb="FF000000"/>
            </x14:dataBar>
          </x14:cfRule>
          <xm:sqref>I45</xm:sqref>
        </x14:conditionalFormatting>
        <x14:conditionalFormatting xmlns:xm="http://schemas.microsoft.com/office/excel/2006/main">
          <x14:cfRule type="dataBar" id="{BBE805C5-4833-4C95-83F5-71969AFDE1C4}">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14:cfRule type="dataBar" id="{46E50B64-4AD3-4CDE-A1DB-DA79E6395ACD}">
            <x14:dataBar minLength="0" maxLength="100" border="1" negativeBarBorderColorSameAsPositive="0">
              <x14:cfvo type="autoMin"/>
              <x14:cfvo type="autoMax"/>
              <x14:borderColor rgb="FF63C384"/>
              <x14:negativeFillColor rgb="FFFF0000"/>
              <x14:negativeBorderColor rgb="FFFF0000"/>
              <x14:axisColor rgb="FF000000"/>
            </x14:dataBar>
          </x14:cfRule>
          <xm:sqref>I47:I57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F663FD-F829-4987-8CD8-B86386CEAE24}">
  <dimension ref="A1:P5257"/>
  <sheetViews>
    <sheetView showGridLines="0" tabSelected="1" workbookViewId="0">
      <selection activeCell="L4" sqref="L4"/>
    </sheetView>
  </sheetViews>
  <sheetFormatPr defaultRowHeight="16.5"/>
  <cols>
    <col min="1" max="1" width="18" style="1" bestFit="1" customWidth="1"/>
    <col min="2" max="16" width="9" style="1"/>
  </cols>
  <sheetData>
    <row r="1" spans="1:16">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2720</v>
      </c>
    </row>
    <row r="2" spans="1:16">
      <c r="A2" s="1" t="s">
        <v>15</v>
      </c>
      <c r="B2" s="1">
        <v>11</v>
      </c>
      <c r="C2" s="1" t="s">
        <v>2743</v>
      </c>
      <c r="D2" s="1" t="s">
        <v>169</v>
      </c>
      <c r="E2" s="2">
        <v>45967</v>
      </c>
      <c r="F2" s="1" t="s">
        <v>53</v>
      </c>
      <c r="G2" s="1" t="s">
        <v>170</v>
      </c>
      <c r="H2" s="1" t="s">
        <v>171</v>
      </c>
      <c r="I2" s="1">
        <v>1</v>
      </c>
      <c r="J2" s="3">
        <v>14332</v>
      </c>
      <c r="K2" s="3">
        <v>13676</v>
      </c>
      <c r="L2" s="1">
        <v>0</v>
      </c>
      <c r="M2" s="4">
        <v>0</v>
      </c>
      <c r="N2" s="1">
        <v>656</v>
      </c>
      <c r="O2" s="4">
        <v>4.5999999999999999E-2</v>
      </c>
      <c r="P2" s="1" t="s">
        <v>2721</v>
      </c>
    </row>
    <row r="3" spans="1:16">
      <c r="A3" s="1" t="s">
        <v>15</v>
      </c>
      <c r="B3" s="1">
        <v>11</v>
      </c>
      <c r="C3" s="1" t="s">
        <v>2744</v>
      </c>
      <c r="D3" s="1" t="s">
        <v>1060</v>
      </c>
      <c r="E3" s="2">
        <v>45967</v>
      </c>
      <c r="F3" s="1" t="s">
        <v>48</v>
      </c>
      <c r="G3" s="1" t="s">
        <v>1061</v>
      </c>
      <c r="H3" s="1" t="s">
        <v>1062</v>
      </c>
      <c r="I3" s="1">
        <v>2</v>
      </c>
      <c r="J3" s="3">
        <v>16098</v>
      </c>
      <c r="K3" s="3">
        <v>15361</v>
      </c>
      <c r="L3" s="1">
        <v>0</v>
      </c>
      <c r="M3" s="4">
        <v>0</v>
      </c>
      <c r="N3" s="1">
        <v>737</v>
      </c>
      <c r="O3" s="4">
        <v>4.5999999999999999E-2</v>
      </c>
      <c r="P3" s="1" t="s">
        <v>2721</v>
      </c>
    </row>
    <row r="4" spans="1:16">
      <c r="A4" s="1" t="s">
        <v>15</v>
      </c>
      <c r="B4" s="1">
        <v>11</v>
      </c>
      <c r="C4" s="1" t="s">
        <v>2745</v>
      </c>
      <c r="D4" s="1" t="s">
        <v>482</v>
      </c>
      <c r="E4" s="2">
        <v>45967</v>
      </c>
      <c r="F4" s="1" t="s">
        <v>483</v>
      </c>
      <c r="G4" s="1" t="s">
        <v>484</v>
      </c>
      <c r="H4" s="1" t="s">
        <v>1777</v>
      </c>
      <c r="I4" s="1">
        <v>1</v>
      </c>
      <c r="J4" s="3">
        <v>27426</v>
      </c>
      <c r="K4" s="3">
        <v>26170</v>
      </c>
      <c r="L4" s="1">
        <v>0</v>
      </c>
      <c r="M4" s="4">
        <v>0</v>
      </c>
      <c r="N4" s="3">
        <v>1256</v>
      </c>
      <c r="O4" s="4">
        <v>4.5999999999999999E-2</v>
      </c>
      <c r="P4" s="1" t="s">
        <v>2721</v>
      </c>
    </row>
    <row r="5" spans="1:16">
      <c r="A5" s="1" t="s">
        <v>15</v>
      </c>
      <c r="B5" s="1">
        <v>11</v>
      </c>
      <c r="C5" s="1" t="s">
        <v>2746</v>
      </c>
      <c r="D5" s="1" t="s">
        <v>1070</v>
      </c>
      <c r="E5" s="2">
        <v>45967</v>
      </c>
      <c r="F5" s="1" t="s">
        <v>58</v>
      </c>
      <c r="G5" s="1" t="s">
        <v>1071</v>
      </c>
      <c r="H5" s="1" t="s">
        <v>1072</v>
      </c>
      <c r="I5" s="1">
        <v>1</v>
      </c>
      <c r="J5" s="3">
        <v>10872</v>
      </c>
      <c r="K5" s="3">
        <v>10374</v>
      </c>
      <c r="L5" s="1">
        <v>0</v>
      </c>
      <c r="M5" s="4">
        <v>0</v>
      </c>
      <c r="N5" s="1">
        <v>498</v>
      </c>
      <c r="O5" s="4">
        <v>4.5999999999999999E-2</v>
      </c>
      <c r="P5" s="1" t="s">
        <v>2721</v>
      </c>
    </row>
    <row r="6" spans="1:16">
      <c r="A6" s="1" t="s">
        <v>15</v>
      </c>
      <c r="B6" s="1">
        <v>11</v>
      </c>
      <c r="C6" s="1" t="s">
        <v>2747</v>
      </c>
      <c r="D6" s="1" t="s">
        <v>887</v>
      </c>
      <c r="E6" s="2">
        <v>45967</v>
      </c>
      <c r="F6" s="1" t="s">
        <v>53</v>
      </c>
      <c r="G6" s="1" t="s">
        <v>888</v>
      </c>
      <c r="H6" s="1" t="s">
        <v>889</v>
      </c>
      <c r="I6" s="1">
        <v>1</v>
      </c>
      <c r="J6" s="3">
        <v>10726</v>
      </c>
      <c r="K6" s="3">
        <v>10235</v>
      </c>
      <c r="L6" s="1">
        <v>0</v>
      </c>
      <c r="M6" s="4">
        <v>0</v>
      </c>
      <c r="N6" s="1">
        <v>491</v>
      </c>
      <c r="O6" s="4">
        <v>4.5999999999999999E-2</v>
      </c>
      <c r="P6" s="1" t="s">
        <v>2721</v>
      </c>
    </row>
    <row r="7" spans="1:16">
      <c r="A7" s="1" t="s">
        <v>15</v>
      </c>
      <c r="B7" s="1">
        <v>11</v>
      </c>
      <c r="C7" s="1" t="s">
        <v>2748</v>
      </c>
      <c r="D7" s="1" t="s">
        <v>221</v>
      </c>
      <c r="E7" s="2">
        <v>45967</v>
      </c>
      <c r="F7" s="1" t="s">
        <v>96</v>
      </c>
      <c r="G7" s="1" t="s">
        <v>222</v>
      </c>
      <c r="H7" s="1" t="s">
        <v>223</v>
      </c>
      <c r="I7" s="1">
        <v>2</v>
      </c>
      <c r="J7" s="3">
        <v>25141</v>
      </c>
      <c r="K7" s="3">
        <v>23990</v>
      </c>
      <c r="L7" s="1">
        <v>0</v>
      </c>
      <c r="M7" s="4">
        <v>0</v>
      </c>
      <c r="N7" s="3">
        <v>1151</v>
      </c>
      <c r="O7" s="4">
        <v>4.5999999999999999E-2</v>
      </c>
      <c r="P7" s="1" t="s">
        <v>2721</v>
      </c>
    </row>
    <row r="8" spans="1:16">
      <c r="A8" s="1" t="s">
        <v>15</v>
      </c>
      <c r="B8" s="1">
        <v>11</v>
      </c>
      <c r="C8" s="1" t="s">
        <v>2749</v>
      </c>
      <c r="D8" s="1" t="s">
        <v>504</v>
      </c>
      <c r="E8" s="2">
        <v>45967</v>
      </c>
      <c r="F8" s="1" t="s">
        <v>407</v>
      </c>
      <c r="G8" s="1" t="s">
        <v>505</v>
      </c>
      <c r="H8" s="1" t="s">
        <v>1131</v>
      </c>
      <c r="I8" s="1">
        <v>1</v>
      </c>
      <c r="J8" s="3">
        <v>54065</v>
      </c>
      <c r="K8" s="3">
        <v>51590</v>
      </c>
      <c r="L8" s="1">
        <v>0</v>
      </c>
      <c r="M8" s="4">
        <v>0</v>
      </c>
      <c r="N8" s="3">
        <v>2475</v>
      </c>
      <c r="O8" s="4">
        <v>4.5999999999999999E-2</v>
      </c>
      <c r="P8" s="1" t="s">
        <v>2721</v>
      </c>
    </row>
    <row r="9" spans="1:16">
      <c r="A9" s="1" t="s">
        <v>15</v>
      </c>
      <c r="B9" s="1">
        <v>11</v>
      </c>
      <c r="C9" s="1" t="s">
        <v>2750</v>
      </c>
      <c r="D9" s="1" t="s">
        <v>27</v>
      </c>
      <c r="E9" s="2">
        <v>45967</v>
      </c>
      <c r="F9" s="1" t="s">
        <v>28</v>
      </c>
      <c r="G9" s="1" t="s">
        <v>29</v>
      </c>
      <c r="H9" s="1" t="s">
        <v>352</v>
      </c>
      <c r="I9" s="1">
        <v>1</v>
      </c>
      <c r="J9" s="3">
        <v>27033</v>
      </c>
      <c r="K9" s="3">
        <v>25795</v>
      </c>
      <c r="L9" s="1">
        <v>0</v>
      </c>
      <c r="M9" s="4">
        <v>0</v>
      </c>
      <c r="N9" s="3">
        <v>1238</v>
      </c>
      <c r="O9" s="4">
        <v>4.5999999999999999E-2</v>
      </c>
      <c r="P9" s="1" t="s">
        <v>2721</v>
      </c>
    </row>
    <row r="10" spans="1:16">
      <c r="A10" s="1" t="s">
        <v>15</v>
      </c>
      <c r="B10" s="1">
        <v>11</v>
      </c>
      <c r="C10" s="1" t="s">
        <v>2751</v>
      </c>
      <c r="D10" s="1" t="s">
        <v>32</v>
      </c>
      <c r="E10" s="2">
        <v>45967</v>
      </c>
      <c r="F10" s="1" t="s">
        <v>33</v>
      </c>
      <c r="G10" s="1" t="s">
        <v>34</v>
      </c>
      <c r="H10" s="1" t="s">
        <v>2752</v>
      </c>
      <c r="I10" s="1">
        <v>1</v>
      </c>
      <c r="J10" s="3">
        <v>72904</v>
      </c>
      <c r="K10" s="3">
        <v>69567</v>
      </c>
      <c r="L10" s="1">
        <v>0</v>
      </c>
      <c r="M10" s="4">
        <v>0</v>
      </c>
      <c r="N10" s="3">
        <v>3337</v>
      </c>
      <c r="O10" s="4">
        <v>4.5999999999999999E-2</v>
      </c>
      <c r="P10" s="1" t="s">
        <v>2721</v>
      </c>
    </row>
    <row r="11" spans="1:16">
      <c r="A11" s="1" t="s">
        <v>15</v>
      </c>
      <c r="B11" s="1">
        <v>11</v>
      </c>
      <c r="C11" s="1" t="s">
        <v>2753</v>
      </c>
      <c r="D11" s="1" t="s">
        <v>504</v>
      </c>
      <c r="E11" s="2">
        <v>45967</v>
      </c>
      <c r="F11" s="1" t="s">
        <v>407</v>
      </c>
      <c r="G11" s="1" t="s">
        <v>505</v>
      </c>
      <c r="H11" s="1" t="s">
        <v>1334</v>
      </c>
      <c r="I11" s="1">
        <v>1</v>
      </c>
      <c r="J11" s="3">
        <v>8552</v>
      </c>
      <c r="K11" s="3">
        <v>8161</v>
      </c>
      <c r="L11" s="1">
        <v>0</v>
      </c>
      <c r="M11" s="4">
        <v>0</v>
      </c>
      <c r="N11" s="1">
        <v>391</v>
      </c>
      <c r="O11" s="4">
        <v>4.5999999999999999E-2</v>
      </c>
      <c r="P11" s="1" t="s">
        <v>2721</v>
      </c>
    </row>
    <row r="12" spans="1:16">
      <c r="A12" s="1" t="s">
        <v>15</v>
      </c>
      <c r="B12" s="1">
        <v>11</v>
      </c>
      <c r="C12" s="1" t="s">
        <v>2754</v>
      </c>
      <c r="D12" s="1" t="s">
        <v>777</v>
      </c>
      <c r="E12" s="2">
        <v>45967</v>
      </c>
      <c r="F12" s="1" t="s">
        <v>256</v>
      </c>
      <c r="G12" s="1" t="s">
        <v>778</v>
      </c>
      <c r="H12" s="1" t="s">
        <v>779</v>
      </c>
      <c r="I12" s="1">
        <v>1</v>
      </c>
      <c r="J12" s="3">
        <v>11010</v>
      </c>
      <c r="K12" s="3">
        <v>10506</v>
      </c>
      <c r="L12" s="1">
        <v>0</v>
      </c>
      <c r="M12" s="4">
        <v>0</v>
      </c>
      <c r="N12" s="1">
        <v>504</v>
      </c>
      <c r="O12" s="4">
        <v>4.5999999999999999E-2</v>
      </c>
      <c r="P12" s="1" t="s">
        <v>2721</v>
      </c>
    </row>
    <row r="13" spans="1:16">
      <c r="A13" s="1" t="s">
        <v>15</v>
      </c>
      <c r="B13" s="1">
        <v>11</v>
      </c>
      <c r="C13" s="1" t="s">
        <v>2755</v>
      </c>
      <c r="D13" s="1" t="s">
        <v>2441</v>
      </c>
      <c r="E13" s="2">
        <v>45967</v>
      </c>
      <c r="F13" s="1" t="s">
        <v>2442</v>
      </c>
      <c r="G13" s="1" t="s">
        <v>2443</v>
      </c>
      <c r="H13" s="1" t="s">
        <v>2444</v>
      </c>
      <c r="I13" s="1">
        <v>1</v>
      </c>
      <c r="J13" s="3">
        <v>14155</v>
      </c>
      <c r="K13" s="3">
        <v>13507</v>
      </c>
      <c r="L13" s="1">
        <v>0</v>
      </c>
      <c r="M13" s="4">
        <v>0</v>
      </c>
      <c r="N13" s="1">
        <v>648</v>
      </c>
      <c r="O13" s="4">
        <v>4.5999999999999999E-2</v>
      </c>
      <c r="P13" s="1" t="s">
        <v>2721</v>
      </c>
    </row>
    <row r="14" spans="1:16">
      <c r="A14" s="1" t="s">
        <v>15</v>
      </c>
      <c r="B14" s="1">
        <v>11</v>
      </c>
      <c r="C14" s="1" t="s">
        <v>2756</v>
      </c>
      <c r="D14" s="1" t="s">
        <v>2757</v>
      </c>
      <c r="E14" s="2">
        <v>45967</v>
      </c>
      <c r="F14" s="1" t="s">
        <v>96</v>
      </c>
      <c r="G14" s="1" t="s">
        <v>2758</v>
      </c>
      <c r="H14" s="1" t="s">
        <v>2759</v>
      </c>
      <c r="I14" s="1">
        <v>1</v>
      </c>
      <c r="J14" s="3">
        <v>13285</v>
      </c>
      <c r="K14" s="3">
        <v>12677</v>
      </c>
      <c r="L14" s="1">
        <v>0</v>
      </c>
      <c r="M14" s="4">
        <v>0</v>
      </c>
      <c r="N14" s="1">
        <v>608</v>
      </c>
      <c r="O14" s="4">
        <v>4.5999999999999999E-2</v>
      </c>
      <c r="P14" s="1" t="s">
        <v>2721</v>
      </c>
    </row>
    <row r="15" spans="1:16">
      <c r="A15" s="1" t="s">
        <v>15</v>
      </c>
      <c r="B15" s="1">
        <v>11</v>
      </c>
      <c r="C15" s="1" t="s">
        <v>2760</v>
      </c>
      <c r="D15" s="1" t="s">
        <v>504</v>
      </c>
      <c r="E15" s="2">
        <v>45967</v>
      </c>
      <c r="F15" s="1" t="s">
        <v>407</v>
      </c>
      <c r="G15" s="1" t="s">
        <v>505</v>
      </c>
      <c r="H15" s="1" t="s">
        <v>1004</v>
      </c>
      <c r="I15" s="1">
        <v>1</v>
      </c>
      <c r="J15" s="3">
        <v>9339</v>
      </c>
      <c r="K15" s="3">
        <v>8911</v>
      </c>
      <c r="L15" s="1">
        <v>0</v>
      </c>
      <c r="M15" s="4">
        <v>0</v>
      </c>
      <c r="N15" s="1">
        <v>428</v>
      </c>
      <c r="O15" s="4">
        <v>4.5999999999999999E-2</v>
      </c>
      <c r="P15" s="1" t="s">
        <v>2721</v>
      </c>
    </row>
    <row r="16" spans="1:16">
      <c r="A16" s="1" t="s">
        <v>15</v>
      </c>
      <c r="B16" s="1">
        <v>11</v>
      </c>
      <c r="C16" s="1" t="s">
        <v>2761</v>
      </c>
      <c r="D16" s="1" t="s">
        <v>862</v>
      </c>
      <c r="E16" s="2">
        <v>45967</v>
      </c>
      <c r="F16" s="1" t="s">
        <v>334</v>
      </c>
      <c r="G16" s="1" t="s">
        <v>863</v>
      </c>
      <c r="H16" s="1" t="s">
        <v>1549</v>
      </c>
      <c r="I16" s="1">
        <v>2</v>
      </c>
      <c r="J16" s="3">
        <v>32439</v>
      </c>
      <c r="K16" s="3">
        <v>30954</v>
      </c>
      <c r="L16" s="1">
        <v>0</v>
      </c>
      <c r="M16" s="4">
        <v>0</v>
      </c>
      <c r="N16" s="3">
        <v>1485</v>
      </c>
      <c r="O16" s="4">
        <v>4.5999999999999999E-2</v>
      </c>
      <c r="P16" s="1" t="s">
        <v>2721</v>
      </c>
    </row>
    <row r="17" spans="1:16">
      <c r="A17" s="1" t="s">
        <v>15</v>
      </c>
      <c r="B17" s="1">
        <v>11</v>
      </c>
      <c r="C17" s="1" t="s">
        <v>2762</v>
      </c>
      <c r="D17" s="1" t="s">
        <v>468</v>
      </c>
      <c r="E17" s="2">
        <v>45967</v>
      </c>
      <c r="F17" s="1" t="s">
        <v>469</v>
      </c>
      <c r="G17" s="1" t="s">
        <v>470</v>
      </c>
      <c r="H17" s="1" t="s">
        <v>471</v>
      </c>
      <c r="I17" s="1">
        <v>3</v>
      </c>
      <c r="J17" s="3">
        <v>73430</v>
      </c>
      <c r="K17" s="3">
        <v>70069</v>
      </c>
      <c r="L17" s="1">
        <v>0</v>
      </c>
      <c r="M17" s="4">
        <v>0</v>
      </c>
      <c r="N17" s="3">
        <v>3361</v>
      </c>
      <c r="O17" s="4">
        <v>4.5999999999999999E-2</v>
      </c>
      <c r="P17" s="1" t="s">
        <v>2721</v>
      </c>
    </row>
    <row r="18" spans="1:16">
      <c r="A18" s="1" t="s">
        <v>15</v>
      </c>
      <c r="B18" s="1">
        <v>11</v>
      </c>
      <c r="C18" s="1" t="s">
        <v>2763</v>
      </c>
      <c r="D18" s="1" t="s">
        <v>2764</v>
      </c>
      <c r="E18" s="2">
        <v>45967</v>
      </c>
      <c r="F18" s="1" t="s">
        <v>53</v>
      </c>
      <c r="G18" s="1" t="s">
        <v>2765</v>
      </c>
      <c r="H18" s="1" t="s">
        <v>2766</v>
      </c>
      <c r="I18" s="1">
        <v>1</v>
      </c>
      <c r="J18" s="3">
        <v>14332</v>
      </c>
      <c r="K18" s="3">
        <v>13676</v>
      </c>
      <c r="L18" s="1">
        <v>0</v>
      </c>
      <c r="M18" s="4">
        <v>0</v>
      </c>
      <c r="N18" s="1">
        <v>656</v>
      </c>
      <c r="O18" s="4">
        <v>4.5999999999999999E-2</v>
      </c>
      <c r="P18" s="1" t="s">
        <v>2721</v>
      </c>
    </row>
    <row r="19" spans="1:16">
      <c r="A19" s="1" t="s">
        <v>15</v>
      </c>
      <c r="B19" s="1">
        <v>11</v>
      </c>
      <c r="C19" s="1" t="s">
        <v>2763</v>
      </c>
      <c r="D19" s="1" t="s">
        <v>238</v>
      </c>
      <c r="E19" s="2">
        <v>45967</v>
      </c>
      <c r="F19" s="1" t="s">
        <v>239</v>
      </c>
      <c r="G19" s="1" t="s">
        <v>240</v>
      </c>
      <c r="H19" s="1" t="s">
        <v>241</v>
      </c>
      <c r="I19" s="1">
        <v>1</v>
      </c>
      <c r="J19" s="3">
        <v>11305</v>
      </c>
      <c r="K19" s="3">
        <v>10787</v>
      </c>
      <c r="L19" s="1">
        <v>0</v>
      </c>
      <c r="M19" s="4">
        <v>0</v>
      </c>
      <c r="N19" s="1">
        <v>518</v>
      </c>
      <c r="O19" s="4">
        <v>4.5999999999999999E-2</v>
      </c>
      <c r="P19" s="1" t="s">
        <v>2721</v>
      </c>
    </row>
    <row r="20" spans="1:16">
      <c r="A20" s="1" t="s">
        <v>15</v>
      </c>
      <c r="B20" s="1">
        <v>11</v>
      </c>
      <c r="C20" s="1" t="s">
        <v>2767</v>
      </c>
      <c r="D20" s="1" t="s">
        <v>955</v>
      </c>
      <c r="E20" s="2">
        <v>45967</v>
      </c>
      <c r="F20" s="1" t="s">
        <v>554</v>
      </c>
      <c r="G20" s="1" t="s">
        <v>956</v>
      </c>
      <c r="H20" s="1" t="s">
        <v>957</v>
      </c>
      <c r="I20" s="1">
        <v>1</v>
      </c>
      <c r="J20" s="3">
        <v>17596</v>
      </c>
      <c r="K20" s="3">
        <v>16790</v>
      </c>
      <c r="L20" s="1">
        <v>0</v>
      </c>
      <c r="M20" s="4">
        <v>0</v>
      </c>
      <c r="N20" s="1">
        <v>806</v>
      </c>
      <c r="O20" s="4">
        <v>4.5999999999999999E-2</v>
      </c>
      <c r="P20" s="1" t="s">
        <v>2721</v>
      </c>
    </row>
    <row r="21" spans="1:16">
      <c r="A21" s="1" t="s">
        <v>15</v>
      </c>
      <c r="B21" s="1">
        <v>11</v>
      </c>
      <c r="C21" s="1" t="s">
        <v>2768</v>
      </c>
      <c r="D21" s="1" t="s">
        <v>228</v>
      </c>
      <c r="E21" s="2">
        <v>45967</v>
      </c>
      <c r="F21" s="1" t="s">
        <v>53</v>
      </c>
      <c r="G21" s="1" t="s">
        <v>229</v>
      </c>
      <c r="H21" s="1" t="s">
        <v>230</v>
      </c>
      <c r="I21" s="1">
        <v>1</v>
      </c>
      <c r="J21" s="3">
        <v>9825</v>
      </c>
      <c r="K21" s="3">
        <v>9375</v>
      </c>
      <c r="L21" s="1">
        <v>0</v>
      </c>
      <c r="M21" s="4">
        <v>0</v>
      </c>
      <c r="N21" s="1">
        <v>450</v>
      </c>
      <c r="O21" s="4">
        <v>4.5999999999999999E-2</v>
      </c>
      <c r="P21" s="1" t="s">
        <v>2721</v>
      </c>
    </row>
    <row r="22" spans="1:16">
      <c r="A22" s="1" t="s">
        <v>15</v>
      </c>
      <c r="B22" s="1">
        <v>11</v>
      </c>
      <c r="C22" s="1" t="s">
        <v>2769</v>
      </c>
      <c r="D22" s="1" t="s">
        <v>850</v>
      </c>
      <c r="E22" s="2">
        <v>45967</v>
      </c>
      <c r="F22" s="1" t="s">
        <v>851</v>
      </c>
      <c r="G22" s="1" t="s">
        <v>852</v>
      </c>
      <c r="H22" s="1" t="s">
        <v>853</v>
      </c>
      <c r="I22" s="1">
        <v>1</v>
      </c>
      <c r="J22" s="3">
        <v>24732</v>
      </c>
      <c r="K22" s="3">
        <v>23600</v>
      </c>
      <c r="L22" s="1">
        <v>0</v>
      </c>
      <c r="M22" s="4">
        <v>0</v>
      </c>
      <c r="N22" s="3">
        <v>1132</v>
      </c>
      <c r="O22" s="4">
        <v>4.5999999999999999E-2</v>
      </c>
      <c r="P22" s="1" t="s">
        <v>2721</v>
      </c>
    </row>
    <row r="23" spans="1:16">
      <c r="A23" s="1" t="s">
        <v>15</v>
      </c>
      <c r="B23" s="1">
        <v>11</v>
      </c>
      <c r="C23" s="1" t="s">
        <v>2770</v>
      </c>
      <c r="D23" s="1" t="s">
        <v>482</v>
      </c>
      <c r="E23" s="2">
        <v>45967</v>
      </c>
      <c r="F23" s="1" t="s">
        <v>483</v>
      </c>
      <c r="G23" s="1" t="s">
        <v>484</v>
      </c>
      <c r="H23" s="1" t="s">
        <v>1039</v>
      </c>
      <c r="I23" s="1">
        <v>1</v>
      </c>
      <c r="J23" s="3">
        <v>27426</v>
      </c>
      <c r="K23" s="3">
        <v>26170</v>
      </c>
      <c r="L23" s="1">
        <v>0</v>
      </c>
      <c r="M23" s="4">
        <v>0</v>
      </c>
      <c r="N23" s="3">
        <v>1256</v>
      </c>
      <c r="O23" s="4">
        <v>4.5999999999999999E-2</v>
      </c>
      <c r="P23" s="1" t="s">
        <v>2721</v>
      </c>
    </row>
    <row r="24" spans="1:16">
      <c r="A24" s="1" t="s">
        <v>15</v>
      </c>
      <c r="B24" s="1">
        <v>11</v>
      </c>
      <c r="C24" s="1" t="s">
        <v>2771</v>
      </c>
      <c r="D24" s="1" t="s">
        <v>931</v>
      </c>
      <c r="E24" s="2">
        <v>45967</v>
      </c>
      <c r="F24" s="1" t="s">
        <v>932</v>
      </c>
      <c r="G24" s="1" t="s">
        <v>933</v>
      </c>
      <c r="H24" s="1" t="s">
        <v>2772</v>
      </c>
      <c r="I24" s="1">
        <v>1</v>
      </c>
      <c r="J24" s="3">
        <v>29490</v>
      </c>
      <c r="K24" s="3">
        <v>28140</v>
      </c>
      <c r="L24" s="1">
        <v>0</v>
      </c>
      <c r="M24" s="4">
        <v>0</v>
      </c>
      <c r="N24" s="3">
        <v>1350</v>
      </c>
      <c r="O24" s="4">
        <v>4.5999999999999999E-2</v>
      </c>
      <c r="P24" s="1" t="s">
        <v>2721</v>
      </c>
    </row>
    <row r="25" spans="1:16">
      <c r="A25" s="1" t="s">
        <v>15</v>
      </c>
      <c r="B25" s="1">
        <v>11</v>
      </c>
      <c r="C25" s="1" t="s">
        <v>2773</v>
      </c>
      <c r="D25" s="1" t="s">
        <v>141</v>
      </c>
      <c r="E25" s="2">
        <v>45967</v>
      </c>
      <c r="F25" s="1" t="s">
        <v>142</v>
      </c>
      <c r="G25" s="1" t="s">
        <v>143</v>
      </c>
      <c r="H25" s="1" t="s">
        <v>144</v>
      </c>
      <c r="I25" s="1">
        <v>1</v>
      </c>
      <c r="J25" s="3">
        <v>22314</v>
      </c>
      <c r="K25" s="3">
        <v>21293</v>
      </c>
      <c r="L25" s="1">
        <v>0</v>
      </c>
      <c r="M25" s="4">
        <v>0</v>
      </c>
      <c r="N25" s="3">
        <v>1021</v>
      </c>
      <c r="O25" s="4">
        <v>4.5999999999999999E-2</v>
      </c>
      <c r="P25" s="1" t="s">
        <v>2721</v>
      </c>
    </row>
    <row r="26" spans="1:16">
      <c r="A26" s="1" t="s">
        <v>15</v>
      </c>
      <c r="B26" s="1">
        <v>11</v>
      </c>
      <c r="C26" s="1" t="s">
        <v>2774</v>
      </c>
      <c r="D26" s="1" t="s">
        <v>2775</v>
      </c>
      <c r="E26" s="2">
        <v>45967</v>
      </c>
      <c r="F26" s="1" t="s">
        <v>725</v>
      </c>
      <c r="G26" s="1" t="s">
        <v>2776</v>
      </c>
      <c r="H26" s="1" t="s">
        <v>2777</v>
      </c>
      <c r="I26" s="1">
        <v>1</v>
      </c>
      <c r="J26" s="3">
        <v>185984</v>
      </c>
      <c r="K26" s="3">
        <v>177470</v>
      </c>
      <c r="L26" s="1">
        <v>0</v>
      </c>
      <c r="M26" s="4">
        <v>0</v>
      </c>
      <c r="N26" s="3">
        <v>8514</v>
      </c>
      <c r="O26" s="4">
        <v>4.5999999999999999E-2</v>
      </c>
      <c r="P26" s="1" t="s">
        <v>2721</v>
      </c>
    </row>
    <row r="27" spans="1:16">
      <c r="A27" s="1" t="s">
        <v>15</v>
      </c>
      <c r="B27" s="1">
        <v>11</v>
      </c>
      <c r="C27" s="1" t="s">
        <v>2778</v>
      </c>
      <c r="D27" s="1" t="s">
        <v>221</v>
      </c>
      <c r="E27" s="2">
        <v>45967</v>
      </c>
      <c r="F27" s="1" t="s">
        <v>96</v>
      </c>
      <c r="G27" s="1" t="s">
        <v>222</v>
      </c>
      <c r="H27" s="1" t="s">
        <v>1015</v>
      </c>
      <c r="I27" s="1">
        <v>1</v>
      </c>
      <c r="J27" s="3">
        <v>12571</v>
      </c>
      <c r="K27" s="3">
        <v>11995</v>
      </c>
      <c r="L27" s="1">
        <v>0</v>
      </c>
      <c r="M27" s="4">
        <v>0</v>
      </c>
      <c r="N27" s="1">
        <v>576</v>
      </c>
      <c r="O27" s="4">
        <v>4.5999999999999999E-2</v>
      </c>
      <c r="P27" s="1" t="s">
        <v>2721</v>
      </c>
    </row>
    <row r="28" spans="1:16">
      <c r="A28" s="1" t="s">
        <v>15</v>
      </c>
      <c r="B28" s="1">
        <v>11</v>
      </c>
      <c r="C28" s="1" t="s">
        <v>2779</v>
      </c>
      <c r="D28" s="1" t="s">
        <v>1261</v>
      </c>
      <c r="E28" s="2">
        <v>45967</v>
      </c>
      <c r="F28" s="1" t="s">
        <v>33</v>
      </c>
      <c r="G28" s="1" t="s">
        <v>1262</v>
      </c>
      <c r="H28" s="1" t="s">
        <v>2780</v>
      </c>
      <c r="I28" s="1">
        <v>1</v>
      </c>
      <c r="J28" s="3">
        <v>89540</v>
      </c>
      <c r="K28" s="3">
        <v>85441</v>
      </c>
      <c r="L28" s="1">
        <v>0</v>
      </c>
      <c r="M28" s="4">
        <v>0</v>
      </c>
      <c r="N28" s="3">
        <v>4099</v>
      </c>
      <c r="O28" s="4">
        <v>4.5999999999999999E-2</v>
      </c>
      <c r="P28" s="1" t="s">
        <v>2721</v>
      </c>
    </row>
    <row r="29" spans="1:16">
      <c r="A29" s="1" t="s">
        <v>15</v>
      </c>
      <c r="B29" s="1">
        <v>11</v>
      </c>
      <c r="C29" s="1" t="s">
        <v>2779</v>
      </c>
      <c r="D29" s="1" t="s">
        <v>1261</v>
      </c>
      <c r="E29" s="2">
        <v>45967</v>
      </c>
      <c r="F29" s="1" t="s">
        <v>33</v>
      </c>
      <c r="G29" s="1" t="s">
        <v>1262</v>
      </c>
      <c r="H29" s="1" t="s">
        <v>2781</v>
      </c>
      <c r="I29" s="1">
        <v>1</v>
      </c>
      <c r="J29" s="3">
        <v>87854</v>
      </c>
      <c r="K29" s="3">
        <v>83832</v>
      </c>
      <c r="L29" s="1">
        <v>0</v>
      </c>
      <c r="M29" s="4">
        <v>0</v>
      </c>
      <c r="N29" s="3">
        <v>4022</v>
      </c>
      <c r="O29" s="4">
        <v>4.5999999999999999E-2</v>
      </c>
      <c r="P29" s="1" t="s">
        <v>2721</v>
      </c>
    </row>
    <row r="30" spans="1:16">
      <c r="A30" s="1" t="s">
        <v>15</v>
      </c>
      <c r="B30" s="1">
        <v>11</v>
      </c>
      <c r="C30" s="1" t="s">
        <v>2782</v>
      </c>
      <c r="D30" s="1" t="s">
        <v>95</v>
      </c>
      <c r="E30" s="2">
        <v>45967</v>
      </c>
      <c r="F30" s="1" t="s">
        <v>96</v>
      </c>
      <c r="G30" s="1" t="s">
        <v>97</v>
      </c>
      <c r="H30" s="1" t="s">
        <v>97</v>
      </c>
      <c r="I30" s="1">
        <v>1</v>
      </c>
      <c r="J30" s="3">
        <v>12571</v>
      </c>
      <c r="K30" s="3">
        <v>11995</v>
      </c>
      <c r="L30" s="1">
        <v>0</v>
      </c>
      <c r="M30" s="4">
        <v>0</v>
      </c>
      <c r="N30" s="1">
        <v>576</v>
      </c>
      <c r="O30" s="4">
        <v>4.5999999999999999E-2</v>
      </c>
      <c r="P30" s="1" t="s">
        <v>2721</v>
      </c>
    </row>
    <row r="31" spans="1:16">
      <c r="A31" s="1" t="s">
        <v>15</v>
      </c>
      <c r="B31" s="1">
        <v>11</v>
      </c>
      <c r="C31" s="1" t="s">
        <v>2783</v>
      </c>
      <c r="D31" s="1" t="s">
        <v>2784</v>
      </c>
      <c r="E31" s="2">
        <v>45967</v>
      </c>
      <c r="F31" s="1" t="s">
        <v>58</v>
      </c>
      <c r="G31" s="1" t="s">
        <v>2785</v>
      </c>
      <c r="H31" s="1" t="s">
        <v>748</v>
      </c>
      <c r="I31" s="1">
        <v>1</v>
      </c>
      <c r="J31" s="3">
        <v>10813</v>
      </c>
      <c r="K31" s="3">
        <v>10318</v>
      </c>
      <c r="L31" s="1">
        <v>0</v>
      </c>
      <c r="M31" s="4">
        <v>0</v>
      </c>
      <c r="N31" s="1">
        <v>495</v>
      </c>
      <c r="O31" s="4">
        <v>4.5999999999999999E-2</v>
      </c>
      <c r="P31" s="1" t="s">
        <v>2721</v>
      </c>
    </row>
    <row r="32" spans="1:16">
      <c r="A32" s="1" t="s">
        <v>15</v>
      </c>
      <c r="B32" s="1">
        <v>11</v>
      </c>
      <c r="C32" s="1" t="s">
        <v>2786</v>
      </c>
      <c r="D32" s="1" t="s">
        <v>17</v>
      </c>
      <c r="E32" s="2">
        <v>45967</v>
      </c>
      <c r="F32" s="1" t="s">
        <v>18</v>
      </c>
      <c r="G32" s="1" t="s">
        <v>19</v>
      </c>
      <c r="H32" s="1" t="s">
        <v>2787</v>
      </c>
      <c r="I32" s="1">
        <v>1</v>
      </c>
      <c r="J32" s="3">
        <v>7166</v>
      </c>
      <c r="K32" s="3">
        <v>6838</v>
      </c>
      <c r="L32" s="1">
        <v>0</v>
      </c>
      <c r="M32" s="4">
        <v>0</v>
      </c>
      <c r="N32" s="1">
        <v>328</v>
      </c>
      <c r="O32" s="4">
        <v>4.5999999999999999E-2</v>
      </c>
      <c r="P32" s="1" t="s">
        <v>2721</v>
      </c>
    </row>
    <row r="33" spans="1:16">
      <c r="A33" s="1" t="s">
        <v>15</v>
      </c>
      <c r="B33" s="1">
        <v>11</v>
      </c>
      <c r="C33" s="1" t="s">
        <v>2788</v>
      </c>
      <c r="D33" s="1" t="s">
        <v>27</v>
      </c>
      <c r="E33" s="2">
        <v>45967</v>
      </c>
      <c r="F33" s="1" t="s">
        <v>28</v>
      </c>
      <c r="G33" s="1" t="s">
        <v>29</v>
      </c>
      <c r="H33" s="1" t="s">
        <v>352</v>
      </c>
      <c r="I33" s="1">
        <v>1</v>
      </c>
      <c r="J33" s="3">
        <v>27033</v>
      </c>
      <c r="K33" s="3">
        <v>25795</v>
      </c>
      <c r="L33" s="1">
        <v>0</v>
      </c>
      <c r="M33" s="4">
        <v>0</v>
      </c>
      <c r="N33" s="3">
        <v>1238</v>
      </c>
      <c r="O33" s="4">
        <v>4.5999999999999999E-2</v>
      </c>
      <c r="P33" s="1" t="s">
        <v>2721</v>
      </c>
    </row>
    <row r="34" spans="1:16">
      <c r="A34" s="1" t="s">
        <v>15</v>
      </c>
      <c r="B34" s="1">
        <v>11</v>
      </c>
      <c r="C34" s="1" t="s">
        <v>2789</v>
      </c>
      <c r="D34" s="1" t="s">
        <v>132</v>
      </c>
      <c r="E34" s="2">
        <v>45967</v>
      </c>
      <c r="F34" s="1" t="s">
        <v>53</v>
      </c>
      <c r="G34" s="1" t="s">
        <v>133</v>
      </c>
      <c r="H34" s="1" t="s">
        <v>88</v>
      </c>
      <c r="I34" s="1">
        <v>2</v>
      </c>
      <c r="J34" s="3">
        <v>34073</v>
      </c>
      <c r="K34" s="3">
        <v>32513</v>
      </c>
      <c r="L34" s="1">
        <v>0</v>
      </c>
      <c r="M34" s="4">
        <v>0</v>
      </c>
      <c r="N34" s="3">
        <v>1560</v>
      </c>
      <c r="O34" s="4">
        <v>4.5999999999999999E-2</v>
      </c>
      <c r="P34" s="1" t="s">
        <v>2721</v>
      </c>
    </row>
    <row r="35" spans="1:16">
      <c r="A35" s="1" t="s">
        <v>15</v>
      </c>
      <c r="B35" s="1">
        <v>11</v>
      </c>
      <c r="C35" s="1" t="s">
        <v>2790</v>
      </c>
      <c r="D35" s="1" t="s">
        <v>2791</v>
      </c>
      <c r="E35" s="2">
        <v>45967</v>
      </c>
      <c r="F35" s="1" t="s">
        <v>1310</v>
      </c>
      <c r="G35" s="1" t="s">
        <v>2792</v>
      </c>
      <c r="H35" s="1" t="s">
        <v>2793</v>
      </c>
      <c r="I35" s="1">
        <v>1</v>
      </c>
      <c r="J35" s="3">
        <v>6213</v>
      </c>
      <c r="K35" s="3">
        <v>5928</v>
      </c>
      <c r="L35" s="1">
        <v>0</v>
      </c>
      <c r="M35" s="4">
        <v>0</v>
      </c>
      <c r="N35" s="1">
        <v>285</v>
      </c>
      <c r="O35" s="4">
        <v>4.5999999999999999E-2</v>
      </c>
      <c r="P35" s="1" t="s">
        <v>2721</v>
      </c>
    </row>
    <row r="36" spans="1:16">
      <c r="A36" s="1" t="s">
        <v>15</v>
      </c>
      <c r="B36" s="1">
        <v>11</v>
      </c>
      <c r="C36" s="1" t="s">
        <v>2790</v>
      </c>
      <c r="D36" s="1" t="s">
        <v>2791</v>
      </c>
      <c r="E36" s="2">
        <v>45967</v>
      </c>
      <c r="F36" s="1" t="s">
        <v>1310</v>
      </c>
      <c r="G36" s="1" t="s">
        <v>2792</v>
      </c>
      <c r="H36" s="1" t="s">
        <v>2794</v>
      </c>
      <c r="I36" s="1">
        <v>1</v>
      </c>
      <c r="J36" s="3">
        <v>6213</v>
      </c>
      <c r="K36" s="3">
        <v>5928</v>
      </c>
      <c r="L36" s="1">
        <v>0</v>
      </c>
      <c r="M36" s="4">
        <v>0</v>
      </c>
      <c r="N36" s="1">
        <v>285</v>
      </c>
      <c r="O36" s="4">
        <v>4.5999999999999999E-2</v>
      </c>
      <c r="P36" s="1" t="s">
        <v>2721</v>
      </c>
    </row>
    <row r="37" spans="1:16">
      <c r="A37" s="1" t="s">
        <v>15</v>
      </c>
      <c r="B37" s="1">
        <v>11</v>
      </c>
      <c r="C37" s="1" t="s">
        <v>2795</v>
      </c>
      <c r="D37" s="1" t="s">
        <v>2796</v>
      </c>
      <c r="E37" s="2">
        <v>45967</v>
      </c>
      <c r="F37" s="1" t="s">
        <v>783</v>
      </c>
      <c r="G37" s="1" t="s">
        <v>2797</v>
      </c>
      <c r="H37" s="1" t="s">
        <v>2797</v>
      </c>
      <c r="I37" s="1">
        <v>1</v>
      </c>
      <c r="J37" s="3">
        <v>20741</v>
      </c>
      <c r="K37" s="3">
        <v>19792</v>
      </c>
      <c r="L37" s="1">
        <v>0</v>
      </c>
      <c r="M37" s="4">
        <v>0</v>
      </c>
      <c r="N37" s="1">
        <v>949</v>
      </c>
      <c r="O37" s="4">
        <v>4.5999999999999999E-2</v>
      </c>
      <c r="P37" s="1" t="s">
        <v>2721</v>
      </c>
    </row>
    <row r="38" spans="1:16">
      <c r="A38" s="1" t="s">
        <v>15</v>
      </c>
      <c r="B38" s="1">
        <v>11</v>
      </c>
      <c r="C38" s="1" t="s">
        <v>2798</v>
      </c>
      <c r="D38" s="1" t="s">
        <v>2799</v>
      </c>
      <c r="E38" s="2">
        <v>45967</v>
      </c>
      <c r="F38" s="1" t="s">
        <v>58</v>
      </c>
      <c r="G38" s="1" t="s">
        <v>2800</v>
      </c>
      <c r="H38" s="1" t="s">
        <v>2801</v>
      </c>
      <c r="I38" s="1">
        <v>1</v>
      </c>
      <c r="J38" s="3">
        <v>27524</v>
      </c>
      <c r="K38" s="3">
        <v>26264</v>
      </c>
      <c r="L38" s="1">
        <v>0</v>
      </c>
      <c r="M38" s="4">
        <v>0</v>
      </c>
      <c r="N38" s="3">
        <v>1260</v>
      </c>
      <c r="O38" s="4">
        <v>4.5999999999999999E-2</v>
      </c>
      <c r="P38" s="1" t="s">
        <v>2721</v>
      </c>
    </row>
    <row r="39" spans="1:16">
      <c r="A39" s="1" t="s">
        <v>15</v>
      </c>
      <c r="B39" s="1">
        <v>11</v>
      </c>
      <c r="C39" s="1" t="s">
        <v>2802</v>
      </c>
      <c r="D39" s="1" t="s">
        <v>394</v>
      </c>
      <c r="E39" s="2">
        <v>45967</v>
      </c>
      <c r="F39" s="1" t="s">
        <v>395</v>
      </c>
      <c r="G39" s="1" t="s">
        <v>2803</v>
      </c>
      <c r="H39" s="1" t="s">
        <v>2804</v>
      </c>
      <c r="I39" s="1">
        <v>1</v>
      </c>
      <c r="J39" s="3">
        <v>18874</v>
      </c>
      <c r="K39" s="3">
        <v>18010</v>
      </c>
      <c r="L39" s="1">
        <v>0</v>
      </c>
      <c r="M39" s="4">
        <v>0</v>
      </c>
      <c r="N39" s="1">
        <v>864</v>
      </c>
      <c r="O39" s="4">
        <v>4.5999999999999999E-2</v>
      </c>
      <c r="P39" s="1" t="s">
        <v>2721</v>
      </c>
    </row>
    <row r="40" spans="1:16">
      <c r="A40" s="1" t="s">
        <v>15</v>
      </c>
      <c r="B40" s="1">
        <v>11</v>
      </c>
      <c r="C40" s="1" t="s">
        <v>2805</v>
      </c>
      <c r="D40" s="1" t="s">
        <v>27</v>
      </c>
      <c r="E40" s="2">
        <v>45967</v>
      </c>
      <c r="F40" s="1" t="s">
        <v>28</v>
      </c>
      <c r="G40" s="1" t="s">
        <v>29</v>
      </c>
      <c r="H40" s="1" t="s">
        <v>352</v>
      </c>
      <c r="I40" s="1">
        <v>1</v>
      </c>
      <c r="J40" s="3">
        <v>27033</v>
      </c>
      <c r="K40" s="3">
        <v>25795</v>
      </c>
      <c r="L40" s="1">
        <v>0</v>
      </c>
      <c r="M40" s="4">
        <v>0</v>
      </c>
      <c r="N40" s="3">
        <v>1238</v>
      </c>
      <c r="O40" s="4">
        <v>4.5999999999999999E-2</v>
      </c>
      <c r="P40" s="1" t="s">
        <v>2721</v>
      </c>
    </row>
    <row r="41" spans="1:16">
      <c r="A41" s="1" t="s">
        <v>15</v>
      </c>
      <c r="B41" s="1">
        <v>11</v>
      </c>
      <c r="C41" s="1" t="s">
        <v>2806</v>
      </c>
      <c r="D41" s="1" t="s">
        <v>32</v>
      </c>
      <c r="E41" s="2">
        <v>45967</v>
      </c>
      <c r="F41" s="1" t="s">
        <v>33</v>
      </c>
      <c r="G41" s="1" t="s">
        <v>34</v>
      </c>
      <c r="H41" s="1" t="s">
        <v>2807</v>
      </c>
      <c r="I41" s="1">
        <v>1</v>
      </c>
      <c r="J41" s="3">
        <v>86676</v>
      </c>
      <c r="K41" s="3">
        <v>82708</v>
      </c>
      <c r="L41" s="1">
        <v>0</v>
      </c>
      <c r="M41" s="4">
        <v>0</v>
      </c>
      <c r="N41" s="3">
        <v>3968</v>
      </c>
      <c r="O41" s="4">
        <v>4.5999999999999999E-2</v>
      </c>
      <c r="P41" s="1" t="s">
        <v>2721</v>
      </c>
    </row>
    <row r="42" spans="1:16">
      <c r="A42" s="1" t="s">
        <v>15</v>
      </c>
      <c r="B42" s="1">
        <v>11</v>
      </c>
      <c r="C42" s="1" t="s">
        <v>2808</v>
      </c>
      <c r="D42" s="1" t="s">
        <v>37</v>
      </c>
      <c r="E42" s="2">
        <v>45967</v>
      </c>
      <c r="F42" s="1" t="s">
        <v>38</v>
      </c>
      <c r="G42" s="1" t="s">
        <v>39</v>
      </c>
      <c r="H42" s="1" t="s">
        <v>40</v>
      </c>
      <c r="I42" s="1">
        <v>2</v>
      </c>
      <c r="J42" s="3">
        <v>178906</v>
      </c>
      <c r="K42" s="3">
        <v>170716</v>
      </c>
      <c r="L42" s="1">
        <v>0</v>
      </c>
      <c r="M42" s="4">
        <v>0</v>
      </c>
      <c r="N42" s="3">
        <v>8190</v>
      </c>
      <c r="O42" s="4">
        <v>4.5999999999999999E-2</v>
      </c>
      <c r="P42" s="1" t="s">
        <v>2721</v>
      </c>
    </row>
    <row r="43" spans="1:16">
      <c r="A43" s="1" t="s">
        <v>15</v>
      </c>
      <c r="B43" s="1">
        <v>11</v>
      </c>
      <c r="C43" s="1" t="s">
        <v>2808</v>
      </c>
      <c r="D43" s="1" t="s">
        <v>1552</v>
      </c>
      <c r="E43" s="2">
        <v>45967</v>
      </c>
      <c r="F43" s="1" t="s">
        <v>38</v>
      </c>
      <c r="G43" s="1" t="s">
        <v>1553</v>
      </c>
      <c r="H43" s="1" t="s">
        <v>1554</v>
      </c>
      <c r="I43" s="1">
        <v>1</v>
      </c>
      <c r="J43" s="3">
        <v>80115</v>
      </c>
      <c r="K43" s="3">
        <v>76447</v>
      </c>
      <c r="L43" s="1">
        <v>0</v>
      </c>
      <c r="M43" s="4">
        <v>0</v>
      </c>
      <c r="N43" s="3">
        <v>3668</v>
      </c>
      <c r="O43" s="4">
        <v>4.5999999999999999E-2</v>
      </c>
      <c r="P43" s="1" t="s">
        <v>2721</v>
      </c>
    </row>
    <row r="44" spans="1:16">
      <c r="A44" s="1" t="s">
        <v>15</v>
      </c>
      <c r="B44" s="1">
        <v>11</v>
      </c>
      <c r="C44" s="1" t="s">
        <v>2809</v>
      </c>
      <c r="D44" s="1" t="s">
        <v>221</v>
      </c>
      <c r="E44" s="2">
        <v>45967</v>
      </c>
      <c r="F44" s="1" t="s">
        <v>96</v>
      </c>
      <c r="G44" s="1" t="s">
        <v>222</v>
      </c>
      <c r="H44" s="1" t="s">
        <v>223</v>
      </c>
      <c r="I44" s="1">
        <v>1</v>
      </c>
      <c r="J44" s="3">
        <v>12571</v>
      </c>
      <c r="K44" s="3">
        <v>11995</v>
      </c>
      <c r="L44" s="1">
        <v>0</v>
      </c>
      <c r="M44" s="4">
        <v>0</v>
      </c>
      <c r="N44" s="1">
        <v>576</v>
      </c>
      <c r="O44" s="4">
        <v>4.5999999999999999E-2</v>
      </c>
      <c r="P44" s="1" t="s">
        <v>2721</v>
      </c>
    </row>
    <row r="45" spans="1:16">
      <c r="A45" s="1" t="s">
        <v>15</v>
      </c>
      <c r="B45" s="1">
        <v>11</v>
      </c>
      <c r="C45" s="1" t="s">
        <v>2810</v>
      </c>
      <c r="D45" s="1" t="s">
        <v>2811</v>
      </c>
      <c r="E45" s="2">
        <v>45967</v>
      </c>
      <c r="F45" s="1" t="s">
        <v>235</v>
      </c>
      <c r="G45" s="1" t="s">
        <v>2060</v>
      </c>
      <c r="H45" s="1" t="s">
        <v>2060</v>
      </c>
      <c r="I45" s="1">
        <v>1</v>
      </c>
      <c r="J45" s="3">
        <v>25963</v>
      </c>
      <c r="K45" s="3">
        <v>24774</v>
      </c>
      <c r="L45" s="1">
        <v>0</v>
      </c>
      <c r="M45" s="4">
        <v>0</v>
      </c>
      <c r="N45" s="3">
        <v>1189</v>
      </c>
      <c r="O45" s="4">
        <v>4.5999999999999999E-2</v>
      </c>
      <c r="P45" s="1" t="s">
        <v>2721</v>
      </c>
    </row>
    <row r="46" spans="1:16">
      <c r="A46" s="1" t="s">
        <v>15</v>
      </c>
      <c r="B46" s="1">
        <v>11</v>
      </c>
      <c r="C46" s="1" t="s">
        <v>2812</v>
      </c>
      <c r="D46" s="1" t="s">
        <v>27</v>
      </c>
      <c r="E46" s="2">
        <v>45967</v>
      </c>
      <c r="F46" s="1" t="s">
        <v>28</v>
      </c>
      <c r="G46" s="1" t="s">
        <v>29</v>
      </c>
      <c r="H46" s="1" t="s">
        <v>30</v>
      </c>
      <c r="I46" s="1">
        <v>1</v>
      </c>
      <c r="J46" s="3">
        <v>27033</v>
      </c>
      <c r="K46" s="3">
        <v>25795</v>
      </c>
      <c r="L46" s="1">
        <v>0</v>
      </c>
      <c r="M46" s="4">
        <v>0</v>
      </c>
      <c r="N46" s="3">
        <v>1238</v>
      </c>
      <c r="O46" s="4">
        <v>4.5999999999999999E-2</v>
      </c>
      <c r="P46" s="1" t="s">
        <v>2721</v>
      </c>
    </row>
    <row r="47" spans="1:16">
      <c r="A47" s="1" t="s">
        <v>15</v>
      </c>
      <c r="B47" s="1">
        <v>11</v>
      </c>
      <c r="C47" s="1" t="s">
        <v>2813</v>
      </c>
      <c r="D47" s="1" t="s">
        <v>558</v>
      </c>
      <c r="E47" s="2">
        <v>45967</v>
      </c>
      <c r="F47" s="1" t="s">
        <v>256</v>
      </c>
      <c r="G47" s="1" t="s">
        <v>559</v>
      </c>
      <c r="H47" s="1" t="s">
        <v>560</v>
      </c>
      <c r="I47" s="1">
        <v>1</v>
      </c>
      <c r="J47" s="3">
        <v>9339</v>
      </c>
      <c r="K47" s="3">
        <v>8911</v>
      </c>
      <c r="L47" s="1">
        <v>0</v>
      </c>
      <c r="M47" s="4">
        <v>0</v>
      </c>
      <c r="N47" s="1">
        <v>428</v>
      </c>
      <c r="O47" s="4">
        <v>4.5999999999999999E-2</v>
      </c>
      <c r="P47" s="1" t="s">
        <v>2721</v>
      </c>
    </row>
    <row r="48" spans="1:16">
      <c r="A48" s="1" t="s">
        <v>15</v>
      </c>
      <c r="B48" s="1">
        <v>11</v>
      </c>
      <c r="C48" s="1" t="s">
        <v>2814</v>
      </c>
      <c r="D48" s="1" t="s">
        <v>504</v>
      </c>
      <c r="E48" s="2">
        <v>45967</v>
      </c>
      <c r="F48" s="1" t="s">
        <v>407</v>
      </c>
      <c r="G48" s="1" t="s">
        <v>505</v>
      </c>
      <c r="H48" s="1" t="s">
        <v>1322</v>
      </c>
      <c r="I48" s="1">
        <v>1</v>
      </c>
      <c r="J48" s="3">
        <v>23592</v>
      </c>
      <c r="K48" s="3">
        <v>22512</v>
      </c>
      <c r="L48" s="1">
        <v>0</v>
      </c>
      <c r="M48" s="4">
        <v>0</v>
      </c>
      <c r="N48" s="3">
        <v>1080</v>
      </c>
      <c r="O48" s="4">
        <v>4.5999999999999999E-2</v>
      </c>
      <c r="P48" s="1" t="s">
        <v>2721</v>
      </c>
    </row>
    <row r="49" spans="1:16">
      <c r="A49" s="1" t="s">
        <v>15</v>
      </c>
      <c r="B49" s="1">
        <v>11</v>
      </c>
      <c r="C49" s="1" t="s">
        <v>2815</v>
      </c>
      <c r="D49" s="1" t="s">
        <v>1380</v>
      </c>
      <c r="E49" s="2">
        <v>45967</v>
      </c>
      <c r="F49" s="1" t="s">
        <v>1381</v>
      </c>
      <c r="G49" s="1" t="s">
        <v>1382</v>
      </c>
      <c r="H49" s="1" t="s">
        <v>1383</v>
      </c>
      <c r="I49" s="1">
        <v>1</v>
      </c>
      <c r="J49" s="3">
        <v>34792</v>
      </c>
      <c r="K49" s="3">
        <v>33200</v>
      </c>
      <c r="L49" s="1">
        <v>0</v>
      </c>
      <c r="M49" s="4">
        <v>0</v>
      </c>
      <c r="N49" s="3">
        <v>1592</v>
      </c>
      <c r="O49" s="4">
        <v>4.5999999999999999E-2</v>
      </c>
      <c r="P49" s="1" t="s">
        <v>2721</v>
      </c>
    </row>
    <row r="50" spans="1:16">
      <c r="A50" s="1" t="s">
        <v>15</v>
      </c>
      <c r="B50" s="1">
        <v>11</v>
      </c>
      <c r="C50" s="1" t="s">
        <v>2816</v>
      </c>
      <c r="D50" s="1" t="s">
        <v>80</v>
      </c>
      <c r="E50" s="2">
        <v>45967</v>
      </c>
      <c r="F50" s="1" t="s">
        <v>58</v>
      </c>
      <c r="G50" s="1" t="s">
        <v>81</v>
      </c>
      <c r="H50" s="1" t="s">
        <v>2817</v>
      </c>
      <c r="I50" s="1">
        <v>1</v>
      </c>
      <c r="J50" s="3">
        <v>17301</v>
      </c>
      <c r="K50" s="3">
        <v>16509</v>
      </c>
      <c r="L50" s="1">
        <v>0</v>
      </c>
      <c r="M50" s="4">
        <v>0</v>
      </c>
      <c r="N50" s="1">
        <v>792</v>
      </c>
      <c r="O50" s="4">
        <v>4.5999999999999999E-2</v>
      </c>
      <c r="P50" s="1" t="s">
        <v>2721</v>
      </c>
    </row>
    <row r="51" spans="1:16">
      <c r="A51" s="1" t="s">
        <v>15</v>
      </c>
      <c r="B51" s="1">
        <v>11</v>
      </c>
      <c r="C51" s="1" t="s">
        <v>2818</v>
      </c>
      <c r="D51" s="1" t="s">
        <v>882</v>
      </c>
      <c r="E51" s="2">
        <v>45967</v>
      </c>
      <c r="F51" s="1" t="s">
        <v>883</v>
      </c>
      <c r="G51" s="1" t="s">
        <v>884</v>
      </c>
      <c r="H51" s="1" t="s">
        <v>885</v>
      </c>
      <c r="I51" s="1">
        <v>1</v>
      </c>
      <c r="J51" s="3">
        <v>18972</v>
      </c>
      <c r="K51" s="3">
        <v>18103</v>
      </c>
      <c r="L51" s="1">
        <v>0</v>
      </c>
      <c r="M51" s="4">
        <v>0</v>
      </c>
      <c r="N51" s="1">
        <v>869</v>
      </c>
      <c r="O51" s="4">
        <v>4.5999999999999999E-2</v>
      </c>
      <c r="P51" s="1" t="s">
        <v>2721</v>
      </c>
    </row>
    <row r="52" spans="1:16">
      <c r="A52" s="1" t="s">
        <v>15</v>
      </c>
      <c r="B52" s="1">
        <v>11</v>
      </c>
      <c r="C52" s="1" t="s">
        <v>2819</v>
      </c>
      <c r="D52" s="1" t="s">
        <v>238</v>
      </c>
      <c r="E52" s="2">
        <v>45967</v>
      </c>
      <c r="F52" s="1" t="s">
        <v>239</v>
      </c>
      <c r="G52" s="1" t="s">
        <v>240</v>
      </c>
      <c r="H52" s="1" t="s">
        <v>241</v>
      </c>
      <c r="I52" s="1">
        <v>1</v>
      </c>
      <c r="J52" s="3">
        <v>11305</v>
      </c>
      <c r="K52" s="3">
        <v>10787</v>
      </c>
      <c r="L52" s="1">
        <v>0</v>
      </c>
      <c r="M52" s="4">
        <v>0</v>
      </c>
      <c r="N52" s="1">
        <v>518</v>
      </c>
      <c r="O52" s="4">
        <v>4.5999999999999999E-2</v>
      </c>
      <c r="P52" s="1" t="s">
        <v>2721</v>
      </c>
    </row>
    <row r="53" spans="1:16">
      <c r="A53" s="1" t="s">
        <v>15</v>
      </c>
      <c r="B53" s="1">
        <v>11</v>
      </c>
      <c r="C53" s="1" t="s">
        <v>2820</v>
      </c>
      <c r="D53" s="1" t="s">
        <v>1294</v>
      </c>
      <c r="E53" s="2">
        <v>45967</v>
      </c>
      <c r="F53" s="1" t="s">
        <v>347</v>
      </c>
      <c r="G53" s="1" t="s">
        <v>1295</v>
      </c>
      <c r="H53" s="1" t="s">
        <v>2821</v>
      </c>
      <c r="I53" s="1">
        <v>1</v>
      </c>
      <c r="J53" s="3">
        <v>23199</v>
      </c>
      <c r="K53" s="3">
        <v>22137</v>
      </c>
      <c r="L53" s="1">
        <v>0</v>
      </c>
      <c r="M53" s="4">
        <v>0</v>
      </c>
      <c r="N53" s="3">
        <v>1062</v>
      </c>
      <c r="O53" s="4">
        <v>4.5999999999999999E-2</v>
      </c>
      <c r="P53" s="1" t="s">
        <v>2721</v>
      </c>
    </row>
    <row r="54" spans="1:16">
      <c r="A54" s="1" t="s">
        <v>15</v>
      </c>
      <c r="B54" s="1">
        <v>11</v>
      </c>
      <c r="C54" s="1" t="s">
        <v>2822</v>
      </c>
      <c r="D54" s="1" t="s">
        <v>390</v>
      </c>
      <c r="E54" s="2">
        <v>45967</v>
      </c>
      <c r="F54" s="1" t="s">
        <v>256</v>
      </c>
      <c r="G54" s="1" t="s">
        <v>391</v>
      </c>
      <c r="H54" s="1" t="s">
        <v>1307</v>
      </c>
      <c r="I54" s="1">
        <v>1</v>
      </c>
      <c r="J54" s="3">
        <v>23395</v>
      </c>
      <c r="K54" s="3">
        <v>22324</v>
      </c>
      <c r="L54" s="1">
        <v>0</v>
      </c>
      <c r="M54" s="4">
        <v>0</v>
      </c>
      <c r="N54" s="3">
        <v>1071</v>
      </c>
      <c r="O54" s="4">
        <v>4.5999999999999999E-2</v>
      </c>
      <c r="P54" s="1" t="s">
        <v>2721</v>
      </c>
    </row>
    <row r="55" spans="1:16">
      <c r="A55" s="1" t="s">
        <v>15</v>
      </c>
      <c r="B55" s="1">
        <v>11</v>
      </c>
      <c r="C55" s="1" t="s">
        <v>2823</v>
      </c>
      <c r="D55" s="1" t="s">
        <v>482</v>
      </c>
      <c r="E55" s="2">
        <v>45967</v>
      </c>
      <c r="F55" s="1" t="s">
        <v>483</v>
      </c>
      <c r="G55" s="1" t="s">
        <v>484</v>
      </c>
      <c r="H55" s="1" t="s">
        <v>1777</v>
      </c>
      <c r="I55" s="1">
        <v>2</v>
      </c>
      <c r="J55" s="3">
        <v>54851</v>
      </c>
      <c r="K55" s="3">
        <v>52340</v>
      </c>
      <c r="L55" s="1">
        <v>0</v>
      </c>
      <c r="M55" s="4">
        <v>0</v>
      </c>
      <c r="N55" s="3">
        <v>2511</v>
      </c>
      <c r="O55" s="4">
        <v>4.5999999999999999E-2</v>
      </c>
      <c r="P55" s="1" t="s">
        <v>2721</v>
      </c>
    </row>
    <row r="56" spans="1:16">
      <c r="A56" s="1" t="s">
        <v>15</v>
      </c>
      <c r="B56" s="1">
        <v>11</v>
      </c>
      <c r="C56" s="1" t="s">
        <v>2824</v>
      </c>
      <c r="D56" s="1" t="s">
        <v>169</v>
      </c>
      <c r="E56" s="2">
        <v>45967</v>
      </c>
      <c r="F56" s="1" t="s">
        <v>53</v>
      </c>
      <c r="G56" s="1" t="s">
        <v>170</v>
      </c>
      <c r="H56" s="1" t="s">
        <v>171</v>
      </c>
      <c r="I56" s="1">
        <v>1</v>
      </c>
      <c r="J56" s="3">
        <v>14332</v>
      </c>
      <c r="K56" s="3">
        <v>13676</v>
      </c>
      <c r="L56" s="1">
        <v>0</v>
      </c>
      <c r="M56" s="4">
        <v>0</v>
      </c>
      <c r="N56" s="1">
        <v>656</v>
      </c>
      <c r="O56" s="4">
        <v>4.5999999999999999E-2</v>
      </c>
      <c r="P56" s="1" t="s">
        <v>2721</v>
      </c>
    </row>
    <row r="57" spans="1:16">
      <c r="A57" s="1" t="s">
        <v>15</v>
      </c>
      <c r="B57" s="1">
        <v>11</v>
      </c>
      <c r="C57" s="1" t="s">
        <v>2825</v>
      </c>
      <c r="D57" s="1" t="s">
        <v>250</v>
      </c>
      <c r="E57" s="2">
        <v>45967</v>
      </c>
      <c r="F57" s="1" t="s">
        <v>251</v>
      </c>
      <c r="G57" s="1" t="s">
        <v>252</v>
      </c>
      <c r="H57" s="1" t="s">
        <v>365</v>
      </c>
      <c r="I57" s="1">
        <v>1</v>
      </c>
      <c r="J57" s="3">
        <v>16220</v>
      </c>
      <c r="K57" s="3">
        <v>15477</v>
      </c>
      <c r="L57" s="1">
        <v>0</v>
      </c>
      <c r="M57" s="4">
        <v>0</v>
      </c>
      <c r="N57" s="1">
        <v>743</v>
      </c>
      <c r="O57" s="4">
        <v>4.5999999999999999E-2</v>
      </c>
      <c r="P57" s="1" t="s">
        <v>2721</v>
      </c>
    </row>
    <row r="58" spans="1:16">
      <c r="A58" s="1" t="s">
        <v>15</v>
      </c>
      <c r="B58" s="1">
        <v>11</v>
      </c>
      <c r="C58" s="1" t="s">
        <v>2826</v>
      </c>
      <c r="D58" s="1" t="s">
        <v>32</v>
      </c>
      <c r="E58" s="2">
        <v>45967</v>
      </c>
      <c r="F58" s="1" t="s">
        <v>33</v>
      </c>
      <c r="G58" s="1" t="s">
        <v>34</v>
      </c>
      <c r="H58" s="1" t="s">
        <v>2827</v>
      </c>
      <c r="I58" s="1">
        <v>2</v>
      </c>
      <c r="J58" s="3">
        <v>214174</v>
      </c>
      <c r="K58" s="3">
        <v>204370</v>
      </c>
      <c r="L58" s="1">
        <v>0</v>
      </c>
      <c r="M58" s="4">
        <v>0</v>
      </c>
      <c r="N58" s="3">
        <v>9804</v>
      </c>
      <c r="O58" s="4">
        <v>4.5999999999999999E-2</v>
      </c>
      <c r="P58" s="1" t="s">
        <v>2721</v>
      </c>
    </row>
    <row r="59" spans="1:16">
      <c r="A59" s="1" t="s">
        <v>15</v>
      </c>
      <c r="B59" s="1">
        <v>11</v>
      </c>
      <c r="C59" s="1" t="s">
        <v>2828</v>
      </c>
      <c r="D59" s="1" t="s">
        <v>1419</v>
      </c>
      <c r="E59" s="2">
        <v>45967</v>
      </c>
      <c r="F59" s="1" t="s">
        <v>96</v>
      </c>
      <c r="G59" s="1" t="s">
        <v>1420</v>
      </c>
      <c r="H59" s="1" t="s">
        <v>1421</v>
      </c>
      <c r="I59" s="1">
        <v>1</v>
      </c>
      <c r="J59" s="3">
        <v>11550</v>
      </c>
      <c r="K59" s="3">
        <v>11022</v>
      </c>
      <c r="L59" s="1">
        <v>0</v>
      </c>
      <c r="M59" s="4">
        <v>0</v>
      </c>
      <c r="N59" s="1">
        <v>528</v>
      </c>
      <c r="O59" s="4">
        <v>4.5999999999999999E-2</v>
      </c>
      <c r="P59" s="1" t="s">
        <v>2721</v>
      </c>
    </row>
    <row r="60" spans="1:16">
      <c r="A60" s="1" t="s">
        <v>15</v>
      </c>
      <c r="B60" s="1">
        <v>11</v>
      </c>
      <c r="C60" s="1" t="s">
        <v>2829</v>
      </c>
      <c r="D60" s="1" t="s">
        <v>504</v>
      </c>
      <c r="E60" s="2">
        <v>45967</v>
      </c>
      <c r="F60" s="1" t="s">
        <v>407</v>
      </c>
      <c r="G60" s="1" t="s">
        <v>505</v>
      </c>
      <c r="H60" s="1" t="s">
        <v>1322</v>
      </c>
      <c r="I60" s="1">
        <v>1</v>
      </c>
      <c r="J60" s="3">
        <v>23592</v>
      </c>
      <c r="K60" s="3">
        <v>22512</v>
      </c>
      <c r="L60" s="1">
        <v>0</v>
      </c>
      <c r="M60" s="4">
        <v>0</v>
      </c>
      <c r="N60" s="3">
        <v>1080</v>
      </c>
      <c r="O60" s="4">
        <v>4.5999999999999999E-2</v>
      </c>
      <c r="P60" s="1" t="s">
        <v>2721</v>
      </c>
    </row>
    <row r="61" spans="1:16">
      <c r="A61" s="1" t="s">
        <v>15</v>
      </c>
      <c r="B61" s="1">
        <v>11</v>
      </c>
      <c r="C61" s="1" t="s">
        <v>2829</v>
      </c>
      <c r="D61" s="1" t="s">
        <v>1452</v>
      </c>
      <c r="E61" s="2">
        <v>45967</v>
      </c>
      <c r="F61" s="1" t="s">
        <v>407</v>
      </c>
      <c r="G61" s="1" t="s">
        <v>1453</v>
      </c>
      <c r="H61" s="1" t="s">
        <v>1739</v>
      </c>
      <c r="I61" s="1">
        <v>1</v>
      </c>
      <c r="J61" s="3">
        <v>26050</v>
      </c>
      <c r="K61" s="3">
        <v>24857</v>
      </c>
      <c r="L61" s="1">
        <v>0</v>
      </c>
      <c r="M61" s="4">
        <v>0</v>
      </c>
      <c r="N61" s="3">
        <v>1193</v>
      </c>
      <c r="O61" s="4">
        <v>4.5999999999999999E-2</v>
      </c>
      <c r="P61" s="1" t="s">
        <v>2721</v>
      </c>
    </row>
    <row r="62" spans="1:16">
      <c r="A62" s="1" t="s">
        <v>15</v>
      </c>
      <c r="B62" s="1">
        <v>11</v>
      </c>
      <c r="C62" s="1" t="s">
        <v>2829</v>
      </c>
      <c r="D62" s="1" t="s">
        <v>960</v>
      </c>
      <c r="E62" s="2">
        <v>45967</v>
      </c>
      <c r="F62" s="1" t="s">
        <v>407</v>
      </c>
      <c r="G62" s="1" t="s">
        <v>961</v>
      </c>
      <c r="H62" s="1" t="s">
        <v>2830</v>
      </c>
      <c r="I62" s="1">
        <v>1</v>
      </c>
      <c r="J62" s="3">
        <v>16711</v>
      </c>
      <c r="K62" s="3">
        <v>15946</v>
      </c>
      <c r="L62" s="1">
        <v>0</v>
      </c>
      <c r="M62" s="4">
        <v>0</v>
      </c>
      <c r="N62" s="1">
        <v>765</v>
      </c>
      <c r="O62" s="4">
        <v>4.5999999999999999E-2</v>
      </c>
      <c r="P62" s="1" t="s">
        <v>2721</v>
      </c>
    </row>
    <row r="63" spans="1:16">
      <c r="A63" s="1" t="s">
        <v>15</v>
      </c>
      <c r="B63" s="1">
        <v>11</v>
      </c>
      <c r="C63" s="1" t="s">
        <v>2831</v>
      </c>
      <c r="D63" s="1" t="s">
        <v>2832</v>
      </c>
      <c r="E63" s="2">
        <v>45967</v>
      </c>
      <c r="F63" s="1" t="s">
        <v>96</v>
      </c>
      <c r="G63" s="1" t="s">
        <v>2833</v>
      </c>
      <c r="H63" s="1" t="s">
        <v>2056</v>
      </c>
      <c r="I63" s="1">
        <v>1</v>
      </c>
      <c r="J63" s="3">
        <v>8501</v>
      </c>
      <c r="K63" s="3">
        <v>8112</v>
      </c>
      <c r="L63" s="1">
        <v>0</v>
      </c>
      <c r="M63" s="4">
        <v>0</v>
      </c>
      <c r="N63" s="1">
        <v>389</v>
      </c>
      <c r="O63" s="4">
        <v>4.5999999999999999E-2</v>
      </c>
      <c r="P63" s="1" t="s">
        <v>2721</v>
      </c>
    </row>
    <row r="64" spans="1:16">
      <c r="A64" s="1" t="s">
        <v>15</v>
      </c>
      <c r="B64" s="1">
        <v>11</v>
      </c>
      <c r="C64" s="1" t="s">
        <v>2831</v>
      </c>
      <c r="D64" s="1" t="s">
        <v>2834</v>
      </c>
      <c r="E64" s="2">
        <v>45967</v>
      </c>
      <c r="F64" s="1" t="s">
        <v>96</v>
      </c>
      <c r="G64" s="1" t="s">
        <v>2835</v>
      </c>
      <c r="H64" s="1" t="s">
        <v>701</v>
      </c>
      <c r="I64" s="1">
        <v>1</v>
      </c>
      <c r="J64" s="3">
        <v>11666</v>
      </c>
      <c r="K64" s="3">
        <v>11132</v>
      </c>
      <c r="L64" s="1">
        <v>0</v>
      </c>
      <c r="M64" s="4">
        <v>0</v>
      </c>
      <c r="N64" s="1">
        <v>534</v>
      </c>
      <c r="O64" s="4">
        <v>4.5999999999999999E-2</v>
      </c>
      <c r="P64" s="1" t="s">
        <v>2721</v>
      </c>
    </row>
    <row r="65" spans="1:16">
      <c r="A65" s="1" t="s">
        <v>15</v>
      </c>
      <c r="B65" s="1">
        <v>11</v>
      </c>
      <c r="C65" s="1" t="s">
        <v>2831</v>
      </c>
      <c r="D65" s="1" t="s">
        <v>2836</v>
      </c>
      <c r="E65" s="2">
        <v>45967</v>
      </c>
      <c r="F65" s="1" t="s">
        <v>96</v>
      </c>
      <c r="G65" s="1" t="s">
        <v>2837</v>
      </c>
      <c r="H65" s="1" t="s">
        <v>2838</v>
      </c>
      <c r="I65" s="1">
        <v>1</v>
      </c>
      <c r="J65" s="3">
        <v>8953</v>
      </c>
      <c r="K65" s="3">
        <v>8543</v>
      </c>
      <c r="L65" s="1">
        <v>0</v>
      </c>
      <c r="M65" s="4">
        <v>0</v>
      </c>
      <c r="N65" s="1">
        <v>410</v>
      </c>
      <c r="O65" s="4">
        <v>4.5999999999999999E-2</v>
      </c>
      <c r="P65" s="1" t="s">
        <v>2721</v>
      </c>
    </row>
    <row r="66" spans="1:16">
      <c r="A66" s="1" t="s">
        <v>15</v>
      </c>
      <c r="B66" s="1">
        <v>11</v>
      </c>
      <c r="C66" s="1" t="s">
        <v>2839</v>
      </c>
      <c r="D66" s="1" t="s">
        <v>440</v>
      </c>
      <c r="E66" s="2">
        <v>45967</v>
      </c>
      <c r="F66" s="1" t="s">
        <v>441</v>
      </c>
      <c r="G66" s="1" t="s">
        <v>442</v>
      </c>
      <c r="H66" s="1" t="s">
        <v>443</v>
      </c>
      <c r="I66" s="1">
        <v>2</v>
      </c>
      <c r="J66" s="3">
        <v>55048</v>
      </c>
      <c r="K66" s="3">
        <v>52528</v>
      </c>
      <c r="L66" s="1">
        <v>0</v>
      </c>
      <c r="M66" s="4">
        <v>0</v>
      </c>
      <c r="N66" s="3">
        <v>2520</v>
      </c>
      <c r="O66" s="4">
        <v>4.5999999999999999E-2</v>
      </c>
      <c r="P66" s="1" t="s">
        <v>2721</v>
      </c>
    </row>
    <row r="67" spans="1:16">
      <c r="A67" s="1" t="s">
        <v>15</v>
      </c>
      <c r="B67" s="1">
        <v>11</v>
      </c>
      <c r="C67" s="1" t="s">
        <v>2840</v>
      </c>
      <c r="D67" s="1" t="s">
        <v>1246</v>
      </c>
      <c r="E67" s="2">
        <v>45967</v>
      </c>
      <c r="F67" s="1" t="s">
        <v>53</v>
      </c>
      <c r="G67" s="1" t="s">
        <v>1247</v>
      </c>
      <c r="H67" s="1" t="s">
        <v>1366</v>
      </c>
      <c r="I67" s="1">
        <v>1</v>
      </c>
      <c r="J67" s="3">
        <v>8383</v>
      </c>
      <c r="K67" s="3">
        <v>7999</v>
      </c>
      <c r="L67" s="1">
        <v>0</v>
      </c>
      <c r="M67" s="4">
        <v>0</v>
      </c>
      <c r="N67" s="1">
        <v>384</v>
      </c>
      <c r="O67" s="4">
        <v>4.5999999999999999E-2</v>
      </c>
      <c r="P67" s="1" t="s">
        <v>2721</v>
      </c>
    </row>
    <row r="68" spans="1:16">
      <c r="A68" s="1" t="s">
        <v>15</v>
      </c>
      <c r="B68" s="1">
        <v>11</v>
      </c>
      <c r="C68" s="1" t="s">
        <v>2841</v>
      </c>
      <c r="D68" s="1" t="s">
        <v>887</v>
      </c>
      <c r="E68" s="2">
        <v>45967</v>
      </c>
      <c r="F68" s="1" t="s">
        <v>53</v>
      </c>
      <c r="G68" s="1" t="s">
        <v>888</v>
      </c>
      <c r="H68" s="1" t="s">
        <v>889</v>
      </c>
      <c r="I68" s="1">
        <v>1</v>
      </c>
      <c r="J68" s="3">
        <v>10726</v>
      </c>
      <c r="K68" s="3">
        <v>10235</v>
      </c>
      <c r="L68" s="1">
        <v>0</v>
      </c>
      <c r="M68" s="4">
        <v>0</v>
      </c>
      <c r="N68" s="1">
        <v>491</v>
      </c>
      <c r="O68" s="4">
        <v>4.5999999999999999E-2</v>
      </c>
      <c r="P68" s="1" t="s">
        <v>2721</v>
      </c>
    </row>
    <row r="69" spans="1:16">
      <c r="A69" s="1" t="s">
        <v>15</v>
      </c>
      <c r="B69" s="1">
        <v>11</v>
      </c>
      <c r="C69" s="1" t="s">
        <v>2842</v>
      </c>
      <c r="D69" s="1" t="s">
        <v>169</v>
      </c>
      <c r="E69" s="2">
        <v>45967</v>
      </c>
      <c r="F69" s="1" t="s">
        <v>53</v>
      </c>
      <c r="G69" s="1" t="s">
        <v>170</v>
      </c>
      <c r="H69" s="1" t="s">
        <v>171</v>
      </c>
      <c r="I69" s="1">
        <v>1</v>
      </c>
      <c r="J69" s="3">
        <v>14332</v>
      </c>
      <c r="K69" s="3">
        <v>13676</v>
      </c>
      <c r="L69" s="1">
        <v>0</v>
      </c>
      <c r="M69" s="4">
        <v>0</v>
      </c>
      <c r="N69" s="1">
        <v>656</v>
      </c>
      <c r="O69" s="4">
        <v>4.5999999999999999E-2</v>
      </c>
      <c r="P69" s="1" t="s">
        <v>2721</v>
      </c>
    </row>
    <row r="70" spans="1:16">
      <c r="A70" s="1" t="s">
        <v>15</v>
      </c>
      <c r="B70" s="1">
        <v>11</v>
      </c>
      <c r="C70" s="1" t="s">
        <v>2843</v>
      </c>
      <c r="D70" s="1" t="s">
        <v>86</v>
      </c>
      <c r="E70" s="2">
        <v>45967</v>
      </c>
      <c r="F70" s="1" t="s">
        <v>53</v>
      </c>
      <c r="G70" s="1" t="s">
        <v>87</v>
      </c>
      <c r="H70" s="1" t="s">
        <v>88</v>
      </c>
      <c r="I70" s="1">
        <v>1</v>
      </c>
      <c r="J70" s="3">
        <v>14956</v>
      </c>
      <c r="K70" s="3">
        <v>14272</v>
      </c>
      <c r="L70" s="1">
        <v>0</v>
      </c>
      <c r="M70" s="4">
        <v>0</v>
      </c>
      <c r="N70" s="1">
        <v>684</v>
      </c>
      <c r="O70" s="4">
        <v>4.5999999999999999E-2</v>
      </c>
      <c r="P70" s="1" t="s">
        <v>2721</v>
      </c>
    </row>
    <row r="71" spans="1:16">
      <c r="A71" s="1" t="s">
        <v>15</v>
      </c>
      <c r="B71" s="1">
        <v>11</v>
      </c>
      <c r="C71" s="1" t="s">
        <v>2844</v>
      </c>
      <c r="D71" s="1" t="s">
        <v>104</v>
      </c>
      <c r="E71" s="2">
        <v>45967</v>
      </c>
      <c r="F71" s="1" t="s">
        <v>96</v>
      </c>
      <c r="G71" s="1" t="s">
        <v>105</v>
      </c>
      <c r="H71" s="1" t="s">
        <v>106</v>
      </c>
      <c r="I71" s="1">
        <v>1</v>
      </c>
      <c r="J71" s="3">
        <v>21614</v>
      </c>
      <c r="K71" s="3">
        <v>20625</v>
      </c>
      <c r="L71" s="1">
        <v>0</v>
      </c>
      <c r="M71" s="4">
        <v>0</v>
      </c>
      <c r="N71" s="1">
        <v>989</v>
      </c>
      <c r="O71" s="4">
        <v>4.5999999999999999E-2</v>
      </c>
      <c r="P71" s="1" t="s">
        <v>2721</v>
      </c>
    </row>
    <row r="72" spans="1:16">
      <c r="A72" s="1" t="s">
        <v>15</v>
      </c>
      <c r="B72" s="1">
        <v>11</v>
      </c>
      <c r="C72" s="1" t="s">
        <v>2845</v>
      </c>
      <c r="D72" s="1" t="s">
        <v>394</v>
      </c>
      <c r="E72" s="2">
        <v>45967</v>
      </c>
      <c r="F72" s="1" t="s">
        <v>395</v>
      </c>
      <c r="G72" s="1" t="s">
        <v>2803</v>
      </c>
      <c r="H72" s="1" t="s">
        <v>2804</v>
      </c>
      <c r="I72" s="1">
        <v>1</v>
      </c>
      <c r="J72" s="3">
        <v>18874</v>
      </c>
      <c r="K72" s="3">
        <v>18010</v>
      </c>
      <c r="L72" s="1">
        <v>0</v>
      </c>
      <c r="M72" s="4">
        <v>0</v>
      </c>
      <c r="N72" s="1">
        <v>864</v>
      </c>
      <c r="O72" s="4">
        <v>4.5999999999999999E-2</v>
      </c>
      <c r="P72" s="1" t="s">
        <v>2721</v>
      </c>
    </row>
    <row r="73" spans="1:16">
      <c r="A73" s="1" t="s">
        <v>15</v>
      </c>
      <c r="B73" s="1">
        <v>11</v>
      </c>
      <c r="C73" s="1" t="s">
        <v>2846</v>
      </c>
      <c r="D73" s="1" t="s">
        <v>1457</v>
      </c>
      <c r="E73" s="2">
        <v>45967</v>
      </c>
      <c r="F73" s="1" t="s">
        <v>347</v>
      </c>
      <c r="G73" s="1" t="s">
        <v>1458</v>
      </c>
      <c r="H73" s="1" t="s">
        <v>2847</v>
      </c>
      <c r="I73" s="1">
        <v>1</v>
      </c>
      <c r="J73" s="3">
        <v>22412</v>
      </c>
      <c r="K73" s="3">
        <v>21386</v>
      </c>
      <c r="L73" s="1">
        <v>0</v>
      </c>
      <c r="M73" s="4">
        <v>0</v>
      </c>
      <c r="N73" s="3">
        <v>1026</v>
      </c>
      <c r="O73" s="4">
        <v>4.5999999999999999E-2</v>
      </c>
      <c r="P73" s="1" t="s">
        <v>2721</v>
      </c>
    </row>
    <row r="74" spans="1:16">
      <c r="A74" s="1" t="s">
        <v>15</v>
      </c>
      <c r="B74" s="1">
        <v>11</v>
      </c>
      <c r="C74" s="1" t="s">
        <v>2848</v>
      </c>
      <c r="D74" s="1" t="s">
        <v>217</v>
      </c>
      <c r="E74" s="2">
        <v>45967</v>
      </c>
      <c r="F74" s="1" t="s">
        <v>63</v>
      </c>
      <c r="G74" s="1" t="s">
        <v>2849</v>
      </c>
      <c r="H74" s="1" t="s">
        <v>219</v>
      </c>
      <c r="I74" s="1">
        <v>1</v>
      </c>
      <c r="J74" s="3">
        <v>6761</v>
      </c>
      <c r="K74" s="3">
        <v>6452</v>
      </c>
      <c r="L74" s="1">
        <v>0</v>
      </c>
      <c r="M74" s="4">
        <v>0</v>
      </c>
      <c r="N74" s="1">
        <v>309</v>
      </c>
      <c r="O74" s="4">
        <v>4.5999999999999999E-2</v>
      </c>
      <c r="P74" s="1" t="s">
        <v>2721</v>
      </c>
    </row>
    <row r="75" spans="1:16">
      <c r="A75" s="1" t="s">
        <v>15</v>
      </c>
      <c r="B75" s="1">
        <v>11</v>
      </c>
      <c r="C75" s="1" t="s">
        <v>2850</v>
      </c>
      <c r="D75" s="1" t="s">
        <v>125</v>
      </c>
      <c r="E75" s="2">
        <v>45967</v>
      </c>
      <c r="F75" s="1" t="s">
        <v>126</v>
      </c>
      <c r="G75" s="1" t="s">
        <v>127</v>
      </c>
      <c r="H75" s="1" t="s">
        <v>128</v>
      </c>
      <c r="I75" s="1">
        <v>1</v>
      </c>
      <c r="J75" s="3">
        <v>13959</v>
      </c>
      <c r="K75" s="3">
        <v>13320</v>
      </c>
      <c r="L75" s="1">
        <v>0</v>
      </c>
      <c r="M75" s="4">
        <v>0</v>
      </c>
      <c r="N75" s="1">
        <v>639</v>
      </c>
      <c r="O75" s="4">
        <v>4.5999999999999999E-2</v>
      </c>
      <c r="P75" s="1" t="s">
        <v>2721</v>
      </c>
    </row>
    <row r="76" spans="1:16">
      <c r="A76" s="1" t="s">
        <v>15</v>
      </c>
      <c r="B76" s="1">
        <v>11</v>
      </c>
      <c r="C76" s="1" t="s">
        <v>2851</v>
      </c>
      <c r="D76" s="1" t="s">
        <v>777</v>
      </c>
      <c r="E76" s="2">
        <v>45967</v>
      </c>
      <c r="F76" s="1" t="s">
        <v>256</v>
      </c>
      <c r="G76" s="1" t="s">
        <v>778</v>
      </c>
      <c r="H76" s="1" t="s">
        <v>779</v>
      </c>
      <c r="I76" s="1">
        <v>1</v>
      </c>
      <c r="J76" s="3">
        <v>11010</v>
      </c>
      <c r="K76" s="3">
        <v>10506</v>
      </c>
      <c r="L76" s="1">
        <v>0</v>
      </c>
      <c r="M76" s="4">
        <v>0</v>
      </c>
      <c r="N76" s="1">
        <v>504</v>
      </c>
      <c r="O76" s="4">
        <v>4.5999999999999999E-2</v>
      </c>
      <c r="P76" s="1" t="s">
        <v>2721</v>
      </c>
    </row>
    <row r="77" spans="1:16">
      <c r="A77" s="1" t="s">
        <v>15</v>
      </c>
      <c r="B77" s="1">
        <v>11</v>
      </c>
      <c r="C77" s="1" t="s">
        <v>2852</v>
      </c>
      <c r="D77" s="1" t="s">
        <v>228</v>
      </c>
      <c r="E77" s="2">
        <v>45967</v>
      </c>
      <c r="F77" s="1" t="s">
        <v>53</v>
      </c>
      <c r="G77" s="1" t="s">
        <v>229</v>
      </c>
      <c r="H77" s="1" t="s">
        <v>230</v>
      </c>
      <c r="I77" s="1">
        <v>1</v>
      </c>
      <c r="J77" s="3">
        <v>9825</v>
      </c>
      <c r="K77" s="3">
        <v>9375</v>
      </c>
      <c r="L77" s="1">
        <v>0</v>
      </c>
      <c r="M77" s="4">
        <v>0</v>
      </c>
      <c r="N77" s="1">
        <v>450</v>
      </c>
      <c r="O77" s="4">
        <v>4.5999999999999999E-2</v>
      </c>
      <c r="P77" s="1" t="s">
        <v>2721</v>
      </c>
    </row>
    <row r="78" spans="1:16">
      <c r="A78" s="1" t="s">
        <v>15</v>
      </c>
      <c r="B78" s="1">
        <v>11</v>
      </c>
      <c r="C78" s="1" t="s">
        <v>2853</v>
      </c>
      <c r="D78" s="1" t="s">
        <v>2836</v>
      </c>
      <c r="E78" s="2">
        <v>45967</v>
      </c>
      <c r="F78" s="1" t="s">
        <v>96</v>
      </c>
      <c r="G78" s="1" t="s">
        <v>2837</v>
      </c>
      <c r="H78" s="1" t="s">
        <v>2838</v>
      </c>
      <c r="I78" s="1">
        <v>1</v>
      </c>
      <c r="J78" s="3">
        <v>8953</v>
      </c>
      <c r="K78" s="3">
        <v>8543</v>
      </c>
      <c r="L78" s="1">
        <v>0</v>
      </c>
      <c r="M78" s="4">
        <v>0</v>
      </c>
      <c r="N78" s="1">
        <v>410</v>
      </c>
      <c r="O78" s="4">
        <v>4.5999999999999999E-2</v>
      </c>
      <c r="P78" s="1" t="s">
        <v>2721</v>
      </c>
    </row>
    <row r="79" spans="1:16">
      <c r="A79" s="1" t="s">
        <v>15</v>
      </c>
      <c r="B79" s="1">
        <v>11</v>
      </c>
      <c r="C79" s="1" t="s">
        <v>2854</v>
      </c>
      <c r="D79" s="1" t="s">
        <v>2855</v>
      </c>
      <c r="E79" s="2">
        <v>45967</v>
      </c>
      <c r="F79" s="1" t="s">
        <v>58</v>
      </c>
      <c r="G79" s="1" t="s">
        <v>2856</v>
      </c>
      <c r="H79" s="1" t="s">
        <v>2857</v>
      </c>
      <c r="I79" s="1">
        <v>1</v>
      </c>
      <c r="J79" s="3">
        <v>21842</v>
      </c>
      <c r="K79" s="3">
        <v>20842</v>
      </c>
      <c r="L79" s="1">
        <v>0</v>
      </c>
      <c r="M79" s="4">
        <v>0</v>
      </c>
      <c r="N79" s="3">
        <v>1000</v>
      </c>
      <c r="O79" s="4">
        <v>4.5999999999999999E-2</v>
      </c>
      <c r="P79" s="1" t="s">
        <v>2721</v>
      </c>
    </row>
    <row r="80" spans="1:16">
      <c r="A80" s="1" t="s">
        <v>15</v>
      </c>
      <c r="B80" s="1">
        <v>11</v>
      </c>
      <c r="C80" s="1" t="s">
        <v>2858</v>
      </c>
      <c r="D80" s="1" t="s">
        <v>1452</v>
      </c>
      <c r="E80" s="2">
        <v>45967</v>
      </c>
      <c r="F80" s="1" t="s">
        <v>407</v>
      </c>
      <c r="G80" s="1" t="s">
        <v>1453</v>
      </c>
      <c r="H80" s="1" t="s">
        <v>1474</v>
      </c>
      <c r="I80" s="1">
        <v>1</v>
      </c>
      <c r="J80" s="3">
        <v>11305</v>
      </c>
      <c r="K80" s="3">
        <v>10787</v>
      </c>
      <c r="L80" s="1">
        <v>0</v>
      </c>
      <c r="M80" s="4">
        <v>0</v>
      </c>
      <c r="N80" s="1">
        <v>518</v>
      </c>
      <c r="O80" s="4">
        <v>4.5999999999999999E-2</v>
      </c>
      <c r="P80" s="1" t="s">
        <v>2721</v>
      </c>
    </row>
    <row r="81" spans="1:16">
      <c r="A81" s="1" t="s">
        <v>15</v>
      </c>
      <c r="B81" s="1">
        <v>11</v>
      </c>
      <c r="C81" s="1" t="s">
        <v>2858</v>
      </c>
      <c r="D81" s="1" t="s">
        <v>960</v>
      </c>
      <c r="E81" s="2">
        <v>45967</v>
      </c>
      <c r="F81" s="1" t="s">
        <v>407</v>
      </c>
      <c r="G81" s="1" t="s">
        <v>961</v>
      </c>
      <c r="H81" s="1" t="s">
        <v>962</v>
      </c>
      <c r="I81" s="1">
        <v>1</v>
      </c>
      <c r="J81" s="3">
        <v>14745</v>
      </c>
      <c r="K81" s="3">
        <v>14070</v>
      </c>
      <c r="L81" s="1">
        <v>0</v>
      </c>
      <c r="M81" s="4">
        <v>0</v>
      </c>
      <c r="N81" s="1">
        <v>675</v>
      </c>
      <c r="O81" s="4">
        <v>4.5999999999999999E-2</v>
      </c>
      <c r="P81" s="1" t="s">
        <v>2721</v>
      </c>
    </row>
    <row r="82" spans="1:16">
      <c r="A82" s="1" t="s">
        <v>15</v>
      </c>
      <c r="B82" s="1">
        <v>11</v>
      </c>
      <c r="C82" s="1" t="s">
        <v>2859</v>
      </c>
      <c r="D82" s="1" t="s">
        <v>2860</v>
      </c>
      <c r="E82" s="2">
        <v>45967</v>
      </c>
      <c r="F82" s="1" t="s">
        <v>235</v>
      </c>
      <c r="G82" s="1" t="s">
        <v>2861</v>
      </c>
      <c r="H82" s="1" t="s">
        <v>2862</v>
      </c>
      <c r="I82" s="1">
        <v>1</v>
      </c>
      <c r="J82" s="3">
        <v>19070</v>
      </c>
      <c r="K82" s="3">
        <v>18197</v>
      </c>
      <c r="L82" s="1">
        <v>0</v>
      </c>
      <c r="M82" s="4">
        <v>0</v>
      </c>
      <c r="N82" s="1">
        <v>873</v>
      </c>
      <c r="O82" s="4">
        <v>4.5999999999999999E-2</v>
      </c>
      <c r="P82" s="1" t="s">
        <v>2721</v>
      </c>
    </row>
    <row r="83" spans="1:16">
      <c r="A83" s="1" t="s">
        <v>15</v>
      </c>
      <c r="B83" s="1">
        <v>11</v>
      </c>
      <c r="C83" s="1" t="s">
        <v>2863</v>
      </c>
      <c r="D83" s="1" t="s">
        <v>504</v>
      </c>
      <c r="E83" s="2">
        <v>45967</v>
      </c>
      <c r="F83" s="1" t="s">
        <v>407</v>
      </c>
      <c r="G83" s="1" t="s">
        <v>505</v>
      </c>
      <c r="H83" s="1" t="s">
        <v>1131</v>
      </c>
      <c r="I83" s="1">
        <v>1</v>
      </c>
      <c r="J83" s="3">
        <v>54065</v>
      </c>
      <c r="K83" s="3">
        <v>51590</v>
      </c>
      <c r="L83" s="1">
        <v>0</v>
      </c>
      <c r="M83" s="4">
        <v>0</v>
      </c>
      <c r="N83" s="3">
        <v>2475</v>
      </c>
      <c r="O83" s="4">
        <v>4.5999999999999999E-2</v>
      </c>
      <c r="P83" s="1" t="s">
        <v>2721</v>
      </c>
    </row>
    <row r="84" spans="1:16">
      <c r="A84" s="1" t="s">
        <v>15</v>
      </c>
      <c r="B84" s="1">
        <v>11</v>
      </c>
      <c r="C84" s="1" t="s">
        <v>2864</v>
      </c>
      <c r="D84" s="1" t="s">
        <v>1088</v>
      </c>
      <c r="E84" s="2">
        <v>45967</v>
      </c>
      <c r="F84" s="1" t="s">
        <v>317</v>
      </c>
      <c r="G84" s="1" t="s">
        <v>1089</v>
      </c>
      <c r="H84" s="1" t="s">
        <v>2865</v>
      </c>
      <c r="I84" s="1">
        <v>1</v>
      </c>
      <c r="J84" s="3">
        <v>45120</v>
      </c>
      <c r="K84" s="3">
        <v>43054</v>
      </c>
      <c r="L84" s="1">
        <v>0</v>
      </c>
      <c r="M84" s="4">
        <v>0</v>
      </c>
      <c r="N84" s="3">
        <v>2066</v>
      </c>
      <c r="O84" s="4">
        <v>4.5999999999999999E-2</v>
      </c>
      <c r="P84" s="1" t="s">
        <v>2721</v>
      </c>
    </row>
    <row r="85" spans="1:16">
      <c r="A85" s="1" t="s">
        <v>15</v>
      </c>
      <c r="B85" s="1">
        <v>11</v>
      </c>
      <c r="C85" s="1" t="s">
        <v>2866</v>
      </c>
      <c r="D85" s="1" t="s">
        <v>2398</v>
      </c>
      <c r="E85" s="2">
        <v>45967</v>
      </c>
      <c r="F85" s="1" t="s">
        <v>63</v>
      </c>
      <c r="G85" s="1" t="s">
        <v>2399</v>
      </c>
      <c r="H85" s="1" t="s">
        <v>2400</v>
      </c>
      <c r="I85" s="1">
        <v>1</v>
      </c>
      <c r="J85" s="3">
        <v>32001</v>
      </c>
      <c r="K85" s="3">
        <v>30536</v>
      </c>
      <c r="L85" s="1">
        <v>0</v>
      </c>
      <c r="M85" s="4">
        <v>0</v>
      </c>
      <c r="N85" s="3">
        <v>1465</v>
      </c>
      <c r="O85" s="4">
        <v>4.5999999999999999E-2</v>
      </c>
      <c r="P85" s="1" t="s">
        <v>2721</v>
      </c>
    </row>
    <row r="86" spans="1:16">
      <c r="A86" s="1" t="s">
        <v>15</v>
      </c>
      <c r="B86" s="1">
        <v>11</v>
      </c>
      <c r="C86" s="1" t="s">
        <v>2867</v>
      </c>
      <c r="D86" s="1" t="s">
        <v>1254</v>
      </c>
      <c r="E86" s="2">
        <v>45967</v>
      </c>
      <c r="F86" s="1" t="s">
        <v>1255</v>
      </c>
      <c r="G86" s="1" t="s">
        <v>1256</v>
      </c>
      <c r="H86" s="1" t="s">
        <v>2868</v>
      </c>
      <c r="I86" s="1">
        <v>1</v>
      </c>
      <c r="J86" s="3">
        <v>176842</v>
      </c>
      <c r="K86" s="3">
        <v>168746</v>
      </c>
      <c r="L86" s="1">
        <v>0</v>
      </c>
      <c r="M86" s="4">
        <v>0</v>
      </c>
      <c r="N86" s="3">
        <v>8096</v>
      </c>
      <c r="O86" s="4">
        <v>4.5999999999999999E-2</v>
      </c>
      <c r="P86" s="1" t="s">
        <v>2721</v>
      </c>
    </row>
    <row r="87" spans="1:16">
      <c r="A87" s="1" t="s">
        <v>15</v>
      </c>
      <c r="B87" s="1">
        <v>11</v>
      </c>
      <c r="C87" s="1" t="s">
        <v>2869</v>
      </c>
      <c r="D87" s="1" t="s">
        <v>482</v>
      </c>
      <c r="E87" s="2">
        <v>45967</v>
      </c>
      <c r="F87" s="1" t="s">
        <v>483</v>
      </c>
      <c r="G87" s="1" t="s">
        <v>484</v>
      </c>
      <c r="H87" s="1" t="s">
        <v>860</v>
      </c>
      <c r="I87" s="1">
        <v>1</v>
      </c>
      <c r="J87" s="3">
        <v>27426</v>
      </c>
      <c r="K87" s="3">
        <v>26170</v>
      </c>
      <c r="L87" s="1">
        <v>0</v>
      </c>
      <c r="M87" s="4">
        <v>0</v>
      </c>
      <c r="N87" s="3">
        <v>1256</v>
      </c>
      <c r="O87" s="4">
        <v>4.5999999999999999E-2</v>
      </c>
      <c r="P87" s="1" t="s">
        <v>2721</v>
      </c>
    </row>
    <row r="88" spans="1:16">
      <c r="A88" s="1" t="s">
        <v>15</v>
      </c>
      <c r="B88" s="1">
        <v>11</v>
      </c>
      <c r="C88" s="1" t="s">
        <v>2870</v>
      </c>
      <c r="D88" s="1" t="s">
        <v>2871</v>
      </c>
      <c r="E88" s="2">
        <v>45967</v>
      </c>
      <c r="F88" s="1" t="s">
        <v>441</v>
      </c>
      <c r="G88" s="1" t="s">
        <v>2872</v>
      </c>
      <c r="H88" s="1" t="s">
        <v>2873</v>
      </c>
      <c r="I88" s="1">
        <v>1</v>
      </c>
      <c r="J88" s="3">
        <v>31456</v>
      </c>
      <c r="K88" s="3">
        <v>30016</v>
      </c>
      <c r="L88" s="1">
        <v>0</v>
      </c>
      <c r="M88" s="4">
        <v>0</v>
      </c>
      <c r="N88" s="3">
        <v>1440</v>
      </c>
      <c r="O88" s="4">
        <v>4.5999999999999999E-2</v>
      </c>
      <c r="P88" s="1" t="s">
        <v>2721</v>
      </c>
    </row>
    <row r="89" spans="1:16">
      <c r="A89" s="1" t="s">
        <v>15</v>
      </c>
      <c r="B89" s="1">
        <v>11</v>
      </c>
      <c r="C89" s="1" t="s">
        <v>2874</v>
      </c>
      <c r="D89" s="1" t="s">
        <v>1531</v>
      </c>
      <c r="E89" s="2">
        <v>45967</v>
      </c>
      <c r="F89" s="1" t="s">
        <v>53</v>
      </c>
      <c r="G89" s="1" t="s">
        <v>1532</v>
      </c>
      <c r="H89" s="1" t="s">
        <v>1533</v>
      </c>
      <c r="I89" s="1">
        <v>2</v>
      </c>
      <c r="J89" s="3">
        <v>16045</v>
      </c>
      <c r="K89" s="3">
        <v>15310</v>
      </c>
      <c r="L89" s="1">
        <v>0</v>
      </c>
      <c r="M89" s="4">
        <v>0</v>
      </c>
      <c r="N89" s="1">
        <v>735</v>
      </c>
      <c r="O89" s="4">
        <v>4.5999999999999999E-2</v>
      </c>
      <c r="P89" s="1" t="s">
        <v>2721</v>
      </c>
    </row>
    <row r="90" spans="1:16">
      <c r="A90" s="1" t="s">
        <v>15</v>
      </c>
      <c r="B90" s="1">
        <v>11</v>
      </c>
      <c r="C90" s="1" t="s">
        <v>2875</v>
      </c>
      <c r="D90" s="1" t="s">
        <v>2876</v>
      </c>
      <c r="E90" s="2">
        <v>45967</v>
      </c>
      <c r="F90" s="1" t="s">
        <v>441</v>
      </c>
      <c r="G90" s="1" t="s">
        <v>2877</v>
      </c>
      <c r="H90" s="1" t="s">
        <v>2878</v>
      </c>
      <c r="I90" s="1">
        <v>1</v>
      </c>
      <c r="J90" s="3">
        <v>49150</v>
      </c>
      <c r="K90" s="3">
        <v>46900</v>
      </c>
      <c r="L90" s="1">
        <v>0</v>
      </c>
      <c r="M90" s="4">
        <v>0</v>
      </c>
      <c r="N90" s="3">
        <v>2250</v>
      </c>
      <c r="O90" s="4">
        <v>4.5999999999999999E-2</v>
      </c>
      <c r="P90" s="1" t="s">
        <v>2721</v>
      </c>
    </row>
    <row r="91" spans="1:16">
      <c r="A91" s="1" t="s">
        <v>15</v>
      </c>
      <c r="B91" s="1">
        <v>11</v>
      </c>
      <c r="C91" s="1" t="s">
        <v>2879</v>
      </c>
      <c r="D91" s="1" t="s">
        <v>862</v>
      </c>
      <c r="E91" s="2">
        <v>45967</v>
      </c>
      <c r="F91" s="1" t="s">
        <v>334</v>
      </c>
      <c r="G91" s="1" t="s">
        <v>863</v>
      </c>
      <c r="H91" s="1" t="s">
        <v>2880</v>
      </c>
      <c r="I91" s="1">
        <v>1</v>
      </c>
      <c r="J91" s="3">
        <v>16220</v>
      </c>
      <c r="K91" s="3">
        <v>15477</v>
      </c>
      <c r="L91" s="1">
        <v>0</v>
      </c>
      <c r="M91" s="4">
        <v>0</v>
      </c>
      <c r="N91" s="1">
        <v>743</v>
      </c>
      <c r="O91" s="4">
        <v>4.5999999999999999E-2</v>
      </c>
      <c r="P91" s="1" t="s">
        <v>2721</v>
      </c>
    </row>
    <row r="92" spans="1:16">
      <c r="A92" s="1" t="s">
        <v>15</v>
      </c>
      <c r="B92" s="1">
        <v>11</v>
      </c>
      <c r="C92" s="1" t="s">
        <v>2881</v>
      </c>
      <c r="D92" s="1" t="s">
        <v>341</v>
      </c>
      <c r="E92" s="2">
        <v>45967</v>
      </c>
      <c r="F92" s="1" t="s">
        <v>53</v>
      </c>
      <c r="G92" s="1" t="s">
        <v>342</v>
      </c>
      <c r="H92" s="1" t="s">
        <v>2882</v>
      </c>
      <c r="I92" s="1">
        <v>1</v>
      </c>
      <c r="J92" s="3">
        <v>16135</v>
      </c>
      <c r="K92" s="3">
        <v>15396</v>
      </c>
      <c r="L92" s="1">
        <v>0</v>
      </c>
      <c r="M92" s="4">
        <v>0</v>
      </c>
      <c r="N92" s="1">
        <v>739</v>
      </c>
      <c r="O92" s="4">
        <v>4.5999999999999999E-2</v>
      </c>
      <c r="P92" s="1" t="s">
        <v>2721</v>
      </c>
    </row>
    <row r="93" spans="1:16">
      <c r="A93" s="1" t="s">
        <v>15</v>
      </c>
      <c r="B93" s="1">
        <v>11</v>
      </c>
      <c r="C93" s="1" t="s">
        <v>2883</v>
      </c>
      <c r="D93" s="1" t="s">
        <v>1521</v>
      </c>
      <c r="E93" s="2">
        <v>45967</v>
      </c>
      <c r="F93" s="1" t="s">
        <v>235</v>
      </c>
      <c r="G93" s="1" t="s">
        <v>1522</v>
      </c>
      <c r="H93" s="1" t="s">
        <v>2884</v>
      </c>
      <c r="I93" s="1">
        <v>1</v>
      </c>
      <c r="J93" s="3">
        <v>14987</v>
      </c>
      <c r="K93" s="3">
        <v>14301</v>
      </c>
      <c r="L93" s="1">
        <v>0</v>
      </c>
      <c r="M93" s="4">
        <v>0</v>
      </c>
      <c r="N93" s="1">
        <v>686</v>
      </c>
      <c r="O93" s="4">
        <v>4.5999999999999999E-2</v>
      </c>
      <c r="P93" s="1" t="s">
        <v>2721</v>
      </c>
    </row>
    <row r="94" spans="1:16">
      <c r="A94" s="1" t="s">
        <v>15</v>
      </c>
      <c r="B94" s="1">
        <v>11</v>
      </c>
      <c r="C94" s="1" t="s">
        <v>2885</v>
      </c>
      <c r="D94" s="1" t="s">
        <v>2886</v>
      </c>
      <c r="E94" s="2">
        <v>45967</v>
      </c>
      <c r="F94" s="1" t="s">
        <v>53</v>
      </c>
      <c r="G94" s="1" t="s">
        <v>2887</v>
      </c>
      <c r="H94" s="1" t="s">
        <v>2888</v>
      </c>
      <c r="I94" s="1">
        <v>1</v>
      </c>
      <c r="J94" s="3">
        <v>16135</v>
      </c>
      <c r="K94" s="3">
        <v>15396</v>
      </c>
      <c r="L94" s="1">
        <v>0</v>
      </c>
      <c r="M94" s="4">
        <v>0</v>
      </c>
      <c r="N94" s="1">
        <v>739</v>
      </c>
      <c r="O94" s="4">
        <v>4.5999999999999999E-2</v>
      </c>
      <c r="P94" s="1" t="s">
        <v>2721</v>
      </c>
    </row>
    <row r="95" spans="1:16">
      <c r="A95" s="1" t="s">
        <v>15</v>
      </c>
      <c r="B95" s="1">
        <v>11</v>
      </c>
      <c r="C95" s="1" t="s">
        <v>2889</v>
      </c>
      <c r="D95" s="1" t="s">
        <v>1153</v>
      </c>
      <c r="E95" s="2">
        <v>45967</v>
      </c>
      <c r="F95" s="1" t="s">
        <v>235</v>
      </c>
      <c r="G95" s="1" t="s">
        <v>1154</v>
      </c>
      <c r="H95" s="1" t="s">
        <v>1155</v>
      </c>
      <c r="I95" s="1">
        <v>1</v>
      </c>
      <c r="J95" s="3">
        <v>14254</v>
      </c>
      <c r="K95" s="3">
        <v>13601</v>
      </c>
      <c r="L95" s="1">
        <v>0</v>
      </c>
      <c r="M95" s="4">
        <v>0</v>
      </c>
      <c r="N95" s="1">
        <v>653</v>
      </c>
      <c r="O95" s="4">
        <v>4.5999999999999999E-2</v>
      </c>
      <c r="P95" s="1" t="s">
        <v>2721</v>
      </c>
    </row>
    <row r="96" spans="1:16">
      <c r="A96" s="1" t="s">
        <v>15</v>
      </c>
      <c r="B96" s="1">
        <v>11</v>
      </c>
      <c r="C96" s="1" t="s">
        <v>2890</v>
      </c>
      <c r="D96" s="1" t="s">
        <v>394</v>
      </c>
      <c r="E96" s="2">
        <v>45967</v>
      </c>
      <c r="F96" s="1" t="s">
        <v>395</v>
      </c>
      <c r="G96" s="1" t="s">
        <v>2803</v>
      </c>
      <c r="H96" s="1" t="s">
        <v>2804</v>
      </c>
      <c r="I96" s="1">
        <v>1</v>
      </c>
      <c r="J96" s="3">
        <v>18874</v>
      </c>
      <c r="K96" s="3">
        <v>18010</v>
      </c>
      <c r="L96" s="1">
        <v>0</v>
      </c>
      <c r="M96" s="4">
        <v>0</v>
      </c>
      <c r="N96" s="1">
        <v>864</v>
      </c>
      <c r="O96" s="4">
        <v>4.5999999999999999E-2</v>
      </c>
      <c r="P96" s="1" t="s">
        <v>2721</v>
      </c>
    </row>
    <row r="97" spans="1:16">
      <c r="A97" s="1" t="s">
        <v>15</v>
      </c>
      <c r="B97" s="1">
        <v>11</v>
      </c>
      <c r="C97" s="1" t="s">
        <v>2891</v>
      </c>
      <c r="D97" s="1" t="s">
        <v>1375</v>
      </c>
      <c r="E97" s="2">
        <v>45967</v>
      </c>
      <c r="F97" s="1" t="s">
        <v>256</v>
      </c>
      <c r="G97" s="1" t="s">
        <v>1376</v>
      </c>
      <c r="H97" s="1" t="s">
        <v>1377</v>
      </c>
      <c r="I97" s="1">
        <v>1</v>
      </c>
      <c r="J97" s="3">
        <v>8208</v>
      </c>
      <c r="K97" s="3">
        <v>7832</v>
      </c>
      <c r="L97" s="1">
        <v>0</v>
      </c>
      <c r="M97" s="4">
        <v>0</v>
      </c>
      <c r="N97" s="1">
        <v>376</v>
      </c>
      <c r="O97" s="4">
        <v>4.5999999999999999E-2</v>
      </c>
      <c r="P97" s="1" t="s">
        <v>2721</v>
      </c>
    </row>
    <row r="98" spans="1:16">
      <c r="A98" s="1" t="s">
        <v>15</v>
      </c>
      <c r="B98" s="1">
        <v>11</v>
      </c>
      <c r="C98" s="1" t="s">
        <v>2892</v>
      </c>
      <c r="D98" s="1" t="s">
        <v>270</v>
      </c>
      <c r="E98" s="2">
        <v>45967</v>
      </c>
      <c r="F98" s="1" t="s">
        <v>271</v>
      </c>
      <c r="G98" s="1" t="s">
        <v>272</v>
      </c>
      <c r="H98" s="1" t="s">
        <v>273</v>
      </c>
      <c r="I98" s="1">
        <v>1</v>
      </c>
      <c r="J98" s="3">
        <v>25067</v>
      </c>
      <c r="K98" s="3">
        <v>23919</v>
      </c>
      <c r="L98" s="1">
        <v>0</v>
      </c>
      <c r="M98" s="4">
        <v>0</v>
      </c>
      <c r="N98" s="3">
        <v>1148</v>
      </c>
      <c r="O98" s="4">
        <v>4.5999999999999999E-2</v>
      </c>
      <c r="P98" s="1" t="s">
        <v>2721</v>
      </c>
    </row>
    <row r="99" spans="1:16">
      <c r="A99" s="1" t="s">
        <v>15</v>
      </c>
      <c r="B99" s="1">
        <v>11</v>
      </c>
      <c r="C99" s="1" t="s">
        <v>2893</v>
      </c>
      <c r="D99" s="1" t="s">
        <v>1208</v>
      </c>
      <c r="E99" s="2">
        <v>45967</v>
      </c>
      <c r="F99" s="1" t="s">
        <v>646</v>
      </c>
      <c r="G99" s="1" t="s">
        <v>1209</v>
      </c>
      <c r="H99" s="1" t="s">
        <v>2894</v>
      </c>
      <c r="I99" s="1">
        <v>1</v>
      </c>
      <c r="J99" s="3">
        <v>196600</v>
      </c>
      <c r="K99" s="3">
        <v>187600</v>
      </c>
      <c r="L99" s="1">
        <v>0</v>
      </c>
      <c r="M99" s="4">
        <v>0</v>
      </c>
      <c r="N99" s="3">
        <v>9000</v>
      </c>
      <c r="O99" s="4">
        <v>4.5999999999999999E-2</v>
      </c>
      <c r="P99" s="1" t="s">
        <v>2721</v>
      </c>
    </row>
    <row r="100" spans="1:16">
      <c r="A100" s="1" t="s">
        <v>15</v>
      </c>
      <c r="B100" s="1">
        <v>11</v>
      </c>
      <c r="C100" s="1" t="s">
        <v>2895</v>
      </c>
      <c r="D100" s="1" t="s">
        <v>1664</v>
      </c>
      <c r="E100" s="2">
        <v>45967</v>
      </c>
      <c r="F100" s="1" t="s">
        <v>1665</v>
      </c>
      <c r="G100" s="1" t="s">
        <v>1666</v>
      </c>
      <c r="H100" s="1" t="s">
        <v>1667</v>
      </c>
      <c r="I100" s="1">
        <v>1</v>
      </c>
      <c r="J100" s="3">
        <v>10754</v>
      </c>
      <c r="K100" s="3">
        <v>10262</v>
      </c>
      <c r="L100" s="1">
        <v>0</v>
      </c>
      <c r="M100" s="4">
        <v>0</v>
      </c>
      <c r="N100" s="1">
        <v>492</v>
      </c>
      <c r="O100" s="4">
        <v>4.5999999999999999E-2</v>
      </c>
      <c r="P100" s="1" t="s">
        <v>2721</v>
      </c>
    </row>
    <row r="101" spans="1:16">
      <c r="A101" s="1" t="s">
        <v>15</v>
      </c>
      <c r="B101" s="1">
        <v>11</v>
      </c>
      <c r="C101" s="1" t="s">
        <v>2896</v>
      </c>
      <c r="D101" s="1" t="s">
        <v>2897</v>
      </c>
      <c r="E101" s="2">
        <v>45967</v>
      </c>
      <c r="F101" s="1" t="s">
        <v>96</v>
      </c>
      <c r="G101" s="1" t="s">
        <v>2898</v>
      </c>
      <c r="H101" s="1" t="s">
        <v>2899</v>
      </c>
      <c r="I101" s="1">
        <v>1</v>
      </c>
      <c r="J101" s="3">
        <v>13475</v>
      </c>
      <c r="K101" s="3">
        <v>12858</v>
      </c>
      <c r="L101" s="1">
        <v>0</v>
      </c>
      <c r="M101" s="4">
        <v>0</v>
      </c>
      <c r="N101" s="1">
        <v>617</v>
      </c>
      <c r="O101" s="4">
        <v>4.5999999999999999E-2</v>
      </c>
      <c r="P101" s="1" t="s">
        <v>2721</v>
      </c>
    </row>
    <row r="102" spans="1:16">
      <c r="A102" s="1" t="s">
        <v>15</v>
      </c>
      <c r="B102" s="1">
        <v>11</v>
      </c>
      <c r="C102" s="1" t="s">
        <v>2896</v>
      </c>
      <c r="D102" s="1" t="s">
        <v>2900</v>
      </c>
      <c r="E102" s="2">
        <v>45967</v>
      </c>
      <c r="F102" s="1" t="s">
        <v>96</v>
      </c>
      <c r="G102" s="1" t="s">
        <v>2901</v>
      </c>
      <c r="H102" s="1" t="s">
        <v>2902</v>
      </c>
      <c r="I102" s="1">
        <v>1</v>
      </c>
      <c r="J102" s="3">
        <v>8953</v>
      </c>
      <c r="K102" s="3">
        <v>8543</v>
      </c>
      <c r="L102" s="1">
        <v>0</v>
      </c>
      <c r="M102" s="4">
        <v>0</v>
      </c>
      <c r="N102" s="1">
        <v>410</v>
      </c>
      <c r="O102" s="4">
        <v>4.5999999999999999E-2</v>
      </c>
      <c r="P102" s="1" t="s">
        <v>2721</v>
      </c>
    </row>
    <row r="103" spans="1:16">
      <c r="A103" s="1" t="s">
        <v>15</v>
      </c>
      <c r="B103" s="1">
        <v>11</v>
      </c>
      <c r="C103" s="1" t="s">
        <v>2896</v>
      </c>
      <c r="D103" s="1" t="s">
        <v>2903</v>
      </c>
      <c r="E103" s="2">
        <v>45967</v>
      </c>
      <c r="F103" s="1" t="s">
        <v>96</v>
      </c>
      <c r="G103" s="1" t="s">
        <v>2904</v>
      </c>
      <c r="H103" s="1" t="s">
        <v>2905</v>
      </c>
      <c r="I103" s="1">
        <v>1</v>
      </c>
      <c r="J103" s="3">
        <v>7054</v>
      </c>
      <c r="K103" s="3">
        <v>6731</v>
      </c>
      <c r="L103" s="1">
        <v>0</v>
      </c>
      <c r="M103" s="4">
        <v>0</v>
      </c>
      <c r="N103" s="1">
        <v>323</v>
      </c>
      <c r="O103" s="4">
        <v>4.5999999999999999E-2</v>
      </c>
      <c r="P103" s="1" t="s">
        <v>2721</v>
      </c>
    </row>
    <row r="104" spans="1:16">
      <c r="A104" s="1" t="s">
        <v>15</v>
      </c>
      <c r="B104" s="1">
        <v>11</v>
      </c>
      <c r="C104" s="1" t="s">
        <v>2896</v>
      </c>
      <c r="D104" s="1" t="s">
        <v>2836</v>
      </c>
      <c r="E104" s="2">
        <v>45967</v>
      </c>
      <c r="F104" s="1" t="s">
        <v>96</v>
      </c>
      <c r="G104" s="1" t="s">
        <v>2837</v>
      </c>
      <c r="H104" s="1" t="s">
        <v>2838</v>
      </c>
      <c r="I104" s="1">
        <v>1</v>
      </c>
      <c r="J104" s="3">
        <v>8953</v>
      </c>
      <c r="K104" s="3">
        <v>8543</v>
      </c>
      <c r="L104" s="1">
        <v>0</v>
      </c>
      <c r="M104" s="4">
        <v>0</v>
      </c>
      <c r="N104" s="1">
        <v>410</v>
      </c>
      <c r="O104" s="4">
        <v>4.5999999999999999E-2</v>
      </c>
      <c r="P104" s="1" t="s">
        <v>2721</v>
      </c>
    </row>
    <row r="105" spans="1:16">
      <c r="A105" s="1" t="s">
        <v>15</v>
      </c>
      <c r="B105" s="1">
        <v>11</v>
      </c>
      <c r="C105" s="1" t="s">
        <v>2906</v>
      </c>
      <c r="D105" s="1" t="s">
        <v>367</v>
      </c>
      <c r="E105" s="2">
        <v>45967</v>
      </c>
      <c r="F105" s="1" t="s">
        <v>368</v>
      </c>
      <c r="G105" s="1" t="s">
        <v>369</v>
      </c>
      <c r="H105" s="1" t="s">
        <v>370</v>
      </c>
      <c r="I105" s="1">
        <v>2</v>
      </c>
      <c r="J105" s="3">
        <v>28940</v>
      </c>
      <c r="K105" s="3">
        <v>27615</v>
      </c>
      <c r="L105" s="1">
        <v>0</v>
      </c>
      <c r="M105" s="4">
        <v>0</v>
      </c>
      <c r="N105" s="3">
        <v>1325</v>
      </c>
      <c r="O105" s="4">
        <v>4.5999999999999999E-2</v>
      </c>
      <c r="P105" s="1" t="s">
        <v>2721</v>
      </c>
    </row>
    <row r="106" spans="1:16">
      <c r="A106" s="1" t="s">
        <v>15</v>
      </c>
      <c r="B106" s="1">
        <v>11</v>
      </c>
      <c r="C106" s="1" t="s">
        <v>2906</v>
      </c>
      <c r="D106" s="1" t="s">
        <v>141</v>
      </c>
      <c r="E106" s="2">
        <v>45967</v>
      </c>
      <c r="F106" s="1" t="s">
        <v>142</v>
      </c>
      <c r="G106" s="1" t="s">
        <v>143</v>
      </c>
      <c r="H106" s="1" t="s">
        <v>144</v>
      </c>
      <c r="I106" s="1">
        <v>1</v>
      </c>
      <c r="J106" s="3">
        <v>22314</v>
      </c>
      <c r="K106" s="3">
        <v>21293</v>
      </c>
      <c r="L106" s="1">
        <v>0</v>
      </c>
      <c r="M106" s="4">
        <v>0</v>
      </c>
      <c r="N106" s="3">
        <v>1021</v>
      </c>
      <c r="O106" s="4">
        <v>4.5999999999999999E-2</v>
      </c>
      <c r="P106" s="1" t="s">
        <v>2721</v>
      </c>
    </row>
    <row r="107" spans="1:16">
      <c r="A107" s="1" t="s">
        <v>15</v>
      </c>
      <c r="B107" s="1">
        <v>11</v>
      </c>
      <c r="C107" s="1" t="s">
        <v>2907</v>
      </c>
      <c r="D107" s="1" t="s">
        <v>2908</v>
      </c>
      <c r="E107" s="2">
        <v>45967</v>
      </c>
      <c r="F107" s="1" t="s">
        <v>96</v>
      </c>
      <c r="G107" s="1" t="s">
        <v>2909</v>
      </c>
      <c r="H107" s="1" t="s">
        <v>2910</v>
      </c>
      <c r="I107" s="1">
        <v>1</v>
      </c>
      <c r="J107" s="3">
        <v>9858</v>
      </c>
      <c r="K107" s="3">
        <v>9406</v>
      </c>
      <c r="L107" s="1">
        <v>0</v>
      </c>
      <c r="M107" s="4">
        <v>0</v>
      </c>
      <c r="N107" s="1">
        <v>452</v>
      </c>
      <c r="O107" s="4">
        <v>4.5999999999999999E-2</v>
      </c>
      <c r="P107" s="1" t="s">
        <v>2721</v>
      </c>
    </row>
    <row r="108" spans="1:16">
      <c r="A108" s="1" t="s">
        <v>15</v>
      </c>
      <c r="B108" s="1">
        <v>11</v>
      </c>
      <c r="C108" s="1" t="s">
        <v>2907</v>
      </c>
      <c r="D108" s="1" t="s">
        <v>2903</v>
      </c>
      <c r="E108" s="2">
        <v>45967</v>
      </c>
      <c r="F108" s="1" t="s">
        <v>96</v>
      </c>
      <c r="G108" s="1" t="s">
        <v>2904</v>
      </c>
      <c r="H108" s="1" t="s">
        <v>2905</v>
      </c>
      <c r="I108" s="1">
        <v>1</v>
      </c>
      <c r="J108" s="3">
        <v>7054</v>
      </c>
      <c r="K108" s="3">
        <v>6731</v>
      </c>
      <c r="L108" s="1">
        <v>0</v>
      </c>
      <c r="M108" s="4">
        <v>0</v>
      </c>
      <c r="N108" s="1">
        <v>323</v>
      </c>
      <c r="O108" s="4">
        <v>4.5999999999999999E-2</v>
      </c>
      <c r="P108" s="1" t="s">
        <v>2721</v>
      </c>
    </row>
    <row r="109" spans="1:16">
      <c r="A109" s="1" t="s">
        <v>15</v>
      </c>
      <c r="B109" s="1">
        <v>11</v>
      </c>
      <c r="C109" s="1" t="s">
        <v>2911</v>
      </c>
      <c r="D109" s="1" t="s">
        <v>1250</v>
      </c>
      <c r="E109" s="2">
        <v>45967</v>
      </c>
      <c r="F109" s="1" t="s">
        <v>18</v>
      </c>
      <c r="G109" s="1" t="s">
        <v>1251</v>
      </c>
      <c r="H109" s="1" t="s">
        <v>1252</v>
      </c>
      <c r="I109" s="1">
        <v>1</v>
      </c>
      <c r="J109" s="3">
        <v>8395</v>
      </c>
      <c r="K109" s="3">
        <v>8011</v>
      </c>
      <c r="L109" s="1">
        <v>0</v>
      </c>
      <c r="M109" s="4">
        <v>0</v>
      </c>
      <c r="N109" s="1">
        <v>384</v>
      </c>
      <c r="O109" s="4">
        <v>4.5999999999999999E-2</v>
      </c>
      <c r="P109" s="1" t="s">
        <v>2721</v>
      </c>
    </row>
    <row r="110" spans="1:16">
      <c r="A110" s="1" t="s">
        <v>15</v>
      </c>
      <c r="B110" s="1">
        <v>11</v>
      </c>
      <c r="C110" s="1" t="s">
        <v>2912</v>
      </c>
      <c r="D110" s="1" t="s">
        <v>1597</v>
      </c>
      <c r="E110" s="2">
        <v>45967</v>
      </c>
      <c r="F110" s="1" t="s">
        <v>464</v>
      </c>
      <c r="G110" s="1" t="s">
        <v>1598</v>
      </c>
      <c r="H110" s="1" t="s">
        <v>1599</v>
      </c>
      <c r="I110" s="1">
        <v>1</v>
      </c>
      <c r="J110" s="3">
        <v>12707</v>
      </c>
      <c r="K110" s="3">
        <v>12126</v>
      </c>
      <c r="L110" s="1">
        <v>0</v>
      </c>
      <c r="M110" s="4">
        <v>0</v>
      </c>
      <c r="N110" s="1">
        <v>581</v>
      </c>
      <c r="O110" s="4">
        <v>4.5999999999999999E-2</v>
      </c>
      <c r="P110" s="1" t="s">
        <v>2721</v>
      </c>
    </row>
    <row r="111" spans="1:16">
      <c r="A111" s="1" t="s">
        <v>15</v>
      </c>
      <c r="B111" s="1">
        <v>11</v>
      </c>
      <c r="C111" s="1" t="s">
        <v>2913</v>
      </c>
      <c r="D111" s="1" t="s">
        <v>270</v>
      </c>
      <c r="E111" s="2">
        <v>45967</v>
      </c>
      <c r="F111" s="1" t="s">
        <v>271</v>
      </c>
      <c r="G111" s="1" t="s">
        <v>272</v>
      </c>
      <c r="H111" s="1" t="s">
        <v>273</v>
      </c>
      <c r="I111" s="1">
        <v>1</v>
      </c>
      <c r="J111" s="3">
        <v>25067</v>
      </c>
      <c r="K111" s="3">
        <v>23919</v>
      </c>
      <c r="L111" s="1">
        <v>0</v>
      </c>
      <c r="M111" s="4">
        <v>0</v>
      </c>
      <c r="N111" s="3">
        <v>1148</v>
      </c>
      <c r="O111" s="4">
        <v>4.5999999999999999E-2</v>
      </c>
      <c r="P111" s="1" t="s">
        <v>2721</v>
      </c>
    </row>
    <row r="112" spans="1:16">
      <c r="A112" s="1" t="s">
        <v>15</v>
      </c>
      <c r="B112" s="1">
        <v>11</v>
      </c>
      <c r="C112" s="1" t="s">
        <v>2914</v>
      </c>
      <c r="D112" s="1" t="s">
        <v>2915</v>
      </c>
      <c r="E112" s="2">
        <v>45967</v>
      </c>
      <c r="F112" s="1" t="s">
        <v>347</v>
      </c>
      <c r="G112" s="1" t="s">
        <v>2916</v>
      </c>
      <c r="H112" s="1" t="s">
        <v>2917</v>
      </c>
      <c r="I112" s="1">
        <v>1</v>
      </c>
      <c r="J112" s="3">
        <v>23875</v>
      </c>
      <c r="K112" s="3">
        <v>22782</v>
      </c>
      <c r="L112" s="1">
        <v>0</v>
      </c>
      <c r="M112" s="4">
        <v>0</v>
      </c>
      <c r="N112" s="3">
        <v>1093</v>
      </c>
      <c r="O112" s="4">
        <v>4.5999999999999999E-2</v>
      </c>
      <c r="P112" s="1" t="s">
        <v>2721</v>
      </c>
    </row>
    <row r="113" spans="1:16">
      <c r="A113" s="1" t="s">
        <v>15</v>
      </c>
      <c r="B113" s="1">
        <v>11</v>
      </c>
      <c r="C113" s="1" t="s">
        <v>2918</v>
      </c>
      <c r="D113" s="1" t="s">
        <v>238</v>
      </c>
      <c r="E113" s="2">
        <v>45967</v>
      </c>
      <c r="F113" s="1" t="s">
        <v>239</v>
      </c>
      <c r="G113" s="1" t="s">
        <v>240</v>
      </c>
      <c r="H113" s="1" t="s">
        <v>242</v>
      </c>
      <c r="I113" s="1">
        <v>2</v>
      </c>
      <c r="J113" s="3">
        <v>22609</v>
      </c>
      <c r="K113" s="3">
        <v>21574</v>
      </c>
      <c r="L113" s="1">
        <v>0</v>
      </c>
      <c r="M113" s="4">
        <v>0</v>
      </c>
      <c r="N113" s="3">
        <v>1035</v>
      </c>
      <c r="O113" s="4">
        <v>4.5999999999999999E-2</v>
      </c>
      <c r="P113" s="1" t="s">
        <v>2721</v>
      </c>
    </row>
    <row r="114" spans="1:16">
      <c r="A114" s="1" t="s">
        <v>15</v>
      </c>
      <c r="B114" s="1">
        <v>11</v>
      </c>
      <c r="C114" s="1" t="s">
        <v>2919</v>
      </c>
      <c r="D114" s="1" t="s">
        <v>17</v>
      </c>
      <c r="E114" s="2">
        <v>45967</v>
      </c>
      <c r="F114" s="1" t="s">
        <v>18</v>
      </c>
      <c r="G114" s="1" t="s">
        <v>19</v>
      </c>
      <c r="H114" s="1" t="s">
        <v>20</v>
      </c>
      <c r="I114" s="1">
        <v>3</v>
      </c>
      <c r="J114" s="3">
        <v>21498</v>
      </c>
      <c r="K114" s="3">
        <v>20514</v>
      </c>
      <c r="L114" s="1">
        <v>0</v>
      </c>
      <c r="M114" s="4">
        <v>0</v>
      </c>
      <c r="N114" s="1">
        <v>984</v>
      </c>
      <c r="O114" s="4">
        <v>4.5999999999999999E-2</v>
      </c>
      <c r="P114" s="1" t="s">
        <v>2721</v>
      </c>
    </row>
    <row r="115" spans="1:16">
      <c r="A115" s="1" t="s">
        <v>15</v>
      </c>
      <c r="B115" s="1">
        <v>11</v>
      </c>
      <c r="C115" s="1" t="s">
        <v>2920</v>
      </c>
      <c r="D115" s="1" t="s">
        <v>874</v>
      </c>
      <c r="E115" s="2">
        <v>45967</v>
      </c>
      <c r="F115" s="1" t="s">
        <v>96</v>
      </c>
      <c r="G115" s="1" t="s">
        <v>875</v>
      </c>
      <c r="H115" s="1" t="s">
        <v>876</v>
      </c>
      <c r="I115" s="1">
        <v>1</v>
      </c>
      <c r="J115" s="3">
        <v>17092</v>
      </c>
      <c r="K115" s="3">
        <v>16310</v>
      </c>
      <c r="L115" s="1">
        <v>0</v>
      </c>
      <c r="M115" s="4">
        <v>0</v>
      </c>
      <c r="N115" s="1">
        <v>782</v>
      </c>
      <c r="O115" s="4">
        <v>4.5999999999999999E-2</v>
      </c>
      <c r="P115" s="1" t="s">
        <v>2721</v>
      </c>
    </row>
    <row r="116" spans="1:16">
      <c r="A116" s="1" t="s">
        <v>15</v>
      </c>
      <c r="B116" s="1">
        <v>11</v>
      </c>
      <c r="C116" s="1" t="s">
        <v>2921</v>
      </c>
      <c r="D116" s="1" t="s">
        <v>2922</v>
      </c>
      <c r="E116" s="2">
        <v>45967</v>
      </c>
      <c r="F116" s="1" t="s">
        <v>1241</v>
      </c>
      <c r="G116" s="1" t="s">
        <v>2923</v>
      </c>
      <c r="H116" s="1" t="s">
        <v>2924</v>
      </c>
      <c r="I116" s="1">
        <v>1</v>
      </c>
      <c r="J116" s="3">
        <v>15925</v>
      </c>
      <c r="K116" s="3">
        <v>15196</v>
      </c>
      <c r="L116" s="1">
        <v>0</v>
      </c>
      <c r="M116" s="4">
        <v>0</v>
      </c>
      <c r="N116" s="1">
        <v>729</v>
      </c>
      <c r="O116" s="4">
        <v>4.5999999999999999E-2</v>
      </c>
      <c r="P116" s="1" t="s">
        <v>2721</v>
      </c>
    </row>
    <row r="117" spans="1:16">
      <c r="A117" s="1" t="s">
        <v>15</v>
      </c>
      <c r="B117" s="1">
        <v>11</v>
      </c>
      <c r="C117" s="1" t="s">
        <v>2925</v>
      </c>
      <c r="D117" s="1" t="s">
        <v>125</v>
      </c>
      <c r="E117" s="2">
        <v>45967</v>
      </c>
      <c r="F117" s="1" t="s">
        <v>126</v>
      </c>
      <c r="G117" s="1" t="s">
        <v>127</v>
      </c>
      <c r="H117" s="1" t="s">
        <v>128</v>
      </c>
      <c r="I117" s="1">
        <v>2</v>
      </c>
      <c r="J117" s="3">
        <v>27917</v>
      </c>
      <c r="K117" s="3">
        <v>26639</v>
      </c>
      <c r="L117" s="1">
        <v>0</v>
      </c>
      <c r="M117" s="4">
        <v>0</v>
      </c>
      <c r="N117" s="3">
        <v>1278</v>
      </c>
      <c r="O117" s="4">
        <v>4.5999999999999999E-2</v>
      </c>
      <c r="P117" s="1" t="s">
        <v>2721</v>
      </c>
    </row>
    <row r="118" spans="1:16">
      <c r="A118" s="1" t="s">
        <v>15</v>
      </c>
      <c r="B118" s="1">
        <v>11</v>
      </c>
      <c r="C118" s="1" t="s">
        <v>2926</v>
      </c>
      <c r="D118" s="1" t="s">
        <v>2927</v>
      </c>
      <c r="E118" s="2">
        <v>45967</v>
      </c>
      <c r="F118" s="1" t="s">
        <v>161</v>
      </c>
      <c r="G118" s="1" t="s">
        <v>2928</v>
      </c>
      <c r="H118" s="1" t="s">
        <v>2929</v>
      </c>
      <c r="I118" s="1">
        <v>2</v>
      </c>
      <c r="J118" s="3">
        <v>18874</v>
      </c>
      <c r="K118" s="3">
        <v>18010</v>
      </c>
      <c r="L118" s="1">
        <v>0</v>
      </c>
      <c r="M118" s="4">
        <v>0</v>
      </c>
      <c r="N118" s="1">
        <v>864</v>
      </c>
      <c r="O118" s="4">
        <v>4.5999999999999999E-2</v>
      </c>
      <c r="P118" s="1" t="s">
        <v>2721</v>
      </c>
    </row>
    <row r="119" spans="1:16">
      <c r="A119" s="1" t="s">
        <v>15</v>
      </c>
      <c r="B119" s="1">
        <v>11</v>
      </c>
      <c r="C119" s="1" t="s">
        <v>2930</v>
      </c>
      <c r="D119" s="1" t="s">
        <v>228</v>
      </c>
      <c r="E119" s="2">
        <v>45967</v>
      </c>
      <c r="F119" s="1" t="s">
        <v>53</v>
      </c>
      <c r="G119" s="1" t="s">
        <v>229</v>
      </c>
      <c r="H119" s="1" t="s">
        <v>230</v>
      </c>
      <c r="I119" s="1">
        <v>1</v>
      </c>
      <c r="J119" s="3">
        <v>9825</v>
      </c>
      <c r="K119" s="3">
        <v>9375</v>
      </c>
      <c r="L119" s="1">
        <v>0</v>
      </c>
      <c r="M119" s="4">
        <v>0</v>
      </c>
      <c r="N119" s="1">
        <v>450</v>
      </c>
      <c r="O119" s="4">
        <v>4.5999999999999999E-2</v>
      </c>
      <c r="P119" s="1" t="s">
        <v>2721</v>
      </c>
    </row>
    <row r="120" spans="1:16">
      <c r="A120" s="1" t="s">
        <v>15</v>
      </c>
      <c r="B120" s="1">
        <v>11</v>
      </c>
      <c r="C120" s="1" t="s">
        <v>2930</v>
      </c>
      <c r="D120" s="1" t="s">
        <v>1531</v>
      </c>
      <c r="E120" s="2">
        <v>45967</v>
      </c>
      <c r="F120" s="1" t="s">
        <v>53</v>
      </c>
      <c r="G120" s="1" t="s">
        <v>1532</v>
      </c>
      <c r="H120" s="1" t="s">
        <v>1533</v>
      </c>
      <c r="I120" s="1">
        <v>1</v>
      </c>
      <c r="J120" s="3">
        <v>8022</v>
      </c>
      <c r="K120" s="3">
        <v>7655</v>
      </c>
      <c r="L120" s="1">
        <v>0</v>
      </c>
      <c r="M120" s="4">
        <v>0</v>
      </c>
      <c r="N120" s="1">
        <v>367</v>
      </c>
      <c r="O120" s="4">
        <v>4.5999999999999999E-2</v>
      </c>
      <c r="P120" s="1" t="s">
        <v>2721</v>
      </c>
    </row>
    <row r="121" spans="1:16">
      <c r="A121" s="1" t="s">
        <v>15</v>
      </c>
      <c r="B121" s="1">
        <v>11</v>
      </c>
      <c r="C121" s="1" t="s">
        <v>2931</v>
      </c>
      <c r="D121" s="1" t="s">
        <v>270</v>
      </c>
      <c r="E121" s="2">
        <v>45967</v>
      </c>
      <c r="F121" s="1" t="s">
        <v>271</v>
      </c>
      <c r="G121" s="1" t="s">
        <v>272</v>
      </c>
      <c r="H121" s="1" t="s">
        <v>273</v>
      </c>
      <c r="I121" s="1">
        <v>1</v>
      </c>
      <c r="J121" s="3">
        <v>25067</v>
      </c>
      <c r="K121" s="3">
        <v>23919</v>
      </c>
      <c r="L121" s="1">
        <v>0</v>
      </c>
      <c r="M121" s="4">
        <v>0</v>
      </c>
      <c r="N121" s="3">
        <v>1148</v>
      </c>
      <c r="O121" s="4">
        <v>4.5999999999999999E-2</v>
      </c>
      <c r="P121" s="1" t="s">
        <v>2721</v>
      </c>
    </row>
    <row r="122" spans="1:16">
      <c r="A122" s="1" t="s">
        <v>15</v>
      </c>
      <c r="B122" s="1">
        <v>11</v>
      </c>
      <c r="C122" s="1" t="s">
        <v>2932</v>
      </c>
      <c r="D122" s="1" t="s">
        <v>2871</v>
      </c>
      <c r="E122" s="2">
        <v>45967</v>
      </c>
      <c r="F122" s="1" t="s">
        <v>441</v>
      </c>
      <c r="G122" s="1" t="s">
        <v>2872</v>
      </c>
      <c r="H122" s="1" t="s">
        <v>2873</v>
      </c>
      <c r="I122" s="1">
        <v>1</v>
      </c>
      <c r="J122" s="3">
        <v>31456</v>
      </c>
      <c r="K122" s="3">
        <v>30016</v>
      </c>
      <c r="L122" s="1">
        <v>0</v>
      </c>
      <c r="M122" s="4">
        <v>0</v>
      </c>
      <c r="N122" s="3">
        <v>1440</v>
      </c>
      <c r="O122" s="4">
        <v>4.5999999999999999E-2</v>
      </c>
      <c r="P122" s="1" t="s">
        <v>2721</v>
      </c>
    </row>
    <row r="123" spans="1:16">
      <c r="A123" s="1" t="s">
        <v>15</v>
      </c>
      <c r="B123" s="1">
        <v>11</v>
      </c>
      <c r="C123" s="1" t="s">
        <v>2933</v>
      </c>
      <c r="D123" s="1" t="s">
        <v>228</v>
      </c>
      <c r="E123" s="2">
        <v>45967</v>
      </c>
      <c r="F123" s="1" t="s">
        <v>53</v>
      </c>
      <c r="G123" s="1" t="s">
        <v>229</v>
      </c>
      <c r="H123" s="1" t="s">
        <v>230</v>
      </c>
      <c r="I123" s="1">
        <v>1</v>
      </c>
      <c r="J123" s="3">
        <v>9825</v>
      </c>
      <c r="K123" s="3">
        <v>9375</v>
      </c>
      <c r="L123" s="1">
        <v>0</v>
      </c>
      <c r="M123" s="4">
        <v>0</v>
      </c>
      <c r="N123" s="1">
        <v>450</v>
      </c>
      <c r="O123" s="4">
        <v>4.5999999999999999E-2</v>
      </c>
      <c r="P123" s="1" t="s">
        <v>2721</v>
      </c>
    </row>
    <row r="124" spans="1:16">
      <c r="A124" s="1" t="s">
        <v>15</v>
      </c>
      <c r="B124" s="1">
        <v>11</v>
      </c>
      <c r="C124" s="1" t="s">
        <v>2934</v>
      </c>
      <c r="D124" s="1" t="s">
        <v>906</v>
      </c>
      <c r="E124" s="2">
        <v>45967</v>
      </c>
      <c r="F124" s="1" t="s">
        <v>554</v>
      </c>
      <c r="G124" s="1" t="s">
        <v>907</v>
      </c>
      <c r="H124" s="1" t="s">
        <v>2935</v>
      </c>
      <c r="I124" s="1">
        <v>1</v>
      </c>
      <c r="J124" s="3">
        <v>23936</v>
      </c>
      <c r="K124" s="3">
        <v>22840</v>
      </c>
      <c r="L124" s="1">
        <v>0</v>
      </c>
      <c r="M124" s="4">
        <v>0</v>
      </c>
      <c r="N124" s="3">
        <v>1096</v>
      </c>
      <c r="O124" s="4">
        <v>4.5999999999999999E-2</v>
      </c>
      <c r="P124" s="1" t="s">
        <v>2721</v>
      </c>
    </row>
    <row r="125" spans="1:16">
      <c r="A125" s="1" t="s">
        <v>15</v>
      </c>
      <c r="B125" s="1">
        <v>11</v>
      </c>
      <c r="C125" s="1" t="s">
        <v>2936</v>
      </c>
      <c r="D125" s="1" t="s">
        <v>2937</v>
      </c>
      <c r="E125" s="2">
        <v>45967</v>
      </c>
      <c r="F125" s="1" t="s">
        <v>235</v>
      </c>
      <c r="G125" s="1" t="s">
        <v>2938</v>
      </c>
      <c r="H125" s="1" t="s">
        <v>2939</v>
      </c>
      <c r="I125" s="1">
        <v>1</v>
      </c>
      <c r="J125" s="3">
        <v>12238</v>
      </c>
      <c r="K125" s="3">
        <v>11678</v>
      </c>
      <c r="L125" s="1">
        <v>0</v>
      </c>
      <c r="M125" s="4">
        <v>0</v>
      </c>
      <c r="N125" s="1">
        <v>560</v>
      </c>
      <c r="O125" s="4">
        <v>4.5999999999999999E-2</v>
      </c>
      <c r="P125" s="1" t="s">
        <v>2721</v>
      </c>
    </row>
    <row r="126" spans="1:16">
      <c r="A126" s="1" t="s">
        <v>15</v>
      </c>
      <c r="B126" s="1">
        <v>11</v>
      </c>
      <c r="C126" s="1" t="s">
        <v>2940</v>
      </c>
      <c r="D126" s="1" t="s">
        <v>2941</v>
      </c>
      <c r="E126" s="2">
        <v>45967</v>
      </c>
      <c r="F126" s="1" t="s">
        <v>58</v>
      </c>
      <c r="G126" s="1" t="s">
        <v>2942</v>
      </c>
      <c r="H126" s="1" t="s">
        <v>2943</v>
      </c>
      <c r="I126" s="1">
        <v>1</v>
      </c>
      <c r="J126" s="3">
        <v>16711</v>
      </c>
      <c r="K126" s="3">
        <v>15946</v>
      </c>
      <c r="L126" s="1">
        <v>0</v>
      </c>
      <c r="M126" s="4">
        <v>0</v>
      </c>
      <c r="N126" s="1">
        <v>765</v>
      </c>
      <c r="O126" s="4">
        <v>4.5999999999999999E-2</v>
      </c>
      <c r="P126" s="1" t="s">
        <v>2721</v>
      </c>
    </row>
    <row r="127" spans="1:16">
      <c r="A127" s="1" t="s">
        <v>15</v>
      </c>
      <c r="B127" s="1">
        <v>11</v>
      </c>
      <c r="C127" s="1" t="s">
        <v>2944</v>
      </c>
      <c r="D127" s="1" t="s">
        <v>1007</v>
      </c>
      <c r="E127" s="2">
        <v>45967</v>
      </c>
      <c r="F127" s="1" t="s">
        <v>892</v>
      </c>
      <c r="G127" s="1" t="s">
        <v>1008</v>
      </c>
      <c r="H127" s="1" t="s">
        <v>1009</v>
      </c>
      <c r="I127" s="1">
        <v>1</v>
      </c>
      <c r="J127" s="3">
        <v>20643</v>
      </c>
      <c r="K127" s="3">
        <v>19698</v>
      </c>
      <c r="L127" s="1">
        <v>0</v>
      </c>
      <c r="M127" s="4">
        <v>0</v>
      </c>
      <c r="N127" s="1">
        <v>945</v>
      </c>
      <c r="O127" s="4">
        <v>4.5999999999999999E-2</v>
      </c>
      <c r="P127" s="1" t="s">
        <v>2721</v>
      </c>
    </row>
    <row r="128" spans="1:16">
      <c r="A128" s="1" t="s">
        <v>15</v>
      </c>
      <c r="B128" s="1">
        <v>11</v>
      </c>
      <c r="C128" s="1" t="s">
        <v>2945</v>
      </c>
      <c r="D128" s="1" t="s">
        <v>2946</v>
      </c>
      <c r="E128" s="2">
        <v>45967</v>
      </c>
      <c r="F128" s="1" t="s">
        <v>96</v>
      </c>
      <c r="G128" s="1" t="s">
        <v>2947</v>
      </c>
      <c r="H128" s="1" t="s">
        <v>2948</v>
      </c>
      <c r="I128" s="1">
        <v>1</v>
      </c>
      <c r="J128" s="3">
        <v>15284</v>
      </c>
      <c r="K128" s="3">
        <v>14584</v>
      </c>
      <c r="L128" s="1">
        <v>0</v>
      </c>
      <c r="M128" s="4">
        <v>0</v>
      </c>
      <c r="N128" s="1">
        <v>700</v>
      </c>
      <c r="O128" s="4">
        <v>4.5999999999999999E-2</v>
      </c>
      <c r="P128" s="1" t="s">
        <v>2721</v>
      </c>
    </row>
    <row r="129" spans="1:16">
      <c r="A129" s="1" t="s">
        <v>15</v>
      </c>
      <c r="B129" s="1">
        <v>11</v>
      </c>
      <c r="C129" s="1" t="s">
        <v>2949</v>
      </c>
      <c r="D129" s="1" t="s">
        <v>1250</v>
      </c>
      <c r="E129" s="2">
        <v>45967</v>
      </c>
      <c r="F129" s="1" t="s">
        <v>18</v>
      </c>
      <c r="G129" s="1" t="s">
        <v>1251</v>
      </c>
      <c r="H129" s="1" t="s">
        <v>20</v>
      </c>
      <c r="I129" s="1">
        <v>1</v>
      </c>
      <c r="J129" s="3">
        <v>8395</v>
      </c>
      <c r="K129" s="3">
        <v>8011</v>
      </c>
      <c r="L129" s="1">
        <v>0</v>
      </c>
      <c r="M129" s="4">
        <v>0</v>
      </c>
      <c r="N129" s="1">
        <v>384</v>
      </c>
      <c r="O129" s="4">
        <v>4.5999999999999999E-2</v>
      </c>
      <c r="P129" s="1" t="s">
        <v>2721</v>
      </c>
    </row>
    <row r="130" spans="1:16">
      <c r="A130" s="1" t="s">
        <v>15</v>
      </c>
      <c r="B130" s="1">
        <v>11</v>
      </c>
      <c r="C130" s="1" t="s">
        <v>2950</v>
      </c>
      <c r="D130" s="1" t="s">
        <v>367</v>
      </c>
      <c r="E130" s="2">
        <v>45967</v>
      </c>
      <c r="F130" s="1" t="s">
        <v>368</v>
      </c>
      <c r="G130" s="1" t="s">
        <v>369</v>
      </c>
      <c r="H130" s="1" t="s">
        <v>370</v>
      </c>
      <c r="I130" s="1">
        <v>1</v>
      </c>
      <c r="J130" s="3">
        <v>14470</v>
      </c>
      <c r="K130" s="3">
        <v>13807</v>
      </c>
      <c r="L130" s="1">
        <v>0</v>
      </c>
      <c r="M130" s="4">
        <v>0</v>
      </c>
      <c r="N130" s="1">
        <v>663</v>
      </c>
      <c r="O130" s="4">
        <v>4.5999999999999999E-2</v>
      </c>
      <c r="P130" s="1" t="s">
        <v>2721</v>
      </c>
    </row>
    <row r="131" spans="1:16">
      <c r="A131" s="1" t="s">
        <v>15</v>
      </c>
      <c r="B131" s="1">
        <v>11</v>
      </c>
      <c r="C131" s="1" t="s">
        <v>2950</v>
      </c>
      <c r="D131" s="1" t="s">
        <v>367</v>
      </c>
      <c r="E131" s="2">
        <v>45967</v>
      </c>
      <c r="F131" s="1" t="s">
        <v>368</v>
      </c>
      <c r="G131" s="1" t="s">
        <v>369</v>
      </c>
      <c r="H131" s="1" t="s">
        <v>1162</v>
      </c>
      <c r="I131" s="1">
        <v>1</v>
      </c>
      <c r="J131" s="3">
        <v>14470</v>
      </c>
      <c r="K131" s="3">
        <v>13807</v>
      </c>
      <c r="L131" s="1">
        <v>0</v>
      </c>
      <c r="M131" s="4">
        <v>0</v>
      </c>
      <c r="N131" s="1">
        <v>663</v>
      </c>
      <c r="O131" s="4">
        <v>4.5999999999999999E-2</v>
      </c>
      <c r="P131" s="1" t="s">
        <v>2721</v>
      </c>
    </row>
    <row r="132" spans="1:16">
      <c r="A132" s="1" t="s">
        <v>15</v>
      </c>
      <c r="B132" s="1">
        <v>11</v>
      </c>
      <c r="C132" s="1" t="s">
        <v>2951</v>
      </c>
      <c r="D132" s="1" t="s">
        <v>169</v>
      </c>
      <c r="E132" s="2">
        <v>45967</v>
      </c>
      <c r="F132" s="1" t="s">
        <v>53</v>
      </c>
      <c r="G132" s="1" t="s">
        <v>170</v>
      </c>
      <c r="H132" s="1" t="s">
        <v>171</v>
      </c>
      <c r="I132" s="1">
        <v>1</v>
      </c>
      <c r="J132" s="3">
        <v>14332</v>
      </c>
      <c r="K132" s="3">
        <v>13676</v>
      </c>
      <c r="L132" s="1">
        <v>0</v>
      </c>
      <c r="M132" s="4">
        <v>0</v>
      </c>
      <c r="N132" s="1">
        <v>656</v>
      </c>
      <c r="O132" s="4">
        <v>4.5999999999999999E-2</v>
      </c>
      <c r="P132" s="1" t="s">
        <v>2721</v>
      </c>
    </row>
    <row r="133" spans="1:16">
      <c r="A133" s="1" t="s">
        <v>15</v>
      </c>
      <c r="B133" s="1">
        <v>11</v>
      </c>
      <c r="C133" s="1" t="s">
        <v>2952</v>
      </c>
      <c r="D133" s="1" t="s">
        <v>95</v>
      </c>
      <c r="E133" s="2">
        <v>45967</v>
      </c>
      <c r="F133" s="1" t="s">
        <v>96</v>
      </c>
      <c r="G133" s="1" t="s">
        <v>97</v>
      </c>
      <c r="H133" s="1" t="s">
        <v>97</v>
      </c>
      <c r="I133" s="1">
        <v>1</v>
      </c>
      <c r="J133" s="3">
        <v>12571</v>
      </c>
      <c r="K133" s="3">
        <v>11995</v>
      </c>
      <c r="L133" s="1">
        <v>0</v>
      </c>
      <c r="M133" s="4">
        <v>0</v>
      </c>
      <c r="N133" s="1">
        <v>576</v>
      </c>
      <c r="O133" s="4">
        <v>4.5999999999999999E-2</v>
      </c>
      <c r="P133" s="1" t="s">
        <v>2721</v>
      </c>
    </row>
    <row r="134" spans="1:16">
      <c r="A134" s="1" t="s">
        <v>15</v>
      </c>
      <c r="B134" s="1">
        <v>11</v>
      </c>
      <c r="C134" s="1" t="s">
        <v>2953</v>
      </c>
      <c r="D134" s="1" t="s">
        <v>386</v>
      </c>
      <c r="E134" s="2">
        <v>45967</v>
      </c>
      <c r="F134" s="1" t="s">
        <v>368</v>
      </c>
      <c r="G134" s="1" t="s">
        <v>387</v>
      </c>
      <c r="H134" s="1" t="s">
        <v>388</v>
      </c>
      <c r="I134" s="1">
        <v>2</v>
      </c>
      <c r="J134" s="3">
        <v>17906</v>
      </c>
      <c r="K134" s="3">
        <v>17087</v>
      </c>
      <c r="L134" s="1">
        <v>0</v>
      </c>
      <c r="M134" s="4">
        <v>0</v>
      </c>
      <c r="N134" s="1">
        <v>819</v>
      </c>
      <c r="O134" s="4">
        <v>4.5999999999999999E-2</v>
      </c>
      <c r="P134" s="1" t="s">
        <v>2721</v>
      </c>
    </row>
    <row r="135" spans="1:16">
      <c r="A135" s="1" t="s">
        <v>15</v>
      </c>
      <c r="B135" s="1">
        <v>11</v>
      </c>
      <c r="C135" s="1" t="s">
        <v>2954</v>
      </c>
      <c r="D135" s="1" t="s">
        <v>244</v>
      </c>
      <c r="E135" s="2">
        <v>45967</v>
      </c>
      <c r="F135" s="1" t="s">
        <v>53</v>
      </c>
      <c r="G135" s="1" t="s">
        <v>245</v>
      </c>
      <c r="H135" s="1" t="s">
        <v>1166</v>
      </c>
      <c r="I135" s="1">
        <v>1</v>
      </c>
      <c r="J135" s="3">
        <v>8272</v>
      </c>
      <c r="K135" s="3">
        <v>7893</v>
      </c>
      <c r="L135" s="1">
        <v>0</v>
      </c>
      <c r="M135" s="4">
        <v>0</v>
      </c>
      <c r="N135" s="1">
        <v>379</v>
      </c>
      <c r="O135" s="4">
        <v>4.5999999999999999E-2</v>
      </c>
      <c r="P135" s="1" t="s">
        <v>2721</v>
      </c>
    </row>
    <row r="136" spans="1:16">
      <c r="A136" s="1" t="s">
        <v>15</v>
      </c>
      <c r="B136" s="1">
        <v>11</v>
      </c>
      <c r="C136" s="1" t="s">
        <v>2955</v>
      </c>
      <c r="D136" s="1" t="s">
        <v>1336</v>
      </c>
      <c r="E136" s="2">
        <v>45967</v>
      </c>
      <c r="F136" s="1" t="s">
        <v>1271</v>
      </c>
      <c r="G136" s="1" t="s">
        <v>1337</v>
      </c>
      <c r="H136" s="1" t="s">
        <v>2956</v>
      </c>
      <c r="I136" s="1">
        <v>1</v>
      </c>
      <c r="J136" s="3">
        <v>49347</v>
      </c>
      <c r="K136" s="3">
        <v>47088</v>
      </c>
      <c r="L136" s="1">
        <v>0</v>
      </c>
      <c r="M136" s="4">
        <v>0</v>
      </c>
      <c r="N136" s="3">
        <v>2259</v>
      </c>
      <c r="O136" s="4">
        <v>4.5999999999999999E-2</v>
      </c>
      <c r="P136" s="1" t="s">
        <v>2721</v>
      </c>
    </row>
    <row r="137" spans="1:16">
      <c r="A137" s="1" t="s">
        <v>15</v>
      </c>
      <c r="B137" s="1">
        <v>11</v>
      </c>
      <c r="C137" s="1" t="s">
        <v>2957</v>
      </c>
      <c r="D137" s="1" t="s">
        <v>862</v>
      </c>
      <c r="E137" s="2">
        <v>45967</v>
      </c>
      <c r="F137" s="1" t="s">
        <v>334</v>
      </c>
      <c r="G137" s="1" t="s">
        <v>863</v>
      </c>
      <c r="H137" s="1" t="s">
        <v>2958</v>
      </c>
      <c r="I137" s="1">
        <v>1</v>
      </c>
      <c r="J137" s="3">
        <v>16220</v>
      </c>
      <c r="K137" s="3">
        <v>15477</v>
      </c>
      <c r="L137" s="1">
        <v>0</v>
      </c>
      <c r="M137" s="4">
        <v>0</v>
      </c>
      <c r="N137" s="1">
        <v>743</v>
      </c>
      <c r="O137" s="4">
        <v>4.5999999999999999E-2</v>
      </c>
      <c r="P137" s="1" t="s">
        <v>2721</v>
      </c>
    </row>
    <row r="138" spans="1:16">
      <c r="A138" s="1" t="s">
        <v>15</v>
      </c>
      <c r="B138" s="1">
        <v>11</v>
      </c>
      <c r="C138" s="1" t="s">
        <v>2959</v>
      </c>
      <c r="D138" s="1" t="s">
        <v>1521</v>
      </c>
      <c r="E138" s="2">
        <v>45967</v>
      </c>
      <c r="F138" s="1" t="s">
        <v>235</v>
      </c>
      <c r="G138" s="1" t="s">
        <v>1522</v>
      </c>
      <c r="H138" s="1" t="s">
        <v>2884</v>
      </c>
      <c r="I138" s="1">
        <v>1</v>
      </c>
      <c r="J138" s="3">
        <v>14987</v>
      </c>
      <c r="K138" s="3">
        <v>14301</v>
      </c>
      <c r="L138" s="1">
        <v>0</v>
      </c>
      <c r="M138" s="4">
        <v>0</v>
      </c>
      <c r="N138" s="1">
        <v>686</v>
      </c>
      <c r="O138" s="4">
        <v>4.5999999999999999E-2</v>
      </c>
      <c r="P138" s="1" t="s">
        <v>2721</v>
      </c>
    </row>
    <row r="139" spans="1:16">
      <c r="A139" s="1" t="s">
        <v>15</v>
      </c>
      <c r="B139" s="1">
        <v>11</v>
      </c>
      <c r="C139" s="1" t="s">
        <v>2960</v>
      </c>
      <c r="D139" s="1" t="s">
        <v>125</v>
      </c>
      <c r="E139" s="2">
        <v>45967</v>
      </c>
      <c r="F139" s="1" t="s">
        <v>126</v>
      </c>
      <c r="G139" s="1" t="s">
        <v>127</v>
      </c>
      <c r="H139" s="1" t="s">
        <v>128</v>
      </c>
      <c r="I139" s="1">
        <v>1</v>
      </c>
      <c r="J139" s="3">
        <v>13959</v>
      </c>
      <c r="K139" s="3">
        <v>13320</v>
      </c>
      <c r="L139" s="1">
        <v>0</v>
      </c>
      <c r="M139" s="4">
        <v>0</v>
      </c>
      <c r="N139" s="1">
        <v>639</v>
      </c>
      <c r="O139" s="4">
        <v>4.5999999999999999E-2</v>
      </c>
      <c r="P139" s="1" t="s">
        <v>2721</v>
      </c>
    </row>
    <row r="140" spans="1:16">
      <c r="A140" s="1" t="s">
        <v>15</v>
      </c>
      <c r="B140" s="1">
        <v>11</v>
      </c>
      <c r="C140" s="1" t="s">
        <v>2961</v>
      </c>
      <c r="D140" s="1" t="s">
        <v>169</v>
      </c>
      <c r="E140" s="2">
        <v>45967</v>
      </c>
      <c r="F140" s="1" t="s">
        <v>53</v>
      </c>
      <c r="G140" s="1" t="s">
        <v>170</v>
      </c>
      <c r="H140" s="1" t="s">
        <v>171</v>
      </c>
      <c r="I140" s="1">
        <v>1</v>
      </c>
      <c r="J140" s="3">
        <v>14332</v>
      </c>
      <c r="K140" s="3">
        <v>13676</v>
      </c>
      <c r="L140" s="1">
        <v>0</v>
      </c>
      <c r="M140" s="4">
        <v>0</v>
      </c>
      <c r="N140" s="1">
        <v>656</v>
      </c>
      <c r="O140" s="4">
        <v>4.5999999999999999E-2</v>
      </c>
      <c r="P140" s="1" t="s">
        <v>2721</v>
      </c>
    </row>
    <row r="141" spans="1:16">
      <c r="A141" s="1" t="s">
        <v>15</v>
      </c>
      <c r="B141" s="1">
        <v>11</v>
      </c>
      <c r="C141" s="1" t="s">
        <v>2962</v>
      </c>
      <c r="D141" s="1" t="s">
        <v>492</v>
      </c>
      <c r="E141" s="2">
        <v>45967</v>
      </c>
      <c r="F141" s="1" t="s">
        <v>493</v>
      </c>
      <c r="G141" s="1" t="s">
        <v>494</v>
      </c>
      <c r="H141" s="1" t="s">
        <v>1120</v>
      </c>
      <c r="I141" s="1">
        <v>1</v>
      </c>
      <c r="J141" s="3">
        <v>7569</v>
      </c>
      <c r="K141" s="3">
        <v>7223</v>
      </c>
      <c r="L141" s="1">
        <v>0</v>
      </c>
      <c r="M141" s="4">
        <v>0</v>
      </c>
      <c r="N141" s="1">
        <v>346</v>
      </c>
      <c r="O141" s="4">
        <v>4.5999999999999999E-2</v>
      </c>
      <c r="P141" s="1" t="s">
        <v>2721</v>
      </c>
    </row>
    <row r="142" spans="1:16">
      <c r="A142" s="1" t="s">
        <v>15</v>
      </c>
      <c r="B142" s="1">
        <v>11</v>
      </c>
      <c r="C142" s="1" t="s">
        <v>2962</v>
      </c>
      <c r="D142" s="1" t="s">
        <v>492</v>
      </c>
      <c r="E142" s="2">
        <v>45967</v>
      </c>
      <c r="F142" s="1" t="s">
        <v>493</v>
      </c>
      <c r="G142" s="1" t="s">
        <v>494</v>
      </c>
      <c r="H142" s="1" t="s">
        <v>970</v>
      </c>
      <c r="I142" s="1">
        <v>1</v>
      </c>
      <c r="J142" s="3">
        <v>7569</v>
      </c>
      <c r="K142" s="3">
        <v>7223</v>
      </c>
      <c r="L142" s="1">
        <v>0</v>
      </c>
      <c r="M142" s="4">
        <v>0</v>
      </c>
      <c r="N142" s="1">
        <v>346</v>
      </c>
      <c r="O142" s="4">
        <v>4.5999999999999999E-2</v>
      </c>
      <c r="P142" s="1" t="s">
        <v>2721</v>
      </c>
    </row>
    <row r="143" spans="1:16">
      <c r="A143" s="1" t="s">
        <v>15</v>
      </c>
      <c r="B143" s="1">
        <v>11</v>
      </c>
      <c r="C143" s="1" t="s">
        <v>2962</v>
      </c>
      <c r="D143" s="1" t="s">
        <v>2963</v>
      </c>
      <c r="E143" s="2">
        <v>45967</v>
      </c>
      <c r="F143" s="1" t="s">
        <v>660</v>
      </c>
      <c r="G143" s="1" t="s">
        <v>2964</v>
      </c>
      <c r="H143" s="1" t="s">
        <v>2965</v>
      </c>
      <c r="I143" s="1">
        <v>1</v>
      </c>
      <c r="J143" s="3">
        <v>10027</v>
      </c>
      <c r="K143" s="3">
        <v>9568</v>
      </c>
      <c r="L143" s="1">
        <v>0</v>
      </c>
      <c r="M143" s="4">
        <v>0</v>
      </c>
      <c r="N143" s="1">
        <v>459</v>
      </c>
      <c r="O143" s="4">
        <v>4.5999999999999999E-2</v>
      </c>
      <c r="P143" s="1" t="s">
        <v>2721</v>
      </c>
    </row>
    <row r="144" spans="1:16">
      <c r="A144" s="1" t="s">
        <v>15</v>
      </c>
      <c r="B144" s="1">
        <v>11</v>
      </c>
      <c r="C144" s="1" t="s">
        <v>2966</v>
      </c>
      <c r="D144" s="1" t="s">
        <v>238</v>
      </c>
      <c r="E144" s="2">
        <v>45967</v>
      </c>
      <c r="F144" s="1" t="s">
        <v>239</v>
      </c>
      <c r="G144" s="1" t="s">
        <v>240</v>
      </c>
      <c r="H144" s="1" t="s">
        <v>242</v>
      </c>
      <c r="I144" s="1">
        <v>1</v>
      </c>
      <c r="J144" s="3">
        <v>11305</v>
      </c>
      <c r="K144" s="3">
        <v>10787</v>
      </c>
      <c r="L144" s="1">
        <v>0</v>
      </c>
      <c r="M144" s="4">
        <v>0</v>
      </c>
      <c r="N144" s="1">
        <v>518</v>
      </c>
      <c r="O144" s="4">
        <v>4.5999999999999999E-2</v>
      </c>
      <c r="P144" s="1" t="s">
        <v>2721</v>
      </c>
    </row>
    <row r="145" spans="1:16">
      <c r="A145" s="1" t="s">
        <v>15</v>
      </c>
      <c r="B145" s="1">
        <v>11</v>
      </c>
      <c r="C145" s="1" t="s">
        <v>2967</v>
      </c>
      <c r="D145" s="1" t="s">
        <v>17</v>
      </c>
      <c r="E145" s="2">
        <v>45967</v>
      </c>
      <c r="F145" s="1" t="s">
        <v>18</v>
      </c>
      <c r="G145" s="1" t="s">
        <v>19</v>
      </c>
      <c r="H145" s="1" t="s">
        <v>1428</v>
      </c>
      <c r="I145" s="1">
        <v>1</v>
      </c>
      <c r="J145" s="3">
        <v>7166</v>
      </c>
      <c r="K145" s="3">
        <v>6838</v>
      </c>
      <c r="L145" s="1">
        <v>0</v>
      </c>
      <c r="M145" s="4">
        <v>0</v>
      </c>
      <c r="N145" s="1">
        <v>328</v>
      </c>
      <c r="O145" s="4">
        <v>4.5999999999999999E-2</v>
      </c>
      <c r="P145" s="1" t="s">
        <v>2721</v>
      </c>
    </row>
    <row r="146" spans="1:16">
      <c r="A146" s="1" t="s">
        <v>15</v>
      </c>
      <c r="B146" s="1">
        <v>11</v>
      </c>
      <c r="C146" s="1" t="s">
        <v>2968</v>
      </c>
      <c r="D146" s="1" t="s">
        <v>22</v>
      </c>
      <c r="E146" s="2">
        <v>45967</v>
      </c>
      <c r="F146" s="1" t="s">
        <v>23</v>
      </c>
      <c r="G146" s="1" t="s">
        <v>24</v>
      </c>
      <c r="H146" s="1" t="s">
        <v>25</v>
      </c>
      <c r="I146" s="1">
        <v>2</v>
      </c>
      <c r="J146" s="3">
        <v>22609</v>
      </c>
      <c r="K146" s="3">
        <v>21574</v>
      </c>
      <c r="L146" s="1">
        <v>0</v>
      </c>
      <c r="M146" s="4">
        <v>0</v>
      </c>
      <c r="N146" s="3">
        <v>1035</v>
      </c>
      <c r="O146" s="4">
        <v>4.5999999999999999E-2</v>
      </c>
      <c r="P146" s="1" t="s">
        <v>2721</v>
      </c>
    </row>
    <row r="147" spans="1:16">
      <c r="A147" s="1" t="s">
        <v>15</v>
      </c>
      <c r="B147" s="1">
        <v>11</v>
      </c>
      <c r="C147" s="1" t="s">
        <v>2969</v>
      </c>
      <c r="D147" s="1" t="s">
        <v>27</v>
      </c>
      <c r="E147" s="2">
        <v>45967</v>
      </c>
      <c r="F147" s="1" t="s">
        <v>28</v>
      </c>
      <c r="G147" s="1" t="s">
        <v>29</v>
      </c>
      <c r="H147" s="1" t="s">
        <v>30</v>
      </c>
      <c r="I147" s="1">
        <v>2</v>
      </c>
      <c r="J147" s="3">
        <v>54065</v>
      </c>
      <c r="K147" s="3">
        <v>51590</v>
      </c>
      <c r="L147" s="1">
        <v>0</v>
      </c>
      <c r="M147" s="4">
        <v>0</v>
      </c>
      <c r="N147" s="3">
        <v>2475</v>
      </c>
      <c r="O147" s="4">
        <v>4.5999999999999999E-2</v>
      </c>
      <c r="P147" s="1" t="s">
        <v>2721</v>
      </c>
    </row>
    <row r="148" spans="1:16">
      <c r="A148" s="1" t="s">
        <v>15</v>
      </c>
      <c r="B148" s="1">
        <v>11</v>
      </c>
      <c r="C148" s="1" t="s">
        <v>2970</v>
      </c>
      <c r="D148" s="1" t="s">
        <v>2832</v>
      </c>
      <c r="E148" s="2">
        <v>45967</v>
      </c>
      <c r="F148" s="1" t="s">
        <v>96</v>
      </c>
      <c r="G148" s="1" t="s">
        <v>2833</v>
      </c>
      <c r="H148" s="1" t="s">
        <v>2056</v>
      </c>
      <c r="I148" s="1">
        <v>1</v>
      </c>
      <c r="J148" s="3">
        <v>8501</v>
      </c>
      <c r="K148" s="3">
        <v>8112</v>
      </c>
      <c r="L148" s="1">
        <v>0</v>
      </c>
      <c r="M148" s="4">
        <v>0</v>
      </c>
      <c r="N148" s="1">
        <v>389</v>
      </c>
      <c r="O148" s="4">
        <v>4.5999999999999999E-2</v>
      </c>
      <c r="P148" s="1" t="s">
        <v>2721</v>
      </c>
    </row>
    <row r="149" spans="1:16">
      <c r="A149" s="1" t="s">
        <v>15</v>
      </c>
      <c r="B149" s="1">
        <v>11</v>
      </c>
      <c r="C149" s="1" t="s">
        <v>2971</v>
      </c>
      <c r="D149" s="1" t="s">
        <v>86</v>
      </c>
      <c r="E149" s="2">
        <v>45967</v>
      </c>
      <c r="F149" s="1" t="s">
        <v>53</v>
      </c>
      <c r="G149" s="1" t="s">
        <v>87</v>
      </c>
      <c r="H149" s="1" t="s">
        <v>88</v>
      </c>
      <c r="I149" s="1">
        <v>3</v>
      </c>
      <c r="J149" s="3">
        <v>44869</v>
      </c>
      <c r="K149" s="3">
        <v>42815</v>
      </c>
      <c r="L149" s="1">
        <v>0</v>
      </c>
      <c r="M149" s="4">
        <v>0</v>
      </c>
      <c r="N149" s="3">
        <v>2054</v>
      </c>
      <c r="O149" s="4">
        <v>4.5999999999999999E-2</v>
      </c>
      <c r="P149" s="1" t="s">
        <v>2721</v>
      </c>
    </row>
    <row r="150" spans="1:16">
      <c r="A150" s="1" t="s">
        <v>15</v>
      </c>
      <c r="B150" s="1">
        <v>11</v>
      </c>
      <c r="C150" s="1" t="s">
        <v>2972</v>
      </c>
      <c r="D150" s="1" t="s">
        <v>2973</v>
      </c>
      <c r="E150" s="2">
        <v>45967</v>
      </c>
      <c r="F150" s="1" t="s">
        <v>646</v>
      </c>
      <c r="G150" s="1" t="s">
        <v>2974</v>
      </c>
      <c r="H150" s="1" t="s">
        <v>1921</v>
      </c>
      <c r="I150" s="1">
        <v>1</v>
      </c>
      <c r="J150" s="3">
        <v>136637</v>
      </c>
      <c r="K150" s="3">
        <v>130382</v>
      </c>
      <c r="L150" s="1">
        <v>0</v>
      </c>
      <c r="M150" s="4">
        <v>0</v>
      </c>
      <c r="N150" s="3">
        <v>6255</v>
      </c>
      <c r="O150" s="4">
        <v>4.5999999999999999E-2</v>
      </c>
      <c r="P150" s="1" t="s">
        <v>2721</v>
      </c>
    </row>
    <row r="151" spans="1:16">
      <c r="A151" s="1" t="s">
        <v>15</v>
      </c>
      <c r="B151" s="1">
        <v>11</v>
      </c>
      <c r="C151" s="1" t="s">
        <v>2975</v>
      </c>
      <c r="D151" s="1" t="s">
        <v>2976</v>
      </c>
      <c r="E151" s="2">
        <v>45967</v>
      </c>
      <c r="F151" s="1" t="s">
        <v>256</v>
      </c>
      <c r="G151" s="1" t="s">
        <v>2977</v>
      </c>
      <c r="H151" s="1" t="s">
        <v>2978</v>
      </c>
      <c r="I151" s="1">
        <v>1</v>
      </c>
      <c r="J151" s="3">
        <v>12209</v>
      </c>
      <c r="K151" s="3">
        <v>11650</v>
      </c>
      <c r="L151" s="1">
        <v>0</v>
      </c>
      <c r="M151" s="4">
        <v>0</v>
      </c>
      <c r="N151" s="1">
        <v>559</v>
      </c>
      <c r="O151" s="4">
        <v>4.5999999999999999E-2</v>
      </c>
      <c r="P151" s="1" t="s">
        <v>2721</v>
      </c>
    </row>
    <row r="152" spans="1:16">
      <c r="A152" s="1" t="s">
        <v>15</v>
      </c>
      <c r="B152" s="1">
        <v>11</v>
      </c>
      <c r="C152" s="1" t="s">
        <v>2979</v>
      </c>
      <c r="D152" s="1" t="s">
        <v>903</v>
      </c>
      <c r="E152" s="2">
        <v>45967</v>
      </c>
      <c r="F152" s="1" t="s">
        <v>23</v>
      </c>
      <c r="G152" s="1" t="s">
        <v>587</v>
      </c>
      <c r="H152" s="1" t="s">
        <v>588</v>
      </c>
      <c r="I152" s="1">
        <v>1</v>
      </c>
      <c r="J152" s="3">
        <v>13762</v>
      </c>
      <c r="K152" s="3">
        <v>13132</v>
      </c>
      <c r="L152" s="1">
        <v>0</v>
      </c>
      <c r="M152" s="4">
        <v>0</v>
      </c>
      <c r="N152" s="1">
        <v>630</v>
      </c>
      <c r="O152" s="4">
        <v>4.5999999999999999E-2</v>
      </c>
      <c r="P152" s="1" t="s">
        <v>2721</v>
      </c>
    </row>
    <row r="153" spans="1:16">
      <c r="A153" s="1" t="s">
        <v>15</v>
      </c>
      <c r="B153" s="1">
        <v>11</v>
      </c>
      <c r="C153" s="1" t="s">
        <v>2979</v>
      </c>
      <c r="D153" s="1" t="s">
        <v>903</v>
      </c>
      <c r="E153" s="2">
        <v>45967</v>
      </c>
      <c r="F153" s="1" t="s">
        <v>23</v>
      </c>
      <c r="G153" s="1" t="s">
        <v>587</v>
      </c>
      <c r="H153" s="1" t="s">
        <v>904</v>
      </c>
      <c r="I153" s="1">
        <v>1</v>
      </c>
      <c r="J153" s="3">
        <v>13762</v>
      </c>
      <c r="K153" s="3">
        <v>13132</v>
      </c>
      <c r="L153" s="1">
        <v>0</v>
      </c>
      <c r="M153" s="4">
        <v>0</v>
      </c>
      <c r="N153" s="1">
        <v>630</v>
      </c>
      <c r="O153" s="4">
        <v>4.5999999999999999E-2</v>
      </c>
      <c r="P153" s="1" t="s">
        <v>2721</v>
      </c>
    </row>
    <row r="154" spans="1:16">
      <c r="A154" s="1" t="s">
        <v>15</v>
      </c>
      <c r="B154" s="1">
        <v>11</v>
      </c>
      <c r="C154" s="1" t="s">
        <v>2980</v>
      </c>
      <c r="D154" s="1" t="s">
        <v>2981</v>
      </c>
      <c r="E154" s="2">
        <v>45967</v>
      </c>
      <c r="F154" s="1" t="s">
        <v>1665</v>
      </c>
      <c r="G154" s="1" t="s">
        <v>2982</v>
      </c>
      <c r="H154" s="1" t="s">
        <v>2983</v>
      </c>
      <c r="I154" s="1">
        <v>1</v>
      </c>
      <c r="J154" s="3">
        <v>27848</v>
      </c>
      <c r="K154" s="3">
        <v>26574</v>
      </c>
      <c r="L154" s="1">
        <v>0</v>
      </c>
      <c r="M154" s="4">
        <v>0</v>
      </c>
      <c r="N154" s="3">
        <v>1274</v>
      </c>
      <c r="O154" s="4">
        <v>4.5999999999999999E-2</v>
      </c>
      <c r="P154" s="1" t="s">
        <v>2721</v>
      </c>
    </row>
    <row r="155" spans="1:16">
      <c r="A155" s="1" t="s">
        <v>15</v>
      </c>
      <c r="B155" s="1">
        <v>11</v>
      </c>
      <c r="C155" s="1" t="s">
        <v>2984</v>
      </c>
      <c r="D155" s="1" t="s">
        <v>2559</v>
      </c>
      <c r="E155" s="2">
        <v>45967</v>
      </c>
      <c r="F155" s="1" t="s">
        <v>276</v>
      </c>
      <c r="G155" s="1" t="s">
        <v>2560</v>
      </c>
      <c r="H155" s="1" t="s">
        <v>2561</v>
      </c>
      <c r="I155" s="1">
        <v>1</v>
      </c>
      <c r="J155" s="3">
        <v>28505</v>
      </c>
      <c r="K155" s="3">
        <v>27200</v>
      </c>
      <c r="L155" s="1">
        <v>0</v>
      </c>
      <c r="M155" s="4">
        <v>0</v>
      </c>
      <c r="N155" s="3">
        <v>1305</v>
      </c>
      <c r="O155" s="4">
        <v>4.5999999999999999E-2</v>
      </c>
      <c r="P155" s="1" t="s">
        <v>2721</v>
      </c>
    </row>
    <row r="156" spans="1:16">
      <c r="A156" s="1" t="s">
        <v>15</v>
      </c>
      <c r="B156" s="1">
        <v>11</v>
      </c>
      <c r="C156" s="1" t="s">
        <v>2985</v>
      </c>
      <c r="D156" s="1" t="s">
        <v>2986</v>
      </c>
      <c r="E156" s="2">
        <v>45967</v>
      </c>
      <c r="F156" s="1" t="s">
        <v>360</v>
      </c>
      <c r="G156" s="1" t="s">
        <v>2987</v>
      </c>
      <c r="H156" s="1" t="s">
        <v>2988</v>
      </c>
      <c r="I156" s="1">
        <v>1</v>
      </c>
      <c r="J156" s="3">
        <v>9732</v>
      </c>
      <c r="K156" s="3">
        <v>9286</v>
      </c>
      <c r="L156" s="1">
        <v>0</v>
      </c>
      <c r="M156" s="4">
        <v>0</v>
      </c>
      <c r="N156" s="1">
        <v>446</v>
      </c>
      <c r="O156" s="4">
        <v>4.5999999999999999E-2</v>
      </c>
      <c r="P156" s="1" t="s">
        <v>2721</v>
      </c>
    </row>
    <row r="157" spans="1:16">
      <c r="A157" s="1" t="s">
        <v>15</v>
      </c>
      <c r="B157" s="1">
        <v>11</v>
      </c>
      <c r="C157" s="1" t="s">
        <v>2989</v>
      </c>
      <c r="D157" s="1" t="s">
        <v>169</v>
      </c>
      <c r="E157" s="2">
        <v>45967</v>
      </c>
      <c r="F157" s="1" t="s">
        <v>53</v>
      </c>
      <c r="G157" s="1" t="s">
        <v>170</v>
      </c>
      <c r="H157" s="1" t="s">
        <v>171</v>
      </c>
      <c r="I157" s="1">
        <v>1</v>
      </c>
      <c r="J157" s="3">
        <v>14332</v>
      </c>
      <c r="K157" s="3">
        <v>13676</v>
      </c>
      <c r="L157" s="1">
        <v>0</v>
      </c>
      <c r="M157" s="4">
        <v>0</v>
      </c>
      <c r="N157" s="1">
        <v>656</v>
      </c>
      <c r="O157" s="4">
        <v>4.5999999999999999E-2</v>
      </c>
      <c r="P157" s="1" t="s">
        <v>2721</v>
      </c>
    </row>
    <row r="158" spans="1:16">
      <c r="A158" s="1" t="s">
        <v>15</v>
      </c>
      <c r="B158" s="1">
        <v>11</v>
      </c>
      <c r="C158" s="1" t="s">
        <v>2990</v>
      </c>
      <c r="D158" s="1" t="s">
        <v>1531</v>
      </c>
      <c r="E158" s="2">
        <v>45967</v>
      </c>
      <c r="F158" s="1" t="s">
        <v>53</v>
      </c>
      <c r="G158" s="1" t="s">
        <v>1532</v>
      </c>
      <c r="H158" s="1" t="s">
        <v>1533</v>
      </c>
      <c r="I158" s="1">
        <v>1</v>
      </c>
      <c r="J158" s="3">
        <v>8022</v>
      </c>
      <c r="K158" s="3">
        <v>7655</v>
      </c>
      <c r="L158" s="1">
        <v>0</v>
      </c>
      <c r="M158" s="4">
        <v>0</v>
      </c>
      <c r="N158" s="1">
        <v>367</v>
      </c>
      <c r="O158" s="4">
        <v>4.5999999999999999E-2</v>
      </c>
      <c r="P158" s="1" t="s">
        <v>2721</v>
      </c>
    </row>
    <row r="159" spans="1:16">
      <c r="A159" s="1" t="s">
        <v>15</v>
      </c>
      <c r="B159" s="1">
        <v>11</v>
      </c>
      <c r="C159" s="1" t="s">
        <v>2991</v>
      </c>
      <c r="D159" s="1" t="s">
        <v>208</v>
      </c>
      <c r="E159" s="2">
        <v>45967</v>
      </c>
      <c r="F159" s="1" t="s">
        <v>126</v>
      </c>
      <c r="G159" s="1" t="s">
        <v>209</v>
      </c>
      <c r="H159" s="1" t="s">
        <v>210</v>
      </c>
      <c r="I159" s="1">
        <v>1</v>
      </c>
      <c r="J159" s="3">
        <v>19267</v>
      </c>
      <c r="K159" s="3">
        <v>18385</v>
      </c>
      <c r="L159" s="1">
        <v>0</v>
      </c>
      <c r="M159" s="4">
        <v>0</v>
      </c>
      <c r="N159" s="1">
        <v>882</v>
      </c>
      <c r="O159" s="4">
        <v>4.5999999999999999E-2</v>
      </c>
      <c r="P159" s="1" t="s">
        <v>2721</v>
      </c>
    </row>
    <row r="160" spans="1:16">
      <c r="A160" s="1" t="s">
        <v>15</v>
      </c>
      <c r="B160" s="1">
        <v>11</v>
      </c>
      <c r="C160" s="1" t="s">
        <v>2991</v>
      </c>
      <c r="D160" s="1" t="s">
        <v>574</v>
      </c>
      <c r="E160" s="2">
        <v>45967</v>
      </c>
      <c r="F160" s="1" t="s">
        <v>126</v>
      </c>
      <c r="G160" s="1" t="s">
        <v>575</v>
      </c>
      <c r="H160" s="1" t="s">
        <v>576</v>
      </c>
      <c r="I160" s="1">
        <v>1</v>
      </c>
      <c r="J160" s="3">
        <v>15237</v>
      </c>
      <c r="K160" s="3">
        <v>14539</v>
      </c>
      <c r="L160" s="1">
        <v>0</v>
      </c>
      <c r="M160" s="4">
        <v>0</v>
      </c>
      <c r="N160" s="1">
        <v>698</v>
      </c>
      <c r="O160" s="4">
        <v>4.5999999999999999E-2</v>
      </c>
      <c r="P160" s="1" t="s">
        <v>2721</v>
      </c>
    </row>
    <row r="161" spans="1:16">
      <c r="A161" s="1" t="s">
        <v>577</v>
      </c>
      <c r="B161" s="1">
        <v>11</v>
      </c>
      <c r="C161" s="1" t="s">
        <v>2992</v>
      </c>
      <c r="D161" s="1" t="s">
        <v>2993</v>
      </c>
      <c r="E161" s="2">
        <v>45967</v>
      </c>
      <c r="F161" s="1" t="s">
        <v>360</v>
      </c>
      <c r="G161" s="1" t="s">
        <v>2987</v>
      </c>
      <c r="H161" s="1" t="s">
        <v>2994</v>
      </c>
      <c r="I161" s="1">
        <v>1</v>
      </c>
      <c r="J161" s="3">
        <v>9732</v>
      </c>
      <c r="K161" s="3">
        <v>9286</v>
      </c>
      <c r="L161" s="1">
        <v>0</v>
      </c>
      <c r="M161" s="4">
        <v>0</v>
      </c>
      <c r="N161" s="1">
        <v>446</v>
      </c>
      <c r="O161" s="4">
        <v>4.5999999999999999E-2</v>
      </c>
      <c r="P161" s="1" t="s">
        <v>2721</v>
      </c>
    </row>
    <row r="162" spans="1:16">
      <c r="A162" s="1" t="s">
        <v>577</v>
      </c>
      <c r="B162" s="1">
        <v>11</v>
      </c>
      <c r="C162" s="1" t="s">
        <v>2995</v>
      </c>
      <c r="D162" s="1" t="s">
        <v>1700</v>
      </c>
      <c r="E162" s="2">
        <v>45967</v>
      </c>
      <c r="F162" s="1" t="s">
        <v>395</v>
      </c>
      <c r="G162" s="1" t="s">
        <v>2803</v>
      </c>
      <c r="H162" s="1" t="s">
        <v>2804</v>
      </c>
      <c r="I162" s="1">
        <v>1</v>
      </c>
      <c r="J162" s="3">
        <v>18874</v>
      </c>
      <c r="K162" s="3">
        <v>18010</v>
      </c>
      <c r="L162" s="1">
        <v>0</v>
      </c>
      <c r="M162" s="4">
        <v>0</v>
      </c>
      <c r="N162" s="1">
        <v>864</v>
      </c>
      <c r="O162" s="4">
        <v>4.5999999999999999E-2</v>
      </c>
      <c r="P162" s="1" t="s">
        <v>2721</v>
      </c>
    </row>
    <row r="163" spans="1:16">
      <c r="A163" s="1" t="s">
        <v>577</v>
      </c>
      <c r="B163" s="1">
        <v>11</v>
      </c>
      <c r="C163" s="1" t="s">
        <v>2996</v>
      </c>
      <c r="D163" s="1" t="s">
        <v>1788</v>
      </c>
      <c r="E163" s="2">
        <v>45967</v>
      </c>
      <c r="F163" s="1" t="s">
        <v>96</v>
      </c>
      <c r="G163" s="1" t="s">
        <v>105</v>
      </c>
      <c r="H163" s="1" t="s">
        <v>106</v>
      </c>
      <c r="I163" s="1">
        <v>1</v>
      </c>
      <c r="J163" s="3">
        <v>21614</v>
      </c>
      <c r="K163" s="3">
        <v>20625</v>
      </c>
      <c r="L163" s="1">
        <v>0</v>
      </c>
      <c r="M163" s="4">
        <v>0</v>
      </c>
      <c r="N163" s="1">
        <v>989</v>
      </c>
      <c r="O163" s="4">
        <v>4.5999999999999999E-2</v>
      </c>
      <c r="P163" s="1" t="s">
        <v>2721</v>
      </c>
    </row>
    <row r="164" spans="1:16">
      <c r="A164" s="1" t="s">
        <v>577</v>
      </c>
      <c r="B164" s="1">
        <v>11</v>
      </c>
      <c r="C164" s="1" t="s">
        <v>2997</v>
      </c>
      <c r="D164" s="1" t="s">
        <v>586</v>
      </c>
      <c r="E164" s="2">
        <v>45967</v>
      </c>
      <c r="F164" s="1" t="s">
        <v>23</v>
      </c>
      <c r="G164" s="1" t="s">
        <v>587</v>
      </c>
      <c r="H164" s="1" t="s">
        <v>588</v>
      </c>
      <c r="I164" s="1">
        <v>1</v>
      </c>
      <c r="J164" s="3">
        <v>13762</v>
      </c>
      <c r="K164" s="3">
        <v>13132</v>
      </c>
      <c r="L164" s="1">
        <v>0</v>
      </c>
      <c r="M164" s="4">
        <v>0</v>
      </c>
      <c r="N164" s="1">
        <v>630</v>
      </c>
      <c r="O164" s="4">
        <v>4.5999999999999999E-2</v>
      </c>
      <c r="P164" s="1" t="s">
        <v>2721</v>
      </c>
    </row>
    <row r="165" spans="1:16">
      <c r="A165" s="1" t="s">
        <v>577</v>
      </c>
      <c r="B165" s="1">
        <v>11</v>
      </c>
      <c r="C165" s="1" t="s">
        <v>2998</v>
      </c>
      <c r="D165" s="1" t="s">
        <v>2999</v>
      </c>
      <c r="E165" s="2">
        <v>45967</v>
      </c>
      <c r="F165" s="1" t="s">
        <v>96</v>
      </c>
      <c r="G165" s="1" t="s">
        <v>3000</v>
      </c>
      <c r="H165" s="1" t="s">
        <v>3001</v>
      </c>
      <c r="I165" s="1">
        <v>1</v>
      </c>
      <c r="J165" s="3">
        <v>13023</v>
      </c>
      <c r="K165" s="3">
        <v>12427</v>
      </c>
      <c r="L165" s="1">
        <v>0</v>
      </c>
      <c r="M165" s="4">
        <v>0</v>
      </c>
      <c r="N165" s="1">
        <v>596</v>
      </c>
      <c r="O165" s="4">
        <v>4.5999999999999999E-2</v>
      </c>
      <c r="P165" s="1" t="s">
        <v>2721</v>
      </c>
    </row>
    <row r="166" spans="1:16">
      <c r="A166" s="1" t="s">
        <v>577</v>
      </c>
      <c r="B166" s="1">
        <v>11</v>
      </c>
      <c r="C166" s="1" t="s">
        <v>3002</v>
      </c>
      <c r="D166" s="1" t="s">
        <v>3003</v>
      </c>
      <c r="E166" s="2">
        <v>45967</v>
      </c>
      <c r="F166" s="1" t="s">
        <v>1200</v>
      </c>
      <c r="G166" s="1" t="s">
        <v>1201</v>
      </c>
      <c r="H166" s="1" t="s">
        <v>1202</v>
      </c>
      <c r="I166" s="1">
        <v>1</v>
      </c>
      <c r="J166" s="3">
        <v>27033</v>
      </c>
      <c r="K166" s="3">
        <v>25795</v>
      </c>
      <c r="L166" s="1">
        <v>0</v>
      </c>
      <c r="M166" s="4">
        <v>0</v>
      </c>
      <c r="N166" s="3">
        <v>1238</v>
      </c>
      <c r="O166" s="4">
        <v>4.5999999999999999E-2</v>
      </c>
      <c r="P166" s="1" t="s">
        <v>2721</v>
      </c>
    </row>
    <row r="167" spans="1:16">
      <c r="A167" s="1" t="s">
        <v>577</v>
      </c>
      <c r="B167" s="1">
        <v>11</v>
      </c>
      <c r="C167" s="1" t="s">
        <v>3004</v>
      </c>
      <c r="D167" s="1" t="s">
        <v>1776</v>
      </c>
      <c r="E167" s="2">
        <v>45967</v>
      </c>
      <c r="F167" s="1" t="s">
        <v>483</v>
      </c>
      <c r="G167" s="1" t="s">
        <v>484</v>
      </c>
      <c r="H167" s="1" t="s">
        <v>1039</v>
      </c>
      <c r="I167" s="1">
        <v>1</v>
      </c>
      <c r="J167" s="3">
        <v>27426</v>
      </c>
      <c r="K167" s="3">
        <v>26170</v>
      </c>
      <c r="L167" s="1">
        <v>0</v>
      </c>
      <c r="M167" s="4">
        <v>0</v>
      </c>
      <c r="N167" s="3">
        <v>1256</v>
      </c>
      <c r="O167" s="4">
        <v>4.5999999999999999E-2</v>
      </c>
      <c r="P167" s="1" t="s">
        <v>2721</v>
      </c>
    </row>
    <row r="168" spans="1:16">
      <c r="A168" s="1" t="s">
        <v>577</v>
      </c>
      <c r="B168" s="1">
        <v>11</v>
      </c>
      <c r="C168" s="1" t="s">
        <v>3005</v>
      </c>
      <c r="D168" s="1" t="s">
        <v>2993</v>
      </c>
      <c r="E168" s="2">
        <v>45967</v>
      </c>
      <c r="F168" s="1" t="s">
        <v>360</v>
      </c>
      <c r="G168" s="1" t="s">
        <v>2987</v>
      </c>
      <c r="H168" s="1" t="s">
        <v>2994</v>
      </c>
      <c r="I168" s="1">
        <v>1</v>
      </c>
      <c r="J168" s="3">
        <v>9732</v>
      </c>
      <c r="K168" s="3">
        <v>9286</v>
      </c>
      <c r="L168" s="1">
        <v>0</v>
      </c>
      <c r="M168" s="4">
        <v>0</v>
      </c>
      <c r="N168" s="1">
        <v>446</v>
      </c>
      <c r="O168" s="4">
        <v>4.5999999999999999E-2</v>
      </c>
      <c r="P168" s="1" t="s">
        <v>2721</v>
      </c>
    </row>
    <row r="169" spans="1:16">
      <c r="A169" s="1" t="s">
        <v>577</v>
      </c>
      <c r="B169" s="1">
        <v>11</v>
      </c>
      <c r="C169" s="1" t="s">
        <v>3006</v>
      </c>
      <c r="D169" s="1" t="s">
        <v>2999</v>
      </c>
      <c r="E169" s="2">
        <v>45967</v>
      </c>
      <c r="F169" s="1" t="s">
        <v>96</v>
      </c>
      <c r="G169" s="1" t="s">
        <v>3000</v>
      </c>
      <c r="H169" s="1" t="s">
        <v>3001</v>
      </c>
      <c r="I169" s="1">
        <v>1</v>
      </c>
      <c r="J169" s="3">
        <v>13023</v>
      </c>
      <c r="K169" s="3">
        <v>12427</v>
      </c>
      <c r="L169" s="1">
        <v>0</v>
      </c>
      <c r="M169" s="4">
        <v>0</v>
      </c>
      <c r="N169" s="1">
        <v>596</v>
      </c>
      <c r="O169" s="4">
        <v>4.5999999999999999E-2</v>
      </c>
      <c r="P169" s="1" t="s">
        <v>2721</v>
      </c>
    </row>
    <row r="170" spans="1:16">
      <c r="A170" s="1" t="s">
        <v>577</v>
      </c>
      <c r="B170" s="1">
        <v>11</v>
      </c>
      <c r="C170" s="1" t="s">
        <v>3007</v>
      </c>
      <c r="D170" s="1" t="s">
        <v>2993</v>
      </c>
      <c r="E170" s="2">
        <v>45967</v>
      </c>
      <c r="F170" s="1" t="s">
        <v>360</v>
      </c>
      <c r="G170" s="1" t="s">
        <v>2987</v>
      </c>
      <c r="H170" s="1" t="s">
        <v>3008</v>
      </c>
      <c r="I170" s="1">
        <v>1</v>
      </c>
      <c r="J170" s="3">
        <v>9732</v>
      </c>
      <c r="K170" s="3">
        <v>9286</v>
      </c>
      <c r="L170" s="1">
        <v>0</v>
      </c>
      <c r="M170" s="4">
        <v>0</v>
      </c>
      <c r="N170" s="1">
        <v>446</v>
      </c>
      <c r="O170" s="4">
        <v>4.5999999999999999E-2</v>
      </c>
      <c r="P170" s="1" t="s">
        <v>2721</v>
      </c>
    </row>
    <row r="171" spans="1:16">
      <c r="A171" s="1" t="s">
        <v>577</v>
      </c>
      <c r="B171" s="1">
        <v>11</v>
      </c>
      <c r="C171" s="1" t="s">
        <v>3009</v>
      </c>
      <c r="D171" s="1" t="s">
        <v>3010</v>
      </c>
      <c r="E171" s="2">
        <v>45967</v>
      </c>
      <c r="F171" s="1" t="s">
        <v>1411</v>
      </c>
      <c r="G171" s="1" t="s">
        <v>1412</v>
      </c>
      <c r="H171" s="1" t="s">
        <v>3011</v>
      </c>
      <c r="I171" s="1">
        <v>1</v>
      </c>
      <c r="J171" s="3">
        <v>26186</v>
      </c>
      <c r="K171" s="3">
        <v>24987</v>
      </c>
      <c r="L171" s="1">
        <v>0</v>
      </c>
      <c r="M171" s="4">
        <v>0</v>
      </c>
      <c r="N171" s="3">
        <v>1199</v>
      </c>
      <c r="O171" s="4">
        <v>4.5999999999999999E-2</v>
      </c>
      <c r="P171" s="1" t="s">
        <v>2721</v>
      </c>
    </row>
    <row r="172" spans="1:16">
      <c r="A172" s="1" t="s">
        <v>602</v>
      </c>
      <c r="B172" s="1">
        <v>11</v>
      </c>
      <c r="C172" s="1">
        <v>5100150643811</v>
      </c>
      <c r="D172" s="1" t="s">
        <v>607</v>
      </c>
      <c r="E172" s="2">
        <v>45967</v>
      </c>
      <c r="F172" s="1" t="s">
        <v>604</v>
      </c>
      <c r="G172" s="1" t="s">
        <v>608</v>
      </c>
      <c r="H172" s="1" t="s">
        <v>609</v>
      </c>
      <c r="I172" s="1">
        <v>3</v>
      </c>
      <c r="J172" s="3">
        <v>42800</v>
      </c>
      <c r="K172" s="3">
        <v>32200</v>
      </c>
      <c r="L172" s="3">
        <v>4965</v>
      </c>
      <c r="M172" s="4">
        <v>0.11600000000000001</v>
      </c>
      <c r="N172" s="3">
        <v>5635</v>
      </c>
      <c r="O172" s="4">
        <v>0.13200000000000001</v>
      </c>
      <c r="P172" s="1" t="s">
        <v>2721</v>
      </c>
    </row>
    <row r="173" spans="1:16">
      <c r="A173" s="1" t="s">
        <v>602</v>
      </c>
      <c r="B173" s="1">
        <v>11</v>
      </c>
      <c r="C173" s="1">
        <v>27100150485146</v>
      </c>
      <c r="D173" s="1" t="s">
        <v>621</v>
      </c>
      <c r="E173" s="2">
        <v>45967</v>
      </c>
      <c r="F173" s="1" t="s">
        <v>604</v>
      </c>
      <c r="G173" s="1" t="s">
        <v>622</v>
      </c>
      <c r="H173" s="1" t="s">
        <v>3012</v>
      </c>
      <c r="I173" s="1">
        <v>1</v>
      </c>
      <c r="J173" s="3">
        <v>8900</v>
      </c>
      <c r="K173" s="3">
        <v>3675</v>
      </c>
      <c r="L173" s="3">
        <v>1032</v>
      </c>
      <c r="M173" s="4">
        <v>0.11600000000000001</v>
      </c>
      <c r="N173" s="3">
        <v>4193</v>
      </c>
      <c r="O173" s="4">
        <v>0.47099999999999997</v>
      </c>
      <c r="P173" s="1" t="s">
        <v>2721</v>
      </c>
    </row>
    <row r="174" spans="1:16">
      <c r="A174" s="1" t="s">
        <v>602</v>
      </c>
      <c r="B174" s="1">
        <v>11</v>
      </c>
      <c r="C174" s="1">
        <v>3100151342242</v>
      </c>
      <c r="D174" s="1" t="s">
        <v>2624</v>
      </c>
      <c r="E174" s="2">
        <v>45967</v>
      </c>
      <c r="F174" s="1" t="s">
        <v>604</v>
      </c>
      <c r="G174" s="1" t="s">
        <v>2625</v>
      </c>
      <c r="H174" s="1" t="s">
        <v>3013</v>
      </c>
      <c r="I174" s="1">
        <v>5</v>
      </c>
      <c r="J174" s="3">
        <v>50800</v>
      </c>
      <c r="K174" s="3">
        <v>38250</v>
      </c>
      <c r="L174" s="3">
        <v>5893</v>
      </c>
      <c r="M174" s="4">
        <v>0.11600000000000001</v>
      </c>
      <c r="N174" s="3">
        <v>6657</v>
      </c>
      <c r="O174" s="4">
        <v>0.13100000000000001</v>
      </c>
      <c r="P174" s="1" t="s">
        <v>2721</v>
      </c>
    </row>
    <row r="175" spans="1:16">
      <c r="A175" s="1" t="s">
        <v>602</v>
      </c>
      <c r="B175" s="1">
        <v>11</v>
      </c>
      <c r="C175" s="1">
        <v>25100151300816</v>
      </c>
      <c r="D175" s="1" t="s">
        <v>621</v>
      </c>
      <c r="E175" s="2">
        <v>45967</v>
      </c>
      <c r="F175" s="1" t="s">
        <v>604</v>
      </c>
      <c r="G175" s="1" t="s">
        <v>622</v>
      </c>
      <c r="H175" s="1" t="s">
        <v>3012</v>
      </c>
      <c r="I175" s="1">
        <v>1</v>
      </c>
      <c r="J175" s="3">
        <v>8900</v>
      </c>
      <c r="K175" s="3">
        <v>3675</v>
      </c>
      <c r="L175" s="3">
        <v>1032</v>
      </c>
      <c r="M175" s="4">
        <v>0.11600000000000001</v>
      </c>
      <c r="N175" s="3">
        <v>4193</v>
      </c>
      <c r="O175" s="4">
        <v>0.47099999999999997</v>
      </c>
      <c r="P175" s="1" t="s">
        <v>2721</v>
      </c>
    </row>
    <row r="176" spans="1:16">
      <c r="A176" s="1" t="s">
        <v>602</v>
      </c>
      <c r="B176" s="1">
        <v>11</v>
      </c>
      <c r="C176" s="1">
        <v>27100150572519</v>
      </c>
      <c r="D176" s="1" t="s">
        <v>621</v>
      </c>
      <c r="E176" s="2">
        <v>45967</v>
      </c>
      <c r="F176" s="1" t="s">
        <v>604</v>
      </c>
      <c r="G176" s="1" t="s">
        <v>622</v>
      </c>
      <c r="H176" s="1" t="s">
        <v>3012</v>
      </c>
      <c r="I176" s="1">
        <v>1</v>
      </c>
      <c r="J176" s="3">
        <v>8900</v>
      </c>
      <c r="K176" s="3">
        <v>3675</v>
      </c>
      <c r="L176" s="3">
        <v>1032</v>
      </c>
      <c r="M176" s="4">
        <v>0.11600000000000001</v>
      </c>
      <c r="N176" s="3">
        <v>4193</v>
      </c>
      <c r="O176" s="4">
        <v>0.47099999999999997</v>
      </c>
      <c r="P176" s="1" t="s">
        <v>2721</v>
      </c>
    </row>
    <row r="177" spans="1:16">
      <c r="A177" s="1" t="s">
        <v>616</v>
      </c>
      <c r="B177" s="1">
        <v>11</v>
      </c>
      <c r="C177" s="1">
        <v>2025110519937480</v>
      </c>
      <c r="D177" s="1" t="s">
        <v>3014</v>
      </c>
      <c r="E177" s="2">
        <v>45967</v>
      </c>
      <c r="F177" s="1" t="s">
        <v>604</v>
      </c>
      <c r="G177" s="1" t="s">
        <v>3015</v>
      </c>
      <c r="H177" s="1" t="s">
        <v>3016</v>
      </c>
      <c r="I177" s="1">
        <v>1</v>
      </c>
      <c r="J177" s="3">
        <v>8800</v>
      </c>
      <c r="K177" s="3">
        <v>3675</v>
      </c>
      <c r="L177" s="1">
        <v>352</v>
      </c>
      <c r="M177" s="4">
        <v>0.04</v>
      </c>
      <c r="N177" s="3">
        <v>4773</v>
      </c>
      <c r="O177" s="4">
        <v>0.54200000000000004</v>
      </c>
      <c r="P177" s="1" t="s">
        <v>2721</v>
      </c>
    </row>
    <row r="178" spans="1:16">
      <c r="A178" s="1" t="s">
        <v>626</v>
      </c>
      <c r="B178" s="1">
        <v>11</v>
      </c>
      <c r="C178" s="1">
        <v>68940308</v>
      </c>
      <c r="D178" s="1" t="s">
        <v>627</v>
      </c>
      <c r="E178" s="2">
        <v>45967</v>
      </c>
      <c r="F178" s="1" t="s">
        <v>604</v>
      </c>
      <c r="G178" s="1" t="s">
        <v>628</v>
      </c>
      <c r="H178" s="1" t="s">
        <v>629</v>
      </c>
      <c r="I178" s="1">
        <v>1</v>
      </c>
      <c r="J178" s="3">
        <v>8000</v>
      </c>
      <c r="K178" s="3">
        <v>1800</v>
      </c>
      <c r="L178" s="1">
        <v>880</v>
      </c>
      <c r="M178" s="4">
        <v>0.11</v>
      </c>
      <c r="N178" s="3">
        <v>5320</v>
      </c>
      <c r="O178" s="4">
        <v>0.66500000000000004</v>
      </c>
      <c r="P178" s="1" t="s">
        <v>2721</v>
      </c>
    </row>
    <row r="179" spans="1:16">
      <c r="A179" s="1" t="s">
        <v>630</v>
      </c>
      <c r="B179" s="1">
        <v>11</v>
      </c>
      <c r="C179" s="1">
        <v>1117041272507790</v>
      </c>
      <c r="D179" s="1" t="s">
        <v>627</v>
      </c>
      <c r="E179" s="2">
        <v>45967</v>
      </c>
      <c r="F179" s="1" t="s">
        <v>604</v>
      </c>
      <c r="G179" s="1" t="s">
        <v>628</v>
      </c>
      <c r="H179" s="1" t="s">
        <v>1848</v>
      </c>
      <c r="I179" s="1">
        <v>1</v>
      </c>
      <c r="J179" s="3">
        <v>6750</v>
      </c>
      <c r="K179" s="3">
        <v>4300</v>
      </c>
      <c r="L179" s="1">
        <v>446</v>
      </c>
      <c r="M179" s="4">
        <v>6.6000000000000003E-2</v>
      </c>
      <c r="N179" s="3">
        <v>2005</v>
      </c>
      <c r="O179" s="4">
        <v>0.29699999999999999</v>
      </c>
      <c r="P179" s="1" t="s">
        <v>2721</v>
      </c>
    </row>
    <row r="180" spans="1:16">
      <c r="A180" s="1" t="s">
        <v>1849</v>
      </c>
      <c r="B180" s="1">
        <v>11</v>
      </c>
      <c r="C180" s="1">
        <v>6932385</v>
      </c>
      <c r="D180" s="1" t="s">
        <v>3017</v>
      </c>
      <c r="E180" s="2">
        <v>45967</v>
      </c>
      <c r="F180" s="1" t="s">
        <v>604</v>
      </c>
      <c r="G180" s="1" t="s">
        <v>3018</v>
      </c>
      <c r="H180" s="1" t="s">
        <v>3019</v>
      </c>
      <c r="I180" s="1">
        <v>1</v>
      </c>
      <c r="J180" s="3">
        <v>27000</v>
      </c>
      <c r="K180" s="3">
        <v>9980</v>
      </c>
      <c r="L180" s="3">
        <v>4050</v>
      </c>
      <c r="M180" s="4">
        <v>0.15</v>
      </c>
      <c r="N180" s="3">
        <v>12970</v>
      </c>
      <c r="O180" s="4">
        <v>0.48</v>
      </c>
      <c r="P180" s="1" t="s">
        <v>2721</v>
      </c>
    </row>
    <row r="181" spans="1:16">
      <c r="A181" s="1" t="s">
        <v>739</v>
      </c>
      <c r="B181" s="1">
        <v>11</v>
      </c>
      <c r="C181" s="1">
        <v>31366764</v>
      </c>
      <c r="D181" s="1" t="s">
        <v>1856</v>
      </c>
      <c r="E181" s="2">
        <v>45967</v>
      </c>
      <c r="F181" s="1" t="s">
        <v>604</v>
      </c>
      <c r="G181" s="1" t="s">
        <v>1857</v>
      </c>
      <c r="H181" s="1" t="s">
        <v>1858</v>
      </c>
      <c r="I181" s="1">
        <v>1</v>
      </c>
      <c r="J181" s="3">
        <v>8900</v>
      </c>
      <c r="K181" s="3">
        <v>5026</v>
      </c>
      <c r="L181" s="3">
        <v>1175</v>
      </c>
      <c r="M181" s="4">
        <v>0.13200000000000001</v>
      </c>
      <c r="N181" s="3">
        <v>2699</v>
      </c>
      <c r="O181" s="4">
        <v>0.30299999999999999</v>
      </c>
      <c r="P181" s="1" t="s">
        <v>2721</v>
      </c>
    </row>
    <row r="182" spans="1:16">
      <c r="A182" s="1" t="s">
        <v>739</v>
      </c>
      <c r="B182" s="1">
        <v>11</v>
      </c>
      <c r="C182" s="1">
        <v>31366764</v>
      </c>
      <c r="D182" s="1" t="s">
        <v>1859</v>
      </c>
      <c r="E182" s="2">
        <v>45967</v>
      </c>
      <c r="F182" s="1" t="s">
        <v>604</v>
      </c>
      <c r="G182" s="1" t="s">
        <v>1860</v>
      </c>
      <c r="H182" s="1" t="s">
        <v>1861</v>
      </c>
      <c r="I182" s="1">
        <v>1</v>
      </c>
      <c r="J182" s="3">
        <v>8900</v>
      </c>
      <c r="K182" s="3">
        <v>5026</v>
      </c>
      <c r="L182" s="3">
        <v>1175</v>
      </c>
      <c r="M182" s="4">
        <v>0.13200000000000001</v>
      </c>
      <c r="N182" s="3">
        <v>2699</v>
      </c>
      <c r="O182" s="4">
        <v>0.30299999999999999</v>
      </c>
      <c r="P182" s="1" t="s">
        <v>2721</v>
      </c>
    </row>
    <row r="183" spans="1:16">
      <c r="A183" s="1" t="s">
        <v>602</v>
      </c>
      <c r="B183" s="1">
        <v>11</v>
      </c>
      <c r="C183" s="1">
        <v>25100151159772</v>
      </c>
      <c r="D183" s="1" t="s">
        <v>1862</v>
      </c>
      <c r="E183" s="2">
        <v>45967</v>
      </c>
      <c r="F183" s="1" t="s">
        <v>235</v>
      </c>
      <c r="G183" s="1" t="s">
        <v>1863</v>
      </c>
      <c r="H183" s="1" t="s">
        <v>1864</v>
      </c>
      <c r="I183" s="1">
        <v>1</v>
      </c>
      <c r="J183" s="3">
        <v>14790</v>
      </c>
      <c r="K183" s="3">
        <v>7739</v>
      </c>
      <c r="L183" s="3">
        <v>1716</v>
      </c>
      <c r="M183" s="4">
        <v>0.11600000000000001</v>
      </c>
      <c r="N183" s="3">
        <v>5335</v>
      </c>
      <c r="O183" s="4">
        <v>0.36099999999999999</v>
      </c>
      <c r="P183" s="1" t="s">
        <v>2721</v>
      </c>
    </row>
    <row r="184" spans="1:16">
      <c r="A184" s="1" t="s">
        <v>2732</v>
      </c>
      <c r="B184" s="1">
        <v>11</v>
      </c>
      <c r="C184" s="1">
        <v>2.02511060106271E+16</v>
      </c>
      <c r="D184" s="1" t="s">
        <v>3020</v>
      </c>
      <c r="E184" s="2">
        <v>45967</v>
      </c>
      <c r="F184" s="1" t="s">
        <v>48</v>
      </c>
      <c r="G184" s="1" t="s">
        <v>3021</v>
      </c>
      <c r="H184" s="1" t="s">
        <v>3022</v>
      </c>
      <c r="I184" s="1">
        <v>1</v>
      </c>
      <c r="J184" s="3">
        <v>40000</v>
      </c>
      <c r="K184" s="3">
        <v>30117</v>
      </c>
      <c r="L184" s="3">
        <v>2400</v>
      </c>
      <c r="M184" s="4">
        <v>0.06</v>
      </c>
      <c r="N184" s="3">
        <v>7483</v>
      </c>
      <c r="O184" s="4">
        <v>0.187</v>
      </c>
      <c r="P184" s="1" t="s">
        <v>2721</v>
      </c>
    </row>
    <row r="185" spans="1:16">
      <c r="A185" s="1" t="s">
        <v>632</v>
      </c>
      <c r="B185" s="1">
        <v>11</v>
      </c>
      <c r="C185" s="1">
        <v>161118363</v>
      </c>
      <c r="D185" s="1" t="s">
        <v>3023</v>
      </c>
      <c r="E185" s="2">
        <v>45967</v>
      </c>
      <c r="F185" s="1" t="s">
        <v>235</v>
      </c>
      <c r="G185" s="1" t="s">
        <v>3024</v>
      </c>
      <c r="I185" s="1">
        <v>1</v>
      </c>
      <c r="J185" s="3">
        <v>29900</v>
      </c>
      <c r="K185" s="3">
        <v>21340</v>
      </c>
      <c r="L185" s="3">
        <v>3169</v>
      </c>
      <c r="M185" s="4">
        <v>0.106</v>
      </c>
      <c r="N185" s="3">
        <v>5391</v>
      </c>
      <c r="O185" s="4">
        <v>0.18</v>
      </c>
      <c r="P185" s="1" t="s">
        <v>2721</v>
      </c>
    </row>
    <row r="186" spans="1:16">
      <c r="A186" s="1" t="s">
        <v>632</v>
      </c>
      <c r="B186" s="1">
        <v>11</v>
      </c>
      <c r="C186" s="1">
        <v>161216507</v>
      </c>
      <c r="D186" s="1" t="s">
        <v>3023</v>
      </c>
      <c r="E186" s="2">
        <v>45967</v>
      </c>
      <c r="F186" s="1" t="s">
        <v>235</v>
      </c>
      <c r="G186" s="1" t="s">
        <v>3024</v>
      </c>
      <c r="I186" s="1">
        <v>1</v>
      </c>
      <c r="J186" s="3">
        <v>29900</v>
      </c>
      <c r="K186" s="3">
        <v>21340</v>
      </c>
      <c r="L186" s="3">
        <v>3169</v>
      </c>
      <c r="M186" s="4">
        <v>0.106</v>
      </c>
      <c r="N186" s="3">
        <v>5391</v>
      </c>
      <c r="O186" s="4">
        <v>0.18</v>
      </c>
      <c r="P186" s="1" t="s">
        <v>2721</v>
      </c>
    </row>
    <row r="187" spans="1:16">
      <c r="A187" s="1" t="s">
        <v>1849</v>
      </c>
      <c r="B187" s="1">
        <v>11</v>
      </c>
      <c r="C187" s="1">
        <v>245254</v>
      </c>
      <c r="D187" s="1" t="s">
        <v>3025</v>
      </c>
      <c r="E187" s="2">
        <v>45967</v>
      </c>
      <c r="F187" s="1" t="s">
        <v>368</v>
      </c>
      <c r="G187" s="1" t="s">
        <v>3026</v>
      </c>
      <c r="H187" s="1" t="s">
        <v>3027</v>
      </c>
      <c r="I187" s="1">
        <v>1</v>
      </c>
      <c r="J187" s="3">
        <v>27200</v>
      </c>
      <c r="K187" s="3">
        <v>18899</v>
      </c>
      <c r="L187" s="3">
        <v>4080</v>
      </c>
      <c r="M187" s="4">
        <v>0.15</v>
      </c>
      <c r="N187" s="3">
        <v>4221</v>
      </c>
      <c r="O187" s="4">
        <v>0.155</v>
      </c>
      <c r="P187" s="1" t="s">
        <v>2721</v>
      </c>
    </row>
    <row r="188" spans="1:16">
      <c r="A188" s="1" t="s">
        <v>1849</v>
      </c>
      <c r="B188" s="1">
        <v>11</v>
      </c>
      <c r="C188" s="1">
        <v>244746</v>
      </c>
      <c r="D188" s="1" t="s">
        <v>3028</v>
      </c>
      <c r="E188" s="2">
        <v>45967</v>
      </c>
      <c r="F188" s="1" t="s">
        <v>1021</v>
      </c>
      <c r="G188" s="1" t="s">
        <v>3029</v>
      </c>
      <c r="H188" s="1" t="s">
        <v>3030</v>
      </c>
      <c r="I188" s="1">
        <v>1</v>
      </c>
      <c r="J188" s="3">
        <v>41300</v>
      </c>
      <c r="K188" s="3">
        <v>28046</v>
      </c>
      <c r="L188" s="3">
        <v>6195</v>
      </c>
      <c r="M188" s="4">
        <v>0.15</v>
      </c>
      <c r="N188" s="3">
        <v>7059</v>
      </c>
      <c r="O188" s="4">
        <v>0.17100000000000001</v>
      </c>
      <c r="P188" s="1" t="s">
        <v>2721</v>
      </c>
    </row>
    <row r="189" spans="1:16">
      <c r="A189" s="1" t="s">
        <v>1849</v>
      </c>
      <c r="B189" s="1">
        <v>11</v>
      </c>
      <c r="C189" s="1">
        <v>241740</v>
      </c>
      <c r="D189" s="1" t="s">
        <v>728</v>
      </c>
      <c r="E189" s="2">
        <v>45967</v>
      </c>
      <c r="F189" s="1" t="s">
        <v>534</v>
      </c>
      <c r="G189" s="1" t="s">
        <v>729</v>
      </c>
      <c r="H189" s="1" t="s">
        <v>3031</v>
      </c>
      <c r="I189" s="1">
        <v>1</v>
      </c>
      <c r="J189" s="3">
        <v>48900</v>
      </c>
      <c r="K189" s="3">
        <v>31500</v>
      </c>
      <c r="L189" s="3">
        <v>7335</v>
      </c>
      <c r="M189" s="4">
        <v>0.15</v>
      </c>
      <c r="N189" s="3">
        <v>10065</v>
      </c>
      <c r="O189" s="4">
        <v>0.20599999999999999</v>
      </c>
      <c r="P189" s="1" t="s">
        <v>2721</v>
      </c>
    </row>
    <row r="190" spans="1:16">
      <c r="A190" s="1" t="s">
        <v>1849</v>
      </c>
      <c r="B190" s="1">
        <v>11</v>
      </c>
      <c r="C190" s="1">
        <v>239831</v>
      </c>
      <c r="D190" s="1" t="s">
        <v>3032</v>
      </c>
      <c r="E190" s="2">
        <v>45967</v>
      </c>
      <c r="F190" s="1" t="s">
        <v>3033</v>
      </c>
      <c r="G190" s="1" t="s">
        <v>3034</v>
      </c>
      <c r="H190" s="1" t="s">
        <v>3035</v>
      </c>
      <c r="I190" s="1">
        <v>1</v>
      </c>
      <c r="J190" s="3">
        <v>41900</v>
      </c>
      <c r="K190" s="3">
        <v>32192</v>
      </c>
      <c r="L190" s="3">
        <v>6285</v>
      </c>
      <c r="M190" s="4">
        <v>0.15</v>
      </c>
      <c r="N190" s="3">
        <v>3423</v>
      </c>
      <c r="O190" s="4">
        <v>8.2000000000000003E-2</v>
      </c>
      <c r="P190" s="1" t="s">
        <v>2721</v>
      </c>
    </row>
    <row r="191" spans="1:16">
      <c r="A191" s="1" t="s">
        <v>1849</v>
      </c>
      <c r="B191" s="1">
        <v>11</v>
      </c>
      <c r="C191" s="1">
        <v>230334</v>
      </c>
      <c r="D191" s="1" t="s">
        <v>3036</v>
      </c>
      <c r="E191" s="2">
        <v>45967</v>
      </c>
      <c r="F191" s="1" t="s">
        <v>3037</v>
      </c>
      <c r="G191" s="1" t="s">
        <v>3038</v>
      </c>
      <c r="H191" s="1" t="s">
        <v>3039</v>
      </c>
      <c r="I191" s="1">
        <v>2</v>
      </c>
      <c r="J191" s="3">
        <v>51800</v>
      </c>
      <c r="K191" s="3">
        <v>39396</v>
      </c>
      <c r="L191" s="3">
        <v>7770</v>
      </c>
      <c r="M191" s="4">
        <v>0.15</v>
      </c>
      <c r="N191" s="3">
        <v>4634</v>
      </c>
      <c r="O191" s="4">
        <v>8.8999999999999996E-2</v>
      </c>
      <c r="P191" s="1" t="s">
        <v>2721</v>
      </c>
    </row>
    <row r="192" spans="1:16">
      <c r="A192" s="1" t="s">
        <v>692</v>
      </c>
      <c r="B192" s="1">
        <v>11</v>
      </c>
      <c r="C192" s="1" t="s">
        <v>3040</v>
      </c>
      <c r="D192" s="1" t="s">
        <v>3041</v>
      </c>
      <c r="E192" s="2">
        <v>45967</v>
      </c>
      <c r="F192" s="1" t="s">
        <v>33</v>
      </c>
      <c r="G192" s="1" t="s">
        <v>3042</v>
      </c>
      <c r="H192" s="1" t="s">
        <v>3043</v>
      </c>
      <c r="I192" s="1">
        <v>1</v>
      </c>
      <c r="J192" s="3">
        <v>137530</v>
      </c>
      <c r="K192" s="3">
        <v>108151</v>
      </c>
      <c r="L192" s="1">
        <v>0</v>
      </c>
      <c r="M192" s="4">
        <v>0</v>
      </c>
      <c r="N192" s="3">
        <v>29379</v>
      </c>
      <c r="O192" s="4">
        <v>0.214</v>
      </c>
      <c r="P192" s="1" t="s">
        <v>2721</v>
      </c>
    </row>
    <row r="193" spans="1:16">
      <c r="A193" s="1" t="s">
        <v>692</v>
      </c>
      <c r="B193" s="1">
        <v>11</v>
      </c>
      <c r="C193" s="1" t="s">
        <v>3040</v>
      </c>
      <c r="D193" s="1" t="s">
        <v>3044</v>
      </c>
      <c r="E193" s="2">
        <v>45967</v>
      </c>
      <c r="F193" s="1" t="s">
        <v>33</v>
      </c>
      <c r="G193" s="1" t="s">
        <v>3045</v>
      </c>
      <c r="H193" s="1" t="s">
        <v>3046</v>
      </c>
      <c r="I193" s="1">
        <v>1</v>
      </c>
      <c r="J193" s="3">
        <v>67830</v>
      </c>
      <c r="K193" s="3">
        <v>55623</v>
      </c>
      <c r="L193" s="1">
        <v>0</v>
      </c>
      <c r="M193" s="4">
        <v>0</v>
      </c>
      <c r="N193" s="3">
        <v>12207</v>
      </c>
      <c r="O193" s="4">
        <v>0.18</v>
      </c>
      <c r="P193" s="1" t="s">
        <v>2721</v>
      </c>
    </row>
    <row r="194" spans="1:16">
      <c r="A194" s="1" t="s">
        <v>692</v>
      </c>
      <c r="B194" s="1">
        <v>11</v>
      </c>
      <c r="C194" s="1" t="s">
        <v>3047</v>
      </c>
      <c r="D194" s="1" t="s">
        <v>3048</v>
      </c>
      <c r="E194" s="2">
        <v>45967</v>
      </c>
      <c r="F194" s="1" t="s">
        <v>96</v>
      </c>
      <c r="G194" s="1" t="s">
        <v>3049</v>
      </c>
      <c r="H194" s="1" t="s">
        <v>3050</v>
      </c>
      <c r="I194" s="1">
        <v>1</v>
      </c>
      <c r="J194" s="3">
        <v>13464</v>
      </c>
      <c r="K194" s="3">
        <v>12427</v>
      </c>
      <c r="L194" s="1">
        <v>0</v>
      </c>
      <c r="M194" s="4">
        <v>0</v>
      </c>
      <c r="N194" s="3">
        <v>1037</v>
      </c>
      <c r="O194" s="4">
        <v>7.6999999999999999E-2</v>
      </c>
      <c r="P194" s="1" t="s">
        <v>2721</v>
      </c>
    </row>
    <row r="195" spans="1:16">
      <c r="A195" s="1" t="s">
        <v>692</v>
      </c>
      <c r="B195" s="1">
        <v>11</v>
      </c>
      <c r="C195" s="1" t="s">
        <v>3051</v>
      </c>
      <c r="D195" s="1" t="s">
        <v>3052</v>
      </c>
      <c r="E195" s="2">
        <v>45967</v>
      </c>
      <c r="F195" s="1" t="s">
        <v>96</v>
      </c>
      <c r="G195" s="1" t="s">
        <v>3053</v>
      </c>
      <c r="H195" s="1" t="s">
        <v>3054</v>
      </c>
      <c r="I195" s="1">
        <v>1</v>
      </c>
      <c r="J195" s="3">
        <v>24905</v>
      </c>
      <c r="K195" s="3">
        <v>19762</v>
      </c>
      <c r="L195" s="1">
        <v>0</v>
      </c>
      <c r="M195" s="4">
        <v>0</v>
      </c>
      <c r="N195" s="3">
        <v>5143</v>
      </c>
      <c r="O195" s="4">
        <v>0.20699999999999999</v>
      </c>
      <c r="P195" s="1" t="s">
        <v>2721</v>
      </c>
    </row>
    <row r="196" spans="1:16">
      <c r="A196" s="1" t="s">
        <v>692</v>
      </c>
      <c r="B196" s="1">
        <v>11</v>
      </c>
      <c r="C196" s="1" t="s">
        <v>3055</v>
      </c>
      <c r="D196" s="1" t="s">
        <v>694</v>
      </c>
      <c r="E196" s="2">
        <v>45967</v>
      </c>
      <c r="F196" s="1" t="s">
        <v>96</v>
      </c>
      <c r="G196" s="1" t="s">
        <v>695</v>
      </c>
      <c r="H196" s="1" t="s">
        <v>696</v>
      </c>
      <c r="I196" s="1">
        <v>1</v>
      </c>
      <c r="J196" s="3">
        <v>16065</v>
      </c>
      <c r="K196" s="3">
        <v>14584</v>
      </c>
      <c r="L196" s="1">
        <v>0</v>
      </c>
      <c r="M196" s="4">
        <v>0</v>
      </c>
      <c r="N196" s="3">
        <v>1481</v>
      </c>
      <c r="O196" s="4">
        <v>9.1999999999999998E-2</v>
      </c>
      <c r="P196" s="1" t="s">
        <v>2721</v>
      </c>
    </row>
    <row r="197" spans="1:16">
      <c r="A197" s="1" t="s">
        <v>702</v>
      </c>
      <c r="B197" s="1">
        <v>11</v>
      </c>
      <c r="C197" s="1" t="s">
        <v>3056</v>
      </c>
      <c r="D197" s="1" t="s">
        <v>3057</v>
      </c>
      <c r="E197" s="2">
        <v>45967</v>
      </c>
      <c r="F197" s="1" t="s">
        <v>2537</v>
      </c>
      <c r="G197" s="1" t="s">
        <v>3058</v>
      </c>
      <c r="H197" s="1" t="s">
        <v>2539</v>
      </c>
      <c r="I197" s="1">
        <v>1</v>
      </c>
      <c r="J197" s="3">
        <v>26900</v>
      </c>
      <c r="K197" s="3">
        <v>16884</v>
      </c>
      <c r="L197" s="1">
        <v>0</v>
      </c>
      <c r="M197" s="4">
        <v>0</v>
      </c>
      <c r="N197" s="3">
        <v>10016</v>
      </c>
      <c r="O197" s="4">
        <v>0.372</v>
      </c>
      <c r="P197" s="1" t="s">
        <v>2721</v>
      </c>
    </row>
    <row r="198" spans="1:16">
      <c r="A198" s="1" t="s">
        <v>702</v>
      </c>
      <c r="B198" s="1">
        <v>11</v>
      </c>
      <c r="C198" s="1" t="s">
        <v>3059</v>
      </c>
      <c r="D198" s="1" t="s">
        <v>3060</v>
      </c>
      <c r="E198" s="2">
        <v>45967</v>
      </c>
      <c r="F198" s="1" t="s">
        <v>53</v>
      </c>
      <c r="G198" s="1" t="s">
        <v>3061</v>
      </c>
      <c r="H198" s="1" t="s">
        <v>3062</v>
      </c>
      <c r="I198" s="1">
        <v>1</v>
      </c>
      <c r="J198" s="3">
        <v>14500</v>
      </c>
      <c r="K198" s="3">
        <v>11096</v>
      </c>
      <c r="L198" s="1">
        <v>0</v>
      </c>
      <c r="M198" s="4">
        <v>0</v>
      </c>
      <c r="N198" s="3">
        <v>3404</v>
      </c>
      <c r="O198" s="4">
        <v>0.23499999999999999</v>
      </c>
      <c r="P198" s="1" t="s">
        <v>2721</v>
      </c>
    </row>
    <row r="199" spans="1:16">
      <c r="A199" s="1" t="s">
        <v>702</v>
      </c>
      <c r="B199" s="1">
        <v>11</v>
      </c>
      <c r="C199" s="1" t="s">
        <v>3059</v>
      </c>
      <c r="D199" s="1" t="s">
        <v>3063</v>
      </c>
      <c r="E199" s="2">
        <v>45967</v>
      </c>
      <c r="F199" s="1" t="s">
        <v>554</v>
      </c>
      <c r="G199" s="1" t="s">
        <v>3064</v>
      </c>
      <c r="H199" s="1" t="s">
        <v>3065</v>
      </c>
      <c r="I199" s="1">
        <v>1</v>
      </c>
      <c r="J199" s="3">
        <v>33200</v>
      </c>
      <c r="K199" s="3">
        <v>23731</v>
      </c>
      <c r="L199" s="1">
        <v>0</v>
      </c>
      <c r="M199" s="4">
        <v>0</v>
      </c>
      <c r="N199" s="3">
        <v>9469</v>
      </c>
      <c r="O199" s="4">
        <v>0.28499999999999998</v>
      </c>
      <c r="P199" s="1" t="s">
        <v>2721</v>
      </c>
    </row>
    <row r="200" spans="1:16">
      <c r="A200" s="1" t="s">
        <v>702</v>
      </c>
      <c r="B200" s="1">
        <v>11</v>
      </c>
      <c r="C200" s="1" t="s">
        <v>3059</v>
      </c>
      <c r="D200" s="1" t="s">
        <v>3066</v>
      </c>
      <c r="E200" s="2">
        <v>45967</v>
      </c>
      <c r="F200" s="1" t="s">
        <v>554</v>
      </c>
      <c r="G200" s="1" t="s">
        <v>3067</v>
      </c>
      <c r="H200" s="1" t="s">
        <v>3068</v>
      </c>
      <c r="I200" s="1">
        <v>1</v>
      </c>
      <c r="J200" s="3">
        <v>47000</v>
      </c>
      <c r="K200" s="3">
        <v>36141</v>
      </c>
      <c r="L200" s="1">
        <v>0</v>
      </c>
      <c r="M200" s="4">
        <v>0</v>
      </c>
      <c r="N200" s="3">
        <v>10859</v>
      </c>
      <c r="O200" s="4">
        <v>0.23100000000000001</v>
      </c>
      <c r="P200" s="1" t="s">
        <v>2721</v>
      </c>
    </row>
    <row r="201" spans="1:16">
      <c r="A201" s="1" t="s">
        <v>707</v>
      </c>
      <c r="B201" s="1">
        <v>11</v>
      </c>
      <c r="C201" s="1">
        <v>2.0251105100206E+17</v>
      </c>
      <c r="D201" s="1" t="s">
        <v>2079</v>
      </c>
      <c r="E201" s="2">
        <v>45967</v>
      </c>
      <c r="F201" s="1" t="s">
        <v>235</v>
      </c>
      <c r="G201" s="1" t="s">
        <v>2080</v>
      </c>
      <c r="H201" s="1" t="s">
        <v>2081</v>
      </c>
      <c r="I201" s="1">
        <v>1</v>
      </c>
      <c r="J201" s="3">
        <v>14600</v>
      </c>
      <c r="K201" s="3">
        <v>10010</v>
      </c>
      <c r="L201" s="3">
        <v>2190</v>
      </c>
      <c r="M201" s="4">
        <v>0.15</v>
      </c>
      <c r="N201" s="3">
        <v>2400</v>
      </c>
      <c r="O201" s="4">
        <v>0.16400000000000001</v>
      </c>
      <c r="P201" s="1" t="s">
        <v>2721</v>
      </c>
    </row>
    <row r="202" spans="1:16">
      <c r="A202" s="1" t="s">
        <v>707</v>
      </c>
      <c r="B202" s="1">
        <v>11</v>
      </c>
      <c r="C202" s="1">
        <v>2.0251105134010899E+17</v>
      </c>
      <c r="D202" s="1" t="s">
        <v>3069</v>
      </c>
      <c r="E202" s="2">
        <v>45967</v>
      </c>
      <c r="F202" s="1" t="s">
        <v>334</v>
      </c>
      <c r="G202" s="1" t="s">
        <v>3070</v>
      </c>
      <c r="H202" s="1" t="s">
        <v>3071</v>
      </c>
      <c r="I202" s="1">
        <v>1</v>
      </c>
      <c r="J202" s="3">
        <v>52300</v>
      </c>
      <c r="K202" s="3">
        <v>43523</v>
      </c>
      <c r="L202" s="3">
        <v>7845</v>
      </c>
      <c r="M202" s="4">
        <v>0.15</v>
      </c>
      <c r="N202" s="1">
        <v>932</v>
      </c>
      <c r="O202" s="4">
        <v>1.7999999999999999E-2</v>
      </c>
      <c r="P202" s="1" t="s">
        <v>2721</v>
      </c>
    </row>
    <row r="203" spans="1:16">
      <c r="A203" s="1" t="s">
        <v>707</v>
      </c>
      <c r="B203" s="1">
        <v>11</v>
      </c>
      <c r="C203" s="1">
        <v>2.02511051545304E+17</v>
      </c>
      <c r="D203" s="1" t="s">
        <v>2660</v>
      </c>
      <c r="E203" s="2">
        <v>45967</v>
      </c>
      <c r="F203" s="1" t="s">
        <v>235</v>
      </c>
      <c r="G203" s="1" t="s">
        <v>2661</v>
      </c>
      <c r="H203" s="1" t="s">
        <v>2662</v>
      </c>
      <c r="I203" s="1">
        <v>1</v>
      </c>
      <c r="J203" s="3">
        <v>15000</v>
      </c>
      <c r="K203" s="3">
        <v>12126</v>
      </c>
      <c r="L203" s="3">
        <v>2250</v>
      </c>
      <c r="M203" s="4">
        <v>0.15</v>
      </c>
      <c r="N203" s="1">
        <v>624</v>
      </c>
      <c r="O203" s="4">
        <v>4.2000000000000003E-2</v>
      </c>
      <c r="P203" s="1" t="s">
        <v>2721</v>
      </c>
    </row>
    <row r="204" spans="1:16">
      <c r="A204" s="1" t="s">
        <v>707</v>
      </c>
      <c r="B204" s="1">
        <v>11</v>
      </c>
      <c r="C204" s="1">
        <v>2.0251106071829402E+17</v>
      </c>
      <c r="D204" s="1" t="s">
        <v>2071</v>
      </c>
      <c r="E204" s="2">
        <v>45967</v>
      </c>
      <c r="F204" s="1" t="s">
        <v>235</v>
      </c>
      <c r="G204" s="1" t="s">
        <v>2072</v>
      </c>
      <c r="H204" s="1" t="s">
        <v>2073</v>
      </c>
      <c r="I204" s="1">
        <v>1</v>
      </c>
      <c r="J204" s="3">
        <v>9800</v>
      </c>
      <c r="K204" s="3">
        <v>7739</v>
      </c>
      <c r="L204" s="3">
        <v>1470</v>
      </c>
      <c r="M204" s="4">
        <v>0.15</v>
      </c>
      <c r="N204" s="1">
        <v>591</v>
      </c>
      <c r="O204" s="4">
        <v>0.06</v>
      </c>
      <c r="P204" s="1" t="s">
        <v>2721</v>
      </c>
    </row>
    <row r="205" spans="1:16">
      <c r="A205" s="1" t="s">
        <v>707</v>
      </c>
      <c r="B205" s="1">
        <v>11</v>
      </c>
      <c r="C205" s="1">
        <v>2.0251106084323699E+17</v>
      </c>
      <c r="D205" s="1" t="s">
        <v>2071</v>
      </c>
      <c r="E205" s="2">
        <v>45967</v>
      </c>
      <c r="F205" s="1" t="s">
        <v>235</v>
      </c>
      <c r="G205" s="1" t="s">
        <v>2072</v>
      </c>
      <c r="H205" s="1" t="s">
        <v>2073</v>
      </c>
      <c r="I205" s="1">
        <v>1</v>
      </c>
      <c r="J205" s="3">
        <v>9800</v>
      </c>
      <c r="K205" s="3">
        <v>7739</v>
      </c>
      <c r="L205" s="3">
        <v>1470</v>
      </c>
      <c r="M205" s="4">
        <v>0.15</v>
      </c>
      <c r="N205" s="1">
        <v>591</v>
      </c>
      <c r="O205" s="4">
        <v>0.06</v>
      </c>
      <c r="P205" s="1" t="s">
        <v>2721</v>
      </c>
    </row>
    <row r="206" spans="1:16">
      <c r="A206" s="1" t="s">
        <v>2082</v>
      </c>
      <c r="B206" s="1">
        <v>11</v>
      </c>
      <c r="C206" s="1">
        <v>2.0251105103645101E+17</v>
      </c>
      <c r="D206" s="1" t="s">
        <v>3023</v>
      </c>
      <c r="E206" s="2">
        <v>45967</v>
      </c>
      <c r="F206" s="1" t="s">
        <v>235</v>
      </c>
      <c r="G206" s="1" t="s">
        <v>3024</v>
      </c>
      <c r="H206" s="1" t="s">
        <v>3072</v>
      </c>
      <c r="I206" s="1">
        <v>1</v>
      </c>
      <c r="J206" s="3">
        <v>30200</v>
      </c>
      <c r="K206" s="3">
        <v>21340</v>
      </c>
      <c r="L206" s="3">
        <v>4530</v>
      </c>
      <c r="M206" s="4">
        <v>0.15</v>
      </c>
      <c r="N206" s="3">
        <v>4330</v>
      </c>
      <c r="O206" s="4">
        <v>0.14299999999999999</v>
      </c>
      <c r="P206" s="1" t="s">
        <v>2721</v>
      </c>
    </row>
    <row r="207" spans="1:16">
      <c r="A207" s="1" t="s">
        <v>2082</v>
      </c>
      <c r="B207" s="1">
        <v>11</v>
      </c>
      <c r="C207" s="1">
        <v>2.0251105113533402E+17</v>
      </c>
      <c r="D207" s="1" t="s">
        <v>3073</v>
      </c>
      <c r="E207" s="2">
        <v>45967</v>
      </c>
      <c r="F207" s="1" t="s">
        <v>1200</v>
      </c>
      <c r="G207" s="1" t="s">
        <v>3074</v>
      </c>
      <c r="H207" s="1" t="s">
        <v>3075</v>
      </c>
      <c r="I207" s="1">
        <v>1</v>
      </c>
      <c r="J207" s="3">
        <v>31900</v>
      </c>
      <c r="K207" s="3">
        <v>16978</v>
      </c>
      <c r="L207" s="3">
        <v>4785</v>
      </c>
      <c r="M207" s="4">
        <v>0.15</v>
      </c>
      <c r="N207" s="3">
        <v>10137</v>
      </c>
      <c r="O207" s="4">
        <v>0.318</v>
      </c>
      <c r="P207" s="1" t="s">
        <v>2721</v>
      </c>
    </row>
    <row r="208" spans="1:16">
      <c r="A208" s="1" t="s">
        <v>2082</v>
      </c>
      <c r="B208" s="1">
        <v>11</v>
      </c>
      <c r="C208" s="1">
        <v>2.0251105144614202E+17</v>
      </c>
      <c r="D208" s="1" t="s">
        <v>3023</v>
      </c>
      <c r="E208" s="2">
        <v>45967</v>
      </c>
      <c r="F208" s="1" t="s">
        <v>235</v>
      </c>
      <c r="G208" s="1" t="s">
        <v>3024</v>
      </c>
      <c r="H208" s="1" t="s">
        <v>3072</v>
      </c>
      <c r="I208" s="1">
        <v>1</v>
      </c>
      <c r="J208" s="3">
        <v>30200</v>
      </c>
      <c r="K208" s="3">
        <v>21340</v>
      </c>
      <c r="L208" s="3">
        <v>4530</v>
      </c>
      <c r="M208" s="4">
        <v>0.15</v>
      </c>
      <c r="N208" s="3">
        <v>4330</v>
      </c>
      <c r="O208" s="4">
        <v>0.14299999999999999</v>
      </c>
      <c r="P208" s="1" t="s">
        <v>2721</v>
      </c>
    </row>
    <row r="209" spans="1:16">
      <c r="A209" s="1" t="s">
        <v>2082</v>
      </c>
      <c r="B209" s="1">
        <v>11</v>
      </c>
      <c r="C209" s="1">
        <v>2.0251105192414E+17</v>
      </c>
      <c r="D209" s="1" t="s">
        <v>3076</v>
      </c>
      <c r="E209" s="2">
        <v>45967</v>
      </c>
      <c r="F209" s="1" t="s">
        <v>426</v>
      </c>
      <c r="G209" s="1" t="s">
        <v>3077</v>
      </c>
      <c r="H209" s="1" t="s">
        <v>3078</v>
      </c>
      <c r="I209" s="1">
        <v>1</v>
      </c>
      <c r="J209" s="3">
        <v>58000</v>
      </c>
      <c r="K209" s="3">
        <v>44086</v>
      </c>
      <c r="L209" s="3">
        <v>8700</v>
      </c>
      <c r="M209" s="4">
        <v>0.15</v>
      </c>
      <c r="N209" s="3">
        <v>5214</v>
      </c>
      <c r="O209" s="4">
        <v>0.09</v>
      </c>
      <c r="P209" s="1" t="s">
        <v>2721</v>
      </c>
    </row>
    <row r="210" spans="1:16">
      <c r="A210" s="1" t="s">
        <v>718</v>
      </c>
      <c r="B210" s="1">
        <v>11</v>
      </c>
      <c r="C210" s="1">
        <v>2.0251105215955398E+17</v>
      </c>
      <c r="D210" s="1" t="s">
        <v>2089</v>
      </c>
      <c r="E210" s="2">
        <v>45967</v>
      </c>
      <c r="F210" s="1" t="s">
        <v>1935</v>
      </c>
      <c r="G210" s="1" t="s">
        <v>2090</v>
      </c>
      <c r="H210" s="1" t="s">
        <v>3079</v>
      </c>
      <c r="I210" s="1">
        <v>1</v>
      </c>
      <c r="J210" s="3">
        <v>24000</v>
      </c>
      <c r="K210" s="3">
        <v>16884</v>
      </c>
      <c r="L210" s="3">
        <v>2400</v>
      </c>
      <c r="M210" s="4">
        <v>0.1</v>
      </c>
      <c r="N210" s="3">
        <v>4716</v>
      </c>
      <c r="O210" s="4">
        <v>0.19700000000000001</v>
      </c>
      <c r="P210" s="1" t="s">
        <v>2721</v>
      </c>
    </row>
    <row r="211" spans="1:16">
      <c r="A211" s="1" t="s">
        <v>718</v>
      </c>
      <c r="B211" s="1">
        <v>11</v>
      </c>
      <c r="C211" s="1">
        <v>2.0251105182454701E+17</v>
      </c>
      <c r="D211" s="1" t="s">
        <v>3080</v>
      </c>
      <c r="E211" s="2">
        <v>45967</v>
      </c>
      <c r="F211" s="1" t="s">
        <v>200</v>
      </c>
      <c r="G211" s="1" t="s">
        <v>3081</v>
      </c>
      <c r="H211" s="1" t="s">
        <v>3082</v>
      </c>
      <c r="I211" s="1">
        <v>1</v>
      </c>
      <c r="J211" s="3">
        <v>18000</v>
      </c>
      <c r="K211" s="3">
        <v>12194</v>
      </c>
      <c r="L211" s="3">
        <v>1800</v>
      </c>
      <c r="M211" s="4">
        <v>0.1</v>
      </c>
      <c r="N211" s="3">
        <v>4006</v>
      </c>
      <c r="O211" s="4">
        <v>0.223</v>
      </c>
      <c r="P211" s="1" t="s">
        <v>2721</v>
      </c>
    </row>
    <row r="212" spans="1:16">
      <c r="A212" s="1" t="s">
        <v>718</v>
      </c>
      <c r="B212" s="1">
        <v>11</v>
      </c>
      <c r="C212" s="1">
        <v>2.02511051021508E+17</v>
      </c>
      <c r="D212" s="1" t="s">
        <v>2099</v>
      </c>
      <c r="E212" s="2">
        <v>45967</v>
      </c>
      <c r="F212" s="1" t="s">
        <v>1935</v>
      </c>
      <c r="G212" s="1" t="s">
        <v>2100</v>
      </c>
      <c r="H212" s="1" t="s">
        <v>2101</v>
      </c>
      <c r="I212" s="1">
        <v>1</v>
      </c>
      <c r="J212" s="3">
        <v>26000</v>
      </c>
      <c r="K212" s="3">
        <v>18291</v>
      </c>
      <c r="L212" s="3">
        <v>2600</v>
      </c>
      <c r="M212" s="4">
        <v>0.1</v>
      </c>
      <c r="N212" s="3">
        <v>5109</v>
      </c>
      <c r="O212" s="4">
        <v>0.19700000000000001</v>
      </c>
      <c r="P212" s="1" t="s">
        <v>2721</v>
      </c>
    </row>
    <row r="213" spans="1:16">
      <c r="A213" s="1" t="s">
        <v>739</v>
      </c>
      <c r="B213" s="1">
        <v>11</v>
      </c>
      <c r="C213" s="1">
        <v>31359599</v>
      </c>
      <c r="D213" s="1" t="s">
        <v>2089</v>
      </c>
      <c r="E213" s="2">
        <v>45967</v>
      </c>
      <c r="F213" s="1" t="s">
        <v>1935</v>
      </c>
      <c r="G213" s="1" t="s">
        <v>2090</v>
      </c>
      <c r="H213" s="1" t="s">
        <v>2138</v>
      </c>
      <c r="I213" s="1">
        <v>1</v>
      </c>
      <c r="J213" s="3">
        <v>20900</v>
      </c>
      <c r="K213" s="3">
        <v>16884</v>
      </c>
      <c r="L213" s="3">
        <v>2759</v>
      </c>
      <c r="M213" s="4">
        <v>0.13200000000000001</v>
      </c>
      <c r="N213" s="3">
        <v>1257</v>
      </c>
      <c r="O213" s="4">
        <v>0.06</v>
      </c>
      <c r="P213" s="1" t="s">
        <v>2721</v>
      </c>
    </row>
    <row r="214" spans="1:16">
      <c r="A214" s="1" t="s">
        <v>739</v>
      </c>
      <c r="B214" s="1">
        <v>11</v>
      </c>
      <c r="C214" s="1">
        <v>31360994</v>
      </c>
      <c r="D214" s="1" t="s">
        <v>3083</v>
      </c>
      <c r="E214" s="2">
        <v>45967</v>
      </c>
      <c r="F214" s="1" t="s">
        <v>317</v>
      </c>
      <c r="G214" s="1" t="s">
        <v>3084</v>
      </c>
      <c r="H214" s="1" t="s">
        <v>3085</v>
      </c>
      <c r="I214" s="1">
        <v>1</v>
      </c>
      <c r="J214" s="3">
        <v>36900</v>
      </c>
      <c r="K214" s="3">
        <v>30954</v>
      </c>
      <c r="L214" s="3">
        <v>4871</v>
      </c>
      <c r="M214" s="4">
        <v>0.13200000000000001</v>
      </c>
      <c r="N214" s="3">
        <v>1075</v>
      </c>
      <c r="O214" s="4">
        <v>2.9000000000000001E-2</v>
      </c>
      <c r="P214" s="1" t="s">
        <v>2721</v>
      </c>
    </row>
    <row r="215" spans="1:16">
      <c r="A215" s="1" t="s">
        <v>739</v>
      </c>
      <c r="B215" s="1">
        <v>11</v>
      </c>
      <c r="C215" s="1">
        <v>31360994</v>
      </c>
      <c r="D215" s="1" t="s">
        <v>740</v>
      </c>
      <c r="E215" s="2">
        <v>45967</v>
      </c>
      <c r="F215" s="1" t="s">
        <v>317</v>
      </c>
      <c r="G215" s="1" t="s">
        <v>741</v>
      </c>
      <c r="H215" s="1" t="s">
        <v>742</v>
      </c>
      <c r="I215" s="1">
        <v>1</v>
      </c>
      <c r="J215" s="3">
        <v>31900</v>
      </c>
      <c r="K215" s="3">
        <v>26264</v>
      </c>
      <c r="L215" s="3">
        <v>4211</v>
      </c>
      <c r="M215" s="4">
        <v>0.13200000000000001</v>
      </c>
      <c r="N215" s="3">
        <v>1425</v>
      </c>
      <c r="O215" s="4">
        <v>4.4999999999999998E-2</v>
      </c>
      <c r="P215" s="1" t="s">
        <v>2721</v>
      </c>
    </row>
    <row r="216" spans="1:16">
      <c r="A216" s="1" t="s">
        <v>739</v>
      </c>
      <c r="B216" s="1">
        <v>11</v>
      </c>
      <c r="C216" s="1">
        <v>31364151</v>
      </c>
      <c r="D216" s="1" t="s">
        <v>3086</v>
      </c>
      <c r="E216" s="2">
        <v>45967</v>
      </c>
      <c r="F216" s="1" t="s">
        <v>317</v>
      </c>
      <c r="G216" s="1" t="s">
        <v>3087</v>
      </c>
      <c r="H216" s="1" t="s">
        <v>1268</v>
      </c>
      <c r="I216" s="1">
        <v>1</v>
      </c>
      <c r="J216" s="3">
        <v>31900</v>
      </c>
      <c r="K216" s="3">
        <v>26264</v>
      </c>
      <c r="L216" s="3">
        <v>4211</v>
      </c>
      <c r="M216" s="4">
        <v>0.13200000000000001</v>
      </c>
      <c r="N216" s="3">
        <v>1425</v>
      </c>
      <c r="O216" s="4">
        <v>4.4999999999999998E-2</v>
      </c>
      <c r="P216" s="1" t="s">
        <v>2721</v>
      </c>
    </row>
    <row r="217" spans="1:16">
      <c r="A217" s="1" t="s">
        <v>739</v>
      </c>
      <c r="B217" s="1">
        <v>11</v>
      </c>
      <c r="C217" s="1">
        <v>31367373</v>
      </c>
      <c r="D217" s="1" t="s">
        <v>3088</v>
      </c>
      <c r="E217" s="2">
        <v>45967</v>
      </c>
      <c r="F217" s="1" t="s">
        <v>235</v>
      </c>
      <c r="G217" s="1" t="s">
        <v>3089</v>
      </c>
      <c r="H217" s="1" t="s">
        <v>3090</v>
      </c>
      <c r="I217" s="1">
        <v>1</v>
      </c>
      <c r="J217" s="3">
        <v>16900</v>
      </c>
      <c r="K217" s="3">
        <v>13601</v>
      </c>
      <c r="L217" s="3">
        <v>2231</v>
      </c>
      <c r="M217" s="4">
        <v>0.13200000000000001</v>
      </c>
      <c r="N217" s="3">
        <v>1068</v>
      </c>
      <c r="O217" s="4">
        <v>6.3E-2</v>
      </c>
      <c r="P217" s="1" t="s">
        <v>2721</v>
      </c>
    </row>
    <row r="218" spans="1:16">
      <c r="A218" s="1" t="s">
        <v>739</v>
      </c>
      <c r="B218" s="1">
        <v>11</v>
      </c>
      <c r="C218" s="1">
        <v>31368257</v>
      </c>
      <c r="D218" s="1" t="s">
        <v>3091</v>
      </c>
      <c r="E218" s="2">
        <v>45967</v>
      </c>
      <c r="F218" s="1" t="s">
        <v>48</v>
      </c>
      <c r="G218" s="1" t="s">
        <v>3092</v>
      </c>
      <c r="H218" s="1" t="s">
        <v>3093</v>
      </c>
      <c r="I218" s="1">
        <v>1</v>
      </c>
      <c r="J218" s="3">
        <v>48700</v>
      </c>
      <c r="K218" s="3">
        <v>38833</v>
      </c>
      <c r="L218" s="3">
        <v>6428</v>
      </c>
      <c r="M218" s="4">
        <v>0.13200000000000001</v>
      </c>
      <c r="N218" s="3">
        <v>3439</v>
      </c>
      <c r="O218" s="4">
        <v>7.0999999999999994E-2</v>
      </c>
      <c r="P218" s="1" t="s">
        <v>2721</v>
      </c>
    </row>
    <row r="219" spans="1:16">
      <c r="A219" s="1" t="s">
        <v>739</v>
      </c>
      <c r="B219" s="1">
        <v>11</v>
      </c>
      <c r="C219" s="1">
        <v>31368560</v>
      </c>
      <c r="D219" s="1" t="s">
        <v>3094</v>
      </c>
      <c r="E219" s="2">
        <v>45967</v>
      </c>
      <c r="F219" s="1" t="s">
        <v>347</v>
      </c>
      <c r="G219" s="1" t="s">
        <v>3095</v>
      </c>
      <c r="H219" s="1" t="s">
        <v>3096</v>
      </c>
      <c r="I219" s="1">
        <v>1</v>
      </c>
      <c r="J219" s="3">
        <v>26300</v>
      </c>
      <c r="K219" s="3">
        <v>20317</v>
      </c>
      <c r="L219" s="3">
        <v>3472</v>
      </c>
      <c r="M219" s="4">
        <v>0.13200000000000001</v>
      </c>
      <c r="N219" s="3">
        <v>2511</v>
      </c>
      <c r="O219" s="4">
        <v>9.5000000000000001E-2</v>
      </c>
      <c r="P219" s="1" t="s">
        <v>2721</v>
      </c>
    </row>
    <row r="220" spans="1:16">
      <c r="A220" s="1" t="s">
        <v>756</v>
      </c>
      <c r="B220" s="1">
        <v>11</v>
      </c>
      <c r="C220" s="1" t="s">
        <v>3097</v>
      </c>
      <c r="D220" s="1" t="s">
        <v>3098</v>
      </c>
      <c r="E220" s="2">
        <v>45967</v>
      </c>
      <c r="F220" s="1" t="s">
        <v>126</v>
      </c>
      <c r="G220" s="1" t="s">
        <v>3099</v>
      </c>
      <c r="H220" s="1" t="s">
        <v>3100</v>
      </c>
      <c r="I220" s="1">
        <v>1</v>
      </c>
      <c r="J220" s="3">
        <v>24200</v>
      </c>
      <c r="K220" s="3">
        <v>20542</v>
      </c>
      <c r="L220" s="1">
        <v>0</v>
      </c>
      <c r="M220" s="4">
        <v>0</v>
      </c>
      <c r="N220" s="3">
        <v>3658</v>
      </c>
      <c r="O220" s="4">
        <v>0.151</v>
      </c>
      <c r="P220" s="1" t="s">
        <v>2723</v>
      </c>
    </row>
    <row r="221" spans="1:16">
      <c r="A221" s="1" t="s">
        <v>756</v>
      </c>
      <c r="B221" s="1">
        <v>11</v>
      </c>
      <c r="C221" s="1" t="s">
        <v>3101</v>
      </c>
      <c r="D221" s="1" t="s">
        <v>3102</v>
      </c>
      <c r="E221" s="2">
        <v>45967</v>
      </c>
      <c r="F221" s="1" t="s">
        <v>151</v>
      </c>
      <c r="G221" s="1" t="s">
        <v>3103</v>
      </c>
      <c r="H221" s="1" t="s">
        <v>3104</v>
      </c>
      <c r="I221" s="1">
        <v>1</v>
      </c>
      <c r="J221" s="3">
        <v>27600</v>
      </c>
      <c r="K221" s="3">
        <v>23450</v>
      </c>
      <c r="L221" s="1">
        <v>0</v>
      </c>
      <c r="M221" s="4">
        <v>0</v>
      </c>
      <c r="N221" s="3">
        <v>4150</v>
      </c>
      <c r="O221" s="4">
        <v>0.15</v>
      </c>
      <c r="P221" s="1" t="s">
        <v>2723</v>
      </c>
    </row>
    <row r="222" spans="1:16">
      <c r="A222" s="1" t="s">
        <v>2193</v>
      </c>
      <c r="B222" s="1">
        <v>11</v>
      </c>
      <c r="C222" s="1">
        <v>30120223</v>
      </c>
      <c r="D222" s="1" t="s">
        <v>3105</v>
      </c>
      <c r="E222" s="2">
        <v>45967</v>
      </c>
      <c r="F222" s="1" t="s">
        <v>121</v>
      </c>
      <c r="G222" s="1" t="s">
        <v>3106</v>
      </c>
      <c r="H222" s="1" t="s">
        <v>3107</v>
      </c>
      <c r="I222" s="1">
        <v>1</v>
      </c>
      <c r="J222" s="3">
        <v>32649</v>
      </c>
      <c r="K222" s="3">
        <v>28984</v>
      </c>
      <c r="L222" s="1">
        <v>0</v>
      </c>
      <c r="M222" s="4">
        <v>0</v>
      </c>
      <c r="N222" s="3">
        <v>3665</v>
      </c>
      <c r="O222" s="4">
        <v>0.112</v>
      </c>
      <c r="P222" s="1" t="s">
        <v>2723</v>
      </c>
    </row>
    <row r="223" spans="1:16">
      <c r="A223" s="1" t="s">
        <v>2193</v>
      </c>
      <c r="B223" s="1">
        <v>11</v>
      </c>
      <c r="C223" s="1">
        <v>30118322</v>
      </c>
      <c r="D223" s="1" t="s">
        <v>3108</v>
      </c>
      <c r="E223" s="2">
        <v>45967</v>
      </c>
      <c r="F223" s="1" t="s">
        <v>187</v>
      </c>
      <c r="G223" s="1" t="s">
        <v>3109</v>
      </c>
      <c r="H223" s="1" t="s">
        <v>3110</v>
      </c>
      <c r="I223" s="1">
        <v>1</v>
      </c>
      <c r="J223" s="3">
        <v>25718</v>
      </c>
      <c r="K223" s="3">
        <v>22512</v>
      </c>
      <c r="L223" s="1">
        <v>0</v>
      </c>
      <c r="M223" s="4">
        <v>0</v>
      </c>
      <c r="N223" s="3">
        <v>3206</v>
      </c>
      <c r="O223" s="4">
        <v>0.125</v>
      </c>
      <c r="P223" s="1" t="s">
        <v>2723</v>
      </c>
    </row>
    <row r="224" spans="1:16">
      <c r="A224" s="1" t="s">
        <v>763</v>
      </c>
      <c r="B224" s="1">
        <v>11</v>
      </c>
      <c r="C224" s="1" t="s">
        <v>3111</v>
      </c>
      <c r="D224" s="1" t="s">
        <v>3112</v>
      </c>
      <c r="E224" s="2">
        <v>45967</v>
      </c>
      <c r="F224" s="1" t="s">
        <v>2188</v>
      </c>
      <c r="G224" s="1" t="s">
        <v>3113</v>
      </c>
      <c r="H224" s="1" t="s">
        <v>3114</v>
      </c>
      <c r="I224" s="1">
        <v>1</v>
      </c>
      <c r="J224" s="3">
        <v>29400</v>
      </c>
      <c r="K224" s="3">
        <v>24500</v>
      </c>
      <c r="L224" s="1">
        <v>0</v>
      </c>
      <c r="M224" s="4">
        <v>0</v>
      </c>
      <c r="N224" s="3">
        <v>4900</v>
      </c>
      <c r="O224" s="4">
        <v>0.16700000000000001</v>
      </c>
      <c r="P224" s="1" t="s">
        <v>2723</v>
      </c>
    </row>
    <row r="225" spans="1:16">
      <c r="A225" s="1" t="s">
        <v>763</v>
      </c>
      <c r="B225" s="1">
        <v>11</v>
      </c>
      <c r="C225" s="1" t="s">
        <v>3115</v>
      </c>
      <c r="D225" s="1" t="s">
        <v>2151</v>
      </c>
      <c r="E225" s="2">
        <v>45967</v>
      </c>
      <c r="F225" s="1" t="s">
        <v>53</v>
      </c>
      <c r="G225" s="1" t="s">
        <v>2152</v>
      </c>
      <c r="H225" s="1" t="s">
        <v>3116</v>
      </c>
      <c r="I225" s="1">
        <v>2</v>
      </c>
      <c r="J225" s="3">
        <v>35880</v>
      </c>
      <c r="K225" s="3">
        <v>32512</v>
      </c>
      <c r="L225" s="1">
        <v>0</v>
      </c>
      <c r="M225" s="4">
        <v>0</v>
      </c>
      <c r="N225" s="3">
        <v>3368</v>
      </c>
      <c r="O225" s="4">
        <v>9.4E-2</v>
      </c>
      <c r="P225" s="1" t="s">
        <v>2723</v>
      </c>
    </row>
    <row r="226" spans="1:16">
      <c r="A226" s="1" t="s">
        <v>763</v>
      </c>
      <c r="B226" s="1">
        <v>11</v>
      </c>
      <c r="C226" s="1" t="s">
        <v>3117</v>
      </c>
      <c r="D226" s="1" t="s">
        <v>3118</v>
      </c>
      <c r="E226" s="2">
        <v>45967</v>
      </c>
      <c r="F226" s="1" t="s">
        <v>48</v>
      </c>
      <c r="G226" s="1" t="s">
        <v>3119</v>
      </c>
      <c r="H226" s="1" t="s">
        <v>3120</v>
      </c>
      <c r="I226" s="1">
        <v>1</v>
      </c>
      <c r="J226" s="3">
        <v>18500</v>
      </c>
      <c r="K226" s="3">
        <v>18036</v>
      </c>
      <c r="L226" s="1">
        <v>0</v>
      </c>
      <c r="M226" s="4">
        <v>0</v>
      </c>
      <c r="N226" s="1">
        <v>464</v>
      </c>
      <c r="O226" s="4">
        <v>2.5000000000000001E-2</v>
      </c>
      <c r="P226" s="1" t="s">
        <v>2723</v>
      </c>
    </row>
    <row r="227" spans="1:16">
      <c r="A227" s="1" t="s">
        <v>763</v>
      </c>
      <c r="B227" s="1">
        <v>11</v>
      </c>
      <c r="C227" s="1" t="s">
        <v>3121</v>
      </c>
      <c r="D227" s="1" t="s">
        <v>2205</v>
      </c>
      <c r="E227" s="2">
        <v>45967</v>
      </c>
      <c r="F227" s="1" t="s">
        <v>2206</v>
      </c>
      <c r="G227" s="1" t="s">
        <v>2207</v>
      </c>
      <c r="H227" s="1" t="s">
        <v>2208</v>
      </c>
      <c r="I227" s="1">
        <v>1</v>
      </c>
      <c r="J227" s="3">
        <v>22610</v>
      </c>
      <c r="K227" s="3">
        <v>20437</v>
      </c>
      <c r="L227" s="1">
        <v>0</v>
      </c>
      <c r="M227" s="4">
        <v>0</v>
      </c>
      <c r="N227" s="3">
        <v>2173</v>
      </c>
      <c r="O227" s="4">
        <v>9.6000000000000002E-2</v>
      </c>
      <c r="P227" s="1" t="s">
        <v>2723</v>
      </c>
    </row>
    <row r="228" spans="1:16">
      <c r="A228" s="1" t="s">
        <v>763</v>
      </c>
      <c r="B228" s="1">
        <v>11</v>
      </c>
      <c r="C228" s="1" t="s">
        <v>3122</v>
      </c>
      <c r="D228" s="1" t="s">
        <v>3123</v>
      </c>
      <c r="E228" s="2">
        <v>45967</v>
      </c>
      <c r="F228" s="1" t="s">
        <v>783</v>
      </c>
      <c r="G228" s="1" t="s">
        <v>3124</v>
      </c>
      <c r="H228" s="1" t="s">
        <v>3125</v>
      </c>
      <c r="I228" s="1">
        <v>1</v>
      </c>
      <c r="J228" s="3">
        <v>81520</v>
      </c>
      <c r="K228" s="3">
        <v>78511</v>
      </c>
      <c r="L228" s="1">
        <v>0</v>
      </c>
      <c r="M228" s="4">
        <v>0</v>
      </c>
      <c r="N228" s="3">
        <v>3009</v>
      </c>
      <c r="O228" s="4">
        <v>3.6999999999999998E-2</v>
      </c>
      <c r="P228" s="1" t="s">
        <v>2723</v>
      </c>
    </row>
    <row r="229" spans="1:16">
      <c r="A229" s="1" t="s">
        <v>763</v>
      </c>
      <c r="B229" s="1">
        <v>11</v>
      </c>
      <c r="C229" s="1" t="s">
        <v>3126</v>
      </c>
      <c r="D229" s="1" t="s">
        <v>769</v>
      </c>
      <c r="E229" s="2">
        <v>45967</v>
      </c>
      <c r="F229" s="1" t="s">
        <v>48</v>
      </c>
      <c r="G229" s="1" t="s">
        <v>770</v>
      </c>
      <c r="H229" s="1" t="s">
        <v>3127</v>
      </c>
      <c r="I229" s="1">
        <v>1</v>
      </c>
      <c r="J229" s="3">
        <v>14900</v>
      </c>
      <c r="K229" s="3">
        <v>12513</v>
      </c>
      <c r="L229" s="1">
        <v>0</v>
      </c>
      <c r="M229" s="4">
        <v>0</v>
      </c>
      <c r="N229" s="3">
        <v>2387</v>
      </c>
      <c r="O229" s="4">
        <v>0.16</v>
      </c>
      <c r="P229" s="1" t="s">
        <v>2723</v>
      </c>
    </row>
    <row r="230" spans="1:16">
      <c r="A230" s="1" t="s">
        <v>763</v>
      </c>
      <c r="B230" s="1">
        <v>11</v>
      </c>
      <c r="C230" s="1" t="s">
        <v>3128</v>
      </c>
      <c r="D230" s="1" t="s">
        <v>2151</v>
      </c>
      <c r="E230" s="2">
        <v>45967</v>
      </c>
      <c r="F230" s="1" t="s">
        <v>53</v>
      </c>
      <c r="G230" s="1" t="s">
        <v>2152</v>
      </c>
      <c r="H230" s="1" t="s">
        <v>3116</v>
      </c>
      <c r="I230" s="1">
        <v>1</v>
      </c>
      <c r="J230" s="3">
        <v>17940</v>
      </c>
      <c r="K230" s="3">
        <v>16256</v>
      </c>
      <c r="L230" s="1">
        <v>0</v>
      </c>
      <c r="M230" s="4">
        <v>0</v>
      </c>
      <c r="N230" s="3">
        <v>1684</v>
      </c>
      <c r="O230" s="4">
        <v>9.4E-2</v>
      </c>
      <c r="P230" s="1" t="s">
        <v>2723</v>
      </c>
    </row>
    <row r="231" spans="1:16">
      <c r="A231" s="1" t="s">
        <v>763</v>
      </c>
      <c r="B231" s="1">
        <v>11</v>
      </c>
      <c r="C231" s="1" t="s">
        <v>3129</v>
      </c>
      <c r="D231" s="1" t="s">
        <v>2205</v>
      </c>
      <c r="E231" s="2">
        <v>45967</v>
      </c>
      <c r="F231" s="1" t="s">
        <v>2206</v>
      </c>
      <c r="G231" s="1" t="s">
        <v>2207</v>
      </c>
      <c r="H231" s="1" t="s">
        <v>2208</v>
      </c>
      <c r="I231" s="1">
        <v>1</v>
      </c>
      <c r="J231" s="3">
        <v>22610</v>
      </c>
      <c r="K231" s="3">
        <v>20437</v>
      </c>
      <c r="L231" s="1">
        <v>0</v>
      </c>
      <c r="M231" s="4">
        <v>0</v>
      </c>
      <c r="N231" s="3">
        <v>2173</v>
      </c>
      <c r="O231" s="4">
        <v>9.6000000000000002E-2</v>
      </c>
      <c r="P231" s="1" t="s">
        <v>2723</v>
      </c>
    </row>
    <row r="232" spans="1:16">
      <c r="A232" s="1" t="s">
        <v>763</v>
      </c>
      <c r="B232" s="1">
        <v>11</v>
      </c>
      <c r="C232" s="1" t="s">
        <v>3130</v>
      </c>
      <c r="D232" s="1" t="s">
        <v>3131</v>
      </c>
      <c r="E232" s="2">
        <v>45967</v>
      </c>
      <c r="F232" s="1" t="s">
        <v>1381</v>
      </c>
      <c r="G232" s="1" t="s">
        <v>3132</v>
      </c>
      <c r="I232" s="1">
        <v>2</v>
      </c>
      <c r="J232" s="3">
        <v>22620</v>
      </c>
      <c r="K232" s="3">
        <v>20636</v>
      </c>
      <c r="L232" s="1">
        <v>0</v>
      </c>
      <c r="M232" s="4">
        <v>0</v>
      </c>
      <c r="N232" s="3">
        <v>1984</v>
      </c>
      <c r="O232" s="4">
        <v>8.7999999999999995E-2</v>
      </c>
      <c r="P232" s="1" t="s">
        <v>2723</v>
      </c>
    </row>
    <row r="233" spans="1:16">
      <c r="A233" s="1" t="s">
        <v>763</v>
      </c>
      <c r="B233" s="1">
        <v>11</v>
      </c>
      <c r="C233" s="1" t="s">
        <v>3133</v>
      </c>
      <c r="D233" s="1" t="s">
        <v>2257</v>
      </c>
      <c r="E233" s="2">
        <v>45967</v>
      </c>
      <c r="F233" s="1" t="s">
        <v>2206</v>
      </c>
      <c r="G233" s="1" t="s">
        <v>2258</v>
      </c>
      <c r="H233" s="1" t="s">
        <v>2259</v>
      </c>
      <c r="I233" s="1">
        <v>1</v>
      </c>
      <c r="J233" s="3">
        <v>37320</v>
      </c>
      <c r="K233" s="3">
        <v>33800</v>
      </c>
      <c r="L233" s="1">
        <v>0</v>
      </c>
      <c r="M233" s="4">
        <v>0</v>
      </c>
      <c r="N233" s="3">
        <v>3520</v>
      </c>
      <c r="O233" s="4">
        <v>9.4E-2</v>
      </c>
      <c r="P233" s="1" t="s">
        <v>2723</v>
      </c>
    </row>
    <row r="234" spans="1:16">
      <c r="A234" s="1" t="s">
        <v>616</v>
      </c>
      <c r="B234" s="1">
        <v>11</v>
      </c>
      <c r="C234" s="1">
        <v>2025110647508820</v>
      </c>
      <c r="D234" s="1" t="s">
        <v>3134</v>
      </c>
      <c r="E234" s="2">
        <v>45967</v>
      </c>
      <c r="F234" s="1" t="s">
        <v>604</v>
      </c>
      <c r="G234" s="1" t="s">
        <v>3135</v>
      </c>
      <c r="H234" s="1" t="s">
        <v>3136</v>
      </c>
      <c r="I234" s="1">
        <v>1</v>
      </c>
      <c r="J234" s="3">
        <v>14900</v>
      </c>
      <c r="K234" s="3">
        <v>5748</v>
      </c>
      <c r="L234" s="1">
        <v>596</v>
      </c>
      <c r="M234" s="4">
        <v>0.04</v>
      </c>
      <c r="N234" s="3">
        <v>8556</v>
      </c>
      <c r="O234" s="4">
        <v>0.57399999999999995</v>
      </c>
      <c r="P234" s="1" t="s">
        <v>2721</v>
      </c>
    </row>
    <row r="235" spans="1:16">
      <c r="A235" s="1" t="s">
        <v>577</v>
      </c>
      <c r="B235" s="1">
        <v>11</v>
      </c>
      <c r="C235" s="1" t="s">
        <v>3137</v>
      </c>
      <c r="D235" s="1" t="s">
        <v>3138</v>
      </c>
      <c r="E235" s="2">
        <v>45968</v>
      </c>
      <c r="F235" s="1" t="s">
        <v>431</v>
      </c>
      <c r="G235" s="1" t="s">
        <v>432</v>
      </c>
      <c r="H235" s="1" t="s">
        <v>3139</v>
      </c>
      <c r="I235" s="1">
        <v>1</v>
      </c>
      <c r="J235" s="3">
        <v>108130</v>
      </c>
      <c r="K235" s="3">
        <v>103180</v>
      </c>
      <c r="L235" s="1">
        <v>0</v>
      </c>
      <c r="M235" s="4">
        <v>0</v>
      </c>
      <c r="N235" s="3">
        <v>4950</v>
      </c>
      <c r="O235" s="4">
        <v>4.5999999999999999E-2</v>
      </c>
      <c r="P235" s="1" t="s">
        <v>2721</v>
      </c>
    </row>
    <row r="236" spans="1:16">
      <c r="A236" s="1" t="s">
        <v>577</v>
      </c>
      <c r="B236" s="1">
        <v>11</v>
      </c>
      <c r="C236" s="1" t="s">
        <v>3140</v>
      </c>
      <c r="D236" s="1" t="s">
        <v>3141</v>
      </c>
      <c r="E236" s="2">
        <v>45968</v>
      </c>
      <c r="F236" s="1" t="s">
        <v>235</v>
      </c>
      <c r="G236" s="1" t="s">
        <v>3142</v>
      </c>
      <c r="H236" s="1" t="s">
        <v>3143</v>
      </c>
      <c r="I236" s="1">
        <v>1</v>
      </c>
      <c r="J236" s="3">
        <v>12250</v>
      </c>
      <c r="K236" s="3">
        <v>11689</v>
      </c>
      <c r="L236" s="1">
        <v>0</v>
      </c>
      <c r="M236" s="4">
        <v>0</v>
      </c>
      <c r="N236" s="1">
        <v>561</v>
      </c>
      <c r="O236" s="4">
        <v>4.5999999999999999E-2</v>
      </c>
      <c r="P236" s="1" t="s">
        <v>2721</v>
      </c>
    </row>
    <row r="237" spans="1:16">
      <c r="A237" s="1" t="s">
        <v>577</v>
      </c>
      <c r="B237" s="1">
        <v>11</v>
      </c>
      <c r="C237" s="1" t="s">
        <v>3144</v>
      </c>
      <c r="D237" s="1" t="s">
        <v>3145</v>
      </c>
      <c r="E237" s="2">
        <v>45968</v>
      </c>
      <c r="F237" s="1" t="s">
        <v>846</v>
      </c>
      <c r="G237" s="1" t="s">
        <v>847</v>
      </c>
      <c r="H237" s="1" t="s">
        <v>848</v>
      </c>
      <c r="I237" s="1">
        <v>1</v>
      </c>
      <c r="J237" s="3">
        <v>112554</v>
      </c>
      <c r="K237" s="3">
        <v>107401</v>
      </c>
      <c r="L237" s="1">
        <v>0</v>
      </c>
      <c r="M237" s="4">
        <v>0</v>
      </c>
      <c r="N237" s="3">
        <v>5153</v>
      </c>
      <c r="O237" s="4">
        <v>4.5999999999999999E-2</v>
      </c>
      <c r="P237" s="1" t="s">
        <v>2721</v>
      </c>
    </row>
    <row r="238" spans="1:16">
      <c r="A238" s="1" t="s">
        <v>577</v>
      </c>
      <c r="B238" s="1">
        <v>11</v>
      </c>
      <c r="C238" s="1" t="s">
        <v>3146</v>
      </c>
      <c r="D238" s="1" t="s">
        <v>2616</v>
      </c>
      <c r="E238" s="2">
        <v>45968</v>
      </c>
      <c r="F238" s="1" t="s">
        <v>407</v>
      </c>
      <c r="G238" s="1" t="s">
        <v>961</v>
      </c>
      <c r="H238" s="1" t="s">
        <v>962</v>
      </c>
      <c r="I238" s="1">
        <v>1</v>
      </c>
      <c r="J238" s="3">
        <v>14745</v>
      </c>
      <c r="K238" s="3">
        <v>14070</v>
      </c>
      <c r="L238" s="1">
        <v>0</v>
      </c>
      <c r="M238" s="4">
        <v>0</v>
      </c>
      <c r="N238" s="1">
        <v>675</v>
      </c>
      <c r="O238" s="4">
        <v>4.5999999999999999E-2</v>
      </c>
      <c r="P238" s="1" t="s">
        <v>2721</v>
      </c>
    </row>
    <row r="239" spans="1:16">
      <c r="A239" s="1" t="s">
        <v>577</v>
      </c>
      <c r="B239" s="1">
        <v>11</v>
      </c>
      <c r="C239" s="1" t="s">
        <v>3147</v>
      </c>
      <c r="D239" s="1" t="s">
        <v>3148</v>
      </c>
      <c r="E239" s="2">
        <v>45968</v>
      </c>
      <c r="F239" s="1" t="s">
        <v>725</v>
      </c>
      <c r="G239" s="1" t="s">
        <v>3149</v>
      </c>
      <c r="H239" s="1" t="s">
        <v>3150</v>
      </c>
      <c r="I239" s="1">
        <v>1</v>
      </c>
      <c r="J239" s="3">
        <v>164358</v>
      </c>
      <c r="K239" s="3">
        <v>156834</v>
      </c>
      <c r="L239" s="1">
        <v>0</v>
      </c>
      <c r="M239" s="4">
        <v>0</v>
      </c>
      <c r="N239" s="3">
        <v>7524</v>
      </c>
      <c r="O239" s="4">
        <v>4.5999999999999999E-2</v>
      </c>
      <c r="P239" s="1" t="s">
        <v>2721</v>
      </c>
    </row>
    <row r="240" spans="1:16">
      <c r="A240" s="1" t="s">
        <v>577</v>
      </c>
      <c r="B240" s="1">
        <v>11</v>
      </c>
      <c r="C240" s="1" t="s">
        <v>3151</v>
      </c>
      <c r="D240" s="1" t="s">
        <v>3152</v>
      </c>
      <c r="E240" s="2">
        <v>45968</v>
      </c>
      <c r="F240" s="1" t="s">
        <v>213</v>
      </c>
      <c r="G240" s="1" t="s">
        <v>214</v>
      </c>
      <c r="H240" s="1" t="s">
        <v>215</v>
      </c>
      <c r="I240" s="1">
        <v>1</v>
      </c>
      <c r="J240" s="3">
        <v>16220</v>
      </c>
      <c r="K240" s="3">
        <v>15477</v>
      </c>
      <c r="L240" s="1">
        <v>0</v>
      </c>
      <c r="M240" s="4">
        <v>0</v>
      </c>
      <c r="N240" s="1">
        <v>743</v>
      </c>
      <c r="O240" s="4">
        <v>4.5999999999999999E-2</v>
      </c>
      <c r="P240" s="1" t="s">
        <v>2721</v>
      </c>
    </row>
    <row r="241" spans="1:16">
      <c r="A241" s="1" t="s">
        <v>577</v>
      </c>
      <c r="B241" s="1">
        <v>11</v>
      </c>
      <c r="C241" s="1" t="s">
        <v>3153</v>
      </c>
      <c r="D241" s="1" t="s">
        <v>1705</v>
      </c>
      <c r="E241" s="2">
        <v>45968</v>
      </c>
      <c r="F241" s="1" t="s">
        <v>96</v>
      </c>
      <c r="G241" s="1" t="s">
        <v>1706</v>
      </c>
      <c r="H241" s="1" t="s">
        <v>2348</v>
      </c>
      <c r="I241" s="1">
        <v>2</v>
      </c>
      <c r="J241" s="3">
        <v>18811</v>
      </c>
      <c r="K241" s="3">
        <v>17950</v>
      </c>
      <c r="L241" s="1">
        <v>0</v>
      </c>
      <c r="M241" s="4">
        <v>0</v>
      </c>
      <c r="N241" s="1">
        <v>861</v>
      </c>
      <c r="O241" s="4">
        <v>4.5999999999999999E-2</v>
      </c>
      <c r="P241" s="1" t="s">
        <v>2721</v>
      </c>
    </row>
    <row r="242" spans="1:16">
      <c r="A242" s="1" t="s">
        <v>577</v>
      </c>
      <c r="B242" s="1">
        <v>11</v>
      </c>
      <c r="C242" s="1" t="s">
        <v>3154</v>
      </c>
      <c r="D242" s="1" t="s">
        <v>3155</v>
      </c>
      <c r="E242" s="2">
        <v>45968</v>
      </c>
      <c r="F242" s="1" t="s">
        <v>1075</v>
      </c>
      <c r="G242" s="1" t="s">
        <v>3156</v>
      </c>
      <c r="H242" s="1" t="s">
        <v>3157</v>
      </c>
      <c r="I242" s="1">
        <v>1</v>
      </c>
      <c r="J242" s="3">
        <v>12288</v>
      </c>
      <c r="K242" s="3">
        <v>11725</v>
      </c>
      <c r="L242" s="1">
        <v>0</v>
      </c>
      <c r="M242" s="4">
        <v>0</v>
      </c>
      <c r="N242" s="1">
        <v>563</v>
      </c>
      <c r="O242" s="4">
        <v>4.5999999999999999E-2</v>
      </c>
      <c r="P242" s="1" t="s">
        <v>2721</v>
      </c>
    </row>
    <row r="243" spans="1:16">
      <c r="A243" s="1" t="s">
        <v>577</v>
      </c>
      <c r="B243" s="1">
        <v>11</v>
      </c>
      <c r="C243" s="1" t="s">
        <v>3158</v>
      </c>
      <c r="D243" s="1" t="s">
        <v>3159</v>
      </c>
      <c r="E243" s="2">
        <v>45968</v>
      </c>
      <c r="F243" s="1" t="s">
        <v>276</v>
      </c>
      <c r="G243" s="1" t="s">
        <v>3160</v>
      </c>
      <c r="H243" s="1" t="s">
        <v>3161</v>
      </c>
      <c r="I243" s="1">
        <v>1</v>
      </c>
      <c r="J243" s="3">
        <v>40557</v>
      </c>
      <c r="K243" s="3">
        <v>38700</v>
      </c>
      <c r="L243" s="1">
        <v>0</v>
      </c>
      <c r="M243" s="4">
        <v>0</v>
      </c>
      <c r="N243" s="3">
        <v>1857</v>
      </c>
      <c r="O243" s="4">
        <v>4.5999999999999999E-2</v>
      </c>
      <c r="P243" s="1" t="s">
        <v>2721</v>
      </c>
    </row>
    <row r="244" spans="1:16">
      <c r="A244" s="1" t="s">
        <v>577</v>
      </c>
      <c r="B244" s="1">
        <v>11</v>
      </c>
      <c r="C244" s="1" t="s">
        <v>3162</v>
      </c>
      <c r="D244" s="1" t="s">
        <v>3163</v>
      </c>
      <c r="E244" s="2">
        <v>45968</v>
      </c>
      <c r="F244" s="1" t="s">
        <v>1255</v>
      </c>
      <c r="G244" s="1" t="s">
        <v>1256</v>
      </c>
      <c r="H244" s="1" t="s">
        <v>2868</v>
      </c>
      <c r="I244" s="1">
        <v>1</v>
      </c>
      <c r="J244" s="3">
        <v>176842</v>
      </c>
      <c r="K244" s="3">
        <v>168746</v>
      </c>
      <c r="L244" s="1">
        <v>0</v>
      </c>
      <c r="M244" s="4">
        <v>0</v>
      </c>
      <c r="N244" s="3">
        <v>8096</v>
      </c>
      <c r="O244" s="4">
        <v>4.5999999999999999E-2</v>
      </c>
      <c r="P244" s="1" t="s">
        <v>2721</v>
      </c>
    </row>
    <row r="245" spans="1:16">
      <c r="A245" s="1" t="s">
        <v>577</v>
      </c>
      <c r="B245" s="1">
        <v>11</v>
      </c>
      <c r="C245" s="1" t="s">
        <v>3164</v>
      </c>
      <c r="D245" s="1" t="s">
        <v>3165</v>
      </c>
      <c r="E245" s="2">
        <v>45968</v>
      </c>
      <c r="F245" s="1" t="s">
        <v>235</v>
      </c>
      <c r="G245" s="1" t="s">
        <v>1522</v>
      </c>
      <c r="H245" s="1" t="s">
        <v>2884</v>
      </c>
      <c r="I245" s="1">
        <v>1</v>
      </c>
      <c r="J245" s="3">
        <v>14987</v>
      </c>
      <c r="K245" s="3">
        <v>14301</v>
      </c>
      <c r="L245" s="1">
        <v>0</v>
      </c>
      <c r="M245" s="4">
        <v>0</v>
      </c>
      <c r="N245" s="1">
        <v>686</v>
      </c>
      <c r="O245" s="4">
        <v>4.5999999999999999E-2</v>
      </c>
      <c r="P245" s="1" t="s">
        <v>2721</v>
      </c>
    </row>
    <row r="246" spans="1:16">
      <c r="A246" s="1" t="s">
        <v>577</v>
      </c>
      <c r="B246" s="1">
        <v>11</v>
      </c>
      <c r="C246" s="1" t="s">
        <v>3166</v>
      </c>
      <c r="D246" s="1" t="s">
        <v>3167</v>
      </c>
      <c r="E246" s="2">
        <v>45968</v>
      </c>
      <c r="F246" s="1" t="s">
        <v>334</v>
      </c>
      <c r="G246" s="1" t="s">
        <v>3168</v>
      </c>
      <c r="H246" s="1" t="s">
        <v>3169</v>
      </c>
      <c r="I246" s="1">
        <v>1</v>
      </c>
      <c r="J246" s="3">
        <v>54655</v>
      </c>
      <c r="K246" s="3">
        <v>52153</v>
      </c>
      <c r="L246" s="1">
        <v>0</v>
      </c>
      <c r="M246" s="4">
        <v>0</v>
      </c>
      <c r="N246" s="3">
        <v>2502</v>
      </c>
      <c r="O246" s="4">
        <v>4.5999999999999999E-2</v>
      </c>
      <c r="P246" s="1" t="s">
        <v>2721</v>
      </c>
    </row>
    <row r="247" spans="1:16">
      <c r="A247" s="1" t="s">
        <v>577</v>
      </c>
      <c r="B247" s="1">
        <v>11</v>
      </c>
      <c r="C247" s="1" t="s">
        <v>3170</v>
      </c>
      <c r="D247" s="1" t="s">
        <v>1784</v>
      </c>
      <c r="E247" s="2">
        <v>45968</v>
      </c>
      <c r="F247" s="1" t="s">
        <v>256</v>
      </c>
      <c r="G247" s="1" t="s">
        <v>778</v>
      </c>
      <c r="H247" s="1" t="s">
        <v>779</v>
      </c>
      <c r="I247" s="1">
        <v>1</v>
      </c>
      <c r="J247" s="3">
        <v>11010</v>
      </c>
      <c r="K247" s="3">
        <v>10506</v>
      </c>
      <c r="L247" s="1">
        <v>0</v>
      </c>
      <c r="M247" s="4">
        <v>0</v>
      </c>
      <c r="N247" s="1">
        <v>504</v>
      </c>
      <c r="O247" s="4">
        <v>4.5999999999999999E-2</v>
      </c>
      <c r="P247" s="1" t="s">
        <v>2721</v>
      </c>
    </row>
    <row r="248" spans="1:16">
      <c r="A248" s="1" t="s">
        <v>577</v>
      </c>
      <c r="B248" s="1">
        <v>11</v>
      </c>
      <c r="C248" s="1" t="s">
        <v>3171</v>
      </c>
      <c r="D248" s="1" t="s">
        <v>3172</v>
      </c>
      <c r="E248" s="2">
        <v>45968</v>
      </c>
      <c r="F248" s="1" t="s">
        <v>421</v>
      </c>
      <c r="G248" s="1" t="s">
        <v>3173</v>
      </c>
      <c r="H248" s="1" t="s">
        <v>3174</v>
      </c>
      <c r="I248" s="1">
        <v>1</v>
      </c>
      <c r="J248" s="3">
        <v>8552</v>
      </c>
      <c r="K248" s="3">
        <v>8161</v>
      </c>
      <c r="L248" s="1">
        <v>0</v>
      </c>
      <c r="M248" s="4">
        <v>0</v>
      </c>
      <c r="N248" s="1">
        <v>391</v>
      </c>
      <c r="O248" s="4">
        <v>4.5999999999999999E-2</v>
      </c>
      <c r="P248" s="1" t="s">
        <v>2721</v>
      </c>
    </row>
    <row r="249" spans="1:16">
      <c r="A249" s="1" t="s">
        <v>577</v>
      </c>
      <c r="B249" s="1">
        <v>11</v>
      </c>
      <c r="C249" s="1" t="s">
        <v>3175</v>
      </c>
      <c r="D249" s="1" t="s">
        <v>3176</v>
      </c>
      <c r="E249" s="2">
        <v>45968</v>
      </c>
      <c r="F249" s="1" t="s">
        <v>53</v>
      </c>
      <c r="G249" s="1" t="s">
        <v>1532</v>
      </c>
      <c r="H249" s="1" t="s">
        <v>1533</v>
      </c>
      <c r="I249" s="1">
        <v>1</v>
      </c>
      <c r="J249" s="3">
        <v>8022</v>
      </c>
      <c r="K249" s="3">
        <v>7655</v>
      </c>
      <c r="L249" s="1">
        <v>0</v>
      </c>
      <c r="M249" s="4">
        <v>0</v>
      </c>
      <c r="N249" s="1">
        <v>367</v>
      </c>
      <c r="O249" s="4">
        <v>4.5999999999999999E-2</v>
      </c>
      <c r="P249" s="1" t="s">
        <v>2721</v>
      </c>
    </row>
    <row r="250" spans="1:16">
      <c r="A250" s="1" t="s">
        <v>15</v>
      </c>
      <c r="B250" s="1">
        <v>11</v>
      </c>
      <c r="C250" s="1" t="s">
        <v>3177</v>
      </c>
      <c r="D250" s="1" t="s">
        <v>828</v>
      </c>
      <c r="E250" s="2">
        <v>45968</v>
      </c>
      <c r="F250" s="1" t="s">
        <v>689</v>
      </c>
      <c r="G250" s="1" t="s">
        <v>829</v>
      </c>
      <c r="H250" s="1" t="s">
        <v>3178</v>
      </c>
      <c r="I250" s="1">
        <v>1</v>
      </c>
      <c r="J250" s="3">
        <v>14745</v>
      </c>
      <c r="K250" s="3">
        <v>14070</v>
      </c>
      <c r="L250" s="1">
        <v>0</v>
      </c>
      <c r="M250" s="4">
        <v>0</v>
      </c>
      <c r="N250" s="1">
        <v>675</v>
      </c>
      <c r="O250" s="4">
        <v>4.5999999999999999E-2</v>
      </c>
      <c r="P250" s="1" t="s">
        <v>2721</v>
      </c>
    </row>
    <row r="251" spans="1:16">
      <c r="A251" s="1" t="s">
        <v>15</v>
      </c>
      <c r="B251" s="1">
        <v>11</v>
      </c>
      <c r="C251" s="1" t="s">
        <v>3179</v>
      </c>
      <c r="D251" s="1" t="s">
        <v>3180</v>
      </c>
      <c r="E251" s="2">
        <v>45968</v>
      </c>
      <c r="F251" s="1" t="s">
        <v>554</v>
      </c>
      <c r="G251" s="1" t="s">
        <v>3181</v>
      </c>
      <c r="H251" s="1" t="s">
        <v>3182</v>
      </c>
      <c r="I251" s="1">
        <v>1</v>
      </c>
      <c r="J251" s="3">
        <v>11255</v>
      </c>
      <c r="K251" s="3">
        <v>10740</v>
      </c>
      <c r="L251" s="1">
        <v>0</v>
      </c>
      <c r="M251" s="4">
        <v>0</v>
      </c>
      <c r="N251" s="1">
        <v>515</v>
      </c>
      <c r="O251" s="4">
        <v>4.5999999999999999E-2</v>
      </c>
      <c r="P251" s="1" t="s">
        <v>2721</v>
      </c>
    </row>
    <row r="252" spans="1:16">
      <c r="A252" s="1" t="s">
        <v>15</v>
      </c>
      <c r="B252" s="1">
        <v>11</v>
      </c>
      <c r="C252" s="1" t="s">
        <v>3183</v>
      </c>
      <c r="D252" s="1" t="s">
        <v>390</v>
      </c>
      <c r="E252" s="2">
        <v>45968</v>
      </c>
      <c r="F252" s="1" t="s">
        <v>256</v>
      </c>
      <c r="G252" s="1" t="s">
        <v>391</v>
      </c>
      <c r="H252" s="1" t="s">
        <v>392</v>
      </c>
      <c r="I252" s="1">
        <v>1</v>
      </c>
      <c r="J252" s="3">
        <v>12799</v>
      </c>
      <c r="K252" s="3">
        <v>12213</v>
      </c>
      <c r="L252" s="1">
        <v>0</v>
      </c>
      <c r="M252" s="4">
        <v>0</v>
      </c>
      <c r="N252" s="1">
        <v>586</v>
      </c>
      <c r="O252" s="4">
        <v>4.5999999999999999E-2</v>
      </c>
      <c r="P252" s="1" t="s">
        <v>2721</v>
      </c>
    </row>
    <row r="253" spans="1:16">
      <c r="A253" s="1" t="s">
        <v>15</v>
      </c>
      <c r="B253" s="1">
        <v>11</v>
      </c>
      <c r="C253" s="1" t="s">
        <v>3184</v>
      </c>
      <c r="D253" s="1" t="s">
        <v>72</v>
      </c>
      <c r="E253" s="2">
        <v>45968</v>
      </c>
      <c r="F253" s="1" t="s">
        <v>63</v>
      </c>
      <c r="G253" s="1" t="s">
        <v>73</v>
      </c>
      <c r="H253" s="1" t="s">
        <v>74</v>
      </c>
      <c r="I253" s="1">
        <v>1</v>
      </c>
      <c r="J253" s="3">
        <v>10456</v>
      </c>
      <c r="K253" s="3">
        <v>9978</v>
      </c>
      <c r="L253" s="1">
        <v>0</v>
      </c>
      <c r="M253" s="4">
        <v>0</v>
      </c>
      <c r="N253" s="1">
        <v>478</v>
      </c>
      <c r="O253" s="4">
        <v>4.5999999999999999E-2</v>
      </c>
      <c r="P253" s="1" t="s">
        <v>2721</v>
      </c>
    </row>
    <row r="254" spans="1:16">
      <c r="A254" s="1" t="s">
        <v>15</v>
      </c>
      <c r="B254" s="1">
        <v>11</v>
      </c>
      <c r="C254" s="1" t="s">
        <v>3185</v>
      </c>
      <c r="D254" s="1" t="s">
        <v>27</v>
      </c>
      <c r="E254" s="2">
        <v>45968</v>
      </c>
      <c r="F254" s="1" t="s">
        <v>28</v>
      </c>
      <c r="G254" s="1" t="s">
        <v>29</v>
      </c>
      <c r="H254" s="1" t="s">
        <v>30</v>
      </c>
      <c r="I254" s="1">
        <v>2</v>
      </c>
      <c r="J254" s="3">
        <v>54065</v>
      </c>
      <c r="K254" s="3">
        <v>51590</v>
      </c>
      <c r="L254" s="1">
        <v>0</v>
      </c>
      <c r="M254" s="4">
        <v>0</v>
      </c>
      <c r="N254" s="3">
        <v>2475</v>
      </c>
      <c r="O254" s="4">
        <v>4.5999999999999999E-2</v>
      </c>
      <c r="P254" s="1" t="s">
        <v>2721</v>
      </c>
    </row>
    <row r="255" spans="1:16">
      <c r="A255" s="1" t="s">
        <v>15</v>
      </c>
      <c r="B255" s="1">
        <v>11</v>
      </c>
      <c r="C255" s="1" t="s">
        <v>3186</v>
      </c>
      <c r="D255" s="1" t="s">
        <v>862</v>
      </c>
      <c r="E255" s="2">
        <v>45968</v>
      </c>
      <c r="F255" s="1" t="s">
        <v>334</v>
      </c>
      <c r="G255" s="1" t="s">
        <v>863</v>
      </c>
      <c r="H255" s="1" t="s">
        <v>864</v>
      </c>
      <c r="I255" s="1">
        <v>1</v>
      </c>
      <c r="J255" s="3">
        <v>16220</v>
      </c>
      <c r="K255" s="3">
        <v>15477</v>
      </c>
      <c r="L255" s="1">
        <v>0</v>
      </c>
      <c r="M255" s="4">
        <v>0</v>
      </c>
      <c r="N255" s="1">
        <v>743</v>
      </c>
      <c r="O255" s="4">
        <v>4.5999999999999999E-2</v>
      </c>
      <c r="P255" s="1" t="s">
        <v>2721</v>
      </c>
    </row>
    <row r="256" spans="1:16">
      <c r="A256" s="1" t="s">
        <v>15</v>
      </c>
      <c r="B256" s="1">
        <v>11</v>
      </c>
      <c r="C256" s="1" t="s">
        <v>3187</v>
      </c>
      <c r="D256" s="1" t="s">
        <v>482</v>
      </c>
      <c r="E256" s="2">
        <v>45968</v>
      </c>
      <c r="F256" s="1" t="s">
        <v>483</v>
      </c>
      <c r="G256" s="1" t="s">
        <v>484</v>
      </c>
      <c r="H256" s="1" t="s">
        <v>860</v>
      </c>
      <c r="I256" s="1">
        <v>1</v>
      </c>
      <c r="J256" s="3">
        <v>27426</v>
      </c>
      <c r="K256" s="3">
        <v>26170</v>
      </c>
      <c r="L256" s="1">
        <v>0</v>
      </c>
      <c r="M256" s="4">
        <v>0</v>
      </c>
      <c r="N256" s="3">
        <v>1256</v>
      </c>
      <c r="O256" s="4">
        <v>4.5999999999999999E-2</v>
      </c>
      <c r="P256" s="1" t="s">
        <v>2721</v>
      </c>
    </row>
    <row r="257" spans="1:16">
      <c r="A257" s="1" t="s">
        <v>15</v>
      </c>
      <c r="B257" s="1">
        <v>11</v>
      </c>
      <c r="C257" s="1" t="s">
        <v>3188</v>
      </c>
      <c r="D257" s="1" t="s">
        <v>3189</v>
      </c>
      <c r="E257" s="2">
        <v>45968</v>
      </c>
      <c r="F257" s="1" t="s">
        <v>174</v>
      </c>
      <c r="G257" s="1" t="s">
        <v>3190</v>
      </c>
      <c r="H257" s="1" t="s">
        <v>3191</v>
      </c>
      <c r="I257" s="1">
        <v>1</v>
      </c>
      <c r="J257" s="3">
        <v>25067</v>
      </c>
      <c r="K257" s="3">
        <v>23919</v>
      </c>
      <c r="L257" s="1">
        <v>0</v>
      </c>
      <c r="M257" s="4">
        <v>0</v>
      </c>
      <c r="N257" s="3">
        <v>1148</v>
      </c>
      <c r="O257" s="4">
        <v>4.5999999999999999E-2</v>
      </c>
      <c r="P257" s="1" t="s">
        <v>2721</v>
      </c>
    </row>
    <row r="258" spans="1:16">
      <c r="A258" s="1" t="s">
        <v>15</v>
      </c>
      <c r="B258" s="1">
        <v>11</v>
      </c>
      <c r="C258" s="1" t="s">
        <v>3192</v>
      </c>
      <c r="D258" s="1" t="s">
        <v>504</v>
      </c>
      <c r="E258" s="2">
        <v>45968</v>
      </c>
      <c r="F258" s="1" t="s">
        <v>407</v>
      </c>
      <c r="G258" s="1" t="s">
        <v>505</v>
      </c>
      <c r="H258" s="1" t="s">
        <v>963</v>
      </c>
      <c r="I258" s="1">
        <v>1</v>
      </c>
      <c r="J258" s="3">
        <v>35880</v>
      </c>
      <c r="K258" s="3">
        <v>34237</v>
      </c>
      <c r="L258" s="1">
        <v>0</v>
      </c>
      <c r="M258" s="4">
        <v>0</v>
      </c>
      <c r="N258" s="3">
        <v>1643</v>
      </c>
      <c r="O258" s="4">
        <v>4.5999999999999999E-2</v>
      </c>
      <c r="P258" s="1" t="s">
        <v>2721</v>
      </c>
    </row>
    <row r="259" spans="1:16">
      <c r="A259" s="1" t="s">
        <v>15</v>
      </c>
      <c r="B259" s="1">
        <v>11</v>
      </c>
      <c r="C259" s="1" t="s">
        <v>3193</v>
      </c>
      <c r="D259" s="1" t="s">
        <v>2392</v>
      </c>
      <c r="E259" s="2">
        <v>45968</v>
      </c>
      <c r="F259" s="1" t="s">
        <v>883</v>
      </c>
      <c r="G259" s="1" t="s">
        <v>2393</v>
      </c>
      <c r="H259" s="1" t="s">
        <v>2394</v>
      </c>
      <c r="I259" s="1">
        <v>1</v>
      </c>
      <c r="J259" s="3">
        <v>11757</v>
      </c>
      <c r="K259" s="3">
        <v>11218</v>
      </c>
      <c r="L259" s="1">
        <v>0</v>
      </c>
      <c r="M259" s="4">
        <v>0</v>
      </c>
      <c r="N259" s="1">
        <v>539</v>
      </c>
      <c r="O259" s="4">
        <v>4.5999999999999999E-2</v>
      </c>
      <c r="P259" s="1" t="s">
        <v>2721</v>
      </c>
    </row>
    <row r="260" spans="1:16">
      <c r="A260" s="1" t="s">
        <v>15</v>
      </c>
      <c r="B260" s="1">
        <v>11</v>
      </c>
      <c r="C260" s="1" t="s">
        <v>3194</v>
      </c>
      <c r="D260" s="1" t="s">
        <v>1393</v>
      </c>
      <c r="E260" s="2">
        <v>45968</v>
      </c>
      <c r="F260" s="1" t="s">
        <v>235</v>
      </c>
      <c r="G260" s="1" t="s">
        <v>1394</v>
      </c>
      <c r="H260" s="1" t="s">
        <v>1395</v>
      </c>
      <c r="I260" s="1">
        <v>4</v>
      </c>
      <c r="J260" s="3">
        <v>32439</v>
      </c>
      <c r="K260" s="3">
        <v>30954</v>
      </c>
      <c r="L260" s="1">
        <v>0</v>
      </c>
      <c r="M260" s="4">
        <v>0</v>
      </c>
      <c r="N260" s="3">
        <v>1485</v>
      </c>
      <c r="O260" s="4">
        <v>4.5999999999999999E-2</v>
      </c>
      <c r="P260" s="1" t="s">
        <v>2721</v>
      </c>
    </row>
    <row r="261" spans="1:16">
      <c r="A261" s="1" t="s">
        <v>15</v>
      </c>
      <c r="B261" s="1">
        <v>11</v>
      </c>
      <c r="C261" s="1" t="s">
        <v>3195</v>
      </c>
      <c r="D261" s="1" t="s">
        <v>985</v>
      </c>
      <c r="E261" s="2">
        <v>45968</v>
      </c>
      <c r="F261" s="1" t="s">
        <v>187</v>
      </c>
      <c r="G261" s="1" t="s">
        <v>986</v>
      </c>
      <c r="H261" s="1" t="s">
        <v>987</v>
      </c>
      <c r="I261" s="1">
        <v>1</v>
      </c>
      <c r="J261" s="3">
        <v>23592</v>
      </c>
      <c r="K261" s="3">
        <v>22512</v>
      </c>
      <c r="L261" s="1">
        <v>0</v>
      </c>
      <c r="M261" s="4">
        <v>0</v>
      </c>
      <c r="N261" s="3">
        <v>1080</v>
      </c>
      <c r="O261" s="4">
        <v>4.5999999999999999E-2</v>
      </c>
      <c r="P261" s="1" t="s">
        <v>2721</v>
      </c>
    </row>
    <row r="262" spans="1:16">
      <c r="A262" s="1" t="s">
        <v>15</v>
      </c>
      <c r="B262" s="1">
        <v>11</v>
      </c>
      <c r="C262" s="1" t="s">
        <v>3196</v>
      </c>
      <c r="D262" s="1" t="s">
        <v>3197</v>
      </c>
      <c r="E262" s="2">
        <v>45968</v>
      </c>
      <c r="F262" s="1" t="s">
        <v>1562</v>
      </c>
      <c r="G262" s="1" t="s">
        <v>3198</v>
      </c>
      <c r="H262" s="1" t="s">
        <v>3199</v>
      </c>
      <c r="I262" s="1">
        <v>1</v>
      </c>
      <c r="J262" s="3">
        <v>373540</v>
      </c>
      <c r="K262" s="3">
        <v>356440</v>
      </c>
      <c r="L262" s="1">
        <v>0</v>
      </c>
      <c r="M262" s="4">
        <v>0</v>
      </c>
      <c r="N262" s="3">
        <v>17100</v>
      </c>
      <c r="O262" s="4">
        <v>4.5999999999999999E-2</v>
      </c>
      <c r="P262" s="1" t="s">
        <v>2721</v>
      </c>
    </row>
    <row r="263" spans="1:16">
      <c r="A263" s="1" t="s">
        <v>15</v>
      </c>
      <c r="B263" s="1">
        <v>11</v>
      </c>
      <c r="C263" s="1" t="s">
        <v>3200</v>
      </c>
      <c r="D263" s="1" t="s">
        <v>80</v>
      </c>
      <c r="E263" s="2">
        <v>45968</v>
      </c>
      <c r="F263" s="1" t="s">
        <v>58</v>
      </c>
      <c r="G263" s="1" t="s">
        <v>81</v>
      </c>
      <c r="H263" s="1" t="s">
        <v>2297</v>
      </c>
      <c r="I263" s="1">
        <v>1</v>
      </c>
      <c r="J263" s="3">
        <v>17301</v>
      </c>
      <c r="K263" s="3">
        <v>16509</v>
      </c>
      <c r="L263" s="1">
        <v>0</v>
      </c>
      <c r="M263" s="4">
        <v>0</v>
      </c>
      <c r="N263" s="1">
        <v>792</v>
      </c>
      <c r="O263" s="4">
        <v>4.5999999999999999E-2</v>
      </c>
      <c r="P263" s="1" t="s">
        <v>2721</v>
      </c>
    </row>
    <row r="264" spans="1:16">
      <c r="A264" s="1" t="s">
        <v>15</v>
      </c>
      <c r="B264" s="1">
        <v>11</v>
      </c>
      <c r="C264" s="1" t="s">
        <v>3201</v>
      </c>
      <c r="D264" s="1" t="s">
        <v>797</v>
      </c>
      <c r="E264" s="2">
        <v>45968</v>
      </c>
      <c r="F264" s="1" t="s">
        <v>798</v>
      </c>
      <c r="G264" s="1" t="s">
        <v>799</v>
      </c>
      <c r="H264" s="1" t="s">
        <v>1098</v>
      </c>
      <c r="I264" s="1">
        <v>1</v>
      </c>
      <c r="J264" s="3">
        <v>13271</v>
      </c>
      <c r="K264" s="3">
        <v>12663</v>
      </c>
      <c r="L264" s="1">
        <v>0</v>
      </c>
      <c r="M264" s="4">
        <v>0</v>
      </c>
      <c r="N264" s="1">
        <v>608</v>
      </c>
      <c r="O264" s="4">
        <v>4.5999999999999999E-2</v>
      </c>
      <c r="P264" s="1" t="s">
        <v>2721</v>
      </c>
    </row>
    <row r="265" spans="1:16">
      <c r="A265" s="1" t="s">
        <v>15</v>
      </c>
      <c r="B265" s="1">
        <v>11</v>
      </c>
      <c r="C265" s="1" t="s">
        <v>3202</v>
      </c>
      <c r="D265" s="1" t="s">
        <v>985</v>
      </c>
      <c r="E265" s="2">
        <v>45968</v>
      </c>
      <c r="F265" s="1" t="s">
        <v>187</v>
      </c>
      <c r="G265" s="1" t="s">
        <v>986</v>
      </c>
      <c r="H265" s="1" t="s">
        <v>987</v>
      </c>
      <c r="I265" s="1">
        <v>1</v>
      </c>
      <c r="J265" s="3">
        <v>23592</v>
      </c>
      <c r="K265" s="3">
        <v>22512</v>
      </c>
      <c r="L265" s="1">
        <v>0</v>
      </c>
      <c r="M265" s="4">
        <v>0</v>
      </c>
      <c r="N265" s="3">
        <v>1080</v>
      </c>
      <c r="O265" s="4">
        <v>4.5999999999999999E-2</v>
      </c>
      <c r="P265" s="1" t="s">
        <v>2721</v>
      </c>
    </row>
    <row r="266" spans="1:16">
      <c r="A266" s="1" t="s">
        <v>15</v>
      </c>
      <c r="B266" s="1">
        <v>11</v>
      </c>
      <c r="C266" s="1" t="s">
        <v>3203</v>
      </c>
      <c r="D266" s="1" t="s">
        <v>1521</v>
      </c>
      <c r="E266" s="2">
        <v>45968</v>
      </c>
      <c r="F266" s="1" t="s">
        <v>235</v>
      </c>
      <c r="G266" s="1" t="s">
        <v>1522</v>
      </c>
      <c r="H266" s="1" t="s">
        <v>3204</v>
      </c>
      <c r="I266" s="1">
        <v>1</v>
      </c>
      <c r="J266" s="3">
        <v>18555</v>
      </c>
      <c r="K266" s="3">
        <v>17706</v>
      </c>
      <c r="L266" s="1">
        <v>0</v>
      </c>
      <c r="M266" s="4">
        <v>0</v>
      </c>
      <c r="N266" s="1">
        <v>849</v>
      </c>
      <c r="O266" s="4">
        <v>4.5999999999999999E-2</v>
      </c>
      <c r="P266" s="1" t="s">
        <v>2721</v>
      </c>
    </row>
    <row r="267" spans="1:16">
      <c r="A267" s="1" t="s">
        <v>15</v>
      </c>
      <c r="B267" s="1">
        <v>11</v>
      </c>
      <c r="C267" s="1" t="s">
        <v>3205</v>
      </c>
      <c r="D267" s="1" t="s">
        <v>862</v>
      </c>
      <c r="E267" s="2">
        <v>45968</v>
      </c>
      <c r="F267" s="1" t="s">
        <v>334</v>
      </c>
      <c r="G267" s="1" t="s">
        <v>863</v>
      </c>
      <c r="H267" s="1" t="s">
        <v>3206</v>
      </c>
      <c r="I267" s="1">
        <v>1</v>
      </c>
      <c r="J267" s="3">
        <v>16220</v>
      </c>
      <c r="K267" s="3">
        <v>15477</v>
      </c>
      <c r="L267" s="1">
        <v>0</v>
      </c>
      <c r="M267" s="4">
        <v>0</v>
      </c>
      <c r="N267" s="1">
        <v>743</v>
      </c>
      <c r="O267" s="4">
        <v>4.5999999999999999E-2</v>
      </c>
      <c r="P267" s="1" t="s">
        <v>2721</v>
      </c>
    </row>
    <row r="268" spans="1:16">
      <c r="A268" s="1" t="s">
        <v>15</v>
      </c>
      <c r="B268" s="1">
        <v>11</v>
      </c>
      <c r="C268" s="1" t="s">
        <v>3205</v>
      </c>
      <c r="D268" s="1" t="s">
        <v>862</v>
      </c>
      <c r="E268" s="2">
        <v>45968</v>
      </c>
      <c r="F268" s="1" t="s">
        <v>334</v>
      </c>
      <c r="G268" s="1" t="s">
        <v>863</v>
      </c>
      <c r="H268" s="1" t="s">
        <v>3207</v>
      </c>
      <c r="I268" s="1">
        <v>1</v>
      </c>
      <c r="J268" s="3">
        <v>16220</v>
      </c>
      <c r="K268" s="3">
        <v>15477</v>
      </c>
      <c r="L268" s="1">
        <v>0</v>
      </c>
      <c r="M268" s="4">
        <v>0</v>
      </c>
      <c r="N268" s="1">
        <v>743</v>
      </c>
      <c r="O268" s="4">
        <v>4.5999999999999999E-2</v>
      </c>
      <c r="P268" s="1" t="s">
        <v>2721</v>
      </c>
    </row>
    <row r="269" spans="1:16">
      <c r="A269" s="1" t="s">
        <v>15</v>
      </c>
      <c r="B269" s="1">
        <v>11</v>
      </c>
      <c r="C269" s="1" t="s">
        <v>3208</v>
      </c>
      <c r="D269" s="1" t="s">
        <v>1512</v>
      </c>
      <c r="E269" s="2">
        <v>45968</v>
      </c>
      <c r="F269" s="1" t="s">
        <v>1513</v>
      </c>
      <c r="G269" s="1" t="s">
        <v>1514</v>
      </c>
      <c r="H269" s="1" t="s">
        <v>3209</v>
      </c>
      <c r="I269" s="1">
        <v>1</v>
      </c>
      <c r="J269" s="3">
        <v>7019</v>
      </c>
      <c r="K269" s="3">
        <v>6697</v>
      </c>
      <c r="L269" s="1">
        <v>0</v>
      </c>
      <c r="M269" s="4">
        <v>0</v>
      </c>
      <c r="N269" s="1">
        <v>322</v>
      </c>
      <c r="O269" s="4">
        <v>4.5999999999999999E-2</v>
      </c>
      <c r="P269" s="1" t="s">
        <v>2721</v>
      </c>
    </row>
    <row r="270" spans="1:16">
      <c r="A270" s="1" t="s">
        <v>15</v>
      </c>
      <c r="B270" s="1">
        <v>11</v>
      </c>
      <c r="C270" s="1" t="s">
        <v>3210</v>
      </c>
      <c r="D270" s="1" t="s">
        <v>979</v>
      </c>
      <c r="E270" s="2">
        <v>45968</v>
      </c>
      <c r="F270" s="1" t="s">
        <v>256</v>
      </c>
      <c r="G270" s="1" t="s">
        <v>980</v>
      </c>
      <c r="H270" s="1" t="s">
        <v>981</v>
      </c>
      <c r="I270" s="1">
        <v>1</v>
      </c>
      <c r="J270" s="3">
        <v>11118</v>
      </c>
      <c r="K270" s="3">
        <v>10609</v>
      </c>
      <c r="L270" s="1">
        <v>0</v>
      </c>
      <c r="M270" s="4">
        <v>0</v>
      </c>
      <c r="N270" s="1">
        <v>509</v>
      </c>
      <c r="O270" s="4">
        <v>4.5999999999999999E-2</v>
      </c>
      <c r="P270" s="1" t="s">
        <v>2721</v>
      </c>
    </row>
    <row r="271" spans="1:16">
      <c r="A271" s="1" t="s">
        <v>15</v>
      </c>
      <c r="B271" s="1">
        <v>11</v>
      </c>
      <c r="C271" s="1" t="s">
        <v>3211</v>
      </c>
      <c r="D271" s="1" t="s">
        <v>3212</v>
      </c>
      <c r="E271" s="2">
        <v>45968</v>
      </c>
      <c r="F271" s="1" t="s">
        <v>96</v>
      </c>
      <c r="G271" s="1" t="s">
        <v>3213</v>
      </c>
      <c r="H271" s="1" t="s">
        <v>3214</v>
      </c>
      <c r="I271" s="1">
        <v>1</v>
      </c>
      <c r="J271" s="3">
        <v>12571</v>
      </c>
      <c r="K271" s="3">
        <v>11995</v>
      </c>
      <c r="L271" s="1">
        <v>0</v>
      </c>
      <c r="M271" s="4">
        <v>0</v>
      </c>
      <c r="N271" s="1">
        <v>576</v>
      </c>
      <c r="O271" s="4">
        <v>4.5999999999999999E-2</v>
      </c>
      <c r="P271" s="1" t="s">
        <v>2721</v>
      </c>
    </row>
    <row r="272" spans="1:16">
      <c r="A272" s="1" t="s">
        <v>15</v>
      </c>
      <c r="B272" s="1">
        <v>11</v>
      </c>
      <c r="C272" s="1" t="s">
        <v>3215</v>
      </c>
      <c r="D272" s="1" t="s">
        <v>850</v>
      </c>
      <c r="E272" s="2">
        <v>45968</v>
      </c>
      <c r="F272" s="1" t="s">
        <v>851</v>
      </c>
      <c r="G272" s="1" t="s">
        <v>852</v>
      </c>
      <c r="H272" s="1" t="s">
        <v>853</v>
      </c>
      <c r="I272" s="1">
        <v>1</v>
      </c>
      <c r="J272" s="3">
        <v>24732</v>
      </c>
      <c r="K272" s="3">
        <v>23600</v>
      </c>
      <c r="L272" s="1">
        <v>0</v>
      </c>
      <c r="M272" s="4">
        <v>0</v>
      </c>
      <c r="N272" s="3">
        <v>1132</v>
      </c>
      <c r="O272" s="4">
        <v>4.5999999999999999E-2</v>
      </c>
      <c r="P272" s="1" t="s">
        <v>2721</v>
      </c>
    </row>
    <row r="273" spans="1:16">
      <c r="A273" s="1" t="s">
        <v>15</v>
      </c>
      <c r="B273" s="1">
        <v>11</v>
      </c>
      <c r="C273" s="1" t="s">
        <v>3216</v>
      </c>
      <c r="D273" s="1" t="s">
        <v>1638</v>
      </c>
      <c r="E273" s="2">
        <v>45968</v>
      </c>
      <c r="F273" s="1" t="s">
        <v>53</v>
      </c>
      <c r="G273" s="1" t="s">
        <v>1639</v>
      </c>
      <c r="H273" s="1" t="s">
        <v>3217</v>
      </c>
      <c r="I273" s="1">
        <v>1</v>
      </c>
      <c r="J273" s="3">
        <v>8383</v>
      </c>
      <c r="K273" s="3">
        <v>7999</v>
      </c>
      <c r="L273" s="1">
        <v>0</v>
      </c>
      <c r="M273" s="4">
        <v>0</v>
      </c>
      <c r="N273" s="1">
        <v>384</v>
      </c>
      <c r="O273" s="4">
        <v>4.5999999999999999E-2</v>
      </c>
      <c r="P273" s="1" t="s">
        <v>2721</v>
      </c>
    </row>
    <row r="274" spans="1:16">
      <c r="A274" s="1" t="s">
        <v>15</v>
      </c>
      <c r="B274" s="1">
        <v>11</v>
      </c>
      <c r="C274" s="1" t="s">
        <v>3218</v>
      </c>
      <c r="D274" s="1" t="s">
        <v>1177</v>
      </c>
      <c r="E274" s="2">
        <v>45968</v>
      </c>
      <c r="F274" s="1" t="s">
        <v>251</v>
      </c>
      <c r="G274" s="1" t="s">
        <v>1178</v>
      </c>
      <c r="H274" s="1" t="s">
        <v>3219</v>
      </c>
      <c r="I274" s="1">
        <v>1</v>
      </c>
      <c r="J274" s="3">
        <v>23592</v>
      </c>
      <c r="K274" s="3">
        <v>22512</v>
      </c>
      <c r="L274" s="1">
        <v>0</v>
      </c>
      <c r="M274" s="4">
        <v>0</v>
      </c>
      <c r="N274" s="3">
        <v>1080</v>
      </c>
      <c r="O274" s="4">
        <v>4.5999999999999999E-2</v>
      </c>
      <c r="P274" s="1" t="s">
        <v>2721</v>
      </c>
    </row>
    <row r="275" spans="1:16">
      <c r="A275" s="1" t="s">
        <v>15</v>
      </c>
      <c r="B275" s="1">
        <v>11</v>
      </c>
      <c r="C275" s="1" t="s">
        <v>3218</v>
      </c>
      <c r="D275" s="1" t="s">
        <v>1177</v>
      </c>
      <c r="E275" s="2">
        <v>45968</v>
      </c>
      <c r="F275" s="1" t="s">
        <v>251</v>
      </c>
      <c r="G275" s="1" t="s">
        <v>1178</v>
      </c>
      <c r="H275" s="1" t="s">
        <v>3219</v>
      </c>
      <c r="I275" s="1">
        <v>1</v>
      </c>
      <c r="J275" s="3">
        <v>23592</v>
      </c>
      <c r="K275" s="3">
        <v>22512</v>
      </c>
      <c r="L275" s="1">
        <v>0</v>
      </c>
      <c r="M275" s="4">
        <v>0</v>
      </c>
      <c r="N275" s="3">
        <v>1080</v>
      </c>
      <c r="O275" s="4">
        <v>4.5999999999999999E-2</v>
      </c>
      <c r="P275" s="1" t="s">
        <v>2721</v>
      </c>
    </row>
    <row r="276" spans="1:16">
      <c r="A276" s="1" t="s">
        <v>15</v>
      </c>
      <c r="B276" s="1">
        <v>11</v>
      </c>
      <c r="C276" s="1" t="s">
        <v>3220</v>
      </c>
      <c r="D276" s="1" t="s">
        <v>3221</v>
      </c>
      <c r="E276" s="2">
        <v>45968</v>
      </c>
      <c r="F276" s="1" t="s">
        <v>1325</v>
      </c>
      <c r="G276" s="1" t="s">
        <v>3222</v>
      </c>
      <c r="H276" s="1" t="s">
        <v>3223</v>
      </c>
      <c r="I276" s="1">
        <v>1</v>
      </c>
      <c r="J276" s="3">
        <v>6783</v>
      </c>
      <c r="K276" s="3">
        <v>6472</v>
      </c>
      <c r="L276" s="1">
        <v>0</v>
      </c>
      <c r="M276" s="4">
        <v>0</v>
      </c>
      <c r="N276" s="1">
        <v>311</v>
      </c>
      <c r="O276" s="4">
        <v>4.5999999999999999E-2</v>
      </c>
      <c r="P276" s="1" t="s">
        <v>2721</v>
      </c>
    </row>
    <row r="277" spans="1:16">
      <c r="A277" s="1" t="s">
        <v>15</v>
      </c>
      <c r="B277" s="1">
        <v>11</v>
      </c>
      <c r="C277" s="1" t="s">
        <v>3220</v>
      </c>
      <c r="D277" s="1" t="s">
        <v>3221</v>
      </c>
      <c r="E277" s="2">
        <v>45968</v>
      </c>
      <c r="F277" s="1" t="s">
        <v>1325</v>
      </c>
      <c r="G277" s="1" t="s">
        <v>3222</v>
      </c>
      <c r="H277" s="1" t="s">
        <v>3224</v>
      </c>
      <c r="I277" s="1">
        <v>1</v>
      </c>
      <c r="J277" s="3">
        <v>6783</v>
      </c>
      <c r="K277" s="3">
        <v>6472</v>
      </c>
      <c r="L277" s="1">
        <v>0</v>
      </c>
      <c r="M277" s="4">
        <v>0</v>
      </c>
      <c r="N277" s="1">
        <v>311</v>
      </c>
      <c r="O277" s="4">
        <v>4.5999999999999999E-2</v>
      </c>
      <c r="P277" s="1" t="s">
        <v>2721</v>
      </c>
    </row>
    <row r="278" spans="1:16">
      <c r="A278" s="1" t="s">
        <v>15</v>
      </c>
      <c r="B278" s="1">
        <v>11</v>
      </c>
      <c r="C278" s="1" t="s">
        <v>3225</v>
      </c>
      <c r="D278" s="1" t="s">
        <v>341</v>
      </c>
      <c r="E278" s="2">
        <v>45968</v>
      </c>
      <c r="F278" s="1" t="s">
        <v>53</v>
      </c>
      <c r="G278" s="1" t="s">
        <v>342</v>
      </c>
      <c r="H278" s="1" t="s">
        <v>2882</v>
      </c>
      <c r="I278" s="1">
        <v>1</v>
      </c>
      <c r="J278" s="3">
        <v>16135</v>
      </c>
      <c r="K278" s="3">
        <v>15396</v>
      </c>
      <c r="L278" s="1">
        <v>0</v>
      </c>
      <c r="M278" s="4">
        <v>0</v>
      </c>
      <c r="N278" s="1">
        <v>739</v>
      </c>
      <c r="O278" s="4">
        <v>4.5999999999999999E-2</v>
      </c>
      <c r="P278" s="1" t="s">
        <v>2721</v>
      </c>
    </row>
    <row r="279" spans="1:16">
      <c r="A279" s="1" t="s">
        <v>15</v>
      </c>
      <c r="B279" s="1">
        <v>11</v>
      </c>
      <c r="C279" s="1" t="s">
        <v>3226</v>
      </c>
      <c r="D279" s="1" t="s">
        <v>3227</v>
      </c>
      <c r="E279" s="2">
        <v>45968</v>
      </c>
      <c r="F279" s="1" t="s">
        <v>3228</v>
      </c>
      <c r="G279" s="1" t="s">
        <v>3229</v>
      </c>
      <c r="H279" s="1" t="s">
        <v>3230</v>
      </c>
      <c r="I279" s="1">
        <v>1</v>
      </c>
      <c r="J279" s="3">
        <v>34405</v>
      </c>
      <c r="K279" s="3">
        <v>32830</v>
      </c>
      <c r="L279" s="1">
        <v>0</v>
      </c>
      <c r="M279" s="4">
        <v>0</v>
      </c>
      <c r="N279" s="3">
        <v>1575</v>
      </c>
      <c r="O279" s="4">
        <v>4.5999999999999999E-2</v>
      </c>
      <c r="P279" s="1" t="s">
        <v>2721</v>
      </c>
    </row>
    <row r="280" spans="1:16">
      <c r="A280" s="1" t="s">
        <v>15</v>
      </c>
      <c r="B280" s="1">
        <v>11</v>
      </c>
      <c r="C280" s="1" t="s">
        <v>3231</v>
      </c>
      <c r="D280" s="1" t="s">
        <v>3232</v>
      </c>
      <c r="E280" s="2">
        <v>45968</v>
      </c>
      <c r="F280" s="1" t="s">
        <v>1772</v>
      </c>
      <c r="G280" s="1" t="s">
        <v>3233</v>
      </c>
      <c r="H280" s="1" t="s">
        <v>3234</v>
      </c>
      <c r="I280" s="1">
        <v>1</v>
      </c>
      <c r="J280" s="3">
        <v>29077</v>
      </c>
      <c r="K280" s="3">
        <v>27746</v>
      </c>
      <c r="L280" s="1">
        <v>0</v>
      </c>
      <c r="M280" s="4">
        <v>0</v>
      </c>
      <c r="N280" s="3">
        <v>1331</v>
      </c>
      <c r="O280" s="4">
        <v>4.5999999999999999E-2</v>
      </c>
      <c r="P280" s="1" t="s">
        <v>2721</v>
      </c>
    </row>
    <row r="281" spans="1:16">
      <c r="A281" s="1" t="s">
        <v>15</v>
      </c>
      <c r="B281" s="1">
        <v>11</v>
      </c>
      <c r="C281" s="1" t="s">
        <v>3235</v>
      </c>
      <c r="D281" s="1" t="s">
        <v>838</v>
      </c>
      <c r="E281" s="2">
        <v>45968</v>
      </c>
      <c r="F281" s="1" t="s">
        <v>839</v>
      </c>
      <c r="G281" s="1" t="s">
        <v>840</v>
      </c>
      <c r="I281" s="1">
        <v>1</v>
      </c>
      <c r="J281" s="3">
        <v>21135</v>
      </c>
      <c r="K281" s="3">
        <v>20167</v>
      </c>
      <c r="L281" s="1">
        <v>0</v>
      </c>
      <c r="M281" s="4">
        <v>0</v>
      </c>
      <c r="N281" s="1">
        <v>968</v>
      </c>
      <c r="O281" s="4">
        <v>4.5999999999999999E-2</v>
      </c>
      <c r="P281" s="1" t="s">
        <v>2721</v>
      </c>
    </row>
    <row r="282" spans="1:16">
      <c r="A282" s="1" t="s">
        <v>15</v>
      </c>
      <c r="B282" s="1">
        <v>11</v>
      </c>
      <c r="C282" s="1" t="s">
        <v>3236</v>
      </c>
      <c r="D282" s="1" t="s">
        <v>1049</v>
      </c>
      <c r="E282" s="2">
        <v>45968</v>
      </c>
      <c r="F282" s="1" t="s">
        <v>469</v>
      </c>
      <c r="G282" s="1" t="s">
        <v>1050</v>
      </c>
      <c r="H282" s="1" t="s">
        <v>1117</v>
      </c>
      <c r="I282" s="1">
        <v>1</v>
      </c>
      <c r="J282" s="3">
        <v>15728</v>
      </c>
      <c r="K282" s="3">
        <v>15008</v>
      </c>
      <c r="L282" s="1">
        <v>0</v>
      </c>
      <c r="M282" s="4">
        <v>0</v>
      </c>
      <c r="N282" s="1">
        <v>720</v>
      </c>
      <c r="O282" s="4">
        <v>4.5999999999999999E-2</v>
      </c>
      <c r="P282" s="1" t="s">
        <v>2721</v>
      </c>
    </row>
    <row r="283" spans="1:16">
      <c r="A283" s="1" t="s">
        <v>15</v>
      </c>
      <c r="B283" s="1">
        <v>11</v>
      </c>
      <c r="C283" s="1" t="s">
        <v>3237</v>
      </c>
      <c r="D283" s="1" t="s">
        <v>482</v>
      </c>
      <c r="E283" s="2">
        <v>45968</v>
      </c>
      <c r="F283" s="1" t="s">
        <v>483</v>
      </c>
      <c r="G283" s="1" t="s">
        <v>484</v>
      </c>
      <c r="H283" s="1" t="s">
        <v>485</v>
      </c>
      <c r="I283" s="1">
        <v>1</v>
      </c>
      <c r="J283" s="3">
        <v>16501</v>
      </c>
      <c r="K283" s="3">
        <v>15745</v>
      </c>
      <c r="L283" s="1">
        <v>0</v>
      </c>
      <c r="M283" s="4">
        <v>0</v>
      </c>
      <c r="N283" s="1">
        <v>756</v>
      </c>
      <c r="O283" s="4">
        <v>4.5999999999999999E-2</v>
      </c>
      <c r="P283" s="1" t="s">
        <v>2721</v>
      </c>
    </row>
    <row r="284" spans="1:16">
      <c r="A284" s="1" t="s">
        <v>15</v>
      </c>
      <c r="B284" s="1">
        <v>11</v>
      </c>
      <c r="C284" s="1" t="s">
        <v>3238</v>
      </c>
      <c r="D284" s="1" t="s">
        <v>1302</v>
      </c>
      <c r="E284" s="2">
        <v>45968</v>
      </c>
      <c r="F284" s="1" t="s">
        <v>256</v>
      </c>
      <c r="G284" s="1" t="s">
        <v>1303</v>
      </c>
      <c r="H284" s="1" t="s">
        <v>1304</v>
      </c>
      <c r="I284" s="1">
        <v>1</v>
      </c>
      <c r="J284" s="3">
        <v>4944</v>
      </c>
      <c r="K284" s="3">
        <v>4718</v>
      </c>
      <c r="L284" s="1">
        <v>0</v>
      </c>
      <c r="M284" s="4">
        <v>0</v>
      </c>
      <c r="N284" s="1">
        <v>226</v>
      </c>
      <c r="O284" s="4">
        <v>4.5999999999999999E-2</v>
      </c>
      <c r="P284" s="1" t="s">
        <v>2721</v>
      </c>
    </row>
    <row r="285" spans="1:16">
      <c r="A285" s="1" t="s">
        <v>15</v>
      </c>
      <c r="B285" s="1">
        <v>11</v>
      </c>
      <c r="C285" s="1" t="s">
        <v>3239</v>
      </c>
      <c r="D285" s="1" t="s">
        <v>482</v>
      </c>
      <c r="E285" s="2">
        <v>45968</v>
      </c>
      <c r="F285" s="1" t="s">
        <v>483</v>
      </c>
      <c r="G285" s="1" t="s">
        <v>484</v>
      </c>
      <c r="H285" s="1" t="s">
        <v>1610</v>
      </c>
      <c r="I285" s="1">
        <v>1</v>
      </c>
      <c r="J285" s="3">
        <v>81098</v>
      </c>
      <c r="K285" s="3">
        <v>77385</v>
      </c>
      <c r="L285" s="1">
        <v>0</v>
      </c>
      <c r="M285" s="4">
        <v>0</v>
      </c>
      <c r="N285" s="3">
        <v>3713</v>
      </c>
      <c r="O285" s="4">
        <v>4.5999999999999999E-2</v>
      </c>
      <c r="P285" s="1" t="s">
        <v>2721</v>
      </c>
    </row>
    <row r="286" spans="1:16">
      <c r="A286" s="1" t="s">
        <v>15</v>
      </c>
      <c r="B286" s="1">
        <v>11</v>
      </c>
      <c r="C286" s="1" t="s">
        <v>3240</v>
      </c>
      <c r="D286" s="1" t="s">
        <v>549</v>
      </c>
      <c r="E286" s="2">
        <v>45968</v>
      </c>
      <c r="F286" s="1" t="s">
        <v>63</v>
      </c>
      <c r="G286" s="1" t="s">
        <v>550</v>
      </c>
      <c r="H286" s="1" t="s">
        <v>551</v>
      </c>
      <c r="I286" s="1">
        <v>1</v>
      </c>
      <c r="J286" s="3">
        <v>15422</v>
      </c>
      <c r="K286" s="3">
        <v>14716</v>
      </c>
      <c r="L286" s="1">
        <v>0</v>
      </c>
      <c r="M286" s="4">
        <v>0</v>
      </c>
      <c r="N286" s="1">
        <v>706</v>
      </c>
      <c r="O286" s="4">
        <v>4.5999999999999999E-2</v>
      </c>
      <c r="P286" s="1" t="s">
        <v>2721</v>
      </c>
    </row>
    <row r="287" spans="1:16">
      <c r="A287" s="1" t="s">
        <v>15</v>
      </c>
      <c r="B287" s="1">
        <v>11</v>
      </c>
      <c r="C287" s="1" t="s">
        <v>3241</v>
      </c>
      <c r="D287" s="1" t="s">
        <v>2903</v>
      </c>
      <c r="E287" s="2">
        <v>45968</v>
      </c>
      <c r="F287" s="1" t="s">
        <v>96</v>
      </c>
      <c r="G287" s="1" t="s">
        <v>2904</v>
      </c>
      <c r="H287" s="1" t="s">
        <v>2905</v>
      </c>
      <c r="I287" s="1">
        <v>1</v>
      </c>
      <c r="J287" s="3">
        <v>7054</v>
      </c>
      <c r="K287" s="3">
        <v>6731</v>
      </c>
      <c r="L287" s="1">
        <v>0</v>
      </c>
      <c r="M287" s="4">
        <v>0</v>
      </c>
      <c r="N287" s="1">
        <v>323</v>
      </c>
      <c r="O287" s="4">
        <v>4.5999999999999999E-2</v>
      </c>
      <c r="P287" s="1" t="s">
        <v>2721</v>
      </c>
    </row>
    <row r="288" spans="1:16">
      <c r="A288" s="1" t="s">
        <v>15</v>
      </c>
      <c r="B288" s="1">
        <v>11</v>
      </c>
      <c r="C288" s="1" t="s">
        <v>3242</v>
      </c>
      <c r="D288" s="1" t="s">
        <v>1177</v>
      </c>
      <c r="E288" s="2">
        <v>45968</v>
      </c>
      <c r="F288" s="1" t="s">
        <v>251</v>
      </c>
      <c r="G288" s="1" t="s">
        <v>1178</v>
      </c>
      <c r="H288" s="1" t="s">
        <v>1179</v>
      </c>
      <c r="I288" s="1">
        <v>1</v>
      </c>
      <c r="J288" s="3">
        <v>21429</v>
      </c>
      <c r="K288" s="3">
        <v>20448</v>
      </c>
      <c r="L288" s="1">
        <v>0</v>
      </c>
      <c r="M288" s="4">
        <v>0</v>
      </c>
      <c r="N288" s="1">
        <v>981</v>
      </c>
      <c r="O288" s="4">
        <v>4.5999999999999999E-2</v>
      </c>
      <c r="P288" s="1" t="s">
        <v>2721</v>
      </c>
    </row>
    <row r="289" spans="1:16">
      <c r="A289" s="1" t="s">
        <v>15</v>
      </c>
      <c r="B289" s="1">
        <v>11</v>
      </c>
      <c r="C289" s="1" t="s">
        <v>3242</v>
      </c>
      <c r="D289" s="1" t="s">
        <v>1177</v>
      </c>
      <c r="E289" s="2">
        <v>45968</v>
      </c>
      <c r="F289" s="1" t="s">
        <v>251</v>
      </c>
      <c r="G289" s="1" t="s">
        <v>1178</v>
      </c>
      <c r="H289" s="1" t="s">
        <v>1179</v>
      </c>
      <c r="I289" s="1">
        <v>1</v>
      </c>
      <c r="J289" s="3">
        <v>21429</v>
      </c>
      <c r="K289" s="3">
        <v>20448</v>
      </c>
      <c r="L289" s="1">
        <v>0</v>
      </c>
      <c r="M289" s="4">
        <v>0</v>
      </c>
      <c r="N289" s="1">
        <v>981</v>
      </c>
      <c r="O289" s="4">
        <v>4.5999999999999999E-2</v>
      </c>
      <c r="P289" s="1" t="s">
        <v>2721</v>
      </c>
    </row>
    <row r="290" spans="1:16">
      <c r="A290" s="1" t="s">
        <v>15</v>
      </c>
      <c r="B290" s="1">
        <v>11</v>
      </c>
      <c r="C290" s="1" t="s">
        <v>3243</v>
      </c>
      <c r="D290" s="1" t="s">
        <v>3244</v>
      </c>
      <c r="E290" s="2">
        <v>45968</v>
      </c>
      <c r="F290" s="1" t="s">
        <v>151</v>
      </c>
      <c r="G290" s="1" t="s">
        <v>3245</v>
      </c>
      <c r="H290" s="1" t="s">
        <v>3245</v>
      </c>
      <c r="I290" s="1">
        <v>1</v>
      </c>
      <c r="J290" s="3">
        <v>25067</v>
      </c>
      <c r="K290" s="3">
        <v>23919</v>
      </c>
      <c r="L290" s="1">
        <v>0</v>
      </c>
      <c r="M290" s="4">
        <v>0</v>
      </c>
      <c r="N290" s="3">
        <v>1148</v>
      </c>
      <c r="O290" s="4">
        <v>4.5999999999999999E-2</v>
      </c>
      <c r="P290" s="1" t="s">
        <v>2721</v>
      </c>
    </row>
    <row r="291" spans="1:16">
      <c r="A291" s="1" t="s">
        <v>15</v>
      </c>
      <c r="B291" s="1">
        <v>11</v>
      </c>
      <c r="C291" s="1" t="s">
        <v>3246</v>
      </c>
      <c r="D291" s="1" t="s">
        <v>3247</v>
      </c>
      <c r="E291" s="2">
        <v>45968</v>
      </c>
      <c r="F291" s="1" t="s">
        <v>77</v>
      </c>
      <c r="G291" s="1" t="s">
        <v>3248</v>
      </c>
      <c r="H291" s="1" t="s">
        <v>3248</v>
      </c>
      <c r="I291" s="1">
        <v>1</v>
      </c>
      <c r="J291" s="3">
        <v>26541</v>
      </c>
      <c r="K291" s="3">
        <v>25326</v>
      </c>
      <c r="L291" s="1">
        <v>0</v>
      </c>
      <c r="M291" s="4">
        <v>0</v>
      </c>
      <c r="N291" s="3">
        <v>1215</v>
      </c>
      <c r="O291" s="4">
        <v>4.5999999999999999E-2</v>
      </c>
      <c r="P291" s="1" t="s">
        <v>2721</v>
      </c>
    </row>
    <row r="292" spans="1:16">
      <c r="A292" s="1" t="s">
        <v>15</v>
      </c>
      <c r="B292" s="1">
        <v>11</v>
      </c>
      <c r="C292" s="1" t="s">
        <v>3249</v>
      </c>
      <c r="D292" s="1" t="s">
        <v>341</v>
      </c>
      <c r="E292" s="2">
        <v>45968</v>
      </c>
      <c r="F292" s="1" t="s">
        <v>53</v>
      </c>
      <c r="G292" s="1" t="s">
        <v>342</v>
      </c>
      <c r="H292" s="1" t="s">
        <v>2882</v>
      </c>
      <c r="I292" s="1">
        <v>1</v>
      </c>
      <c r="J292" s="3">
        <v>16135</v>
      </c>
      <c r="K292" s="3">
        <v>15396</v>
      </c>
      <c r="L292" s="1">
        <v>0</v>
      </c>
      <c r="M292" s="4">
        <v>0</v>
      </c>
      <c r="N292" s="1">
        <v>739</v>
      </c>
      <c r="O292" s="4">
        <v>4.5999999999999999E-2</v>
      </c>
      <c r="P292" s="1" t="s">
        <v>2721</v>
      </c>
    </row>
    <row r="293" spans="1:16">
      <c r="A293" s="1" t="s">
        <v>15</v>
      </c>
      <c r="B293" s="1">
        <v>11</v>
      </c>
      <c r="C293" s="1" t="s">
        <v>3250</v>
      </c>
      <c r="D293" s="1" t="s">
        <v>797</v>
      </c>
      <c r="E293" s="2">
        <v>45968</v>
      </c>
      <c r="F293" s="1" t="s">
        <v>798</v>
      </c>
      <c r="G293" s="1" t="s">
        <v>799</v>
      </c>
      <c r="H293" s="1" t="s">
        <v>832</v>
      </c>
      <c r="I293" s="1">
        <v>1</v>
      </c>
      <c r="J293" s="3">
        <v>13271</v>
      </c>
      <c r="K293" s="3">
        <v>12663</v>
      </c>
      <c r="L293" s="1">
        <v>0</v>
      </c>
      <c r="M293" s="4">
        <v>0</v>
      </c>
      <c r="N293" s="1">
        <v>608</v>
      </c>
      <c r="O293" s="4">
        <v>4.5999999999999999E-2</v>
      </c>
      <c r="P293" s="1" t="s">
        <v>2721</v>
      </c>
    </row>
    <row r="294" spans="1:16">
      <c r="A294" s="1" t="s">
        <v>15</v>
      </c>
      <c r="B294" s="1">
        <v>11</v>
      </c>
      <c r="C294" s="1" t="s">
        <v>3251</v>
      </c>
      <c r="D294" s="1" t="s">
        <v>3252</v>
      </c>
      <c r="E294" s="2">
        <v>45968</v>
      </c>
      <c r="F294" s="1" t="s">
        <v>77</v>
      </c>
      <c r="G294" s="1" t="s">
        <v>3253</v>
      </c>
      <c r="H294" s="1" t="s">
        <v>3253</v>
      </c>
      <c r="I294" s="1">
        <v>1</v>
      </c>
      <c r="J294" s="3">
        <v>11231</v>
      </c>
      <c r="K294" s="3">
        <v>10717</v>
      </c>
      <c r="L294" s="1">
        <v>0</v>
      </c>
      <c r="M294" s="4">
        <v>0</v>
      </c>
      <c r="N294" s="1">
        <v>514</v>
      </c>
      <c r="O294" s="4">
        <v>4.5999999999999999E-2</v>
      </c>
      <c r="P294" s="1" t="s">
        <v>2721</v>
      </c>
    </row>
    <row r="295" spans="1:16">
      <c r="A295" s="1" t="s">
        <v>15</v>
      </c>
      <c r="B295" s="1">
        <v>11</v>
      </c>
      <c r="C295" s="1" t="s">
        <v>3251</v>
      </c>
      <c r="D295" s="1" t="s">
        <v>3254</v>
      </c>
      <c r="E295" s="2">
        <v>45968</v>
      </c>
      <c r="F295" s="1" t="s">
        <v>77</v>
      </c>
      <c r="G295" s="1" t="s">
        <v>3255</v>
      </c>
      <c r="H295" s="1" t="s">
        <v>3255</v>
      </c>
      <c r="I295" s="1">
        <v>1</v>
      </c>
      <c r="J295" s="3">
        <v>11231</v>
      </c>
      <c r="K295" s="3">
        <v>10717</v>
      </c>
      <c r="L295" s="1">
        <v>0</v>
      </c>
      <c r="M295" s="4">
        <v>0</v>
      </c>
      <c r="N295" s="1">
        <v>514</v>
      </c>
      <c r="O295" s="4">
        <v>4.5999999999999999E-2</v>
      </c>
      <c r="P295" s="1" t="s">
        <v>2721</v>
      </c>
    </row>
    <row r="296" spans="1:16">
      <c r="A296" s="1" t="s">
        <v>15</v>
      </c>
      <c r="B296" s="1">
        <v>11</v>
      </c>
      <c r="C296" s="1" t="s">
        <v>3251</v>
      </c>
      <c r="D296" s="1" t="s">
        <v>3256</v>
      </c>
      <c r="E296" s="2">
        <v>45968</v>
      </c>
      <c r="F296" s="1" t="s">
        <v>77</v>
      </c>
      <c r="G296" s="1" t="s">
        <v>3257</v>
      </c>
      <c r="H296" s="1" t="s">
        <v>3257</v>
      </c>
      <c r="I296" s="1">
        <v>1</v>
      </c>
      <c r="J296" s="3">
        <v>11231</v>
      </c>
      <c r="K296" s="3">
        <v>10717</v>
      </c>
      <c r="L296" s="1">
        <v>0</v>
      </c>
      <c r="M296" s="4">
        <v>0</v>
      </c>
      <c r="N296" s="1">
        <v>514</v>
      </c>
      <c r="O296" s="4">
        <v>4.5999999999999999E-2</v>
      </c>
      <c r="P296" s="1" t="s">
        <v>2721</v>
      </c>
    </row>
    <row r="297" spans="1:16">
      <c r="A297" s="1" t="s">
        <v>15</v>
      </c>
      <c r="B297" s="1">
        <v>11</v>
      </c>
      <c r="C297" s="1" t="s">
        <v>3258</v>
      </c>
      <c r="D297" s="1" t="s">
        <v>1419</v>
      </c>
      <c r="E297" s="2">
        <v>45968</v>
      </c>
      <c r="F297" s="1" t="s">
        <v>96</v>
      </c>
      <c r="G297" s="1" t="s">
        <v>1420</v>
      </c>
      <c r="H297" s="1" t="s">
        <v>3259</v>
      </c>
      <c r="I297" s="1">
        <v>1</v>
      </c>
      <c r="J297" s="3">
        <v>11550</v>
      </c>
      <c r="K297" s="3">
        <v>11022</v>
      </c>
      <c r="L297" s="1">
        <v>0</v>
      </c>
      <c r="M297" s="4">
        <v>0</v>
      </c>
      <c r="N297" s="1">
        <v>528</v>
      </c>
      <c r="O297" s="4">
        <v>4.5999999999999999E-2</v>
      </c>
      <c r="P297" s="1" t="s">
        <v>2721</v>
      </c>
    </row>
    <row r="298" spans="1:16">
      <c r="A298" s="1" t="s">
        <v>15</v>
      </c>
      <c r="B298" s="1">
        <v>11</v>
      </c>
      <c r="C298" s="1" t="s">
        <v>3258</v>
      </c>
      <c r="D298" s="1" t="s">
        <v>104</v>
      </c>
      <c r="E298" s="2">
        <v>45968</v>
      </c>
      <c r="F298" s="1" t="s">
        <v>96</v>
      </c>
      <c r="G298" s="1" t="s">
        <v>105</v>
      </c>
      <c r="H298" s="1" t="s">
        <v>106</v>
      </c>
      <c r="I298" s="1">
        <v>1</v>
      </c>
      <c r="J298" s="3">
        <v>21614</v>
      </c>
      <c r="K298" s="3">
        <v>20625</v>
      </c>
      <c r="L298" s="1">
        <v>0</v>
      </c>
      <c r="M298" s="4">
        <v>0</v>
      </c>
      <c r="N298" s="1">
        <v>989</v>
      </c>
      <c r="O298" s="4">
        <v>4.5999999999999999E-2</v>
      </c>
      <c r="P298" s="1" t="s">
        <v>2721</v>
      </c>
    </row>
    <row r="299" spans="1:16">
      <c r="A299" s="1" t="s">
        <v>15</v>
      </c>
      <c r="B299" s="1">
        <v>11</v>
      </c>
      <c r="C299" s="1" t="s">
        <v>3258</v>
      </c>
      <c r="D299" s="1" t="s">
        <v>221</v>
      </c>
      <c r="E299" s="2">
        <v>45968</v>
      </c>
      <c r="F299" s="1" t="s">
        <v>96</v>
      </c>
      <c r="G299" s="1" t="s">
        <v>222</v>
      </c>
      <c r="H299" s="1" t="s">
        <v>1015</v>
      </c>
      <c r="I299" s="1">
        <v>1</v>
      </c>
      <c r="J299" s="3">
        <v>12571</v>
      </c>
      <c r="K299" s="3">
        <v>11995</v>
      </c>
      <c r="L299" s="1">
        <v>0</v>
      </c>
      <c r="M299" s="4">
        <v>0</v>
      </c>
      <c r="N299" s="1">
        <v>576</v>
      </c>
      <c r="O299" s="4">
        <v>4.5999999999999999E-2</v>
      </c>
      <c r="P299" s="1" t="s">
        <v>2721</v>
      </c>
    </row>
    <row r="300" spans="1:16">
      <c r="A300" s="1" t="s">
        <v>15</v>
      </c>
      <c r="B300" s="1">
        <v>11</v>
      </c>
      <c r="C300" s="1" t="s">
        <v>3260</v>
      </c>
      <c r="D300" s="1" t="s">
        <v>3261</v>
      </c>
      <c r="E300" s="2">
        <v>45968</v>
      </c>
      <c r="F300" s="1" t="s">
        <v>446</v>
      </c>
      <c r="G300" s="1" t="s">
        <v>3262</v>
      </c>
      <c r="H300" s="1" t="s">
        <v>3263</v>
      </c>
      <c r="I300" s="1">
        <v>1</v>
      </c>
      <c r="J300" s="3">
        <v>22118</v>
      </c>
      <c r="K300" s="3">
        <v>21105</v>
      </c>
      <c r="L300" s="1">
        <v>0</v>
      </c>
      <c r="M300" s="4">
        <v>0</v>
      </c>
      <c r="N300" s="3">
        <v>1013</v>
      </c>
      <c r="O300" s="4">
        <v>4.5999999999999999E-2</v>
      </c>
      <c r="P300" s="1" t="s">
        <v>2721</v>
      </c>
    </row>
    <row r="301" spans="1:16">
      <c r="A301" s="1" t="s">
        <v>15</v>
      </c>
      <c r="B301" s="1">
        <v>11</v>
      </c>
      <c r="C301" s="1" t="s">
        <v>3264</v>
      </c>
      <c r="D301" s="1" t="s">
        <v>504</v>
      </c>
      <c r="E301" s="2">
        <v>45968</v>
      </c>
      <c r="F301" s="1" t="s">
        <v>407</v>
      </c>
      <c r="G301" s="1" t="s">
        <v>505</v>
      </c>
      <c r="H301" s="1" t="s">
        <v>963</v>
      </c>
      <c r="I301" s="1">
        <v>1</v>
      </c>
      <c r="J301" s="3">
        <v>35880</v>
      </c>
      <c r="K301" s="3">
        <v>34237</v>
      </c>
      <c r="L301" s="1">
        <v>0</v>
      </c>
      <c r="M301" s="4">
        <v>0</v>
      </c>
      <c r="N301" s="3">
        <v>1643</v>
      </c>
      <c r="O301" s="4">
        <v>4.5999999999999999E-2</v>
      </c>
      <c r="P301" s="1" t="s">
        <v>2721</v>
      </c>
    </row>
    <row r="302" spans="1:16">
      <c r="A302" s="1" t="s">
        <v>15</v>
      </c>
      <c r="B302" s="1">
        <v>11</v>
      </c>
      <c r="C302" s="1" t="s">
        <v>3265</v>
      </c>
      <c r="D302" s="1" t="s">
        <v>260</v>
      </c>
      <c r="E302" s="2">
        <v>45968</v>
      </c>
      <c r="F302" s="1" t="s">
        <v>261</v>
      </c>
      <c r="G302" s="1" t="s">
        <v>262</v>
      </c>
      <c r="H302" s="1" t="s">
        <v>263</v>
      </c>
      <c r="I302" s="1">
        <v>1</v>
      </c>
      <c r="J302" s="3">
        <v>44235</v>
      </c>
      <c r="K302" s="3">
        <v>42210</v>
      </c>
      <c r="L302" s="1">
        <v>0</v>
      </c>
      <c r="M302" s="4">
        <v>0</v>
      </c>
      <c r="N302" s="3">
        <v>2025</v>
      </c>
      <c r="O302" s="4">
        <v>4.5999999999999999E-2</v>
      </c>
      <c r="P302" s="1" t="s">
        <v>2721</v>
      </c>
    </row>
    <row r="303" spans="1:16">
      <c r="A303" s="1" t="s">
        <v>15</v>
      </c>
      <c r="B303" s="1">
        <v>11</v>
      </c>
      <c r="C303" s="1" t="s">
        <v>3266</v>
      </c>
      <c r="D303" s="1" t="s">
        <v>3267</v>
      </c>
      <c r="E303" s="2">
        <v>45968</v>
      </c>
      <c r="F303" s="1" t="s">
        <v>839</v>
      </c>
      <c r="G303" s="1" t="s">
        <v>3268</v>
      </c>
      <c r="H303" s="1" t="s">
        <v>3269</v>
      </c>
      <c r="I303" s="1">
        <v>1</v>
      </c>
      <c r="J303" s="3">
        <v>12189</v>
      </c>
      <c r="K303" s="3">
        <v>11631</v>
      </c>
      <c r="L303" s="1">
        <v>0</v>
      </c>
      <c r="M303" s="4">
        <v>0</v>
      </c>
      <c r="N303" s="1">
        <v>558</v>
      </c>
      <c r="O303" s="4">
        <v>4.5999999999999999E-2</v>
      </c>
      <c r="P303" s="1" t="s">
        <v>2721</v>
      </c>
    </row>
    <row r="304" spans="1:16">
      <c r="A304" s="1" t="s">
        <v>15</v>
      </c>
      <c r="B304" s="1">
        <v>11</v>
      </c>
      <c r="C304" s="1" t="s">
        <v>3266</v>
      </c>
      <c r="D304" s="1" t="s">
        <v>3267</v>
      </c>
      <c r="E304" s="2">
        <v>45968</v>
      </c>
      <c r="F304" s="1" t="s">
        <v>839</v>
      </c>
      <c r="G304" s="1" t="s">
        <v>3268</v>
      </c>
      <c r="H304" s="1" t="s">
        <v>3270</v>
      </c>
      <c r="I304" s="1">
        <v>1</v>
      </c>
      <c r="J304" s="3">
        <v>12189</v>
      </c>
      <c r="K304" s="3">
        <v>11631</v>
      </c>
      <c r="L304" s="1">
        <v>0</v>
      </c>
      <c r="M304" s="4">
        <v>0</v>
      </c>
      <c r="N304" s="1">
        <v>558</v>
      </c>
      <c r="O304" s="4">
        <v>4.5999999999999999E-2</v>
      </c>
      <c r="P304" s="1" t="s">
        <v>2721</v>
      </c>
    </row>
    <row r="305" spans="1:16">
      <c r="A305" s="1" t="s">
        <v>15</v>
      </c>
      <c r="B305" s="1">
        <v>11</v>
      </c>
      <c r="C305" s="1" t="s">
        <v>3271</v>
      </c>
      <c r="D305" s="1" t="s">
        <v>482</v>
      </c>
      <c r="E305" s="2">
        <v>45968</v>
      </c>
      <c r="F305" s="1" t="s">
        <v>483</v>
      </c>
      <c r="G305" s="1" t="s">
        <v>484</v>
      </c>
      <c r="H305" s="1" t="s">
        <v>1610</v>
      </c>
      <c r="I305" s="1">
        <v>1</v>
      </c>
      <c r="J305" s="3">
        <v>81098</v>
      </c>
      <c r="K305" s="3">
        <v>77385</v>
      </c>
      <c r="L305" s="1">
        <v>0</v>
      </c>
      <c r="M305" s="4">
        <v>0</v>
      </c>
      <c r="N305" s="3">
        <v>3713</v>
      </c>
      <c r="O305" s="4">
        <v>4.5999999999999999E-2</v>
      </c>
      <c r="P305" s="1" t="s">
        <v>2721</v>
      </c>
    </row>
    <row r="306" spans="1:16">
      <c r="A306" s="1" t="s">
        <v>15</v>
      </c>
      <c r="B306" s="1">
        <v>11</v>
      </c>
      <c r="C306" s="1" t="s">
        <v>3272</v>
      </c>
      <c r="D306" s="1" t="s">
        <v>406</v>
      </c>
      <c r="E306" s="2">
        <v>45968</v>
      </c>
      <c r="F306" s="1" t="s">
        <v>407</v>
      </c>
      <c r="G306" s="1" t="s">
        <v>408</v>
      </c>
      <c r="H306" s="1" t="s">
        <v>1160</v>
      </c>
      <c r="I306" s="1">
        <v>1</v>
      </c>
      <c r="J306" s="3">
        <v>12189</v>
      </c>
      <c r="K306" s="3">
        <v>11631</v>
      </c>
      <c r="L306" s="1">
        <v>0</v>
      </c>
      <c r="M306" s="4">
        <v>0</v>
      </c>
      <c r="N306" s="1">
        <v>558</v>
      </c>
      <c r="O306" s="4">
        <v>4.5999999999999999E-2</v>
      </c>
      <c r="P306" s="1" t="s">
        <v>2721</v>
      </c>
    </row>
    <row r="307" spans="1:16">
      <c r="A307" s="1" t="s">
        <v>15</v>
      </c>
      <c r="B307" s="1">
        <v>11</v>
      </c>
      <c r="C307" s="1" t="s">
        <v>3272</v>
      </c>
      <c r="D307" s="1" t="s">
        <v>960</v>
      </c>
      <c r="E307" s="2">
        <v>45968</v>
      </c>
      <c r="F307" s="1" t="s">
        <v>407</v>
      </c>
      <c r="G307" s="1" t="s">
        <v>961</v>
      </c>
      <c r="H307" s="1" t="s">
        <v>2830</v>
      </c>
      <c r="I307" s="1">
        <v>1</v>
      </c>
      <c r="J307" s="3">
        <v>16711</v>
      </c>
      <c r="K307" s="3">
        <v>15946</v>
      </c>
      <c r="L307" s="1">
        <v>0</v>
      </c>
      <c r="M307" s="4">
        <v>0</v>
      </c>
      <c r="N307" s="1">
        <v>765</v>
      </c>
      <c r="O307" s="4">
        <v>4.5999999999999999E-2</v>
      </c>
      <c r="P307" s="1" t="s">
        <v>2721</v>
      </c>
    </row>
    <row r="308" spans="1:16">
      <c r="A308" s="1" t="s">
        <v>15</v>
      </c>
      <c r="B308" s="1">
        <v>11</v>
      </c>
      <c r="C308" s="1" t="s">
        <v>3273</v>
      </c>
      <c r="D308" s="1" t="s">
        <v>3274</v>
      </c>
      <c r="E308" s="2">
        <v>45968</v>
      </c>
      <c r="F308" s="1" t="s">
        <v>493</v>
      </c>
      <c r="G308" s="1" t="s">
        <v>3275</v>
      </c>
      <c r="H308" s="1" t="s">
        <v>3276</v>
      </c>
      <c r="I308" s="1">
        <v>1</v>
      </c>
      <c r="J308" s="3">
        <v>21626</v>
      </c>
      <c r="K308" s="3">
        <v>20636</v>
      </c>
      <c r="L308" s="1">
        <v>0</v>
      </c>
      <c r="M308" s="4">
        <v>0</v>
      </c>
      <c r="N308" s="1">
        <v>990</v>
      </c>
      <c r="O308" s="4">
        <v>4.5999999999999999E-2</v>
      </c>
      <c r="P308" s="1" t="s">
        <v>2721</v>
      </c>
    </row>
    <row r="309" spans="1:16">
      <c r="A309" s="1" t="s">
        <v>15</v>
      </c>
      <c r="B309" s="1">
        <v>11</v>
      </c>
      <c r="C309" s="1" t="s">
        <v>3277</v>
      </c>
      <c r="D309" s="1" t="s">
        <v>52</v>
      </c>
      <c r="E309" s="2">
        <v>45968</v>
      </c>
      <c r="F309" s="1" t="s">
        <v>53</v>
      </c>
      <c r="G309" s="1" t="s">
        <v>54</v>
      </c>
      <c r="H309" s="1" t="s">
        <v>55</v>
      </c>
      <c r="I309" s="1">
        <v>1</v>
      </c>
      <c r="J309" s="3">
        <v>16135</v>
      </c>
      <c r="K309" s="3">
        <v>15396</v>
      </c>
      <c r="L309" s="1">
        <v>0</v>
      </c>
      <c r="M309" s="4">
        <v>0</v>
      </c>
      <c r="N309" s="1">
        <v>739</v>
      </c>
      <c r="O309" s="4">
        <v>4.5999999999999999E-2</v>
      </c>
      <c r="P309" s="1" t="s">
        <v>2721</v>
      </c>
    </row>
    <row r="310" spans="1:16">
      <c r="A310" s="1" t="s">
        <v>15</v>
      </c>
      <c r="B310" s="1">
        <v>11</v>
      </c>
      <c r="C310" s="1" t="s">
        <v>3278</v>
      </c>
      <c r="D310" s="1" t="s">
        <v>169</v>
      </c>
      <c r="E310" s="2">
        <v>45968</v>
      </c>
      <c r="F310" s="1" t="s">
        <v>53</v>
      </c>
      <c r="G310" s="1" t="s">
        <v>170</v>
      </c>
      <c r="H310" s="1" t="s">
        <v>171</v>
      </c>
      <c r="I310" s="1">
        <v>1</v>
      </c>
      <c r="J310" s="3">
        <v>14332</v>
      </c>
      <c r="K310" s="3">
        <v>13676</v>
      </c>
      <c r="L310" s="1">
        <v>0</v>
      </c>
      <c r="M310" s="4">
        <v>0</v>
      </c>
      <c r="N310" s="1">
        <v>656</v>
      </c>
      <c r="O310" s="4">
        <v>4.5999999999999999E-2</v>
      </c>
      <c r="P310" s="1" t="s">
        <v>2721</v>
      </c>
    </row>
    <row r="311" spans="1:16">
      <c r="A311" s="1" t="s">
        <v>15</v>
      </c>
      <c r="B311" s="1">
        <v>11</v>
      </c>
      <c r="C311" s="1" t="s">
        <v>3279</v>
      </c>
      <c r="D311" s="1" t="s">
        <v>375</v>
      </c>
      <c r="E311" s="2">
        <v>45968</v>
      </c>
      <c r="F311" s="1" t="s">
        <v>96</v>
      </c>
      <c r="G311" s="1" t="s">
        <v>376</v>
      </c>
      <c r="H311" s="1" t="s">
        <v>377</v>
      </c>
      <c r="I311" s="1">
        <v>1</v>
      </c>
      <c r="J311" s="3">
        <v>10762</v>
      </c>
      <c r="K311" s="3">
        <v>10269</v>
      </c>
      <c r="L311" s="1">
        <v>0</v>
      </c>
      <c r="M311" s="4">
        <v>0</v>
      </c>
      <c r="N311" s="1">
        <v>493</v>
      </c>
      <c r="O311" s="4">
        <v>4.5999999999999999E-2</v>
      </c>
      <c r="P311" s="1" t="s">
        <v>2721</v>
      </c>
    </row>
    <row r="312" spans="1:16">
      <c r="A312" s="1" t="s">
        <v>15</v>
      </c>
      <c r="B312" s="1">
        <v>11</v>
      </c>
      <c r="C312" s="1" t="s">
        <v>3279</v>
      </c>
      <c r="D312" s="1" t="s">
        <v>3280</v>
      </c>
      <c r="E312" s="2">
        <v>45968</v>
      </c>
      <c r="F312" s="1" t="s">
        <v>96</v>
      </c>
      <c r="G312" s="1" t="s">
        <v>3281</v>
      </c>
      <c r="H312" s="1" t="s">
        <v>3282</v>
      </c>
      <c r="I312" s="1">
        <v>1</v>
      </c>
      <c r="J312" s="3">
        <v>11793</v>
      </c>
      <c r="K312" s="3">
        <v>11253</v>
      </c>
      <c r="L312" s="1">
        <v>0</v>
      </c>
      <c r="M312" s="4">
        <v>0</v>
      </c>
      <c r="N312" s="1">
        <v>540</v>
      </c>
      <c r="O312" s="4">
        <v>4.5999999999999999E-2</v>
      </c>
      <c r="P312" s="1" t="s">
        <v>2721</v>
      </c>
    </row>
    <row r="313" spans="1:16">
      <c r="A313" s="1" t="s">
        <v>15</v>
      </c>
      <c r="B313" s="1">
        <v>11</v>
      </c>
      <c r="C313" s="1" t="s">
        <v>3283</v>
      </c>
      <c r="D313" s="1" t="s">
        <v>1452</v>
      </c>
      <c r="E313" s="2">
        <v>45968</v>
      </c>
      <c r="F313" s="1" t="s">
        <v>407</v>
      </c>
      <c r="G313" s="1" t="s">
        <v>1453</v>
      </c>
      <c r="H313" s="1" t="s">
        <v>1474</v>
      </c>
      <c r="I313" s="1">
        <v>1</v>
      </c>
      <c r="J313" s="3">
        <v>11305</v>
      </c>
      <c r="K313" s="3">
        <v>10787</v>
      </c>
      <c r="L313" s="1">
        <v>0</v>
      </c>
      <c r="M313" s="4">
        <v>0</v>
      </c>
      <c r="N313" s="1">
        <v>518</v>
      </c>
      <c r="O313" s="4">
        <v>4.5999999999999999E-2</v>
      </c>
      <c r="P313" s="1" t="s">
        <v>2721</v>
      </c>
    </row>
    <row r="314" spans="1:16">
      <c r="A314" s="1" t="s">
        <v>15</v>
      </c>
      <c r="B314" s="1">
        <v>11</v>
      </c>
      <c r="C314" s="1" t="s">
        <v>3283</v>
      </c>
      <c r="D314" s="1" t="s">
        <v>960</v>
      </c>
      <c r="E314" s="2">
        <v>45968</v>
      </c>
      <c r="F314" s="1" t="s">
        <v>407</v>
      </c>
      <c r="G314" s="1" t="s">
        <v>961</v>
      </c>
      <c r="H314" s="1" t="s">
        <v>2830</v>
      </c>
      <c r="I314" s="1">
        <v>1</v>
      </c>
      <c r="J314" s="3">
        <v>16711</v>
      </c>
      <c r="K314" s="3">
        <v>15946</v>
      </c>
      <c r="L314" s="1">
        <v>0</v>
      </c>
      <c r="M314" s="4">
        <v>0</v>
      </c>
      <c r="N314" s="1">
        <v>765</v>
      </c>
      <c r="O314" s="4">
        <v>4.5999999999999999E-2</v>
      </c>
      <c r="P314" s="1" t="s">
        <v>2721</v>
      </c>
    </row>
    <row r="315" spans="1:16">
      <c r="A315" s="1" t="s">
        <v>15</v>
      </c>
      <c r="B315" s="1">
        <v>11</v>
      </c>
      <c r="C315" s="1" t="s">
        <v>3284</v>
      </c>
      <c r="D315" s="1" t="s">
        <v>2506</v>
      </c>
      <c r="E315" s="2">
        <v>45968</v>
      </c>
      <c r="F315" s="1" t="s">
        <v>96</v>
      </c>
      <c r="G315" s="1" t="s">
        <v>2507</v>
      </c>
      <c r="H315" s="1" t="s">
        <v>2508</v>
      </c>
      <c r="I315" s="1">
        <v>1</v>
      </c>
      <c r="J315" s="3">
        <v>8863</v>
      </c>
      <c r="K315" s="3">
        <v>8457</v>
      </c>
      <c r="L315" s="1">
        <v>0</v>
      </c>
      <c r="M315" s="4">
        <v>0</v>
      </c>
      <c r="N315" s="1">
        <v>406</v>
      </c>
      <c r="O315" s="4">
        <v>4.5999999999999999E-2</v>
      </c>
      <c r="P315" s="1" t="s">
        <v>2721</v>
      </c>
    </row>
    <row r="316" spans="1:16">
      <c r="A316" s="1" t="s">
        <v>15</v>
      </c>
      <c r="B316" s="1">
        <v>11</v>
      </c>
      <c r="C316" s="1" t="s">
        <v>3285</v>
      </c>
      <c r="D316" s="1" t="s">
        <v>411</v>
      </c>
      <c r="E316" s="2">
        <v>45968</v>
      </c>
      <c r="F316" s="1" t="s">
        <v>312</v>
      </c>
      <c r="G316" s="1" t="s">
        <v>412</v>
      </c>
      <c r="H316" s="1" t="s">
        <v>3286</v>
      </c>
      <c r="I316" s="1">
        <v>1</v>
      </c>
      <c r="J316" s="3">
        <v>24575</v>
      </c>
      <c r="K316" s="3">
        <v>23450</v>
      </c>
      <c r="L316" s="1">
        <v>0</v>
      </c>
      <c r="M316" s="4">
        <v>0</v>
      </c>
      <c r="N316" s="3">
        <v>1125</v>
      </c>
      <c r="O316" s="4">
        <v>4.5999999999999999E-2</v>
      </c>
      <c r="P316" s="1" t="s">
        <v>2721</v>
      </c>
    </row>
    <row r="317" spans="1:16">
      <c r="A317" s="1" t="s">
        <v>15</v>
      </c>
      <c r="B317" s="1">
        <v>11</v>
      </c>
      <c r="C317" s="1" t="s">
        <v>3287</v>
      </c>
      <c r="D317" s="1" t="s">
        <v>346</v>
      </c>
      <c r="E317" s="2">
        <v>45968</v>
      </c>
      <c r="F317" s="1" t="s">
        <v>347</v>
      </c>
      <c r="G317" s="1" t="s">
        <v>348</v>
      </c>
      <c r="H317" s="1" t="s">
        <v>3288</v>
      </c>
      <c r="I317" s="1">
        <v>1</v>
      </c>
      <c r="J317" s="3">
        <v>20152</v>
      </c>
      <c r="K317" s="3">
        <v>19229</v>
      </c>
      <c r="L317" s="1">
        <v>0</v>
      </c>
      <c r="M317" s="4">
        <v>0</v>
      </c>
      <c r="N317" s="1">
        <v>923</v>
      </c>
      <c r="O317" s="4">
        <v>4.5999999999999999E-2</v>
      </c>
      <c r="P317" s="1" t="s">
        <v>2721</v>
      </c>
    </row>
    <row r="318" spans="1:16">
      <c r="A318" s="1" t="s">
        <v>15</v>
      </c>
      <c r="B318" s="1">
        <v>11</v>
      </c>
      <c r="C318" s="1" t="s">
        <v>3289</v>
      </c>
      <c r="D318" s="1" t="s">
        <v>850</v>
      </c>
      <c r="E318" s="2">
        <v>45968</v>
      </c>
      <c r="F318" s="1" t="s">
        <v>851</v>
      </c>
      <c r="G318" s="1" t="s">
        <v>852</v>
      </c>
      <c r="H318" s="1" t="s">
        <v>853</v>
      </c>
      <c r="I318" s="1">
        <v>1</v>
      </c>
      <c r="J318" s="3">
        <v>24732</v>
      </c>
      <c r="K318" s="3">
        <v>23600</v>
      </c>
      <c r="L318" s="1">
        <v>0</v>
      </c>
      <c r="M318" s="4">
        <v>0</v>
      </c>
      <c r="N318" s="3">
        <v>1132</v>
      </c>
      <c r="O318" s="4">
        <v>4.5999999999999999E-2</v>
      </c>
      <c r="P318" s="1" t="s">
        <v>2721</v>
      </c>
    </row>
    <row r="319" spans="1:16">
      <c r="A319" s="1" t="s">
        <v>15</v>
      </c>
      <c r="B319" s="1">
        <v>11</v>
      </c>
      <c r="C319" s="1" t="s">
        <v>3290</v>
      </c>
      <c r="D319" s="1" t="s">
        <v>132</v>
      </c>
      <c r="E319" s="2">
        <v>45968</v>
      </c>
      <c r="F319" s="1" t="s">
        <v>53</v>
      </c>
      <c r="G319" s="1" t="s">
        <v>133</v>
      </c>
      <c r="H319" s="1" t="s">
        <v>88</v>
      </c>
      <c r="I319" s="1">
        <v>1</v>
      </c>
      <c r="J319" s="3">
        <v>17036</v>
      </c>
      <c r="K319" s="3">
        <v>16256</v>
      </c>
      <c r="L319" s="1">
        <v>0</v>
      </c>
      <c r="M319" s="4">
        <v>0</v>
      </c>
      <c r="N319" s="1">
        <v>780</v>
      </c>
      <c r="O319" s="4">
        <v>4.5999999999999999E-2</v>
      </c>
      <c r="P319" s="1" t="s">
        <v>2721</v>
      </c>
    </row>
    <row r="320" spans="1:16">
      <c r="A320" s="1" t="s">
        <v>15</v>
      </c>
      <c r="B320" s="1">
        <v>11</v>
      </c>
      <c r="C320" s="1" t="s">
        <v>3291</v>
      </c>
      <c r="D320" s="1" t="s">
        <v>238</v>
      </c>
      <c r="E320" s="2">
        <v>45968</v>
      </c>
      <c r="F320" s="1" t="s">
        <v>239</v>
      </c>
      <c r="G320" s="1" t="s">
        <v>240</v>
      </c>
      <c r="H320" s="1" t="s">
        <v>242</v>
      </c>
      <c r="I320" s="1">
        <v>2</v>
      </c>
      <c r="J320" s="3">
        <v>22609</v>
      </c>
      <c r="K320" s="3">
        <v>21574</v>
      </c>
      <c r="L320" s="1">
        <v>0</v>
      </c>
      <c r="M320" s="4">
        <v>0</v>
      </c>
      <c r="N320" s="3">
        <v>1035</v>
      </c>
      <c r="O320" s="4">
        <v>4.5999999999999999E-2</v>
      </c>
      <c r="P320" s="1" t="s">
        <v>2721</v>
      </c>
    </row>
    <row r="321" spans="1:16">
      <c r="A321" s="1" t="s">
        <v>15</v>
      </c>
      <c r="B321" s="1">
        <v>11</v>
      </c>
      <c r="C321" s="1" t="s">
        <v>3291</v>
      </c>
      <c r="D321" s="1" t="s">
        <v>3292</v>
      </c>
      <c r="E321" s="2">
        <v>45968</v>
      </c>
      <c r="F321" s="1" t="s">
        <v>239</v>
      </c>
      <c r="G321" s="1" t="s">
        <v>3293</v>
      </c>
      <c r="H321" s="1" t="s">
        <v>3294</v>
      </c>
      <c r="I321" s="1">
        <v>1</v>
      </c>
      <c r="J321" s="3">
        <v>11305</v>
      </c>
      <c r="K321" s="3">
        <v>10787</v>
      </c>
      <c r="L321" s="1">
        <v>0</v>
      </c>
      <c r="M321" s="4">
        <v>0</v>
      </c>
      <c r="N321" s="1">
        <v>518</v>
      </c>
      <c r="O321" s="4">
        <v>4.5999999999999999E-2</v>
      </c>
      <c r="P321" s="1" t="s">
        <v>2721</v>
      </c>
    </row>
    <row r="322" spans="1:16">
      <c r="A322" s="1" t="s">
        <v>15</v>
      </c>
      <c r="B322" s="1">
        <v>11</v>
      </c>
      <c r="C322" s="1" t="s">
        <v>3295</v>
      </c>
      <c r="D322" s="1" t="s">
        <v>3296</v>
      </c>
      <c r="E322" s="2">
        <v>45968</v>
      </c>
      <c r="F322" s="1" t="s">
        <v>839</v>
      </c>
      <c r="G322" s="1" t="s">
        <v>3297</v>
      </c>
      <c r="H322" s="1" t="s">
        <v>3298</v>
      </c>
      <c r="I322" s="1">
        <v>1</v>
      </c>
      <c r="J322" s="3">
        <v>23002</v>
      </c>
      <c r="K322" s="3">
        <v>21949</v>
      </c>
      <c r="L322" s="1">
        <v>0</v>
      </c>
      <c r="M322" s="4">
        <v>0</v>
      </c>
      <c r="N322" s="3">
        <v>1053</v>
      </c>
      <c r="O322" s="4">
        <v>4.5999999999999999E-2</v>
      </c>
      <c r="P322" s="1" t="s">
        <v>2721</v>
      </c>
    </row>
    <row r="323" spans="1:16">
      <c r="A323" s="1" t="s">
        <v>15</v>
      </c>
      <c r="B323" s="1">
        <v>11</v>
      </c>
      <c r="C323" s="1" t="s">
        <v>3299</v>
      </c>
      <c r="D323" s="1" t="s">
        <v>1261</v>
      </c>
      <c r="E323" s="2">
        <v>45968</v>
      </c>
      <c r="F323" s="1" t="s">
        <v>33</v>
      </c>
      <c r="G323" s="1" t="s">
        <v>1262</v>
      </c>
      <c r="H323" s="1" t="s">
        <v>3300</v>
      </c>
      <c r="I323" s="1">
        <v>1</v>
      </c>
      <c r="J323" s="3">
        <v>102742</v>
      </c>
      <c r="K323" s="3">
        <v>98039</v>
      </c>
      <c r="L323" s="1">
        <v>0</v>
      </c>
      <c r="M323" s="4">
        <v>0</v>
      </c>
      <c r="N323" s="3">
        <v>4703</v>
      </c>
      <c r="O323" s="4">
        <v>4.5999999999999999E-2</v>
      </c>
      <c r="P323" s="1" t="s">
        <v>2721</v>
      </c>
    </row>
    <row r="324" spans="1:16">
      <c r="A324" s="1" t="s">
        <v>15</v>
      </c>
      <c r="B324" s="1">
        <v>11</v>
      </c>
      <c r="C324" s="1" t="s">
        <v>3301</v>
      </c>
      <c r="D324" s="1" t="s">
        <v>3302</v>
      </c>
      <c r="E324" s="2">
        <v>45968</v>
      </c>
      <c r="F324" s="1" t="s">
        <v>3303</v>
      </c>
      <c r="G324" s="1" t="s">
        <v>3304</v>
      </c>
      <c r="H324" s="1" t="s">
        <v>3305</v>
      </c>
      <c r="I324" s="1">
        <v>1</v>
      </c>
      <c r="J324" s="3">
        <v>16220</v>
      </c>
      <c r="K324" s="3">
        <v>15477</v>
      </c>
      <c r="L324" s="1">
        <v>0</v>
      </c>
      <c r="M324" s="4">
        <v>0</v>
      </c>
      <c r="N324" s="1">
        <v>743</v>
      </c>
      <c r="O324" s="4">
        <v>4.5999999999999999E-2</v>
      </c>
      <c r="P324" s="1" t="s">
        <v>2721</v>
      </c>
    </row>
    <row r="325" spans="1:16">
      <c r="A325" s="1" t="s">
        <v>15</v>
      </c>
      <c r="B325" s="1">
        <v>11</v>
      </c>
      <c r="C325" s="1" t="s">
        <v>3306</v>
      </c>
      <c r="D325" s="1" t="s">
        <v>3307</v>
      </c>
      <c r="E325" s="2">
        <v>45968</v>
      </c>
      <c r="F325" s="1" t="s">
        <v>347</v>
      </c>
      <c r="G325" s="1" t="s">
        <v>3308</v>
      </c>
      <c r="H325" s="1" t="s">
        <v>3309</v>
      </c>
      <c r="I325" s="1">
        <v>1</v>
      </c>
      <c r="J325" s="3">
        <v>18677</v>
      </c>
      <c r="K325" s="3">
        <v>17822</v>
      </c>
      <c r="L325" s="1">
        <v>0</v>
      </c>
      <c r="M325" s="4">
        <v>0</v>
      </c>
      <c r="N325" s="1">
        <v>855</v>
      </c>
      <c r="O325" s="4">
        <v>4.5999999999999999E-2</v>
      </c>
      <c r="P325" s="1" t="s">
        <v>2721</v>
      </c>
    </row>
    <row r="326" spans="1:16">
      <c r="A326" s="1" t="s">
        <v>15</v>
      </c>
      <c r="B326" s="1">
        <v>11</v>
      </c>
      <c r="C326" s="1" t="s">
        <v>3310</v>
      </c>
      <c r="D326" s="1" t="s">
        <v>440</v>
      </c>
      <c r="E326" s="2">
        <v>45968</v>
      </c>
      <c r="F326" s="1" t="s">
        <v>441</v>
      </c>
      <c r="G326" s="1" t="s">
        <v>442</v>
      </c>
      <c r="H326" s="1" t="s">
        <v>443</v>
      </c>
      <c r="I326" s="1">
        <v>1</v>
      </c>
      <c r="J326" s="3">
        <v>27524</v>
      </c>
      <c r="K326" s="3">
        <v>26264</v>
      </c>
      <c r="L326" s="1">
        <v>0</v>
      </c>
      <c r="M326" s="4">
        <v>0</v>
      </c>
      <c r="N326" s="3">
        <v>1260</v>
      </c>
      <c r="O326" s="4">
        <v>4.5999999999999999E-2</v>
      </c>
      <c r="P326" s="1" t="s">
        <v>2721</v>
      </c>
    </row>
    <row r="327" spans="1:16">
      <c r="A327" s="1" t="s">
        <v>15</v>
      </c>
      <c r="B327" s="1">
        <v>11</v>
      </c>
      <c r="C327" s="1" t="s">
        <v>3311</v>
      </c>
      <c r="D327" s="1" t="s">
        <v>463</v>
      </c>
      <c r="E327" s="2">
        <v>45968</v>
      </c>
      <c r="F327" s="1" t="s">
        <v>464</v>
      </c>
      <c r="G327" s="1" t="s">
        <v>465</v>
      </c>
      <c r="H327" s="1" t="s">
        <v>466</v>
      </c>
      <c r="I327" s="1">
        <v>1</v>
      </c>
      <c r="J327" s="3">
        <v>11624</v>
      </c>
      <c r="K327" s="3">
        <v>11092</v>
      </c>
      <c r="L327" s="1">
        <v>0</v>
      </c>
      <c r="M327" s="4">
        <v>0</v>
      </c>
      <c r="N327" s="1">
        <v>532</v>
      </c>
      <c r="O327" s="4">
        <v>4.5999999999999999E-2</v>
      </c>
      <c r="P327" s="1" t="s">
        <v>2721</v>
      </c>
    </row>
    <row r="328" spans="1:16">
      <c r="A328" s="1" t="s">
        <v>15</v>
      </c>
      <c r="B328" s="1">
        <v>11</v>
      </c>
      <c r="C328" s="1" t="s">
        <v>3311</v>
      </c>
      <c r="D328" s="1" t="s">
        <v>1673</v>
      </c>
      <c r="E328" s="2">
        <v>45968</v>
      </c>
      <c r="F328" s="1" t="s">
        <v>660</v>
      </c>
      <c r="G328" s="1" t="s">
        <v>1674</v>
      </c>
      <c r="H328" s="1" t="s">
        <v>1676</v>
      </c>
      <c r="I328" s="1">
        <v>1</v>
      </c>
      <c r="J328" s="3">
        <v>10469</v>
      </c>
      <c r="K328" s="3">
        <v>9990</v>
      </c>
      <c r="L328" s="1">
        <v>0</v>
      </c>
      <c r="M328" s="4">
        <v>0</v>
      </c>
      <c r="N328" s="1">
        <v>479</v>
      </c>
      <c r="O328" s="4">
        <v>4.5999999999999999E-2</v>
      </c>
      <c r="P328" s="1" t="s">
        <v>2721</v>
      </c>
    </row>
    <row r="329" spans="1:16">
      <c r="A329" s="1" t="s">
        <v>15</v>
      </c>
      <c r="B329" s="1">
        <v>11</v>
      </c>
      <c r="C329" s="1" t="s">
        <v>3312</v>
      </c>
      <c r="D329" s="1" t="s">
        <v>891</v>
      </c>
      <c r="E329" s="2">
        <v>45968</v>
      </c>
      <c r="F329" s="1" t="s">
        <v>892</v>
      </c>
      <c r="G329" s="1" t="s">
        <v>893</v>
      </c>
      <c r="H329" s="1" t="s">
        <v>894</v>
      </c>
      <c r="I329" s="1">
        <v>2</v>
      </c>
      <c r="J329" s="3">
        <v>41286</v>
      </c>
      <c r="K329" s="3">
        <v>39396</v>
      </c>
      <c r="L329" s="1">
        <v>0</v>
      </c>
      <c r="M329" s="4">
        <v>0</v>
      </c>
      <c r="N329" s="3">
        <v>1890</v>
      </c>
      <c r="O329" s="4">
        <v>4.5999999999999999E-2</v>
      </c>
      <c r="P329" s="1" t="s">
        <v>2721</v>
      </c>
    </row>
    <row r="330" spans="1:16">
      <c r="A330" s="1" t="s">
        <v>15</v>
      </c>
      <c r="B330" s="1">
        <v>11</v>
      </c>
      <c r="C330" s="1" t="s">
        <v>3313</v>
      </c>
      <c r="D330" s="1" t="s">
        <v>394</v>
      </c>
      <c r="E330" s="2">
        <v>45968</v>
      </c>
      <c r="F330" s="1" t="s">
        <v>395</v>
      </c>
      <c r="G330" s="1" t="s">
        <v>2803</v>
      </c>
      <c r="H330" s="1" t="s">
        <v>2804</v>
      </c>
      <c r="I330" s="1">
        <v>1</v>
      </c>
      <c r="J330" s="3">
        <v>18874</v>
      </c>
      <c r="K330" s="3">
        <v>18010</v>
      </c>
      <c r="L330" s="1">
        <v>0</v>
      </c>
      <c r="M330" s="4">
        <v>0</v>
      </c>
      <c r="N330" s="1">
        <v>864</v>
      </c>
      <c r="O330" s="4">
        <v>4.5999999999999999E-2</v>
      </c>
      <c r="P330" s="1" t="s">
        <v>2721</v>
      </c>
    </row>
    <row r="331" spans="1:16">
      <c r="A331" s="1" t="s">
        <v>15</v>
      </c>
      <c r="B331" s="1">
        <v>11</v>
      </c>
      <c r="C331" s="1" t="s">
        <v>3314</v>
      </c>
      <c r="D331" s="1" t="s">
        <v>2757</v>
      </c>
      <c r="E331" s="2">
        <v>45968</v>
      </c>
      <c r="F331" s="1" t="s">
        <v>96</v>
      </c>
      <c r="G331" s="1" t="s">
        <v>2758</v>
      </c>
      <c r="H331" s="1" t="s">
        <v>2759</v>
      </c>
      <c r="I331" s="1">
        <v>1</v>
      </c>
      <c r="J331" s="3">
        <v>13285</v>
      </c>
      <c r="K331" s="3">
        <v>12677</v>
      </c>
      <c r="L331" s="1">
        <v>0</v>
      </c>
      <c r="M331" s="4">
        <v>0</v>
      </c>
      <c r="N331" s="1">
        <v>608</v>
      </c>
      <c r="O331" s="4">
        <v>4.5999999999999999E-2</v>
      </c>
      <c r="P331" s="1" t="s">
        <v>2721</v>
      </c>
    </row>
    <row r="332" spans="1:16">
      <c r="A332" s="1" t="s">
        <v>15</v>
      </c>
      <c r="B332" s="1">
        <v>11</v>
      </c>
      <c r="C332" s="1" t="s">
        <v>3315</v>
      </c>
      <c r="D332" s="1" t="s">
        <v>3316</v>
      </c>
      <c r="E332" s="2">
        <v>45968</v>
      </c>
      <c r="F332" s="1" t="s">
        <v>846</v>
      </c>
      <c r="G332" s="1" t="s">
        <v>3317</v>
      </c>
      <c r="H332" s="1" t="s">
        <v>3318</v>
      </c>
      <c r="I332" s="1">
        <v>1</v>
      </c>
      <c r="J332" s="3">
        <v>47676</v>
      </c>
      <c r="K332" s="3">
        <v>45493</v>
      </c>
      <c r="L332" s="1">
        <v>0</v>
      </c>
      <c r="M332" s="4">
        <v>0</v>
      </c>
      <c r="N332" s="3">
        <v>2183</v>
      </c>
      <c r="O332" s="4">
        <v>4.5999999999999999E-2</v>
      </c>
      <c r="P332" s="1" t="s">
        <v>2721</v>
      </c>
    </row>
    <row r="333" spans="1:16">
      <c r="A333" s="1" t="s">
        <v>15</v>
      </c>
      <c r="B333" s="1">
        <v>11</v>
      </c>
      <c r="C333" s="1" t="s">
        <v>3319</v>
      </c>
      <c r="D333" s="1" t="s">
        <v>504</v>
      </c>
      <c r="E333" s="2">
        <v>45968</v>
      </c>
      <c r="F333" s="1" t="s">
        <v>407</v>
      </c>
      <c r="G333" s="1" t="s">
        <v>505</v>
      </c>
      <c r="H333" s="1" t="s">
        <v>1004</v>
      </c>
      <c r="I333" s="1">
        <v>1</v>
      </c>
      <c r="J333" s="3">
        <v>9339</v>
      </c>
      <c r="K333" s="3">
        <v>8911</v>
      </c>
      <c r="L333" s="1">
        <v>0</v>
      </c>
      <c r="M333" s="4">
        <v>0</v>
      </c>
      <c r="N333" s="1">
        <v>428</v>
      </c>
      <c r="O333" s="4">
        <v>4.5999999999999999E-2</v>
      </c>
      <c r="P333" s="1" t="s">
        <v>2721</v>
      </c>
    </row>
    <row r="334" spans="1:16">
      <c r="A334" s="1" t="s">
        <v>15</v>
      </c>
      <c r="B334" s="1">
        <v>11</v>
      </c>
      <c r="C334" s="1" t="s">
        <v>3320</v>
      </c>
      <c r="D334" s="1" t="s">
        <v>425</v>
      </c>
      <c r="E334" s="2">
        <v>45968</v>
      </c>
      <c r="F334" s="1" t="s">
        <v>426</v>
      </c>
      <c r="G334" s="1" t="s">
        <v>427</v>
      </c>
      <c r="H334" s="1" t="s">
        <v>1568</v>
      </c>
      <c r="I334" s="1">
        <v>1</v>
      </c>
      <c r="J334" s="3">
        <v>24575</v>
      </c>
      <c r="K334" s="3">
        <v>23450</v>
      </c>
      <c r="L334" s="1">
        <v>0</v>
      </c>
      <c r="M334" s="4">
        <v>0</v>
      </c>
      <c r="N334" s="3">
        <v>1125</v>
      </c>
      <c r="O334" s="4">
        <v>4.5999999999999999E-2</v>
      </c>
      <c r="P334" s="1" t="s">
        <v>2721</v>
      </c>
    </row>
    <row r="335" spans="1:16">
      <c r="A335" s="1" t="s">
        <v>15</v>
      </c>
      <c r="B335" s="1">
        <v>11</v>
      </c>
      <c r="C335" s="1" t="s">
        <v>3321</v>
      </c>
      <c r="D335" s="1" t="s">
        <v>3322</v>
      </c>
      <c r="E335" s="2">
        <v>45968</v>
      </c>
      <c r="F335" s="1" t="s">
        <v>798</v>
      </c>
      <c r="G335" s="1" t="s">
        <v>3323</v>
      </c>
      <c r="H335" s="1" t="s">
        <v>3324</v>
      </c>
      <c r="I335" s="1">
        <v>1</v>
      </c>
      <c r="J335" s="3">
        <v>17203</v>
      </c>
      <c r="K335" s="3">
        <v>16415</v>
      </c>
      <c r="L335" s="1">
        <v>0</v>
      </c>
      <c r="M335" s="4">
        <v>0</v>
      </c>
      <c r="N335" s="1">
        <v>788</v>
      </c>
      <c r="O335" s="4">
        <v>4.5999999999999999E-2</v>
      </c>
      <c r="P335" s="1" t="s">
        <v>2721</v>
      </c>
    </row>
    <row r="336" spans="1:16">
      <c r="A336" s="1" t="s">
        <v>15</v>
      </c>
      <c r="B336" s="1">
        <v>11</v>
      </c>
      <c r="C336" s="1" t="s">
        <v>3325</v>
      </c>
      <c r="D336" s="1" t="s">
        <v>386</v>
      </c>
      <c r="E336" s="2">
        <v>45968</v>
      </c>
      <c r="F336" s="1" t="s">
        <v>368</v>
      </c>
      <c r="G336" s="1" t="s">
        <v>387</v>
      </c>
      <c r="H336" s="1" t="s">
        <v>388</v>
      </c>
      <c r="I336" s="1">
        <v>1</v>
      </c>
      <c r="J336" s="3">
        <v>8953</v>
      </c>
      <c r="K336" s="3">
        <v>8543</v>
      </c>
      <c r="L336" s="1">
        <v>0</v>
      </c>
      <c r="M336" s="4">
        <v>0</v>
      </c>
      <c r="N336" s="1">
        <v>410</v>
      </c>
      <c r="O336" s="4">
        <v>4.5999999999999999E-2</v>
      </c>
      <c r="P336" s="1" t="s">
        <v>2721</v>
      </c>
    </row>
    <row r="337" spans="1:16">
      <c r="A337" s="1" t="s">
        <v>15</v>
      </c>
      <c r="B337" s="1">
        <v>11</v>
      </c>
      <c r="C337" s="1" t="s">
        <v>3326</v>
      </c>
      <c r="D337" s="1" t="s">
        <v>845</v>
      </c>
      <c r="E337" s="2">
        <v>45968</v>
      </c>
      <c r="F337" s="1" t="s">
        <v>846</v>
      </c>
      <c r="G337" s="1" t="s">
        <v>847</v>
      </c>
      <c r="H337" s="1" t="s">
        <v>848</v>
      </c>
      <c r="I337" s="1">
        <v>1</v>
      </c>
      <c r="J337" s="3">
        <v>112554</v>
      </c>
      <c r="K337" s="3">
        <v>107401</v>
      </c>
      <c r="L337" s="1">
        <v>0</v>
      </c>
      <c r="M337" s="4">
        <v>0</v>
      </c>
      <c r="N337" s="3">
        <v>5153</v>
      </c>
      <c r="O337" s="4">
        <v>4.5999999999999999E-2</v>
      </c>
      <c r="P337" s="1" t="s">
        <v>2721</v>
      </c>
    </row>
    <row r="338" spans="1:16">
      <c r="A338" s="1" t="s">
        <v>15</v>
      </c>
      <c r="B338" s="1">
        <v>11</v>
      </c>
      <c r="C338" s="1" t="s">
        <v>3327</v>
      </c>
      <c r="D338" s="1" t="s">
        <v>3328</v>
      </c>
      <c r="E338" s="2">
        <v>45968</v>
      </c>
      <c r="F338" s="1" t="s">
        <v>488</v>
      </c>
      <c r="G338" s="1" t="s">
        <v>3329</v>
      </c>
      <c r="H338" s="1" t="s">
        <v>3330</v>
      </c>
      <c r="I338" s="1">
        <v>1</v>
      </c>
      <c r="J338" s="3">
        <v>17694</v>
      </c>
      <c r="K338" s="3">
        <v>16884</v>
      </c>
      <c r="L338" s="1">
        <v>0</v>
      </c>
      <c r="M338" s="4">
        <v>0</v>
      </c>
      <c r="N338" s="1">
        <v>810</v>
      </c>
      <c r="O338" s="4">
        <v>4.5999999999999999E-2</v>
      </c>
      <c r="P338" s="1" t="s">
        <v>2721</v>
      </c>
    </row>
    <row r="339" spans="1:16">
      <c r="A339" s="1" t="s">
        <v>15</v>
      </c>
      <c r="B339" s="1">
        <v>11</v>
      </c>
      <c r="C339" s="1" t="s">
        <v>3331</v>
      </c>
      <c r="D339" s="1" t="s">
        <v>390</v>
      </c>
      <c r="E339" s="2">
        <v>45968</v>
      </c>
      <c r="F339" s="1" t="s">
        <v>256</v>
      </c>
      <c r="G339" s="1" t="s">
        <v>391</v>
      </c>
      <c r="H339" s="1" t="s">
        <v>392</v>
      </c>
      <c r="I339" s="1">
        <v>1</v>
      </c>
      <c r="J339" s="3">
        <v>12799</v>
      </c>
      <c r="K339" s="3">
        <v>12213</v>
      </c>
      <c r="L339" s="1">
        <v>0</v>
      </c>
      <c r="M339" s="4">
        <v>0</v>
      </c>
      <c r="N339" s="1">
        <v>586</v>
      </c>
      <c r="O339" s="4">
        <v>4.5999999999999999E-2</v>
      </c>
      <c r="P339" s="1" t="s">
        <v>2721</v>
      </c>
    </row>
    <row r="340" spans="1:16">
      <c r="A340" s="1" t="s">
        <v>15</v>
      </c>
      <c r="B340" s="1">
        <v>11</v>
      </c>
      <c r="C340" s="1" t="s">
        <v>3332</v>
      </c>
      <c r="D340" s="1" t="s">
        <v>899</v>
      </c>
      <c r="E340" s="2">
        <v>45968</v>
      </c>
      <c r="F340" s="1" t="s">
        <v>500</v>
      </c>
      <c r="G340" s="1" t="s">
        <v>900</v>
      </c>
      <c r="H340" s="1" t="s">
        <v>1678</v>
      </c>
      <c r="I340" s="1">
        <v>1</v>
      </c>
      <c r="J340" s="3">
        <v>102702</v>
      </c>
      <c r="K340" s="3">
        <v>98000</v>
      </c>
      <c r="L340" s="1">
        <v>0</v>
      </c>
      <c r="M340" s="4">
        <v>0</v>
      </c>
      <c r="N340" s="3">
        <v>4702</v>
      </c>
      <c r="O340" s="4">
        <v>4.5999999999999999E-2</v>
      </c>
      <c r="P340" s="1" t="s">
        <v>2721</v>
      </c>
    </row>
    <row r="341" spans="1:16">
      <c r="A341" s="1" t="s">
        <v>15</v>
      </c>
      <c r="B341" s="1">
        <v>11</v>
      </c>
      <c r="C341" s="1" t="s">
        <v>3333</v>
      </c>
      <c r="D341" s="1" t="s">
        <v>116</v>
      </c>
      <c r="E341" s="2">
        <v>45968</v>
      </c>
      <c r="F341" s="1" t="s">
        <v>63</v>
      </c>
      <c r="G341" s="1" t="s">
        <v>3334</v>
      </c>
      <c r="H341" s="1" t="s">
        <v>580</v>
      </c>
      <c r="I341" s="1">
        <v>1</v>
      </c>
      <c r="J341" s="3">
        <v>27764</v>
      </c>
      <c r="K341" s="3">
        <v>26493</v>
      </c>
      <c r="L341" s="1">
        <v>0</v>
      </c>
      <c r="M341" s="4">
        <v>0</v>
      </c>
      <c r="N341" s="3">
        <v>1271</v>
      </c>
      <c r="O341" s="4">
        <v>4.5999999999999999E-2</v>
      </c>
      <c r="P341" s="1" t="s">
        <v>2721</v>
      </c>
    </row>
    <row r="342" spans="1:16">
      <c r="A342" s="1" t="s">
        <v>15</v>
      </c>
      <c r="B342" s="1">
        <v>11</v>
      </c>
      <c r="C342" s="1" t="s">
        <v>3335</v>
      </c>
      <c r="D342" s="1" t="s">
        <v>2441</v>
      </c>
      <c r="E342" s="2">
        <v>45968</v>
      </c>
      <c r="F342" s="1" t="s">
        <v>2442</v>
      </c>
      <c r="G342" s="1" t="s">
        <v>2443</v>
      </c>
      <c r="H342" s="1" t="s">
        <v>2444</v>
      </c>
      <c r="I342" s="1">
        <v>1</v>
      </c>
      <c r="J342" s="3">
        <v>14155</v>
      </c>
      <c r="K342" s="3">
        <v>13507</v>
      </c>
      <c r="L342" s="1">
        <v>0</v>
      </c>
      <c r="M342" s="4">
        <v>0</v>
      </c>
      <c r="N342" s="1">
        <v>648</v>
      </c>
      <c r="O342" s="4">
        <v>4.5999999999999999E-2</v>
      </c>
      <c r="P342" s="1" t="s">
        <v>2721</v>
      </c>
    </row>
    <row r="343" spans="1:16">
      <c r="A343" s="1" t="s">
        <v>15</v>
      </c>
      <c r="B343" s="1">
        <v>11</v>
      </c>
      <c r="C343" s="1" t="s">
        <v>3336</v>
      </c>
      <c r="D343" s="1" t="s">
        <v>3337</v>
      </c>
      <c r="E343" s="2">
        <v>45968</v>
      </c>
      <c r="F343" s="1" t="s">
        <v>3338</v>
      </c>
      <c r="G343" s="1" t="s">
        <v>3339</v>
      </c>
      <c r="H343" s="1" t="s">
        <v>3340</v>
      </c>
      <c r="I343" s="1">
        <v>1</v>
      </c>
      <c r="J343" s="3">
        <v>29392</v>
      </c>
      <c r="K343" s="3">
        <v>28046</v>
      </c>
      <c r="L343" s="1">
        <v>0</v>
      </c>
      <c r="M343" s="4">
        <v>0</v>
      </c>
      <c r="N343" s="3">
        <v>1346</v>
      </c>
      <c r="O343" s="4">
        <v>4.5999999999999999E-2</v>
      </c>
      <c r="P343" s="1" t="s">
        <v>2721</v>
      </c>
    </row>
    <row r="344" spans="1:16">
      <c r="A344" s="1" t="s">
        <v>15</v>
      </c>
      <c r="B344" s="1">
        <v>11</v>
      </c>
      <c r="C344" s="1" t="s">
        <v>3341</v>
      </c>
      <c r="D344" s="1" t="s">
        <v>3342</v>
      </c>
      <c r="E344" s="2">
        <v>45968</v>
      </c>
      <c r="F344" s="1" t="s">
        <v>3343</v>
      </c>
      <c r="G344" s="1" t="s">
        <v>3344</v>
      </c>
      <c r="H344" s="1" t="s">
        <v>3345</v>
      </c>
      <c r="I344" s="1">
        <v>1</v>
      </c>
      <c r="J344" s="3">
        <v>31751</v>
      </c>
      <c r="K344" s="3">
        <v>30297</v>
      </c>
      <c r="L344" s="1">
        <v>0</v>
      </c>
      <c r="M344" s="4">
        <v>0</v>
      </c>
      <c r="N344" s="3">
        <v>1454</v>
      </c>
      <c r="O344" s="4">
        <v>4.5999999999999999E-2</v>
      </c>
      <c r="P344" s="1" t="s">
        <v>2721</v>
      </c>
    </row>
    <row r="345" spans="1:16">
      <c r="A345" s="1" t="s">
        <v>15</v>
      </c>
      <c r="B345" s="1">
        <v>11</v>
      </c>
      <c r="C345" s="1" t="s">
        <v>3346</v>
      </c>
      <c r="D345" s="1" t="s">
        <v>797</v>
      </c>
      <c r="E345" s="2">
        <v>45968</v>
      </c>
      <c r="F345" s="1" t="s">
        <v>798</v>
      </c>
      <c r="G345" s="1" t="s">
        <v>799</v>
      </c>
      <c r="H345" s="1" t="s">
        <v>832</v>
      </c>
      <c r="I345" s="1">
        <v>1</v>
      </c>
      <c r="J345" s="3">
        <v>13271</v>
      </c>
      <c r="K345" s="3">
        <v>12663</v>
      </c>
      <c r="L345" s="1">
        <v>0</v>
      </c>
      <c r="M345" s="4">
        <v>0</v>
      </c>
      <c r="N345" s="1">
        <v>608</v>
      </c>
      <c r="O345" s="4">
        <v>4.5999999999999999E-2</v>
      </c>
      <c r="P345" s="1" t="s">
        <v>2721</v>
      </c>
    </row>
    <row r="346" spans="1:16">
      <c r="A346" s="1" t="s">
        <v>15</v>
      </c>
      <c r="B346" s="1">
        <v>11</v>
      </c>
      <c r="C346" s="1" t="s">
        <v>3347</v>
      </c>
      <c r="D346" s="1" t="s">
        <v>3348</v>
      </c>
      <c r="E346" s="2">
        <v>45968</v>
      </c>
      <c r="F346" s="1" t="s">
        <v>3349</v>
      </c>
      <c r="G346" s="1" t="s">
        <v>3350</v>
      </c>
      <c r="H346" s="1" t="s">
        <v>3351</v>
      </c>
      <c r="I346" s="1">
        <v>1</v>
      </c>
      <c r="J346" s="3">
        <v>27426</v>
      </c>
      <c r="K346" s="3">
        <v>26170</v>
      </c>
      <c r="L346" s="1">
        <v>0</v>
      </c>
      <c r="M346" s="4">
        <v>0</v>
      </c>
      <c r="N346" s="3">
        <v>1256</v>
      </c>
      <c r="O346" s="4">
        <v>4.5999999999999999E-2</v>
      </c>
      <c r="P346" s="1" t="s">
        <v>2721</v>
      </c>
    </row>
    <row r="347" spans="1:16">
      <c r="A347" s="1" t="s">
        <v>15</v>
      </c>
      <c r="B347" s="1">
        <v>11</v>
      </c>
      <c r="C347" s="1" t="s">
        <v>3352</v>
      </c>
      <c r="D347" s="1" t="s">
        <v>3337</v>
      </c>
      <c r="E347" s="2">
        <v>45968</v>
      </c>
      <c r="F347" s="1" t="s">
        <v>3338</v>
      </c>
      <c r="G347" s="1" t="s">
        <v>3339</v>
      </c>
      <c r="H347" s="1" t="s">
        <v>3340</v>
      </c>
      <c r="I347" s="1">
        <v>1</v>
      </c>
      <c r="J347" s="3">
        <v>29392</v>
      </c>
      <c r="K347" s="3">
        <v>28046</v>
      </c>
      <c r="L347" s="1">
        <v>0</v>
      </c>
      <c r="M347" s="4">
        <v>0</v>
      </c>
      <c r="N347" s="3">
        <v>1346</v>
      </c>
      <c r="O347" s="4">
        <v>4.5999999999999999E-2</v>
      </c>
      <c r="P347" s="1" t="s">
        <v>2721</v>
      </c>
    </row>
    <row r="348" spans="1:16">
      <c r="A348" s="1" t="s">
        <v>15</v>
      </c>
      <c r="B348" s="1">
        <v>11</v>
      </c>
      <c r="C348" s="1" t="s">
        <v>3353</v>
      </c>
      <c r="D348" s="1" t="s">
        <v>2392</v>
      </c>
      <c r="E348" s="2">
        <v>45968</v>
      </c>
      <c r="F348" s="1" t="s">
        <v>883</v>
      </c>
      <c r="G348" s="1" t="s">
        <v>2393</v>
      </c>
      <c r="H348" s="1" t="s">
        <v>2394</v>
      </c>
      <c r="I348" s="1">
        <v>1</v>
      </c>
      <c r="J348" s="3">
        <v>11757</v>
      </c>
      <c r="K348" s="3">
        <v>11218</v>
      </c>
      <c r="L348" s="1">
        <v>0</v>
      </c>
      <c r="M348" s="4">
        <v>0</v>
      </c>
      <c r="N348" s="1">
        <v>539</v>
      </c>
      <c r="O348" s="4">
        <v>4.5999999999999999E-2</v>
      </c>
      <c r="P348" s="1" t="s">
        <v>2721</v>
      </c>
    </row>
    <row r="349" spans="1:16">
      <c r="A349" s="1" t="s">
        <v>15</v>
      </c>
      <c r="B349" s="1">
        <v>11</v>
      </c>
      <c r="C349" s="1" t="s">
        <v>3354</v>
      </c>
      <c r="D349" s="1" t="s">
        <v>116</v>
      </c>
      <c r="E349" s="2">
        <v>45968</v>
      </c>
      <c r="F349" s="1" t="s">
        <v>63</v>
      </c>
      <c r="G349" s="1" t="s">
        <v>3334</v>
      </c>
      <c r="H349" s="1" t="s">
        <v>139</v>
      </c>
      <c r="I349" s="1">
        <v>1</v>
      </c>
      <c r="J349" s="3">
        <v>15422</v>
      </c>
      <c r="K349" s="3">
        <v>14716</v>
      </c>
      <c r="L349" s="1">
        <v>0</v>
      </c>
      <c r="M349" s="4">
        <v>0</v>
      </c>
      <c r="N349" s="1">
        <v>706</v>
      </c>
      <c r="O349" s="4">
        <v>4.5999999999999999E-2</v>
      </c>
      <c r="P349" s="1" t="s">
        <v>2721</v>
      </c>
    </row>
    <row r="350" spans="1:16">
      <c r="A350" s="1" t="s">
        <v>15</v>
      </c>
      <c r="B350" s="1">
        <v>11</v>
      </c>
      <c r="C350" s="1" t="s">
        <v>3355</v>
      </c>
      <c r="D350" s="1" t="s">
        <v>3356</v>
      </c>
      <c r="E350" s="2">
        <v>45968</v>
      </c>
      <c r="F350" s="1" t="s">
        <v>604</v>
      </c>
      <c r="G350" s="1" t="s">
        <v>3357</v>
      </c>
      <c r="H350" s="1" t="s">
        <v>3358</v>
      </c>
      <c r="I350" s="1">
        <v>1</v>
      </c>
      <c r="J350" s="3">
        <v>7078</v>
      </c>
      <c r="K350" s="3">
        <v>6754</v>
      </c>
      <c r="L350" s="1">
        <v>0</v>
      </c>
      <c r="M350" s="4">
        <v>0</v>
      </c>
      <c r="N350" s="1">
        <v>324</v>
      </c>
      <c r="O350" s="4">
        <v>4.5999999999999999E-2</v>
      </c>
      <c r="P350" s="1" t="s">
        <v>2721</v>
      </c>
    </row>
    <row r="351" spans="1:16">
      <c r="A351" s="1" t="s">
        <v>15</v>
      </c>
      <c r="B351" s="1">
        <v>11</v>
      </c>
      <c r="C351" s="1" t="s">
        <v>3359</v>
      </c>
      <c r="D351" s="1" t="s">
        <v>3360</v>
      </c>
      <c r="E351" s="2">
        <v>45968</v>
      </c>
      <c r="F351" s="1" t="s">
        <v>235</v>
      </c>
      <c r="G351" s="1" t="s">
        <v>3361</v>
      </c>
      <c r="H351" s="1" t="s">
        <v>3362</v>
      </c>
      <c r="I351" s="1">
        <v>1</v>
      </c>
      <c r="J351" s="3">
        <v>16721</v>
      </c>
      <c r="K351" s="3">
        <v>15955</v>
      </c>
      <c r="L351" s="1">
        <v>0</v>
      </c>
      <c r="M351" s="4">
        <v>0</v>
      </c>
      <c r="N351" s="1">
        <v>766</v>
      </c>
      <c r="O351" s="4">
        <v>4.5999999999999999E-2</v>
      </c>
      <c r="P351" s="1" t="s">
        <v>2721</v>
      </c>
    </row>
    <row r="352" spans="1:16">
      <c r="A352" s="1" t="s">
        <v>15</v>
      </c>
      <c r="B352" s="1">
        <v>11</v>
      </c>
      <c r="C352" s="1" t="s">
        <v>3363</v>
      </c>
      <c r="D352" s="1" t="s">
        <v>333</v>
      </c>
      <c r="E352" s="2">
        <v>45968</v>
      </c>
      <c r="F352" s="1" t="s">
        <v>334</v>
      </c>
      <c r="G352" s="1" t="s">
        <v>335</v>
      </c>
      <c r="H352" s="1" t="s">
        <v>3364</v>
      </c>
      <c r="I352" s="1">
        <v>1</v>
      </c>
      <c r="J352" s="3">
        <v>6390</v>
      </c>
      <c r="K352" s="3">
        <v>6097</v>
      </c>
      <c r="L352" s="1">
        <v>0</v>
      </c>
      <c r="M352" s="4">
        <v>0</v>
      </c>
      <c r="N352" s="1">
        <v>293</v>
      </c>
      <c r="O352" s="4">
        <v>4.5999999999999999E-2</v>
      </c>
      <c r="P352" s="1" t="s">
        <v>2721</v>
      </c>
    </row>
    <row r="353" spans="1:16">
      <c r="A353" s="1" t="s">
        <v>15</v>
      </c>
      <c r="B353" s="1">
        <v>11</v>
      </c>
      <c r="C353" s="1" t="s">
        <v>3365</v>
      </c>
      <c r="D353" s="1" t="s">
        <v>1457</v>
      </c>
      <c r="E353" s="2">
        <v>45968</v>
      </c>
      <c r="F353" s="1" t="s">
        <v>347</v>
      </c>
      <c r="G353" s="1" t="s">
        <v>1458</v>
      </c>
      <c r="H353" s="1" t="s">
        <v>3366</v>
      </c>
      <c r="I353" s="1">
        <v>1</v>
      </c>
      <c r="J353" s="3">
        <v>21056</v>
      </c>
      <c r="K353" s="3">
        <v>20092</v>
      </c>
      <c r="L353" s="1">
        <v>0</v>
      </c>
      <c r="M353" s="4">
        <v>0</v>
      </c>
      <c r="N353" s="1">
        <v>964</v>
      </c>
      <c r="O353" s="4">
        <v>4.5999999999999999E-2</v>
      </c>
      <c r="P353" s="1" t="s">
        <v>2721</v>
      </c>
    </row>
    <row r="354" spans="1:16">
      <c r="A354" s="1" t="s">
        <v>15</v>
      </c>
      <c r="B354" s="1">
        <v>11</v>
      </c>
      <c r="C354" s="1" t="s">
        <v>3367</v>
      </c>
      <c r="D354" s="1" t="s">
        <v>3292</v>
      </c>
      <c r="E354" s="2">
        <v>45968</v>
      </c>
      <c r="F354" s="1" t="s">
        <v>239</v>
      </c>
      <c r="G354" s="1" t="s">
        <v>3293</v>
      </c>
      <c r="H354" s="1" t="s">
        <v>3368</v>
      </c>
      <c r="I354" s="1">
        <v>2</v>
      </c>
      <c r="J354" s="3">
        <v>22609</v>
      </c>
      <c r="K354" s="3">
        <v>21574</v>
      </c>
      <c r="L354" s="1">
        <v>0</v>
      </c>
      <c r="M354" s="4">
        <v>0</v>
      </c>
      <c r="N354" s="3">
        <v>1035</v>
      </c>
      <c r="O354" s="4">
        <v>4.5999999999999999E-2</v>
      </c>
      <c r="P354" s="1" t="s">
        <v>2721</v>
      </c>
    </row>
    <row r="355" spans="1:16">
      <c r="A355" s="1" t="s">
        <v>15</v>
      </c>
      <c r="B355" s="1">
        <v>11</v>
      </c>
      <c r="C355" s="1" t="s">
        <v>3369</v>
      </c>
      <c r="D355" s="1" t="s">
        <v>1431</v>
      </c>
      <c r="E355" s="2">
        <v>45968</v>
      </c>
      <c r="F355" s="1" t="s">
        <v>500</v>
      </c>
      <c r="G355" s="1" t="s">
        <v>1432</v>
      </c>
      <c r="H355" s="1" t="s">
        <v>1433</v>
      </c>
      <c r="I355" s="1">
        <v>1</v>
      </c>
      <c r="J355" s="3">
        <v>155625</v>
      </c>
      <c r="K355" s="3">
        <v>148500</v>
      </c>
      <c r="L355" s="1">
        <v>0</v>
      </c>
      <c r="M355" s="4">
        <v>0</v>
      </c>
      <c r="N355" s="3">
        <v>7125</v>
      </c>
      <c r="O355" s="4">
        <v>4.5999999999999999E-2</v>
      </c>
      <c r="P355" s="1" t="s">
        <v>2721</v>
      </c>
    </row>
    <row r="356" spans="1:16">
      <c r="A356" s="1" t="s">
        <v>15</v>
      </c>
      <c r="B356" s="1">
        <v>11</v>
      </c>
      <c r="C356" s="1" t="s">
        <v>3370</v>
      </c>
      <c r="D356" s="1" t="s">
        <v>504</v>
      </c>
      <c r="E356" s="2">
        <v>45968</v>
      </c>
      <c r="F356" s="1" t="s">
        <v>407</v>
      </c>
      <c r="G356" s="1" t="s">
        <v>505</v>
      </c>
      <c r="H356" s="1" t="s">
        <v>1322</v>
      </c>
      <c r="I356" s="1">
        <v>1</v>
      </c>
      <c r="J356" s="3">
        <v>23592</v>
      </c>
      <c r="K356" s="3">
        <v>22512</v>
      </c>
      <c r="L356" s="1">
        <v>0</v>
      </c>
      <c r="M356" s="4">
        <v>0</v>
      </c>
      <c r="N356" s="3">
        <v>1080</v>
      </c>
      <c r="O356" s="4">
        <v>4.5999999999999999E-2</v>
      </c>
      <c r="P356" s="1" t="s">
        <v>2721</v>
      </c>
    </row>
    <row r="357" spans="1:16">
      <c r="A357" s="1" t="s">
        <v>15</v>
      </c>
      <c r="B357" s="1">
        <v>11</v>
      </c>
      <c r="C357" s="1" t="s">
        <v>3371</v>
      </c>
      <c r="D357" s="1" t="s">
        <v>1508</v>
      </c>
      <c r="E357" s="2">
        <v>45968</v>
      </c>
      <c r="F357" s="1" t="s">
        <v>53</v>
      </c>
      <c r="G357" s="1" t="s">
        <v>1509</v>
      </c>
      <c r="H357" s="1" t="s">
        <v>3372</v>
      </c>
      <c r="I357" s="1">
        <v>1</v>
      </c>
      <c r="J357" s="3">
        <v>8022</v>
      </c>
      <c r="K357" s="3">
        <v>7655</v>
      </c>
      <c r="L357" s="1">
        <v>0</v>
      </c>
      <c r="M357" s="4">
        <v>0</v>
      </c>
      <c r="N357" s="1">
        <v>367</v>
      </c>
      <c r="O357" s="4">
        <v>4.5999999999999999E-2</v>
      </c>
      <c r="P357" s="1" t="s">
        <v>2721</v>
      </c>
    </row>
    <row r="358" spans="1:16">
      <c r="A358" s="1" t="s">
        <v>15</v>
      </c>
      <c r="B358" s="1">
        <v>11</v>
      </c>
      <c r="C358" s="1" t="s">
        <v>3373</v>
      </c>
      <c r="D358" s="1" t="s">
        <v>325</v>
      </c>
      <c r="E358" s="2">
        <v>45968</v>
      </c>
      <c r="F358" s="1" t="s">
        <v>256</v>
      </c>
      <c r="G358" s="1" t="s">
        <v>326</v>
      </c>
      <c r="H358" s="1" t="s">
        <v>910</v>
      </c>
      <c r="I358" s="1">
        <v>1</v>
      </c>
      <c r="J358" s="3">
        <v>14204</v>
      </c>
      <c r="K358" s="3">
        <v>13554</v>
      </c>
      <c r="L358" s="1">
        <v>0</v>
      </c>
      <c r="M358" s="4">
        <v>0</v>
      </c>
      <c r="N358" s="1">
        <v>650</v>
      </c>
      <c r="O358" s="4">
        <v>4.5999999999999999E-2</v>
      </c>
      <c r="P358" s="1" t="s">
        <v>2721</v>
      </c>
    </row>
    <row r="359" spans="1:16">
      <c r="A359" s="1" t="s">
        <v>15</v>
      </c>
      <c r="B359" s="1">
        <v>11</v>
      </c>
      <c r="C359" s="1" t="s">
        <v>3374</v>
      </c>
      <c r="D359" s="1" t="s">
        <v>3375</v>
      </c>
      <c r="E359" s="2">
        <v>45968</v>
      </c>
      <c r="F359" s="1" t="s">
        <v>235</v>
      </c>
      <c r="G359" s="1" t="s">
        <v>3376</v>
      </c>
      <c r="H359" s="1" t="s">
        <v>3376</v>
      </c>
      <c r="I359" s="1">
        <v>1</v>
      </c>
      <c r="J359" s="3">
        <v>10491</v>
      </c>
      <c r="K359" s="3">
        <v>10010</v>
      </c>
      <c r="L359" s="1">
        <v>0</v>
      </c>
      <c r="M359" s="4">
        <v>0</v>
      </c>
      <c r="N359" s="1">
        <v>481</v>
      </c>
      <c r="O359" s="4">
        <v>4.5999999999999999E-2</v>
      </c>
      <c r="P359" s="1" t="s">
        <v>2721</v>
      </c>
    </row>
    <row r="360" spans="1:16">
      <c r="A360" s="1" t="s">
        <v>15</v>
      </c>
      <c r="B360" s="1">
        <v>11</v>
      </c>
      <c r="C360" s="1" t="s">
        <v>3377</v>
      </c>
      <c r="D360" s="1" t="s">
        <v>86</v>
      </c>
      <c r="E360" s="2">
        <v>45968</v>
      </c>
      <c r="F360" s="1" t="s">
        <v>53</v>
      </c>
      <c r="G360" s="1" t="s">
        <v>87</v>
      </c>
      <c r="H360" s="1" t="s">
        <v>88</v>
      </c>
      <c r="I360" s="1">
        <v>1</v>
      </c>
      <c r="J360" s="3">
        <v>14956</v>
      </c>
      <c r="K360" s="3">
        <v>14272</v>
      </c>
      <c r="L360" s="1">
        <v>0</v>
      </c>
      <c r="M360" s="4">
        <v>0</v>
      </c>
      <c r="N360" s="1">
        <v>684</v>
      </c>
      <c r="O360" s="4">
        <v>4.5999999999999999E-2</v>
      </c>
      <c r="P360" s="1" t="s">
        <v>2721</v>
      </c>
    </row>
    <row r="361" spans="1:16">
      <c r="A361" s="1" t="s">
        <v>15</v>
      </c>
      <c r="B361" s="1">
        <v>11</v>
      </c>
      <c r="C361" s="1" t="s">
        <v>3378</v>
      </c>
      <c r="D361" s="1" t="s">
        <v>1467</v>
      </c>
      <c r="E361" s="2">
        <v>45968</v>
      </c>
      <c r="F361" s="1" t="s">
        <v>126</v>
      </c>
      <c r="G361" s="1" t="s">
        <v>1468</v>
      </c>
      <c r="H361" s="1" t="s">
        <v>1469</v>
      </c>
      <c r="I361" s="1">
        <v>1</v>
      </c>
      <c r="J361" s="3">
        <v>17989</v>
      </c>
      <c r="K361" s="3">
        <v>17165</v>
      </c>
      <c r="L361" s="1">
        <v>0</v>
      </c>
      <c r="M361" s="4">
        <v>0</v>
      </c>
      <c r="N361" s="1">
        <v>824</v>
      </c>
      <c r="O361" s="4">
        <v>4.5999999999999999E-2</v>
      </c>
      <c r="P361" s="1" t="s">
        <v>2721</v>
      </c>
    </row>
    <row r="362" spans="1:16">
      <c r="A362" s="1" t="s">
        <v>15</v>
      </c>
      <c r="B362" s="1">
        <v>11</v>
      </c>
      <c r="C362" s="1" t="s">
        <v>3379</v>
      </c>
      <c r="D362" s="1" t="s">
        <v>212</v>
      </c>
      <c r="E362" s="2">
        <v>45968</v>
      </c>
      <c r="F362" s="1" t="s">
        <v>213</v>
      </c>
      <c r="G362" s="1" t="s">
        <v>214</v>
      </c>
      <c r="H362" s="1" t="s">
        <v>215</v>
      </c>
      <c r="I362" s="1">
        <v>1</v>
      </c>
      <c r="J362" s="3">
        <v>16220</v>
      </c>
      <c r="K362" s="3">
        <v>15477</v>
      </c>
      <c r="L362" s="1">
        <v>0</v>
      </c>
      <c r="M362" s="4">
        <v>0</v>
      </c>
      <c r="N362" s="1">
        <v>743</v>
      </c>
      <c r="O362" s="4">
        <v>4.5999999999999999E-2</v>
      </c>
      <c r="P362" s="1" t="s">
        <v>2721</v>
      </c>
    </row>
    <row r="363" spans="1:16">
      <c r="A363" s="1" t="s">
        <v>15</v>
      </c>
      <c r="B363" s="1">
        <v>11</v>
      </c>
      <c r="C363" s="1" t="s">
        <v>3380</v>
      </c>
      <c r="D363" s="1" t="s">
        <v>3381</v>
      </c>
      <c r="E363" s="2">
        <v>45968</v>
      </c>
      <c r="F363" s="1" t="s">
        <v>235</v>
      </c>
      <c r="G363" s="1" t="s">
        <v>3382</v>
      </c>
      <c r="H363" s="1" t="s">
        <v>3382</v>
      </c>
      <c r="I363" s="1">
        <v>1</v>
      </c>
      <c r="J363" s="3">
        <v>22363</v>
      </c>
      <c r="K363" s="3">
        <v>21340</v>
      </c>
      <c r="L363" s="1">
        <v>0</v>
      </c>
      <c r="M363" s="4">
        <v>0</v>
      </c>
      <c r="N363" s="3">
        <v>1023</v>
      </c>
      <c r="O363" s="4">
        <v>4.5999999999999999E-2</v>
      </c>
      <c r="P363" s="1" t="s">
        <v>2721</v>
      </c>
    </row>
    <row r="364" spans="1:16">
      <c r="A364" s="1" t="s">
        <v>15</v>
      </c>
      <c r="B364" s="1">
        <v>11</v>
      </c>
      <c r="C364" s="1" t="s">
        <v>3383</v>
      </c>
      <c r="D364" s="1" t="s">
        <v>22</v>
      </c>
      <c r="E364" s="2">
        <v>45968</v>
      </c>
      <c r="F364" s="1" t="s">
        <v>23</v>
      </c>
      <c r="G364" s="1" t="s">
        <v>24</v>
      </c>
      <c r="H364" s="1" t="s">
        <v>25</v>
      </c>
      <c r="I364" s="1">
        <v>2</v>
      </c>
      <c r="J364" s="3">
        <v>22609</v>
      </c>
      <c r="K364" s="3">
        <v>21574</v>
      </c>
      <c r="L364" s="1">
        <v>0</v>
      </c>
      <c r="M364" s="4">
        <v>0</v>
      </c>
      <c r="N364" s="3">
        <v>1035</v>
      </c>
      <c r="O364" s="4">
        <v>4.5999999999999999E-2</v>
      </c>
      <c r="P364" s="1" t="s">
        <v>2721</v>
      </c>
    </row>
    <row r="365" spans="1:16">
      <c r="A365" s="1" t="s">
        <v>15</v>
      </c>
      <c r="B365" s="1">
        <v>11</v>
      </c>
      <c r="C365" s="1" t="s">
        <v>3384</v>
      </c>
      <c r="D365" s="1" t="s">
        <v>112</v>
      </c>
      <c r="E365" s="2">
        <v>45968</v>
      </c>
      <c r="F365" s="1" t="s">
        <v>63</v>
      </c>
      <c r="G365" s="1" t="s">
        <v>3385</v>
      </c>
      <c r="H365" s="1" t="s">
        <v>872</v>
      </c>
      <c r="I365" s="1">
        <v>1</v>
      </c>
      <c r="J365" s="3">
        <v>8834</v>
      </c>
      <c r="K365" s="3">
        <v>8430</v>
      </c>
      <c r="L365" s="1">
        <v>0</v>
      </c>
      <c r="M365" s="4">
        <v>0</v>
      </c>
      <c r="N365" s="1">
        <v>404</v>
      </c>
      <c r="O365" s="4">
        <v>4.5999999999999999E-2</v>
      </c>
      <c r="P365" s="1" t="s">
        <v>2721</v>
      </c>
    </row>
    <row r="366" spans="1:16">
      <c r="A366" s="1" t="s">
        <v>15</v>
      </c>
      <c r="B366" s="1">
        <v>11</v>
      </c>
      <c r="C366" s="1" t="s">
        <v>3386</v>
      </c>
      <c r="D366" s="1" t="s">
        <v>3387</v>
      </c>
      <c r="E366" s="2">
        <v>45968</v>
      </c>
      <c r="F366" s="1" t="s">
        <v>235</v>
      </c>
      <c r="G366" s="1" t="s">
        <v>3388</v>
      </c>
      <c r="H366" s="1" t="s">
        <v>3389</v>
      </c>
      <c r="I366" s="1">
        <v>1</v>
      </c>
      <c r="J366" s="3">
        <v>7667</v>
      </c>
      <c r="K366" s="3">
        <v>7316</v>
      </c>
      <c r="L366" s="1">
        <v>0</v>
      </c>
      <c r="M366" s="4">
        <v>0</v>
      </c>
      <c r="N366" s="1">
        <v>351</v>
      </c>
      <c r="O366" s="4">
        <v>4.5999999999999999E-2</v>
      </c>
      <c r="P366" s="1" t="s">
        <v>2721</v>
      </c>
    </row>
    <row r="367" spans="1:16">
      <c r="A367" s="1" t="s">
        <v>15</v>
      </c>
      <c r="B367" s="1">
        <v>11</v>
      </c>
      <c r="C367" s="1" t="s">
        <v>3390</v>
      </c>
      <c r="D367" s="1" t="s">
        <v>1184</v>
      </c>
      <c r="E367" s="2">
        <v>45968</v>
      </c>
      <c r="F367" s="1" t="s">
        <v>524</v>
      </c>
      <c r="G367" s="1" t="s">
        <v>1185</v>
      </c>
      <c r="H367" s="1" t="s">
        <v>3391</v>
      </c>
      <c r="I367" s="1">
        <v>1</v>
      </c>
      <c r="J367" s="3">
        <v>17396</v>
      </c>
      <c r="K367" s="3">
        <v>16600</v>
      </c>
      <c r="L367" s="1">
        <v>0</v>
      </c>
      <c r="M367" s="4">
        <v>0</v>
      </c>
      <c r="N367" s="1">
        <v>796</v>
      </c>
      <c r="O367" s="4">
        <v>4.5999999999999999E-2</v>
      </c>
      <c r="P367" s="1" t="s">
        <v>2721</v>
      </c>
    </row>
    <row r="368" spans="1:16">
      <c r="A368" s="1" t="s">
        <v>15</v>
      </c>
      <c r="B368" s="1">
        <v>11</v>
      </c>
      <c r="C368" s="1" t="s">
        <v>3392</v>
      </c>
      <c r="D368" s="1" t="s">
        <v>80</v>
      </c>
      <c r="E368" s="2">
        <v>45968</v>
      </c>
      <c r="F368" s="1" t="s">
        <v>58</v>
      </c>
      <c r="G368" s="1" t="s">
        <v>81</v>
      </c>
      <c r="H368" s="1" t="s">
        <v>2817</v>
      </c>
      <c r="I368" s="1">
        <v>1</v>
      </c>
      <c r="J368" s="3">
        <v>17301</v>
      </c>
      <c r="K368" s="3">
        <v>16509</v>
      </c>
      <c r="L368" s="1">
        <v>0</v>
      </c>
      <c r="M368" s="4">
        <v>0</v>
      </c>
      <c r="N368" s="1">
        <v>792</v>
      </c>
      <c r="O368" s="4">
        <v>4.5999999999999999E-2</v>
      </c>
      <c r="P368" s="1" t="s">
        <v>2721</v>
      </c>
    </row>
    <row r="369" spans="1:16">
      <c r="A369" s="1" t="s">
        <v>15</v>
      </c>
      <c r="B369" s="1">
        <v>11</v>
      </c>
      <c r="C369" s="1" t="s">
        <v>3393</v>
      </c>
      <c r="D369" s="1" t="s">
        <v>3394</v>
      </c>
      <c r="E369" s="2">
        <v>45968</v>
      </c>
      <c r="F369" s="1" t="s">
        <v>500</v>
      </c>
      <c r="G369" s="1" t="s">
        <v>3395</v>
      </c>
      <c r="H369" s="1" t="s">
        <v>3396</v>
      </c>
      <c r="I369" s="1">
        <v>1</v>
      </c>
      <c r="J369" s="3">
        <v>63403</v>
      </c>
      <c r="K369" s="3">
        <v>60500</v>
      </c>
      <c r="L369" s="1">
        <v>0</v>
      </c>
      <c r="M369" s="4">
        <v>0</v>
      </c>
      <c r="N369" s="3">
        <v>2903</v>
      </c>
      <c r="O369" s="4">
        <v>4.5999999999999999E-2</v>
      </c>
      <c r="P369" s="1" t="s">
        <v>2721</v>
      </c>
    </row>
    <row r="370" spans="1:16">
      <c r="A370" s="1" t="s">
        <v>15</v>
      </c>
      <c r="B370" s="1">
        <v>11</v>
      </c>
      <c r="C370" s="1" t="s">
        <v>3397</v>
      </c>
      <c r="D370" s="1" t="s">
        <v>27</v>
      </c>
      <c r="E370" s="2">
        <v>45968</v>
      </c>
      <c r="F370" s="1" t="s">
        <v>28</v>
      </c>
      <c r="G370" s="1" t="s">
        <v>29</v>
      </c>
      <c r="H370" s="1" t="s">
        <v>352</v>
      </c>
      <c r="I370" s="1">
        <v>2</v>
      </c>
      <c r="J370" s="3">
        <v>54065</v>
      </c>
      <c r="K370" s="3">
        <v>51590</v>
      </c>
      <c r="L370" s="1">
        <v>0</v>
      </c>
      <c r="M370" s="4">
        <v>0</v>
      </c>
      <c r="N370" s="3">
        <v>2475</v>
      </c>
      <c r="O370" s="4">
        <v>4.5999999999999999E-2</v>
      </c>
      <c r="P370" s="1" t="s">
        <v>2721</v>
      </c>
    </row>
    <row r="371" spans="1:16">
      <c r="A371" s="1" t="s">
        <v>15</v>
      </c>
      <c r="B371" s="1">
        <v>11</v>
      </c>
      <c r="C371" s="1" t="s">
        <v>3398</v>
      </c>
      <c r="D371" s="1" t="s">
        <v>3399</v>
      </c>
      <c r="E371" s="2">
        <v>45968</v>
      </c>
      <c r="F371" s="1" t="s">
        <v>48</v>
      </c>
      <c r="G371" s="1" t="s">
        <v>3400</v>
      </c>
      <c r="H371" s="1" t="s">
        <v>3401</v>
      </c>
      <c r="I371" s="1">
        <v>1</v>
      </c>
      <c r="J371" s="3">
        <v>10310</v>
      </c>
      <c r="K371" s="3">
        <v>9838</v>
      </c>
      <c r="L371" s="1">
        <v>0</v>
      </c>
      <c r="M371" s="4">
        <v>0</v>
      </c>
      <c r="N371" s="1">
        <v>472</v>
      </c>
      <c r="O371" s="4">
        <v>4.5999999999999999E-2</v>
      </c>
      <c r="P371" s="1" t="s">
        <v>2721</v>
      </c>
    </row>
    <row r="372" spans="1:16">
      <c r="A372" s="1" t="s">
        <v>15</v>
      </c>
      <c r="B372" s="1">
        <v>11</v>
      </c>
      <c r="C372" s="1" t="s">
        <v>3402</v>
      </c>
      <c r="D372" s="1" t="s">
        <v>112</v>
      </c>
      <c r="E372" s="2">
        <v>45968</v>
      </c>
      <c r="F372" s="1" t="s">
        <v>63</v>
      </c>
      <c r="G372" s="1" t="s">
        <v>3385</v>
      </c>
      <c r="H372" s="1" t="s">
        <v>1655</v>
      </c>
      <c r="I372" s="1">
        <v>1</v>
      </c>
      <c r="J372" s="3">
        <v>6009</v>
      </c>
      <c r="K372" s="3">
        <v>5734</v>
      </c>
      <c r="L372" s="1">
        <v>0</v>
      </c>
      <c r="M372" s="4">
        <v>0</v>
      </c>
      <c r="N372" s="1">
        <v>275</v>
      </c>
      <c r="O372" s="4">
        <v>4.5999999999999999E-2</v>
      </c>
      <c r="P372" s="1" t="s">
        <v>2721</v>
      </c>
    </row>
    <row r="373" spans="1:16">
      <c r="A373" s="1" t="s">
        <v>15</v>
      </c>
      <c r="B373" s="1">
        <v>11</v>
      </c>
      <c r="C373" s="1" t="s">
        <v>3403</v>
      </c>
      <c r="D373" s="1" t="s">
        <v>86</v>
      </c>
      <c r="E373" s="2">
        <v>45968</v>
      </c>
      <c r="F373" s="1" t="s">
        <v>53</v>
      </c>
      <c r="G373" s="1" t="s">
        <v>87</v>
      </c>
      <c r="H373" s="1" t="s">
        <v>88</v>
      </c>
      <c r="I373" s="1">
        <v>1</v>
      </c>
      <c r="J373" s="3">
        <v>14956</v>
      </c>
      <c r="K373" s="3">
        <v>14272</v>
      </c>
      <c r="L373" s="1">
        <v>0</v>
      </c>
      <c r="M373" s="4">
        <v>0</v>
      </c>
      <c r="N373" s="1">
        <v>684</v>
      </c>
      <c r="O373" s="4">
        <v>4.5999999999999999E-2</v>
      </c>
      <c r="P373" s="1" t="s">
        <v>2721</v>
      </c>
    </row>
    <row r="374" spans="1:16">
      <c r="A374" s="1" t="s">
        <v>15</v>
      </c>
      <c r="B374" s="1">
        <v>11</v>
      </c>
      <c r="C374" s="1" t="s">
        <v>3404</v>
      </c>
      <c r="D374" s="1" t="s">
        <v>224</v>
      </c>
      <c r="E374" s="2">
        <v>45968</v>
      </c>
      <c r="F374" s="1" t="s">
        <v>96</v>
      </c>
      <c r="G374" s="1" t="s">
        <v>225</v>
      </c>
      <c r="H374" s="1" t="s">
        <v>896</v>
      </c>
      <c r="I374" s="1">
        <v>1</v>
      </c>
      <c r="J374" s="3">
        <v>12571</v>
      </c>
      <c r="K374" s="3">
        <v>11995</v>
      </c>
      <c r="L374" s="1">
        <v>0</v>
      </c>
      <c r="M374" s="4">
        <v>0</v>
      </c>
      <c r="N374" s="1">
        <v>576</v>
      </c>
      <c r="O374" s="4">
        <v>4.5999999999999999E-2</v>
      </c>
      <c r="P374" s="1" t="s">
        <v>2721</v>
      </c>
    </row>
    <row r="375" spans="1:16">
      <c r="A375" s="1" t="s">
        <v>15</v>
      </c>
      <c r="B375" s="1">
        <v>11</v>
      </c>
      <c r="C375" s="1" t="s">
        <v>3405</v>
      </c>
      <c r="D375" s="1" t="s">
        <v>3406</v>
      </c>
      <c r="E375" s="2">
        <v>45968</v>
      </c>
      <c r="F375" s="1" t="s">
        <v>570</v>
      </c>
      <c r="G375" s="1" t="s">
        <v>3407</v>
      </c>
      <c r="H375" s="1" t="s">
        <v>3408</v>
      </c>
      <c r="I375" s="1">
        <v>1</v>
      </c>
      <c r="J375" s="3">
        <v>29490</v>
      </c>
      <c r="K375" s="3">
        <v>28140</v>
      </c>
      <c r="L375" s="1">
        <v>0</v>
      </c>
      <c r="M375" s="4">
        <v>0</v>
      </c>
      <c r="N375" s="3">
        <v>1350</v>
      </c>
      <c r="O375" s="4">
        <v>4.5999999999999999E-2</v>
      </c>
      <c r="P375" s="1" t="s">
        <v>2721</v>
      </c>
    </row>
    <row r="376" spans="1:16">
      <c r="A376" s="1" t="s">
        <v>2724</v>
      </c>
      <c r="B376" s="1">
        <v>11</v>
      </c>
      <c r="C376" s="1" t="s">
        <v>3409</v>
      </c>
      <c r="D376" s="1" t="s">
        <v>3410</v>
      </c>
      <c r="E376" s="2">
        <v>45968</v>
      </c>
      <c r="F376" s="1" t="s">
        <v>604</v>
      </c>
      <c r="G376" s="1" t="s">
        <v>1684</v>
      </c>
      <c r="H376" s="1" t="s">
        <v>3411</v>
      </c>
      <c r="I376" s="1">
        <v>20</v>
      </c>
      <c r="J376" s="3">
        <v>199700</v>
      </c>
      <c r="K376" s="3">
        <v>115800</v>
      </c>
      <c r="L376" s="1">
        <v>0</v>
      </c>
      <c r="M376" s="4">
        <v>0</v>
      </c>
      <c r="N376" s="3">
        <v>83900</v>
      </c>
      <c r="O376" s="4">
        <v>0.42</v>
      </c>
      <c r="P376" s="1" t="s">
        <v>2721</v>
      </c>
    </row>
    <row r="377" spans="1:16">
      <c r="A377" s="1" t="s">
        <v>602</v>
      </c>
      <c r="B377" s="1">
        <v>11</v>
      </c>
      <c r="C377" s="1">
        <v>1100151287488</v>
      </c>
      <c r="D377" s="1" t="s">
        <v>621</v>
      </c>
      <c r="E377" s="2">
        <v>45968</v>
      </c>
      <c r="F377" s="1" t="s">
        <v>604</v>
      </c>
      <c r="G377" s="1" t="s">
        <v>622</v>
      </c>
      <c r="H377" s="1" t="s">
        <v>3012</v>
      </c>
      <c r="I377" s="1">
        <v>1</v>
      </c>
      <c r="J377" s="3">
        <v>8900</v>
      </c>
      <c r="K377" s="3">
        <v>3675</v>
      </c>
      <c r="L377" s="3">
        <v>1032</v>
      </c>
      <c r="M377" s="4">
        <v>0.11600000000000001</v>
      </c>
      <c r="N377" s="3">
        <v>4193</v>
      </c>
      <c r="O377" s="4">
        <v>0.47099999999999997</v>
      </c>
      <c r="P377" s="1" t="s">
        <v>2721</v>
      </c>
    </row>
    <row r="378" spans="1:16">
      <c r="A378" s="1" t="s">
        <v>602</v>
      </c>
      <c r="B378" s="1">
        <v>11</v>
      </c>
      <c r="C378" s="1">
        <v>14100151356764</v>
      </c>
      <c r="D378" s="1" t="s">
        <v>603</v>
      </c>
      <c r="E378" s="2">
        <v>45968</v>
      </c>
      <c r="F378" s="1" t="s">
        <v>604</v>
      </c>
      <c r="G378" s="1" t="s">
        <v>605</v>
      </c>
      <c r="H378" s="1" t="s">
        <v>606</v>
      </c>
      <c r="I378" s="1">
        <v>5</v>
      </c>
      <c r="J378" s="3">
        <v>49800</v>
      </c>
      <c r="K378" s="3">
        <v>38250</v>
      </c>
      <c r="L378" s="3">
        <v>5777</v>
      </c>
      <c r="M378" s="4">
        <v>0.11600000000000001</v>
      </c>
      <c r="N378" s="3">
        <v>5773</v>
      </c>
      <c r="O378" s="4">
        <v>0.11600000000000001</v>
      </c>
      <c r="P378" s="1" t="s">
        <v>2721</v>
      </c>
    </row>
    <row r="379" spans="1:16">
      <c r="A379" s="1" t="s">
        <v>602</v>
      </c>
      <c r="B379" s="1">
        <v>11</v>
      </c>
      <c r="C379" s="1">
        <v>21100151519752</v>
      </c>
      <c r="D379" s="1" t="s">
        <v>621</v>
      </c>
      <c r="E379" s="2">
        <v>45968</v>
      </c>
      <c r="F379" s="1" t="s">
        <v>604</v>
      </c>
      <c r="G379" s="1" t="s">
        <v>622</v>
      </c>
      <c r="H379" s="1" t="s">
        <v>3012</v>
      </c>
      <c r="I379" s="1">
        <v>1</v>
      </c>
      <c r="J379" s="3">
        <v>8900</v>
      </c>
      <c r="K379" s="3">
        <v>3675</v>
      </c>
      <c r="L379" s="3">
        <v>1032</v>
      </c>
      <c r="M379" s="4">
        <v>0.11600000000000001</v>
      </c>
      <c r="N379" s="3">
        <v>4193</v>
      </c>
      <c r="O379" s="4">
        <v>0.47099999999999997</v>
      </c>
      <c r="P379" s="1" t="s">
        <v>2721</v>
      </c>
    </row>
    <row r="380" spans="1:16">
      <c r="A380" s="1" t="s">
        <v>602</v>
      </c>
      <c r="B380" s="1">
        <v>11</v>
      </c>
      <c r="C380" s="1">
        <v>22100150495560</v>
      </c>
      <c r="D380" s="1" t="s">
        <v>621</v>
      </c>
      <c r="E380" s="2">
        <v>45968</v>
      </c>
      <c r="F380" s="1" t="s">
        <v>604</v>
      </c>
      <c r="G380" s="1" t="s">
        <v>622</v>
      </c>
      <c r="H380" s="1" t="s">
        <v>3012</v>
      </c>
      <c r="I380" s="1">
        <v>1</v>
      </c>
      <c r="J380" s="3">
        <v>8900</v>
      </c>
      <c r="K380" s="3">
        <v>3675</v>
      </c>
      <c r="L380" s="3">
        <v>1032</v>
      </c>
      <c r="M380" s="4">
        <v>0.11600000000000001</v>
      </c>
      <c r="N380" s="3">
        <v>4193</v>
      </c>
      <c r="O380" s="4">
        <v>0.47099999999999997</v>
      </c>
      <c r="P380" s="1" t="s">
        <v>2721</v>
      </c>
    </row>
    <row r="381" spans="1:16">
      <c r="A381" s="1" t="s">
        <v>602</v>
      </c>
      <c r="B381" s="1">
        <v>11</v>
      </c>
      <c r="C381" s="1">
        <v>2100150811400</v>
      </c>
      <c r="D381" s="1" t="s">
        <v>621</v>
      </c>
      <c r="E381" s="2">
        <v>45968</v>
      </c>
      <c r="F381" s="1" t="s">
        <v>604</v>
      </c>
      <c r="G381" s="1" t="s">
        <v>622</v>
      </c>
      <c r="H381" s="1" t="s">
        <v>3012</v>
      </c>
      <c r="I381" s="1">
        <v>1</v>
      </c>
      <c r="J381" s="3">
        <v>8900</v>
      </c>
      <c r="K381" s="3">
        <v>3675</v>
      </c>
      <c r="L381" s="3">
        <v>1032</v>
      </c>
      <c r="M381" s="4">
        <v>0.11600000000000001</v>
      </c>
      <c r="N381" s="3">
        <v>4193</v>
      </c>
      <c r="O381" s="4">
        <v>0.47099999999999997</v>
      </c>
      <c r="P381" s="1" t="s">
        <v>2721</v>
      </c>
    </row>
    <row r="382" spans="1:16">
      <c r="A382" s="1" t="s">
        <v>602</v>
      </c>
      <c r="B382" s="1">
        <v>11</v>
      </c>
      <c r="C382" s="1">
        <v>26100151158334</v>
      </c>
      <c r="D382" s="1" t="s">
        <v>610</v>
      </c>
      <c r="E382" s="2">
        <v>45968</v>
      </c>
      <c r="F382" s="1" t="s">
        <v>604</v>
      </c>
      <c r="G382" s="1" t="s">
        <v>611</v>
      </c>
      <c r="H382" s="1" t="s">
        <v>3412</v>
      </c>
      <c r="I382" s="1">
        <v>3</v>
      </c>
      <c r="J382" s="3">
        <v>33800</v>
      </c>
      <c r="K382" s="3">
        <v>23950</v>
      </c>
      <c r="L382" s="3">
        <v>3921</v>
      </c>
      <c r="M382" s="4">
        <v>0.11600000000000001</v>
      </c>
      <c r="N382" s="3">
        <v>5929</v>
      </c>
      <c r="O382" s="4">
        <v>0.17499999999999999</v>
      </c>
      <c r="P382" s="1" t="s">
        <v>2721</v>
      </c>
    </row>
    <row r="383" spans="1:16">
      <c r="A383" s="1" t="s">
        <v>602</v>
      </c>
      <c r="B383" s="1">
        <v>11</v>
      </c>
      <c r="C383" s="1">
        <v>10100151133980</v>
      </c>
      <c r="D383" s="1" t="s">
        <v>621</v>
      </c>
      <c r="E383" s="2">
        <v>45968</v>
      </c>
      <c r="F383" s="1" t="s">
        <v>604</v>
      </c>
      <c r="G383" s="1" t="s">
        <v>622</v>
      </c>
      <c r="H383" s="1" t="s">
        <v>3012</v>
      </c>
      <c r="I383" s="1">
        <v>1</v>
      </c>
      <c r="J383" s="3">
        <v>8900</v>
      </c>
      <c r="K383" s="3">
        <v>3675</v>
      </c>
      <c r="L383" s="3">
        <v>1032</v>
      </c>
      <c r="M383" s="4">
        <v>0.11600000000000001</v>
      </c>
      <c r="N383" s="3">
        <v>4193</v>
      </c>
      <c r="O383" s="4">
        <v>0.47099999999999997</v>
      </c>
      <c r="P383" s="1" t="s">
        <v>2721</v>
      </c>
    </row>
    <row r="384" spans="1:16">
      <c r="A384" s="1" t="s">
        <v>616</v>
      </c>
      <c r="B384" s="1">
        <v>11</v>
      </c>
      <c r="C384" s="1">
        <v>2025110662931840</v>
      </c>
      <c r="D384" s="1" t="s">
        <v>621</v>
      </c>
      <c r="E384" s="2">
        <v>45968</v>
      </c>
      <c r="F384" s="1" t="s">
        <v>604</v>
      </c>
      <c r="G384" s="1" t="s">
        <v>622</v>
      </c>
      <c r="H384" s="1" t="s">
        <v>3413</v>
      </c>
      <c r="I384" s="1">
        <v>1</v>
      </c>
      <c r="J384" s="3">
        <v>8800</v>
      </c>
      <c r="K384" s="3">
        <v>3675</v>
      </c>
      <c r="L384" s="1">
        <v>352</v>
      </c>
      <c r="M384" s="4">
        <v>0.04</v>
      </c>
      <c r="N384" s="3">
        <v>4773</v>
      </c>
      <c r="O384" s="4">
        <v>0.54200000000000004</v>
      </c>
      <c r="P384" s="1" t="s">
        <v>2721</v>
      </c>
    </row>
    <row r="385" spans="1:16">
      <c r="A385" s="1" t="s">
        <v>620</v>
      </c>
      <c r="B385" s="1">
        <v>11</v>
      </c>
      <c r="C385" s="1">
        <v>2538805291</v>
      </c>
      <c r="D385" s="1" t="s">
        <v>3414</v>
      </c>
      <c r="E385" s="2">
        <v>45968</v>
      </c>
      <c r="F385" s="1" t="s">
        <v>604</v>
      </c>
      <c r="G385" s="1" t="s">
        <v>3415</v>
      </c>
      <c r="H385" s="1" t="s">
        <v>3416</v>
      </c>
      <c r="I385" s="1">
        <v>1</v>
      </c>
      <c r="J385" s="3">
        <v>12000</v>
      </c>
      <c r="K385" s="3">
        <v>4353</v>
      </c>
      <c r="L385" s="3">
        <v>1560</v>
      </c>
      <c r="M385" s="4">
        <v>0.13</v>
      </c>
      <c r="N385" s="3">
        <v>6087</v>
      </c>
      <c r="O385" s="4">
        <v>0.50700000000000001</v>
      </c>
      <c r="P385" s="1" t="s">
        <v>2721</v>
      </c>
    </row>
    <row r="386" spans="1:16">
      <c r="A386" s="1" t="s">
        <v>626</v>
      </c>
      <c r="B386" s="1">
        <v>11</v>
      </c>
      <c r="C386" s="1">
        <v>68969426</v>
      </c>
      <c r="D386" s="1" t="s">
        <v>627</v>
      </c>
      <c r="E386" s="2">
        <v>45968</v>
      </c>
      <c r="F386" s="1" t="s">
        <v>604</v>
      </c>
      <c r="G386" s="1" t="s">
        <v>628</v>
      </c>
      <c r="H386" s="1" t="s">
        <v>2271</v>
      </c>
      <c r="I386" s="1">
        <v>2</v>
      </c>
      <c r="J386" s="3">
        <v>12800</v>
      </c>
      <c r="K386" s="3">
        <v>3600</v>
      </c>
      <c r="L386" s="3">
        <v>1408</v>
      </c>
      <c r="M386" s="4">
        <v>0.11</v>
      </c>
      <c r="N386" s="3">
        <v>7792</v>
      </c>
      <c r="O386" s="4">
        <v>0.60899999999999999</v>
      </c>
      <c r="P386" s="1" t="s">
        <v>2721</v>
      </c>
    </row>
    <row r="387" spans="1:16">
      <c r="A387" s="1" t="s">
        <v>630</v>
      </c>
      <c r="B387" s="1">
        <v>11</v>
      </c>
      <c r="C387" s="1">
        <v>1117079035241060</v>
      </c>
      <c r="D387" s="1" t="s">
        <v>627</v>
      </c>
      <c r="E387" s="2">
        <v>45968</v>
      </c>
      <c r="F387" s="1" t="s">
        <v>604</v>
      </c>
      <c r="G387" s="1" t="s">
        <v>628</v>
      </c>
      <c r="H387" s="1" t="s">
        <v>1848</v>
      </c>
      <c r="I387" s="1">
        <v>1</v>
      </c>
      <c r="J387" s="3">
        <v>6750</v>
      </c>
      <c r="K387" s="3">
        <v>4300</v>
      </c>
      <c r="L387" s="1">
        <v>446</v>
      </c>
      <c r="M387" s="4">
        <v>6.6000000000000003E-2</v>
      </c>
      <c r="N387" s="3">
        <v>2005</v>
      </c>
      <c r="O387" s="4">
        <v>0.29699999999999999</v>
      </c>
      <c r="P387" s="1" t="s">
        <v>2721</v>
      </c>
    </row>
    <row r="388" spans="1:16">
      <c r="A388" s="1" t="s">
        <v>630</v>
      </c>
      <c r="B388" s="1">
        <v>11</v>
      </c>
      <c r="C388" s="1">
        <v>1117017583899030</v>
      </c>
      <c r="D388" s="1" t="s">
        <v>627</v>
      </c>
      <c r="E388" s="2">
        <v>45968</v>
      </c>
      <c r="F388" s="1" t="s">
        <v>604</v>
      </c>
      <c r="G388" s="1" t="s">
        <v>628</v>
      </c>
      <c r="H388" s="1" t="s">
        <v>1848</v>
      </c>
      <c r="I388" s="1">
        <v>1</v>
      </c>
      <c r="J388" s="3">
        <v>6750</v>
      </c>
      <c r="K388" s="3">
        <v>4300</v>
      </c>
      <c r="L388" s="1">
        <v>446</v>
      </c>
      <c r="M388" s="4">
        <v>6.6000000000000003E-2</v>
      </c>
      <c r="N388" s="3">
        <v>2005</v>
      </c>
      <c r="O388" s="4">
        <v>0.29699999999999999</v>
      </c>
      <c r="P388" s="1" t="s">
        <v>2721</v>
      </c>
    </row>
    <row r="389" spans="1:16">
      <c r="A389" s="1" t="s">
        <v>739</v>
      </c>
      <c r="B389" s="1">
        <v>11</v>
      </c>
      <c r="C389" s="1">
        <v>31371913</v>
      </c>
      <c r="D389" s="1" t="s">
        <v>1856</v>
      </c>
      <c r="E389" s="2">
        <v>45968</v>
      </c>
      <c r="F389" s="1" t="s">
        <v>604</v>
      </c>
      <c r="G389" s="1" t="s">
        <v>1857</v>
      </c>
      <c r="H389" s="1" t="s">
        <v>1858</v>
      </c>
      <c r="I389" s="1">
        <v>2</v>
      </c>
      <c r="J389" s="3">
        <v>17800</v>
      </c>
      <c r="K389" s="3">
        <v>7552</v>
      </c>
      <c r="L389" s="3">
        <v>2350</v>
      </c>
      <c r="M389" s="4">
        <v>0.13200000000000001</v>
      </c>
      <c r="N389" s="3">
        <v>7898</v>
      </c>
      <c r="O389" s="4">
        <v>0.44400000000000001</v>
      </c>
      <c r="P389" s="1" t="s">
        <v>2721</v>
      </c>
    </row>
    <row r="390" spans="1:16">
      <c r="A390" s="1" t="s">
        <v>739</v>
      </c>
      <c r="B390" s="1">
        <v>11</v>
      </c>
      <c r="C390" s="1">
        <v>31374081</v>
      </c>
      <c r="D390" s="1" t="s">
        <v>3417</v>
      </c>
      <c r="E390" s="2">
        <v>45968</v>
      </c>
      <c r="F390" s="1" t="s">
        <v>604</v>
      </c>
      <c r="G390" s="1" t="s">
        <v>3418</v>
      </c>
      <c r="H390" s="1" t="s">
        <v>3419</v>
      </c>
      <c r="I390" s="1">
        <v>1</v>
      </c>
      <c r="J390" s="3">
        <v>8900</v>
      </c>
      <c r="K390" s="3">
        <v>5026</v>
      </c>
      <c r="L390" s="3">
        <v>1175</v>
      </c>
      <c r="M390" s="4">
        <v>0.13200000000000001</v>
      </c>
      <c r="N390" s="3">
        <v>2699</v>
      </c>
      <c r="O390" s="4">
        <v>0.30299999999999999</v>
      </c>
      <c r="P390" s="1" t="s">
        <v>2721</v>
      </c>
    </row>
    <row r="391" spans="1:16">
      <c r="A391" s="1" t="s">
        <v>739</v>
      </c>
      <c r="B391" s="1">
        <v>11</v>
      </c>
      <c r="C391" s="1">
        <v>31374081</v>
      </c>
      <c r="D391" s="1" t="s">
        <v>3420</v>
      </c>
      <c r="E391" s="2">
        <v>45968</v>
      </c>
      <c r="F391" s="1" t="s">
        <v>604</v>
      </c>
      <c r="G391" s="1" t="s">
        <v>3421</v>
      </c>
      <c r="H391" s="1" t="s">
        <v>3422</v>
      </c>
      <c r="I391" s="1">
        <v>1</v>
      </c>
      <c r="J391" s="3">
        <v>8900</v>
      </c>
      <c r="K391" s="3">
        <v>5026</v>
      </c>
      <c r="L391" s="3">
        <v>1175</v>
      </c>
      <c r="M391" s="4">
        <v>0.13200000000000001</v>
      </c>
      <c r="N391" s="3">
        <v>2699</v>
      </c>
      <c r="O391" s="4">
        <v>0.30299999999999999</v>
      </c>
      <c r="P391" s="1" t="s">
        <v>2721</v>
      </c>
    </row>
    <row r="392" spans="1:16">
      <c r="A392" s="1" t="s">
        <v>602</v>
      </c>
      <c r="B392" s="1">
        <v>11</v>
      </c>
      <c r="C392" s="1">
        <v>32100151141543</v>
      </c>
      <c r="D392" s="1" t="s">
        <v>1862</v>
      </c>
      <c r="E392" s="2">
        <v>45968</v>
      </c>
      <c r="F392" s="1" t="s">
        <v>235</v>
      </c>
      <c r="G392" s="1" t="s">
        <v>1863</v>
      </c>
      <c r="H392" s="1" t="s">
        <v>1864</v>
      </c>
      <c r="I392" s="1">
        <v>1</v>
      </c>
      <c r="J392" s="3">
        <v>14790</v>
      </c>
      <c r="K392" s="3">
        <v>7739</v>
      </c>
      <c r="L392" s="3">
        <v>1716</v>
      </c>
      <c r="M392" s="4">
        <v>0.11600000000000001</v>
      </c>
      <c r="N392" s="3">
        <v>5335</v>
      </c>
      <c r="O392" s="4">
        <v>0.36099999999999999</v>
      </c>
      <c r="P392" s="1" t="s">
        <v>2721</v>
      </c>
    </row>
    <row r="393" spans="1:16">
      <c r="A393" s="1" t="s">
        <v>602</v>
      </c>
      <c r="B393" s="1">
        <v>11</v>
      </c>
      <c r="C393" s="1">
        <v>17100151166914</v>
      </c>
      <c r="D393" s="1" t="s">
        <v>1862</v>
      </c>
      <c r="E393" s="2">
        <v>45968</v>
      </c>
      <c r="F393" s="1" t="s">
        <v>235</v>
      </c>
      <c r="G393" s="1" t="s">
        <v>1863</v>
      </c>
      <c r="H393" s="1" t="s">
        <v>1864</v>
      </c>
      <c r="I393" s="1">
        <v>1</v>
      </c>
      <c r="J393" s="3">
        <v>14790</v>
      </c>
      <c r="K393" s="3">
        <v>7739</v>
      </c>
      <c r="L393" s="3">
        <v>1716</v>
      </c>
      <c r="M393" s="4">
        <v>0.11600000000000001</v>
      </c>
      <c r="N393" s="3">
        <v>5335</v>
      </c>
      <c r="O393" s="4">
        <v>0.36099999999999999</v>
      </c>
      <c r="P393" s="1" t="s">
        <v>2721</v>
      </c>
    </row>
    <row r="394" spans="1:16">
      <c r="A394" s="1" t="s">
        <v>602</v>
      </c>
      <c r="B394" s="1">
        <v>11</v>
      </c>
      <c r="C394" s="1">
        <v>24100151386536</v>
      </c>
      <c r="D394" s="1" t="s">
        <v>1862</v>
      </c>
      <c r="E394" s="2">
        <v>45968</v>
      </c>
      <c r="F394" s="1" t="s">
        <v>235</v>
      </c>
      <c r="G394" s="1" t="s">
        <v>1863</v>
      </c>
      <c r="H394" s="1" t="s">
        <v>1864</v>
      </c>
      <c r="I394" s="1">
        <v>1</v>
      </c>
      <c r="J394" s="3">
        <v>14790</v>
      </c>
      <c r="K394" s="3">
        <v>7739</v>
      </c>
      <c r="L394" s="3">
        <v>1716</v>
      </c>
      <c r="M394" s="4">
        <v>0.11600000000000001</v>
      </c>
      <c r="N394" s="3">
        <v>5335</v>
      </c>
      <c r="O394" s="4">
        <v>0.36099999999999999</v>
      </c>
      <c r="P394" s="1" t="s">
        <v>2721</v>
      </c>
    </row>
    <row r="395" spans="1:16">
      <c r="A395" s="1" t="s">
        <v>649</v>
      </c>
      <c r="B395" s="1">
        <v>11</v>
      </c>
      <c r="C395" s="1">
        <v>25110619535576</v>
      </c>
      <c r="D395" s="1" t="s">
        <v>3423</v>
      </c>
      <c r="E395" s="2">
        <v>45968</v>
      </c>
      <c r="F395" s="1" t="s">
        <v>48</v>
      </c>
      <c r="G395" s="1" t="s">
        <v>3424</v>
      </c>
      <c r="H395" s="1" t="s">
        <v>3425</v>
      </c>
      <c r="I395" s="1">
        <v>1</v>
      </c>
      <c r="J395" s="3">
        <v>20196</v>
      </c>
      <c r="K395" s="3">
        <v>17173</v>
      </c>
      <c r="L395" s="1">
        <v>0</v>
      </c>
      <c r="M395" s="4">
        <v>0</v>
      </c>
      <c r="N395" s="3">
        <v>3023</v>
      </c>
      <c r="O395" s="4">
        <v>0.15</v>
      </c>
      <c r="P395" s="1" t="s">
        <v>2721</v>
      </c>
    </row>
    <row r="396" spans="1:16">
      <c r="A396" s="1" t="s">
        <v>649</v>
      </c>
      <c r="B396" s="1">
        <v>11</v>
      </c>
      <c r="C396" s="1">
        <v>25110616315038</v>
      </c>
      <c r="D396" s="1" t="s">
        <v>3426</v>
      </c>
      <c r="E396" s="2">
        <v>45968</v>
      </c>
      <c r="F396" s="1" t="s">
        <v>18</v>
      </c>
      <c r="G396" s="1" t="s">
        <v>3427</v>
      </c>
      <c r="H396" s="1" t="s">
        <v>3428</v>
      </c>
      <c r="I396" s="1">
        <v>1</v>
      </c>
      <c r="J396" s="3">
        <v>8586</v>
      </c>
      <c r="K396" s="3">
        <v>8011</v>
      </c>
      <c r="L396" s="1">
        <v>0</v>
      </c>
      <c r="M396" s="4">
        <v>0</v>
      </c>
      <c r="N396" s="1">
        <v>575</v>
      </c>
      <c r="O396" s="4">
        <v>6.7000000000000004E-2</v>
      </c>
      <c r="P396" s="1" t="s">
        <v>2721</v>
      </c>
    </row>
    <row r="397" spans="1:16">
      <c r="A397" s="1" t="s">
        <v>649</v>
      </c>
      <c r="B397" s="1">
        <v>11</v>
      </c>
      <c r="C397" s="1">
        <v>25110612414817</v>
      </c>
      <c r="D397" s="1" t="s">
        <v>3429</v>
      </c>
      <c r="E397" s="2">
        <v>45968</v>
      </c>
      <c r="F397" s="1" t="s">
        <v>48</v>
      </c>
      <c r="G397" s="1" t="s">
        <v>3430</v>
      </c>
      <c r="H397" s="1" t="s">
        <v>3431</v>
      </c>
      <c r="I397" s="1">
        <v>1</v>
      </c>
      <c r="J397" s="3">
        <v>12997</v>
      </c>
      <c r="K397" s="3">
        <v>11068</v>
      </c>
      <c r="L397" s="1">
        <v>0</v>
      </c>
      <c r="M397" s="4">
        <v>0</v>
      </c>
      <c r="N397" s="3">
        <v>1929</v>
      </c>
      <c r="O397" s="4">
        <v>0.14799999999999999</v>
      </c>
      <c r="P397" s="1" t="s">
        <v>2721</v>
      </c>
    </row>
    <row r="398" spans="1:16">
      <c r="A398" s="1" t="s">
        <v>649</v>
      </c>
      <c r="B398" s="1">
        <v>11</v>
      </c>
      <c r="C398" s="1">
        <v>25110612414817</v>
      </c>
      <c r="D398" s="1" t="s">
        <v>3432</v>
      </c>
      <c r="E398" s="2">
        <v>45968</v>
      </c>
      <c r="F398" s="1" t="s">
        <v>48</v>
      </c>
      <c r="G398" s="1" t="s">
        <v>3433</v>
      </c>
      <c r="H398" s="1" t="s">
        <v>3434</v>
      </c>
      <c r="I398" s="1">
        <v>1</v>
      </c>
      <c r="J398" s="3">
        <v>11594</v>
      </c>
      <c r="K398" s="3">
        <v>9838</v>
      </c>
      <c r="L398" s="1">
        <v>0</v>
      </c>
      <c r="M398" s="4">
        <v>0</v>
      </c>
      <c r="N398" s="3">
        <v>1756</v>
      </c>
      <c r="O398" s="4">
        <v>0.151</v>
      </c>
      <c r="P398" s="1" t="s">
        <v>2721</v>
      </c>
    </row>
    <row r="399" spans="1:16">
      <c r="A399" s="1" t="s">
        <v>1849</v>
      </c>
      <c r="B399" s="1">
        <v>11</v>
      </c>
      <c r="C399" s="1">
        <v>252547</v>
      </c>
      <c r="D399" s="1" t="s">
        <v>3435</v>
      </c>
      <c r="E399" s="2">
        <v>45968</v>
      </c>
      <c r="F399" s="1" t="s">
        <v>360</v>
      </c>
      <c r="G399" s="1" t="s">
        <v>3436</v>
      </c>
      <c r="H399" s="1" t="s">
        <v>3437</v>
      </c>
      <c r="I399" s="1">
        <v>1</v>
      </c>
      <c r="J399" s="3">
        <v>17800</v>
      </c>
      <c r="K399" s="3">
        <v>9286</v>
      </c>
      <c r="L399" s="3">
        <v>2670</v>
      </c>
      <c r="M399" s="4">
        <v>0.15</v>
      </c>
      <c r="N399" s="3">
        <v>5844</v>
      </c>
      <c r="O399" s="4">
        <v>0.32800000000000001</v>
      </c>
      <c r="P399" s="1" t="s">
        <v>2721</v>
      </c>
    </row>
    <row r="400" spans="1:16">
      <c r="A400" s="1" t="s">
        <v>1849</v>
      </c>
      <c r="B400" s="1">
        <v>11</v>
      </c>
      <c r="C400" s="1">
        <v>252547</v>
      </c>
      <c r="D400" s="1" t="s">
        <v>3438</v>
      </c>
      <c r="E400" s="2">
        <v>45968</v>
      </c>
      <c r="F400" s="1" t="s">
        <v>360</v>
      </c>
      <c r="G400" s="1" t="s">
        <v>3439</v>
      </c>
      <c r="H400" s="1" t="s">
        <v>3440</v>
      </c>
      <c r="I400" s="1">
        <v>1</v>
      </c>
      <c r="J400" s="3">
        <v>17800</v>
      </c>
      <c r="K400" s="3">
        <v>9286</v>
      </c>
      <c r="L400" s="3">
        <v>2670</v>
      </c>
      <c r="M400" s="4">
        <v>0.15</v>
      </c>
      <c r="N400" s="3">
        <v>5844</v>
      </c>
      <c r="O400" s="4">
        <v>0.32800000000000001</v>
      </c>
      <c r="P400" s="1" t="s">
        <v>2721</v>
      </c>
    </row>
    <row r="401" spans="1:16">
      <c r="A401" s="1" t="s">
        <v>1849</v>
      </c>
      <c r="B401" s="1">
        <v>11</v>
      </c>
      <c r="C401" s="1">
        <v>247437</v>
      </c>
      <c r="D401" s="1" t="s">
        <v>3441</v>
      </c>
      <c r="E401" s="2">
        <v>45968</v>
      </c>
      <c r="F401" s="1" t="s">
        <v>1411</v>
      </c>
      <c r="G401" s="1" t="s">
        <v>3442</v>
      </c>
      <c r="H401" s="1" t="s">
        <v>3443</v>
      </c>
      <c r="I401" s="1">
        <v>1</v>
      </c>
      <c r="J401" s="3">
        <v>21100</v>
      </c>
      <c r="K401" s="3">
        <v>16396</v>
      </c>
      <c r="L401" s="3">
        <v>3165</v>
      </c>
      <c r="M401" s="4">
        <v>0.15</v>
      </c>
      <c r="N401" s="3">
        <v>1539</v>
      </c>
      <c r="O401" s="4">
        <v>7.2999999999999995E-2</v>
      </c>
      <c r="P401" s="1" t="s">
        <v>2721</v>
      </c>
    </row>
    <row r="402" spans="1:16">
      <c r="A402" s="1" t="s">
        <v>692</v>
      </c>
      <c r="B402" s="1">
        <v>11</v>
      </c>
      <c r="C402" s="1" t="s">
        <v>3444</v>
      </c>
      <c r="D402" s="1" t="s">
        <v>2028</v>
      </c>
      <c r="E402" s="2">
        <v>45968</v>
      </c>
      <c r="F402" s="1" t="s">
        <v>96</v>
      </c>
      <c r="G402" s="1" t="s">
        <v>2029</v>
      </c>
      <c r="H402" s="1" t="s">
        <v>1145</v>
      </c>
      <c r="I402" s="1">
        <v>1</v>
      </c>
      <c r="J402" s="3">
        <v>14790</v>
      </c>
      <c r="K402" s="3">
        <v>13721</v>
      </c>
      <c r="L402" s="1">
        <v>0</v>
      </c>
      <c r="M402" s="4">
        <v>0</v>
      </c>
      <c r="N402" s="3">
        <v>1069</v>
      </c>
      <c r="O402" s="4">
        <v>7.1999999999999995E-2</v>
      </c>
      <c r="P402" s="1" t="s">
        <v>2721</v>
      </c>
    </row>
    <row r="403" spans="1:16">
      <c r="A403" s="1" t="s">
        <v>692</v>
      </c>
      <c r="B403" s="1">
        <v>11</v>
      </c>
      <c r="C403" s="1" t="s">
        <v>3445</v>
      </c>
      <c r="D403" s="1" t="s">
        <v>3446</v>
      </c>
      <c r="E403" s="2">
        <v>45968</v>
      </c>
      <c r="F403" s="1" t="s">
        <v>33</v>
      </c>
      <c r="G403" s="1" t="s">
        <v>3447</v>
      </c>
      <c r="H403" s="1" t="s">
        <v>3448</v>
      </c>
      <c r="I403" s="1">
        <v>1</v>
      </c>
      <c r="J403" s="3">
        <v>95795</v>
      </c>
      <c r="K403" s="3">
        <v>86768</v>
      </c>
      <c r="L403" s="1">
        <v>0</v>
      </c>
      <c r="M403" s="4">
        <v>0</v>
      </c>
      <c r="N403" s="3">
        <v>9027</v>
      </c>
      <c r="O403" s="4">
        <v>9.4E-2</v>
      </c>
      <c r="P403" s="1" t="s">
        <v>2721</v>
      </c>
    </row>
    <row r="404" spans="1:16">
      <c r="A404" s="1" t="s">
        <v>2033</v>
      </c>
      <c r="B404" s="1">
        <v>11</v>
      </c>
      <c r="C404" s="1">
        <v>2.02511061018431E+18</v>
      </c>
      <c r="D404" s="1" t="s">
        <v>3449</v>
      </c>
      <c r="E404" s="2">
        <v>45968</v>
      </c>
      <c r="F404" s="1" t="s">
        <v>554</v>
      </c>
      <c r="G404" s="1" t="s">
        <v>3450</v>
      </c>
      <c r="H404" s="1" t="s">
        <v>3451</v>
      </c>
      <c r="I404" s="1">
        <v>1</v>
      </c>
      <c r="J404" s="3">
        <v>18105</v>
      </c>
      <c r="K404" s="3">
        <v>16321</v>
      </c>
      <c r="L404" s="1">
        <v>0</v>
      </c>
      <c r="M404" s="4">
        <v>0</v>
      </c>
      <c r="N404" s="3">
        <v>1784</v>
      </c>
      <c r="O404" s="4">
        <v>9.9000000000000005E-2</v>
      </c>
      <c r="P404" s="1" t="s">
        <v>2721</v>
      </c>
    </row>
    <row r="405" spans="1:16">
      <c r="A405" s="1" t="s">
        <v>702</v>
      </c>
      <c r="B405" s="1">
        <v>11</v>
      </c>
      <c r="C405" s="1" t="s">
        <v>3452</v>
      </c>
      <c r="D405" s="1" t="s">
        <v>3453</v>
      </c>
      <c r="E405" s="2">
        <v>45968</v>
      </c>
      <c r="F405" s="1" t="s">
        <v>187</v>
      </c>
      <c r="G405" s="1" t="s">
        <v>3454</v>
      </c>
      <c r="H405" s="1" t="s">
        <v>3455</v>
      </c>
      <c r="I405" s="1">
        <v>1</v>
      </c>
      <c r="J405" s="3">
        <v>46400</v>
      </c>
      <c r="K405" s="3">
        <v>34518</v>
      </c>
      <c r="L405" s="1">
        <v>0</v>
      </c>
      <c r="M405" s="4">
        <v>0</v>
      </c>
      <c r="N405" s="3">
        <v>11882</v>
      </c>
      <c r="O405" s="4">
        <v>0.25600000000000001</v>
      </c>
      <c r="P405" s="1" t="s">
        <v>2721</v>
      </c>
    </row>
    <row r="406" spans="1:16">
      <c r="A406" s="1" t="s">
        <v>702</v>
      </c>
      <c r="B406" s="1">
        <v>11</v>
      </c>
      <c r="C406" s="1" t="s">
        <v>3456</v>
      </c>
      <c r="D406" s="1" t="s">
        <v>3457</v>
      </c>
      <c r="E406" s="2">
        <v>45968</v>
      </c>
      <c r="F406" s="1" t="s">
        <v>783</v>
      </c>
      <c r="G406" s="1" t="s">
        <v>3458</v>
      </c>
      <c r="H406" s="1" t="s">
        <v>3459</v>
      </c>
      <c r="I406" s="1">
        <v>1</v>
      </c>
      <c r="J406" s="3">
        <v>39100</v>
      </c>
      <c r="K406" s="3">
        <v>30016</v>
      </c>
      <c r="L406" s="1">
        <v>0</v>
      </c>
      <c r="M406" s="4">
        <v>0</v>
      </c>
      <c r="N406" s="3">
        <v>9084</v>
      </c>
      <c r="O406" s="4">
        <v>0.23200000000000001</v>
      </c>
      <c r="P406" s="1" t="s">
        <v>2721</v>
      </c>
    </row>
    <row r="407" spans="1:16">
      <c r="A407" s="1" t="s">
        <v>707</v>
      </c>
      <c r="B407" s="1">
        <v>11</v>
      </c>
      <c r="C407" s="1">
        <v>2.0251106092729901E+17</v>
      </c>
      <c r="D407" s="1" t="s">
        <v>3460</v>
      </c>
      <c r="E407" s="2">
        <v>45968</v>
      </c>
      <c r="F407" s="1" t="s">
        <v>235</v>
      </c>
      <c r="G407" s="1" t="s">
        <v>3461</v>
      </c>
      <c r="H407" s="1" t="s">
        <v>3462</v>
      </c>
      <c r="I407" s="1">
        <v>1</v>
      </c>
      <c r="J407" s="3">
        <v>14600</v>
      </c>
      <c r="K407" s="3">
        <v>10010</v>
      </c>
      <c r="L407" s="3">
        <v>2190</v>
      </c>
      <c r="M407" s="4">
        <v>0.15</v>
      </c>
      <c r="N407" s="3">
        <v>2400</v>
      </c>
      <c r="O407" s="4">
        <v>0.16400000000000001</v>
      </c>
      <c r="P407" s="1" t="s">
        <v>2721</v>
      </c>
    </row>
    <row r="408" spans="1:16">
      <c r="A408" s="1" t="s">
        <v>707</v>
      </c>
      <c r="B408" s="1">
        <v>11</v>
      </c>
      <c r="C408" s="1">
        <v>2.0251106104053299E+17</v>
      </c>
      <c r="D408" s="1" t="s">
        <v>1862</v>
      </c>
      <c r="E408" s="2">
        <v>45968</v>
      </c>
      <c r="F408" s="1" t="s">
        <v>235</v>
      </c>
      <c r="G408" s="1" t="s">
        <v>1863</v>
      </c>
      <c r="H408" s="1" t="s">
        <v>2070</v>
      </c>
      <c r="I408" s="1">
        <v>1</v>
      </c>
      <c r="J408" s="3">
        <v>9800</v>
      </c>
      <c r="K408" s="3">
        <v>7739</v>
      </c>
      <c r="L408" s="3">
        <v>1470</v>
      </c>
      <c r="M408" s="4">
        <v>0.15</v>
      </c>
      <c r="N408" s="1">
        <v>591</v>
      </c>
      <c r="O408" s="4">
        <v>0.06</v>
      </c>
      <c r="P408" s="1" t="s">
        <v>2721</v>
      </c>
    </row>
    <row r="409" spans="1:16">
      <c r="A409" s="1" t="s">
        <v>707</v>
      </c>
      <c r="B409" s="1">
        <v>11</v>
      </c>
      <c r="C409" s="1">
        <v>2.0251106122707802E+17</v>
      </c>
      <c r="D409" s="1" t="s">
        <v>3463</v>
      </c>
      <c r="E409" s="2">
        <v>45968</v>
      </c>
      <c r="F409" s="1" t="s">
        <v>1935</v>
      </c>
      <c r="G409" s="1" t="s">
        <v>3464</v>
      </c>
      <c r="H409" s="1" t="s">
        <v>3465</v>
      </c>
      <c r="I409" s="1">
        <v>3</v>
      </c>
      <c r="J409" s="3">
        <v>36900</v>
      </c>
      <c r="K409" s="3">
        <v>26733</v>
      </c>
      <c r="L409" s="3">
        <v>5535</v>
      </c>
      <c r="M409" s="4">
        <v>0.15</v>
      </c>
      <c r="N409" s="3">
        <v>4632</v>
      </c>
      <c r="O409" s="4">
        <v>0.126</v>
      </c>
      <c r="P409" s="1" t="s">
        <v>2721</v>
      </c>
    </row>
    <row r="410" spans="1:16">
      <c r="A410" s="1" t="s">
        <v>707</v>
      </c>
      <c r="B410" s="1">
        <v>11</v>
      </c>
      <c r="C410" s="1">
        <v>2.0251106124746899E+17</v>
      </c>
      <c r="D410" s="1" t="s">
        <v>3466</v>
      </c>
      <c r="E410" s="2">
        <v>45968</v>
      </c>
      <c r="F410" s="1" t="s">
        <v>235</v>
      </c>
      <c r="G410" s="1" t="s">
        <v>3467</v>
      </c>
      <c r="H410" s="1" t="s">
        <v>3468</v>
      </c>
      <c r="I410" s="1">
        <v>1</v>
      </c>
      <c r="J410" s="3">
        <v>14600</v>
      </c>
      <c r="K410" s="3">
        <v>10010</v>
      </c>
      <c r="L410" s="3">
        <v>2190</v>
      </c>
      <c r="M410" s="4">
        <v>0.15</v>
      </c>
      <c r="N410" s="3">
        <v>2400</v>
      </c>
      <c r="O410" s="4">
        <v>0.16400000000000001</v>
      </c>
      <c r="P410" s="1" t="s">
        <v>2721</v>
      </c>
    </row>
    <row r="411" spans="1:16">
      <c r="A411" s="1" t="s">
        <v>707</v>
      </c>
      <c r="B411" s="1">
        <v>11</v>
      </c>
      <c r="C411" s="1">
        <v>2.0251106164051901E+17</v>
      </c>
      <c r="D411" s="1" t="s">
        <v>3469</v>
      </c>
      <c r="E411" s="2">
        <v>45968</v>
      </c>
      <c r="F411" s="1" t="s">
        <v>347</v>
      </c>
      <c r="G411" s="1" t="s">
        <v>3470</v>
      </c>
      <c r="H411" s="1" t="s">
        <v>3471</v>
      </c>
      <c r="I411" s="1">
        <v>1</v>
      </c>
      <c r="J411" s="3">
        <v>23300</v>
      </c>
      <c r="K411" s="3">
        <v>17447</v>
      </c>
      <c r="L411" s="3">
        <v>3495</v>
      </c>
      <c r="M411" s="4">
        <v>0.15</v>
      </c>
      <c r="N411" s="3">
        <v>2358</v>
      </c>
      <c r="O411" s="4">
        <v>0.10100000000000001</v>
      </c>
      <c r="P411" s="1" t="s">
        <v>2721</v>
      </c>
    </row>
    <row r="412" spans="1:16">
      <c r="A412" s="1" t="s">
        <v>707</v>
      </c>
      <c r="B412" s="1">
        <v>11</v>
      </c>
      <c r="C412" s="1">
        <v>2.02511070546428E+17</v>
      </c>
      <c r="D412" s="1" t="s">
        <v>1862</v>
      </c>
      <c r="E412" s="2">
        <v>45968</v>
      </c>
      <c r="F412" s="1" t="s">
        <v>235</v>
      </c>
      <c r="G412" s="1" t="s">
        <v>1863</v>
      </c>
      <c r="H412" s="1" t="s">
        <v>2070</v>
      </c>
      <c r="I412" s="1">
        <v>1</v>
      </c>
      <c r="J412" s="3">
        <v>9800</v>
      </c>
      <c r="K412" s="3">
        <v>7739</v>
      </c>
      <c r="L412" s="3">
        <v>1470</v>
      </c>
      <c r="M412" s="4">
        <v>0.15</v>
      </c>
      <c r="N412" s="1">
        <v>591</v>
      </c>
      <c r="O412" s="4">
        <v>0.06</v>
      </c>
      <c r="P412" s="1" t="s">
        <v>2721</v>
      </c>
    </row>
    <row r="413" spans="1:16">
      <c r="A413" s="1" t="s">
        <v>707</v>
      </c>
      <c r="B413" s="1">
        <v>11</v>
      </c>
      <c r="C413" s="1">
        <v>2.0251107071628899E+17</v>
      </c>
      <c r="D413" s="1" t="s">
        <v>2071</v>
      </c>
      <c r="E413" s="2">
        <v>45968</v>
      </c>
      <c r="F413" s="1" t="s">
        <v>235</v>
      </c>
      <c r="G413" s="1" t="s">
        <v>2072</v>
      </c>
      <c r="H413" s="1" t="s">
        <v>2073</v>
      </c>
      <c r="I413" s="1">
        <v>1</v>
      </c>
      <c r="J413" s="3">
        <v>9800</v>
      </c>
      <c r="K413" s="3">
        <v>7739</v>
      </c>
      <c r="L413" s="3">
        <v>1470</v>
      </c>
      <c r="M413" s="4">
        <v>0.15</v>
      </c>
      <c r="N413" s="1">
        <v>591</v>
      </c>
      <c r="O413" s="4">
        <v>0.06</v>
      </c>
      <c r="P413" s="1" t="s">
        <v>2721</v>
      </c>
    </row>
    <row r="414" spans="1:16">
      <c r="A414" s="1" t="s">
        <v>707</v>
      </c>
      <c r="B414" s="1">
        <v>11</v>
      </c>
      <c r="C414" s="1">
        <v>2.0251107071746899E+17</v>
      </c>
      <c r="D414" s="1" t="s">
        <v>2071</v>
      </c>
      <c r="E414" s="2">
        <v>45968</v>
      </c>
      <c r="F414" s="1" t="s">
        <v>235</v>
      </c>
      <c r="G414" s="1" t="s">
        <v>2072</v>
      </c>
      <c r="H414" s="1" t="s">
        <v>2073</v>
      </c>
      <c r="I414" s="1">
        <v>1</v>
      </c>
      <c r="J414" s="3">
        <v>9800</v>
      </c>
      <c r="K414" s="3">
        <v>7739</v>
      </c>
      <c r="L414" s="3">
        <v>1470</v>
      </c>
      <c r="M414" s="4">
        <v>0.15</v>
      </c>
      <c r="N414" s="1">
        <v>591</v>
      </c>
      <c r="O414" s="4">
        <v>0.06</v>
      </c>
      <c r="P414" s="1" t="s">
        <v>2721</v>
      </c>
    </row>
    <row r="415" spans="1:16">
      <c r="A415" s="1" t="s">
        <v>707</v>
      </c>
      <c r="B415" s="1">
        <v>11</v>
      </c>
      <c r="C415" s="1">
        <v>2.0251107071907901E+17</v>
      </c>
      <c r="D415" s="1" t="s">
        <v>2071</v>
      </c>
      <c r="E415" s="2">
        <v>45968</v>
      </c>
      <c r="F415" s="1" t="s">
        <v>235</v>
      </c>
      <c r="G415" s="1" t="s">
        <v>2072</v>
      </c>
      <c r="H415" s="1" t="s">
        <v>2073</v>
      </c>
      <c r="I415" s="1">
        <v>1</v>
      </c>
      <c r="J415" s="3">
        <v>9800</v>
      </c>
      <c r="K415" s="3">
        <v>7739</v>
      </c>
      <c r="L415" s="3">
        <v>1470</v>
      </c>
      <c r="M415" s="4">
        <v>0.15</v>
      </c>
      <c r="N415" s="1">
        <v>591</v>
      </c>
      <c r="O415" s="4">
        <v>0.06</v>
      </c>
      <c r="P415" s="1" t="s">
        <v>2721</v>
      </c>
    </row>
    <row r="416" spans="1:16">
      <c r="A416" s="1" t="s">
        <v>707</v>
      </c>
      <c r="B416" s="1">
        <v>11</v>
      </c>
      <c r="C416" s="1">
        <v>2.0251107072026899E+17</v>
      </c>
      <c r="D416" s="1" t="s">
        <v>2071</v>
      </c>
      <c r="E416" s="2">
        <v>45968</v>
      </c>
      <c r="F416" s="1" t="s">
        <v>235</v>
      </c>
      <c r="G416" s="1" t="s">
        <v>2072</v>
      </c>
      <c r="H416" s="1" t="s">
        <v>2073</v>
      </c>
      <c r="I416" s="1">
        <v>1</v>
      </c>
      <c r="J416" s="3">
        <v>9800</v>
      </c>
      <c r="K416" s="3">
        <v>7739</v>
      </c>
      <c r="L416" s="3">
        <v>1470</v>
      </c>
      <c r="M416" s="4">
        <v>0.15</v>
      </c>
      <c r="N416" s="1">
        <v>591</v>
      </c>
      <c r="O416" s="4">
        <v>0.06</v>
      </c>
      <c r="P416" s="1" t="s">
        <v>2721</v>
      </c>
    </row>
    <row r="417" spans="1:16">
      <c r="A417" s="1" t="s">
        <v>707</v>
      </c>
      <c r="B417" s="1">
        <v>11</v>
      </c>
      <c r="C417" s="1">
        <v>2.0251107072205901E+17</v>
      </c>
      <c r="D417" s="1" t="s">
        <v>2071</v>
      </c>
      <c r="E417" s="2">
        <v>45968</v>
      </c>
      <c r="F417" s="1" t="s">
        <v>235</v>
      </c>
      <c r="G417" s="1" t="s">
        <v>2072</v>
      </c>
      <c r="H417" s="1" t="s">
        <v>2073</v>
      </c>
      <c r="I417" s="1">
        <v>1</v>
      </c>
      <c r="J417" s="3">
        <v>9800</v>
      </c>
      <c r="K417" s="3">
        <v>7739</v>
      </c>
      <c r="L417" s="3">
        <v>1470</v>
      </c>
      <c r="M417" s="4">
        <v>0.15</v>
      </c>
      <c r="N417" s="1">
        <v>591</v>
      </c>
      <c r="O417" s="4">
        <v>0.06</v>
      </c>
      <c r="P417" s="1" t="s">
        <v>2721</v>
      </c>
    </row>
    <row r="418" spans="1:16">
      <c r="A418" s="1" t="s">
        <v>2082</v>
      </c>
      <c r="B418" s="1">
        <v>11</v>
      </c>
      <c r="C418" s="1">
        <v>2.02511061828372E+17</v>
      </c>
      <c r="D418" s="1" t="s">
        <v>3472</v>
      </c>
      <c r="E418" s="2">
        <v>45968</v>
      </c>
      <c r="F418" s="1" t="s">
        <v>33</v>
      </c>
      <c r="G418" s="1" t="s">
        <v>3473</v>
      </c>
      <c r="H418" s="1" t="s">
        <v>3474</v>
      </c>
      <c r="I418" s="1">
        <v>1</v>
      </c>
      <c r="J418" s="3">
        <v>106800</v>
      </c>
      <c r="K418" s="3">
        <v>75415</v>
      </c>
      <c r="L418" s="3">
        <v>16020</v>
      </c>
      <c r="M418" s="4">
        <v>0.15</v>
      </c>
      <c r="N418" s="3">
        <v>15365</v>
      </c>
      <c r="O418" s="4">
        <v>0.14399999999999999</v>
      </c>
      <c r="P418" s="1" t="s">
        <v>2721</v>
      </c>
    </row>
    <row r="419" spans="1:16">
      <c r="A419" s="1" t="s">
        <v>2082</v>
      </c>
      <c r="B419" s="1">
        <v>11</v>
      </c>
      <c r="C419" s="1">
        <v>2.0251106195148499E+17</v>
      </c>
      <c r="D419" s="1" t="s">
        <v>3023</v>
      </c>
      <c r="E419" s="2">
        <v>45968</v>
      </c>
      <c r="F419" s="1" t="s">
        <v>235</v>
      </c>
      <c r="G419" s="1" t="s">
        <v>3024</v>
      </c>
      <c r="H419" s="1" t="s">
        <v>3072</v>
      </c>
      <c r="I419" s="1">
        <v>2</v>
      </c>
      <c r="J419" s="3">
        <v>60400</v>
      </c>
      <c r="K419" s="3">
        <v>42680</v>
      </c>
      <c r="L419" s="3">
        <v>9060</v>
      </c>
      <c r="M419" s="4">
        <v>0.15</v>
      </c>
      <c r="N419" s="3">
        <v>8660</v>
      </c>
      <c r="O419" s="4">
        <v>0.14299999999999999</v>
      </c>
      <c r="P419" s="1" t="s">
        <v>2721</v>
      </c>
    </row>
    <row r="420" spans="1:16">
      <c r="A420" s="1" t="s">
        <v>711</v>
      </c>
      <c r="B420" s="1">
        <v>11</v>
      </c>
      <c r="C420" s="1">
        <v>2.0251106150954598E+17</v>
      </c>
      <c r="D420" s="1" t="s">
        <v>3475</v>
      </c>
      <c r="E420" s="2">
        <v>45968</v>
      </c>
      <c r="F420" s="1" t="s">
        <v>58</v>
      </c>
      <c r="G420" s="1" t="s">
        <v>3476</v>
      </c>
      <c r="H420" s="1" t="s">
        <v>3477</v>
      </c>
      <c r="I420" s="1">
        <v>1</v>
      </c>
      <c r="J420" s="3">
        <v>21900</v>
      </c>
      <c r="K420" s="3">
        <v>11256</v>
      </c>
      <c r="L420" s="3">
        <v>3285</v>
      </c>
      <c r="M420" s="4">
        <v>0.15</v>
      </c>
      <c r="N420" s="3">
        <v>7359</v>
      </c>
      <c r="O420" s="4">
        <v>0.33600000000000002</v>
      </c>
      <c r="P420" s="1" t="s">
        <v>2721</v>
      </c>
    </row>
    <row r="421" spans="1:16">
      <c r="A421" s="1" t="s">
        <v>711</v>
      </c>
      <c r="B421" s="1">
        <v>11</v>
      </c>
      <c r="C421" s="1">
        <v>2.0251106205903802E+17</v>
      </c>
      <c r="D421" s="1" t="s">
        <v>3478</v>
      </c>
      <c r="E421" s="2">
        <v>45968</v>
      </c>
      <c r="F421" s="1" t="s">
        <v>58</v>
      </c>
      <c r="G421" s="1" t="s">
        <v>3479</v>
      </c>
      <c r="H421" s="1" t="s">
        <v>3480</v>
      </c>
      <c r="I421" s="1">
        <v>1</v>
      </c>
      <c r="J421" s="3">
        <v>42500</v>
      </c>
      <c r="K421" s="3">
        <v>24000</v>
      </c>
      <c r="L421" s="3">
        <v>6375</v>
      </c>
      <c r="M421" s="4">
        <v>0.15</v>
      </c>
      <c r="N421" s="3">
        <v>12125</v>
      </c>
      <c r="O421" s="4">
        <v>0.28499999999999998</v>
      </c>
      <c r="P421" s="1" t="s">
        <v>2721</v>
      </c>
    </row>
    <row r="422" spans="1:16">
      <c r="A422" s="1" t="s">
        <v>711</v>
      </c>
      <c r="B422" s="1">
        <v>11</v>
      </c>
      <c r="C422" s="1">
        <v>2.0251106212539901E+17</v>
      </c>
      <c r="D422" s="1" t="s">
        <v>3478</v>
      </c>
      <c r="E422" s="2">
        <v>45968</v>
      </c>
      <c r="F422" s="1" t="s">
        <v>58</v>
      </c>
      <c r="G422" s="1" t="s">
        <v>3479</v>
      </c>
      <c r="H422" s="1" t="s">
        <v>3480</v>
      </c>
      <c r="I422" s="1">
        <v>2</v>
      </c>
      <c r="J422" s="3">
        <v>85000</v>
      </c>
      <c r="K422" s="3">
        <v>48000</v>
      </c>
      <c r="L422" s="3">
        <v>12750</v>
      </c>
      <c r="M422" s="4">
        <v>0.15</v>
      </c>
      <c r="N422" s="3">
        <v>24250</v>
      </c>
      <c r="O422" s="4">
        <v>0.28499999999999998</v>
      </c>
      <c r="P422" s="1" t="s">
        <v>2721</v>
      </c>
    </row>
    <row r="423" spans="1:16">
      <c r="A423" s="1" t="s">
        <v>711</v>
      </c>
      <c r="B423" s="1">
        <v>11</v>
      </c>
      <c r="C423" s="1">
        <v>2.0251106232329299E+17</v>
      </c>
      <c r="D423" s="1" t="s">
        <v>3478</v>
      </c>
      <c r="E423" s="2">
        <v>45968</v>
      </c>
      <c r="F423" s="1" t="s">
        <v>58</v>
      </c>
      <c r="G423" s="1" t="s">
        <v>3479</v>
      </c>
      <c r="H423" s="1" t="s">
        <v>3481</v>
      </c>
      <c r="I423" s="1">
        <v>1</v>
      </c>
      <c r="J423" s="3">
        <v>42500</v>
      </c>
      <c r="K423" s="3">
        <v>24000</v>
      </c>
      <c r="L423" s="3">
        <v>6375</v>
      </c>
      <c r="M423" s="4">
        <v>0.15</v>
      </c>
      <c r="N423" s="3">
        <v>12125</v>
      </c>
      <c r="O423" s="4">
        <v>0.28499999999999998</v>
      </c>
      <c r="P423" s="1" t="s">
        <v>2721</v>
      </c>
    </row>
    <row r="424" spans="1:16">
      <c r="A424" s="1" t="s">
        <v>711</v>
      </c>
      <c r="B424" s="1">
        <v>11</v>
      </c>
      <c r="C424" s="1">
        <v>2.0251107071433901E+17</v>
      </c>
      <c r="D424" s="1" t="s">
        <v>3478</v>
      </c>
      <c r="E424" s="2">
        <v>45968</v>
      </c>
      <c r="F424" s="1" t="s">
        <v>58</v>
      </c>
      <c r="G424" s="1" t="s">
        <v>3479</v>
      </c>
      <c r="H424" s="1" t="s">
        <v>3482</v>
      </c>
      <c r="I424" s="1">
        <v>1</v>
      </c>
      <c r="J424" s="3">
        <v>42500</v>
      </c>
      <c r="K424" s="3">
        <v>24000</v>
      </c>
      <c r="L424" s="3">
        <v>6375</v>
      </c>
      <c r="M424" s="4">
        <v>0.15</v>
      </c>
      <c r="N424" s="3">
        <v>12125</v>
      </c>
      <c r="O424" s="4">
        <v>0.28499999999999998</v>
      </c>
      <c r="P424" s="1" t="s">
        <v>2721</v>
      </c>
    </row>
    <row r="425" spans="1:16">
      <c r="A425" s="1" t="s">
        <v>711</v>
      </c>
      <c r="B425" s="1">
        <v>11</v>
      </c>
      <c r="C425" s="1">
        <v>2.0251107071433901E+17</v>
      </c>
      <c r="D425" s="1" t="s">
        <v>3478</v>
      </c>
      <c r="E425" s="2">
        <v>45968</v>
      </c>
      <c r="F425" s="1" t="s">
        <v>58</v>
      </c>
      <c r="G425" s="1" t="s">
        <v>3479</v>
      </c>
      <c r="H425" s="1" t="s">
        <v>3480</v>
      </c>
      <c r="I425" s="1">
        <v>1</v>
      </c>
      <c r="J425" s="3">
        <v>42500</v>
      </c>
      <c r="K425" s="3">
        <v>24000</v>
      </c>
      <c r="L425" s="3">
        <v>6375</v>
      </c>
      <c r="M425" s="4">
        <v>0.15</v>
      </c>
      <c r="N425" s="3">
        <v>12125</v>
      </c>
      <c r="O425" s="4">
        <v>0.28499999999999998</v>
      </c>
      <c r="P425" s="1" t="s">
        <v>2721</v>
      </c>
    </row>
    <row r="426" spans="1:16">
      <c r="A426" s="1" t="s">
        <v>718</v>
      </c>
      <c r="B426" s="1">
        <v>11</v>
      </c>
      <c r="C426" s="1">
        <v>2.02511061820352E+17</v>
      </c>
      <c r="D426" s="1" t="s">
        <v>3483</v>
      </c>
      <c r="E426" s="2">
        <v>45968</v>
      </c>
      <c r="F426" s="1" t="s">
        <v>3484</v>
      </c>
      <c r="G426" s="1" t="s">
        <v>3485</v>
      </c>
      <c r="H426" s="1" t="s">
        <v>3486</v>
      </c>
      <c r="I426" s="1">
        <v>1</v>
      </c>
      <c r="J426" s="3">
        <v>37000</v>
      </c>
      <c r="K426" s="3">
        <v>25795</v>
      </c>
      <c r="L426" s="3">
        <v>3700</v>
      </c>
      <c r="M426" s="4">
        <v>0.1</v>
      </c>
      <c r="N426" s="3">
        <v>7505</v>
      </c>
      <c r="O426" s="4">
        <v>0.20300000000000001</v>
      </c>
      <c r="P426" s="1" t="s">
        <v>2721</v>
      </c>
    </row>
    <row r="427" spans="1:16">
      <c r="A427" s="1" t="s">
        <v>718</v>
      </c>
      <c r="B427" s="1">
        <v>11</v>
      </c>
      <c r="C427" s="1">
        <v>2.02511061820352E+17</v>
      </c>
      <c r="D427" s="1" t="s">
        <v>3487</v>
      </c>
      <c r="E427" s="2">
        <v>45968</v>
      </c>
      <c r="F427" s="1" t="s">
        <v>3484</v>
      </c>
      <c r="G427" s="1" t="s">
        <v>3488</v>
      </c>
      <c r="H427" s="1" t="s">
        <v>3489</v>
      </c>
      <c r="I427" s="1">
        <v>1</v>
      </c>
      <c r="J427" s="3">
        <v>37000</v>
      </c>
      <c r="K427" s="3">
        <v>25795</v>
      </c>
      <c r="L427" s="3">
        <v>3700</v>
      </c>
      <c r="M427" s="4">
        <v>0.1</v>
      </c>
      <c r="N427" s="3">
        <v>7505</v>
      </c>
      <c r="O427" s="4">
        <v>0.20300000000000001</v>
      </c>
      <c r="P427" s="1" t="s">
        <v>2721</v>
      </c>
    </row>
    <row r="428" spans="1:16">
      <c r="A428" s="1" t="s">
        <v>718</v>
      </c>
      <c r="B428" s="1">
        <v>11</v>
      </c>
      <c r="C428" s="1">
        <v>2.0251106122850899E+17</v>
      </c>
      <c r="D428" s="1" t="s">
        <v>3490</v>
      </c>
      <c r="E428" s="2">
        <v>45968</v>
      </c>
      <c r="F428" s="1" t="s">
        <v>235</v>
      </c>
      <c r="G428" s="1" t="s">
        <v>3491</v>
      </c>
      <c r="H428" s="1" t="s">
        <v>3492</v>
      </c>
      <c r="I428" s="1">
        <v>1</v>
      </c>
      <c r="J428" s="3">
        <v>17000</v>
      </c>
      <c r="K428" s="3">
        <v>11602</v>
      </c>
      <c r="L428" s="3">
        <v>1700</v>
      </c>
      <c r="M428" s="4">
        <v>0.1</v>
      </c>
      <c r="N428" s="3">
        <v>3698</v>
      </c>
      <c r="O428" s="4">
        <v>0.218</v>
      </c>
      <c r="P428" s="1" t="s">
        <v>2721</v>
      </c>
    </row>
    <row r="429" spans="1:16">
      <c r="A429" s="1" t="s">
        <v>718</v>
      </c>
      <c r="B429" s="1">
        <v>11</v>
      </c>
      <c r="C429" s="1">
        <v>2.0251107091801299E+17</v>
      </c>
      <c r="D429" s="1" t="s">
        <v>1959</v>
      </c>
      <c r="E429" s="2">
        <v>45968</v>
      </c>
      <c r="F429" s="1" t="s">
        <v>1513</v>
      </c>
      <c r="G429" s="1" t="s">
        <v>1960</v>
      </c>
      <c r="H429" s="1" t="s">
        <v>3493</v>
      </c>
      <c r="I429" s="1">
        <v>1</v>
      </c>
      <c r="J429" s="3">
        <v>13900</v>
      </c>
      <c r="K429" s="3">
        <v>10100</v>
      </c>
      <c r="L429" s="3">
        <v>1390</v>
      </c>
      <c r="M429" s="4">
        <v>0.1</v>
      </c>
      <c r="N429" s="3">
        <v>2410</v>
      </c>
      <c r="O429" s="4">
        <v>0.17299999999999999</v>
      </c>
      <c r="P429" s="1" t="s">
        <v>2721</v>
      </c>
    </row>
    <row r="430" spans="1:16">
      <c r="A430" s="1" t="s">
        <v>722</v>
      </c>
      <c r="B430" s="1">
        <v>11</v>
      </c>
      <c r="C430" s="1" t="s">
        <v>3494</v>
      </c>
      <c r="D430" s="1" t="s">
        <v>3495</v>
      </c>
      <c r="E430" s="2">
        <v>45968</v>
      </c>
      <c r="F430" s="1" t="s">
        <v>3496</v>
      </c>
      <c r="G430" s="1" t="s">
        <v>3497</v>
      </c>
      <c r="H430" s="1" t="s">
        <v>3498</v>
      </c>
      <c r="I430" s="1">
        <v>1</v>
      </c>
      <c r="J430" s="3">
        <v>35925</v>
      </c>
      <c r="K430" s="3">
        <v>34518</v>
      </c>
      <c r="L430" s="1">
        <v>0</v>
      </c>
      <c r="M430" s="4">
        <v>0</v>
      </c>
      <c r="N430" s="3">
        <v>1407</v>
      </c>
      <c r="O430" s="4">
        <v>3.9E-2</v>
      </c>
      <c r="P430" s="1" t="s">
        <v>2721</v>
      </c>
    </row>
    <row r="431" spans="1:16">
      <c r="A431" s="1" t="s">
        <v>733</v>
      </c>
      <c r="B431" s="1">
        <v>11</v>
      </c>
      <c r="C431" s="1" t="s">
        <v>3499</v>
      </c>
      <c r="D431" s="1" t="s">
        <v>3500</v>
      </c>
      <c r="E431" s="2">
        <v>45968</v>
      </c>
      <c r="F431" s="1" t="s">
        <v>96</v>
      </c>
      <c r="G431" s="1" t="s">
        <v>3501</v>
      </c>
      <c r="I431" s="1">
        <v>1</v>
      </c>
      <c r="J431" s="3">
        <v>15901</v>
      </c>
      <c r="K431" s="3">
        <v>13721</v>
      </c>
      <c r="L431" s="1">
        <v>0</v>
      </c>
      <c r="M431" s="4">
        <v>0</v>
      </c>
      <c r="N431" s="3">
        <v>2180</v>
      </c>
      <c r="O431" s="4">
        <v>0.13700000000000001</v>
      </c>
      <c r="P431" s="1" t="s">
        <v>2721</v>
      </c>
    </row>
    <row r="432" spans="1:16">
      <c r="A432" s="1" t="s">
        <v>739</v>
      </c>
      <c r="B432" s="1">
        <v>11</v>
      </c>
      <c r="C432" s="1">
        <v>31371188</v>
      </c>
      <c r="D432" s="1" t="s">
        <v>3502</v>
      </c>
      <c r="E432" s="2">
        <v>45968</v>
      </c>
      <c r="F432" s="1" t="s">
        <v>483</v>
      </c>
      <c r="G432" s="1" t="s">
        <v>3503</v>
      </c>
      <c r="H432" s="1" t="s">
        <v>1039</v>
      </c>
      <c r="I432" s="1">
        <v>1</v>
      </c>
      <c r="J432" s="3">
        <v>32800</v>
      </c>
      <c r="K432" s="3">
        <v>26170</v>
      </c>
      <c r="L432" s="3">
        <v>4330</v>
      </c>
      <c r="M432" s="4">
        <v>0.13200000000000001</v>
      </c>
      <c r="N432" s="3">
        <v>2300</v>
      </c>
      <c r="O432" s="4">
        <v>7.0000000000000007E-2</v>
      </c>
      <c r="P432" s="1" t="s">
        <v>2721</v>
      </c>
    </row>
    <row r="433" spans="1:16">
      <c r="A433" s="1" t="s">
        <v>739</v>
      </c>
      <c r="B433" s="1">
        <v>11</v>
      </c>
      <c r="C433" s="1">
        <v>31372886</v>
      </c>
      <c r="D433" s="1" t="s">
        <v>673</v>
      </c>
      <c r="E433" s="2">
        <v>45968</v>
      </c>
      <c r="F433" s="1" t="s">
        <v>368</v>
      </c>
      <c r="G433" s="1" t="s">
        <v>674</v>
      </c>
      <c r="H433" s="1" t="s">
        <v>480</v>
      </c>
      <c r="I433" s="1">
        <v>2</v>
      </c>
      <c r="J433" s="3">
        <v>49000</v>
      </c>
      <c r="K433" s="3">
        <v>37798</v>
      </c>
      <c r="L433" s="3">
        <v>6468</v>
      </c>
      <c r="M433" s="4">
        <v>0.13200000000000001</v>
      </c>
      <c r="N433" s="3">
        <v>4734</v>
      </c>
      <c r="O433" s="4">
        <v>9.7000000000000003E-2</v>
      </c>
      <c r="P433" s="1" t="s">
        <v>2721</v>
      </c>
    </row>
    <row r="434" spans="1:16">
      <c r="A434" s="1" t="s">
        <v>739</v>
      </c>
      <c r="B434" s="1">
        <v>11</v>
      </c>
      <c r="C434" s="1">
        <v>31375825</v>
      </c>
      <c r="D434" s="1" t="s">
        <v>3504</v>
      </c>
      <c r="E434" s="2">
        <v>45968</v>
      </c>
      <c r="F434" s="1" t="s">
        <v>347</v>
      </c>
      <c r="G434" s="1" t="s">
        <v>3505</v>
      </c>
      <c r="H434" s="1" t="s">
        <v>3506</v>
      </c>
      <c r="I434" s="1">
        <v>1</v>
      </c>
      <c r="J434" s="3">
        <v>28200</v>
      </c>
      <c r="K434" s="3">
        <v>21780</v>
      </c>
      <c r="L434" s="3">
        <v>3722</v>
      </c>
      <c r="M434" s="4">
        <v>0.13200000000000001</v>
      </c>
      <c r="N434" s="3">
        <v>2698</v>
      </c>
      <c r="O434" s="4">
        <v>9.6000000000000002E-2</v>
      </c>
      <c r="P434" s="1" t="s">
        <v>2721</v>
      </c>
    </row>
    <row r="435" spans="1:16">
      <c r="A435" s="1" t="s">
        <v>761</v>
      </c>
      <c r="B435" s="1">
        <v>11</v>
      </c>
      <c r="C435" s="1" t="s">
        <v>3507</v>
      </c>
      <c r="D435" s="1" t="s">
        <v>3508</v>
      </c>
      <c r="E435" s="2">
        <v>45968</v>
      </c>
      <c r="F435" s="1" t="s">
        <v>3509</v>
      </c>
      <c r="G435" s="1" t="s">
        <v>3510</v>
      </c>
      <c r="H435" s="1" t="s">
        <v>3511</v>
      </c>
      <c r="I435" s="1">
        <v>1</v>
      </c>
      <c r="J435" s="3">
        <v>16900</v>
      </c>
      <c r="K435" s="3">
        <v>13038</v>
      </c>
      <c r="L435" s="1">
        <v>0</v>
      </c>
      <c r="M435" s="4">
        <v>0</v>
      </c>
      <c r="N435" s="3">
        <v>3862</v>
      </c>
      <c r="O435" s="4">
        <v>0.22900000000000001</v>
      </c>
      <c r="P435" s="1" t="s">
        <v>2723</v>
      </c>
    </row>
    <row r="436" spans="1:16">
      <c r="A436" s="1" t="s">
        <v>2193</v>
      </c>
      <c r="B436" s="1">
        <v>11</v>
      </c>
      <c r="C436" s="1">
        <v>30141834</v>
      </c>
      <c r="D436" s="1" t="s">
        <v>3512</v>
      </c>
      <c r="E436" s="2">
        <v>45968</v>
      </c>
      <c r="F436" s="1" t="s">
        <v>96</v>
      </c>
      <c r="G436" s="1" t="s">
        <v>3513</v>
      </c>
      <c r="H436" s="1" t="s">
        <v>3514</v>
      </c>
      <c r="I436" s="1">
        <v>1</v>
      </c>
      <c r="J436" s="3">
        <v>16784</v>
      </c>
      <c r="K436" s="3">
        <v>15447</v>
      </c>
      <c r="L436" s="1">
        <v>0</v>
      </c>
      <c r="M436" s="4">
        <v>0</v>
      </c>
      <c r="N436" s="3">
        <v>1337</v>
      </c>
      <c r="O436" s="4">
        <v>0.08</v>
      </c>
      <c r="P436" s="1" t="s">
        <v>2723</v>
      </c>
    </row>
    <row r="437" spans="1:16">
      <c r="A437" s="1" t="s">
        <v>2200</v>
      </c>
      <c r="B437" s="1">
        <v>11</v>
      </c>
      <c r="C437" s="1">
        <v>249176185</v>
      </c>
      <c r="D437" s="1" t="s">
        <v>3515</v>
      </c>
      <c r="E437" s="2">
        <v>45968</v>
      </c>
      <c r="F437" s="1" t="s">
        <v>53</v>
      </c>
      <c r="G437" s="1" t="s">
        <v>3516</v>
      </c>
      <c r="I437" s="1">
        <v>1</v>
      </c>
      <c r="J437" s="3">
        <v>14800</v>
      </c>
      <c r="K437" s="3">
        <v>13676</v>
      </c>
      <c r="L437" s="1">
        <v>0</v>
      </c>
      <c r="M437" s="4">
        <v>0</v>
      </c>
      <c r="N437" s="3">
        <v>1124</v>
      </c>
      <c r="O437" s="4">
        <v>7.5999999999999998E-2</v>
      </c>
      <c r="P437" s="1" t="s">
        <v>2723</v>
      </c>
    </row>
    <row r="438" spans="1:16">
      <c r="A438" s="1" t="s">
        <v>2200</v>
      </c>
      <c r="B438" s="1">
        <v>11</v>
      </c>
      <c r="C438" s="1">
        <v>249190696</v>
      </c>
      <c r="D438" s="1" t="s">
        <v>2130</v>
      </c>
      <c r="E438" s="2">
        <v>45968</v>
      </c>
      <c r="F438" s="1" t="s">
        <v>126</v>
      </c>
      <c r="G438" s="1" t="s">
        <v>2131</v>
      </c>
      <c r="H438" s="1" t="s">
        <v>1149</v>
      </c>
      <c r="I438" s="1">
        <v>1</v>
      </c>
      <c r="J438" s="3">
        <v>14200</v>
      </c>
      <c r="K438" s="3">
        <v>13132</v>
      </c>
      <c r="L438" s="1">
        <v>0</v>
      </c>
      <c r="M438" s="4">
        <v>0</v>
      </c>
      <c r="N438" s="3">
        <v>1068</v>
      </c>
      <c r="O438" s="4">
        <v>7.4999999999999997E-2</v>
      </c>
      <c r="P438" s="1" t="s">
        <v>2723</v>
      </c>
    </row>
    <row r="439" spans="1:16">
      <c r="A439" s="1" t="s">
        <v>763</v>
      </c>
      <c r="B439" s="1">
        <v>11</v>
      </c>
      <c r="C439" s="1" t="s">
        <v>3517</v>
      </c>
      <c r="D439" s="1" t="s">
        <v>3518</v>
      </c>
      <c r="E439" s="2">
        <v>45968</v>
      </c>
      <c r="F439" s="1" t="s">
        <v>53</v>
      </c>
      <c r="G439" s="1" t="s">
        <v>3519</v>
      </c>
      <c r="H439" s="1" t="s">
        <v>3520</v>
      </c>
      <c r="I439" s="1">
        <v>1</v>
      </c>
      <c r="J439" s="3">
        <v>13260</v>
      </c>
      <c r="K439" s="3">
        <v>11956</v>
      </c>
      <c r="L439" s="1">
        <v>0</v>
      </c>
      <c r="M439" s="4">
        <v>0</v>
      </c>
      <c r="N439" s="3">
        <v>1304</v>
      </c>
      <c r="O439" s="4">
        <v>9.8000000000000004E-2</v>
      </c>
      <c r="P439" s="1" t="s">
        <v>2723</v>
      </c>
    </row>
    <row r="440" spans="1:16">
      <c r="A440" s="1" t="s">
        <v>763</v>
      </c>
      <c r="B440" s="1">
        <v>11</v>
      </c>
      <c r="C440" s="1" t="s">
        <v>3521</v>
      </c>
      <c r="D440" s="1" t="s">
        <v>3423</v>
      </c>
      <c r="E440" s="2">
        <v>45968</v>
      </c>
      <c r="F440" s="1" t="s">
        <v>48</v>
      </c>
      <c r="G440" s="1" t="s">
        <v>3424</v>
      </c>
      <c r="H440" s="1" t="s">
        <v>3522</v>
      </c>
      <c r="I440" s="1">
        <v>1</v>
      </c>
      <c r="J440" s="3">
        <v>17900</v>
      </c>
      <c r="K440" s="3">
        <v>17173</v>
      </c>
      <c r="L440" s="1">
        <v>0</v>
      </c>
      <c r="M440" s="4">
        <v>0</v>
      </c>
      <c r="N440" s="1">
        <v>727</v>
      </c>
      <c r="O440" s="4">
        <v>4.1000000000000002E-2</v>
      </c>
      <c r="P440" s="1" t="s">
        <v>2723</v>
      </c>
    </row>
    <row r="441" spans="1:16">
      <c r="A441" s="1" t="s">
        <v>763</v>
      </c>
      <c r="B441" s="1">
        <v>11</v>
      </c>
      <c r="C441" s="1" t="s">
        <v>3523</v>
      </c>
      <c r="D441" s="1" t="s">
        <v>3524</v>
      </c>
      <c r="E441" s="2">
        <v>45968</v>
      </c>
      <c r="F441" s="1" t="s">
        <v>256</v>
      </c>
      <c r="G441" s="1" t="s">
        <v>3525</v>
      </c>
      <c r="H441" s="1" t="s">
        <v>3526</v>
      </c>
      <c r="I441" s="1">
        <v>1</v>
      </c>
      <c r="J441" s="3">
        <v>21080</v>
      </c>
      <c r="K441" s="3">
        <v>19135</v>
      </c>
      <c r="L441" s="1">
        <v>0</v>
      </c>
      <c r="M441" s="4">
        <v>0</v>
      </c>
      <c r="N441" s="3">
        <v>1945</v>
      </c>
      <c r="O441" s="4">
        <v>9.1999999999999998E-2</v>
      </c>
      <c r="P441" s="1" t="s">
        <v>2723</v>
      </c>
    </row>
    <row r="442" spans="1:16">
      <c r="A442" s="1" t="s">
        <v>2725</v>
      </c>
      <c r="B442" s="1">
        <v>11</v>
      </c>
      <c r="C442" s="1" t="s">
        <v>3527</v>
      </c>
      <c r="D442" s="1" t="s">
        <v>3410</v>
      </c>
      <c r="E442" s="2">
        <v>45968</v>
      </c>
      <c r="F442" s="1" t="s">
        <v>604</v>
      </c>
      <c r="G442" s="1" t="s">
        <v>3528</v>
      </c>
      <c r="I442" s="1">
        <v>1</v>
      </c>
      <c r="J442" s="3">
        <v>241527</v>
      </c>
      <c r="L442" s="1">
        <v>0</v>
      </c>
      <c r="M442" s="4">
        <v>0</v>
      </c>
      <c r="N442" s="3">
        <v>241527</v>
      </c>
      <c r="O442" s="4">
        <v>1</v>
      </c>
      <c r="P442" s="1" t="s">
        <v>2721</v>
      </c>
    </row>
    <row r="443" spans="1:16">
      <c r="A443" s="1" t="s">
        <v>616</v>
      </c>
      <c r="B443" s="1">
        <v>11</v>
      </c>
      <c r="C443" s="1">
        <v>2025110788291760</v>
      </c>
      <c r="D443" s="1" t="s">
        <v>3529</v>
      </c>
      <c r="E443" s="2">
        <v>45968</v>
      </c>
      <c r="F443" s="1" t="s">
        <v>604</v>
      </c>
      <c r="G443" s="1" t="s">
        <v>3530</v>
      </c>
      <c r="H443" s="1" t="s">
        <v>3531</v>
      </c>
      <c r="I443" s="1">
        <v>1</v>
      </c>
      <c r="J443" s="3">
        <v>14900</v>
      </c>
      <c r="K443" s="3">
        <v>5748</v>
      </c>
      <c r="L443" s="1">
        <v>596</v>
      </c>
      <c r="M443" s="4">
        <v>0.04</v>
      </c>
      <c r="N443" s="3">
        <v>8556</v>
      </c>
      <c r="O443" s="4">
        <v>0.57399999999999995</v>
      </c>
      <c r="P443" s="1" t="s">
        <v>2721</v>
      </c>
    </row>
    <row r="444" spans="1:16">
      <c r="A444" s="1" t="s">
        <v>15</v>
      </c>
      <c r="B444" s="1">
        <v>11</v>
      </c>
      <c r="C444" s="1" t="s">
        <v>3532</v>
      </c>
      <c r="D444" s="1" t="s">
        <v>1007</v>
      </c>
      <c r="E444" s="2">
        <v>45971</v>
      </c>
      <c r="F444" s="1" t="s">
        <v>892</v>
      </c>
      <c r="G444" s="1" t="s">
        <v>1008</v>
      </c>
      <c r="H444" s="1" t="s">
        <v>1009</v>
      </c>
      <c r="I444" s="1">
        <v>1</v>
      </c>
      <c r="J444" s="3">
        <v>20643</v>
      </c>
      <c r="K444" s="3">
        <v>19698</v>
      </c>
      <c r="L444" s="1">
        <v>0</v>
      </c>
      <c r="M444" s="4">
        <v>0</v>
      </c>
      <c r="N444" s="1">
        <v>945</v>
      </c>
      <c r="O444" s="4">
        <v>4.5999999999999999E-2</v>
      </c>
      <c r="P444" s="1" t="s">
        <v>2721</v>
      </c>
    </row>
    <row r="445" spans="1:16">
      <c r="A445" s="1" t="s">
        <v>15</v>
      </c>
      <c r="B445" s="1">
        <v>11</v>
      </c>
      <c r="C445" s="1" t="s">
        <v>3533</v>
      </c>
      <c r="D445" s="1" t="s">
        <v>27</v>
      </c>
      <c r="E445" s="2">
        <v>45971</v>
      </c>
      <c r="F445" s="1" t="s">
        <v>28</v>
      </c>
      <c r="G445" s="1" t="s">
        <v>29</v>
      </c>
      <c r="H445" s="1" t="s">
        <v>30</v>
      </c>
      <c r="I445" s="1">
        <v>1</v>
      </c>
      <c r="J445" s="3">
        <v>27033</v>
      </c>
      <c r="K445" s="3">
        <v>25795</v>
      </c>
      <c r="L445" s="1">
        <v>0</v>
      </c>
      <c r="M445" s="4">
        <v>0</v>
      </c>
      <c r="N445" s="3">
        <v>1238</v>
      </c>
      <c r="O445" s="4">
        <v>4.5999999999999999E-2</v>
      </c>
      <c r="P445" s="1" t="s">
        <v>2721</v>
      </c>
    </row>
    <row r="446" spans="1:16">
      <c r="A446" s="1" t="s">
        <v>15</v>
      </c>
      <c r="B446" s="1">
        <v>11</v>
      </c>
      <c r="C446" s="1" t="s">
        <v>3534</v>
      </c>
      <c r="D446" s="1" t="s">
        <v>27</v>
      </c>
      <c r="E446" s="2">
        <v>45971</v>
      </c>
      <c r="F446" s="1" t="s">
        <v>28</v>
      </c>
      <c r="G446" s="1" t="s">
        <v>29</v>
      </c>
      <c r="H446" s="1" t="s">
        <v>404</v>
      </c>
      <c r="I446" s="1">
        <v>1</v>
      </c>
      <c r="J446" s="3">
        <v>89945</v>
      </c>
      <c r="K446" s="3">
        <v>85827</v>
      </c>
      <c r="L446" s="1">
        <v>0</v>
      </c>
      <c r="M446" s="4">
        <v>0</v>
      </c>
      <c r="N446" s="3">
        <v>4118</v>
      </c>
      <c r="O446" s="4">
        <v>4.5999999999999999E-2</v>
      </c>
      <c r="P446" s="1" t="s">
        <v>2721</v>
      </c>
    </row>
    <row r="447" spans="1:16">
      <c r="A447" s="1" t="s">
        <v>15</v>
      </c>
      <c r="B447" s="1">
        <v>11</v>
      </c>
      <c r="C447" s="1" t="s">
        <v>3535</v>
      </c>
      <c r="D447" s="1" t="s">
        <v>32</v>
      </c>
      <c r="E447" s="2">
        <v>45971</v>
      </c>
      <c r="F447" s="1" t="s">
        <v>33</v>
      </c>
      <c r="G447" s="1" t="s">
        <v>34</v>
      </c>
      <c r="H447" s="1" t="s">
        <v>3536</v>
      </c>
      <c r="I447" s="1">
        <v>1</v>
      </c>
      <c r="J447" s="3">
        <v>111200</v>
      </c>
      <c r="K447" s="3">
        <v>106109</v>
      </c>
      <c r="L447" s="1">
        <v>0</v>
      </c>
      <c r="M447" s="4">
        <v>0</v>
      </c>
      <c r="N447" s="3">
        <v>5091</v>
      </c>
      <c r="O447" s="4">
        <v>4.5999999999999999E-2</v>
      </c>
      <c r="P447" s="1" t="s">
        <v>2721</v>
      </c>
    </row>
    <row r="448" spans="1:16">
      <c r="A448" s="1" t="s">
        <v>15</v>
      </c>
      <c r="B448" s="1">
        <v>11</v>
      </c>
      <c r="C448" s="1" t="s">
        <v>3537</v>
      </c>
      <c r="D448" s="1" t="s">
        <v>112</v>
      </c>
      <c r="E448" s="2">
        <v>45971</v>
      </c>
      <c r="F448" s="1" t="s">
        <v>63</v>
      </c>
      <c r="G448" s="1" t="s">
        <v>3385</v>
      </c>
      <c r="H448" s="1" t="s">
        <v>114</v>
      </c>
      <c r="I448" s="1">
        <v>1</v>
      </c>
      <c r="J448" s="3">
        <v>8011</v>
      </c>
      <c r="K448" s="3">
        <v>7645</v>
      </c>
      <c r="L448" s="1">
        <v>0</v>
      </c>
      <c r="M448" s="4">
        <v>0</v>
      </c>
      <c r="N448" s="1">
        <v>366</v>
      </c>
      <c r="O448" s="4">
        <v>4.5999999999999999E-2</v>
      </c>
      <c r="P448" s="1" t="s">
        <v>2721</v>
      </c>
    </row>
    <row r="449" spans="1:16">
      <c r="A449" s="1" t="s">
        <v>15</v>
      </c>
      <c r="B449" s="1">
        <v>11</v>
      </c>
      <c r="C449" s="1" t="s">
        <v>3538</v>
      </c>
      <c r="D449" s="1" t="s">
        <v>903</v>
      </c>
      <c r="E449" s="2">
        <v>45971</v>
      </c>
      <c r="F449" s="1" t="s">
        <v>23</v>
      </c>
      <c r="G449" s="1" t="s">
        <v>587</v>
      </c>
      <c r="H449" s="1" t="s">
        <v>588</v>
      </c>
      <c r="I449" s="1">
        <v>1</v>
      </c>
      <c r="J449" s="3">
        <v>13762</v>
      </c>
      <c r="K449" s="3">
        <v>13132</v>
      </c>
      <c r="L449" s="1">
        <v>0</v>
      </c>
      <c r="M449" s="4">
        <v>0</v>
      </c>
      <c r="N449" s="1">
        <v>630</v>
      </c>
      <c r="O449" s="4">
        <v>4.5999999999999999E-2</v>
      </c>
      <c r="P449" s="1" t="s">
        <v>2721</v>
      </c>
    </row>
    <row r="450" spans="1:16">
      <c r="A450" s="1" t="s">
        <v>15</v>
      </c>
      <c r="B450" s="1">
        <v>11</v>
      </c>
      <c r="C450" s="1" t="s">
        <v>3539</v>
      </c>
      <c r="D450" s="1" t="s">
        <v>1443</v>
      </c>
      <c r="E450" s="2">
        <v>45971</v>
      </c>
      <c r="F450" s="1" t="s">
        <v>96</v>
      </c>
      <c r="G450" s="1" t="s">
        <v>1444</v>
      </c>
      <c r="H450" s="1" t="s">
        <v>1444</v>
      </c>
      <c r="I450" s="1">
        <v>1</v>
      </c>
      <c r="J450" s="3">
        <v>9858</v>
      </c>
      <c r="K450" s="3">
        <v>9406</v>
      </c>
      <c r="L450" s="1">
        <v>0</v>
      </c>
      <c r="M450" s="4">
        <v>0</v>
      </c>
      <c r="N450" s="1">
        <v>452</v>
      </c>
      <c r="O450" s="4">
        <v>4.5999999999999999E-2</v>
      </c>
      <c r="P450" s="1" t="s">
        <v>2721</v>
      </c>
    </row>
    <row r="451" spans="1:16">
      <c r="A451" s="1" t="s">
        <v>15</v>
      </c>
      <c r="B451" s="1">
        <v>11</v>
      </c>
      <c r="C451" s="1" t="s">
        <v>3539</v>
      </c>
      <c r="D451" s="1" t="s">
        <v>95</v>
      </c>
      <c r="E451" s="2">
        <v>45971</v>
      </c>
      <c r="F451" s="1" t="s">
        <v>96</v>
      </c>
      <c r="G451" s="1" t="s">
        <v>97</v>
      </c>
      <c r="H451" s="1" t="s">
        <v>97</v>
      </c>
      <c r="I451" s="1">
        <v>1</v>
      </c>
      <c r="J451" s="3">
        <v>12571</v>
      </c>
      <c r="K451" s="3">
        <v>11995</v>
      </c>
      <c r="L451" s="1">
        <v>0</v>
      </c>
      <c r="M451" s="4">
        <v>0</v>
      </c>
      <c r="N451" s="1">
        <v>576</v>
      </c>
      <c r="O451" s="4">
        <v>4.5999999999999999E-2</v>
      </c>
      <c r="P451" s="1" t="s">
        <v>2721</v>
      </c>
    </row>
    <row r="452" spans="1:16">
      <c r="A452" s="1" t="s">
        <v>15</v>
      </c>
      <c r="B452" s="1">
        <v>11</v>
      </c>
      <c r="C452" s="1" t="s">
        <v>3540</v>
      </c>
      <c r="D452" s="1" t="s">
        <v>3541</v>
      </c>
      <c r="E452" s="2">
        <v>45971</v>
      </c>
      <c r="F452" s="1" t="s">
        <v>500</v>
      </c>
      <c r="G452" s="1" t="s">
        <v>1827</v>
      </c>
      <c r="H452" s="1" t="s">
        <v>1828</v>
      </c>
      <c r="I452" s="1">
        <v>1</v>
      </c>
      <c r="J452" s="3">
        <v>141099</v>
      </c>
      <c r="K452" s="3">
        <v>134640</v>
      </c>
      <c r="L452" s="1">
        <v>0</v>
      </c>
      <c r="M452" s="4">
        <v>0</v>
      </c>
      <c r="N452" s="3">
        <v>6459</v>
      </c>
      <c r="O452" s="4">
        <v>4.5999999999999999E-2</v>
      </c>
      <c r="P452" s="1" t="s">
        <v>2721</v>
      </c>
    </row>
    <row r="453" spans="1:16">
      <c r="A453" s="1" t="s">
        <v>15</v>
      </c>
      <c r="B453" s="1">
        <v>11</v>
      </c>
      <c r="C453" s="1" t="s">
        <v>3542</v>
      </c>
      <c r="D453" s="1" t="s">
        <v>2986</v>
      </c>
      <c r="E453" s="2">
        <v>45971</v>
      </c>
      <c r="F453" s="1" t="s">
        <v>360</v>
      </c>
      <c r="G453" s="1" t="s">
        <v>2987</v>
      </c>
      <c r="H453" s="1" t="s">
        <v>3543</v>
      </c>
      <c r="I453" s="1">
        <v>1</v>
      </c>
      <c r="J453" s="3">
        <v>9732</v>
      </c>
      <c r="K453" s="3">
        <v>9286</v>
      </c>
      <c r="L453" s="1">
        <v>0</v>
      </c>
      <c r="M453" s="4">
        <v>0</v>
      </c>
      <c r="N453" s="1">
        <v>446</v>
      </c>
      <c r="O453" s="4">
        <v>4.5999999999999999E-2</v>
      </c>
      <c r="P453" s="1" t="s">
        <v>2721</v>
      </c>
    </row>
    <row r="454" spans="1:16">
      <c r="A454" s="1" t="s">
        <v>15</v>
      </c>
      <c r="B454" s="1">
        <v>11</v>
      </c>
      <c r="C454" s="1" t="s">
        <v>3544</v>
      </c>
      <c r="D454" s="1" t="s">
        <v>86</v>
      </c>
      <c r="E454" s="2">
        <v>45971</v>
      </c>
      <c r="F454" s="1" t="s">
        <v>53</v>
      </c>
      <c r="G454" s="1" t="s">
        <v>87</v>
      </c>
      <c r="H454" s="1" t="s">
        <v>88</v>
      </c>
      <c r="I454" s="1">
        <v>1</v>
      </c>
      <c r="J454" s="3">
        <v>14956</v>
      </c>
      <c r="K454" s="3">
        <v>14272</v>
      </c>
      <c r="L454" s="1">
        <v>0</v>
      </c>
      <c r="M454" s="4">
        <v>0</v>
      </c>
      <c r="N454" s="1">
        <v>684</v>
      </c>
      <c r="O454" s="4">
        <v>4.5999999999999999E-2</v>
      </c>
      <c r="P454" s="1" t="s">
        <v>2721</v>
      </c>
    </row>
    <row r="455" spans="1:16">
      <c r="A455" s="1" t="s">
        <v>15</v>
      </c>
      <c r="B455" s="1">
        <v>11</v>
      </c>
      <c r="C455" s="1" t="s">
        <v>3545</v>
      </c>
      <c r="D455" s="1" t="s">
        <v>3546</v>
      </c>
      <c r="E455" s="2">
        <v>45971</v>
      </c>
      <c r="F455" s="1" t="s">
        <v>48</v>
      </c>
      <c r="G455" s="1" t="s">
        <v>3547</v>
      </c>
      <c r="H455" s="1" t="s">
        <v>3548</v>
      </c>
      <c r="I455" s="1">
        <v>1</v>
      </c>
      <c r="J455" s="3">
        <v>14371</v>
      </c>
      <c r="K455" s="3">
        <v>13714</v>
      </c>
      <c r="L455" s="1">
        <v>0</v>
      </c>
      <c r="M455" s="4">
        <v>0</v>
      </c>
      <c r="N455" s="1">
        <v>657</v>
      </c>
      <c r="O455" s="4">
        <v>4.5999999999999999E-2</v>
      </c>
      <c r="P455" s="1" t="s">
        <v>2721</v>
      </c>
    </row>
    <row r="456" spans="1:16">
      <c r="A456" s="1" t="s">
        <v>15</v>
      </c>
      <c r="B456" s="1">
        <v>11</v>
      </c>
      <c r="C456" s="1" t="s">
        <v>3549</v>
      </c>
      <c r="D456" s="1" t="s">
        <v>813</v>
      </c>
      <c r="E456" s="2">
        <v>45971</v>
      </c>
      <c r="F456" s="1" t="s">
        <v>126</v>
      </c>
      <c r="G456" s="1" t="s">
        <v>814</v>
      </c>
      <c r="H456" s="1" t="s">
        <v>2052</v>
      </c>
      <c r="I456" s="1">
        <v>1</v>
      </c>
      <c r="J456" s="3">
        <v>18186</v>
      </c>
      <c r="K456" s="3">
        <v>17353</v>
      </c>
      <c r="L456" s="1">
        <v>0</v>
      </c>
      <c r="M456" s="4">
        <v>0</v>
      </c>
      <c r="N456" s="1">
        <v>833</v>
      </c>
      <c r="O456" s="4">
        <v>4.5999999999999999E-2</v>
      </c>
      <c r="P456" s="1" t="s">
        <v>2721</v>
      </c>
    </row>
    <row r="457" spans="1:16">
      <c r="A457" s="1" t="s">
        <v>15</v>
      </c>
      <c r="B457" s="1">
        <v>11</v>
      </c>
      <c r="C457" s="1" t="s">
        <v>3550</v>
      </c>
      <c r="D457" s="1" t="s">
        <v>212</v>
      </c>
      <c r="E457" s="2">
        <v>45971</v>
      </c>
      <c r="F457" s="1" t="s">
        <v>213</v>
      </c>
      <c r="G457" s="1" t="s">
        <v>214</v>
      </c>
      <c r="H457" s="1" t="s">
        <v>3551</v>
      </c>
      <c r="I457" s="1">
        <v>1</v>
      </c>
      <c r="J457" s="3">
        <v>29490</v>
      </c>
      <c r="K457" s="3">
        <v>28140</v>
      </c>
      <c r="L457" s="1">
        <v>0</v>
      </c>
      <c r="M457" s="4">
        <v>0</v>
      </c>
      <c r="N457" s="3">
        <v>1350</v>
      </c>
      <c r="O457" s="4">
        <v>4.5999999999999999E-2</v>
      </c>
      <c r="P457" s="1" t="s">
        <v>2721</v>
      </c>
    </row>
    <row r="458" spans="1:16">
      <c r="A458" s="1" t="s">
        <v>15</v>
      </c>
      <c r="B458" s="1">
        <v>11</v>
      </c>
      <c r="C458" s="1" t="s">
        <v>3552</v>
      </c>
      <c r="D458" s="1" t="s">
        <v>141</v>
      </c>
      <c r="E458" s="2">
        <v>45971</v>
      </c>
      <c r="F458" s="1" t="s">
        <v>142</v>
      </c>
      <c r="G458" s="1" t="s">
        <v>143</v>
      </c>
      <c r="H458" s="1" t="s">
        <v>144</v>
      </c>
      <c r="I458" s="1">
        <v>1</v>
      </c>
      <c r="J458" s="3">
        <v>22314</v>
      </c>
      <c r="K458" s="3">
        <v>21293</v>
      </c>
      <c r="L458" s="1">
        <v>0</v>
      </c>
      <c r="M458" s="4">
        <v>0</v>
      </c>
      <c r="N458" s="3">
        <v>1021</v>
      </c>
      <c r="O458" s="4">
        <v>4.5999999999999999E-2</v>
      </c>
      <c r="P458" s="1" t="s">
        <v>2721</v>
      </c>
    </row>
    <row r="459" spans="1:16">
      <c r="A459" s="1" t="s">
        <v>15</v>
      </c>
      <c r="B459" s="1">
        <v>11</v>
      </c>
      <c r="C459" s="1" t="s">
        <v>3553</v>
      </c>
      <c r="D459" s="1" t="s">
        <v>3554</v>
      </c>
      <c r="E459" s="2">
        <v>45971</v>
      </c>
      <c r="F459" s="1" t="s">
        <v>96</v>
      </c>
      <c r="G459" s="1" t="s">
        <v>3555</v>
      </c>
      <c r="H459" s="1" t="s">
        <v>2022</v>
      </c>
      <c r="I459" s="1">
        <v>2</v>
      </c>
      <c r="J459" s="3">
        <v>18811</v>
      </c>
      <c r="K459" s="3">
        <v>17950</v>
      </c>
      <c r="L459" s="1">
        <v>0</v>
      </c>
      <c r="M459" s="4">
        <v>0</v>
      </c>
      <c r="N459" s="1">
        <v>861</v>
      </c>
      <c r="O459" s="4">
        <v>4.5999999999999999E-2</v>
      </c>
      <c r="P459" s="1" t="s">
        <v>2721</v>
      </c>
    </row>
    <row r="460" spans="1:16">
      <c r="A460" s="1" t="s">
        <v>15</v>
      </c>
      <c r="B460" s="1">
        <v>11</v>
      </c>
      <c r="C460" s="1" t="s">
        <v>3556</v>
      </c>
      <c r="D460" s="1" t="s">
        <v>3557</v>
      </c>
      <c r="E460" s="2">
        <v>45971</v>
      </c>
      <c r="F460" s="1" t="s">
        <v>2537</v>
      </c>
      <c r="G460" s="1" t="s">
        <v>3558</v>
      </c>
      <c r="H460" s="1" t="s">
        <v>3559</v>
      </c>
      <c r="I460" s="1">
        <v>1</v>
      </c>
      <c r="J460" s="3">
        <v>17694</v>
      </c>
      <c r="K460" s="3">
        <v>16884</v>
      </c>
      <c r="L460" s="1">
        <v>0</v>
      </c>
      <c r="M460" s="4">
        <v>0</v>
      </c>
      <c r="N460" s="1">
        <v>810</v>
      </c>
      <c r="O460" s="4">
        <v>4.5999999999999999E-2</v>
      </c>
      <c r="P460" s="1" t="s">
        <v>2721</v>
      </c>
    </row>
    <row r="461" spans="1:16">
      <c r="A461" s="1" t="s">
        <v>15</v>
      </c>
      <c r="B461" s="1">
        <v>11</v>
      </c>
      <c r="C461" s="1" t="s">
        <v>3560</v>
      </c>
      <c r="D461" s="1" t="s">
        <v>32</v>
      </c>
      <c r="E461" s="2">
        <v>45971</v>
      </c>
      <c r="F461" s="1" t="s">
        <v>33</v>
      </c>
      <c r="G461" s="1" t="s">
        <v>34</v>
      </c>
      <c r="H461" s="1" t="s">
        <v>3561</v>
      </c>
      <c r="I461" s="1">
        <v>1</v>
      </c>
      <c r="J461" s="3">
        <v>65453</v>
      </c>
      <c r="K461" s="3">
        <v>62457</v>
      </c>
      <c r="L461" s="1">
        <v>0</v>
      </c>
      <c r="M461" s="4">
        <v>0</v>
      </c>
      <c r="N461" s="3">
        <v>2996</v>
      </c>
      <c r="O461" s="4">
        <v>4.5999999999999999E-2</v>
      </c>
      <c r="P461" s="1" t="s">
        <v>2721</v>
      </c>
    </row>
    <row r="462" spans="1:16">
      <c r="A462" s="1" t="s">
        <v>15</v>
      </c>
      <c r="B462" s="1">
        <v>11</v>
      </c>
      <c r="C462" s="1" t="s">
        <v>3562</v>
      </c>
      <c r="D462" s="1" t="s">
        <v>208</v>
      </c>
      <c r="E462" s="2">
        <v>45971</v>
      </c>
      <c r="F462" s="1" t="s">
        <v>126</v>
      </c>
      <c r="G462" s="1" t="s">
        <v>209</v>
      </c>
      <c r="H462" s="1" t="s">
        <v>210</v>
      </c>
      <c r="I462" s="1">
        <v>1</v>
      </c>
      <c r="J462" s="3">
        <v>19267</v>
      </c>
      <c r="K462" s="3">
        <v>18385</v>
      </c>
      <c r="L462" s="1">
        <v>0</v>
      </c>
      <c r="M462" s="4">
        <v>0</v>
      </c>
      <c r="N462" s="1">
        <v>882</v>
      </c>
      <c r="O462" s="4">
        <v>4.5999999999999999E-2</v>
      </c>
      <c r="P462" s="1" t="s">
        <v>2721</v>
      </c>
    </row>
    <row r="463" spans="1:16">
      <c r="A463" s="1" t="s">
        <v>15</v>
      </c>
      <c r="B463" s="1">
        <v>11</v>
      </c>
      <c r="C463" s="1" t="s">
        <v>3563</v>
      </c>
      <c r="D463" s="1" t="s">
        <v>3564</v>
      </c>
      <c r="E463" s="2">
        <v>45971</v>
      </c>
      <c r="F463" s="1" t="s">
        <v>2173</v>
      </c>
      <c r="G463" s="1" t="s">
        <v>3565</v>
      </c>
      <c r="H463" s="1" t="s">
        <v>3566</v>
      </c>
      <c r="I463" s="1">
        <v>1</v>
      </c>
      <c r="J463" s="3">
        <v>40303</v>
      </c>
      <c r="K463" s="3">
        <v>38458</v>
      </c>
      <c r="L463" s="1">
        <v>0</v>
      </c>
      <c r="M463" s="4">
        <v>0</v>
      </c>
      <c r="N463" s="3">
        <v>1845</v>
      </c>
      <c r="O463" s="4">
        <v>4.5999999999999999E-2</v>
      </c>
      <c r="P463" s="1" t="s">
        <v>2721</v>
      </c>
    </row>
    <row r="464" spans="1:16">
      <c r="A464" s="1" t="s">
        <v>15</v>
      </c>
      <c r="B464" s="1">
        <v>11</v>
      </c>
      <c r="C464" s="1" t="s">
        <v>3567</v>
      </c>
      <c r="D464" s="1" t="s">
        <v>52</v>
      </c>
      <c r="E464" s="2">
        <v>45971</v>
      </c>
      <c r="F464" s="1" t="s">
        <v>53</v>
      </c>
      <c r="G464" s="1" t="s">
        <v>54</v>
      </c>
      <c r="H464" s="1" t="s">
        <v>55</v>
      </c>
      <c r="I464" s="1">
        <v>1</v>
      </c>
      <c r="J464" s="3">
        <v>16135</v>
      </c>
      <c r="K464" s="3">
        <v>15396</v>
      </c>
      <c r="L464" s="1">
        <v>0</v>
      </c>
      <c r="M464" s="4">
        <v>0</v>
      </c>
      <c r="N464" s="1">
        <v>739</v>
      </c>
      <c r="O464" s="4">
        <v>4.5999999999999999E-2</v>
      </c>
      <c r="P464" s="1" t="s">
        <v>2721</v>
      </c>
    </row>
    <row r="465" spans="1:16">
      <c r="A465" s="1" t="s">
        <v>15</v>
      </c>
      <c r="B465" s="1">
        <v>11</v>
      </c>
      <c r="C465" s="1" t="s">
        <v>3568</v>
      </c>
      <c r="D465" s="1" t="s">
        <v>250</v>
      </c>
      <c r="E465" s="2">
        <v>45971</v>
      </c>
      <c r="F465" s="1" t="s">
        <v>251</v>
      </c>
      <c r="G465" s="1" t="s">
        <v>252</v>
      </c>
      <c r="H465" s="1" t="s">
        <v>3569</v>
      </c>
      <c r="I465" s="1">
        <v>1</v>
      </c>
      <c r="J465" s="3">
        <v>29392</v>
      </c>
      <c r="K465" s="3">
        <v>28046</v>
      </c>
      <c r="L465" s="1">
        <v>0</v>
      </c>
      <c r="M465" s="4">
        <v>0</v>
      </c>
      <c r="N465" s="3">
        <v>1346</v>
      </c>
      <c r="O465" s="4">
        <v>4.5999999999999999E-2</v>
      </c>
      <c r="P465" s="1" t="s">
        <v>2721</v>
      </c>
    </row>
    <row r="466" spans="1:16">
      <c r="A466" s="1" t="s">
        <v>15</v>
      </c>
      <c r="B466" s="1">
        <v>11</v>
      </c>
      <c r="C466" s="1" t="s">
        <v>3570</v>
      </c>
      <c r="D466" s="1" t="s">
        <v>3571</v>
      </c>
      <c r="E466" s="2">
        <v>45971</v>
      </c>
      <c r="F466" s="1" t="s">
        <v>235</v>
      </c>
      <c r="G466" s="1" t="s">
        <v>3572</v>
      </c>
      <c r="H466" s="1" t="s">
        <v>3572</v>
      </c>
      <c r="I466" s="1">
        <v>1</v>
      </c>
      <c r="J466" s="3">
        <v>13565</v>
      </c>
      <c r="K466" s="3">
        <v>12944</v>
      </c>
      <c r="L466" s="1">
        <v>0</v>
      </c>
      <c r="M466" s="4">
        <v>0</v>
      </c>
      <c r="N466" s="1">
        <v>621</v>
      </c>
      <c r="O466" s="4">
        <v>4.5999999999999999E-2</v>
      </c>
      <c r="P466" s="1" t="s">
        <v>2721</v>
      </c>
    </row>
    <row r="467" spans="1:16">
      <c r="A467" s="1" t="s">
        <v>15</v>
      </c>
      <c r="B467" s="1">
        <v>11</v>
      </c>
      <c r="C467" s="1" t="s">
        <v>3573</v>
      </c>
      <c r="D467" s="1" t="s">
        <v>3342</v>
      </c>
      <c r="E467" s="2">
        <v>45971</v>
      </c>
      <c r="F467" s="1" t="s">
        <v>3343</v>
      </c>
      <c r="G467" s="1" t="s">
        <v>3344</v>
      </c>
      <c r="H467" s="1" t="s">
        <v>3345</v>
      </c>
      <c r="I467" s="1">
        <v>2</v>
      </c>
      <c r="J467" s="3">
        <v>63502</v>
      </c>
      <c r="K467" s="3">
        <v>60595</v>
      </c>
      <c r="L467" s="1">
        <v>0</v>
      </c>
      <c r="M467" s="4">
        <v>0</v>
      </c>
      <c r="N467" s="3">
        <v>2907</v>
      </c>
      <c r="O467" s="4">
        <v>4.5999999999999999E-2</v>
      </c>
      <c r="P467" s="1" t="s">
        <v>2721</v>
      </c>
    </row>
    <row r="468" spans="1:16">
      <c r="A468" s="1" t="s">
        <v>15</v>
      </c>
      <c r="B468" s="1">
        <v>11</v>
      </c>
      <c r="C468" s="1" t="s">
        <v>3574</v>
      </c>
      <c r="D468" s="1" t="s">
        <v>1026</v>
      </c>
      <c r="E468" s="2">
        <v>45971</v>
      </c>
      <c r="F468" s="1" t="s">
        <v>256</v>
      </c>
      <c r="G468" s="1" t="s">
        <v>1027</v>
      </c>
      <c r="H468" s="1" t="s">
        <v>2374</v>
      </c>
      <c r="I468" s="1">
        <v>1</v>
      </c>
      <c r="J468" s="3">
        <v>12337</v>
      </c>
      <c r="K468" s="3">
        <v>11772</v>
      </c>
      <c r="L468" s="1">
        <v>0</v>
      </c>
      <c r="M468" s="4">
        <v>0</v>
      </c>
      <c r="N468" s="1">
        <v>565</v>
      </c>
      <c r="O468" s="4">
        <v>4.5999999999999999E-2</v>
      </c>
      <c r="P468" s="1" t="s">
        <v>2721</v>
      </c>
    </row>
    <row r="469" spans="1:16">
      <c r="A469" s="1" t="s">
        <v>15</v>
      </c>
      <c r="B469" s="1">
        <v>11</v>
      </c>
      <c r="C469" s="1" t="s">
        <v>3575</v>
      </c>
      <c r="D469" s="1" t="s">
        <v>1375</v>
      </c>
      <c r="E469" s="2">
        <v>45971</v>
      </c>
      <c r="F469" s="1" t="s">
        <v>256</v>
      </c>
      <c r="G469" s="1" t="s">
        <v>1376</v>
      </c>
      <c r="H469" s="1" t="s">
        <v>2376</v>
      </c>
      <c r="I469" s="1">
        <v>1</v>
      </c>
      <c r="J469" s="3">
        <v>5161</v>
      </c>
      <c r="K469" s="3">
        <v>4925</v>
      </c>
      <c r="L469" s="1">
        <v>0</v>
      </c>
      <c r="M469" s="4">
        <v>0</v>
      </c>
      <c r="N469" s="1">
        <v>236</v>
      </c>
      <c r="O469" s="4">
        <v>4.5999999999999999E-2</v>
      </c>
      <c r="P469" s="1" t="s">
        <v>2721</v>
      </c>
    </row>
    <row r="470" spans="1:16">
      <c r="A470" s="1" t="s">
        <v>15</v>
      </c>
      <c r="B470" s="1">
        <v>11</v>
      </c>
      <c r="C470" s="1" t="s">
        <v>3576</v>
      </c>
      <c r="D470" s="1" t="s">
        <v>558</v>
      </c>
      <c r="E470" s="2">
        <v>45971</v>
      </c>
      <c r="F470" s="1" t="s">
        <v>256</v>
      </c>
      <c r="G470" s="1" t="s">
        <v>559</v>
      </c>
      <c r="H470" s="1" t="s">
        <v>3577</v>
      </c>
      <c r="I470" s="1">
        <v>1</v>
      </c>
      <c r="J470" s="3">
        <v>10715</v>
      </c>
      <c r="K470" s="3">
        <v>10224</v>
      </c>
      <c r="L470" s="1">
        <v>0</v>
      </c>
      <c r="M470" s="4">
        <v>0</v>
      </c>
      <c r="N470" s="1">
        <v>491</v>
      </c>
      <c r="O470" s="4">
        <v>4.5999999999999999E-2</v>
      </c>
      <c r="P470" s="1" t="s">
        <v>2721</v>
      </c>
    </row>
    <row r="471" spans="1:16">
      <c r="A471" s="1" t="s">
        <v>15</v>
      </c>
      <c r="B471" s="1">
        <v>11</v>
      </c>
      <c r="C471" s="1" t="s">
        <v>3578</v>
      </c>
      <c r="D471" s="1" t="s">
        <v>3579</v>
      </c>
      <c r="E471" s="2">
        <v>45971</v>
      </c>
      <c r="F471" s="1" t="s">
        <v>3037</v>
      </c>
      <c r="G471" s="1" t="s">
        <v>3580</v>
      </c>
      <c r="H471" s="1" t="s">
        <v>3581</v>
      </c>
      <c r="I471" s="1">
        <v>2</v>
      </c>
      <c r="J471" s="3">
        <v>34584</v>
      </c>
      <c r="K471" s="3">
        <v>33001</v>
      </c>
      <c r="L471" s="1">
        <v>0</v>
      </c>
      <c r="M471" s="4">
        <v>0</v>
      </c>
      <c r="N471" s="3">
        <v>1583</v>
      </c>
      <c r="O471" s="4">
        <v>4.5999999999999999E-2</v>
      </c>
      <c r="P471" s="1" t="s">
        <v>2721</v>
      </c>
    </row>
    <row r="472" spans="1:16">
      <c r="A472" s="1" t="s">
        <v>15</v>
      </c>
      <c r="B472" s="1">
        <v>11</v>
      </c>
      <c r="C472" s="1" t="s">
        <v>3582</v>
      </c>
      <c r="D472" s="1" t="s">
        <v>1250</v>
      </c>
      <c r="E472" s="2">
        <v>45971</v>
      </c>
      <c r="F472" s="1" t="s">
        <v>18</v>
      </c>
      <c r="G472" s="1" t="s">
        <v>1251</v>
      </c>
      <c r="H472" s="1" t="s">
        <v>20</v>
      </c>
      <c r="I472" s="1">
        <v>1</v>
      </c>
      <c r="J472" s="3">
        <v>8395</v>
      </c>
      <c r="K472" s="3">
        <v>8011</v>
      </c>
      <c r="L472" s="1">
        <v>0</v>
      </c>
      <c r="M472" s="4">
        <v>0</v>
      </c>
      <c r="N472" s="1">
        <v>384</v>
      </c>
      <c r="O472" s="4">
        <v>4.5999999999999999E-2</v>
      </c>
      <c r="P472" s="1" t="s">
        <v>2721</v>
      </c>
    </row>
    <row r="473" spans="1:16">
      <c r="A473" s="1" t="s">
        <v>15</v>
      </c>
      <c r="B473" s="1">
        <v>11</v>
      </c>
      <c r="C473" s="1" t="s">
        <v>3583</v>
      </c>
      <c r="D473" s="1" t="s">
        <v>150</v>
      </c>
      <c r="E473" s="2">
        <v>45971</v>
      </c>
      <c r="F473" s="1" t="s">
        <v>151</v>
      </c>
      <c r="G473" s="1" t="s">
        <v>152</v>
      </c>
      <c r="H473" s="1" t="s">
        <v>152</v>
      </c>
      <c r="I473" s="1">
        <v>1</v>
      </c>
      <c r="J473" s="3">
        <v>36371</v>
      </c>
      <c r="K473" s="3">
        <v>34706</v>
      </c>
      <c r="L473" s="1">
        <v>0</v>
      </c>
      <c r="M473" s="4">
        <v>0</v>
      </c>
      <c r="N473" s="3">
        <v>1665</v>
      </c>
      <c r="O473" s="4">
        <v>4.5999999999999999E-2</v>
      </c>
      <c r="P473" s="1" t="s">
        <v>2721</v>
      </c>
    </row>
    <row r="474" spans="1:16">
      <c r="A474" s="1" t="s">
        <v>15</v>
      </c>
      <c r="B474" s="1">
        <v>11</v>
      </c>
      <c r="C474" s="1" t="s">
        <v>3584</v>
      </c>
      <c r="D474" s="1" t="s">
        <v>3585</v>
      </c>
      <c r="E474" s="2">
        <v>45971</v>
      </c>
      <c r="F474" s="1" t="s">
        <v>856</v>
      </c>
      <c r="G474" s="1" t="s">
        <v>3586</v>
      </c>
      <c r="H474" s="1" t="s">
        <v>3587</v>
      </c>
      <c r="I474" s="1">
        <v>1</v>
      </c>
      <c r="J474" s="3">
        <v>103215</v>
      </c>
      <c r="K474" s="3">
        <v>98490</v>
      </c>
      <c r="L474" s="1">
        <v>0</v>
      </c>
      <c r="M474" s="4">
        <v>0</v>
      </c>
      <c r="N474" s="3">
        <v>4725</v>
      </c>
      <c r="O474" s="4">
        <v>4.5999999999999999E-2</v>
      </c>
      <c r="P474" s="1" t="s">
        <v>2721</v>
      </c>
    </row>
    <row r="475" spans="1:16">
      <c r="A475" s="1" t="s">
        <v>15</v>
      </c>
      <c r="B475" s="1">
        <v>11</v>
      </c>
      <c r="C475" s="1" t="s">
        <v>3588</v>
      </c>
      <c r="D475" s="1" t="s">
        <v>341</v>
      </c>
      <c r="E475" s="2">
        <v>45971</v>
      </c>
      <c r="F475" s="1" t="s">
        <v>53</v>
      </c>
      <c r="G475" s="1" t="s">
        <v>342</v>
      </c>
      <c r="H475" s="1" t="s">
        <v>343</v>
      </c>
      <c r="I475" s="1">
        <v>1</v>
      </c>
      <c r="J475" s="3">
        <v>16135</v>
      </c>
      <c r="K475" s="3">
        <v>15396</v>
      </c>
      <c r="L475" s="1">
        <v>0</v>
      </c>
      <c r="M475" s="4">
        <v>0</v>
      </c>
      <c r="N475" s="1">
        <v>739</v>
      </c>
      <c r="O475" s="4">
        <v>4.5999999999999999E-2</v>
      </c>
      <c r="P475" s="1" t="s">
        <v>2721</v>
      </c>
    </row>
    <row r="476" spans="1:16">
      <c r="A476" s="1" t="s">
        <v>15</v>
      </c>
      <c r="B476" s="1">
        <v>11</v>
      </c>
      <c r="C476" s="1" t="s">
        <v>3589</v>
      </c>
      <c r="D476" s="1" t="s">
        <v>482</v>
      </c>
      <c r="E476" s="2">
        <v>45971</v>
      </c>
      <c r="F476" s="1" t="s">
        <v>483</v>
      </c>
      <c r="G476" s="1" t="s">
        <v>484</v>
      </c>
      <c r="H476" s="1" t="s">
        <v>1777</v>
      </c>
      <c r="I476" s="1">
        <v>1</v>
      </c>
      <c r="J476" s="3">
        <v>27426</v>
      </c>
      <c r="K476" s="3">
        <v>26170</v>
      </c>
      <c r="L476" s="1">
        <v>0</v>
      </c>
      <c r="M476" s="4">
        <v>0</v>
      </c>
      <c r="N476" s="3">
        <v>1256</v>
      </c>
      <c r="O476" s="4">
        <v>4.5999999999999999E-2</v>
      </c>
      <c r="P476" s="1" t="s">
        <v>2721</v>
      </c>
    </row>
    <row r="477" spans="1:16">
      <c r="A477" s="1" t="s">
        <v>15</v>
      </c>
      <c r="B477" s="1">
        <v>11</v>
      </c>
      <c r="C477" s="1" t="s">
        <v>3590</v>
      </c>
      <c r="D477" s="1" t="s">
        <v>238</v>
      </c>
      <c r="E477" s="2">
        <v>45971</v>
      </c>
      <c r="F477" s="1" t="s">
        <v>239</v>
      </c>
      <c r="G477" s="1" t="s">
        <v>240</v>
      </c>
      <c r="H477" s="1" t="s">
        <v>241</v>
      </c>
      <c r="I477" s="1">
        <v>1</v>
      </c>
      <c r="J477" s="3">
        <v>11305</v>
      </c>
      <c r="K477" s="3">
        <v>10787</v>
      </c>
      <c r="L477" s="1">
        <v>0</v>
      </c>
      <c r="M477" s="4">
        <v>0</v>
      </c>
      <c r="N477" s="1">
        <v>518</v>
      </c>
      <c r="O477" s="4">
        <v>4.5999999999999999E-2</v>
      </c>
      <c r="P477" s="1" t="s">
        <v>2721</v>
      </c>
    </row>
    <row r="478" spans="1:16">
      <c r="A478" s="1" t="s">
        <v>15</v>
      </c>
      <c r="B478" s="1">
        <v>11</v>
      </c>
      <c r="C478" s="1" t="s">
        <v>3591</v>
      </c>
      <c r="D478" s="1" t="s">
        <v>3592</v>
      </c>
      <c r="E478" s="2">
        <v>45971</v>
      </c>
      <c r="F478" s="1" t="s">
        <v>261</v>
      </c>
      <c r="G478" s="1" t="s">
        <v>3593</v>
      </c>
      <c r="H478" s="1" t="s">
        <v>3593</v>
      </c>
      <c r="I478" s="1">
        <v>1</v>
      </c>
      <c r="J478" s="3">
        <v>70776</v>
      </c>
      <c r="K478" s="3">
        <v>67536</v>
      </c>
      <c r="L478" s="1">
        <v>0</v>
      </c>
      <c r="M478" s="4">
        <v>0</v>
      </c>
      <c r="N478" s="3">
        <v>3240</v>
      </c>
      <c r="O478" s="4">
        <v>4.5999999999999999E-2</v>
      </c>
      <c r="P478" s="1" t="s">
        <v>2721</v>
      </c>
    </row>
    <row r="479" spans="1:16">
      <c r="A479" s="1" t="s">
        <v>15</v>
      </c>
      <c r="B479" s="1">
        <v>11</v>
      </c>
      <c r="C479" s="1" t="s">
        <v>3594</v>
      </c>
      <c r="D479" s="1" t="s">
        <v>125</v>
      </c>
      <c r="E479" s="2">
        <v>45971</v>
      </c>
      <c r="F479" s="1" t="s">
        <v>126</v>
      </c>
      <c r="G479" s="1" t="s">
        <v>127</v>
      </c>
      <c r="H479" s="1" t="s">
        <v>1658</v>
      </c>
      <c r="I479" s="1">
        <v>1</v>
      </c>
      <c r="J479" s="3">
        <v>19758</v>
      </c>
      <c r="K479" s="3">
        <v>18854</v>
      </c>
      <c r="L479" s="1">
        <v>0</v>
      </c>
      <c r="M479" s="4">
        <v>0</v>
      </c>
      <c r="N479" s="1">
        <v>904</v>
      </c>
      <c r="O479" s="4">
        <v>4.5999999999999999E-2</v>
      </c>
      <c r="P479" s="1" t="s">
        <v>2721</v>
      </c>
    </row>
    <row r="480" spans="1:16">
      <c r="A480" s="1" t="s">
        <v>15</v>
      </c>
      <c r="B480" s="1">
        <v>11</v>
      </c>
      <c r="C480" s="1" t="s">
        <v>3595</v>
      </c>
      <c r="D480" s="1" t="s">
        <v>90</v>
      </c>
      <c r="E480" s="2">
        <v>45971</v>
      </c>
      <c r="F480" s="1" t="s">
        <v>91</v>
      </c>
      <c r="G480" s="1" t="s">
        <v>92</v>
      </c>
      <c r="H480" s="1" t="s">
        <v>383</v>
      </c>
      <c r="I480" s="1">
        <v>1</v>
      </c>
      <c r="J480" s="3">
        <v>13526</v>
      </c>
      <c r="K480" s="3">
        <v>12907</v>
      </c>
      <c r="L480" s="1">
        <v>0</v>
      </c>
      <c r="M480" s="4">
        <v>0</v>
      </c>
      <c r="N480" s="1">
        <v>619</v>
      </c>
      <c r="O480" s="4">
        <v>4.5999999999999999E-2</v>
      </c>
      <c r="P480" s="1" t="s">
        <v>2721</v>
      </c>
    </row>
    <row r="481" spans="1:16">
      <c r="A481" s="1" t="s">
        <v>15</v>
      </c>
      <c r="B481" s="1">
        <v>11</v>
      </c>
      <c r="C481" s="1" t="s">
        <v>3596</v>
      </c>
      <c r="D481" s="1" t="s">
        <v>1346</v>
      </c>
      <c r="E481" s="2">
        <v>45971</v>
      </c>
      <c r="F481" s="1" t="s">
        <v>317</v>
      </c>
      <c r="G481" s="1" t="s">
        <v>1347</v>
      </c>
      <c r="H481" s="1" t="s">
        <v>3085</v>
      </c>
      <c r="I481" s="1">
        <v>1</v>
      </c>
      <c r="J481" s="3">
        <v>32439</v>
      </c>
      <c r="K481" s="3">
        <v>30954</v>
      </c>
      <c r="L481" s="1">
        <v>0</v>
      </c>
      <c r="M481" s="4">
        <v>0</v>
      </c>
      <c r="N481" s="3">
        <v>1485</v>
      </c>
      <c r="O481" s="4">
        <v>4.5999999999999999E-2</v>
      </c>
      <c r="P481" s="1" t="s">
        <v>2721</v>
      </c>
    </row>
    <row r="482" spans="1:16">
      <c r="A482" s="1" t="s">
        <v>15</v>
      </c>
      <c r="B482" s="1">
        <v>11</v>
      </c>
      <c r="C482" s="1" t="s">
        <v>3597</v>
      </c>
      <c r="D482" s="1" t="s">
        <v>3598</v>
      </c>
      <c r="E482" s="2">
        <v>45971</v>
      </c>
      <c r="F482" s="1" t="s">
        <v>3599</v>
      </c>
      <c r="G482" s="1" t="s">
        <v>3600</v>
      </c>
      <c r="H482" s="1" t="s">
        <v>3601</v>
      </c>
      <c r="I482" s="1">
        <v>1</v>
      </c>
      <c r="J482" s="3">
        <v>31948</v>
      </c>
      <c r="K482" s="3">
        <v>30485</v>
      </c>
      <c r="L482" s="1">
        <v>0</v>
      </c>
      <c r="M482" s="4">
        <v>0</v>
      </c>
      <c r="N482" s="3">
        <v>1463</v>
      </c>
      <c r="O482" s="4">
        <v>4.5999999999999999E-2</v>
      </c>
      <c r="P482" s="1" t="s">
        <v>2721</v>
      </c>
    </row>
    <row r="483" spans="1:16">
      <c r="A483" s="1" t="s">
        <v>15</v>
      </c>
      <c r="B483" s="1">
        <v>11</v>
      </c>
      <c r="C483" s="1" t="s">
        <v>3602</v>
      </c>
      <c r="D483" s="1" t="s">
        <v>3603</v>
      </c>
      <c r="E483" s="2">
        <v>45971</v>
      </c>
      <c r="F483" s="1" t="s">
        <v>276</v>
      </c>
      <c r="G483" s="1" t="s">
        <v>3604</v>
      </c>
      <c r="H483" s="1" t="s">
        <v>3605</v>
      </c>
      <c r="I483" s="1">
        <v>1</v>
      </c>
      <c r="J483" s="3">
        <v>20446</v>
      </c>
      <c r="K483" s="3">
        <v>19510</v>
      </c>
      <c r="L483" s="1">
        <v>0</v>
      </c>
      <c r="M483" s="4">
        <v>0</v>
      </c>
      <c r="N483" s="1">
        <v>936</v>
      </c>
      <c r="O483" s="4">
        <v>4.5999999999999999E-2</v>
      </c>
      <c r="P483" s="1" t="s">
        <v>2721</v>
      </c>
    </row>
    <row r="484" spans="1:16">
      <c r="A484" s="1" t="s">
        <v>15</v>
      </c>
      <c r="B484" s="1">
        <v>11</v>
      </c>
      <c r="C484" s="1" t="s">
        <v>3606</v>
      </c>
      <c r="D484" s="1" t="s">
        <v>3607</v>
      </c>
      <c r="E484" s="2">
        <v>45971</v>
      </c>
      <c r="F484" s="1" t="s">
        <v>58</v>
      </c>
      <c r="G484" s="1" t="s">
        <v>3608</v>
      </c>
      <c r="H484" s="1" t="s">
        <v>3609</v>
      </c>
      <c r="I484" s="1">
        <v>1</v>
      </c>
      <c r="J484" s="3">
        <v>21842</v>
      </c>
      <c r="K484" s="3">
        <v>20842</v>
      </c>
      <c r="L484" s="1">
        <v>0</v>
      </c>
      <c r="M484" s="4">
        <v>0</v>
      </c>
      <c r="N484" s="3">
        <v>1000</v>
      </c>
      <c r="O484" s="4">
        <v>4.5999999999999999E-2</v>
      </c>
      <c r="P484" s="1" t="s">
        <v>2721</v>
      </c>
    </row>
    <row r="485" spans="1:16">
      <c r="A485" s="1" t="s">
        <v>15</v>
      </c>
      <c r="B485" s="1">
        <v>11</v>
      </c>
      <c r="C485" s="1" t="s">
        <v>3610</v>
      </c>
      <c r="D485" s="1" t="s">
        <v>2764</v>
      </c>
      <c r="E485" s="2">
        <v>45971</v>
      </c>
      <c r="F485" s="1" t="s">
        <v>53</v>
      </c>
      <c r="G485" s="1" t="s">
        <v>2765</v>
      </c>
      <c r="H485" s="1" t="s">
        <v>3611</v>
      </c>
      <c r="I485" s="1">
        <v>1</v>
      </c>
      <c r="J485" s="3">
        <v>17938</v>
      </c>
      <c r="K485" s="3">
        <v>17117</v>
      </c>
      <c r="L485" s="1">
        <v>0</v>
      </c>
      <c r="M485" s="4">
        <v>0</v>
      </c>
      <c r="N485" s="1">
        <v>821</v>
      </c>
      <c r="O485" s="4">
        <v>4.5999999999999999E-2</v>
      </c>
      <c r="P485" s="1" t="s">
        <v>2721</v>
      </c>
    </row>
    <row r="486" spans="1:16">
      <c r="A486" s="1" t="s">
        <v>15</v>
      </c>
      <c r="B486" s="1">
        <v>11</v>
      </c>
      <c r="C486" s="1" t="s">
        <v>3612</v>
      </c>
      <c r="D486" s="1" t="s">
        <v>228</v>
      </c>
      <c r="E486" s="2">
        <v>45971</v>
      </c>
      <c r="F486" s="1" t="s">
        <v>53</v>
      </c>
      <c r="G486" s="1" t="s">
        <v>229</v>
      </c>
      <c r="H486" s="1" t="s">
        <v>230</v>
      </c>
      <c r="I486" s="1">
        <v>1</v>
      </c>
      <c r="J486" s="3">
        <v>9825</v>
      </c>
      <c r="K486" s="3">
        <v>9375</v>
      </c>
      <c r="L486" s="1">
        <v>0</v>
      </c>
      <c r="M486" s="4">
        <v>0</v>
      </c>
      <c r="N486" s="1">
        <v>450</v>
      </c>
      <c r="O486" s="4">
        <v>4.5999999999999999E-2</v>
      </c>
      <c r="P486" s="1" t="s">
        <v>2721</v>
      </c>
    </row>
    <row r="487" spans="1:16">
      <c r="A487" s="1" t="s">
        <v>15</v>
      </c>
      <c r="B487" s="1">
        <v>11</v>
      </c>
      <c r="C487" s="1" t="s">
        <v>3613</v>
      </c>
      <c r="D487" s="1" t="s">
        <v>2791</v>
      </c>
      <c r="E487" s="2">
        <v>45971</v>
      </c>
      <c r="F487" s="1" t="s">
        <v>1310</v>
      </c>
      <c r="G487" s="1" t="s">
        <v>2792</v>
      </c>
      <c r="H487" s="1" t="s">
        <v>2793</v>
      </c>
      <c r="I487" s="1">
        <v>2</v>
      </c>
      <c r="J487" s="3">
        <v>12425</v>
      </c>
      <c r="K487" s="3">
        <v>11856</v>
      </c>
      <c r="L487" s="1">
        <v>0</v>
      </c>
      <c r="M487" s="4">
        <v>0</v>
      </c>
      <c r="N487" s="1">
        <v>569</v>
      </c>
      <c r="O487" s="4">
        <v>4.5999999999999999E-2</v>
      </c>
      <c r="P487" s="1" t="s">
        <v>2721</v>
      </c>
    </row>
    <row r="488" spans="1:16">
      <c r="A488" s="1" t="s">
        <v>15</v>
      </c>
      <c r="B488" s="1">
        <v>11</v>
      </c>
      <c r="C488" s="1" t="s">
        <v>3614</v>
      </c>
      <c r="D488" s="1" t="s">
        <v>52</v>
      </c>
      <c r="E488" s="2">
        <v>45971</v>
      </c>
      <c r="F488" s="1" t="s">
        <v>53</v>
      </c>
      <c r="G488" s="1" t="s">
        <v>54</v>
      </c>
      <c r="H488" s="1" t="s">
        <v>248</v>
      </c>
      <c r="I488" s="1">
        <v>1</v>
      </c>
      <c r="J488" s="3">
        <v>16135</v>
      </c>
      <c r="K488" s="3">
        <v>15396</v>
      </c>
      <c r="L488" s="1">
        <v>0</v>
      </c>
      <c r="M488" s="4">
        <v>0</v>
      </c>
      <c r="N488" s="1">
        <v>739</v>
      </c>
      <c r="O488" s="4">
        <v>4.5999999999999999E-2</v>
      </c>
      <c r="P488" s="1" t="s">
        <v>2721</v>
      </c>
    </row>
    <row r="489" spans="1:16">
      <c r="A489" s="1" t="s">
        <v>15</v>
      </c>
      <c r="B489" s="1">
        <v>11</v>
      </c>
      <c r="C489" s="1" t="s">
        <v>3615</v>
      </c>
      <c r="D489" s="1" t="s">
        <v>32</v>
      </c>
      <c r="E489" s="2">
        <v>45971</v>
      </c>
      <c r="F489" s="1" t="s">
        <v>33</v>
      </c>
      <c r="G489" s="1" t="s">
        <v>34</v>
      </c>
      <c r="H489" s="1" t="s">
        <v>3616</v>
      </c>
      <c r="I489" s="1">
        <v>1</v>
      </c>
      <c r="J489" s="3">
        <v>60126</v>
      </c>
      <c r="K489" s="3">
        <v>57374</v>
      </c>
      <c r="L489" s="1">
        <v>0</v>
      </c>
      <c r="M489" s="4">
        <v>0</v>
      </c>
      <c r="N489" s="3">
        <v>2752</v>
      </c>
      <c r="O489" s="4">
        <v>4.5999999999999999E-2</v>
      </c>
      <c r="P489" s="1" t="s">
        <v>2721</v>
      </c>
    </row>
    <row r="490" spans="1:16">
      <c r="A490" s="1" t="s">
        <v>15</v>
      </c>
      <c r="B490" s="1">
        <v>11</v>
      </c>
      <c r="C490" s="1" t="s">
        <v>3617</v>
      </c>
      <c r="D490" s="1" t="s">
        <v>3618</v>
      </c>
      <c r="E490" s="2">
        <v>45971</v>
      </c>
      <c r="F490" s="1" t="s">
        <v>96</v>
      </c>
      <c r="G490" s="1" t="s">
        <v>3619</v>
      </c>
      <c r="H490" s="1" t="s">
        <v>3620</v>
      </c>
      <c r="I490" s="1">
        <v>1</v>
      </c>
      <c r="J490" s="3">
        <v>11614</v>
      </c>
      <c r="K490" s="3">
        <v>11082</v>
      </c>
      <c r="L490" s="1">
        <v>0</v>
      </c>
      <c r="M490" s="4">
        <v>0</v>
      </c>
      <c r="N490" s="1">
        <v>532</v>
      </c>
      <c r="O490" s="4">
        <v>4.5999999999999999E-2</v>
      </c>
      <c r="P490" s="1" t="s">
        <v>2721</v>
      </c>
    </row>
    <row r="491" spans="1:16">
      <c r="A491" s="1" t="s">
        <v>15</v>
      </c>
      <c r="B491" s="1">
        <v>11</v>
      </c>
      <c r="C491" s="1" t="s">
        <v>3621</v>
      </c>
      <c r="D491" s="1" t="s">
        <v>3328</v>
      </c>
      <c r="E491" s="2">
        <v>45971</v>
      </c>
      <c r="F491" s="1" t="s">
        <v>488</v>
      </c>
      <c r="G491" s="1" t="s">
        <v>3329</v>
      </c>
      <c r="H491" s="1" t="s">
        <v>3330</v>
      </c>
      <c r="I491" s="1">
        <v>1</v>
      </c>
      <c r="J491" s="3">
        <v>17694</v>
      </c>
      <c r="K491" s="3">
        <v>16884</v>
      </c>
      <c r="L491" s="1">
        <v>0</v>
      </c>
      <c r="M491" s="4">
        <v>0</v>
      </c>
      <c r="N491" s="1">
        <v>810</v>
      </c>
      <c r="O491" s="4">
        <v>4.5999999999999999E-2</v>
      </c>
      <c r="P491" s="1" t="s">
        <v>2721</v>
      </c>
    </row>
    <row r="492" spans="1:16">
      <c r="A492" s="1" t="s">
        <v>15</v>
      </c>
      <c r="B492" s="1">
        <v>11</v>
      </c>
      <c r="C492" s="1" t="s">
        <v>3622</v>
      </c>
      <c r="D492" s="1" t="s">
        <v>169</v>
      </c>
      <c r="E492" s="2">
        <v>45971</v>
      </c>
      <c r="F492" s="1" t="s">
        <v>53</v>
      </c>
      <c r="G492" s="1" t="s">
        <v>170</v>
      </c>
      <c r="H492" s="1" t="s">
        <v>171</v>
      </c>
      <c r="I492" s="1">
        <v>1</v>
      </c>
      <c r="J492" s="3">
        <v>14332</v>
      </c>
      <c r="K492" s="3">
        <v>13676</v>
      </c>
      <c r="L492" s="1">
        <v>0</v>
      </c>
      <c r="M492" s="4">
        <v>0</v>
      </c>
      <c r="N492" s="1">
        <v>656</v>
      </c>
      <c r="O492" s="4">
        <v>4.5999999999999999E-2</v>
      </c>
      <c r="P492" s="1" t="s">
        <v>2721</v>
      </c>
    </row>
    <row r="493" spans="1:16">
      <c r="A493" s="1" t="s">
        <v>15</v>
      </c>
      <c r="B493" s="1">
        <v>11</v>
      </c>
      <c r="C493" s="1" t="s">
        <v>3623</v>
      </c>
      <c r="D493" s="1" t="s">
        <v>3624</v>
      </c>
      <c r="E493" s="2">
        <v>45971</v>
      </c>
      <c r="F493" s="1" t="s">
        <v>3625</v>
      </c>
      <c r="G493" s="1" t="s">
        <v>3626</v>
      </c>
      <c r="H493" s="1" t="s">
        <v>3627</v>
      </c>
      <c r="I493" s="1">
        <v>1</v>
      </c>
      <c r="J493" s="3">
        <v>15728</v>
      </c>
      <c r="K493" s="3">
        <v>15008</v>
      </c>
      <c r="L493" s="1">
        <v>0</v>
      </c>
      <c r="M493" s="4">
        <v>0</v>
      </c>
      <c r="N493" s="1">
        <v>720</v>
      </c>
      <c r="O493" s="4">
        <v>4.5999999999999999E-2</v>
      </c>
      <c r="P493" s="1" t="s">
        <v>2721</v>
      </c>
    </row>
    <row r="494" spans="1:16">
      <c r="A494" s="1" t="s">
        <v>15</v>
      </c>
      <c r="B494" s="1">
        <v>11</v>
      </c>
      <c r="C494" s="1" t="s">
        <v>3628</v>
      </c>
      <c r="D494" s="1" t="s">
        <v>2334</v>
      </c>
      <c r="E494" s="2">
        <v>45971</v>
      </c>
      <c r="F494" s="1" t="s">
        <v>261</v>
      </c>
      <c r="G494" s="1" t="s">
        <v>2335</v>
      </c>
      <c r="H494" s="1" t="s">
        <v>2336</v>
      </c>
      <c r="I494" s="1">
        <v>1</v>
      </c>
      <c r="J494" s="3">
        <v>25558</v>
      </c>
      <c r="K494" s="3">
        <v>24388</v>
      </c>
      <c r="L494" s="1">
        <v>0</v>
      </c>
      <c r="M494" s="4">
        <v>0</v>
      </c>
      <c r="N494" s="3">
        <v>1170</v>
      </c>
      <c r="O494" s="4">
        <v>4.5999999999999999E-2</v>
      </c>
      <c r="P494" s="1" t="s">
        <v>2721</v>
      </c>
    </row>
    <row r="495" spans="1:16">
      <c r="A495" s="1" t="s">
        <v>15</v>
      </c>
      <c r="B495" s="1">
        <v>11</v>
      </c>
      <c r="C495" s="1" t="s">
        <v>3629</v>
      </c>
      <c r="D495" s="1" t="s">
        <v>132</v>
      </c>
      <c r="E495" s="2">
        <v>45971</v>
      </c>
      <c r="F495" s="1" t="s">
        <v>53</v>
      </c>
      <c r="G495" s="1" t="s">
        <v>133</v>
      </c>
      <c r="H495" s="1" t="s">
        <v>88</v>
      </c>
      <c r="I495" s="1">
        <v>2</v>
      </c>
      <c r="J495" s="3">
        <v>34073</v>
      </c>
      <c r="K495" s="3">
        <v>32513</v>
      </c>
      <c r="L495" s="1">
        <v>0</v>
      </c>
      <c r="M495" s="4">
        <v>0</v>
      </c>
      <c r="N495" s="3">
        <v>1560</v>
      </c>
      <c r="O495" s="4">
        <v>4.5999999999999999E-2</v>
      </c>
      <c r="P495" s="1" t="s">
        <v>2721</v>
      </c>
    </row>
    <row r="496" spans="1:16">
      <c r="A496" s="1" t="s">
        <v>15</v>
      </c>
      <c r="B496" s="1">
        <v>11</v>
      </c>
      <c r="C496" s="1" t="s">
        <v>3630</v>
      </c>
      <c r="D496" s="1" t="s">
        <v>3631</v>
      </c>
      <c r="E496" s="2">
        <v>45971</v>
      </c>
      <c r="F496" s="1" t="s">
        <v>96</v>
      </c>
      <c r="G496" s="1" t="s">
        <v>3632</v>
      </c>
      <c r="H496" s="1" t="s">
        <v>3633</v>
      </c>
      <c r="I496" s="1">
        <v>3</v>
      </c>
      <c r="J496" s="3">
        <v>34999</v>
      </c>
      <c r="K496" s="3">
        <v>33397</v>
      </c>
      <c r="L496" s="1">
        <v>0</v>
      </c>
      <c r="M496" s="4">
        <v>0</v>
      </c>
      <c r="N496" s="3">
        <v>1602</v>
      </c>
      <c r="O496" s="4">
        <v>4.5999999999999999E-2</v>
      </c>
      <c r="P496" s="1" t="s">
        <v>2721</v>
      </c>
    </row>
    <row r="497" spans="1:16">
      <c r="A497" s="1" t="s">
        <v>15</v>
      </c>
      <c r="B497" s="1">
        <v>11</v>
      </c>
      <c r="C497" s="1" t="s">
        <v>3630</v>
      </c>
      <c r="D497" s="1" t="s">
        <v>1143</v>
      </c>
      <c r="E497" s="2">
        <v>45971</v>
      </c>
      <c r="F497" s="1" t="s">
        <v>96</v>
      </c>
      <c r="G497" s="1" t="s">
        <v>1144</v>
      </c>
      <c r="H497" s="1" t="s">
        <v>1145</v>
      </c>
      <c r="I497" s="1">
        <v>1</v>
      </c>
      <c r="J497" s="3">
        <v>14379</v>
      </c>
      <c r="K497" s="3">
        <v>13721</v>
      </c>
      <c r="L497" s="1">
        <v>0</v>
      </c>
      <c r="M497" s="4">
        <v>0</v>
      </c>
      <c r="N497" s="1">
        <v>658</v>
      </c>
      <c r="O497" s="4">
        <v>4.5999999999999999E-2</v>
      </c>
      <c r="P497" s="1" t="s">
        <v>2721</v>
      </c>
    </row>
    <row r="498" spans="1:16">
      <c r="A498" s="1" t="s">
        <v>15</v>
      </c>
      <c r="B498" s="1">
        <v>11</v>
      </c>
      <c r="C498" s="1" t="s">
        <v>3634</v>
      </c>
      <c r="D498" s="1" t="s">
        <v>797</v>
      </c>
      <c r="E498" s="2">
        <v>45971</v>
      </c>
      <c r="F498" s="1" t="s">
        <v>798</v>
      </c>
      <c r="G498" s="1" t="s">
        <v>799</v>
      </c>
      <c r="H498" s="1" t="s">
        <v>1331</v>
      </c>
      <c r="I498" s="1">
        <v>1</v>
      </c>
      <c r="J498" s="3">
        <v>13271</v>
      </c>
      <c r="K498" s="3">
        <v>12663</v>
      </c>
      <c r="L498" s="1">
        <v>0</v>
      </c>
      <c r="M498" s="4">
        <v>0</v>
      </c>
      <c r="N498" s="1">
        <v>608</v>
      </c>
      <c r="O498" s="4">
        <v>4.5999999999999999E-2</v>
      </c>
      <c r="P498" s="1" t="s">
        <v>2721</v>
      </c>
    </row>
    <row r="499" spans="1:16">
      <c r="A499" s="1" t="s">
        <v>15</v>
      </c>
      <c r="B499" s="1">
        <v>11</v>
      </c>
      <c r="C499" s="1" t="s">
        <v>3635</v>
      </c>
      <c r="D499" s="1" t="s">
        <v>169</v>
      </c>
      <c r="E499" s="2">
        <v>45971</v>
      </c>
      <c r="F499" s="1" t="s">
        <v>53</v>
      </c>
      <c r="G499" s="1" t="s">
        <v>170</v>
      </c>
      <c r="H499" s="1" t="s">
        <v>171</v>
      </c>
      <c r="I499" s="1">
        <v>1</v>
      </c>
      <c r="J499" s="3">
        <v>14332</v>
      </c>
      <c r="K499" s="3">
        <v>13676</v>
      </c>
      <c r="L499" s="1">
        <v>0</v>
      </c>
      <c r="M499" s="4">
        <v>0</v>
      </c>
      <c r="N499" s="1">
        <v>656</v>
      </c>
      <c r="O499" s="4">
        <v>4.5999999999999999E-2</v>
      </c>
      <c r="P499" s="1" t="s">
        <v>2721</v>
      </c>
    </row>
    <row r="500" spans="1:16">
      <c r="A500" s="1" t="s">
        <v>15</v>
      </c>
      <c r="B500" s="1">
        <v>11</v>
      </c>
      <c r="C500" s="1" t="s">
        <v>3636</v>
      </c>
      <c r="D500" s="1" t="s">
        <v>238</v>
      </c>
      <c r="E500" s="2">
        <v>45971</v>
      </c>
      <c r="F500" s="1" t="s">
        <v>239</v>
      </c>
      <c r="G500" s="1" t="s">
        <v>240</v>
      </c>
      <c r="H500" s="1" t="s">
        <v>242</v>
      </c>
      <c r="I500" s="1">
        <v>1</v>
      </c>
      <c r="J500" s="3">
        <v>11305</v>
      </c>
      <c r="K500" s="3">
        <v>10787</v>
      </c>
      <c r="L500" s="1">
        <v>0</v>
      </c>
      <c r="M500" s="4">
        <v>0</v>
      </c>
      <c r="N500" s="1">
        <v>518</v>
      </c>
      <c r="O500" s="4">
        <v>4.5999999999999999E-2</v>
      </c>
      <c r="P500" s="1" t="s">
        <v>2721</v>
      </c>
    </row>
    <row r="501" spans="1:16">
      <c r="A501" s="1" t="s">
        <v>15</v>
      </c>
      <c r="B501" s="1">
        <v>11</v>
      </c>
      <c r="C501" s="1" t="s">
        <v>3636</v>
      </c>
      <c r="D501" s="1" t="s">
        <v>238</v>
      </c>
      <c r="E501" s="2">
        <v>45971</v>
      </c>
      <c r="F501" s="1" t="s">
        <v>239</v>
      </c>
      <c r="G501" s="1" t="s">
        <v>240</v>
      </c>
      <c r="H501" s="1" t="s">
        <v>241</v>
      </c>
      <c r="I501" s="1">
        <v>1</v>
      </c>
      <c r="J501" s="3">
        <v>11305</v>
      </c>
      <c r="K501" s="3">
        <v>10787</v>
      </c>
      <c r="L501" s="1">
        <v>0</v>
      </c>
      <c r="M501" s="4">
        <v>0</v>
      </c>
      <c r="N501" s="1">
        <v>518</v>
      </c>
      <c r="O501" s="4">
        <v>4.5999999999999999E-2</v>
      </c>
      <c r="P501" s="1" t="s">
        <v>2721</v>
      </c>
    </row>
    <row r="502" spans="1:16">
      <c r="A502" s="1" t="s">
        <v>15</v>
      </c>
      <c r="B502" s="1">
        <v>11</v>
      </c>
      <c r="C502" s="1" t="s">
        <v>3637</v>
      </c>
      <c r="D502" s="1" t="s">
        <v>878</v>
      </c>
      <c r="E502" s="2">
        <v>45971</v>
      </c>
      <c r="F502" s="1" t="s">
        <v>856</v>
      </c>
      <c r="G502" s="1" t="s">
        <v>879</v>
      </c>
      <c r="H502" s="1" t="s">
        <v>880</v>
      </c>
      <c r="I502" s="1">
        <v>1</v>
      </c>
      <c r="J502" s="3">
        <v>89453</v>
      </c>
      <c r="K502" s="3">
        <v>85358</v>
      </c>
      <c r="L502" s="1">
        <v>0</v>
      </c>
      <c r="M502" s="4">
        <v>0</v>
      </c>
      <c r="N502" s="3">
        <v>4095</v>
      </c>
      <c r="O502" s="4">
        <v>4.5999999999999999E-2</v>
      </c>
      <c r="P502" s="1" t="s">
        <v>2721</v>
      </c>
    </row>
    <row r="503" spans="1:16">
      <c r="A503" s="1" t="s">
        <v>15</v>
      </c>
      <c r="B503" s="1">
        <v>11</v>
      </c>
      <c r="C503" s="1" t="s">
        <v>3638</v>
      </c>
      <c r="D503" s="1" t="s">
        <v>2398</v>
      </c>
      <c r="E503" s="2">
        <v>45971</v>
      </c>
      <c r="F503" s="1" t="s">
        <v>63</v>
      </c>
      <c r="G503" s="1" t="s">
        <v>2399</v>
      </c>
      <c r="H503" s="1" t="s">
        <v>2400</v>
      </c>
      <c r="I503" s="1">
        <v>1</v>
      </c>
      <c r="J503" s="3">
        <v>32001</v>
      </c>
      <c r="K503" s="3">
        <v>30536</v>
      </c>
      <c r="L503" s="1">
        <v>0</v>
      </c>
      <c r="M503" s="4">
        <v>0</v>
      </c>
      <c r="N503" s="3">
        <v>1465</v>
      </c>
      <c r="O503" s="4">
        <v>4.5999999999999999E-2</v>
      </c>
      <c r="P503" s="1" t="s">
        <v>2721</v>
      </c>
    </row>
    <row r="504" spans="1:16">
      <c r="A504" s="1" t="s">
        <v>15</v>
      </c>
      <c r="B504" s="1">
        <v>11</v>
      </c>
      <c r="C504" s="1" t="s">
        <v>3639</v>
      </c>
      <c r="D504" s="1" t="s">
        <v>1393</v>
      </c>
      <c r="E504" s="2">
        <v>45971</v>
      </c>
      <c r="F504" s="1" t="s">
        <v>235</v>
      </c>
      <c r="G504" s="1" t="s">
        <v>1394</v>
      </c>
      <c r="H504" s="1" t="s">
        <v>1395</v>
      </c>
      <c r="I504" s="1">
        <v>2</v>
      </c>
      <c r="J504" s="3">
        <v>16220</v>
      </c>
      <c r="K504" s="3">
        <v>15477</v>
      </c>
      <c r="L504" s="1">
        <v>0</v>
      </c>
      <c r="M504" s="4">
        <v>0</v>
      </c>
      <c r="N504" s="1">
        <v>743</v>
      </c>
      <c r="O504" s="4">
        <v>4.5999999999999999E-2</v>
      </c>
      <c r="P504" s="1" t="s">
        <v>2721</v>
      </c>
    </row>
    <row r="505" spans="1:16">
      <c r="A505" s="1" t="s">
        <v>15</v>
      </c>
      <c r="B505" s="1">
        <v>11</v>
      </c>
      <c r="C505" s="1" t="s">
        <v>3640</v>
      </c>
      <c r="D505" s="1" t="s">
        <v>3641</v>
      </c>
      <c r="E505" s="2">
        <v>45971</v>
      </c>
      <c r="F505" s="1" t="s">
        <v>543</v>
      </c>
      <c r="G505" s="1" t="s">
        <v>3642</v>
      </c>
      <c r="H505" s="1" t="s">
        <v>3642</v>
      </c>
      <c r="I505" s="1">
        <v>1</v>
      </c>
      <c r="J505" s="3">
        <v>45218</v>
      </c>
      <c r="K505" s="3">
        <v>43148</v>
      </c>
      <c r="L505" s="1">
        <v>0</v>
      </c>
      <c r="M505" s="4">
        <v>0</v>
      </c>
      <c r="N505" s="3">
        <v>2070</v>
      </c>
      <c r="O505" s="4">
        <v>4.5999999999999999E-2</v>
      </c>
      <c r="P505" s="1" t="s">
        <v>2721</v>
      </c>
    </row>
    <row r="506" spans="1:16">
      <c r="A506" s="1" t="s">
        <v>15</v>
      </c>
      <c r="B506" s="1">
        <v>11</v>
      </c>
      <c r="C506" s="1" t="s">
        <v>3643</v>
      </c>
      <c r="D506" s="1" t="s">
        <v>3644</v>
      </c>
      <c r="E506" s="2">
        <v>45971</v>
      </c>
      <c r="F506" s="1" t="s">
        <v>725</v>
      </c>
      <c r="G506" s="1" t="s">
        <v>3645</v>
      </c>
      <c r="H506" s="1" t="s">
        <v>3646</v>
      </c>
      <c r="I506" s="1">
        <v>1</v>
      </c>
      <c r="J506" s="3">
        <v>120024</v>
      </c>
      <c r="K506" s="3">
        <v>114530</v>
      </c>
      <c r="L506" s="1">
        <v>0</v>
      </c>
      <c r="M506" s="4">
        <v>0</v>
      </c>
      <c r="N506" s="3">
        <v>5494</v>
      </c>
      <c r="O506" s="4">
        <v>4.5999999999999999E-2</v>
      </c>
      <c r="P506" s="1" t="s">
        <v>2721</v>
      </c>
    </row>
    <row r="507" spans="1:16">
      <c r="A507" s="1" t="s">
        <v>15</v>
      </c>
      <c r="B507" s="1">
        <v>11</v>
      </c>
      <c r="C507" s="1" t="s">
        <v>3647</v>
      </c>
      <c r="D507" s="1" t="s">
        <v>549</v>
      </c>
      <c r="E507" s="2">
        <v>45971</v>
      </c>
      <c r="F507" s="1" t="s">
        <v>63</v>
      </c>
      <c r="G507" s="1" t="s">
        <v>550</v>
      </c>
      <c r="H507" s="1" t="s">
        <v>551</v>
      </c>
      <c r="I507" s="1">
        <v>1</v>
      </c>
      <c r="J507" s="3">
        <v>15422</v>
      </c>
      <c r="K507" s="3">
        <v>14716</v>
      </c>
      <c r="L507" s="1">
        <v>0</v>
      </c>
      <c r="M507" s="4">
        <v>0</v>
      </c>
      <c r="N507" s="1">
        <v>706</v>
      </c>
      <c r="O507" s="4">
        <v>4.5999999999999999E-2</v>
      </c>
      <c r="P507" s="1" t="s">
        <v>2721</v>
      </c>
    </row>
    <row r="508" spans="1:16">
      <c r="A508" s="1" t="s">
        <v>15</v>
      </c>
      <c r="B508" s="1">
        <v>11</v>
      </c>
      <c r="C508" s="1" t="s">
        <v>3648</v>
      </c>
      <c r="D508" s="1" t="s">
        <v>3649</v>
      </c>
      <c r="E508" s="2">
        <v>45971</v>
      </c>
      <c r="F508" s="1" t="s">
        <v>53</v>
      </c>
      <c r="G508" s="1" t="s">
        <v>3650</v>
      </c>
      <c r="H508" s="1" t="s">
        <v>3651</v>
      </c>
      <c r="I508" s="1">
        <v>1</v>
      </c>
      <c r="J508" s="3">
        <v>13431</v>
      </c>
      <c r="K508" s="3">
        <v>12816</v>
      </c>
      <c r="L508" s="1">
        <v>0</v>
      </c>
      <c r="M508" s="4">
        <v>0</v>
      </c>
      <c r="N508" s="1">
        <v>615</v>
      </c>
      <c r="O508" s="4">
        <v>4.5999999999999999E-2</v>
      </c>
      <c r="P508" s="1" t="s">
        <v>2721</v>
      </c>
    </row>
    <row r="509" spans="1:16">
      <c r="A509" s="1" t="s">
        <v>15</v>
      </c>
      <c r="B509" s="1">
        <v>11</v>
      </c>
      <c r="C509" s="1" t="s">
        <v>3652</v>
      </c>
      <c r="D509" s="1" t="s">
        <v>3653</v>
      </c>
      <c r="E509" s="2">
        <v>45971</v>
      </c>
      <c r="F509" s="1" t="s">
        <v>725</v>
      </c>
      <c r="G509" s="1" t="s">
        <v>3654</v>
      </c>
      <c r="H509" s="1" t="s">
        <v>3655</v>
      </c>
      <c r="I509" s="1">
        <v>1</v>
      </c>
      <c r="J509" s="3">
        <v>131919</v>
      </c>
      <c r="K509" s="3">
        <v>125880</v>
      </c>
      <c r="L509" s="1">
        <v>0</v>
      </c>
      <c r="M509" s="4">
        <v>0</v>
      </c>
      <c r="N509" s="3">
        <v>6039</v>
      </c>
      <c r="O509" s="4">
        <v>4.5999999999999999E-2</v>
      </c>
      <c r="P509" s="1" t="s">
        <v>2721</v>
      </c>
    </row>
    <row r="510" spans="1:16">
      <c r="A510" s="1" t="s">
        <v>15</v>
      </c>
      <c r="B510" s="1">
        <v>11</v>
      </c>
      <c r="C510" s="1" t="s">
        <v>3656</v>
      </c>
      <c r="D510" s="1" t="s">
        <v>482</v>
      </c>
      <c r="E510" s="2">
        <v>45971</v>
      </c>
      <c r="F510" s="1" t="s">
        <v>483</v>
      </c>
      <c r="G510" s="1" t="s">
        <v>484</v>
      </c>
      <c r="H510" s="1" t="s">
        <v>2644</v>
      </c>
      <c r="I510" s="1">
        <v>1</v>
      </c>
      <c r="J510" s="3">
        <v>27426</v>
      </c>
      <c r="K510" s="3">
        <v>26170</v>
      </c>
      <c r="L510" s="1">
        <v>0</v>
      </c>
      <c r="M510" s="4">
        <v>0</v>
      </c>
      <c r="N510" s="3">
        <v>1256</v>
      </c>
      <c r="O510" s="4">
        <v>4.5999999999999999E-2</v>
      </c>
      <c r="P510" s="1" t="s">
        <v>2721</v>
      </c>
    </row>
    <row r="511" spans="1:16">
      <c r="A511" s="1" t="s">
        <v>15</v>
      </c>
      <c r="B511" s="1">
        <v>11</v>
      </c>
      <c r="C511" s="1" t="s">
        <v>3657</v>
      </c>
      <c r="D511" s="1" t="s">
        <v>32</v>
      </c>
      <c r="E511" s="2">
        <v>45971</v>
      </c>
      <c r="F511" s="1" t="s">
        <v>33</v>
      </c>
      <c r="G511" s="1" t="s">
        <v>34</v>
      </c>
      <c r="H511" s="1" t="s">
        <v>3658</v>
      </c>
      <c r="I511" s="1">
        <v>1</v>
      </c>
      <c r="J511" s="3">
        <v>94988</v>
      </c>
      <c r="K511" s="3">
        <v>90640</v>
      </c>
      <c r="L511" s="1">
        <v>0</v>
      </c>
      <c r="M511" s="4">
        <v>0</v>
      </c>
      <c r="N511" s="3">
        <v>4348</v>
      </c>
      <c r="O511" s="4">
        <v>4.5999999999999999E-2</v>
      </c>
      <c r="P511" s="1" t="s">
        <v>2721</v>
      </c>
    </row>
    <row r="512" spans="1:16">
      <c r="A512" s="1" t="s">
        <v>15</v>
      </c>
      <c r="B512" s="1">
        <v>11</v>
      </c>
      <c r="C512" s="1" t="s">
        <v>3659</v>
      </c>
      <c r="D512" s="1" t="s">
        <v>558</v>
      </c>
      <c r="E512" s="2">
        <v>45971</v>
      </c>
      <c r="F512" s="1" t="s">
        <v>256</v>
      </c>
      <c r="G512" s="1" t="s">
        <v>559</v>
      </c>
      <c r="H512" s="1" t="s">
        <v>560</v>
      </c>
      <c r="I512" s="1">
        <v>1</v>
      </c>
      <c r="J512" s="3">
        <v>9339</v>
      </c>
      <c r="K512" s="3">
        <v>8911</v>
      </c>
      <c r="L512" s="1">
        <v>0</v>
      </c>
      <c r="M512" s="4">
        <v>0</v>
      </c>
      <c r="N512" s="1">
        <v>428</v>
      </c>
      <c r="O512" s="4">
        <v>4.5999999999999999E-2</v>
      </c>
      <c r="P512" s="1" t="s">
        <v>2721</v>
      </c>
    </row>
    <row r="513" spans="1:16">
      <c r="A513" s="1" t="s">
        <v>15</v>
      </c>
      <c r="B513" s="1">
        <v>11</v>
      </c>
      <c r="C513" s="1" t="s">
        <v>3660</v>
      </c>
      <c r="D513" s="1" t="s">
        <v>95</v>
      </c>
      <c r="E513" s="2">
        <v>45971</v>
      </c>
      <c r="F513" s="1" t="s">
        <v>96</v>
      </c>
      <c r="G513" s="1" t="s">
        <v>97</v>
      </c>
      <c r="H513" s="1" t="s">
        <v>97</v>
      </c>
      <c r="I513" s="1">
        <v>1</v>
      </c>
      <c r="J513" s="3">
        <v>12571</v>
      </c>
      <c r="K513" s="3">
        <v>11995</v>
      </c>
      <c r="L513" s="1">
        <v>0</v>
      </c>
      <c r="M513" s="4">
        <v>0</v>
      </c>
      <c r="N513" s="1">
        <v>576</v>
      </c>
      <c r="O513" s="4">
        <v>4.5999999999999999E-2</v>
      </c>
      <c r="P513" s="1" t="s">
        <v>2721</v>
      </c>
    </row>
    <row r="514" spans="1:16">
      <c r="A514" s="1" t="s">
        <v>15</v>
      </c>
      <c r="B514" s="1">
        <v>11</v>
      </c>
      <c r="C514" s="1" t="s">
        <v>3661</v>
      </c>
      <c r="D514" s="1" t="s">
        <v>504</v>
      </c>
      <c r="E514" s="2">
        <v>45971</v>
      </c>
      <c r="F514" s="1" t="s">
        <v>407</v>
      </c>
      <c r="G514" s="1" t="s">
        <v>505</v>
      </c>
      <c r="H514" s="1" t="s">
        <v>1334</v>
      </c>
      <c r="I514" s="1">
        <v>1</v>
      </c>
      <c r="J514" s="3">
        <v>8552</v>
      </c>
      <c r="K514" s="3">
        <v>8161</v>
      </c>
      <c r="L514" s="1">
        <v>0</v>
      </c>
      <c r="M514" s="4">
        <v>0</v>
      </c>
      <c r="N514" s="1">
        <v>391</v>
      </c>
      <c r="O514" s="4">
        <v>4.5999999999999999E-2</v>
      </c>
      <c r="P514" s="1" t="s">
        <v>2721</v>
      </c>
    </row>
    <row r="515" spans="1:16">
      <c r="A515" s="1" t="s">
        <v>15</v>
      </c>
      <c r="B515" s="1">
        <v>11</v>
      </c>
      <c r="C515" s="1" t="s">
        <v>3662</v>
      </c>
      <c r="D515" s="1" t="s">
        <v>504</v>
      </c>
      <c r="E515" s="2">
        <v>45971</v>
      </c>
      <c r="F515" s="1" t="s">
        <v>407</v>
      </c>
      <c r="G515" s="1" t="s">
        <v>505</v>
      </c>
      <c r="H515" s="1" t="s">
        <v>1322</v>
      </c>
      <c r="I515" s="1">
        <v>1</v>
      </c>
      <c r="J515" s="3">
        <v>23592</v>
      </c>
      <c r="K515" s="3">
        <v>22512</v>
      </c>
      <c r="L515" s="1">
        <v>0</v>
      </c>
      <c r="M515" s="4">
        <v>0</v>
      </c>
      <c r="N515" s="3">
        <v>1080</v>
      </c>
      <c r="O515" s="4">
        <v>4.5999999999999999E-2</v>
      </c>
      <c r="P515" s="1" t="s">
        <v>2721</v>
      </c>
    </row>
    <row r="516" spans="1:16">
      <c r="A516" s="1" t="s">
        <v>15</v>
      </c>
      <c r="B516" s="1">
        <v>11</v>
      </c>
      <c r="C516" s="1" t="s">
        <v>3663</v>
      </c>
      <c r="D516" s="1" t="s">
        <v>333</v>
      </c>
      <c r="E516" s="2">
        <v>45971</v>
      </c>
      <c r="F516" s="1" t="s">
        <v>334</v>
      </c>
      <c r="G516" s="1" t="s">
        <v>335</v>
      </c>
      <c r="H516" s="1" t="s">
        <v>3664</v>
      </c>
      <c r="I516" s="1">
        <v>4</v>
      </c>
      <c r="J516" s="3">
        <v>20446</v>
      </c>
      <c r="K516" s="3">
        <v>19510</v>
      </c>
      <c r="L516" s="1">
        <v>0</v>
      </c>
      <c r="M516" s="4">
        <v>0</v>
      </c>
      <c r="N516" s="1">
        <v>936</v>
      </c>
      <c r="O516" s="4">
        <v>4.5999999999999999E-2</v>
      </c>
      <c r="P516" s="1" t="s">
        <v>2721</v>
      </c>
    </row>
    <row r="517" spans="1:16">
      <c r="A517" s="1" t="s">
        <v>15</v>
      </c>
      <c r="B517" s="1">
        <v>11</v>
      </c>
      <c r="C517" s="1" t="s">
        <v>3665</v>
      </c>
      <c r="D517" s="1" t="s">
        <v>558</v>
      </c>
      <c r="E517" s="2">
        <v>45971</v>
      </c>
      <c r="F517" s="1" t="s">
        <v>256</v>
      </c>
      <c r="G517" s="1" t="s">
        <v>559</v>
      </c>
      <c r="H517" s="1" t="s">
        <v>3666</v>
      </c>
      <c r="I517" s="1">
        <v>1</v>
      </c>
      <c r="J517" s="3">
        <v>22560</v>
      </c>
      <c r="K517" s="3">
        <v>21527</v>
      </c>
      <c r="L517" s="1">
        <v>0</v>
      </c>
      <c r="M517" s="4">
        <v>0</v>
      </c>
      <c r="N517" s="3">
        <v>1033</v>
      </c>
      <c r="O517" s="4">
        <v>4.5999999999999999E-2</v>
      </c>
      <c r="P517" s="1" t="s">
        <v>2721</v>
      </c>
    </row>
    <row r="518" spans="1:16">
      <c r="A518" s="1" t="s">
        <v>15</v>
      </c>
      <c r="B518" s="1">
        <v>11</v>
      </c>
      <c r="C518" s="1" t="s">
        <v>3656</v>
      </c>
      <c r="D518" s="1" t="s">
        <v>3667</v>
      </c>
      <c r="E518" s="2">
        <v>45971</v>
      </c>
      <c r="F518" s="1" t="s">
        <v>1381</v>
      </c>
      <c r="G518" s="1" t="s">
        <v>3668</v>
      </c>
      <c r="H518" s="1" t="s">
        <v>3669</v>
      </c>
      <c r="I518" s="1">
        <v>1</v>
      </c>
      <c r="J518" s="3">
        <v>10813</v>
      </c>
      <c r="K518" s="3">
        <v>10318</v>
      </c>
      <c r="L518" s="1">
        <v>0</v>
      </c>
      <c r="M518" s="4">
        <v>0</v>
      </c>
      <c r="N518" s="1">
        <v>495</v>
      </c>
      <c r="O518" s="4">
        <v>4.5999999999999999E-2</v>
      </c>
      <c r="P518" s="1" t="s">
        <v>2721</v>
      </c>
    </row>
    <row r="519" spans="1:16">
      <c r="A519" s="1" t="s">
        <v>15</v>
      </c>
      <c r="B519" s="1">
        <v>11</v>
      </c>
      <c r="C519" s="1" t="s">
        <v>3670</v>
      </c>
      <c r="D519" s="1" t="s">
        <v>3671</v>
      </c>
      <c r="E519" s="2">
        <v>45971</v>
      </c>
      <c r="F519" s="1" t="s">
        <v>2173</v>
      </c>
      <c r="G519" s="1" t="s">
        <v>3672</v>
      </c>
      <c r="H519" s="1" t="s">
        <v>3673</v>
      </c>
      <c r="I519" s="1">
        <v>2</v>
      </c>
      <c r="J519" s="3">
        <v>29490</v>
      </c>
      <c r="K519" s="3">
        <v>28140</v>
      </c>
      <c r="L519" s="1">
        <v>0</v>
      </c>
      <c r="M519" s="4">
        <v>0</v>
      </c>
      <c r="N519" s="3">
        <v>1350</v>
      </c>
      <c r="O519" s="4">
        <v>4.5999999999999999E-2</v>
      </c>
      <c r="P519" s="1" t="s">
        <v>2721</v>
      </c>
    </row>
    <row r="520" spans="1:16">
      <c r="A520" s="1" t="s">
        <v>15</v>
      </c>
      <c r="B520" s="1">
        <v>11</v>
      </c>
      <c r="C520" s="1" t="s">
        <v>3674</v>
      </c>
      <c r="D520" s="1" t="s">
        <v>922</v>
      </c>
      <c r="E520" s="2">
        <v>45971</v>
      </c>
      <c r="F520" s="1" t="s">
        <v>126</v>
      </c>
      <c r="G520" s="1" t="s">
        <v>923</v>
      </c>
      <c r="H520" s="1" t="s">
        <v>924</v>
      </c>
      <c r="I520" s="1">
        <v>1</v>
      </c>
      <c r="J520" s="3">
        <v>22609</v>
      </c>
      <c r="K520" s="3">
        <v>21574</v>
      </c>
      <c r="L520" s="1">
        <v>0</v>
      </c>
      <c r="M520" s="4">
        <v>0</v>
      </c>
      <c r="N520" s="3">
        <v>1035</v>
      </c>
      <c r="O520" s="4">
        <v>4.5999999999999999E-2</v>
      </c>
      <c r="P520" s="1" t="s">
        <v>2721</v>
      </c>
    </row>
    <row r="521" spans="1:16">
      <c r="A521" s="1" t="s">
        <v>15</v>
      </c>
      <c r="B521" s="1">
        <v>11</v>
      </c>
      <c r="C521" s="1" t="s">
        <v>3675</v>
      </c>
      <c r="D521" s="1" t="s">
        <v>3676</v>
      </c>
      <c r="E521" s="2">
        <v>45971</v>
      </c>
      <c r="F521" s="1" t="s">
        <v>213</v>
      </c>
      <c r="G521" s="1" t="s">
        <v>3677</v>
      </c>
      <c r="H521" s="1" t="s">
        <v>3678</v>
      </c>
      <c r="I521" s="1">
        <v>1</v>
      </c>
      <c r="J521" s="3">
        <v>17203</v>
      </c>
      <c r="K521" s="3">
        <v>16415</v>
      </c>
      <c r="L521" s="1">
        <v>0</v>
      </c>
      <c r="M521" s="4">
        <v>0</v>
      </c>
      <c r="N521" s="1">
        <v>788</v>
      </c>
      <c r="O521" s="4">
        <v>4.5999999999999999E-2</v>
      </c>
      <c r="P521" s="1" t="s">
        <v>2721</v>
      </c>
    </row>
    <row r="522" spans="1:16">
      <c r="A522" s="1" t="s">
        <v>15</v>
      </c>
      <c r="B522" s="1">
        <v>11</v>
      </c>
      <c r="C522" s="1" t="s">
        <v>3679</v>
      </c>
      <c r="D522" s="1" t="s">
        <v>3680</v>
      </c>
      <c r="E522" s="2">
        <v>45971</v>
      </c>
      <c r="F522" s="1" t="s">
        <v>488</v>
      </c>
      <c r="G522" s="1" t="s">
        <v>3681</v>
      </c>
      <c r="H522" s="1" t="s">
        <v>3682</v>
      </c>
      <c r="I522" s="1">
        <v>1</v>
      </c>
      <c r="J522" s="3">
        <v>11786</v>
      </c>
      <c r="K522" s="3">
        <v>11247</v>
      </c>
      <c r="L522" s="1">
        <v>0</v>
      </c>
      <c r="M522" s="4">
        <v>0</v>
      </c>
      <c r="N522" s="1">
        <v>539</v>
      </c>
      <c r="O522" s="4">
        <v>4.5999999999999999E-2</v>
      </c>
      <c r="P522" s="1" t="s">
        <v>2721</v>
      </c>
    </row>
    <row r="523" spans="1:16">
      <c r="A523" s="1" t="s">
        <v>15</v>
      </c>
      <c r="B523" s="1">
        <v>11</v>
      </c>
      <c r="C523" s="1" t="s">
        <v>3683</v>
      </c>
      <c r="D523" s="1" t="s">
        <v>367</v>
      </c>
      <c r="E523" s="2">
        <v>45971</v>
      </c>
      <c r="F523" s="1" t="s">
        <v>368</v>
      </c>
      <c r="G523" s="1" t="s">
        <v>369</v>
      </c>
      <c r="H523" s="1" t="s">
        <v>370</v>
      </c>
      <c r="I523" s="1">
        <v>1</v>
      </c>
      <c r="J523" s="3">
        <v>14470</v>
      </c>
      <c r="K523" s="3">
        <v>13807</v>
      </c>
      <c r="L523" s="1">
        <v>0</v>
      </c>
      <c r="M523" s="4">
        <v>0</v>
      </c>
      <c r="N523" s="1">
        <v>663</v>
      </c>
      <c r="O523" s="4">
        <v>4.5999999999999999E-2</v>
      </c>
      <c r="P523" s="1" t="s">
        <v>2721</v>
      </c>
    </row>
    <row r="524" spans="1:16">
      <c r="A524" s="1" t="s">
        <v>15</v>
      </c>
      <c r="B524" s="1">
        <v>11</v>
      </c>
      <c r="C524" s="1" t="s">
        <v>3684</v>
      </c>
      <c r="D524" s="1" t="s">
        <v>828</v>
      </c>
      <c r="E524" s="2">
        <v>45971</v>
      </c>
      <c r="F524" s="1" t="s">
        <v>689</v>
      </c>
      <c r="G524" s="1" t="s">
        <v>829</v>
      </c>
      <c r="H524" s="1" t="s">
        <v>3685</v>
      </c>
      <c r="I524" s="1">
        <v>1</v>
      </c>
      <c r="J524" s="3">
        <v>12779</v>
      </c>
      <c r="K524" s="3">
        <v>12194</v>
      </c>
      <c r="L524" s="1">
        <v>0</v>
      </c>
      <c r="M524" s="4">
        <v>0</v>
      </c>
      <c r="N524" s="1">
        <v>585</v>
      </c>
      <c r="O524" s="4">
        <v>4.5999999999999999E-2</v>
      </c>
      <c r="P524" s="1" t="s">
        <v>2721</v>
      </c>
    </row>
    <row r="525" spans="1:16">
      <c r="A525" s="1" t="s">
        <v>15</v>
      </c>
      <c r="B525" s="1">
        <v>11</v>
      </c>
      <c r="C525" s="1" t="s">
        <v>3686</v>
      </c>
      <c r="D525" s="1" t="s">
        <v>72</v>
      </c>
      <c r="E525" s="2">
        <v>45971</v>
      </c>
      <c r="F525" s="1" t="s">
        <v>63</v>
      </c>
      <c r="G525" s="1" t="s">
        <v>73</v>
      </c>
      <c r="H525" s="1" t="s">
        <v>74</v>
      </c>
      <c r="I525" s="1">
        <v>2</v>
      </c>
      <c r="J525" s="3">
        <v>20912</v>
      </c>
      <c r="K525" s="3">
        <v>19955</v>
      </c>
      <c r="L525" s="1">
        <v>0</v>
      </c>
      <c r="M525" s="4">
        <v>0</v>
      </c>
      <c r="N525" s="1">
        <v>957</v>
      </c>
      <c r="O525" s="4">
        <v>4.5999999999999999E-2</v>
      </c>
      <c r="P525" s="1" t="s">
        <v>2721</v>
      </c>
    </row>
    <row r="526" spans="1:16">
      <c r="A526" s="1" t="s">
        <v>15</v>
      </c>
      <c r="B526" s="1">
        <v>11</v>
      </c>
      <c r="C526" s="1" t="s">
        <v>3687</v>
      </c>
      <c r="D526" s="1" t="s">
        <v>1060</v>
      </c>
      <c r="E526" s="2">
        <v>45971</v>
      </c>
      <c r="F526" s="1" t="s">
        <v>48</v>
      </c>
      <c r="G526" s="1" t="s">
        <v>1061</v>
      </c>
      <c r="H526" s="1" t="s">
        <v>1062</v>
      </c>
      <c r="I526" s="1">
        <v>2</v>
      </c>
      <c r="J526" s="3">
        <v>16098</v>
      </c>
      <c r="K526" s="3">
        <v>15361</v>
      </c>
      <c r="L526" s="1">
        <v>0</v>
      </c>
      <c r="M526" s="4">
        <v>0</v>
      </c>
      <c r="N526" s="1">
        <v>737</v>
      </c>
      <c r="O526" s="4">
        <v>4.5999999999999999E-2</v>
      </c>
      <c r="P526" s="1" t="s">
        <v>2721</v>
      </c>
    </row>
    <row r="527" spans="1:16">
      <c r="A527" s="1" t="s">
        <v>15</v>
      </c>
      <c r="B527" s="1">
        <v>11</v>
      </c>
      <c r="C527" s="1" t="s">
        <v>3688</v>
      </c>
      <c r="D527" s="1" t="s">
        <v>17</v>
      </c>
      <c r="E527" s="2">
        <v>45971</v>
      </c>
      <c r="F527" s="1" t="s">
        <v>18</v>
      </c>
      <c r="G527" s="1" t="s">
        <v>19</v>
      </c>
      <c r="H527" s="1" t="s">
        <v>1252</v>
      </c>
      <c r="I527" s="1">
        <v>2</v>
      </c>
      <c r="J527" s="3">
        <v>14332</v>
      </c>
      <c r="K527" s="3">
        <v>13676</v>
      </c>
      <c r="L527" s="1">
        <v>0</v>
      </c>
      <c r="M527" s="4">
        <v>0</v>
      </c>
      <c r="N527" s="1">
        <v>656</v>
      </c>
      <c r="O527" s="4">
        <v>4.5999999999999999E-2</v>
      </c>
      <c r="P527" s="1" t="s">
        <v>2721</v>
      </c>
    </row>
    <row r="528" spans="1:16">
      <c r="A528" s="1" t="s">
        <v>15</v>
      </c>
      <c r="B528" s="1">
        <v>11</v>
      </c>
      <c r="C528" s="1" t="s">
        <v>3688</v>
      </c>
      <c r="D528" s="1" t="s">
        <v>17</v>
      </c>
      <c r="E528" s="2">
        <v>45971</v>
      </c>
      <c r="F528" s="1" t="s">
        <v>18</v>
      </c>
      <c r="G528" s="1" t="s">
        <v>19</v>
      </c>
      <c r="H528" s="1" t="s">
        <v>1428</v>
      </c>
      <c r="I528" s="1">
        <v>2</v>
      </c>
      <c r="J528" s="3">
        <v>14332</v>
      </c>
      <c r="K528" s="3">
        <v>13676</v>
      </c>
      <c r="L528" s="1">
        <v>0</v>
      </c>
      <c r="M528" s="4">
        <v>0</v>
      </c>
      <c r="N528" s="1">
        <v>656</v>
      </c>
      <c r="O528" s="4">
        <v>4.5999999999999999E-2</v>
      </c>
      <c r="P528" s="1" t="s">
        <v>2721</v>
      </c>
    </row>
    <row r="529" spans="1:16">
      <c r="A529" s="1" t="s">
        <v>15</v>
      </c>
      <c r="B529" s="1">
        <v>11</v>
      </c>
      <c r="C529" s="1" t="s">
        <v>3689</v>
      </c>
      <c r="D529" s="1" t="s">
        <v>1399</v>
      </c>
      <c r="E529" s="2">
        <v>45971</v>
      </c>
      <c r="F529" s="1" t="s">
        <v>261</v>
      </c>
      <c r="G529" s="1" t="s">
        <v>1400</v>
      </c>
      <c r="H529" s="1" t="s">
        <v>1400</v>
      </c>
      <c r="I529" s="1">
        <v>1</v>
      </c>
      <c r="J529" s="3">
        <v>23592</v>
      </c>
      <c r="K529" s="3">
        <v>22512</v>
      </c>
      <c r="L529" s="1">
        <v>0</v>
      </c>
      <c r="M529" s="4">
        <v>0</v>
      </c>
      <c r="N529" s="3">
        <v>1080</v>
      </c>
      <c r="O529" s="4">
        <v>4.5999999999999999E-2</v>
      </c>
      <c r="P529" s="1" t="s">
        <v>2721</v>
      </c>
    </row>
    <row r="530" spans="1:16">
      <c r="A530" s="1" t="s">
        <v>15</v>
      </c>
      <c r="B530" s="1">
        <v>11</v>
      </c>
      <c r="C530" s="1" t="s">
        <v>3690</v>
      </c>
      <c r="D530" s="1" t="s">
        <v>250</v>
      </c>
      <c r="E530" s="2">
        <v>45971</v>
      </c>
      <c r="F530" s="1" t="s">
        <v>251</v>
      </c>
      <c r="G530" s="1" t="s">
        <v>252</v>
      </c>
      <c r="H530" s="1" t="s">
        <v>497</v>
      </c>
      <c r="I530" s="1">
        <v>1</v>
      </c>
      <c r="J530" s="3">
        <v>23494</v>
      </c>
      <c r="K530" s="3">
        <v>22418</v>
      </c>
      <c r="L530" s="1">
        <v>0</v>
      </c>
      <c r="M530" s="4">
        <v>0</v>
      </c>
      <c r="N530" s="3">
        <v>1076</v>
      </c>
      <c r="O530" s="4">
        <v>4.5999999999999999E-2</v>
      </c>
      <c r="P530" s="1" t="s">
        <v>2721</v>
      </c>
    </row>
    <row r="531" spans="1:16">
      <c r="A531" s="1" t="s">
        <v>15</v>
      </c>
      <c r="B531" s="1">
        <v>11</v>
      </c>
      <c r="C531" s="1" t="s">
        <v>3691</v>
      </c>
      <c r="D531" s="1" t="s">
        <v>27</v>
      </c>
      <c r="E531" s="2">
        <v>45971</v>
      </c>
      <c r="F531" s="1" t="s">
        <v>28</v>
      </c>
      <c r="G531" s="1" t="s">
        <v>29</v>
      </c>
      <c r="H531" s="1" t="s">
        <v>352</v>
      </c>
      <c r="I531" s="1">
        <v>2</v>
      </c>
      <c r="J531" s="3">
        <v>54065</v>
      </c>
      <c r="K531" s="3">
        <v>51590</v>
      </c>
      <c r="L531" s="1">
        <v>0</v>
      </c>
      <c r="M531" s="4">
        <v>0</v>
      </c>
      <c r="N531" s="3">
        <v>2475</v>
      </c>
      <c r="O531" s="4">
        <v>4.5999999999999999E-2</v>
      </c>
      <c r="P531" s="1" t="s">
        <v>2721</v>
      </c>
    </row>
    <row r="532" spans="1:16">
      <c r="A532" s="1" t="s">
        <v>15</v>
      </c>
      <c r="B532" s="1">
        <v>11</v>
      </c>
      <c r="C532" s="1" t="s">
        <v>3692</v>
      </c>
      <c r="D532" s="1" t="s">
        <v>3693</v>
      </c>
      <c r="E532" s="2">
        <v>45971</v>
      </c>
      <c r="F532" s="1" t="s">
        <v>2206</v>
      </c>
      <c r="G532" s="1" t="s">
        <v>3694</v>
      </c>
      <c r="H532" s="1" t="s">
        <v>3695</v>
      </c>
      <c r="I532" s="1">
        <v>1</v>
      </c>
      <c r="J532" s="3">
        <v>35421</v>
      </c>
      <c r="K532" s="3">
        <v>33800</v>
      </c>
      <c r="L532" s="1">
        <v>0</v>
      </c>
      <c r="M532" s="4">
        <v>0</v>
      </c>
      <c r="N532" s="3">
        <v>1621</v>
      </c>
      <c r="O532" s="4">
        <v>4.5999999999999999E-2</v>
      </c>
      <c r="P532" s="1" t="s">
        <v>2721</v>
      </c>
    </row>
    <row r="533" spans="1:16">
      <c r="A533" s="1" t="s">
        <v>15</v>
      </c>
      <c r="B533" s="1">
        <v>11</v>
      </c>
      <c r="C533" s="1" t="s">
        <v>3696</v>
      </c>
      <c r="D533" s="1" t="s">
        <v>72</v>
      </c>
      <c r="E533" s="2">
        <v>45971</v>
      </c>
      <c r="F533" s="1" t="s">
        <v>63</v>
      </c>
      <c r="G533" s="1" t="s">
        <v>73</v>
      </c>
      <c r="H533" s="1" t="s">
        <v>74</v>
      </c>
      <c r="I533" s="1">
        <v>1</v>
      </c>
      <c r="J533" s="3">
        <v>10456</v>
      </c>
      <c r="K533" s="3">
        <v>9978</v>
      </c>
      <c r="L533" s="1">
        <v>0</v>
      </c>
      <c r="M533" s="4">
        <v>0</v>
      </c>
      <c r="N533" s="1">
        <v>478</v>
      </c>
      <c r="O533" s="4">
        <v>4.5999999999999999E-2</v>
      </c>
      <c r="P533" s="1" t="s">
        <v>2721</v>
      </c>
    </row>
    <row r="534" spans="1:16">
      <c r="A534" s="1" t="s">
        <v>15</v>
      </c>
      <c r="B534" s="1">
        <v>11</v>
      </c>
      <c r="C534" s="1" t="s">
        <v>3697</v>
      </c>
      <c r="D534" s="1" t="s">
        <v>1315</v>
      </c>
      <c r="E534" s="2">
        <v>45971</v>
      </c>
      <c r="F534" s="1" t="s">
        <v>187</v>
      </c>
      <c r="G534" s="1" t="s">
        <v>1316</v>
      </c>
      <c r="H534" s="1" t="s">
        <v>1317</v>
      </c>
      <c r="I534" s="1">
        <v>1</v>
      </c>
      <c r="J534" s="3">
        <v>24872</v>
      </c>
      <c r="K534" s="3">
        <v>23733</v>
      </c>
      <c r="L534" s="1">
        <v>0</v>
      </c>
      <c r="M534" s="4">
        <v>0</v>
      </c>
      <c r="N534" s="3">
        <v>1139</v>
      </c>
      <c r="O534" s="4">
        <v>4.5999999999999999E-2</v>
      </c>
      <c r="P534" s="1" t="s">
        <v>2721</v>
      </c>
    </row>
    <row r="535" spans="1:16">
      <c r="A535" s="1" t="s">
        <v>15</v>
      </c>
      <c r="B535" s="1">
        <v>11</v>
      </c>
      <c r="C535" s="1" t="s">
        <v>3698</v>
      </c>
      <c r="D535" s="1" t="s">
        <v>3699</v>
      </c>
      <c r="E535" s="2">
        <v>45971</v>
      </c>
      <c r="F535" s="1" t="s">
        <v>1075</v>
      </c>
      <c r="G535" s="1" t="s">
        <v>3700</v>
      </c>
      <c r="H535" s="1" t="s">
        <v>3701</v>
      </c>
      <c r="I535" s="1">
        <v>1</v>
      </c>
      <c r="J535" s="3">
        <v>15040</v>
      </c>
      <c r="K535" s="3">
        <v>14351</v>
      </c>
      <c r="L535" s="1">
        <v>0</v>
      </c>
      <c r="M535" s="4">
        <v>0</v>
      </c>
      <c r="N535" s="1">
        <v>689</v>
      </c>
      <c r="O535" s="4">
        <v>4.5999999999999999E-2</v>
      </c>
      <c r="P535" s="1" t="s">
        <v>2721</v>
      </c>
    </row>
    <row r="536" spans="1:16">
      <c r="A536" s="1" t="s">
        <v>15</v>
      </c>
      <c r="B536" s="1">
        <v>11</v>
      </c>
      <c r="C536" s="1" t="s">
        <v>3702</v>
      </c>
      <c r="D536" s="1" t="s">
        <v>3703</v>
      </c>
      <c r="E536" s="2">
        <v>45971</v>
      </c>
      <c r="F536" s="1" t="s">
        <v>77</v>
      </c>
      <c r="G536" s="1" t="s">
        <v>3704</v>
      </c>
      <c r="H536" s="1" t="s">
        <v>3704</v>
      </c>
      <c r="I536" s="1">
        <v>1</v>
      </c>
      <c r="J536" s="3">
        <v>11231</v>
      </c>
      <c r="K536" s="3">
        <v>10717</v>
      </c>
      <c r="L536" s="1">
        <v>0</v>
      </c>
      <c r="M536" s="4">
        <v>0</v>
      </c>
      <c r="N536" s="1">
        <v>514</v>
      </c>
      <c r="O536" s="4">
        <v>4.5999999999999999E-2</v>
      </c>
      <c r="P536" s="1" t="s">
        <v>2721</v>
      </c>
    </row>
    <row r="537" spans="1:16">
      <c r="A537" s="1" t="s">
        <v>15</v>
      </c>
      <c r="B537" s="1">
        <v>11</v>
      </c>
      <c r="C537" s="1" t="s">
        <v>3705</v>
      </c>
      <c r="D537" s="1" t="s">
        <v>346</v>
      </c>
      <c r="E537" s="2">
        <v>45971</v>
      </c>
      <c r="F537" s="1" t="s">
        <v>347</v>
      </c>
      <c r="G537" s="1" t="s">
        <v>348</v>
      </c>
      <c r="H537" s="1" t="s">
        <v>3706</v>
      </c>
      <c r="I537" s="1">
        <v>1</v>
      </c>
      <c r="J537" s="3">
        <v>19660</v>
      </c>
      <c r="K537" s="3">
        <v>18760</v>
      </c>
      <c r="L537" s="1">
        <v>0</v>
      </c>
      <c r="M537" s="4">
        <v>0</v>
      </c>
      <c r="N537" s="1">
        <v>900</v>
      </c>
      <c r="O537" s="4">
        <v>4.5999999999999999E-2</v>
      </c>
      <c r="P537" s="1" t="s">
        <v>2721</v>
      </c>
    </row>
    <row r="538" spans="1:16">
      <c r="A538" s="1" t="s">
        <v>15</v>
      </c>
      <c r="B538" s="1">
        <v>11</v>
      </c>
      <c r="C538" s="1" t="s">
        <v>3705</v>
      </c>
      <c r="D538" s="1" t="s">
        <v>346</v>
      </c>
      <c r="E538" s="2">
        <v>45971</v>
      </c>
      <c r="F538" s="1" t="s">
        <v>347</v>
      </c>
      <c r="G538" s="1" t="s">
        <v>348</v>
      </c>
      <c r="H538" s="1" t="s">
        <v>3707</v>
      </c>
      <c r="I538" s="1">
        <v>1</v>
      </c>
      <c r="J538" s="3">
        <v>19463</v>
      </c>
      <c r="K538" s="3">
        <v>18572</v>
      </c>
      <c r="L538" s="1">
        <v>0</v>
      </c>
      <c r="M538" s="4">
        <v>0</v>
      </c>
      <c r="N538" s="1">
        <v>891</v>
      </c>
      <c r="O538" s="4">
        <v>4.5999999999999999E-2</v>
      </c>
      <c r="P538" s="1" t="s">
        <v>2721</v>
      </c>
    </row>
    <row r="539" spans="1:16">
      <c r="A539" s="1" t="s">
        <v>15</v>
      </c>
      <c r="B539" s="1">
        <v>11</v>
      </c>
      <c r="C539" s="1" t="s">
        <v>3708</v>
      </c>
      <c r="D539" s="1" t="s">
        <v>3709</v>
      </c>
      <c r="E539" s="2">
        <v>45971</v>
      </c>
      <c r="F539" s="1" t="s">
        <v>3710</v>
      </c>
      <c r="G539" s="1" t="s">
        <v>3711</v>
      </c>
      <c r="H539" s="1" t="s">
        <v>3712</v>
      </c>
      <c r="I539" s="1">
        <v>1</v>
      </c>
      <c r="J539" s="3">
        <v>31456</v>
      </c>
      <c r="K539" s="3">
        <v>30016</v>
      </c>
      <c r="L539" s="1">
        <v>0</v>
      </c>
      <c r="M539" s="4">
        <v>0</v>
      </c>
      <c r="N539" s="3">
        <v>1440</v>
      </c>
      <c r="O539" s="4">
        <v>4.5999999999999999E-2</v>
      </c>
      <c r="P539" s="1" t="s">
        <v>2721</v>
      </c>
    </row>
    <row r="540" spans="1:16">
      <c r="A540" s="1" t="s">
        <v>15</v>
      </c>
      <c r="B540" s="1">
        <v>11</v>
      </c>
      <c r="C540" s="1" t="s">
        <v>3713</v>
      </c>
      <c r="D540" s="1" t="s">
        <v>504</v>
      </c>
      <c r="E540" s="2">
        <v>45971</v>
      </c>
      <c r="F540" s="1" t="s">
        <v>407</v>
      </c>
      <c r="G540" s="1" t="s">
        <v>505</v>
      </c>
      <c r="H540" s="1" t="s">
        <v>1131</v>
      </c>
      <c r="I540" s="1">
        <v>2</v>
      </c>
      <c r="J540" s="3">
        <v>108130</v>
      </c>
      <c r="K540" s="3">
        <v>103180</v>
      </c>
      <c r="L540" s="1">
        <v>0</v>
      </c>
      <c r="M540" s="4">
        <v>0</v>
      </c>
      <c r="N540" s="3">
        <v>4950</v>
      </c>
      <c r="O540" s="4">
        <v>4.5999999999999999E-2</v>
      </c>
      <c r="P540" s="1" t="s">
        <v>2721</v>
      </c>
    </row>
    <row r="541" spans="1:16">
      <c r="A541" s="1" t="s">
        <v>15</v>
      </c>
      <c r="B541" s="1">
        <v>11</v>
      </c>
      <c r="C541" s="1" t="s">
        <v>3714</v>
      </c>
      <c r="D541" s="1" t="s">
        <v>1250</v>
      </c>
      <c r="E541" s="2">
        <v>45971</v>
      </c>
      <c r="F541" s="1" t="s">
        <v>18</v>
      </c>
      <c r="G541" s="1" t="s">
        <v>1251</v>
      </c>
      <c r="H541" s="1" t="s">
        <v>20</v>
      </c>
      <c r="I541" s="1">
        <v>1</v>
      </c>
      <c r="J541" s="3">
        <v>8395</v>
      </c>
      <c r="K541" s="3">
        <v>8011</v>
      </c>
      <c r="L541" s="1">
        <v>0</v>
      </c>
      <c r="M541" s="4">
        <v>0</v>
      </c>
      <c r="N541" s="1">
        <v>384</v>
      </c>
      <c r="O541" s="4">
        <v>4.5999999999999999E-2</v>
      </c>
      <c r="P541" s="1" t="s">
        <v>2721</v>
      </c>
    </row>
    <row r="542" spans="1:16">
      <c r="A542" s="1" t="s">
        <v>15</v>
      </c>
      <c r="B542" s="1">
        <v>11</v>
      </c>
      <c r="C542" s="1" t="s">
        <v>3715</v>
      </c>
      <c r="D542" s="1" t="s">
        <v>2506</v>
      </c>
      <c r="E542" s="2">
        <v>45971</v>
      </c>
      <c r="F542" s="1" t="s">
        <v>96</v>
      </c>
      <c r="G542" s="1" t="s">
        <v>2507</v>
      </c>
      <c r="H542" s="1" t="s">
        <v>2508</v>
      </c>
      <c r="I542" s="1">
        <v>1</v>
      </c>
      <c r="J542" s="3">
        <v>8863</v>
      </c>
      <c r="K542" s="3">
        <v>8457</v>
      </c>
      <c r="L542" s="1">
        <v>0</v>
      </c>
      <c r="M542" s="4">
        <v>0</v>
      </c>
      <c r="N542" s="1">
        <v>406</v>
      </c>
      <c r="O542" s="4">
        <v>4.5999999999999999E-2</v>
      </c>
      <c r="P542" s="1" t="s">
        <v>2721</v>
      </c>
    </row>
    <row r="543" spans="1:16">
      <c r="A543" s="1" t="s">
        <v>15</v>
      </c>
      <c r="B543" s="1">
        <v>11</v>
      </c>
      <c r="C543" s="1" t="s">
        <v>3715</v>
      </c>
      <c r="D543" s="1" t="s">
        <v>244</v>
      </c>
      <c r="E543" s="2">
        <v>45971</v>
      </c>
      <c r="F543" s="1" t="s">
        <v>53</v>
      </c>
      <c r="G543" s="1" t="s">
        <v>245</v>
      </c>
      <c r="H543" s="1" t="s">
        <v>1166</v>
      </c>
      <c r="I543" s="1">
        <v>1</v>
      </c>
      <c r="J543" s="3">
        <v>8272</v>
      </c>
      <c r="K543" s="3">
        <v>7893</v>
      </c>
      <c r="L543" s="1">
        <v>0</v>
      </c>
      <c r="M543" s="4">
        <v>0</v>
      </c>
      <c r="N543" s="1">
        <v>379</v>
      </c>
      <c r="O543" s="4">
        <v>4.5999999999999999E-2</v>
      </c>
      <c r="P543" s="1" t="s">
        <v>2721</v>
      </c>
    </row>
    <row r="544" spans="1:16">
      <c r="A544" s="1" t="s">
        <v>15</v>
      </c>
      <c r="B544" s="1">
        <v>11</v>
      </c>
      <c r="C544" s="1" t="s">
        <v>3716</v>
      </c>
      <c r="D544" s="1" t="s">
        <v>1587</v>
      </c>
      <c r="E544" s="2">
        <v>45971</v>
      </c>
      <c r="F544" s="1" t="s">
        <v>126</v>
      </c>
      <c r="G544" s="1" t="s">
        <v>1588</v>
      </c>
      <c r="H544" s="1" t="s">
        <v>1589</v>
      </c>
      <c r="I544" s="1">
        <v>1</v>
      </c>
      <c r="J544" s="3">
        <v>12484</v>
      </c>
      <c r="K544" s="3">
        <v>11913</v>
      </c>
      <c r="L544" s="1">
        <v>0</v>
      </c>
      <c r="M544" s="4">
        <v>0</v>
      </c>
      <c r="N544" s="1">
        <v>571</v>
      </c>
      <c r="O544" s="4">
        <v>4.5999999999999999E-2</v>
      </c>
      <c r="P544" s="1" t="s">
        <v>2721</v>
      </c>
    </row>
    <row r="545" spans="1:16">
      <c r="A545" s="1" t="s">
        <v>15</v>
      </c>
      <c r="B545" s="1">
        <v>11</v>
      </c>
      <c r="C545" s="1" t="s">
        <v>3717</v>
      </c>
      <c r="D545" s="1" t="s">
        <v>2441</v>
      </c>
      <c r="E545" s="2">
        <v>45971</v>
      </c>
      <c r="F545" s="1" t="s">
        <v>2442</v>
      </c>
      <c r="G545" s="1" t="s">
        <v>2443</v>
      </c>
      <c r="H545" s="1" t="s">
        <v>2444</v>
      </c>
      <c r="I545" s="1">
        <v>1</v>
      </c>
      <c r="J545" s="3">
        <v>14155</v>
      </c>
      <c r="K545" s="3">
        <v>13507</v>
      </c>
      <c r="L545" s="1">
        <v>0</v>
      </c>
      <c r="M545" s="4">
        <v>0</v>
      </c>
      <c r="N545" s="1">
        <v>648</v>
      </c>
      <c r="O545" s="4">
        <v>4.5999999999999999E-2</v>
      </c>
      <c r="P545" s="1" t="s">
        <v>2721</v>
      </c>
    </row>
    <row r="546" spans="1:16">
      <c r="A546" s="1" t="s">
        <v>15</v>
      </c>
      <c r="B546" s="1">
        <v>11</v>
      </c>
      <c r="C546" s="1" t="s">
        <v>3718</v>
      </c>
      <c r="D546" s="1" t="s">
        <v>3719</v>
      </c>
      <c r="E546" s="2">
        <v>45971</v>
      </c>
      <c r="F546" s="1" t="s">
        <v>488</v>
      </c>
      <c r="G546" s="1" t="s">
        <v>3720</v>
      </c>
      <c r="H546" s="1" t="s">
        <v>3721</v>
      </c>
      <c r="I546" s="1">
        <v>1</v>
      </c>
      <c r="J546" s="3">
        <v>8542</v>
      </c>
      <c r="K546" s="3">
        <v>8151</v>
      </c>
      <c r="L546" s="1">
        <v>0</v>
      </c>
      <c r="M546" s="4">
        <v>0</v>
      </c>
      <c r="N546" s="1">
        <v>391</v>
      </c>
      <c r="O546" s="4">
        <v>4.5999999999999999E-2</v>
      </c>
      <c r="P546" s="1" t="s">
        <v>2721</v>
      </c>
    </row>
    <row r="547" spans="1:16">
      <c r="A547" s="1" t="s">
        <v>15</v>
      </c>
      <c r="B547" s="1">
        <v>11</v>
      </c>
      <c r="C547" s="1" t="s">
        <v>3718</v>
      </c>
      <c r="D547" s="1" t="s">
        <v>3680</v>
      </c>
      <c r="E547" s="2">
        <v>45971</v>
      </c>
      <c r="F547" s="1" t="s">
        <v>488</v>
      </c>
      <c r="G547" s="1" t="s">
        <v>3681</v>
      </c>
      <c r="H547" s="1" t="s">
        <v>3682</v>
      </c>
      <c r="I547" s="1">
        <v>1</v>
      </c>
      <c r="J547" s="3">
        <v>11786</v>
      </c>
      <c r="K547" s="3">
        <v>11247</v>
      </c>
      <c r="L547" s="1">
        <v>0</v>
      </c>
      <c r="M547" s="4">
        <v>0</v>
      </c>
      <c r="N547" s="1">
        <v>539</v>
      </c>
      <c r="O547" s="4">
        <v>4.5999999999999999E-2</v>
      </c>
      <c r="P547" s="1" t="s">
        <v>2721</v>
      </c>
    </row>
    <row r="548" spans="1:16">
      <c r="A548" s="1" t="s">
        <v>15</v>
      </c>
      <c r="B548" s="1">
        <v>11</v>
      </c>
      <c r="C548" s="1" t="s">
        <v>3722</v>
      </c>
      <c r="D548" s="1" t="s">
        <v>311</v>
      </c>
      <c r="E548" s="2">
        <v>45971</v>
      </c>
      <c r="F548" s="1" t="s">
        <v>312</v>
      </c>
      <c r="G548" s="1" t="s">
        <v>313</v>
      </c>
      <c r="H548" s="1" t="s">
        <v>3723</v>
      </c>
      <c r="I548" s="1">
        <v>1</v>
      </c>
      <c r="J548" s="3">
        <v>28310</v>
      </c>
      <c r="K548" s="3">
        <v>27014</v>
      </c>
      <c r="L548" s="1">
        <v>0</v>
      </c>
      <c r="M548" s="4">
        <v>0</v>
      </c>
      <c r="N548" s="3">
        <v>1296</v>
      </c>
      <c r="O548" s="4">
        <v>4.5999999999999999E-2</v>
      </c>
      <c r="P548" s="1" t="s">
        <v>2721</v>
      </c>
    </row>
    <row r="549" spans="1:16">
      <c r="A549" s="1" t="s">
        <v>15</v>
      </c>
      <c r="B549" s="1">
        <v>11</v>
      </c>
      <c r="C549" s="1" t="s">
        <v>3724</v>
      </c>
      <c r="D549" s="1" t="s">
        <v>3725</v>
      </c>
      <c r="E549" s="2">
        <v>45971</v>
      </c>
      <c r="F549" s="1" t="s">
        <v>96</v>
      </c>
      <c r="G549" s="1" t="s">
        <v>3726</v>
      </c>
      <c r="H549" s="1" t="s">
        <v>3727</v>
      </c>
      <c r="I549" s="1">
        <v>1</v>
      </c>
      <c r="J549" s="3">
        <v>16188</v>
      </c>
      <c r="K549" s="3">
        <v>15447</v>
      </c>
      <c r="L549" s="1">
        <v>0</v>
      </c>
      <c r="M549" s="4">
        <v>0</v>
      </c>
      <c r="N549" s="1">
        <v>741</v>
      </c>
      <c r="O549" s="4">
        <v>4.5999999999999999E-2</v>
      </c>
      <c r="P549" s="1" t="s">
        <v>2721</v>
      </c>
    </row>
    <row r="550" spans="1:16">
      <c r="A550" s="1" t="s">
        <v>15</v>
      </c>
      <c r="B550" s="1">
        <v>11</v>
      </c>
      <c r="C550" s="1" t="s">
        <v>3724</v>
      </c>
      <c r="D550" s="1" t="s">
        <v>104</v>
      </c>
      <c r="E550" s="2">
        <v>45971</v>
      </c>
      <c r="F550" s="1" t="s">
        <v>96</v>
      </c>
      <c r="G550" s="1" t="s">
        <v>105</v>
      </c>
      <c r="H550" s="1" t="s">
        <v>106</v>
      </c>
      <c r="I550" s="1">
        <v>1</v>
      </c>
      <c r="J550" s="3">
        <v>21614</v>
      </c>
      <c r="K550" s="3">
        <v>20625</v>
      </c>
      <c r="L550" s="1">
        <v>0</v>
      </c>
      <c r="M550" s="4">
        <v>0</v>
      </c>
      <c r="N550" s="1">
        <v>989</v>
      </c>
      <c r="O550" s="4">
        <v>4.5999999999999999E-2</v>
      </c>
      <c r="P550" s="1" t="s">
        <v>2721</v>
      </c>
    </row>
    <row r="551" spans="1:16">
      <c r="A551" s="1" t="s">
        <v>15</v>
      </c>
      <c r="B551" s="1">
        <v>11</v>
      </c>
      <c r="C551" s="1" t="s">
        <v>3724</v>
      </c>
      <c r="D551" s="1" t="s">
        <v>3728</v>
      </c>
      <c r="E551" s="2">
        <v>45971</v>
      </c>
      <c r="F551" s="1" t="s">
        <v>96</v>
      </c>
      <c r="G551" s="1" t="s">
        <v>3729</v>
      </c>
      <c r="H551" s="1" t="s">
        <v>3730</v>
      </c>
      <c r="I551" s="1">
        <v>2</v>
      </c>
      <c r="J551" s="3">
        <v>22609</v>
      </c>
      <c r="K551" s="3">
        <v>21574</v>
      </c>
      <c r="L551" s="1">
        <v>0</v>
      </c>
      <c r="M551" s="4">
        <v>0</v>
      </c>
      <c r="N551" s="3">
        <v>1035</v>
      </c>
      <c r="O551" s="4">
        <v>4.5999999999999999E-2</v>
      </c>
      <c r="P551" s="1" t="s">
        <v>2721</v>
      </c>
    </row>
    <row r="552" spans="1:16">
      <c r="A552" s="1" t="s">
        <v>15</v>
      </c>
      <c r="B552" s="1">
        <v>11</v>
      </c>
      <c r="C552" s="1" t="s">
        <v>3731</v>
      </c>
      <c r="D552" s="1" t="s">
        <v>3732</v>
      </c>
      <c r="E552" s="2">
        <v>45971</v>
      </c>
      <c r="F552" s="1" t="s">
        <v>276</v>
      </c>
      <c r="G552" s="1" t="s">
        <v>3733</v>
      </c>
      <c r="H552" s="1" t="s">
        <v>3734</v>
      </c>
      <c r="I552" s="1">
        <v>4</v>
      </c>
      <c r="J552" s="3">
        <v>90125</v>
      </c>
      <c r="K552" s="3">
        <v>86000</v>
      </c>
      <c r="L552" s="1">
        <v>0</v>
      </c>
      <c r="M552" s="4">
        <v>0</v>
      </c>
      <c r="N552" s="3">
        <v>4125</v>
      </c>
      <c r="O552" s="4">
        <v>4.5999999999999999E-2</v>
      </c>
      <c r="P552" s="1" t="s">
        <v>2721</v>
      </c>
    </row>
    <row r="553" spans="1:16">
      <c r="A553" s="1" t="s">
        <v>15</v>
      </c>
      <c r="B553" s="1">
        <v>11</v>
      </c>
      <c r="C553" s="1" t="s">
        <v>3735</v>
      </c>
      <c r="D553" s="1" t="s">
        <v>793</v>
      </c>
      <c r="E553" s="2">
        <v>45971</v>
      </c>
      <c r="F553" s="1" t="s">
        <v>126</v>
      </c>
      <c r="G553" s="1" t="s">
        <v>794</v>
      </c>
      <c r="H553" s="1" t="s">
        <v>795</v>
      </c>
      <c r="I553" s="1">
        <v>1</v>
      </c>
      <c r="J553" s="3">
        <v>10715</v>
      </c>
      <c r="K553" s="3">
        <v>10224</v>
      </c>
      <c r="L553" s="1">
        <v>0</v>
      </c>
      <c r="M553" s="4">
        <v>0</v>
      </c>
      <c r="N553" s="1">
        <v>491</v>
      </c>
      <c r="O553" s="4">
        <v>4.5999999999999999E-2</v>
      </c>
      <c r="P553" s="1" t="s">
        <v>2721</v>
      </c>
    </row>
    <row r="554" spans="1:16">
      <c r="A554" s="1" t="s">
        <v>15</v>
      </c>
      <c r="B554" s="1">
        <v>11</v>
      </c>
      <c r="C554" s="1" t="s">
        <v>3735</v>
      </c>
      <c r="D554" s="1" t="s">
        <v>574</v>
      </c>
      <c r="E554" s="2">
        <v>45971</v>
      </c>
      <c r="F554" s="1" t="s">
        <v>126</v>
      </c>
      <c r="G554" s="1" t="s">
        <v>575</v>
      </c>
      <c r="H554" s="1" t="s">
        <v>576</v>
      </c>
      <c r="I554" s="1">
        <v>1</v>
      </c>
      <c r="J554" s="3">
        <v>15237</v>
      </c>
      <c r="K554" s="3">
        <v>14539</v>
      </c>
      <c r="L554" s="1">
        <v>0</v>
      </c>
      <c r="M554" s="4">
        <v>0</v>
      </c>
      <c r="N554" s="1">
        <v>698</v>
      </c>
      <c r="O554" s="4">
        <v>4.5999999999999999E-2</v>
      </c>
      <c r="P554" s="1" t="s">
        <v>2721</v>
      </c>
    </row>
    <row r="555" spans="1:16">
      <c r="A555" s="1" t="s">
        <v>15</v>
      </c>
      <c r="B555" s="1">
        <v>11</v>
      </c>
      <c r="C555" s="1" t="s">
        <v>3736</v>
      </c>
      <c r="D555" s="1" t="s">
        <v>1302</v>
      </c>
      <c r="E555" s="2">
        <v>45971</v>
      </c>
      <c r="F555" s="1" t="s">
        <v>256</v>
      </c>
      <c r="G555" s="1" t="s">
        <v>1303</v>
      </c>
      <c r="H555" s="1" t="s">
        <v>1304</v>
      </c>
      <c r="I555" s="1">
        <v>1</v>
      </c>
      <c r="J555" s="3">
        <v>4944</v>
      </c>
      <c r="K555" s="3">
        <v>4718</v>
      </c>
      <c r="L555" s="1">
        <v>0</v>
      </c>
      <c r="M555" s="4">
        <v>0</v>
      </c>
      <c r="N555" s="1">
        <v>226</v>
      </c>
      <c r="O555" s="4">
        <v>4.5999999999999999E-2</v>
      </c>
      <c r="P555" s="1" t="s">
        <v>2721</v>
      </c>
    </row>
    <row r="556" spans="1:16">
      <c r="A556" s="1" t="s">
        <v>15</v>
      </c>
      <c r="B556" s="1">
        <v>11</v>
      </c>
      <c r="C556" s="1" t="s">
        <v>3737</v>
      </c>
      <c r="D556" s="1" t="s">
        <v>238</v>
      </c>
      <c r="E556" s="2">
        <v>45971</v>
      </c>
      <c r="F556" s="1" t="s">
        <v>239</v>
      </c>
      <c r="G556" s="1" t="s">
        <v>240</v>
      </c>
      <c r="H556" s="1" t="s">
        <v>241</v>
      </c>
      <c r="I556" s="1">
        <v>1</v>
      </c>
      <c r="J556" s="3">
        <v>11305</v>
      </c>
      <c r="K556" s="3">
        <v>10787</v>
      </c>
      <c r="L556" s="1">
        <v>0</v>
      </c>
      <c r="M556" s="4">
        <v>0</v>
      </c>
      <c r="N556" s="1">
        <v>518</v>
      </c>
      <c r="O556" s="4">
        <v>4.5999999999999999E-2</v>
      </c>
      <c r="P556" s="1" t="s">
        <v>2721</v>
      </c>
    </row>
    <row r="557" spans="1:16">
      <c r="A557" s="1" t="s">
        <v>15</v>
      </c>
      <c r="B557" s="1">
        <v>11</v>
      </c>
      <c r="C557" s="1" t="s">
        <v>3737</v>
      </c>
      <c r="D557" s="1" t="s">
        <v>238</v>
      </c>
      <c r="E557" s="2">
        <v>45971</v>
      </c>
      <c r="F557" s="1" t="s">
        <v>239</v>
      </c>
      <c r="G557" s="1" t="s">
        <v>240</v>
      </c>
      <c r="H557" s="1" t="s">
        <v>242</v>
      </c>
      <c r="I557" s="1">
        <v>1</v>
      </c>
      <c r="J557" s="3">
        <v>11305</v>
      </c>
      <c r="K557" s="3">
        <v>10787</v>
      </c>
      <c r="L557" s="1">
        <v>0</v>
      </c>
      <c r="M557" s="4">
        <v>0</v>
      </c>
      <c r="N557" s="1">
        <v>518</v>
      </c>
      <c r="O557" s="4">
        <v>4.5999999999999999E-2</v>
      </c>
      <c r="P557" s="1" t="s">
        <v>2721</v>
      </c>
    </row>
    <row r="558" spans="1:16">
      <c r="A558" s="1" t="s">
        <v>15</v>
      </c>
      <c r="B558" s="1">
        <v>11</v>
      </c>
      <c r="C558" s="1" t="s">
        <v>3738</v>
      </c>
      <c r="D558" s="1" t="s">
        <v>3739</v>
      </c>
      <c r="E558" s="2">
        <v>45971</v>
      </c>
      <c r="F558" s="1" t="s">
        <v>3740</v>
      </c>
      <c r="G558" s="1" t="s">
        <v>3741</v>
      </c>
      <c r="H558" s="1" t="s">
        <v>3742</v>
      </c>
      <c r="I558" s="1">
        <v>1</v>
      </c>
      <c r="J558" s="3">
        <v>32931</v>
      </c>
      <c r="K558" s="3">
        <v>31423</v>
      </c>
      <c r="L558" s="1">
        <v>0</v>
      </c>
      <c r="M558" s="4">
        <v>0</v>
      </c>
      <c r="N558" s="3">
        <v>1508</v>
      </c>
      <c r="O558" s="4">
        <v>4.5999999999999999E-2</v>
      </c>
      <c r="P558" s="1" t="s">
        <v>2721</v>
      </c>
    </row>
    <row r="559" spans="1:16">
      <c r="A559" s="1" t="s">
        <v>15</v>
      </c>
      <c r="B559" s="1">
        <v>11</v>
      </c>
      <c r="C559" s="1" t="s">
        <v>3743</v>
      </c>
      <c r="D559" s="1" t="s">
        <v>818</v>
      </c>
      <c r="E559" s="2">
        <v>45971</v>
      </c>
      <c r="F559" s="1" t="s">
        <v>235</v>
      </c>
      <c r="G559" s="1" t="s">
        <v>819</v>
      </c>
      <c r="H559" s="1" t="s">
        <v>822</v>
      </c>
      <c r="I559" s="1">
        <v>1</v>
      </c>
      <c r="J559" s="3">
        <v>8061</v>
      </c>
      <c r="K559" s="3">
        <v>7692</v>
      </c>
      <c r="L559" s="1">
        <v>0</v>
      </c>
      <c r="M559" s="4">
        <v>0</v>
      </c>
      <c r="N559" s="1">
        <v>369</v>
      </c>
      <c r="O559" s="4">
        <v>4.5999999999999999E-2</v>
      </c>
      <c r="P559" s="1" t="s">
        <v>2721</v>
      </c>
    </row>
    <row r="560" spans="1:16">
      <c r="A560" s="1" t="s">
        <v>15</v>
      </c>
      <c r="B560" s="1">
        <v>11</v>
      </c>
      <c r="C560" s="1" t="s">
        <v>3744</v>
      </c>
      <c r="D560" s="1" t="s">
        <v>845</v>
      </c>
      <c r="E560" s="2">
        <v>45971</v>
      </c>
      <c r="F560" s="1" t="s">
        <v>846</v>
      </c>
      <c r="G560" s="1" t="s">
        <v>847</v>
      </c>
      <c r="H560" s="1" t="s">
        <v>848</v>
      </c>
      <c r="I560" s="1">
        <v>1</v>
      </c>
      <c r="J560" s="3">
        <v>112554</v>
      </c>
      <c r="K560" s="3">
        <v>107401</v>
      </c>
      <c r="L560" s="1">
        <v>0</v>
      </c>
      <c r="M560" s="4">
        <v>0</v>
      </c>
      <c r="N560" s="3">
        <v>5153</v>
      </c>
      <c r="O560" s="4">
        <v>4.5999999999999999E-2</v>
      </c>
      <c r="P560" s="1" t="s">
        <v>2721</v>
      </c>
    </row>
    <row r="561" spans="1:16">
      <c r="A561" s="1" t="s">
        <v>15</v>
      </c>
      <c r="B561" s="1">
        <v>11</v>
      </c>
      <c r="C561" s="1" t="s">
        <v>3745</v>
      </c>
      <c r="D561" s="1" t="s">
        <v>17</v>
      </c>
      <c r="E561" s="2">
        <v>45971</v>
      </c>
      <c r="F561" s="1" t="s">
        <v>18</v>
      </c>
      <c r="G561" s="1" t="s">
        <v>19</v>
      </c>
      <c r="H561" s="1" t="s">
        <v>1428</v>
      </c>
      <c r="I561" s="1">
        <v>1</v>
      </c>
      <c r="J561" s="3">
        <v>7166</v>
      </c>
      <c r="K561" s="3">
        <v>6838</v>
      </c>
      <c r="L561" s="1">
        <v>0</v>
      </c>
      <c r="M561" s="4">
        <v>0</v>
      </c>
      <c r="N561" s="1">
        <v>328</v>
      </c>
      <c r="O561" s="4">
        <v>4.5999999999999999E-2</v>
      </c>
      <c r="P561" s="1" t="s">
        <v>2721</v>
      </c>
    </row>
    <row r="562" spans="1:16">
      <c r="A562" s="1" t="s">
        <v>15</v>
      </c>
      <c r="B562" s="1">
        <v>11</v>
      </c>
      <c r="C562" s="1" t="s">
        <v>3746</v>
      </c>
      <c r="D562" s="1" t="s">
        <v>2855</v>
      </c>
      <c r="E562" s="2">
        <v>45971</v>
      </c>
      <c r="F562" s="1" t="s">
        <v>58</v>
      </c>
      <c r="G562" s="1" t="s">
        <v>2856</v>
      </c>
      <c r="H562" s="1" t="s">
        <v>2857</v>
      </c>
      <c r="I562" s="1">
        <v>1</v>
      </c>
      <c r="J562" s="3">
        <v>21842</v>
      </c>
      <c r="K562" s="3">
        <v>20842</v>
      </c>
      <c r="L562" s="1">
        <v>0</v>
      </c>
      <c r="M562" s="4">
        <v>0</v>
      </c>
      <c r="N562" s="3">
        <v>1000</v>
      </c>
      <c r="O562" s="4">
        <v>4.5999999999999999E-2</v>
      </c>
      <c r="P562" s="1" t="s">
        <v>2721</v>
      </c>
    </row>
    <row r="563" spans="1:16">
      <c r="A563" s="1" t="s">
        <v>15</v>
      </c>
      <c r="B563" s="1">
        <v>11</v>
      </c>
      <c r="C563" s="1" t="s">
        <v>3747</v>
      </c>
      <c r="D563" s="1" t="s">
        <v>52</v>
      </c>
      <c r="E563" s="2">
        <v>45971</v>
      </c>
      <c r="F563" s="1" t="s">
        <v>53</v>
      </c>
      <c r="G563" s="1" t="s">
        <v>54</v>
      </c>
      <c r="H563" s="1" t="s">
        <v>248</v>
      </c>
      <c r="I563" s="1">
        <v>1</v>
      </c>
      <c r="J563" s="3">
        <v>16135</v>
      </c>
      <c r="K563" s="3">
        <v>15396</v>
      </c>
      <c r="L563" s="1">
        <v>0</v>
      </c>
      <c r="M563" s="4">
        <v>0</v>
      </c>
      <c r="N563" s="1">
        <v>739</v>
      </c>
      <c r="O563" s="4">
        <v>4.5999999999999999E-2</v>
      </c>
      <c r="P563" s="1" t="s">
        <v>2721</v>
      </c>
    </row>
    <row r="564" spans="1:16">
      <c r="A564" s="1" t="s">
        <v>15</v>
      </c>
      <c r="B564" s="1">
        <v>11</v>
      </c>
      <c r="C564" s="1" t="s">
        <v>3748</v>
      </c>
      <c r="D564" s="1" t="s">
        <v>440</v>
      </c>
      <c r="E564" s="2">
        <v>45971</v>
      </c>
      <c r="F564" s="1" t="s">
        <v>441</v>
      </c>
      <c r="G564" s="1" t="s">
        <v>442</v>
      </c>
      <c r="H564" s="1" t="s">
        <v>443</v>
      </c>
      <c r="I564" s="1">
        <v>1</v>
      </c>
      <c r="J564" s="3">
        <v>27524</v>
      </c>
      <c r="K564" s="3">
        <v>26264</v>
      </c>
      <c r="L564" s="1">
        <v>0</v>
      </c>
      <c r="M564" s="4">
        <v>0</v>
      </c>
      <c r="N564" s="3">
        <v>1260</v>
      </c>
      <c r="O564" s="4">
        <v>4.5999999999999999E-2</v>
      </c>
      <c r="P564" s="1" t="s">
        <v>2721</v>
      </c>
    </row>
    <row r="565" spans="1:16">
      <c r="A565" s="1" t="s">
        <v>15</v>
      </c>
      <c r="B565" s="1">
        <v>11</v>
      </c>
      <c r="C565" s="1" t="s">
        <v>3749</v>
      </c>
      <c r="D565" s="1" t="s">
        <v>813</v>
      </c>
      <c r="E565" s="2">
        <v>45971</v>
      </c>
      <c r="F565" s="1" t="s">
        <v>126</v>
      </c>
      <c r="G565" s="1" t="s">
        <v>814</v>
      </c>
      <c r="H565" s="1" t="s">
        <v>2052</v>
      </c>
      <c r="I565" s="1">
        <v>1</v>
      </c>
      <c r="J565" s="3">
        <v>18186</v>
      </c>
      <c r="K565" s="3">
        <v>17353</v>
      </c>
      <c r="L565" s="1">
        <v>0</v>
      </c>
      <c r="M565" s="4">
        <v>0</v>
      </c>
      <c r="N565" s="1">
        <v>833</v>
      </c>
      <c r="O565" s="4">
        <v>4.5999999999999999E-2</v>
      </c>
      <c r="P565" s="1" t="s">
        <v>2721</v>
      </c>
    </row>
    <row r="566" spans="1:16">
      <c r="A566" s="1" t="s">
        <v>15</v>
      </c>
      <c r="B566" s="1">
        <v>11</v>
      </c>
      <c r="C566" s="1" t="s">
        <v>3750</v>
      </c>
      <c r="D566" s="1" t="s">
        <v>311</v>
      </c>
      <c r="E566" s="2">
        <v>45971</v>
      </c>
      <c r="F566" s="1" t="s">
        <v>312</v>
      </c>
      <c r="G566" s="1" t="s">
        <v>313</v>
      </c>
      <c r="H566" s="1" t="s">
        <v>3751</v>
      </c>
      <c r="I566" s="1">
        <v>1</v>
      </c>
      <c r="J566" s="3">
        <v>28310</v>
      </c>
      <c r="K566" s="3">
        <v>27014</v>
      </c>
      <c r="L566" s="1">
        <v>0</v>
      </c>
      <c r="M566" s="4">
        <v>0</v>
      </c>
      <c r="N566" s="3">
        <v>1296</v>
      </c>
      <c r="O566" s="4">
        <v>4.5999999999999999E-2</v>
      </c>
      <c r="P566" s="1" t="s">
        <v>2721</v>
      </c>
    </row>
    <row r="567" spans="1:16">
      <c r="A567" s="1" t="s">
        <v>15</v>
      </c>
      <c r="B567" s="1">
        <v>11</v>
      </c>
      <c r="C567" s="1" t="s">
        <v>3750</v>
      </c>
      <c r="D567" s="1" t="s">
        <v>311</v>
      </c>
      <c r="E567" s="2">
        <v>45971</v>
      </c>
      <c r="F567" s="1" t="s">
        <v>312</v>
      </c>
      <c r="G567" s="1" t="s">
        <v>313</v>
      </c>
      <c r="H567" s="1" t="s">
        <v>3752</v>
      </c>
      <c r="I567" s="1">
        <v>1</v>
      </c>
      <c r="J567" s="3">
        <v>28310</v>
      </c>
      <c r="K567" s="3">
        <v>27014</v>
      </c>
      <c r="L567" s="1">
        <v>0</v>
      </c>
      <c r="M567" s="4">
        <v>0</v>
      </c>
      <c r="N567" s="3">
        <v>1296</v>
      </c>
      <c r="O567" s="4">
        <v>4.5999999999999999E-2</v>
      </c>
      <c r="P567" s="1" t="s">
        <v>2721</v>
      </c>
    </row>
    <row r="568" spans="1:16">
      <c r="A568" s="1" t="s">
        <v>15</v>
      </c>
      <c r="B568" s="1">
        <v>11</v>
      </c>
      <c r="C568" s="1" t="s">
        <v>3753</v>
      </c>
      <c r="D568" s="1" t="s">
        <v>3754</v>
      </c>
      <c r="E568" s="2">
        <v>45971</v>
      </c>
      <c r="F568" s="1" t="s">
        <v>63</v>
      </c>
      <c r="G568" s="1" t="s">
        <v>3755</v>
      </c>
      <c r="H568" s="1" t="s">
        <v>3756</v>
      </c>
      <c r="I568" s="1">
        <v>2</v>
      </c>
      <c r="J568" s="3">
        <v>10276</v>
      </c>
      <c r="K568" s="3">
        <v>9806</v>
      </c>
      <c r="L568" s="1">
        <v>0</v>
      </c>
      <c r="M568" s="4">
        <v>0</v>
      </c>
      <c r="N568" s="1">
        <v>470</v>
      </c>
      <c r="O568" s="4">
        <v>4.5999999999999999E-2</v>
      </c>
      <c r="P568" s="1" t="s">
        <v>2721</v>
      </c>
    </row>
    <row r="569" spans="1:16">
      <c r="A569" s="1" t="s">
        <v>15</v>
      </c>
      <c r="B569" s="1">
        <v>11</v>
      </c>
      <c r="C569" s="1" t="s">
        <v>3757</v>
      </c>
      <c r="D569" s="1" t="s">
        <v>3758</v>
      </c>
      <c r="E569" s="2">
        <v>45971</v>
      </c>
      <c r="F569" s="1" t="s">
        <v>68</v>
      </c>
      <c r="G569" s="1" t="s">
        <v>3759</v>
      </c>
      <c r="H569" s="1" t="s">
        <v>3760</v>
      </c>
      <c r="I569" s="1">
        <v>2</v>
      </c>
      <c r="J569" s="3">
        <v>40224</v>
      </c>
      <c r="K569" s="3">
        <v>38383</v>
      </c>
      <c r="L569" s="1">
        <v>0</v>
      </c>
      <c r="M569" s="4">
        <v>0</v>
      </c>
      <c r="N569" s="3">
        <v>1841</v>
      </c>
      <c r="O569" s="4">
        <v>4.5999999999999999E-2</v>
      </c>
      <c r="P569" s="1" t="s">
        <v>2721</v>
      </c>
    </row>
    <row r="570" spans="1:16">
      <c r="A570" s="1" t="s">
        <v>15</v>
      </c>
      <c r="B570" s="1">
        <v>11</v>
      </c>
      <c r="C570" s="1" t="s">
        <v>3761</v>
      </c>
      <c r="D570" s="1" t="s">
        <v>3762</v>
      </c>
      <c r="E570" s="2">
        <v>45971</v>
      </c>
      <c r="F570" s="1" t="s">
        <v>96</v>
      </c>
      <c r="G570" s="1" t="s">
        <v>596</v>
      </c>
      <c r="H570" s="1" t="s">
        <v>597</v>
      </c>
      <c r="I570" s="1">
        <v>1</v>
      </c>
      <c r="J570" s="3">
        <v>11666</v>
      </c>
      <c r="K570" s="3">
        <v>11132</v>
      </c>
      <c r="L570" s="1">
        <v>0</v>
      </c>
      <c r="M570" s="4">
        <v>0</v>
      </c>
      <c r="N570" s="1">
        <v>534</v>
      </c>
      <c r="O570" s="4">
        <v>4.5999999999999999E-2</v>
      </c>
      <c r="P570" s="1" t="s">
        <v>2721</v>
      </c>
    </row>
    <row r="571" spans="1:16">
      <c r="A571" s="1" t="s">
        <v>15</v>
      </c>
      <c r="B571" s="1">
        <v>11</v>
      </c>
      <c r="C571" s="1" t="s">
        <v>3763</v>
      </c>
      <c r="D571" s="1" t="s">
        <v>1531</v>
      </c>
      <c r="E571" s="2">
        <v>45971</v>
      </c>
      <c r="F571" s="1" t="s">
        <v>53</v>
      </c>
      <c r="G571" s="1" t="s">
        <v>1532</v>
      </c>
      <c r="H571" s="1" t="s">
        <v>1533</v>
      </c>
      <c r="I571" s="1">
        <v>1</v>
      </c>
      <c r="J571" s="3">
        <v>8022</v>
      </c>
      <c r="K571" s="3">
        <v>7655</v>
      </c>
      <c r="L571" s="1">
        <v>0</v>
      </c>
      <c r="M571" s="4">
        <v>0</v>
      </c>
      <c r="N571" s="1">
        <v>367</v>
      </c>
      <c r="O571" s="4">
        <v>4.5999999999999999E-2</v>
      </c>
      <c r="P571" s="1" t="s">
        <v>2721</v>
      </c>
    </row>
    <row r="572" spans="1:16">
      <c r="A572" s="1" t="s">
        <v>15</v>
      </c>
      <c r="B572" s="1">
        <v>11</v>
      </c>
      <c r="C572" s="1" t="s">
        <v>3764</v>
      </c>
      <c r="D572" s="1" t="s">
        <v>2860</v>
      </c>
      <c r="E572" s="2">
        <v>45971</v>
      </c>
      <c r="F572" s="1" t="s">
        <v>235</v>
      </c>
      <c r="G572" s="1" t="s">
        <v>2861</v>
      </c>
      <c r="H572" s="1" t="s">
        <v>2862</v>
      </c>
      <c r="I572" s="1">
        <v>1</v>
      </c>
      <c r="J572" s="3">
        <v>19070</v>
      </c>
      <c r="K572" s="3">
        <v>18197</v>
      </c>
      <c r="L572" s="1">
        <v>0</v>
      </c>
      <c r="M572" s="4">
        <v>0</v>
      </c>
      <c r="N572" s="1">
        <v>873</v>
      </c>
      <c r="O572" s="4">
        <v>4.5999999999999999E-2</v>
      </c>
      <c r="P572" s="1" t="s">
        <v>2721</v>
      </c>
    </row>
    <row r="573" spans="1:16">
      <c r="A573" s="1" t="s">
        <v>15</v>
      </c>
      <c r="B573" s="1">
        <v>11</v>
      </c>
      <c r="C573" s="1" t="s">
        <v>3765</v>
      </c>
      <c r="D573" s="1" t="s">
        <v>845</v>
      </c>
      <c r="E573" s="2">
        <v>45971</v>
      </c>
      <c r="F573" s="1" t="s">
        <v>846</v>
      </c>
      <c r="G573" s="1" t="s">
        <v>847</v>
      </c>
      <c r="H573" s="1" t="s">
        <v>848</v>
      </c>
      <c r="I573" s="1">
        <v>1</v>
      </c>
      <c r="J573" s="3">
        <v>112554</v>
      </c>
      <c r="K573" s="3">
        <v>107401</v>
      </c>
      <c r="L573" s="1">
        <v>0</v>
      </c>
      <c r="M573" s="4">
        <v>0</v>
      </c>
      <c r="N573" s="3">
        <v>5153</v>
      </c>
      <c r="O573" s="4">
        <v>4.5999999999999999E-2</v>
      </c>
      <c r="P573" s="1" t="s">
        <v>2721</v>
      </c>
    </row>
    <row r="574" spans="1:16">
      <c r="A574" s="1" t="s">
        <v>15</v>
      </c>
      <c r="B574" s="1">
        <v>11</v>
      </c>
      <c r="C574" s="1" t="s">
        <v>3766</v>
      </c>
      <c r="D574" s="1" t="s">
        <v>989</v>
      </c>
      <c r="E574" s="2">
        <v>45971</v>
      </c>
      <c r="F574" s="1" t="s">
        <v>48</v>
      </c>
      <c r="G574" s="1" t="s">
        <v>990</v>
      </c>
      <c r="H574" s="1" t="s">
        <v>1164</v>
      </c>
      <c r="I574" s="1">
        <v>1</v>
      </c>
      <c r="J574" s="3">
        <v>9315</v>
      </c>
      <c r="K574" s="3">
        <v>8888</v>
      </c>
      <c r="L574" s="1">
        <v>0</v>
      </c>
      <c r="M574" s="4">
        <v>0</v>
      </c>
      <c r="N574" s="1">
        <v>427</v>
      </c>
      <c r="O574" s="4">
        <v>4.5999999999999999E-2</v>
      </c>
      <c r="P574" s="1" t="s">
        <v>2721</v>
      </c>
    </row>
    <row r="575" spans="1:16">
      <c r="A575" s="1" t="s">
        <v>15</v>
      </c>
      <c r="B575" s="1">
        <v>11</v>
      </c>
      <c r="C575" s="1" t="s">
        <v>3767</v>
      </c>
      <c r="D575" s="1" t="s">
        <v>492</v>
      </c>
      <c r="E575" s="2">
        <v>45971</v>
      </c>
      <c r="F575" s="1" t="s">
        <v>493</v>
      </c>
      <c r="G575" s="1" t="s">
        <v>494</v>
      </c>
      <c r="H575" s="1" t="s">
        <v>3768</v>
      </c>
      <c r="I575" s="1">
        <v>2</v>
      </c>
      <c r="J575" s="3">
        <v>15138</v>
      </c>
      <c r="K575" s="3">
        <v>14445</v>
      </c>
      <c r="L575" s="1">
        <v>0</v>
      </c>
      <c r="M575" s="4">
        <v>0</v>
      </c>
      <c r="N575" s="1">
        <v>693</v>
      </c>
      <c r="O575" s="4">
        <v>4.5999999999999999E-2</v>
      </c>
      <c r="P575" s="1" t="s">
        <v>2721</v>
      </c>
    </row>
    <row r="576" spans="1:16">
      <c r="A576" s="1" t="s">
        <v>15</v>
      </c>
      <c r="B576" s="1">
        <v>11</v>
      </c>
      <c r="C576" s="1" t="s">
        <v>3767</v>
      </c>
      <c r="D576" s="1" t="s">
        <v>492</v>
      </c>
      <c r="E576" s="2">
        <v>45971</v>
      </c>
      <c r="F576" s="1" t="s">
        <v>493</v>
      </c>
      <c r="G576" s="1" t="s">
        <v>494</v>
      </c>
      <c r="H576" s="1" t="s">
        <v>3769</v>
      </c>
      <c r="I576" s="1">
        <v>1</v>
      </c>
      <c r="J576" s="3">
        <v>7569</v>
      </c>
      <c r="K576" s="3">
        <v>7223</v>
      </c>
      <c r="L576" s="1">
        <v>0</v>
      </c>
      <c r="M576" s="4">
        <v>0</v>
      </c>
      <c r="N576" s="1">
        <v>346</v>
      </c>
      <c r="O576" s="4">
        <v>4.5999999999999999E-2</v>
      </c>
      <c r="P576" s="1" t="s">
        <v>2721</v>
      </c>
    </row>
    <row r="577" spans="1:16">
      <c r="A577" s="1" t="s">
        <v>15</v>
      </c>
      <c r="B577" s="1">
        <v>11</v>
      </c>
      <c r="C577" s="1" t="s">
        <v>3767</v>
      </c>
      <c r="D577" s="1" t="s">
        <v>492</v>
      </c>
      <c r="E577" s="2">
        <v>45971</v>
      </c>
      <c r="F577" s="1" t="s">
        <v>493</v>
      </c>
      <c r="G577" s="1" t="s">
        <v>494</v>
      </c>
      <c r="H577" s="1" t="s">
        <v>970</v>
      </c>
      <c r="I577" s="1">
        <v>1</v>
      </c>
      <c r="J577" s="3">
        <v>7569</v>
      </c>
      <c r="K577" s="3">
        <v>7223</v>
      </c>
      <c r="L577" s="1">
        <v>0</v>
      </c>
      <c r="M577" s="4">
        <v>0</v>
      </c>
      <c r="N577" s="1">
        <v>346</v>
      </c>
      <c r="O577" s="4">
        <v>4.5999999999999999E-2</v>
      </c>
      <c r="P577" s="1" t="s">
        <v>2721</v>
      </c>
    </row>
    <row r="578" spans="1:16">
      <c r="A578" s="1" t="s">
        <v>15</v>
      </c>
      <c r="B578" s="1">
        <v>11</v>
      </c>
      <c r="C578" s="1" t="s">
        <v>3767</v>
      </c>
      <c r="D578" s="1" t="s">
        <v>492</v>
      </c>
      <c r="E578" s="2">
        <v>45971</v>
      </c>
      <c r="F578" s="1" t="s">
        <v>493</v>
      </c>
      <c r="G578" s="1" t="s">
        <v>494</v>
      </c>
      <c r="H578" s="1" t="s">
        <v>1120</v>
      </c>
      <c r="I578" s="1">
        <v>1</v>
      </c>
      <c r="J578" s="3">
        <v>7569</v>
      </c>
      <c r="K578" s="3">
        <v>7223</v>
      </c>
      <c r="L578" s="1">
        <v>0</v>
      </c>
      <c r="M578" s="4">
        <v>0</v>
      </c>
      <c r="N578" s="1">
        <v>346</v>
      </c>
      <c r="O578" s="4">
        <v>4.5999999999999999E-2</v>
      </c>
      <c r="P578" s="1" t="s">
        <v>2721</v>
      </c>
    </row>
    <row r="579" spans="1:16">
      <c r="A579" s="1" t="s">
        <v>15</v>
      </c>
      <c r="B579" s="1">
        <v>11</v>
      </c>
      <c r="C579" s="1" t="s">
        <v>3770</v>
      </c>
      <c r="D579" s="1" t="s">
        <v>3247</v>
      </c>
      <c r="E579" s="2">
        <v>45971</v>
      </c>
      <c r="F579" s="1" t="s">
        <v>77</v>
      </c>
      <c r="G579" s="1" t="s">
        <v>3248</v>
      </c>
      <c r="H579" s="1" t="s">
        <v>3248</v>
      </c>
      <c r="I579" s="1">
        <v>1</v>
      </c>
      <c r="J579" s="3">
        <v>26541</v>
      </c>
      <c r="K579" s="3">
        <v>25326</v>
      </c>
      <c r="L579" s="1">
        <v>0</v>
      </c>
      <c r="M579" s="4">
        <v>0</v>
      </c>
      <c r="N579" s="3">
        <v>1215</v>
      </c>
      <c r="O579" s="4">
        <v>4.5999999999999999E-2</v>
      </c>
      <c r="P579" s="1" t="s">
        <v>2721</v>
      </c>
    </row>
    <row r="580" spans="1:16">
      <c r="A580" s="1" t="s">
        <v>15</v>
      </c>
      <c r="B580" s="1">
        <v>11</v>
      </c>
      <c r="C580" s="1" t="s">
        <v>3771</v>
      </c>
      <c r="D580" s="1" t="s">
        <v>504</v>
      </c>
      <c r="E580" s="2">
        <v>45971</v>
      </c>
      <c r="F580" s="1" t="s">
        <v>407</v>
      </c>
      <c r="G580" s="1" t="s">
        <v>505</v>
      </c>
      <c r="H580" s="1" t="s">
        <v>506</v>
      </c>
      <c r="I580" s="1">
        <v>1</v>
      </c>
      <c r="J580" s="3">
        <v>40303</v>
      </c>
      <c r="K580" s="3">
        <v>38458</v>
      </c>
      <c r="L580" s="1">
        <v>0</v>
      </c>
      <c r="M580" s="4">
        <v>0</v>
      </c>
      <c r="N580" s="3">
        <v>1845</v>
      </c>
      <c r="O580" s="4">
        <v>4.5999999999999999E-2</v>
      </c>
      <c r="P580" s="1" t="s">
        <v>2721</v>
      </c>
    </row>
    <row r="581" spans="1:16">
      <c r="A581" s="1" t="s">
        <v>15</v>
      </c>
      <c r="B581" s="1">
        <v>11</v>
      </c>
      <c r="C581" s="1" t="s">
        <v>3772</v>
      </c>
      <c r="D581" s="1" t="s">
        <v>228</v>
      </c>
      <c r="E581" s="2">
        <v>45971</v>
      </c>
      <c r="F581" s="1" t="s">
        <v>53</v>
      </c>
      <c r="G581" s="1" t="s">
        <v>229</v>
      </c>
      <c r="H581" s="1" t="s">
        <v>230</v>
      </c>
      <c r="I581" s="1">
        <v>1</v>
      </c>
      <c r="J581" s="3">
        <v>9825</v>
      </c>
      <c r="K581" s="3">
        <v>9375</v>
      </c>
      <c r="L581" s="1">
        <v>0</v>
      </c>
      <c r="M581" s="4">
        <v>0</v>
      </c>
      <c r="N581" s="1">
        <v>450</v>
      </c>
      <c r="O581" s="4">
        <v>4.5999999999999999E-2</v>
      </c>
      <c r="P581" s="1" t="s">
        <v>2721</v>
      </c>
    </row>
    <row r="582" spans="1:16">
      <c r="A582" s="1" t="s">
        <v>15</v>
      </c>
      <c r="B582" s="1">
        <v>11</v>
      </c>
      <c r="C582" s="1" t="s">
        <v>3773</v>
      </c>
      <c r="D582" s="1" t="s">
        <v>3774</v>
      </c>
      <c r="E582" s="2">
        <v>45971</v>
      </c>
      <c r="F582" s="1" t="s">
        <v>3775</v>
      </c>
      <c r="G582" s="1" t="s">
        <v>3776</v>
      </c>
      <c r="H582" s="1" t="s">
        <v>3777</v>
      </c>
      <c r="I582" s="1">
        <v>1</v>
      </c>
      <c r="J582" s="3">
        <v>24221</v>
      </c>
      <c r="K582" s="3">
        <v>23112</v>
      </c>
      <c r="L582" s="1">
        <v>0</v>
      </c>
      <c r="M582" s="4">
        <v>0</v>
      </c>
      <c r="N582" s="3">
        <v>1109</v>
      </c>
      <c r="O582" s="4">
        <v>4.5999999999999999E-2</v>
      </c>
      <c r="P582" s="1" t="s">
        <v>2721</v>
      </c>
    </row>
    <row r="583" spans="1:16">
      <c r="A583" s="1" t="s">
        <v>15</v>
      </c>
      <c r="B583" s="1">
        <v>11</v>
      </c>
      <c r="C583" s="1" t="s">
        <v>3773</v>
      </c>
      <c r="D583" s="1" t="s">
        <v>3774</v>
      </c>
      <c r="E583" s="2">
        <v>45971</v>
      </c>
      <c r="F583" s="1" t="s">
        <v>3775</v>
      </c>
      <c r="G583" s="1" t="s">
        <v>3776</v>
      </c>
      <c r="H583" s="1" t="s">
        <v>3778</v>
      </c>
      <c r="I583" s="1">
        <v>1</v>
      </c>
      <c r="J583" s="3">
        <v>24221</v>
      </c>
      <c r="K583" s="3">
        <v>23112</v>
      </c>
      <c r="L583" s="1">
        <v>0</v>
      </c>
      <c r="M583" s="4">
        <v>0</v>
      </c>
      <c r="N583" s="3">
        <v>1109</v>
      </c>
      <c r="O583" s="4">
        <v>4.5999999999999999E-2</v>
      </c>
      <c r="P583" s="1" t="s">
        <v>2721</v>
      </c>
    </row>
    <row r="584" spans="1:16">
      <c r="A584" s="1" t="s">
        <v>15</v>
      </c>
      <c r="B584" s="1">
        <v>11</v>
      </c>
      <c r="C584" s="1" t="s">
        <v>3779</v>
      </c>
      <c r="D584" s="1" t="s">
        <v>394</v>
      </c>
      <c r="E584" s="2">
        <v>45971</v>
      </c>
      <c r="F584" s="1" t="s">
        <v>395</v>
      </c>
      <c r="G584" s="1" t="s">
        <v>2803</v>
      </c>
      <c r="H584" s="1" t="s">
        <v>2804</v>
      </c>
      <c r="I584" s="1">
        <v>1</v>
      </c>
      <c r="J584" s="3">
        <v>18874</v>
      </c>
      <c r="K584" s="3">
        <v>18010</v>
      </c>
      <c r="L584" s="1">
        <v>0</v>
      </c>
      <c r="M584" s="4">
        <v>0</v>
      </c>
      <c r="N584" s="1">
        <v>864</v>
      </c>
      <c r="O584" s="4">
        <v>4.5999999999999999E-2</v>
      </c>
      <c r="P584" s="1" t="s">
        <v>2721</v>
      </c>
    </row>
    <row r="585" spans="1:16">
      <c r="A585" s="1" t="s">
        <v>15</v>
      </c>
      <c r="B585" s="1">
        <v>11</v>
      </c>
      <c r="C585" s="1" t="s">
        <v>3780</v>
      </c>
      <c r="D585" s="1" t="s">
        <v>3618</v>
      </c>
      <c r="E585" s="2">
        <v>45971</v>
      </c>
      <c r="F585" s="1" t="s">
        <v>96</v>
      </c>
      <c r="G585" s="1" t="s">
        <v>3619</v>
      </c>
      <c r="H585" s="1" t="s">
        <v>3620</v>
      </c>
      <c r="I585" s="1">
        <v>1</v>
      </c>
      <c r="J585" s="3">
        <v>11614</v>
      </c>
      <c r="K585" s="3">
        <v>11082</v>
      </c>
      <c r="L585" s="1">
        <v>0</v>
      </c>
      <c r="M585" s="4">
        <v>0</v>
      </c>
      <c r="N585" s="1">
        <v>532</v>
      </c>
      <c r="O585" s="4">
        <v>4.5999999999999999E-2</v>
      </c>
      <c r="P585" s="1" t="s">
        <v>2721</v>
      </c>
    </row>
    <row r="586" spans="1:16">
      <c r="A586" s="1" t="s">
        <v>15</v>
      </c>
      <c r="B586" s="1">
        <v>11</v>
      </c>
      <c r="C586" s="1" t="s">
        <v>3781</v>
      </c>
      <c r="D586" s="1" t="s">
        <v>1125</v>
      </c>
      <c r="E586" s="2">
        <v>45971</v>
      </c>
      <c r="F586" s="1" t="s">
        <v>96</v>
      </c>
      <c r="G586" s="1" t="s">
        <v>1126</v>
      </c>
      <c r="H586" s="1" t="s">
        <v>1127</v>
      </c>
      <c r="I586" s="1">
        <v>1</v>
      </c>
      <c r="J586" s="3">
        <v>9858</v>
      </c>
      <c r="K586" s="3">
        <v>9406</v>
      </c>
      <c r="L586" s="1">
        <v>0</v>
      </c>
      <c r="M586" s="4">
        <v>0</v>
      </c>
      <c r="N586" s="1">
        <v>452</v>
      </c>
      <c r="O586" s="4">
        <v>4.5999999999999999E-2</v>
      </c>
      <c r="P586" s="1" t="s">
        <v>2721</v>
      </c>
    </row>
    <row r="587" spans="1:16">
      <c r="A587" s="1" t="s">
        <v>15</v>
      </c>
      <c r="B587" s="1">
        <v>11</v>
      </c>
      <c r="C587" s="1" t="s">
        <v>3781</v>
      </c>
      <c r="D587" s="1" t="s">
        <v>1125</v>
      </c>
      <c r="E587" s="2">
        <v>45971</v>
      </c>
      <c r="F587" s="1" t="s">
        <v>96</v>
      </c>
      <c r="G587" s="1" t="s">
        <v>1126</v>
      </c>
      <c r="H587" s="1" t="s">
        <v>3782</v>
      </c>
      <c r="I587" s="1">
        <v>1</v>
      </c>
      <c r="J587" s="3">
        <v>9858</v>
      </c>
      <c r="K587" s="3">
        <v>9406</v>
      </c>
      <c r="L587" s="1">
        <v>0</v>
      </c>
      <c r="M587" s="4">
        <v>0</v>
      </c>
      <c r="N587" s="1">
        <v>452</v>
      </c>
      <c r="O587" s="4">
        <v>4.5999999999999999E-2</v>
      </c>
      <c r="P587" s="1" t="s">
        <v>2721</v>
      </c>
    </row>
    <row r="588" spans="1:16">
      <c r="A588" s="1" t="s">
        <v>15</v>
      </c>
      <c r="B588" s="1">
        <v>11</v>
      </c>
      <c r="C588" s="1" t="s">
        <v>3783</v>
      </c>
      <c r="D588" s="1" t="s">
        <v>104</v>
      </c>
      <c r="E588" s="2">
        <v>45971</v>
      </c>
      <c r="F588" s="1" t="s">
        <v>96</v>
      </c>
      <c r="G588" s="1" t="s">
        <v>105</v>
      </c>
      <c r="H588" s="1" t="s">
        <v>106</v>
      </c>
      <c r="I588" s="1">
        <v>1</v>
      </c>
      <c r="J588" s="3">
        <v>21614</v>
      </c>
      <c r="K588" s="3">
        <v>20625</v>
      </c>
      <c r="L588" s="1">
        <v>0</v>
      </c>
      <c r="M588" s="4">
        <v>0</v>
      </c>
      <c r="N588" s="1">
        <v>989</v>
      </c>
      <c r="O588" s="4">
        <v>4.5999999999999999E-2</v>
      </c>
      <c r="P588" s="1" t="s">
        <v>2721</v>
      </c>
    </row>
    <row r="589" spans="1:16">
      <c r="A589" s="1" t="s">
        <v>15</v>
      </c>
      <c r="B589" s="1">
        <v>11</v>
      </c>
      <c r="C589" s="1" t="s">
        <v>3784</v>
      </c>
      <c r="D589" s="1" t="s">
        <v>3785</v>
      </c>
      <c r="E589" s="2">
        <v>45971</v>
      </c>
      <c r="F589" s="1" t="s">
        <v>554</v>
      </c>
      <c r="G589" s="1" t="s">
        <v>3786</v>
      </c>
      <c r="H589" s="1" t="s">
        <v>3787</v>
      </c>
      <c r="I589" s="1">
        <v>1</v>
      </c>
      <c r="J589" s="3">
        <v>11255</v>
      </c>
      <c r="K589" s="3">
        <v>10740</v>
      </c>
      <c r="L589" s="1">
        <v>0</v>
      </c>
      <c r="M589" s="4">
        <v>0</v>
      </c>
      <c r="N589" s="1">
        <v>515</v>
      </c>
      <c r="O589" s="4">
        <v>4.5999999999999999E-2</v>
      </c>
      <c r="P589" s="1" t="s">
        <v>2721</v>
      </c>
    </row>
    <row r="590" spans="1:16">
      <c r="A590" s="1" t="s">
        <v>15</v>
      </c>
      <c r="B590" s="1">
        <v>11</v>
      </c>
      <c r="C590" s="1" t="s">
        <v>3788</v>
      </c>
      <c r="D590" s="1" t="s">
        <v>3754</v>
      </c>
      <c r="E590" s="2">
        <v>45971</v>
      </c>
      <c r="F590" s="1" t="s">
        <v>63</v>
      </c>
      <c r="G590" s="1" t="s">
        <v>3755</v>
      </c>
      <c r="H590" s="1" t="s">
        <v>3756</v>
      </c>
      <c r="I590" s="1">
        <v>1</v>
      </c>
      <c r="J590" s="3">
        <v>5138</v>
      </c>
      <c r="K590" s="3">
        <v>4903</v>
      </c>
      <c r="L590" s="1">
        <v>0</v>
      </c>
      <c r="M590" s="4">
        <v>0</v>
      </c>
      <c r="N590" s="1">
        <v>235</v>
      </c>
      <c r="O590" s="4">
        <v>4.5999999999999999E-2</v>
      </c>
      <c r="P590" s="1" t="s">
        <v>2721</v>
      </c>
    </row>
    <row r="591" spans="1:16">
      <c r="A591" s="1" t="s">
        <v>15</v>
      </c>
      <c r="B591" s="1">
        <v>11</v>
      </c>
      <c r="C591" s="1" t="s">
        <v>3788</v>
      </c>
      <c r="D591" s="1" t="s">
        <v>3754</v>
      </c>
      <c r="E591" s="2">
        <v>45971</v>
      </c>
      <c r="F591" s="1" t="s">
        <v>63</v>
      </c>
      <c r="G591" s="1" t="s">
        <v>3755</v>
      </c>
      <c r="H591" s="1" t="s">
        <v>3789</v>
      </c>
      <c r="I591" s="1">
        <v>1</v>
      </c>
      <c r="J591" s="3">
        <v>4958</v>
      </c>
      <c r="K591" s="3">
        <v>4731</v>
      </c>
      <c r="L591" s="1">
        <v>0</v>
      </c>
      <c r="M591" s="4">
        <v>0</v>
      </c>
      <c r="N591" s="1">
        <v>227</v>
      </c>
      <c r="O591" s="4">
        <v>4.5999999999999999E-2</v>
      </c>
      <c r="P591" s="1" t="s">
        <v>2721</v>
      </c>
    </row>
    <row r="592" spans="1:16">
      <c r="A592" s="1" t="s">
        <v>15</v>
      </c>
      <c r="B592" s="1">
        <v>11</v>
      </c>
      <c r="C592" s="1" t="s">
        <v>3790</v>
      </c>
      <c r="D592" s="1" t="s">
        <v>3256</v>
      </c>
      <c r="E592" s="2">
        <v>45971</v>
      </c>
      <c r="F592" s="1" t="s">
        <v>77</v>
      </c>
      <c r="G592" s="1" t="s">
        <v>3257</v>
      </c>
      <c r="H592" s="1" t="s">
        <v>3257</v>
      </c>
      <c r="I592" s="1">
        <v>1</v>
      </c>
      <c r="J592" s="3">
        <v>11231</v>
      </c>
      <c r="K592" s="3">
        <v>10717</v>
      </c>
      <c r="L592" s="1">
        <v>0</v>
      </c>
      <c r="M592" s="4">
        <v>0</v>
      </c>
      <c r="N592" s="1">
        <v>514</v>
      </c>
      <c r="O592" s="4">
        <v>4.5999999999999999E-2</v>
      </c>
      <c r="P592" s="1" t="s">
        <v>2721</v>
      </c>
    </row>
    <row r="593" spans="1:16">
      <c r="A593" s="1" t="s">
        <v>15</v>
      </c>
      <c r="B593" s="1">
        <v>11</v>
      </c>
      <c r="C593" s="1" t="s">
        <v>3791</v>
      </c>
      <c r="D593" s="1" t="s">
        <v>504</v>
      </c>
      <c r="E593" s="2">
        <v>45971</v>
      </c>
      <c r="F593" s="1" t="s">
        <v>407</v>
      </c>
      <c r="G593" s="1" t="s">
        <v>505</v>
      </c>
      <c r="H593" s="1" t="s">
        <v>506</v>
      </c>
      <c r="I593" s="1">
        <v>1</v>
      </c>
      <c r="J593" s="3">
        <v>40303</v>
      </c>
      <c r="K593" s="3">
        <v>38458</v>
      </c>
      <c r="L593" s="1">
        <v>0</v>
      </c>
      <c r="M593" s="4">
        <v>0</v>
      </c>
      <c r="N593" s="3">
        <v>1845</v>
      </c>
      <c r="O593" s="4">
        <v>4.5999999999999999E-2</v>
      </c>
      <c r="P593" s="1" t="s">
        <v>2721</v>
      </c>
    </row>
    <row r="594" spans="1:16">
      <c r="A594" s="1" t="s">
        <v>15</v>
      </c>
      <c r="B594" s="1">
        <v>11</v>
      </c>
      <c r="C594" s="1" t="s">
        <v>3791</v>
      </c>
      <c r="D594" s="1" t="s">
        <v>1452</v>
      </c>
      <c r="E594" s="2">
        <v>45971</v>
      </c>
      <c r="F594" s="1" t="s">
        <v>407</v>
      </c>
      <c r="G594" s="1" t="s">
        <v>1453</v>
      </c>
      <c r="H594" s="1" t="s">
        <v>1474</v>
      </c>
      <c r="I594" s="1">
        <v>1</v>
      </c>
      <c r="J594" s="3">
        <v>11305</v>
      </c>
      <c r="K594" s="3">
        <v>10787</v>
      </c>
      <c r="L594" s="1">
        <v>0</v>
      </c>
      <c r="M594" s="4">
        <v>0</v>
      </c>
      <c r="N594" s="1">
        <v>518</v>
      </c>
      <c r="O594" s="4">
        <v>4.5999999999999999E-2</v>
      </c>
      <c r="P594" s="1" t="s">
        <v>2721</v>
      </c>
    </row>
    <row r="595" spans="1:16">
      <c r="A595" s="1" t="s">
        <v>15</v>
      </c>
      <c r="B595" s="1">
        <v>11</v>
      </c>
      <c r="C595" s="1" t="s">
        <v>3792</v>
      </c>
      <c r="D595" s="1" t="s">
        <v>265</v>
      </c>
      <c r="E595" s="2">
        <v>45971</v>
      </c>
      <c r="F595" s="1" t="s">
        <v>266</v>
      </c>
      <c r="G595" s="1" t="s">
        <v>267</v>
      </c>
      <c r="H595" s="1" t="s">
        <v>3793</v>
      </c>
      <c r="I595" s="1">
        <v>1</v>
      </c>
      <c r="J595" s="3">
        <v>14450</v>
      </c>
      <c r="K595" s="3">
        <v>13789</v>
      </c>
      <c r="L595" s="1">
        <v>0</v>
      </c>
      <c r="M595" s="4">
        <v>0</v>
      </c>
      <c r="N595" s="1">
        <v>661</v>
      </c>
      <c r="O595" s="4">
        <v>4.5999999999999999E-2</v>
      </c>
      <c r="P595" s="1" t="s">
        <v>2721</v>
      </c>
    </row>
    <row r="596" spans="1:16">
      <c r="A596" s="1" t="s">
        <v>15</v>
      </c>
      <c r="B596" s="1">
        <v>11</v>
      </c>
      <c r="C596" s="1" t="s">
        <v>3794</v>
      </c>
      <c r="D596" s="1" t="s">
        <v>132</v>
      </c>
      <c r="E596" s="2">
        <v>45971</v>
      </c>
      <c r="F596" s="1" t="s">
        <v>53</v>
      </c>
      <c r="G596" s="1" t="s">
        <v>133</v>
      </c>
      <c r="H596" s="1" t="s">
        <v>88</v>
      </c>
      <c r="I596" s="1">
        <v>2</v>
      </c>
      <c r="J596" s="3">
        <v>34073</v>
      </c>
      <c r="K596" s="3">
        <v>32513</v>
      </c>
      <c r="L596" s="1">
        <v>0</v>
      </c>
      <c r="M596" s="4">
        <v>0</v>
      </c>
      <c r="N596" s="3">
        <v>1560</v>
      </c>
      <c r="O596" s="4">
        <v>4.5999999999999999E-2</v>
      </c>
      <c r="P596" s="1" t="s">
        <v>2721</v>
      </c>
    </row>
    <row r="597" spans="1:16">
      <c r="A597" s="1" t="s">
        <v>15</v>
      </c>
      <c r="B597" s="1">
        <v>11</v>
      </c>
      <c r="C597" s="1" t="s">
        <v>3795</v>
      </c>
      <c r="D597" s="1" t="s">
        <v>2963</v>
      </c>
      <c r="E597" s="2">
        <v>45971</v>
      </c>
      <c r="F597" s="1" t="s">
        <v>660</v>
      </c>
      <c r="G597" s="1" t="s">
        <v>2964</v>
      </c>
      <c r="H597" s="1" t="s">
        <v>2965</v>
      </c>
      <c r="I597" s="1">
        <v>1</v>
      </c>
      <c r="J597" s="3">
        <v>10027</v>
      </c>
      <c r="K597" s="3">
        <v>9568</v>
      </c>
      <c r="L597" s="1">
        <v>0</v>
      </c>
      <c r="M597" s="4">
        <v>0</v>
      </c>
      <c r="N597" s="1">
        <v>459</v>
      </c>
      <c r="O597" s="4">
        <v>4.5999999999999999E-2</v>
      </c>
      <c r="P597" s="1" t="s">
        <v>2721</v>
      </c>
    </row>
    <row r="598" spans="1:16">
      <c r="A598" s="1" t="s">
        <v>15</v>
      </c>
      <c r="B598" s="1">
        <v>11</v>
      </c>
      <c r="C598" s="1" t="s">
        <v>3795</v>
      </c>
      <c r="D598" s="1" t="s">
        <v>2963</v>
      </c>
      <c r="E598" s="2">
        <v>45971</v>
      </c>
      <c r="F598" s="1" t="s">
        <v>660</v>
      </c>
      <c r="G598" s="1" t="s">
        <v>2964</v>
      </c>
      <c r="H598" s="1" t="s">
        <v>3796</v>
      </c>
      <c r="I598" s="1">
        <v>1</v>
      </c>
      <c r="J598" s="3">
        <v>19218</v>
      </c>
      <c r="K598" s="3">
        <v>18338</v>
      </c>
      <c r="L598" s="1">
        <v>0</v>
      </c>
      <c r="M598" s="4">
        <v>0</v>
      </c>
      <c r="N598" s="1">
        <v>880</v>
      </c>
      <c r="O598" s="4">
        <v>4.5999999999999999E-2</v>
      </c>
      <c r="P598" s="1" t="s">
        <v>2721</v>
      </c>
    </row>
    <row r="599" spans="1:16">
      <c r="A599" s="1" t="s">
        <v>15</v>
      </c>
      <c r="B599" s="1">
        <v>11</v>
      </c>
      <c r="C599" s="1" t="s">
        <v>3795</v>
      </c>
      <c r="D599" s="1" t="s">
        <v>2963</v>
      </c>
      <c r="E599" s="2">
        <v>45971</v>
      </c>
      <c r="F599" s="1" t="s">
        <v>660</v>
      </c>
      <c r="G599" s="1" t="s">
        <v>2964</v>
      </c>
      <c r="H599" s="1" t="s">
        <v>3797</v>
      </c>
      <c r="I599" s="1">
        <v>1</v>
      </c>
      <c r="J599" s="3">
        <v>14204</v>
      </c>
      <c r="K599" s="3">
        <v>13554</v>
      </c>
      <c r="L599" s="1">
        <v>0</v>
      </c>
      <c r="M599" s="4">
        <v>0</v>
      </c>
      <c r="N599" s="1">
        <v>650</v>
      </c>
      <c r="O599" s="4">
        <v>4.5999999999999999E-2</v>
      </c>
      <c r="P599" s="1" t="s">
        <v>2721</v>
      </c>
    </row>
    <row r="600" spans="1:16">
      <c r="A600" s="1" t="s">
        <v>15</v>
      </c>
      <c r="B600" s="1">
        <v>11</v>
      </c>
      <c r="C600" s="1" t="s">
        <v>3798</v>
      </c>
      <c r="D600" s="1" t="s">
        <v>3799</v>
      </c>
      <c r="E600" s="2">
        <v>45971</v>
      </c>
      <c r="F600" s="1" t="s">
        <v>1403</v>
      </c>
      <c r="G600" s="1" t="s">
        <v>3800</v>
      </c>
      <c r="H600" s="1" t="s">
        <v>3801</v>
      </c>
      <c r="I600" s="1">
        <v>2</v>
      </c>
      <c r="J600" s="3">
        <v>27327</v>
      </c>
      <c r="K600" s="3">
        <v>26076</v>
      </c>
      <c r="L600" s="1">
        <v>0</v>
      </c>
      <c r="M600" s="4">
        <v>0</v>
      </c>
      <c r="N600" s="3">
        <v>1251</v>
      </c>
      <c r="O600" s="4">
        <v>4.5999999999999999E-2</v>
      </c>
      <c r="P600" s="1" t="s">
        <v>2721</v>
      </c>
    </row>
    <row r="601" spans="1:16">
      <c r="A601" s="1" t="s">
        <v>15</v>
      </c>
      <c r="B601" s="1">
        <v>11</v>
      </c>
      <c r="C601" s="1" t="s">
        <v>3802</v>
      </c>
      <c r="D601" s="1" t="s">
        <v>72</v>
      </c>
      <c r="E601" s="2">
        <v>45971</v>
      </c>
      <c r="F601" s="1" t="s">
        <v>63</v>
      </c>
      <c r="G601" s="1" t="s">
        <v>73</v>
      </c>
      <c r="H601" s="1" t="s">
        <v>74</v>
      </c>
      <c r="I601" s="1">
        <v>1</v>
      </c>
      <c r="J601" s="3">
        <v>10456</v>
      </c>
      <c r="K601" s="3">
        <v>9978</v>
      </c>
      <c r="L601" s="1">
        <v>0</v>
      </c>
      <c r="M601" s="4">
        <v>0</v>
      </c>
      <c r="N601" s="1">
        <v>478</v>
      </c>
      <c r="O601" s="4">
        <v>4.5999999999999999E-2</v>
      </c>
      <c r="P601" s="1" t="s">
        <v>2721</v>
      </c>
    </row>
    <row r="602" spans="1:16">
      <c r="A602" s="1" t="s">
        <v>15</v>
      </c>
      <c r="B602" s="1">
        <v>11</v>
      </c>
      <c r="C602" s="1" t="s">
        <v>3803</v>
      </c>
      <c r="D602" s="1" t="s">
        <v>394</v>
      </c>
      <c r="E602" s="2">
        <v>45971</v>
      </c>
      <c r="F602" s="1" t="s">
        <v>395</v>
      </c>
      <c r="G602" s="1" t="s">
        <v>2803</v>
      </c>
      <c r="H602" s="1" t="s">
        <v>2804</v>
      </c>
      <c r="I602" s="1">
        <v>1</v>
      </c>
      <c r="J602" s="3">
        <v>18874</v>
      </c>
      <c r="K602" s="3">
        <v>18010</v>
      </c>
      <c r="L602" s="1">
        <v>0</v>
      </c>
      <c r="M602" s="4">
        <v>0</v>
      </c>
      <c r="N602" s="1">
        <v>864</v>
      </c>
      <c r="O602" s="4">
        <v>4.5999999999999999E-2</v>
      </c>
      <c r="P602" s="1" t="s">
        <v>2721</v>
      </c>
    </row>
    <row r="603" spans="1:16">
      <c r="A603" s="1" t="s">
        <v>15</v>
      </c>
      <c r="B603" s="1">
        <v>11</v>
      </c>
      <c r="C603" s="1" t="s">
        <v>3804</v>
      </c>
      <c r="D603" s="1" t="s">
        <v>86</v>
      </c>
      <c r="E603" s="2">
        <v>45971</v>
      </c>
      <c r="F603" s="1" t="s">
        <v>53</v>
      </c>
      <c r="G603" s="1" t="s">
        <v>87</v>
      </c>
      <c r="H603" s="1" t="s">
        <v>88</v>
      </c>
      <c r="I603" s="1">
        <v>1</v>
      </c>
      <c r="J603" s="3">
        <v>14956</v>
      </c>
      <c r="K603" s="3">
        <v>14272</v>
      </c>
      <c r="L603" s="1">
        <v>0</v>
      </c>
      <c r="M603" s="4">
        <v>0</v>
      </c>
      <c r="N603" s="1">
        <v>684</v>
      </c>
      <c r="O603" s="4">
        <v>4.5999999999999999E-2</v>
      </c>
      <c r="P603" s="1" t="s">
        <v>2721</v>
      </c>
    </row>
    <row r="604" spans="1:16">
      <c r="A604" s="1" t="s">
        <v>15</v>
      </c>
      <c r="B604" s="1">
        <v>11</v>
      </c>
      <c r="C604" s="1" t="s">
        <v>3805</v>
      </c>
      <c r="D604" s="1" t="s">
        <v>1137</v>
      </c>
      <c r="E604" s="2">
        <v>45971</v>
      </c>
      <c r="F604" s="1" t="s">
        <v>58</v>
      </c>
      <c r="G604" s="1" t="s">
        <v>1138</v>
      </c>
      <c r="H604" s="1" t="s">
        <v>3806</v>
      </c>
      <c r="I604" s="1">
        <v>1</v>
      </c>
      <c r="J604" s="3">
        <v>14450</v>
      </c>
      <c r="K604" s="3">
        <v>13789</v>
      </c>
      <c r="L604" s="1">
        <v>0</v>
      </c>
      <c r="M604" s="4">
        <v>0</v>
      </c>
      <c r="N604" s="1">
        <v>661</v>
      </c>
      <c r="O604" s="4">
        <v>4.5999999999999999E-2</v>
      </c>
      <c r="P604" s="1" t="s">
        <v>2721</v>
      </c>
    </row>
    <row r="605" spans="1:16">
      <c r="A605" s="1" t="s">
        <v>15</v>
      </c>
      <c r="B605" s="1">
        <v>11</v>
      </c>
      <c r="C605" s="1" t="s">
        <v>3807</v>
      </c>
      <c r="D605" s="1" t="s">
        <v>1261</v>
      </c>
      <c r="E605" s="2">
        <v>45971</v>
      </c>
      <c r="F605" s="1" t="s">
        <v>33</v>
      </c>
      <c r="G605" s="1" t="s">
        <v>1262</v>
      </c>
      <c r="H605" s="1" t="s">
        <v>3808</v>
      </c>
      <c r="I605" s="1">
        <v>1</v>
      </c>
      <c r="J605" s="3">
        <v>80827</v>
      </c>
      <c r="K605" s="3">
        <v>77127</v>
      </c>
      <c r="L605" s="1">
        <v>0</v>
      </c>
      <c r="M605" s="4">
        <v>0</v>
      </c>
      <c r="N605" s="3">
        <v>3700</v>
      </c>
      <c r="O605" s="4">
        <v>4.5999999999999999E-2</v>
      </c>
      <c r="P605" s="1" t="s">
        <v>2721</v>
      </c>
    </row>
    <row r="606" spans="1:16">
      <c r="A606" s="1" t="s">
        <v>15</v>
      </c>
      <c r="B606" s="1">
        <v>11</v>
      </c>
      <c r="C606" s="1" t="s">
        <v>3807</v>
      </c>
      <c r="D606" s="1" t="s">
        <v>1261</v>
      </c>
      <c r="E606" s="2">
        <v>45971</v>
      </c>
      <c r="F606" s="1" t="s">
        <v>33</v>
      </c>
      <c r="G606" s="1" t="s">
        <v>1262</v>
      </c>
      <c r="H606" s="1" t="s">
        <v>3809</v>
      </c>
      <c r="I606" s="1">
        <v>1</v>
      </c>
      <c r="J606" s="3">
        <v>93314</v>
      </c>
      <c r="K606" s="3">
        <v>89042</v>
      </c>
      <c r="L606" s="1">
        <v>0</v>
      </c>
      <c r="M606" s="4">
        <v>0</v>
      </c>
      <c r="N606" s="3">
        <v>4272</v>
      </c>
      <c r="O606" s="4">
        <v>4.5999999999999999E-2</v>
      </c>
      <c r="P606" s="1" t="s">
        <v>2721</v>
      </c>
    </row>
    <row r="607" spans="1:16">
      <c r="A607" s="1" t="s">
        <v>15</v>
      </c>
      <c r="B607" s="1">
        <v>11</v>
      </c>
      <c r="C607" s="1" t="s">
        <v>3810</v>
      </c>
      <c r="D607" s="1" t="s">
        <v>2963</v>
      </c>
      <c r="E607" s="2">
        <v>45971</v>
      </c>
      <c r="F607" s="1" t="s">
        <v>660</v>
      </c>
      <c r="G607" s="1" t="s">
        <v>2964</v>
      </c>
      <c r="H607" s="1" t="s">
        <v>3811</v>
      </c>
      <c r="I607" s="1">
        <v>1</v>
      </c>
      <c r="J607" s="3">
        <v>20053</v>
      </c>
      <c r="K607" s="3">
        <v>19135</v>
      </c>
      <c r="L607" s="1">
        <v>0</v>
      </c>
      <c r="M607" s="4">
        <v>0</v>
      </c>
      <c r="N607" s="1">
        <v>918</v>
      </c>
      <c r="O607" s="4">
        <v>4.5999999999999999E-2</v>
      </c>
      <c r="P607" s="1" t="s">
        <v>2721</v>
      </c>
    </row>
    <row r="608" spans="1:16">
      <c r="A608" s="1" t="s">
        <v>15</v>
      </c>
      <c r="B608" s="1">
        <v>11</v>
      </c>
      <c r="C608" s="1" t="s">
        <v>3812</v>
      </c>
      <c r="D608" s="1" t="s">
        <v>3813</v>
      </c>
      <c r="E608" s="2">
        <v>45971</v>
      </c>
      <c r="F608" s="1" t="s">
        <v>554</v>
      </c>
      <c r="G608" s="1" t="s">
        <v>3814</v>
      </c>
      <c r="H608" s="1" t="s">
        <v>3815</v>
      </c>
      <c r="I608" s="1">
        <v>1</v>
      </c>
      <c r="J608" s="3">
        <v>31554</v>
      </c>
      <c r="K608" s="3">
        <v>30110</v>
      </c>
      <c r="L608" s="1">
        <v>0</v>
      </c>
      <c r="M608" s="4">
        <v>0</v>
      </c>
      <c r="N608" s="3">
        <v>1444</v>
      </c>
      <c r="O608" s="4">
        <v>4.5999999999999999E-2</v>
      </c>
      <c r="P608" s="1" t="s">
        <v>2721</v>
      </c>
    </row>
    <row r="609" spans="1:16">
      <c r="A609" s="1" t="s">
        <v>15</v>
      </c>
      <c r="B609" s="1">
        <v>11</v>
      </c>
      <c r="C609" s="1" t="s">
        <v>3816</v>
      </c>
      <c r="D609" s="1" t="s">
        <v>3817</v>
      </c>
      <c r="E609" s="2">
        <v>45971</v>
      </c>
      <c r="F609" s="1" t="s">
        <v>1075</v>
      </c>
      <c r="G609" s="1" t="s">
        <v>3818</v>
      </c>
      <c r="H609" s="1" t="s">
        <v>3819</v>
      </c>
      <c r="I609" s="1">
        <v>2</v>
      </c>
      <c r="J609" s="3">
        <v>54851</v>
      </c>
      <c r="K609" s="3">
        <v>52340</v>
      </c>
      <c r="L609" s="1">
        <v>0</v>
      </c>
      <c r="M609" s="4">
        <v>0</v>
      </c>
      <c r="N609" s="3">
        <v>2511</v>
      </c>
      <c r="O609" s="4">
        <v>4.5999999999999999E-2</v>
      </c>
      <c r="P609" s="1" t="s">
        <v>2721</v>
      </c>
    </row>
    <row r="610" spans="1:16">
      <c r="A610" s="1" t="s">
        <v>15</v>
      </c>
      <c r="B610" s="1">
        <v>11</v>
      </c>
      <c r="C610" s="1" t="s">
        <v>3820</v>
      </c>
      <c r="D610" s="1" t="s">
        <v>542</v>
      </c>
      <c r="E610" s="2">
        <v>45971</v>
      </c>
      <c r="F610" s="1" t="s">
        <v>543</v>
      </c>
      <c r="G610" s="1" t="s">
        <v>544</v>
      </c>
      <c r="H610" s="1" t="s">
        <v>545</v>
      </c>
      <c r="I610" s="1">
        <v>1</v>
      </c>
      <c r="J610" s="3">
        <v>36371</v>
      </c>
      <c r="K610" s="3">
        <v>34706</v>
      </c>
      <c r="L610" s="1">
        <v>0</v>
      </c>
      <c r="M610" s="4">
        <v>0</v>
      </c>
      <c r="N610" s="3">
        <v>1665</v>
      </c>
      <c r="O610" s="4">
        <v>4.5999999999999999E-2</v>
      </c>
      <c r="P610" s="1" t="s">
        <v>2721</v>
      </c>
    </row>
    <row r="611" spans="1:16">
      <c r="A611" s="1" t="s">
        <v>15</v>
      </c>
      <c r="B611" s="1">
        <v>11</v>
      </c>
      <c r="C611" s="1" t="s">
        <v>3821</v>
      </c>
      <c r="D611" s="1" t="s">
        <v>228</v>
      </c>
      <c r="E611" s="2">
        <v>45971</v>
      </c>
      <c r="F611" s="1" t="s">
        <v>53</v>
      </c>
      <c r="G611" s="1" t="s">
        <v>229</v>
      </c>
      <c r="H611" s="1" t="s">
        <v>230</v>
      </c>
      <c r="I611" s="1">
        <v>1</v>
      </c>
      <c r="J611" s="3">
        <v>9825</v>
      </c>
      <c r="K611" s="3">
        <v>9375</v>
      </c>
      <c r="L611" s="1">
        <v>0</v>
      </c>
      <c r="M611" s="4">
        <v>0</v>
      </c>
      <c r="N611" s="1">
        <v>450</v>
      </c>
      <c r="O611" s="4">
        <v>4.5999999999999999E-2</v>
      </c>
      <c r="P611" s="1" t="s">
        <v>2721</v>
      </c>
    </row>
    <row r="612" spans="1:16">
      <c r="A612" s="1" t="s">
        <v>15</v>
      </c>
      <c r="B612" s="1">
        <v>11</v>
      </c>
      <c r="C612" s="1" t="s">
        <v>3822</v>
      </c>
      <c r="D612" s="1" t="s">
        <v>132</v>
      </c>
      <c r="E612" s="2">
        <v>45971</v>
      </c>
      <c r="F612" s="1" t="s">
        <v>53</v>
      </c>
      <c r="G612" s="1" t="s">
        <v>133</v>
      </c>
      <c r="H612" s="1" t="s">
        <v>88</v>
      </c>
      <c r="I612" s="1">
        <v>1</v>
      </c>
      <c r="J612" s="3">
        <v>17036</v>
      </c>
      <c r="K612" s="3">
        <v>16256</v>
      </c>
      <c r="L612" s="1">
        <v>0</v>
      </c>
      <c r="M612" s="4">
        <v>0</v>
      </c>
      <c r="N612" s="1">
        <v>780</v>
      </c>
      <c r="O612" s="4">
        <v>4.5999999999999999E-2</v>
      </c>
      <c r="P612" s="1" t="s">
        <v>2721</v>
      </c>
    </row>
    <row r="613" spans="1:16">
      <c r="A613" s="1" t="s">
        <v>15</v>
      </c>
      <c r="B613" s="1">
        <v>11</v>
      </c>
      <c r="C613" s="1" t="s">
        <v>3823</v>
      </c>
      <c r="D613" s="1" t="s">
        <v>797</v>
      </c>
      <c r="E613" s="2">
        <v>45971</v>
      </c>
      <c r="F613" s="1" t="s">
        <v>798</v>
      </c>
      <c r="G613" s="1" t="s">
        <v>799</v>
      </c>
      <c r="H613" s="1" t="s">
        <v>832</v>
      </c>
      <c r="I613" s="1">
        <v>1</v>
      </c>
      <c r="J613" s="3">
        <v>13271</v>
      </c>
      <c r="K613" s="3">
        <v>12663</v>
      </c>
      <c r="L613" s="1">
        <v>0</v>
      </c>
      <c r="M613" s="4">
        <v>0</v>
      </c>
      <c r="N613" s="1">
        <v>608</v>
      </c>
      <c r="O613" s="4">
        <v>4.5999999999999999E-2</v>
      </c>
      <c r="P613" s="1" t="s">
        <v>2721</v>
      </c>
    </row>
    <row r="614" spans="1:16">
      <c r="A614" s="1" t="s">
        <v>15</v>
      </c>
      <c r="B614" s="1">
        <v>11</v>
      </c>
      <c r="C614" s="1" t="s">
        <v>3823</v>
      </c>
      <c r="D614" s="1" t="s">
        <v>797</v>
      </c>
      <c r="E614" s="2">
        <v>45971</v>
      </c>
      <c r="F614" s="1" t="s">
        <v>798</v>
      </c>
      <c r="G614" s="1" t="s">
        <v>799</v>
      </c>
      <c r="H614" s="1" t="s">
        <v>1098</v>
      </c>
      <c r="I614" s="1">
        <v>1</v>
      </c>
      <c r="J614" s="3">
        <v>13271</v>
      </c>
      <c r="K614" s="3">
        <v>12663</v>
      </c>
      <c r="L614" s="1">
        <v>0</v>
      </c>
      <c r="M614" s="4">
        <v>0</v>
      </c>
      <c r="N614" s="1">
        <v>608</v>
      </c>
      <c r="O614" s="4">
        <v>4.5999999999999999E-2</v>
      </c>
      <c r="P614" s="1" t="s">
        <v>2721</v>
      </c>
    </row>
    <row r="615" spans="1:16">
      <c r="A615" s="1" t="s">
        <v>15</v>
      </c>
      <c r="B615" s="1">
        <v>11</v>
      </c>
      <c r="C615" s="1" t="s">
        <v>3824</v>
      </c>
      <c r="D615" s="1" t="s">
        <v>132</v>
      </c>
      <c r="E615" s="2">
        <v>45971</v>
      </c>
      <c r="F615" s="1" t="s">
        <v>53</v>
      </c>
      <c r="G615" s="1" t="s">
        <v>133</v>
      </c>
      <c r="H615" s="1" t="s">
        <v>88</v>
      </c>
      <c r="I615" s="1">
        <v>1</v>
      </c>
      <c r="J615" s="3">
        <v>17036</v>
      </c>
      <c r="K615" s="3">
        <v>16256</v>
      </c>
      <c r="L615" s="1">
        <v>0</v>
      </c>
      <c r="M615" s="4">
        <v>0</v>
      </c>
      <c r="N615" s="1">
        <v>780</v>
      </c>
      <c r="O615" s="4">
        <v>4.5999999999999999E-2</v>
      </c>
      <c r="P615" s="1" t="s">
        <v>2721</v>
      </c>
    </row>
    <row r="616" spans="1:16">
      <c r="A616" s="1" t="s">
        <v>15</v>
      </c>
      <c r="B616" s="1">
        <v>11</v>
      </c>
      <c r="C616" s="1" t="s">
        <v>3825</v>
      </c>
      <c r="D616" s="1" t="s">
        <v>777</v>
      </c>
      <c r="E616" s="2">
        <v>45971</v>
      </c>
      <c r="F616" s="1" t="s">
        <v>256</v>
      </c>
      <c r="G616" s="1" t="s">
        <v>778</v>
      </c>
      <c r="H616" s="1" t="s">
        <v>779</v>
      </c>
      <c r="I616" s="1">
        <v>1</v>
      </c>
      <c r="J616" s="3">
        <v>11010</v>
      </c>
      <c r="K616" s="3">
        <v>10506</v>
      </c>
      <c r="L616" s="1">
        <v>0</v>
      </c>
      <c r="M616" s="4">
        <v>0</v>
      </c>
      <c r="N616" s="1">
        <v>504</v>
      </c>
      <c r="O616" s="4">
        <v>4.5999999999999999E-2</v>
      </c>
      <c r="P616" s="1" t="s">
        <v>2721</v>
      </c>
    </row>
    <row r="617" spans="1:16">
      <c r="A617" s="1" t="s">
        <v>15</v>
      </c>
      <c r="B617" s="1">
        <v>11</v>
      </c>
      <c r="C617" s="1" t="s">
        <v>3826</v>
      </c>
      <c r="D617" s="1" t="s">
        <v>32</v>
      </c>
      <c r="E617" s="2">
        <v>45971</v>
      </c>
      <c r="F617" s="1" t="s">
        <v>33</v>
      </c>
      <c r="G617" s="1" t="s">
        <v>34</v>
      </c>
      <c r="H617" s="1" t="s">
        <v>3827</v>
      </c>
      <c r="I617" s="1">
        <v>1</v>
      </c>
      <c r="J617" s="3">
        <v>77552</v>
      </c>
      <c r="K617" s="3">
        <v>74002</v>
      </c>
      <c r="L617" s="1">
        <v>0</v>
      </c>
      <c r="M617" s="4">
        <v>0</v>
      </c>
      <c r="N617" s="3">
        <v>3550</v>
      </c>
      <c r="O617" s="4">
        <v>4.5999999999999999E-2</v>
      </c>
      <c r="P617" s="1" t="s">
        <v>2721</v>
      </c>
    </row>
    <row r="618" spans="1:16">
      <c r="A618" s="1" t="s">
        <v>15</v>
      </c>
      <c r="B618" s="1">
        <v>11</v>
      </c>
      <c r="C618" s="1" t="s">
        <v>3828</v>
      </c>
      <c r="D618" s="1" t="s">
        <v>1137</v>
      </c>
      <c r="E618" s="2">
        <v>45971</v>
      </c>
      <c r="F618" s="1" t="s">
        <v>58</v>
      </c>
      <c r="G618" s="1" t="s">
        <v>1138</v>
      </c>
      <c r="H618" s="1" t="s">
        <v>1139</v>
      </c>
      <c r="I618" s="1">
        <v>1</v>
      </c>
      <c r="J618" s="3">
        <v>14450</v>
      </c>
      <c r="K618" s="3">
        <v>13789</v>
      </c>
      <c r="L618" s="1">
        <v>0</v>
      </c>
      <c r="M618" s="4">
        <v>0</v>
      </c>
      <c r="N618" s="1">
        <v>661</v>
      </c>
      <c r="O618" s="4">
        <v>4.5999999999999999E-2</v>
      </c>
      <c r="P618" s="1" t="s">
        <v>2721</v>
      </c>
    </row>
    <row r="619" spans="1:16">
      <c r="A619" s="1" t="s">
        <v>15</v>
      </c>
      <c r="B619" s="1">
        <v>11</v>
      </c>
      <c r="C619" s="1" t="s">
        <v>3829</v>
      </c>
      <c r="D619" s="1" t="s">
        <v>3830</v>
      </c>
      <c r="E619" s="2">
        <v>45971</v>
      </c>
      <c r="F619" s="1" t="s">
        <v>266</v>
      </c>
      <c r="G619" s="1" t="s">
        <v>3831</v>
      </c>
      <c r="H619" s="1" t="s">
        <v>3832</v>
      </c>
      <c r="I619" s="1">
        <v>1</v>
      </c>
      <c r="J619" s="3">
        <v>29490</v>
      </c>
      <c r="K619" s="3">
        <v>28140</v>
      </c>
      <c r="L619" s="1">
        <v>0</v>
      </c>
      <c r="M619" s="4">
        <v>0</v>
      </c>
      <c r="N619" s="3">
        <v>1350</v>
      </c>
      <c r="O619" s="4">
        <v>4.5999999999999999E-2</v>
      </c>
      <c r="P619" s="1" t="s">
        <v>2721</v>
      </c>
    </row>
    <row r="620" spans="1:16">
      <c r="A620" s="1" t="s">
        <v>15</v>
      </c>
      <c r="B620" s="1">
        <v>11</v>
      </c>
      <c r="C620" s="1" t="s">
        <v>3833</v>
      </c>
      <c r="D620" s="1" t="s">
        <v>1531</v>
      </c>
      <c r="E620" s="2">
        <v>45971</v>
      </c>
      <c r="F620" s="1" t="s">
        <v>53</v>
      </c>
      <c r="G620" s="1" t="s">
        <v>1532</v>
      </c>
      <c r="H620" s="1" t="s">
        <v>1533</v>
      </c>
      <c r="I620" s="1">
        <v>1</v>
      </c>
      <c r="J620" s="3">
        <v>8022</v>
      </c>
      <c r="K620" s="3">
        <v>7655</v>
      </c>
      <c r="L620" s="1">
        <v>0</v>
      </c>
      <c r="M620" s="4">
        <v>0</v>
      </c>
      <c r="N620" s="1">
        <v>367</v>
      </c>
      <c r="O620" s="4">
        <v>4.5999999999999999E-2</v>
      </c>
      <c r="P620" s="1" t="s">
        <v>2721</v>
      </c>
    </row>
    <row r="621" spans="1:16">
      <c r="A621" s="1" t="s">
        <v>15</v>
      </c>
      <c r="B621" s="1">
        <v>11</v>
      </c>
      <c r="C621" s="1" t="s">
        <v>3834</v>
      </c>
      <c r="D621" s="1" t="s">
        <v>3256</v>
      </c>
      <c r="E621" s="2">
        <v>45971</v>
      </c>
      <c r="F621" s="1" t="s">
        <v>77</v>
      </c>
      <c r="G621" s="1" t="s">
        <v>3257</v>
      </c>
      <c r="H621" s="1" t="s">
        <v>3257</v>
      </c>
      <c r="I621" s="1">
        <v>1</v>
      </c>
      <c r="J621" s="3">
        <v>11231</v>
      </c>
      <c r="K621" s="3">
        <v>10717</v>
      </c>
      <c r="L621" s="1">
        <v>0</v>
      </c>
      <c r="M621" s="4">
        <v>0</v>
      </c>
      <c r="N621" s="1">
        <v>514</v>
      </c>
      <c r="O621" s="4">
        <v>4.5999999999999999E-2</v>
      </c>
      <c r="P621" s="1" t="s">
        <v>2721</v>
      </c>
    </row>
    <row r="622" spans="1:16">
      <c r="A622" s="1" t="s">
        <v>15</v>
      </c>
      <c r="B622" s="1">
        <v>11</v>
      </c>
      <c r="C622" s="1" t="s">
        <v>3834</v>
      </c>
      <c r="D622" s="1" t="s">
        <v>3254</v>
      </c>
      <c r="E622" s="2">
        <v>45971</v>
      </c>
      <c r="F622" s="1" t="s">
        <v>77</v>
      </c>
      <c r="G622" s="1" t="s">
        <v>3255</v>
      </c>
      <c r="H622" s="1" t="s">
        <v>3255</v>
      </c>
      <c r="I622" s="1">
        <v>1</v>
      </c>
      <c r="J622" s="3">
        <v>11231</v>
      </c>
      <c r="K622" s="3">
        <v>10717</v>
      </c>
      <c r="L622" s="1">
        <v>0</v>
      </c>
      <c r="M622" s="4">
        <v>0</v>
      </c>
      <c r="N622" s="1">
        <v>514</v>
      </c>
      <c r="O622" s="4">
        <v>4.5999999999999999E-2</v>
      </c>
      <c r="P622" s="1" t="s">
        <v>2721</v>
      </c>
    </row>
    <row r="623" spans="1:16">
      <c r="A623" s="1" t="s">
        <v>15</v>
      </c>
      <c r="B623" s="1">
        <v>11</v>
      </c>
      <c r="C623" s="1" t="s">
        <v>3835</v>
      </c>
      <c r="D623" s="1" t="s">
        <v>3836</v>
      </c>
      <c r="E623" s="2">
        <v>45971</v>
      </c>
      <c r="F623" s="1" t="s">
        <v>1241</v>
      </c>
      <c r="G623" s="1" t="s">
        <v>3837</v>
      </c>
      <c r="H623" s="1" t="s">
        <v>3838</v>
      </c>
      <c r="I623" s="1">
        <v>1</v>
      </c>
      <c r="J623" s="3">
        <v>25067</v>
      </c>
      <c r="K623" s="3">
        <v>23919</v>
      </c>
      <c r="L623" s="1">
        <v>0</v>
      </c>
      <c r="M623" s="4">
        <v>0</v>
      </c>
      <c r="N623" s="3">
        <v>1148</v>
      </c>
      <c r="O623" s="4">
        <v>4.5999999999999999E-2</v>
      </c>
      <c r="P623" s="1" t="s">
        <v>2721</v>
      </c>
    </row>
    <row r="624" spans="1:16">
      <c r="A624" s="1" t="s">
        <v>15</v>
      </c>
      <c r="B624" s="1">
        <v>11</v>
      </c>
      <c r="C624" s="1" t="s">
        <v>3839</v>
      </c>
      <c r="D624" s="1" t="s">
        <v>1587</v>
      </c>
      <c r="E624" s="2">
        <v>45971</v>
      </c>
      <c r="F624" s="1" t="s">
        <v>126</v>
      </c>
      <c r="G624" s="1" t="s">
        <v>1588</v>
      </c>
      <c r="H624" s="1" t="s">
        <v>1589</v>
      </c>
      <c r="I624" s="1">
        <v>1</v>
      </c>
      <c r="J624" s="3">
        <v>12484</v>
      </c>
      <c r="K624" s="3">
        <v>11913</v>
      </c>
      <c r="L624" s="1">
        <v>0</v>
      </c>
      <c r="M624" s="4">
        <v>0</v>
      </c>
      <c r="N624" s="1">
        <v>571</v>
      </c>
      <c r="O624" s="4">
        <v>4.5999999999999999E-2</v>
      </c>
      <c r="P624" s="1" t="s">
        <v>2721</v>
      </c>
    </row>
    <row r="625" spans="1:16">
      <c r="A625" s="1" t="s">
        <v>15</v>
      </c>
      <c r="B625" s="1">
        <v>11</v>
      </c>
      <c r="C625" s="1" t="s">
        <v>3840</v>
      </c>
      <c r="D625" s="1" t="s">
        <v>32</v>
      </c>
      <c r="E625" s="2">
        <v>45971</v>
      </c>
      <c r="F625" s="1" t="s">
        <v>33</v>
      </c>
      <c r="G625" s="1" t="s">
        <v>34</v>
      </c>
      <c r="H625" s="1" t="s">
        <v>1047</v>
      </c>
      <c r="I625" s="1">
        <v>1</v>
      </c>
      <c r="J625" s="3">
        <v>88133</v>
      </c>
      <c r="K625" s="3">
        <v>84098</v>
      </c>
      <c r="L625" s="1">
        <v>0</v>
      </c>
      <c r="M625" s="4">
        <v>0</v>
      </c>
      <c r="N625" s="3">
        <v>4035</v>
      </c>
      <c r="O625" s="4">
        <v>4.5999999999999999E-2</v>
      </c>
      <c r="P625" s="1" t="s">
        <v>2721</v>
      </c>
    </row>
    <row r="626" spans="1:16">
      <c r="A626" s="1" t="s">
        <v>15</v>
      </c>
      <c r="B626" s="1">
        <v>11</v>
      </c>
      <c r="C626" s="1" t="s">
        <v>3841</v>
      </c>
      <c r="D626" s="1" t="s">
        <v>3842</v>
      </c>
      <c r="E626" s="2">
        <v>45971</v>
      </c>
      <c r="F626" s="1" t="s">
        <v>3843</v>
      </c>
      <c r="G626" s="1" t="s">
        <v>3844</v>
      </c>
      <c r="H626" s="1" t="s">
        <v>3845</v>
      </c>
      <c r="I626" s="1">
        <v>1</v>
      </c>
      <c r="J626" s="3">
        <v>29490</v>
      </c>
      <c r="K626" s="3">
        <v>28140</v>
      </c>
      <c r="L626" s="1">
        <v>0</v>
      </c>
      <c r="M626" s="4">
        <v>0</v>
      </c>
      <c r="N626" s="3">
        <v>1350</v>
      </c>
      <c r="O626" s="4">
        <v>4.5999999999999999E-2</v>
      </c>
      <c r="P626" s="1" t="s">
        <v>2721</v>
      </c>
    </row>
    <row r="627" spans="1:16">
      <c r="A627" s="1" t="s">
        <v>15</v>
      </c>
      <c r="B627" s="1">
        <v>11</v>
      </c>
      <c r="C627" s="1" t="s">
        <v>3846</v>
      </c>
      <c r="D627" s="1" t="s">
        <v>212</v>
      </c>
      <c r="E627" s="2">
        <v>45971</v>
      </c>
      <c r="F627" s="1" t="s">
        <v>213</v>
      </c>
      <c r="G627" s="1" t="s">
        <v>214</v>
      </c>
      <c r="H627" s="1" t="s">
        <v>215</v>
      </c>
      <c r="I627" s="1">
        <v>1</v>
      </c>
      <c r="J627" s="3">
        <v>16220</v>
      </c>
      <c r="K627" s="3">
        <v>15477</v>
      </c>
      <c r="L627" s="1">
        <v>0</v>
      </c>
      <c r="M627" s="4">
        <v>0</v>
      </c>
      <c r="N627" s="1">
        <v>743</v>
      </c>
      <c r="O627" s="4">
        <v>4.5999999999999999E-2</v>
      </c>
      <c r="P627" s="1" t="s">
        <v>2721</v>
      </c>
    </row>
    <row r="628" spans="1:16">
      <c r="A628" s="1" t="s">
        <v>15</v>
      </c>
      <c r="B628" s="1">
        <v>11</v>
      </c>
      <c r="C628" s="1" t="s">
        <v>3847</v>
      </c>
      <c r="D628" s="1" t="s">
        <v>1346</v>
      </c>
      <c r="E628" s="2">
        <v>45971</v>
      </c>
      <c r="F628" s="1" t="s">
        <v>317</v>
      </c>
      <c r="G628" s="1" t="s">
        <v>1347</v>
      </c>
      <c r="H628" s="1" t="s">
        <v>3848</v>
      </c>
      <c r="I628" s="1">
        <v>1</v>
      </c>
      <c r="J628" s="3">
        <v>29982</v>
      </c>
      <c r="K628" s="3">
        <v>28609</v>
      </c>
      <c r="L628" s="1">
        <v>0</v>
      </c>
      <c r="M628" s="4">
        <v>0</v>
      </c>
      <c r="N628" s="3">
        <v>1373</v>
      </c>
      <c r="O628" s="4">
        <v>4.5999999999999999E-2</v>
      </c>
      <c r="P628" s="1" t="s">
        <v>2721</v>
      </c>
    </row>
    <row r="629" spans="1:16">
      <c r="A629" s="1" t="s">
        <v>15</v>
      </c>
      <c r="B629" s="1">
        <v>11</v>
      </c>
      <c r="C629" s="1" t="s">
        <v>3849</v>
      </c>
      <c r="D629" s="1" t="s">
        <v>3850</v>
      </c>
      <c r="E629" s="2">
        <v>45971</v>
      </c>
      <c r="F629" s="1" t="s">
        <v>1021</v>
      </c>
      <c r="G629" s="1" t="s">
        <v>3851</v>
      </c>
      <c r="H629" s="1" t="s">
        <v>3852</v>
      </c>
      <c r="I629" s="1">
        <v>1</v>
      </c>
      <c r="J629" s="3">
        <v>25579</v>
      </c>
      <c r="K629" s="3">
        <v>24408</v>
      </c>
      <c r="L629" s="1">
        <v>0</v>
      </c>
      <c r="M629" s="4">
        <v>0</v>
      </c>
      <c r="N629" s="3">
        <v>1171</v>
      </c>
      <c r="O629" s="4">
        <v>4.5999999999999999E-2</v>
      </c>
      <c r="P629" s="1" t="s">
        <v>2721</v>
      </c>
    </row>
    <row r="630" spans="1:16">
      <c r="A630" s="1" t="s">
        <v>15</v>
      </c>
      <c r="B630" s="1">
        <v>11</v>
      </c>
      <c r="C630" s="1" t="s">
        <v>3853</v>
      </c>
      <c r="D630" s="1" t="s">
        <v>793</v>
      </c>
      <c r="E630" s="2">
        <v>45971</v>
      </c>
      <c r="F630" s="1" t="s">
        <v>126</v>
      </c>
      <c r="G630" s="1" t="s">
        <v>794</v>
      </c>
      <c r="H630" s="1" t="s">
        <v>3854</v>
      </c>
      <c r="I630" s="1">
        <v>1</v>
      </c>
      <c r="J630" s="3">
        <v>18186</v>
      </c>
      <c r="K630" s="3">
        <v>17353</v>
      </c>
      <c r="L630" s="1">
        <v>0</v>
      </c>
      <c r="M630" s="4">
        <v>0</v>
      </c>
      <c r="N630" s="1">
        <v>833</v>
      </c>
      <c r="O630" s="4">
        <v>4.5999999999999999E-2</v>
      </c>
      <c r="P630" s="1" t="s">
        <v>2721</v>
      </c>
    </row>
    <row r="631" spans="1:16">
      <c r="A631" s="1" t="s">
        <v>15</v>
      </c>
      <c r="B631" s="1">
        <v>11</v>
      </c>
      <c r="C631" s="1" t="s">
        <v>3855</v>
      </c>
      <c r="D631" s="1" t="s">
        <v>27</v>
      </c>
      <c r="E631" s="2">
        <v>45971</v>
      </c>
      <c r="F631" s="1" t="s">
        <v>28</v>
      </c>
      <c r="G631" s="1" t="s">
        <v>29</v>
      </c>
      <c r="H631" s="1" t="s">
        <v>352</v>
      </c>
      <c r="I631" s="1">
        <v>1</v>
      </c>
      <c r="J631" s="3">
        <v>27033</v>
      </c>
      <c r="K631" s="3">
        <v>25795</v>
      </c>
      <c r="L631" s="1">
        <v>0</v>
      </c>
      <c r="M631" s="4">
        <v>0</v>
      </c>
      <c r="N631" s="3">
        <v>1238</v>
      </c>
      <c r="O631" s="4">
        <v>4.5999999999999999E-2</v>
      </c>
      <c r="P631" s="1" t="s">
        <v>2721</v>
      </c>
    </row>
    <row r="632" spans="1:16">
      <c r="A632" s="1" t="s">
        <v>15</v>
      </c>
      <c r="B632" s="1">
        <v>11</v>
      </c>
      <c r="C632" s="1" t="s">
        <v>3855</v>
      </c>
      <c r="D632" s="1" t="s">
        <v>27</v>
      </c>
      <c r="E632" s="2">
        <v>45971</v>
      </c>
      <c r="F632" s="1" t="s">
        <v>28</v>
      </c>
      <c r="G632" s="1" t="s">
        <v>29</v>
      </c>
      <c r="H632" s="1" t="s">
        <v>30</v>
      </c>
      <c r="I632" s="1">
        <v>1</v>
      </c>
      <c r="J632" s="3">
        <v>27033</v>
      </c>
      <c r="K632" s="3">
        <v>25795</v>
      </c>
      <c r="L632" s="1">
        <v>0</v>
      </c>
      <c r="M632" s="4">
        <v>0</v>
      </c>
      <c r="N632" s="3">
        <v>1238</v>
      </c>
      <c r="O632" s="4">
        <v>4.5999999999999999E-2</v>
      </c>
      <c r="P632" s="1" t="s">
        <v>2721</v>
      </c>
    </row>
    <row r="633" spans="1:16">
      <c r="A633" s="1" t="s">
        <v>15</v>
      </c>
      <c r="B633" s="1">
        <v>11</v>
      </c>
      <c r="C633" s="1" t="s">
        <v>3856</v>
      </c>
      <c r="D633" s="1" t="s">
        <v>797</v>
      </c>
      <c r="E633" s="2">
        <v>45971</v>
      </c>
      <c r="F633" s="1" t="s">
        <v>798</v>
      </c>
      <c r="G633" s="1" t="s">
        <v>799</v>
      </c>
      <c r="H633" s="1" t="s">
        <v>1331</v>
      </c>
      <c r="I633" s="1">
        <v>1</v>
      </c>
      <c r="J633" s="3">
        <v>13271</v>
      </c>
      <c r="K633" s="3">
        <v>12663</v>
      </c>
      <c r="L633" s="1">
        <v>0</v>
      </c>
      <c r="M633" s="4">
        <v>0</v>
      </c>
      <c r="N633" s="1">
        <v>608</v>
      </c>
      <c r="O633" s="4">
        <v>4.5999999999999999E-2</v>
      </c>
      <c r="P633" s="1" t="s">
        <v>2721</v>
      </c>
    </row>
    <row r="634" spans="1:16">
      <c r="A634" s="1" t="s">
        <v>15</v>
      </c>
      <c r="B634" s="1">
        <v>11</v>
      </c>
      <c r="C634" s="1" t="s">
        <v>3857</v>
      </c>
      <c r="D634" s="1" t="s">
        <v>311</v>
      </c>
      <c r="E634" s="2">
        <v>45971</v>
      </c>
      <c r="F634" s="1" t="s">
        <v>312</v>
      </c>
      <c r="G634" s="1" t="s">
        <v>313</v>
      </c>
      <c r="H634" s="1" t="s">
        <v>3858</v>
      </c>
      <c r="I634" s="1">
        <v>1</v>
      </c>
      <c r="J634" s="3">
        <v>28310</v>
      </c>
      <c r="K634" s="3">
        <v>27014</v>
      </c>
      <c r="L634" s="1">
        <v>0</v>
      </c>
      <c r="M634" s="4">
        <v>0</v>
      </c>
      <c r="N634" s="3">
        <v>1296</v>
      </c>
      <c r="O634" s="4">
        <v>4.5999999999999999E-2</v>
      </c>
      <c r="P634" s="1" t="s">
        <v>2721</v>
      </c>
    </row>
    <row r="635" spans="1:16">
      <c r="A635" s="1" t="s">
        <v>15</v>
      </c>
      <c r="B635" s="1">
        <v>11</v>
      </c>
      <c r="C635" s="1" t="s">
        <v>3859</v>
      </c>
      <c r="D635" s="1" t="s">
        <v>3860</v>
      </c>
      <c r="E635" s="2">
        <v>45971</v>
      </c>
      <c r="F635" s="1" t="s">
        <v>3861</v>
      </c>
      <c r="G635" s="1" t="s">
        <v>3862</v>
      </c>
      <c r="H635" s="1" t="s">
        <v>3863</v>
      </c>
      <c r="I635" s="1">
        <v>1</v>
      </c>
      <c r="J635" s="3">
        <v>11747</v>
      </c>
      <c r="K635" s="3">
        <v>11209</v>
      </c>
      <c r="L635" s="1">
        <v>0</v>
      </c>
      <c r="M635" s="4">
        <v>0</v>
      </c>
      <c r="N635" s="1">
        <v>538</v>
      </c>
      <c r="O635" s="4">
        <v>4.5999999999999999E-2</v>
      </c>
      <c r="P635" s="1" t="s">
        <v>2721</v>
      </c>
    </row>
    <row r="636" spans="1:16">
      <c r="A636" s="1" t="s">
        <v>15</v>
      </c>
      <c r="B636" s="1">
        <v>11</v>
      </c>
      <c r="C636" s="1" t="s">
        <v>3864</v>
      </c>
      <c r="D636" s="1" t="s">
        <v>32</v>
      </c>
      <c r="E636" s="2">
        <v>45971</v>
      </c>
      <c r="F636" s="1" t="s">
        <v>33</v>
      </c>
      <c r="G636" s="1" t="s">
        <v>34</v>
      </c>
      <c r="H636" s="1" t="s">
        <v>3865</v>
      </c>
      <c r="I636" s="1">
        <v>1</v>
      </c>
      <c r="J636" s="3">
        <v>101104</v>
      </c>
      <c r="K636" s="3">
        <v>96476</v>
      </c>
      <c r="L636" s="1">
        <v>0</v>
      </c>
      <c r="M636" s="4">
        <v>0</v>
      </c>
      <c r="N636" s="3">
        <v>4628</v>
      </c>
      <c r="O636" s="4">
        <v>4.5999999999999999E-2</v>
      </c>
      <c r="P636" s="1" t="s">
        <v>2721</v>
      </c>
    </row>
    <row r="637" spans="1:16">
      <c r="A637" s="1" t="s">
        <v>15</v>
      </c>
      <c r="B637" s="1">
        <v>11</v>
      </c>
      <c r="C637" s="1" t="s">
        <v>3866</v>
      </c>
      <c r="D637" s="1" t="s">
        <v>80</v>
      </c>
      <c r="E637" s="2">
        <v>45971</v>
      </c>
      <c r="F637" s="1" t="s">
        <v>58</v>
      </c>
      <c r="G637" s="1" t="s">
        <v>81</v>
      </c>
      <c r="H637" s="1" t="s">
        <v>3867</v>
      </c>
      <c r="I637" s="1">
        <v>1</v>
      </c>
      <c r="J637" s="3">
        <v>17301</v>
      </c>
      <c r="K637" s="3">
        <v>16509</v>
      </c>
      <c r="L637" s="1">
        <v>0</v>
      </c>
      <c r="M637" s="4">
        <v>0</v>
      </c>
      <c r="N637" s="1">
        <v>792</v>
      </c>
      <c r="O637" s="4">
        <v>4.5999999999999999E-2</v>
      </c>
      <c r="P637" s="1" t="s">
        <v>2721</v>
      </c>
    </row>
    <row r="638" spans="1:16">
      <c r="A638" s="1" t="s">
        <v>15</v>
      </c>
      <c r="B638" s="1">
        <v>11</v>
      </c>
      <c r="C638" s="1" t="s">
        <v>3868</v>
      </c>
      <c r="D638" s="1" t="s">
        <v>1457</v>
      </c>
      <c r="E638" s="2">
        <v>45971</v>
      </c>
      <c r="F638" s="1" t="s">
        <v>347</v>
      </c>
      <c r="G638" s="1" t="s">
        <v>1458</v>
      </c>
      <c r="H638" s="1" t="s">
        <v>3869</v>
      </c>
      <c r="I638" s="1">
        <v>1</v>
      </c>
      <c r="J638" s="3">
        <v>24595</v>
      </c>
      <c r="K638" s="3">
        <v>23469</v>
      </c>
      <c r="L638" s="1">
        <v>0</v>
      </c>
      <c r="M638" s="4">
        <v>0</v>
      </c>
      <c r="N638" s="3">
        <v>1126</v>
      </c>
      <c r="O638" s="4">
        <v>4.5999999999999999E-2</v>
      </c>
      <c r="P638" s="1" t="s">
        <v>2721</v>
      </c>
    </row>
    <row r="639" spans="1:16">
      <c r="A639" s="1" t="s">
        <v>15</v>
      </c>
      <c r="B639" s="1">
        <v>11</v>
      </c>
      <c r="C639" s="1" t="s">
        <v>3868</v>
      </c>
      <c r="D639" s="1" t="s">
        <v>1457</v>
      </c>
      <c r="E639" s="2">
        <v>45971</v>
      </c>
      <c r="F639" s="1" t="s">
        <v>347</v>
      </c>
      <c r="G639" s="1" t="s">
        <v>1458</v>
      </c>
      <c r="H639" s="1" t="s">
        <v>3870</v>
      </c>
      <c r="I639" s="1">
        <v>1</v>
      </c>
      <c r="J639" s="3">
        <v>23710</v>
      </c>
      <c r="K639" s="3">
        <v>22625</v>
      </c>
      <c r="L639" s="1">
        <v>0</v>
      </c>
      <c r="M639" s="4">
        <v>0</v>
      </c>
      <c r="N639" s="3">
        <v>1085</v>
      </c>
      <c r="O639" s="4">
        <v>4.5999999999999999E-2</v>
      </c>
      <c r="P639" s="1" t="s">
        <v>2721</v>
      </c>
    </row>
    <row r="640" spans="1:16">
      <c r="A640" s="1" t="s">
        <v>15</v>
      </c>
      <c r="B640" s="1">
        <v>11</v>
      </c>
      <c r="C640" s="1" t="s">
        <v>3871</v>
      </c>
      <c r="D640" s="1" t="s">
        <v>178</v>
      </c>
      <c r="E640" s="2">
        <v>45971</v>
      </c>
      <c r="F640" s="1" t="s">
        <v>96</v>
      </c>
      <c r="G640" s="1" t="s">
        <v>179</v>
      </c>
      <c r="H640" s="1" t="s">
        <v>180</v>
      </c>
      <c r="I640" s="1">
        <v>1</v>
      </c>
      <c r="J640" s="3">
        <v>15284</v>
      </c>
      <c r="K640" s="3">
        <v>14584</v>
      </c>
      <c r="L640" s="1">
        <v>0</v>
      </c>
      <c r="M640" s="4">
        <v>0</v>
      </c>
      <c r="N640" s="1">
        <v>700</v>
      </c>
      <c r="O640" s="4">
        <v>4.5999999999999999E-2</v>
      </c>
      <c r="P640" s="1" t="s">
        <v>2721</v>
      </c>
    </row>
    <row r="641" spans="1:16">
      <c r="A641" s="1" t="s">
        <v>15</v>
      </c>
      <c r="B641" s="1">
        <v>11</v>
      </c>
      <c r="C641" s="1" t="s">
        <v>3871</v>
      </c>
      <c r="D641" s="1" t="s">
        <v>52</v>
      </c>
      <c r="E641" s="2">
        <v>45971</v>
      </c>
      <c r="F641" s="1" t="s">
        <v>53</v>
      </c>
      <c r="G641" s="1" t="s">
        <v>54</v>
      </c>
      <c r="H641" s="1" t="s">
        <v>55</v>
      </c>
      <c r="I641" s="1">
        <v>1</v>
      </c>
      <c r="J641" s="3">
        <v>16135</v>
      </c>
      <c r="K641" s="3">
        <v>15396</v>
      </c>
      <c r="L641" s="1">
        <v>0</v>
      </c>
      <c r="M641" s="4">
        <v>0</v>
      </c>
      <c r="N641" s="1">
        <v>739</v>
      </c>
      <c r="O641" s="4">
        <v>4.5999999999999999E-2</v>
      </c>
      <c r="P641" s="1" t="s">
        <v>2721</v>
      </c>
    </row>
    <row r="642" spans="1:16">
      <c r="A642" s="1" t="s">
        <v>15</v>
      </c>
      <c r="B642" s="1">
        <v>11</v>
      </c>
      <c r="C642" s="1" t="s">
        <v>3872</v>
      </c>
      <c r="D642" s="1" t="s">
        <v>80</v>
      </c>
      <c r="E642" s="2">
        <v>45971</v>
      </c>
      <c r="F642" s="1" t="s">
        <v>58</v>
      </c>
      <c r="G642" s="1" t="s">
        <v>81</v>
      </c>
      <c r="H642" s="1" t="s">
        <v>3873</v>
      </c>
      <c r="I642" s="1">
        <v>1</v>
      </c>
      <c r="J642" s="3">
        <v>17301</v>
      </c>
      <c r="K642" s="3">
        <v>16509</v>
      </c>
      <c r="L642" s="1">
        <v>0</v>
      </c>
      <c r="M642" s="4">
        <v>0</v>
      </c>
      <c r="N642" s="1">
        <v>792</v>
      </c>
      <c r="O642" s="4">
        <v>4.5999999999999999E-2</v>
      </c>
      <c r="P642" s="1" t="s">
        <v>2721</v>
      </c>
    </row>
    <row r="643" spans="1:16">
      <c r="A643" s="1" t="s">
        <v>15</v>
      </c>
      <c r="B643" s="1">
        <v>11</v>
      </c>
      <c r="C643" s="1" t="s">
        <v>3874</v>
      </c>
      <c r="D643" s="1" t="s">
        <v>3180</v>
      </c>
      <c r="E643" s="2">
        <v>45971</v>
      </c>
      <c r="F643" s="1" t="s">
        <v>554</v>
      </c>
      <c r="G643" s="1" t="s">
        <v>3181</v>
      </c>
      <c r="H643" s="1" t="s">
        <v>3182</v>
      </c>
      <c r="I643" s="1">
        <v>1</v>
      </c>
      <c r="J643" s="3">
        <v>11255</v>
      </c>
      <c r="K643" s="3">
        <v>10740</v>
      </c>
      <c r="L643" s="1">
        <v>0</v>
      </c>
      <c r="M643" s="4">
        <v>0</v>
      </c>
      <c r="N643" s="1">
        <v>515</v>
      </c>
      <c r="O643" s="4">
        <v>4.5999999999999999E-2</v>
      </c>
      <c r="P643" s="1" t="s">
        <v>2721</v>
      </c>
    </row>
    <row r="644" spans="1:16">
      <c r="A644" s="1" t="s">
        <v>15</v>
      </c>
      <c r="B644" s="1">
        <v>11</v>
      </c>
      <c r="C644" s="1" t="s">
        <v>3874</v>
      </c>
      <c r="D644" s="1" t="s">
        <v>955</v>
      </c>
      <c r="E644" s="2">
        <v>45971</v>
      </c>
      <c r="F644" s="1" t="s">
        <v>554</v>
      </c>
      <c r="G644" s="1" t="s">
        <v>956</v>
      </c>
      <c r="H644" s="1" t="s">
        <v>957</v>
      </c>
      <c r="I644" s="1">
        <v>1</v>
      </c>
      <c r="J644" s="3">
        <v>17596</v>
      </c>
      <c r="K644" s="3">
        <v>16790</v>
      </c>
      <c r="L644" s="1">
        <v>0</v>
      </c>
      <c r="M644" s="4">
        <v>0</v>
      </c>
      <c r="N644" s="1">
        <v>806</v>
      </c>
      <c r="O644" s="4">
        <v>4.5999999999999999E-2</v>
      </c>
      <c r="P644" s="1" t="s">
        <v>2721</v>
      </c>
    </row>
    <row r="645" spans="1:16">
      <c r="A645" s="1" t="s">
        <v>15</v>
      </c>
      <c r="B645" s="1">
        <v>11</v>
      </c>
      <c r="C645" s="1" t="s">
        <v>3874</v>
      </c>
      <c r="D645" s="1" t="s">
        <v>906</v>
      </c>
      <c r="E645" s="2">
        <v>45971</v>
      </c>
      <c r="F645" s="1" t="s">
        <v>554</v>
      </c>
      <c r="G645" s="1" t="s">
        <v>907</v>
      </c>
      <c r="H645" s="1" t="s">
        <v>3875</v>
      </c>
      <c r="I645" s="1">
        <v>1</v>
      </c>
      <c r="J645" s="3">
        <v>13565</v>
      </c>
      <c r="K645" s="3">
        <v>12944</v>
      </c>
      <c r="L645" s="1">
        <v>0</v>
      </c>
      <c r="M645" s="4">
        <v>0</v>
      </c>
      <c r="N645" s="1">
        <v>621</v>
      </c>
      <c r="O645" s="4">
        <v>4.5999999999999999E-2</v>
      </c>
      <c r="P645" s="1" t="s">
        <v>2721</v>
      </c>
    </row>
    <row r="646" spans="1:16">
      <c r="A646" s="1" t="s">
        <v>15</v>
      </c>
      <c r="B646" s="1">
        <v>11</v>
      </c>
      <c r="C646" s="1" t="s">
        <v>3876</v>
      </c>
      <c r="D646" s="1" t="s">
        <v>2329</v>
      </c>
      <c r="E646" s="2">
        <v>45971</v>
      </c>
      <c r="F646" s="1" t="s">
        <v>660</v>
      </c>
      <c r="G646" s="1" t="s">
        <v>2330</v>
      </c>
      <c r="H646" s="1" t="s">
        <v>3877</v>
      </c>
      <c r="I646" s="1">
        <v>1</v>
      </c>
      <c r="J646" s="3">
        <v>71366</v>
      </c>
      <c r="K646" s="3">
        <v>68099</v>
      </c>
      <c r="L646" s="1">
        <v>0</v>
      </c>
      <c r="M646" s="4">
        <v>0</v>
      </c>
      <c r="N646" s="3">
        <v>3267</v>
      </c>
      <c r="O646" s="4">
        <v>4.5999999999999999E-2</v>
      </c>
      <c r="P646" s="1" t="s">
        <v>2721</v>
      </c>
    </row>
    <row r="647" spans="1:16">
      <c r="A647" s="1" t="s">
        <v>15</v>
      </c>
      <c r="B647" s="1">
        <v>11</v>
      </c>
      <c r="C647" s="1" t="s">
        <v>3878</v>
      </c>
      <c r="D647" s="1" t="s">
        <v>1181</v>
      </c>
      <c r="E647" s="2">
        <v>45971</v>
      </c>
      <c r="F647" s="1" t="s">
        <v>524</v>
      </c>
      <c r="G647" s="1" t="s">
        <v>1182</v>
      </c>
      <c r="H647" s="1" t="s">
        <v>1183</v>
      </c>
      <c r="I647" s="1">
        <v>3</v>
      </c>
      <c r="J647" s="3">
        <v>60363</v>
      </c>
      <c r="K647" s="3">
        <v>57600</v>
      </c>
      <c r="L647" s="1">
        <v>0</v>
      </c>
      <c r="M647" s="4">
        <v>0</v>
      </c>
      <c r="N647" s="3">
        <v>2763</v>
      </c>
      <c r="O647" s="4">
        <v>4.5999999999999999E-2</v>
      </c>
      <c r="P647" s="1" t="s">
        <v>2721</v>
      </c>
    </row>
    <row r="648" spans="1:16">
      <c r="A648" s="1" t="s">
        <v>15</v>
      </c>
      <c r="B648" s="1">
        <v>11</v>
      </c>
      <c r="C648" s="1" t="s">
        <v>3879</v>
      </c>
      <c r="D648" s="1" t="s">
        <v>311</v>
      </c>
      <c r="E648" s="2">
        <v>45971</v>
      </c>
      <c r="F648" s="1" t="s">
        <v>312</v>
      </c>
      <c r="G648" s="1" t="s">
        <v>313</v>
      </c>
      <c r="H648" s="1" t="s">
        <v>314</v>
      </c>
      <c r="I648" s="1">
        <v>1</v>
      </c>
      <c r="J648" s="3">
        <v>28310</v>
      </c>
      <c r="K648" s="3">
        <v>27014</v>
      </c>
      <c r="L648" s="1">
        <v>0</v>
      </c>
      <c r="M648" s="4">
        <v>0</v>
      </c>
      <c r="N648" s="3">
        <v>1296</v>
      </c>
      <c r="O648" s="4">
        <v>4.5999999999999999E-2</v>
      </c>
      <c r="P648" s="1" t="s">
        <v>2721</v>
      </c>
    </row>
    <row r="649" spans="1:16">
      <c r="A649" s="1" t="s">
        <v>15</v>
      </c>
      <c r="B649" s="1">
        <v>11</v>
      </c>
      <c r="C649" s="1" t="s">
        <v>3880</v>
      </c>
      <c r="D649" s="1" t="s">
        <v>927</v>
      </c>
      <c r="E649" s="2">
        <v>45971</v>
      </c>
      <c r="F649" s="1" t="s">
        <v>500</v>
      </c>
      <c r="G649" s="1" t="s">
        <v>928</v>
      </c>
      <c r="H649" s="1" t="s">
        <v>929</v>
      </c>
      <c r="I649" s="1">
        <v>1</v>
      </c>
      <c r="J649" s="3">
        <v>116535</v>
      </c>
      <c r="K649" s="3">
        <v>111200</v>
      </c>
      <c r="L649" s="1">
        <v>0</v>
      </c>
      <c r="M649" s="4">
        <v>0</v>
      </c>
      <c r="N649" s="3">
        <v>5335</v>
      </c>
      <c r="O649" s="4">
        <v>4.5999999999999999E-2</v>
      </c>
      <c r="P649" s="1" t="s">
        <v>2721</v>
      </c>
    </row>
    <row r="650" spans="1:16">
      <c r="A650" s="1" t="s">
        <v>15</v>
      </c>
      <c r="B650" s="1">
        <v>11</v>
      </c>
      <c r="C650" s="1" t="s">
        <v>3881</v>
      </c>
      <c r="D650" s="1" t="s">
        <v>1266</v>
      </c>
      <c r="E650" s="2">
        <v>45971</v>
      </c>
      <c r="F650" s="1" t="s">
        <v>317</v>
      </c>
      <c r="G650" s="1" t="s">
        <v>1267</v>
      </c>
      <c r="H650" s="1" t="s">
        <v>1268</v>
      </c>
      <c r="I650" s="1">
        <v>1</v>
      </c>
      <c r="J650" s="3">
        <v>27524</v>
      </c>
      <c r="K650" s="3">
        <v>26264</v>
      </c>
      <c r="L650" s="1">
        <v>0</v>
      </c>
      <c r="M650" s="4">
        <v>0</v>
      </c>
      <c r="N650" s="3">
        <v>1260</v>
      </c>
      <c r="O650" s="4">
        <v>4.5999999999999999E-2</v>
      </c>
      <c r="P650" s="1" t="s">
        <v>2721</v>
      </c>
    </row>
    <row r="651" spans="1:16">
      <c r="A651" s="1" t="s">
        <v>15</v>
      </c>
      <c r="B651" s="1">
        <v>11</v>
      </c>
      <c r="C651" s="1" t="s">
        <v>3882</v>
      </c>
      <c r="D651" s="1" t="s">
        <v>132</v>
      </c>
      <c r="E651" s="2">
        <v>45971</v>
      </c>
      <c r="F651" s="1" t="s">
        <v>53</v>
      </c>
      <c r="G651" s="1" t="s">
        <v>133</v>
      </c>
      <c r="H651" s="1" t="s">
        <v>88</v>
      </c>
      <c r="I651" s="1">
        <v>1</v>
      </c>
      <c r="J651" s="3">
        <v>17036</v>
      </c>
      <c r="K651" s="3">
        <v>16256</v>
      </c>
      <c r="L651" s="1">
        <v>0</v>
      </c>
      <c r="M651" s="4">
        <v>0</v>
      </c>
      <c r="N651" s="1">
        <v>780</v>
      </c>
      <c r="O651" s="4">
        <v>4.5999999999999999E-2</v>
      </c>
      <c r="P651" s="1" t="s">
        <v>2721</v>
      </c>
    </row>
    <row r="652" spans="1:16">
      <c r="A652" s="1" t="s">
        <v>15</v>
      </c>
      <c r="B652" s="1">
        <v>11</v>
      </c>
      <c r="C652" s="1" t="s">
        <v>3883</v>
      </c>
      <c r="D652" s="1" t="s">
        <v>311</v>
      </c>
      <c r="E652" s="2">
        <v>45971</v>
      </c>
      <c r="F652" s="1" t="s">
        <v>312</v>
      </c>
      <c r="G652" s="1" t="s">
        <v>313</v>
      </c>
      <c r="H652" s="1" t="s">
        <v>3858</v>
      </c>
      <c r="I652" s="1">
        <v>1</v>
      </c>
      <c r="J652" s="3">
        <v>28310</v>
      </c>
      <c r="K652" s="3">
        <v>27014</v>
      </c>
      <c r="L652" s="1">
        <v>0</v>
      </c>
      <c r="M652" s="4">
        <v>0</v>
      </c>
      <c r="N652" s="3">
        <v>1296</v>
      </c>
      <c r="O652" s="4">
        <v>4.5999999999999999E-2</v>
      </c>
      <c r="P652" s="1" t="s">
        <v>2721</v>
      </c>
    </row>
    <row r="653" spans="1:16">
      <c r="A653" s="1" t="s">
        <v>15</v>
      </c>
      <c r="B653" s="1">
        <v>11</v>
      </c>
      <c r="C653" s="1" t="s">
        <v>3884</v>
      </c>
      <c r="D653" s="1" t="s">
        <v>862</v>
      </c>
      <c r="E653" s="2">
        <v>45971</v>
      </c>
      <c r="F653" s="1" t="s">
        <v>334</v>
      </c>
      <c r="G653" s="1" t="s">
        <v>863</v>
      </c>
      <c r="H653" s="1" t="s">
        <v>864</v>
      </c>
      <c r="I653" s="1">
        <v>1</v>
      </c>
      <c r="J653" s="3">
        <v>16220</v>
      </c>
      <c r="K653" s="3">
        <v>15477</v>
      </c>
      <c r="L653" s="1">
        <v>0</v>
      </c>
      <c r="M653" s="4">
        <v>0</v>
      </c>
      <c r="N653" s="1">
        <v>743</v>
      </c>
      <c r="O653" s="4">
        <v>4.5999999999999999E-2</v>
      </c>
      <c r="P653" s="1" t="s">
        <v>2721</v>
      </c>
    </row>
    <row r="654" spans="1:16">
      <c r="A654" s="1" t="s">
        <v>15</v>
      </c>
      <c r="B654" s="1">
        <v>11</v>
      </c>
      <c r="C654" s="1" t="s">
        <v>3885</v>
      </c>
      <c r="D654" s="1" t="s">
        <v>913</v>
      </c>
      <c r="E654" s="2">
        <v>45971</v>
      </c>
      <c r="F654" s="1" t="s">
        <v>914</v>
      </c>
      <c r="G654" s="1" t="s">
        <v>915</v>
      </c>
      <c r="H654" s="1" t="s">
        <v>916</v>
      </c>
      <c r="I654" s="1">
        <v>1</v>
      </c>
      <c r="J654" s="3">
        <v>29773</v>
      </c>
      <c r="K654" s="3">
        <v>28410</v>
      </c>
      <c r="L654" s="1">
        <v>0</v>
      </c>
      <c r="M654" s="4">
        <v>0</v>
      </c>
      <c r="N654" s="3">
        <v>1363</v>
      </c>
      <c r="O654" s="4">
        <v>4.5999999999999999E-2</v>
      </c>
      <c r="P654" s="1" t="s">
        <v>2721</v>
      </c>
    </row>
    <row r="655" spans="1:16">
      <c r="A655" s="1" t="s">
        <v>15</v>
      </c>
      <c r="B655" s="1">
        <v>11</v>
      </c>
      <c r="C655" s="1" t="s">
        <v>3886</v>
      </c>
      <c r="D655" s="1" t="s">
        <v>238</v>
      </c>
      <c r="E655" s="2">
        <v>45971</v>
      </c>
      <c r="F655" s="1" t="s">
        <v>239</v>
      </c>
      <c r="G655" s="1" t="s">
        <v>240</v>
      </c>
      <c r="H655" s="1" t="s">
        <v>241</v>
      </c>
      <c r="I655" s="1">
        <v>1</v>
      </c>
      <c r="J655" s="3">
        <v>11305</v>
      </c>
      <c r="K655" s="3">
        <v>10787</v>
      </c>
      <c r="L655" s="1">
        <v>0</v>
      </c>
      <c r="M655" s="4">
        <v>0</v>
      </c>
      <c r="N655" s="1">
        <v>518</v>
      </c>
      <c r="O655" s="4">
        <v>4.5999999999999999E-2</v>
      </c>
      <c r="P655" s="1" t="s">
        <v>2721</v>
      </c>
    </row>
    <row r="656" spans="1:16">
      <c r="A656" s="1" t="s">
        <v>15</v>
      </c>
      <c r="B656" s="1">
        <v>11</v>
      </c>
      <c r="C656" s="1" t="s">
        <v>3887</v>
      </c>
      <c r="D656" s="1" t="s">
        <v>549</v>
      </c>
      <c r="E656" s="2">
        <v>45971</v>
      </c>
      <c r="F656" s="1" t="s">
        <v>63</v>
      </c>
      <c r="G656" s="1" t="s">
        <v>550</v>
      </c>
      <c r="H656" s="1" t="s">
        <v>551</v>
      </c>
      <c r="I656" s="1">
        <v>1</v>
      </c>
      <c r="J656" s="3">
        <v>15422</v>
      </c>
      <c r="K656" s="3">
        <v>14716</v>
      </c>
      <c r="L656" s="1">
        <v>0</v>
      </c>
      <c r="M656" s="4">
        <v>0</v>
      </c>
      <c r="N656" s="1">
        <v>706</v>
      </c>
      <c r="O656" s="4">
        <v>4.5999999999999999E-2</v>
      </c>
      <c r="P656" s="1" t="s">
        <v>2721</v>
      </c>
    </row>
    <row r="657" spans="1:16">
      <c r="A657" s="1" t="s">
        <v>15</v>
      </c>
      <c r="B657" s="1">
        <v>11</v>
      </c>
      <c r="C657" s="1" t="s">
        <v>3888</v>
      </c>
      <c r="D657" s="1" t="s">
        <v>3693</v>
      </c>
      <c r="E657" s="2">
        <v>45971</v>
      </c>
      <c r="F657" s="1" t="s">
        <v>2206</v>
      </c>
      <c r="G657" s="1" t="s">
        <v>3694</v>
      </c>
      <c r="H657" s="1" t="s">
        <v>3695</v>
      </c>
      <c r="I657" s="1">
        <v>1</v>
      </c>
      <c r="J657" s="3">
        <v>35421</v>
      </c>
      <c r="K657" s="3">
        <v>33800</v>
      </c>
      <c r="L657" s="1">
        <v>0</v>
      </c>
      <c r="M657" s="4">
        <v>0</v>
      </c>
      <c r="N657" s="3">
        <v>1621</v>
      </c>
      <c r="O657" s="4">
        <v>4.5999999999999999E-2</v>
      </c>
      <c r="P657" s="1" t="s">
        <v>2721</v>
      </c>
    </row>
    <row r="658" spans="1:16">
      <c r="A658" s="1" t="s">
        <v>15</v>
      </c>
      <c r="B658" s="1">
        <v>11</v>
      </c>
      <c r="C658" s="1" t="s">
        <v>3889</v>
      </c>
      <c r="D658" s="1" t="s">
        <v>132</v>
      </c>
      <c r="E658" s="2">
        <v>45971</v>
      </c>
      <c r="F658" s="1" t="s">
        <v>53</v>
      </c>
      <c r="G658" s="1" t="s">
        <v>133</v>
      </c>
      <c r="H658" s="1" t="s">
        <v>88</v>
      </c>
      <c r="I658" s="1">
        <v>1</v>
      </c>
      <c r="J658" s="3">
        <v>17036</v>
      </c>
      <c r="K658" s="3">
        <v>16256</v>
      </c>
      <c r="L658" s="1">
        <v>0</v>
      </c>
      <c r="M658" s="4">
        <v>0</v>
      </c>
      <c r="N658" s="1">
        <v>780</v>
      </c>
      <c r="O658" s="4">
        <v>4.5999999999999999E-2</v>
      </c>
      <c r="P658" s="1" t="s">
        <v>2721</v>
      </c>
    </row>
    <row r="659" spans="1:16">
      <c r="A659" s="1" t="s">
        <v>15</v>
      </c>
      <c r="B659" s="1">
        <v>11</v>
      </c>
      <c r="C659" s="1" t="s">
        <v>3890</v>
      </c>
      <c r="D659" s="1" t="s">
        <v>212</v>
      </c>
      <c r="E659" s="2">
        <v>45971</v>
      </c>
      <c r="F659" s="1" t="s">
        <v>213</v>
      </c>
      <c r="G659" s="1" t="s">
        <v>214</v>
      </c>
      <c r="H659" s="1" t="s">
        <v>215</v>
      </c>
      <c r="I659" s="1">
        <v>1</v>
      </c>
      <c r="J659" s="3">
        <v>16220</v>
      </c>
      <c r="K659" s="3">
        <v>15477</v>
      </c>
      <c r="L659" s="1">
        <v>0</v>
      </c>
      <c r="M659" s="4">
        <v>0</v>
      </c>
      <c r="N659" s="1">
        <v>743</v>
      </c>
      <c r="O659" s="4">
        <v>4.5999999999999999E-2</v>
      </c>
      <c r="P659" s="1" t="s">
        <v>2721</v>
      </c>
    </row>
    <row r="660" spans="1:16">
      <c r="A660" s="1" t="s">
        <v>15</v>
      </c>
      <c r="B660" s="1">
        <v>11</v>
      </c>
      <c r="C660" s="1" t="s">
        <v>3891</v>
      </c>
      <c r="D660" s="1" t="s">
        <v>504</v>
      </c>
      <c r="E660" s="2">
        <v>45971</v>
      </c>
      <c r="F660" s="1" t="s">
        <v>407</v>
      </c>
      <c r="G660" s="1" t="s">
        <v>505</v>
      </c>
      <c r="H660" s="1" t="s">
        <v>506</v>
      </c>
      <c r="I660" s="1">
        <v>1</v>
      </c>
      <c r="J660" s="3">
        <v>40303</v>
      </c>
      <c r="K660" s="3">
        <v>38458</v>
      </c>
      <c r="L660" s="1">
        <v>0</v>
      </c>
      <c r="M660" s="4">
        <v>0</v>
      </c>
      <c r="N660" s="3">
        <v>1845</v>
      </c>
      <c r="O660" s="4">
        <v>4.5999999999999999E-2</v>
      </c>
      <c r="P660" s="1" t="s">
        <v>2721</v>
      </c>
    </row>
    <row r="661" spans="1:16">
      <c r="A661" s="1" t="s">
        <v>15</v>
      </c>
      <c r="B661" s="1">
        <v>11</v>
      </c>
      <c r="C661" s="1" t="s">
        <v>3892</v>
      </c>
      <c r="D661" s="1" t="s">
        <v>72</v>
      </c>
      <c r="E661" s="2">
        <v>45971</v>
      </c>
      <c r="F661" s="1" t="s">
        <v>63</v>
      </c>
      <c r="G661" s="1" t="s">
        <v>73</v>
      </c>
      <c r="H661" s="1" t="s">
        <v>74</v>
      </c>
      <c r="I661" s="1">
        <v>2</v>
      </c>
      <c r="J661" s="3">
        <v>20912</v>
      </c>
      <c r="K661" s="3">
        <v>19955</v>
      </c>
      <c r="L661" s="1">
        <v>0</v>
      </c>
      <c r="M661" s="4">
        <v>0</v>
      </c>
      <c r="N661" s="1">
        <v>957</v>
      </c>
      <c r="O661" s="4">
        <v>4.5999999999999999E-2</v>
      </c>
      <c r="P661" s="1" t="s">
        <v>2721</v>
      </c>
    </row>
    <row r="662" spans="1:16">
      <c r="A662" s="1" t="s">
        <v>15</v>
      </c>
      <c r="B662" s="1">
        <v>11</v>
      </c>
      <c r="C662" s="1" t="s">
        <v>3893</v>
      </c>
      <c r="D662" s="1" t="s">
        <v>3337</v>
      </c>
      <c r="E662" s="2">
        <v>45971</v>
      </c>
      <c r="F662" s="1" t="s">
        <v>3338</v>
      </c>
      <c r="G662" s="1" t="s">
        <v>3339</v>
      </c>
      <c r="H662" s="1" t="s">
        <v>3340</v>
      </c>
      <c r="I662" s="1">
        <v>1</v>
      </c>
      <c r="J662" s="3">
        <v>29392</v>
      </c>
      <c r="K662" s="3">
        <v>28046</v>
      </c>
      <c r="L662" s="1">
        <v>0</v>
      </c>
      <c r="M662" s="4">
        <v>0</v>
      </c>
      <c r="N662" s="3">
        <v>1346</v>
      </c>
      <c r="O662" s="4">
        <v>4.5999999999999999E-2</v>
      </c>
      <c r="P662" s="1" t="s">
        <v>2721</v>
      </c>
    </row>
    <row r="663" spans="1:16">
      <c r="A663" s="1" t="s">
        <v>15</v>
      </c>
      <c r="B663" s="1">
        <v>11</v>
      </c>
      <c r="C663" s="1" t="s">
        <v>3894</v>
      </c>
      <c r="D663" s="1" t="s">
        <v>818</v>
      </c>
      <c r="E663" s="2">
        <v>45971</v>
      </c>
      <c r="F663" s="1" t="s">
        <v>235</v>
      </c>
      <c r="G663" s="1" t="s">
        <v>819</v>
      </c>
      <c r="H663" s="1" t="s">
        <v>1187</v>
      </c>
      <c r="I663" s="1">
        <v>1</v>
      </c>
      <c r="J663" s="3">
        <v>13565</v>
      </c>
      <c r="K663" s="3">
        <v>12944</v>
      </c>
      <c r="L663" s="1">
        <v>0</v>
      </c>
      <c r="M663" s="4">
        <v>0</v>
      </c>
      <c r="N663" s="1">
        <v>621</v>
      </c>
      <c r="O663" s="4">
        <v>4.5999999999999999E-2</v>
      </c>
      <c r="P663" s="1" t="s">
        <v>2721</v>
      </c>
    </row>
    <row r="664" spans="1:16">
      <c r="A664" s="1" t="s">
        <v>15</v>
      </c>
      <c r="B664" s="1">
        <v>11</v>
      </c>
      <c r="C664" s="1" t="s">
        <v>3894</v>
      </c>
      <c r="D664" s="1" t="s">
        <v>818</v>
      </c>
      <c r="E664" s="2">
        <v>45971</v>
      </c>
      <c r="F664" s="1" t="s">
        <v>235</v>
      </c>
      <c r="G664" s="1" t="s">
        <v>819</v>
      </c>
      <c r="H664" s="1" t="s">
        <v>1187</v>
      </c>
      <c r="I664" s="1">
        <v>1</v>
      </c>
      <c r="J664" s="3">
        <v>13565</v>
      </c>
      <c r="K664" s="3">
        <v>12944</v>
      </c>
      <c r="L664" s="1">
        <v>0</v>
      </c>
      <c r="M664" s="4">
        <v>0</v>
      </c>
      <c r="N664" s="1">
        <v>621</v>
      </c>
      <c r="O664" s="4">
        <v>4.5999999999999999E-2</v>
      </c>
      <c r="P664" s="1" t="s">
        <v>2721</v>
      </c>
    </row>
    <row r="665" spans="1:16">
      <c r="A665" s="1" t="s">
        <v>15</v>
      </c>
      <c r="B665" s="1">
        <v>11</v>
      </c>
      <c r="C665" s="1" t="s">
        <v>3895</v>
      </c>
      <c r="D665" s="1" t="s">
        <v>17</v>
      </c>
      <c r="E665" s="2">
        <v>45971</v>
      </c>
      <c r="F665" s="1" t="s">
        <v>18</v>
      </c>
      <c r="G665" s="1" t="s">
        <v>19</v>
      </c>
      <c r="H665" s="1" t="s">
        <v>1428</v>
      </c>
      <c r="I665" s="1">
        <v>1</v>
      </c>
      <c r="J665" s="3">
        <v>7166</v>
      </c>
      <c r="K665" s="3">
        <v>6838</v>
      </c>
      <c r="L665" s="1">
        <v>0</v>
      </c>
      <c r="M665" s="4">
        <v>0</v>
      </c>
      <c r="N665" s="1">
        <v>328</v>
      </c>
      <c r="O665" s="4">
        <v>4.5999999999999999E-2</v>
      </c>
      <c r="P665" s="1" t="s">
        <v>2721</v>
      </c>
    </row>
    <row r="666" spans="1:16">
      <c r="A666" s="1" t="s">
        <v>15</v>
      </c>
      <c r="B666" s="1">
        <v>11</v>
      </c>
      <c r="C666" s="1" t="s">
        <v>3896</v>
      </c>
      <c r="D666" s="1" t="s">
        <v>2503</v>
      </c>
      <c r="E666" s="2">
        <v>45971</v>
      </c>
      <c r="F666" s="1" t="s">
        <v>96</v>
      </c>
      <c r="G666" s="1" t="s">
        <v>2504</v>
      </c>
      <c r="H666" s="1" t="s">
        <v>3897</v>
      </c>
      <c r="I666" s="1">
        <v>1</v>
      </c>
      <c r="J666" s="3">
        <v>9405</v>
      </c>
      <c r="K666" s="3">
        <v>8975</v>
      </c>
      <c r="L666" s="1">
        <v>0</v>
      </c>
      <c r="M666" s="4">
        <v>0</v>
      </c>
      <c r="N666" s="1">
        <v>430</v>
      </c>
      <c r="O666" s="4">
        <v>4.5999999999999999E-2</v>
      </c>
      <c r="P666" s="1" t="s">
        <v>2721</v>
      </c>
    </row>
    <row r="667" spans="1:16">
      <c r="A667" s="1" t="s">
        <v>15</v>
      </c>
      <c r="B667" s="1">
        <v>11</v>
      </c>
      <c r="C667" s="1" t="s">
        <v>3898</v>
      </c>
      <c r="D667" s="1" t="s">
        <v>1467</v>
      </c>
      <c r="E667" s="2">
        <v>45971</v>
      </c>
      <c r="F667" s="1" t="s">
        <v>126</v>
      </c>
      <c r="G667" s="1" t="s">
        <v>1468</v>
      </c>
      <c r="H667" s="1" t="s">
        <v>1469</v>
      </c>
      <c r="I667" s="1">
        <v>1</v>
      </c>
      <c r="J667" s="3">
        <v>17989</v>
      </c>
      <c r="K667" s="3">
        <v>17165</v>
      </c>
      <c r="L667" s="1">
        <v>0</v>
      </c>
      <c r="M667" s="4">
        <v>0</v>
      </c>
      <c r="N667" s="1">
        <v>824</v>
      </c>
      <c r="O667" s="4">
        <v>4.5999999999999999E-2</v>
      </c>
      <c r="P667" s="1" t="s">
        <v>2721</v>
      </c>
    </row>
    <row r="668" spans="1:16">
      <c r="A668" s="1" t="s">
        <v>15</v>
      </c>
      <c r="B668" s="1">
        <v>11</v>
      </c>
      <c r="C668" s="1" t="s">
        <v>3899</v>
      </c>
      <c r="D668" s="1" t="s">
        <v>3900</v>
      </c>
      <c r="E668" s="2">
        <v>45971</v>
      </c>
      <c r="F668" s="1" t="s">
        <v>187</v>
      </c>
      <c r="G668" s="1" t="s">
        <v>3901</v>
      </c>
      <c r="H668" s="1" t="s">
        <v>3902</v>
      </c>
      <c r="I668" s="1">
        <v>1</v>
      </c>
      <c r="J668" s="3">
        <v>24872</v>
      </c>
      <c r="K668" s="3">
        <v>23733</v>
      </c>
      <c r="L668" s="1">
        <v>0</v>
      </c>
      <c r="M668" s="4">
        <v>0</v>
      </c>
      <c r="N668" s="3">
        <v>1139</v>
      </c>
      <c r="O668" s="4">
        <v>4.5999999999999999E-2</v>
      </c>
      <c r="P668" s="1" t="s">
        <v>2721</v>
      </c>
    </row>
    <row r="669" spans="1:16">
      <c r="A669" s="1" t="s">
        <v>15</v>
      </c>
      <c r="B669" s="1">
        <v>11</v>
      </c>
      <c r="C669" s="1" t="s">
        <v>3903</v>
      </c>
      <c r="D669" s="1" t="s">
        <v>86</v>
      </c>
      <c r="E669" s="2">
        <v>45971</v>
      </c>
      <c r="F669" s="1" t="s">
        <v>53</v>
      </c>
      <c r="G669" s="1" t="s">
        <v>87</v>
      </c>
      <c r="H669" s="1" t="s">
        <v>88</v>
      </c>
      <c r="I669" s="1">
        <v>1</v>
      </c>
      <c r="J669" s="3">
        <v>14956</v>
      </c>
      <c r="K669" s="3">
        <v>14272</v>
      </c>
      <c r="L669" s="1">
        <v>0</v>
      </c>
      <c r="M669" s="4">
        <v>0</v>
      </c>
      <c r="N669" s="1">
        <v>684</v>
      </c>
      <c r="O669" s="4">
        <v>4.5999999999999999E-2</v>
      </c>
      <c r="P669" s="1" t="s">
        <v>2721</v>
      </c>
    </row>
    <row r="670" spans="1:16">
      <c r="A670" s="1" t="s">
        <v>15</v>
      </c>
      <c r="B670" s="1">
        <v>11</v>
      </c>
      <c r="C670" s="1" t="s">
        <v>3904</v>
      </c>
      <c r="D670" s="1" t="s">
        <v>2757</v>
      </c>
      <c r="E670" s="2">
        <v>45971</v>
      </c>
      <c r="F670" s="1" t="s">
        <v>96</v>
      </c>
      <c r="G670" s="1" t="s">
        <v>2758</v>
      </c>
      <c r="H670" s="1" t="s">
        <v>3905</v>
      </c>
      <c r="I670" s="1">
        <v>1</v>
      </c>
      <c r="J670" s="3">
        <v>13285</v>
      </c>
      <c r="K670" s="3">
        <v>12677</v>
      </c>
      <c r="L670" s="1">
        <v>0</v>
      </c>
      <c r="M670" s="4">
        <v>0</v>
      </c>
      <c r="N670" s="1">
        <v>608</v>
      </c>
      <c r="O670" s="4">
        <v>4.5999999999999999E-2</v>
      </c>
      <c r="P670" s="1" t="s">
        <v>2721</v>
      </c>
    </row>
    <row r="671" spans="1:16">
      <c r="A671" s="1" t="s">
        <v>15</v>
      </c>
      <c r="B671" s="1">
        <v>11</v>
      </c>
      <c r="C671" s="1" t="s">
        <v>3906</v>
      </c>
      <c r="D671" s="1" t="s">
        <v>862</v>
      </c>
      <c r="E671" s="2">
        <v>45971</v>
      </c>
      <c r="F671" s="1" t="s">
        <v>334</v>
      </c>
      <c r="G671" s="1" t="s">
        <v>863</v>
      </c>
      <c r="H671" s="1" t="s">
        <v>3907</v>
      </c>
      <c r="I671" s="1">
        <v>1</v>
      </c>
      <c r="J671" s="3">
        <v>16220</v>
      </c>
      <c r="K671" s="3">
        <v>15477</v>
      </c>
      <c r="L671" s="1">
        <v>0</v>
      </c>
      <c r="M671" s="4">
        <v>0</v>
      </c>
      <c r="N671" s="1">
        <v>743</v>
      </c>
      <c r="O671" s="4">
        <v>4.5999999999999999E-2</v>
      </c>
      <c r="P671" s="1" t="s">
        <v>2721</v>
      </c>
    </row>
    <row r="672" spans="1:16">
      <c r="A672" s="1" t="s">
        <v>15</v>
      </c>
      <c r="B672" s="1">
        <v>11</v>
      </c>
      <c r="C672" s="1" t="s">
        <v>3908</v>
      </c>
      <c r="D672" s="1" t="s">
        <v>169</v>
      </c>
      <c r="E672" s="2">
        <v>45971</v>
      </c>
      <c r="F672" s="1" t="s">
        <v>53</v>
      </c>
      <c r="G672" s="1" t="s">
        <v>170</v>
      </c>
      <c r="H672" s="1" t="s">
        <v>171</v>
      </c>
      <c r="I672" s="1">
        <v>1</v>
      </c>
      <c r="J672" s="3">
        <v>14332</v>
      </c>
      <c r="K672" s="3">
        <v>13676</v>
      </c>
      <c r="L672" s="1">
        <v>0</v>
      </c>
      <c r="M672" s="4">
        <v>0</v>
      </c>
      <c r="N672" s="1">
        <v>656</v>
      </c>
      <c r="O672" s="4">
        <v>4.5999999999999999E-2</v>
      </c>
      <c r="P672" s="1" t="s">
        <v>2721</v>
      </c>
    </row>
    <row r="673" spans="1:16">
      <c r="A673" s="1" t="s">
        <v>15</v>
      </c>
      <c r="B673" s="1">
        <v>11</v>
      </c>
      <c r="C673" s="1" t="s">
        <v>3909</v>
      </c>
      <c r="D673" s="1" t="s">
        <v>125</v>
      </c>
      <c r="E673" s="2">
        <v>45971</v>
      </c>
      <c r="F673" s="1" t="s">
        <v>126</v>
      </c>
      <c r="G673" s="1" t="s">
        <v>127</v>
      </c>
      <c r="H673" s="1" t="s">
        <v>128</v>
      </c>
      <c r="I673" s="1">
        <v>1</v>
      </c>
      <c r="J673" s="3">
        <v>13959</v>
      </c>
      <c r="K673" s="3">
        <v>13320</v>
      </c>
      <c r="L673" s="1">
        <v>0</v>
      </c>
      <c r="M673" s="4">
        <v>0</v>
      </c>
      <c r="N673" s="1">
        <v>639</v>
      </c>
      <c r="O673" s="4">
        <v>4.5999999999999999E-2</v>
      </c>
      <c r="P673" s="1" t="s">
        <v>2721</v>
      </c>
    </row>
    <row r="674" spans="1:16">
      <c r="A674" s="1" t="s">
        <v>15</v>
      </c>
      <c r="B674" s="1">
        <v>11</v>
      </c>
      <c r="C674" s="1" t="s">
        <v>3910</v>
      </c>
      <c r="D674" s="1" t="s">
        <v>504</v>
      </c>
      <c r="E674" s="2">
        <v>45971</v>
      </c>
      <c r="F674" s="1" t="s">
        <v>407</v>
      </c>
      <c r="G674" s="1" t="s">
        <v>505</v>
      </c>
      <c r="H674" s="1" t="s">
        <v>506</v>
      </c>
      <c r="I674" s="1">
        <v>1</v>
      </c>
      <c r="J674" s="3">
        <v>40303</v>
      </c>
      <c r="K674" s="3">
        <v>38458</v>
      </c>
      <c r="L674" s="1">
        <v>0</v>
      </c>
      <c r="M674" s="4">
        <v>0</v>
      </c>
      <c r="N674" s="3">
        <v>1845</v>
      </c>
      <c r="O674" s="4">
        <v>4.5999999999999999E-2</v>
      </c>
      <c r="P674" s="1" t="s">
        <v>2721</v>
      </c>
    </row>
    <row r="675" spans="1:16">
      <c r="A675" s="1" t="s">
        <v>15</v>
      </c>
      <c r="B675" s="1">
        <v>11</v>
      </c>
      <c r="C675" s="1" t="s">
        <v>3911</v>
      </c>
      <c r="D675" s="1" t="s">
        <v>132</v>
      </c>
      <c r="E675" s="2">
        <v>45971</v>
      </c>
      <c r="F675" s="1" t="s">
        <v>53</v>
      </c>
      <c r="G675" s="1" t="s">
        <v>133</v>
      </c>
      <c r="H675" s="1" t="s">
        <v>88</v>
      </c>
      <c r="I675" s="1">
        <v>1</v>
      </c>
      <c r="J675" s="3">
        <v>17036</v>
      </c>
      <c r="K675" s="3">
        <v>16256</v>
      </c>
      <c r="L675" s="1">
        <v>0</v>
      </c>
      <c r="M675" s="4">
        <v>0</v>
      </c>
      <c r="N675" s="1">
        <v>780</v>
      </c>
      <c r="O675" s="4">
        <v>4.5999999999999999E-2</v>
      </c>
      <c r="P675" s="1" t="s">
        <v>2721</v>
      </c>
    </row>
    <row r="676" spans="1:16">
      <c r="A676" s="1" t="s">
        <v>15</v>
      </c>
      <c r="B676" s="1">
        <v>11</v>
      </c>
      <c r="C676" s="1" t="s">
        <v>3912</v>
      </c>
      <c r="D676" s="1" t="s">
        <v>865</v>
      </c>
      <c r="E676" s="2">
        <v>45971</v>
      </c>
      <c r="F676" s="1" t="s">
        <v>334</v>
      </c>
      <c r="G676" s="1" t="s">
        <v>866</v>
      </c>
      <c r="H676" s="1" t="s">
        <v>3913</v>
      </c>
      <c r="I676" s="1">
        <v>1</v>
      </c>
      <c r="J676" s="3">
        <v>9044</v>
      </c>
      <c r="K676" s="3">
        <v>8630</v>
      </c>
      <c r="L676" s="1">
        <v>0</v>
      </c>
      <c r="M676" s="4">
        <v>0</v>
      </c>
      <c r="N676" s="1">
        <v>414</v>
      </c>
      <c r="O676" s="4">
        <v>4.5999999999999999E-2</v>
      </c>
      <c r="P676" s="1" t="s">
        <v>2721</v>
      </c>
    </row>
    <row r="677" spans="1:16">
      <c r="A677" s="1" t="s">
        <v>15</v>
      </c>
      <c r="B677" s="1">
        <v>11</v>
      </c>
      <c r="C677" s="1" t="s">
        <v>3914</v>
      </c>
      <c r="D677" s="1" t="s">
        <v>504</v>
      </c>
      <c r="E677" s="2">
        <v>45971</v>
      </c>
      <c r="F677" s="1" t="s">
        <v>407</v>
      </c>
      <c r="G677" s="1" t="s">
        <v>505</v>
      </c>
      <c r="H677" s="1" t="s">
        <v>506</v>
      </c>
      <c r="I677" s="1">
        <v>1</v>
      </c>
      <c r="J677" s="3">
        <v>40303</v>
      </c>
      <c r="K677" s="3">
        <v>38458</v>
      </c>
      <c r="L677" s="1">
        <v>0</v>
      </c>
      <c r="M677" s="4">
        <v>0</v>
      </c>
      <c r="N677" s="3">
        <v>1845</v>
      </c>
      <c r="O677" s="4">
        <v>4.5999999999999999E-2</v>
      </c>
      <c r="P677" s="1" t="s">
        <v>2721</v>
      </c>
    </row>
    <row r="678" spans="1:16">
      <c r="A678" s="1" t="s">
        <v>15</v>
      </c>
      <c r="B678" s="1">
        <v>11</v>
      </c>
      <c r="C678" s="1" t="s">
        <v>3914</v>
      </c>
      <c r="D678" s="1" t="s">
        <v>960</v>
      </c>
      <c r="E678" s="2">
        <v>45971</v>
      </c>
      <c r="F678" s="1" t="s">
        <v>407</v>
      </c>
      <c r="G678" s="1" t="s">
        <v>961</v>
      </c>
      <c r="H678" s="1" t="s">
        <v>2830</v>
      </c>
      <c r="I678" s="1">
        <v>1</v>
      </c>
      <c r="J678" s="3">
        <v>16711</v>
      </c>
      <c r="K678" s="3">
        <v>15946</v>
      </c>
      <c r="L678" s="1">
        <v>0</v>
      </c>
      <c r="M678" s="4">
        <v>0</v>
      </c>
      <c r="N678" s="1">
        <v>765</v>
      </c>
      <c r="O678" s="4">
        <v>4.5999999999999999E-2</v>
      </c>
      <c r="P678" s="1" t="s">
        <v>2721</v>
      </c>
    </row>
    <row r="679" spans="1:16">
      <c r="A679" s="1" t="s">
        <v>15</v>
      </c>
      <c r="B679" s="1">
        <v>11</v>
      </c>
      <c r="C679" s="1" t="s">
        <v>3915</v>
      </c>
      <c r="D679" s="1" t="s">
        <v>86</v>
      </c>
      <c r="E679" s="2">
        <v>45971</v>
      </c>
      <c r="F679" s="1" t="s">
        <v>53</v>
      </c>
      <c r="G679" s="1" t="s">
        <v>87</v>
      </c>
      <c r="H679" s="1" t="s">
        <v>88</v>
      </c>
      <c r="I679" s="1">
        <v>1</v>
      </c>
      <c r="J679" s="3">
        <v>14956</v>
      </c>
      <c r="K679" s="3">
        <v>14272</v>
      </c>
      <c r="L679" s="1">
        <v>0</v>
      </c>
      <c r="M679" s="4">
        <v>0</v>
      </c>
      <c r="N679" s="1">
        <v>684</v>
      </c>
      <c r="O679" s="4">
        <v>4.5999999999999999E-2</v>
      </c>
      <c r="P679" s="1" t="s">
        <v>2721</v>
      </c>
    </row>
    <row r="680" spans="1:16">
      <c r="A680" s="1" t="s">
        <v>15</v>
      </c>
      <c r="B680" s="1">
        <v>11</v>
      </c>
      <c r="C680" s="1" t="s">
        <v>3916</v>
      </c>
      <c r="D680" s="1" t="s">
        <v>1020</v>
      </c>
      <c r="E680" s="2">
        <v>45971</v>
      </c>
      <c r="F680" s="1" t="s">
        <v>1021</v>
      </c>
      <c r="G680" s="1" t="s">
        <v>1022</v>
      </c>
      <c r="H680" s="1" t="s">
        <v>1023</v>
      </c>
      <c r="I680" s="1">
        <v>1</v>
      </c>
      <c r="J680" s="3">
        <v>16912</v>
      </c>
      <c r="K680" s="3">
        <v>16137</v>
      </c>
      <c r="L680" s="1">
        <v>0</v>
      </c>
      <c r="M680" s="4">
        <v>0</v>
      </c>
      <c r="N680" s="1">
        <v>775</v>
      </c>
      <c r="O680" s="4">
        <v>4.5999999999999999E-2</v>
      </c>
      <c r="P680" s="1" t="s">
        <v>2721</v>
      </c>
    </row>
    <row r="681" spans="1:16">
      <c r="A681" s="1" t="s">
        <v>15</v>
      </c>
      <c r="B681" s="1">
        <v>11</v>
      </c>
      <c r="C681" s="1" t="s">
        <v>3917</v>
      </c>
      <c r="D681" s="1" t="s">
        <v>922</v>
      </c>
      <c r="E681" s="2">
        <v>45971</v>
      </c>
      <c r="F681" s="1" t="s">
        <v>126</v>
      </c>
      <c r="G681" s="1" t="s">
        <v>923</v>
      </c>
      <c r="H681" s="1" t="s">
        <v>924</v>
      </c>
      <c r="I681" s="1">
        <v>1</v>
      </c>
      <c r="J681" s="3">
        <v>22609</v>
      </c>
      <c r="K681" s="3">
        <v>21574</v>
      </c>
      <c r="L681" s="1">
        <v>0</v>
      </c>
      <c r="M681" s="4">
        <v>0</v>
      </c>
      <c r="N681" s="3">
        <v>1035</v>
      </c>
      <c r="O681" s="4">
        <v>4.5999999999999999E-2</v>
      </c>
      <c r="P681" s="1" t="s">
        <v>2721</v>
      </c>
    </row>
    <row r="682" spans="1:16">
      <c r="A682" s="1" t="s">
        <v>15</v>
      </c>
      <c r="B682" s="1">
        <v>11</v>
      </c>
      <c r="C682" s="1" t="s">
        <v>3918</v>
      </c>
      <c r="D682" s="1" t="s">
        <v>169</v>
      </c>
      <c r="E682" s="2">
        <v>45971</v>
      </c>
      <c r="F682" s="1" t="s">
        <v>53</v>
      </c>
      <c r="G682" s="1" t="s">
        <v>170</v>
      </c>
      <c r="H682" s="1" t="s">
        <v>171</v>
      </c>
      <c r="I682" s="1">
        <v>1</v>
      </c>
      <c r="J682" s="3">
        <v>14332</v>
      </c>
      <c r="K682" s="3">
        <v>13676</v>
      </c>
      <c r="L682" s="1">
        <v>0</v>
      </c>
      <c r="M682" s="4">
        <v>0</v>
      </c>
      <c r="N682" s="1">
        <v>656</v>
      </c>
      <c r="O682" s="4">
        <v>4.5999999999999999E-2</v>
      </c>
      <c r="P682" s="1" t="s">
        <v>2721</v>
      </c>
    </row>
    <row r="683" spans="1:16">
      <c r="A683" s="1" t="s">
        <v>15</v>
      </c>
      <c r="B683" s="1">
        <v>11</v>
      </c>
      <c r="C683" s="1" t="s">
        <v>3919</v>
      </c>
      <c r="D683" s="1" t="s">
        <v>1467</v>
      </c>
      <c r="E683" s="2">
        <v>45971</v>
      </c>
      <c r="F683" s="1" t="s">
        <v>126</v>
      </c>
      <c r="G683" s="1" t="s">
        <v>1468</v>
      </c>
      <c r="H683" s="1" t="s">
        <v>1469</v>
      </c>
      <c r="I683" s="1">
        <v>1</v>
      </c>
      <c r="J683" s="3">
        <v>17989</v>
      </c>
      <c r="K683" s="3">
        <v>17165</v>
      </c>
      <c r="L683" s="1">
        <v>0</v>
      </c>
      <c r="M683" s="4">
        <v>0</v>
      </c>
      <c r="N683" s="1">
        <v>824</v>
      </c>
      <c r="O683" s="4">
        <v>4.5999999999999999E-2</v>
      </c>
      <c r="P683" s="1" t="s">
        <v>2721</v>
      </c>
    </row>
    <row r="684" spans="1:16">
      <c r="A684" s="1" t="s">
        <v>15</v>
      </c>
      <c r="B684" s="1">
        <v>11</v>
      </c>
      <c r="C684" s="1" t="s">
        <v>3920</v>
      </c>
      <c r="D684" s="1" t="s">
        <v>1546</v>
      </c>
      <c r="E684" s="2">
        <v>45971</v>
      </c>
      <c r="F684" s="1" t="s">
        <v>261</v>
      </c>
      <c r="G684" s="1" t="s">
        <v>706</v>
      </c>
      <c r="H684" s="1" t="s">
        <v>706</v>
      </c>
      <c r="I684" s="1">
        <v>1</v>
      </c>
      <c r="J684" s="3">
        <v>32439</v>
      </c>
      <c r="K684" s="3">
        <v>30954</v>
      </c>
      <c r="L684" s="1">
        <v>0</v>
      </c>
      <c r="M684" s="4">
        <v>0</v>
      </c>
      <c r="N684" s="3">
        <v>1485</v>
      </c>
      <c r="O684" s="4">
        <v>4.5999999999999999E-2</v>
      </c>
      <c r="P684" s="1" t="s">
        <v>2721</v>
      </c>
    </row>
    <row r="685" spans="1:16">
      <c r="A685" s="1" t="s">
        <v>15</v>
      </c>
      <c r="B685" s="1">
        <v>11</v>
      </c>
      <c r="C685" s="1" t="s">
        <v>3921</v>
      </c>
      <c r="D685" s="1" t="s">
        <v>3922</v>
      </c>
      <c r="E685" s="2">
        <v>45971</v>
      </c>
      <c r="F685" s="1" t="s">
        <v>395</v>
      </c>
      <c r="G685" s="1" t="s">
        <v>1758</v>
      </c>
      <c r="H685" s="1" t="s">
        <v>3923</v>
      </c>
      <c r="I685" s="1">
        <v>1</v>
      </c>
      <c r="J685" s="3">
        <v>18874</v>
      </c>
      <c r="K685" s="3">
        <v>18010</v>
      </c>
      <c r="L685" s="1">
        <v>0</v>
      </c>
      <c r="M685" s="4">
        <v>0</v>
      </c>
      <c r="N685" s="1">
        <v>864</v>
      </c>
      <c r="O685" s="4">
        <v>4.5999999999999999E-2</v>
      </c>
      <c r="P685" s="1" t="s">
        <v>2721</v>
      </c>
    </row>
    <row r="686" spans="1:16">
      <c r="A686" s="1" t="s">
        <v>15</v>
      </c>
      <c r="B686" s="1">
        <v>11</v>
      </c>
      <c r="C686" s="1" t="s">
        <v>3924</v>
      </c>
      <c r="D686" s="1" t="s">
        <v>797</v>
      </c>
      <c r="E686" s="2">
        <v>45971</v>
      </c>
      <c r="F686" s="1" t="s">
        <v>798</v>
      </c>
      <c r="G686" s="1" t="s">
        <v>799</v>
      </c>
      <c r="H686" s="1" t="s">
        <v>832</v>
      </c>
      <c r="I686" s="1">
        <v>1</v>
      </c>
      <c r="J686" s="3">
        <v>13271</v>
      </c>
      <c r="K686" s="3">
        <v>12663</v>
      </c>
      <c r="L686" s="1">
        <v>0</v>
      </c>
      <c r="M686" s="4">
        <v>0</v>
      </c>
      <c r="N686" s="1">
        <v>608</v>
      </c>
      <c r="O686" s="4">
        <v>4.5999999999999999E-2</v>
      </c>
      <c r="P686" s="1" t="s">
        <v>2721</v>
      </c>
    </row>
    <row r="687" spans="1:16">
      <c r="A687" s="1" t="s">
        <v>15</v>
      </c>
      <c r="B687" s="1">
        <v>11</v>
      </c>
      <c r="C687" s="1" t="s">
        <v>3925</v>
      </c>
      <c r="D687" s="1" t="s">
        <v>52</v>
      </c>
      <c r="E687" s="2">
        <v>45971</v>
      </c>
      <c r="F687" s="1" t="s">
        <v>53</v>
      </c>
      <c r="G687" s="1" t="s">
        <v>54</v>
      </c>
      <c r="H687" s="1" t="s">
        <v>55</v>
      </c>
      <c r="I687" s="1">
        <v>1</v>
      </c>
      <c r="J687" s="3">
        <v>16135</v>
      </c>
      <c r="K687" s="3">
        <v>15396</v>
      </c>
      <c r="L687" s="1">
        <v>0</v>
      </c>
      <c r="M687" s="4">
        <v>0</v>
      </c>
      <c r="N687" s="1">
        <v>739</v>
      </c>
      <c r="O687" s="4">
        <v>4.5999999999999999E-2</v>
      </c>
      <c r="P687" s="1" t="s">
        <v>2721</v>
      </c>
    </row>
    <row r="688" spans="1:16">
      <c r="A688" s="1" t="s">
        <v>15</v>
      </c>
      <c r="B688" s="1">
        <v>11</v>
      </c>
      <c r="C688" s="1" t="s">
        <v>3926</v>
      </c>
      <c r="D688" s="1" t="s">
        <v>221</v>
      </c>
      <c r="E688" s="2">
        <v>45971</v>
      </c>
      <c r="F688" s="1" t="s">
        <v>96</v>
      </c>
      <c r="G688" s="1" t="s">
        <v>222</v>
      </c>
      <c r="H688" s="1" t="s">
        <v>509</v>
      </c>
      <c r="I688" s="1">
        <v>1</v>
      </c>
      <c r="J688" s="3">
        <v>12571</v>
      </c>
      <c r="K688" s="3">
        <v>11995</v>
      </c>
      <c r="L688" s="1">
        <v>0</v>
      </c>
      <c r="M688" s="4">
        <v>0</v>
      </c>
      <c r="N688" s="1">
        <v>576</v>
      </c>
      <c r="O688" s="4">
        <v>4.5999999999999999E-2</v>
      </c>
      <c r="P688" s="1" t="s">
        <v>2721</v>
      </c>
    </row>
    <row r="689" spans="1:16">
      <c r="A689" s="1" t="s">
        <v>15</v>
      </c>
      <c r="B689" s="1">
        <v>11</v>
      </c>
      <c r="C689" s="1" t="s">
        <v>3927</v>
      </c>
      <c r="D689" s="1" t="s">
        <v>3693</v>
      </c>
      <c r="E689" s="2">
        <v>45971</v>
      </c>
      <c r="F689" s="1" t="s">
        <v>2206</v>
      </c>
      <c r="G689" s="1" t="s">
        <v>3694</v>
      </c>
      <c r="H689" s="1" t="s">
        <v>3695</v>
      </c>
      <c r="I689" s="1">
        <v>4</v>
      </c>
      <c r="J689" s="3">
        <v>141686</v>
      </c>
      <c r="K689" s="3">
        <v>135200</v>
      </c>
      <c r="L689" s="1">
        <v>0</v>
      </c>
      <c r="M689" s="4">
        <v>0</v>
      </c>
      <c r="N689" s="3">
        <v>6486</v>
      </c>
      <c r="O689" s="4">
        <v>4.5999999999999999E-2</v>
      </c>
      <c r="P689" s="1" t="s">
        <v>2721</v>
      </c>
    </row>
    <row r="690" spans="1:16">
      <c r="A690" s="1" t="s">
        <v>15</v>
      </c>
      <c r="B690" s="1">
        <v>11</v>
      </c>
      <c r="C690" s="1" t="s">
        <v>3928</v>
      </c>
      <c r="D690" s="1" t="s">
        <v>2550</v>
      </c>
      <c r="E690" s="2">
        <v>45971</v>
      </c>
      <c r="F690" s="1" t="s">
        <v>543</v>
      </c>
      <c r="G690" s="1" t="s">
        <v>2551</v>
      </c>
      <c r="H690" s="1" t="s">
        <v>2552</v>
      </c>
      <c r="I690" s="1">
        <v>1</v>
      </c>
      <c r="J690" s="3">
        <v>36371</v>
      </c>
      <c r="K690" s="3">
        <v>34706</v>
      </c>
      <c r="L690" s="1">
        <v>0</v>
      </c>
      <c r="M690" s="4">
        <v>0</v>
      </c>
      <c r="N690" s="3">
        <v>1665</v>
      </c>
      <c r="O690" s="4">
        <v>4.5999999999999999E-2</v>
      </c>
      <c r="P690" s="1" t="s">
        <v>2721</v>
      </c>
    </row>
    <row r="691" spans="1:16">
      <c r="A691" s="1" t="s">
        <v>15</v>
      </c>
      <c r="B691" s="1">
        <v>11</v>
      </c>
      <c r="C691" s="1" t="s">
        <v>3929</v>
      </c>
      <c r="D691" s="1" t="s">
        <v>955</v>
      </c>
      <c r="E691" s="2">
        <v>45971</v>
      </c>
      <c r="F691" s="1" t="s">
        <v>554</v>
      </c>
      <c r="G691" s="1" t="s">
        <v>956</v>
      </c>
      <c r="H691" s="1" t="s">
        <v>957</v>
      </c>
      <c r="I691" s="1">
        <v>1</v>
      </c>
      <c r="J691" s="3">
        <v>17596</v>
      </c>
      <c r="K691" s="3">
        <v>16790</v>
      </c>
      <c r="L691" s="1">
        <v>0</v>
      </c>
      <c r="M691" s="4">
        <v>0</v>
      </c>
      <c r="N691" s="1">
        <v>806</v>
      </c>
      <c r="O691" s="4">
        <v>4.5999999999999999E-2</v>
      </c>
      <c r="P691" s="1" t="s">
        <v>2721</v>
      </c>
    </row>
    <row r="692" spans="1:16">
      <c r="A692" s="1" t="s">
        <v>15</v>
      </c>
      <c r="B692" s="1">
        <v>11</v>
      </c>
      <c r="C692" s="1" t="s">
        <v>3929</v>
      </c>
      <c r="D692" s="1" t="s">
        <v>906</v>
      </c>
      <c r="E692" s="2">
        <v>45971</v>
      </c>
      <c r="F692" s="1" t="s">
        <v>554</v>
      </c>
      <c r="G692" s="1" t="s">
        <v>907</v>
      </c>
      <c r="H692" s="1" t="s">
        <v>3875</v>
      </c>
      <c r="I692" s="1">
        <v>1</v>
      </c>
      <c r="J692" s="3">
        <v>13565</v>
      </c>
      <c r="K692" s="3">
        <v>12944</v>
      </c>
      <c r="L692" s="1">
        <v>0</v>
      </c>
      <c r="M692" s="4">
        <v>0</v>
      </c>
      <c r="N692" s="1">
        <v>621</v>
      </c>
      <c r="O692" s="4">
        <v>4.5999999999999999E-2</v>
      </c>
      <c r="P692" s="1" t="s">
        <v>2721</v>
      </c>
    </row>
    <row r="693" spans="1:16">
      <c r="A693" s="1" t="s">
        <v>15</v>
      </c>
      <c r="B693" s="1">
        <v>11</v>
      </c>
      <c r="C693" s="1" t="s">
        <v>3929</v>
      </c>
      <c r="D693" s="1" t="s">
        <v>3180</v>
      </c>
      <c r="E693" s="2">
        <v>45971</v>
      </c>
      <c r="F693" s="1" t="s">
        <v>554</v>
      </c>
      <c r="G693" s="1" t="s">
        <v>3181</v>
      </c>
      <c r="H693" s="1" t="s">
        <v>3182</v>
      </c>
      <c r="I693" s="1">
        <v>1</v>
      </c>
      <c r="J693" s="3">
        <v>11255</v>
      </c>
      <c r="K693" s="3">
        <v>10740</v>
      </c>
      <c r="L693" s="1">
        <v>0</v>
      </c>
      <c r="M693" s="4">
        <v>0</v>
      </c>
      <c r="N693" s="1">
        <v>515</v>
      </c>
      <c r="O693" s="4">
        <v>4.5999999999999999E-2</v>
      </c>
      <c r="P693" s="1" t="s">
        <v>2721</v>
      </c>
    </row>
    <row r="694" spans="1:16">
      <c r="A694" s="1" t="s">
        <v>15</v>
      </c>
      <c r="B694" s="1">
        <v>11</v>
      </c>
      <c r="C694" s="1" t="s">
        <v>3930</v>
      </c>
      <c r="D694" s="1" t="s">
        <v>346</v>
      </c>
      <c r="E694" s="2">
        <v>45971</v>
      </c>
      <c r="F694" s="1" t="s">
        <v>347</v>
      </c>
      <c r="G694" s="1" t="s">
        <v>348</v>
      </c>
      <c r="H694" s="1" t="s">
        <v>3931</v>
      </c>
      <c r="I694" s="1">
        <v>1</v>
      </c>
      <c r="J694" s="3">
        <v>18677</v>
      </c>
      <c r="K694" s="3">
        <v>17822</v>
      </c>
      <c r="L694" s="1">
        <v>0</v>
      </c>
      <c r="M694" s="4">
        <v>0</v>
      </c>
      <c r="N694" s="1">
        <v>855</v>
      </c>
      <c r="O694" s="4">
        <v>4.5999999999999999E-2</v>
      </c>
      <c r="P694" s="1" t="s">
        <v>2721</v>
      </c>
    </row>
    <row r="695" spans="1:16">
      <c r="A695" s="1" t="s">
        <v>15</v>
      </c>
      <c r="B695" s="1">
        <v>11</v>
      </c>
      <c r="C695" s="1" t="s">
        <v>3932</v>
      </c>
      <c r="D695" s="1" t="s">
        <v>3337</v>
      </c>
      <c r="E695" s="2">
        <v>45971</v>
      </c>
      <c r="F695" s="1" t="s">
        <v>3338</v>
      </c>
      <c r="G695" s="1" t="s">
        <v>3339</v>
      </c>
      <c r="H695" s="1" t="s">
        <v>3340</v>
      </c>
      <c r="I695" s="1">
        <v>1</v>
      </c>
      <c r="J695" s="3">
        <v>29392</v>
      </c>
      <c r="K695" s="3">
        <v>28046</v>
      </c>
      <c r="L695" s="1">
        <v>0</v>
      </c>
      <c r="M695" s="4">
        <v>0</v>
      </c>
      <c r="N695" s="3">
        <v>1346</v>
      </c>
      <c r="O695" s="4">
        <v>4.5999999999999999E-2</v>
      </c>
      <c r="P695" s="1" t="s">
        <v>2721</v>
      </c>
    </row>
    <row r="696" spans="1:16">
      <c r="A696" s="1" t="s">
        <v>15</v>
      </c>
      <c r="B696" s="1">
        <v>11</v>
      </c>
      <c r="C696" s="1" t="s">
        <v>3933</v>
      </c>
      <c r="D696" s="1" t="s">
        <v>1191</v>
      </c>
      <c r="E696" s="2">
        <v>45971</v>
      </c>
      <c r="F696" s="1" t="s">
        <v>570</v>
      </c>
      <c r="G696" s="1" t="s">
        <v>1192</v>
      </c>
      <c r="H696" s="1" t="s">
        <v>1193</v>
      </c>
      <c r="I696" s="1">
        <v>1</v>
      </c>
      <c r="J696" s="3">
        <v>16514</v>
      </c>
      <c r="K696" s="3">
        <v>15758</v>
      </c>
      <c r="L696" s="1">
        <v>0</v>
      </c>
      <c r="M696" s="4">
        <v>0</v>
      </c>
      <c r="N696" s="1">
        <v>756</v>
      </c>
      <c r="O696" s="4">
        <v>4.5999999999999999E-2</v>
      </c>
      <c r="P696" s="1" t="s">
        <v>2721</v>
      </c>
    </row>
    <row r="697" spans="1:16">
      <c r="A697" s="1" t="s">
        <v>15</v>
      </c>
      <c r="B697" s="1">
        <v>11</v>
      </c>
      <c r="C697" s="1" t="s">
        <v>3934</v>
      </c>
      <c r="D697" s="1" t="s">
        <v>3935</v>
      </c>
      <c r="E697" s="2">
        <v>45971</v>
      </c>
      <c r="F697" s="1" t="s">
        <v>96</v>
      </c>
      <c r="G697" s="1" t="s">
        <v>3936</v>
      </c>
      <c r="H697" s="1" t="s">
        <v>3937</v>
      </c>
      <c r="I697" s="1">
        <v>2</v>
      </c>
      <c r="J697" s="3">
        <v>25141</v>
      </c>
      <c r="K697" s="3">
        <v>23990</v>
      </c>
      <c r="L697" s="1">
        <v>0</v>
      </c>
      <c r="M697" s="4">
        <v>0</v>
      </c>
      <c r="N697" s="3">
        <v>1151</v>
      </c>
      <c r="O697" s="4">
        <v>4.5999999999999999E-2</v>
      </c>
      <c r="P697" s="1" t="s">
        <v>2721</v>
      </c>
    </row>
    <row r="698" spans="1:16">
      <c r="A698" s="1" t="s">
        <v>15</v>
      </c>
      <c r="B698" s="1">
        <v>11</v>
      </c>
      <c r="C698" s="1" t="s">
        <v>3938</v>
      </c>
      <c r="D698" s="1" t="s">
        <v>3939</v>
      </c>
      <c r="E698" s="2">
        <v>45971</v>
      </c>
      <c r="F698" s="1" t="s">
        <v>355</v>
      </c>
      <c r="G698" s="1" t="s">
        <v>3940</v>
      </c>
      <c r="H698" s="1" t="s">
        <v>3941</v>
      </c>
      <c r="I698" s="1">
        <v>1</v>
      </c>
      <c r="J698" s="3">
        <v>574072</v>
      </c>
      <c r="K698" s="3">
        <v>547792</v>
      </c>
      <c r="L698" s="1">
        <v>0</v>
      </c>
      <c r="M698" s="4">
        <v>0</v>
      </c>
      <c r="N698" s="3">
        <v>26280</v>
      </c>
      <c r="O698" s="4">
        <v>4.5999999999999999E-2</v>
      </c>
      <c r="P698" s="1" t="s">
        <v>2721</v>
      </c>
    </row>
    <row r="699" spans="1:16">
      <c r="A699" s="1" t="s">
        <v>15</v>
      </c>
      <c r="B699" s="1">
        <v>11</v>
      </c>
      <c r="C699" s="1" t="s">
        <v>3942</v>
      </c>
      <c r="D699" s="1" t="s">
        <v>2584</v>
      </c>
      <c r="E699" s="2">
        <v>45971</v>
      </c>
      <c r="F699" s="1" t="s">
        <v>1688</v>
      </c>
      <c r="G699" s="1" t="s">
        <v>2585</v>
      </c>
      <c r="H699" s="1" t="s">
        <v>2586</v>
      </c>
      <c r="I699" s="1">
        <v>2</v>
      </c>
      <c r="J699" s="3">
        <v>68122</v>
      </c>
      <c r="K699" s="3">
        <v>65003</v>
      </c>
      <c r="L699" s="1">
        <v>0</v>
      </c>
      <c r="M699" s="4">
        <v>0</v>
      </c>
      <c r="N699" s="3">
        <v>3119</v>
      </c>
      <c r="O699" s="4">
        <v>4.5999999999999999E-2</v>
      </c>
      <c r="P699" s="1" t="s">
        <v>2721</v>
      </c>
    </row>
    <row r="700" spans="1:16">
      <c r="A700" s="1" t="s">
        <v>15</v>
      </c>
      <c r="B700" s="1">
        <v>11</v>
      </c>
      <c r="C700" s="1" t="s">
        <v>3943</v>
      </c>
      <c r="D700" s="1" t="s">
        <v>3944</v>
      </c>
      <c r="E700" s="2">
        <v>45971</v>
      </c>
      <c r="F700" s="1" t="s">
        <v>292</v>
      </c>
      <c r="G700" s="1" t="s">
        <v>3945</v>
      </c>
      <c r="H700" s="1" t="s">
        <v>3946</v>
      </c>
      <c r="I700" s="1">
        <v>1</v>
      </c>
      <c r="J700" s="3">
        <v>32832</v>
      </c>
      <c r="K700" s="3">
        <v>31329</v>
      </c>
      <c r="L700" s="1">
        <v>0</v>
      </c>
      <c r="M700" s="4">
        <v>0</v>
      </c>
      <c r="N700" s="3">
        <v>1503</v>
      </c>
      <c r="O700" s="4">
        <v>4.5999999999999999E-2</v>
      </c>
      <c r="P700" s="1" t="s">
        <v>2721</v>
      </c>
    </row>
    <row r="701" spans="1:16">
      <c r="A701" s="1" t="s">
        <v>15</v>
      </c>
      <c r="B701" s="1">
        <v>11</v>
      </c>
      <c r="C701" s="1" t="s">
        <v>3947</v>
      </c>
      <c r="D701" s="1" t="s">
        <v>1153</v>
      </c>
      <c r="E701" s="2">
        <v>45971</v>
      </c>
      <c r="F701" s="1" t="s">
        <v>235</v>
      </c>
      <c r="G701" s="1" t="s">
        <v>1154</v>
      </c>
      <c r="H701" s="1" t="s">
        <v>1155</v>
      </c>
      <c r="I701" s="1">
        <v>1</v>
      </c>
      <c r="J701" s="3">
        <v>14254</v>
      </c>
      <c r="K701" s="3">
        <v>13601</v>
      </c>
      <c r="L701" s="1">
        <v>0</v>
      </c>
      <c r="M701" s="4">
        <v>0</v>
      </c>
      <c r="N701" s="1">
        <v>653</v>
      </c>
      <c r="O701" s="4">
        <v>4.5999999999999999E-2</v>
      </c>
      <c r="P701" s="1" t="s">
        <v>2721</v>
      </c>
    </row>
    <row r="702" spans="1:16">
      <c r="A702" s="1" t="s">
        <v>15</v>
      </c>
      <c r="B702" s="1">
        <v>11</v>
      </c>
      <c r="C702" s="1" t="s">
        <v>3948</v>
      </c>
      <c r="D702" s="1" t="s">
        <v>440</v>
      </c>
      <c r="E702" s="2">
        <v>45971</v>
      </c>
      <c r="F702" s="1" t="s">
        <v>441</v>
      </c>
      <c r="G702" s="1" t="s">
        <v>442</v>
      </c>
      <c r="H702" s="1" t="s">
        <v>443</v>
      </c>
      <c r="I702" s="1">
        <v>1</v>
      </c>
      <c r="J702" s="3">
        <v>27524</v>
      </c>
      <c r="K702" s="3">
        <v>26264</v>
      </c>
      <c r="L702" s="1">
        <v>0</v>
      </c>
      <c r="M702" s="4">
        <v>0</v>
      </c>
      <c r="N702" s="3">
        <v>1260</v>
      </c>
      <c r="O702" s="4">
        <v>4.5999999999999999E-2</v>
      </c>
      <c r="P702" s="1" t="s">
        <v>2721</v>
      </c>
    </row>
    <row r="703" spans="1:16">
      <c r="A703" s="1" t="s">
        <v>15</v>
      </c>
      <c r="B703" s="1">
        <v>11</v>
      </c>
      <c r="C703" s="1" t="s">
        <v>3949</v>
      </c>
      <c r="D703" s="1" t="s">
        <v>3950</v>
      </c>
      <c r="E703" s="2">
        <v>45971</v>
      </c>
      <c r="F703" s="1" t="s">
        <v>3484</v>
      </c>
      <c r="G703" s="1" t="s">
        <v>3951</v>
      </c>
      <c r="H703" s="1" t="s">
        <v>3952</v>
      </c>
      <c r="I703" s="1">
        <v>1</v>
      </c>
      <c r="J703" s="3">
        <v>16613</v>
      </c>
      <c r="K703" s="3">
        <v>15852</v>
      </c>
      <c r="L703" s="1">
        <v>0</v>
      </c>
      <c r="M703" s="4">
        <v>0</v>
      </c>
      <c r="N703" s="1">
        <v>761</v>
      </c>
      <c r="O703" s="4">
        <v>4.5999999999999999E-2</v>
      </c>
      <c r="P703" s="1" t="s">
        <v>2721</v>
      </c>
    </row>
    <row r="704" spans="1:16">
      <c r="A704" s="1" t="s">
        <v>15</v>
      </c>
      <c r="B704" s="1">
        <v>11</v>
      </c>
      <c r="C704" s="1" t="s">
        <v>3953</v>
      </c>
      <c r="D704" s="1" t="s">
        <v>52</v>
      </c>
      <c r="E704" s="2">
        <v>45971</v>
      </c>
      <c r="F704" s="1" t="s">
        <v>53</v>
      </c>
      <c r="G704" s="1" t="s">
        <v>54</v>
      </c>
      <c r="H704" s="1" t="s">
        <v>55</v>
      </c>
      <c r="I704" s="1">
        <v>1</v>
      </c>
      <c r="J704" s="3">
        <v>16135</v>
      </c>
      <c r="K704" s="3">
        <v>15396</v>
      </c>
      <c r="L704" s="1">
        <v>0</v>
      </c>
      <c r="M704" s="4">
        <v>0</v>
      </c>
      <c r="N704" s="1">
        <v>739</v>
      </c>
      <c r="O704" s="4">
        <v>4.5999999999999999E-2</v>
      </c>
      <c r="P704" s="1" t="s">
        <v>2721</v>
      </c>
    </row>
    <row r="705" spans="1:16">
      <c r="A705" s="1" t="s">
        <v>15</v>
      </c>
      <c r="B705" s="1">
        <v>11</v>
      </c>
      <c r="C705" s="1" t="s">
        <v>3954</v>
      </c>
      <c r="D705" s="1" t="s">
        <v>887</v>
      </c>
      <c r="E705" s="2">
        <v>45971</v>
      </c>
      <c r="F705" s="1" t="s">
        <v>53</v>
      </c>
      <c r="G705" s="1" t="s">
        <v>888</v>
      </c>
      <c r="H705" s="1" t="s">
        <v>2436</v>
      </c>
      <c r="I705" s="1">
        <v>1</v>
      </c>
      <c r="J705" s="3">
        <v>20553</v>
      </c>
      <c r="K705" s="3">
        <v>19612</v>
      </c>
      <c r="L705" s="1">
        <v>0</v>
      </c>
      <c r="M705" s="4">
        <v>0</v>
      </c>
      <c r="N705" s="1">
        <v>941</v>
      </c>
      <c r="O705" s="4">
        <v>4.5999999999999999E-2</v>
      </c>
      <c r="P705" s="1" t="s">
        <v>2721</v>
      </c>
    </row>
    <row r="706" spans="1:16">
      <c r="A706" s="1" t="s">
        <v>15</v>
      </c>
      <c r="B706" s="1">
        <v>11</v>
      </c>
      <c r="C706" s="1" t="s">
        <v>3955</v>
      </c>
      <c r="D706" s="1" t="s">
        <v>291</v>
      </c>
      <c r="E706" s="2">
        <v>45971</v>
      </c>
      <c r="F706" s="1" t="s">
        <v>292</v>
      </c>
      <c r="G706" s="1" t="s">
        <v>293</v>
      </c>
      <c r="H706" s="1" t="s">
        <v>1231</v>
      </c>
      <c r="I706" s="1">
        <v>2</v>
      </c>
      <c r="J706" s="3">
        <v>26541</v>
      </c>
      <c r="K706" s="3">
        <v>25326</v>
      </c>
      <c r="L706" s="1">
        <v>0</v>
      </c>
      <c r="M706" s="4">
        <v>0</v>
      </c>
      <c r="N706" s="3">
        <v>1215</v>
      </c>
      <c r="O706" s="4">
        <v>4.5999999999999999E-2</v>
      </c>
      <c r="P706" s="1" t="s">
        <v>2721</v>
      </c>
    </row>
    <row r="707" spans="1:16">
      <c r="A707" s="1" t="s">
        <v>15</v>
      </c>
      <c r="B707" s="1">
        <v>11</v>
      </c>
      <c r="C707" s="1" t="s">
        <v>3956</v>
      </c>
      <c r="D707" s="1" t="s">
        <v>878</v>
      </c>
      <c r="E707" s="2">
        <v>45971</v>
      </c>
      <c r="F707" s="1" t="s">
        <v>856</v>
      </c>
      <c r="G707" s="1" t="s">
        <v>879</v>
      </c>
      <c r="H707" s="1" t="s">
        <v>880</v>
      </c>
      <c r="I707" s="1">
        <v>1</v>
      </c>
      <c r="J707" s="3">
        <v>89453</v>
      </c>
      <c r="K707" s="3">
        <v>85358</v>
      </c>
      <c r="L707" s="1">
        <v>0</v>
      </c>
      <c r="M707" s="4">
        <v>0</v>
      </c>
      <c r="N707" s="3">
        <v>4095</v>
      </c>
      <c r="O707" s="4">
        <v>4.5999999999999999E-2</v>
      </c>
      <c r="P707" s="1" t="s">
        <v>2721</v>
      </c>
    </row>
    <row r="708" spans="1:16">
      <c r="A708" s="1" t="s">
        <v>15</v>
      </c>
      <c r="B708" s="1">
        <v>11</v>
      </c>
      <c r="C708" s="1" t="s">
        <v>3957</v>
      </c>
      <c r="D708" s="1" t="s">
        <v>3653</v>
      </c>
      <c r="E708" s="2">
        <v>45971</v>
      </c>
      <c r="F708" s="1" t="s">
        <v>725</v>
      </c>
      <c r="G708" s="1" t="s">
        <v>3654</v>
      </c>
      <c r="H708" s="1" t="s">
        <v>3655</v>
      </c>
      <c r="I708" s="1">
        <v>2</v>
      </c>
      <c r="J708" s="3">
        <v>263837</v>
      </c>
      <c r="K708" s="3">
        <v>251759</v>
      </c>
      <c r="L708" s="1">
        <v>0</v>
      </c>
      <c r="M708" s="4">
        <v>0</v>
      </c>
      <c r="N708" s="3">
        <v>12078</v>
      </c>
      <c r="O708" s="4">
        <v>4.5999999999999999E-2</v>
      </c>
      <c r="P708" s="1" t="s">
        <v>2721</v>
      </c>
    </row>
    <row r="709" spans="1:16">
      <c r="A709" s="1" t="s">
        <v>15</v>
      </c>
      <c r="B709" s="1">
        <v>11</v>
      </c>
      <c r="C709" s="1" t="s">
        <v>3958</v>
      </c>
      <c r="D709" s="1" t="s">
        <v>86</v>
      </c>
      <c r="E709" s="2">
        <v>45971</v>
      </c>
      <c r="F709" s="1" t="s">
        <v>53</v>
      </c>
      <c r="G709" s="1" t="s">
        <v>87</v>
      </c>
      <c r="H709" s="1" t="s">
        <v>88</v>
      </c>
      <c r="I709" s="1">
        <v>1</v>
      </c>
      <c r="J709" s="3">
        <v>14956</v>
      </c>
      <c r="K709" s="3">
        <v>14272</v>
      </c>
      <c r="L709" s="1">
        <v>0</v>
      </c>
      <c r="M709" s="4">
        <v>0</v>
      </c>
      <c r="N709" s="1">
        <v>684</v>
      </c>
      <c r="O709" s="4">
        <v>4.5999999999999999E-2</v>
      </c>
      <c r="P709" s="1" t="s">
        <v>2721</v>
      </c>
    </row>
    <row r="710" spans="1:16">
      <c r="A710" s="1" t="s">
        <v>15</v>
      </c>
      <c r="B710" s="1">
        <v>11</v>
      </c>
      <c r="C710" s="1" t="s">
        <v>3959</v>
      </c>
      <c r="D710" s="1" t="s">
        <v>86</v>
      </c>
      <c r="E710" s="2">
        <v>45971</v>
      </c>
      <c r="F710" s="1" t="s">
        <v>53</v>
      </c>
      <c r="G710" s="1" t="s">
        <v>87</v>
      </c>
      <c r="H710" s="1" t="s">
        <v>88</v>
      </c>
      <c r="I710" s="1">
        <v>1</v>
      </c>
      <c r="J710" s="3">
        <v>14956</v>
      </c>
      <c r="K710" s="3">
        <v>14272</v>
      </c>
      <c r="L710" s="1">
        <v>0</v>
      </c>
      <c r="M710" s="4">
        <v>0</v>
      </c>
      <c r="N710" s="1">
        <v>684</v>
      </c>
      <c r="O710" s="4">
        <v>4.5999999999999999E-2</v>
      </c>
      <c r="P710" s="1" t="s">
        <v>2721</v>
      </c>
    </row>
    <row r="711" spans="1:16">
      <c r="A711" s="1" t="s">
        <v>15</v>
      </c>
      <c r="B711" s="1">
        <v>11</v>
      </c>
      <c r="C711" s="1" t="s">
        <v>3960</v>
      </c>
      <c r="D711" s="1" t="s">
        <v>504</v>
      </c>
      <c r="E711" s="2">
        <v>45971</v>
      </c>
      <c r="F711" s="1" t="s">
        <v>407</v>
      </c>
      <c r="G711" s="1" t="s">
        <v>505</v>
      </c>
      <c r="H711" s="1" t="s">
        <v>1131</v>
      </c>
      <c r="I711" s="1">
        <v>1</v>
      </c>
      <c r="J711" s="3">
        <v>54065</v>
      </c>
      <c r="K711" s="3">
        <v>51590</v>
      </c>
      <c r="L711" s="1">
        <v>0</v>
      </c>
      <c r="M711" s="4">
        <v>0</v>
      </c>
      <c r="N711" s="3">
        <v>2475</v>
      </c>
      <c r="O711" s="4">
        <v>4.5999999999999999E-2</v>
      </c>
      <c r="P711" s="1" t="s">
        <v>2721</v>
      </c>
    </row>
    <row r="712" spans="1:16">
      <c r="A712" s="1" t="s">
        <v>15</v>
      </c>
      <c r="B712" s="1">
        <v>11</v>
      </c>
      <c r="C712" s="1" t="s">
        <v>3961</v>
      </c>
      <c r="D712" s="1" t="s">
        <v>813</v>
      </c>
      <c r="E712" s="2">
        <v>45971</v>
      </c>
      <c r="F712" s="1" t="s">
        <v>126</v>
      </c>
      <c r="G712" s="1" t="s">
        <v>814</v>
      </c>
      <c r="H712" s="1" t="s">
        <v>816</v>
      </c>
      <c r="I712" s="1">
        <v>1</v>
      </c>
      <c r="J712" s="3">
        <v>17203</v>
      </c>
      <c r="K712" s="3">
        <v>16415</v>
      </c>
      <c r="L712" s="1">
        <v>0</v>
      </c>
      <c r="M712" s="4">
        <v>0</v>
      </c>
      <c r="N712" s="1">
        <v>788</v>
      </c>
      <c r="O712" s="4">
        <v>4.5999999999999999E-2</v>
      </c>
      <c r="P712" s="1" t="s">
        <v>2721</v>
      </c>
    </row>
    <row r="713" spans="1:16">
      <c r="A713" s="1" t="s">
        <v>15</v>
      </c>
      <c r="B713" s="1">
        <v>11</v>
      </c>
      <c r="C713" s="1" t="s">
        <v>3962</v>
      </c>
      <c r="D713" s="1" t="s">
        <v>903</v>
      </c>
      <c r="E713" s="2">
        <v>45971</v>
      </c>
      <c r="F713" s="1" t="s">
        <v>23</v>
      </c>
      <c r="G713" s="1" t="s">
        <v>587</v>
      </c>
      <c r="H713" s="1" t="s">
        <v>588</v>
      </c>
      <c r="I713" s="1">
        <v>1</v>
      </c>
      <c r="J713" s="3">
        <v>13762</v>
      </c>
      <c r="K713" s="3">
        <v>13132</v>
      </c>
      <c r="L713" s="1">
        <v>0</v>
      </c>
      <c r="M713" s="4">
        <v>0</v>
      </c>
      <c r="N713" s="1">
        <v>630</v>
      </c>
      <c r="O713" s="4">
        <v>4.5999999999999999E-2</v>
      </c>
      <c r="P713" s="1" t="s">
        <v>2721</v>
      </c>
    </row>
    <row r="714" spans="1:16">
      <c r="A714" s="1" t="s">
        <v>15</v>
      </c>
      <c r="B714" s="1">
        <v>11</v>
      </c>
      <c r="C714" s="1" t="s">
        <v>3963</v>
      </c>
      <c r="D714" s="1" t="s">
        <v>974</v>
      </c>
      <c r="E714" s="2">
        <v>45971</v>
      </c>
      <c r="F714" s="1" t="s">
        <v>975</v>
      </c>
      <c r="G714" s="1" t="s">
        <v>976</v>
      </c>
      <c r="H714" s="1" t="s">
        <v>977</v>
      </c>
      <c r="I714" s="1">
        <v>1</v>
      </c>
      <c r="J714" s="3">
        <v>78640</v>
      </c>
      <c r="K714" s="3">
        <v>75040</v>
      </c>
      <c r="L714" s="1">
        <v>0</v>
      </c>
      <c r="M714" s="4">
        <v>0</v>
      </c>
      <c r="N714" s="3">
        <v>3600</v>
      </c>
      <c r="O714" s="4">
        <v>4.5999999999999999E-2</v>
      </c>
      <c r="P714" s="1" t="s">
        <v>2721</v>
      </c>
    </row>
    <row r="715" spans="1:16">
      <c r="A715" s="1" t="s">
        <v>15</v>
      </c>
      <c r="B715" s="1">
        <v>11</v>
      </c>
      <c r="C715" s="1" t="s">
        <v>3964</v>
      </c>
      <c r="D715" s="1" t="s">
        <v>238</v>
      </c>
      <c r="E715" s="2">
        <v>45971</v>
      </c>
      <c r="F715" s="1" t="s">
        <v>239</v>
      </c>
      <c r="G715" s="1" t="s">
        <v>240</v>
      </c>
      <c r="H715" s="1" t="s">
        <v>241</v>
      </c>
      <c r="I715" s="1">
        <v>2</v>
      </c>
      <c r="J715" s="3">
        <v>22609</v>
      </c>
      <c r="K715" s="3">
        <v>21574</v>
      </c>
      <c r="L715" s="1">
        <v>0</v>
      </c>
      <c r="M715" s="4">
        <v>0</v>
      </c>
      <c r="N715" s="3">
        <v>1035</v>
      </c>
      <c r="O715" s="4">
        <v>4.5999999999999999E-2</v>
      </c>
      <c r="P715" s="1" t="s">
        <v>2721</v>
      </c>
    </row>
    <row r="716" spans="1:16">
      <c r="A716" s="1" t="s">
        <v>15</v>
      </c>
      <c r="B716" s="1">
        <v>11</v>
      </c>
      <c r="C716" s="1" t="s">
        <v>3965</v>
      </c>
      <c r="D716" s="1" t="s">
        <v>474</v>
      </c>
      <c r="E716" s="2">
        <v>45971</v>
      </c>
      <c r="F716" s="1" t="s">
        <v>53</v>
      </c>
      <c r="G716" s="1" t="s">
        <v>475</v>
      </c>
      <c r="H716" s="1" t="s">
        <v>476</v>
      </c>
      <c r="I716" s="1">
        <v>1</v>
      </c>
      <c r="J716" s="3">
        <v>10726</v>
      </c>
      <c r="K716" s="3">
        <v>10235</v>
      </c>
      <c r="L716" s="1">
        <v>0</v>
      </c>
      <c r="M716" s="4">
        <v>0</v>
      </c>
      <c r="N716" s="1">
        <v>491</v>
      </c>
      <c r="O716" s="4">
        <v>4.5999999999999999E-2</v>
      </c>
      <c r="P716" s="1" t="s">
        <v>2721</v>
      </c>
    </row>
    <row r="717" spans="1:16">
      <c r="A717" s="1" t="s">
        <v>15</v>
      </c>
      <c r="B717" s="1">
        <v>11</v>
      </c>
      <c r="C717" s="1" t="s">
        <v>3966</v>
      </c>
      <c r="D717" s="1" t="s">
        <v>3967</v>
      </c>
      <c r="E717" s="2">
        <v>45971</v>
      </c>
      <c r="F717" s="1" t="s">
        <v>187</v>
      </c>
      <c r="G717" s="1" t="s">
        <v>3968</v>
      </c>
      <c r="H717" s="1" t="s">
        <v>3969</v>
      </c>
      <c r="I717" s="1">
        <v>1</v>
      </c>
      <c r="J717" s="3">
        <v>27524</v>
      </c>
      <c r="K717" s="3">
        <v>26264</v>
      </c>
      <c r="L717" s="1">
        <v>0</v>
      </c>
      <c r="M717" s="4">
        <v>0</v>
      </c>
      <c r="N717" s="3">
        <v>1260</v>
      </c>
      <c r="O717" s="4">
        <v>4.5999999999999999E-2</v>
      </c>
      <c r="P717" s="1" t="s">
        <v>2721</v>
      </c>
    </row>
    <row r="718" spans="1:16">
      <c r="A718" s="1" t="s">
        <v>15</v>
      </c>
      <c r="B718" s="1">
        <v>11</v>
      </c>
      <c r="C718" s="1" t="s">
        <v>3970</v>
      </c>
      <c r="D718" s="1" t="s">
        <v>2799</v>
      </c>
      <c r="E718" s="2">
        <v>45971</v>
      </c>
      <c r="F718" s="1" t="s">
        <v>58</v>
      </c>
      <c r="G718" s="1" t="s">
        <v>2800</v>
      </c>
      <c r="H718" s="1" t="s">
        <v>3971</v>
      </c>
      <c r="I718" s="1">
        <v>1</v>
      </c>
      <c r="J718" s="3">
        <v>27524</v>
      </c>
      <c r="K718" s="3">
        <v>26264</v>
      </c>
      <c r="L718" s="1">
        <v>0</v>
      </c>
      <c r="M718" s="4">
        <v>0</v>
      </c>
      <c r="N718" s="3">
        <v>1260</v>
      </c>
      <c r="O718" s="4">
        <v>4.5999999999999999E-2</v>
      </c>
      <c r="P718" s="1" t="s">
        <v>2721</v>
      </c>
    </row>
    <row r="719" spans="1:16">
      <c r="A719" s="1" t="s">
        <v>15</v>
      </c>
      <c r="B719" s="1">
        <v>11</v>
      </c>
      <c r="C719" s="1" t="s">
        <v>3972</v>
      </c>
      <c r="D719" s="1" t="s">
        <v>1627</v>
      </c>
      <c r="E719" s="2">
        <v>45971</v>
      </c>
      <c r="F719" s="1" t="s">
        <v>96</v>
      </c>
      <c r="G719" s="1" t="s">
        <v>1628</v>
      </c>
      <c r="H719" s="1" t="s">
        <v>1629</v>
      </c>
      <c r="I719" s="1">
        <v>1</v>
      </c>
      <c r="J719" s="3">
        <v>14289</v>
      </c>
      <c r="K719" s="3">
        <v>13635</v>
      </c>
      <c r="L719" s="1">
        <v>0</v>
      </c>
      <c r="M719" s="4">
        <v>0</v>
      </c>
      <c r="N719" s="1">
        <v>654</v>
      </c>
      <c r="O719" s="4">
        <v>4.5999999999999999E-2</v>
      </c>
      <c r="P719" s="1" t="s">
        <v>2721</v>
      </c>
    </row>
    <row r="720" spans="1:16">
      <c r="A720" s="1" t="s">
        <v>15</v>
      </c>
      <c r="B720" s="1">
        <v>11</v>
      </c>
      <c r="C720" s="1" t="s">
        <v>3972</v>
      </c>
      <c r="D720" s="1" t="s">
        <v>3973</v>
      </c>
      <c r="E720" s="2">
        <v>45971</v>
      </c>
      <c r="F720" s="1" t="s">
        <v>96</v>
      </c>
      <c r="G720" s="1" t="s">
        <v>3974</v>
      </c>
      <c r="H720" s="1" t="s">
        <v>3975</v>
      </c>
      <c r="I720" s="1">
        <v>1</v>
      </c>
      <c r="J720" s="3">
        <v>7958</v>
      </c>
      <c r="K720" s="3">
        <v>7594</v>
      </c>
      <c r="L720" s="1">
        <v>0</v>
      </c>
      <c r="M720" s="4">
        <v>0</v>
      </c>
      <c r="N720" s="1">
        <v>364</v>
      </c>
      <c r="O720" s="4">
        <v>4.5999999999999999E-2</v>
      </c>
      <c r="P720" s="1" t="s">
        <v>2721</v>
      </c>
    </row>
    <row r="721" spans="1:16">
      <c r="A721" s="1" t="s">
        <v>15</v>
      </c>
      <c r="B721" s="1">
        <v>11</v>
      </c>
      <c r="C721" s="1" t="s">
        <v>3972</v>
      </c>
      <c r="D721" s="1" t="s">
        <v>3976</v>
      </c>
      <c r="E721" s="2">
        <v>45971</v>
      </c>
      <c r="F721" s="1" t="s">
        <v>96</v>
      </c>
      <c r="G721" s="1" t="s">
        <v>3977</v>
      </c>
      <c r="H721" s="1" t="s">
        <v>3978</v>
      </c>
      <c r="I721" s="1">
        <v>1</v>
      </c>
      <c r="J721" s="3">
        <v>14379</v>
      </c>
      <c r="K721" s="3">
        <v>13721</v>
      </c>
      <c r="L721" s="1">
        <v>0</v>
      </c>
      <c r="M721" s="4">
        <v>0</v>
      </c>
      <c r="N721" s="1">
        <v>658</v>
      </c>
      <c r="O721" s="4">
        <v>4.5999999999999999E-2</v>
      </c>
      <c r="P721" s="1" t="s">
        <v>2721</v>
      </c>
    </row>
    <row r="722" spans="1:16">
      <c r="A722" s="1" t="s">
        <v>15</v>
      </c>
      <c r="B722" s="1">
        <v>11</v>
      </c>
      <c r="C722" s="1" t="s">
        <v>3979</v>
      </c>
      <c r="D722" s="1" t="s">
        <v>1399</v>
      </c>
      <c r="E722" s="2">
        <v>45971</v>
      </c>
      <c r="F722" s="1" t="s">
        <v>261</v>
      </c>
      <c r="G722" s="1" t="s">
        <v>1400</v>
      </c>
      <c r="H722" s="1" t="s">
        <v>1400</v>
      </c>
      <c r="I722" s="1">
        <v>1</v>
      </c>
      <c r="J722" s="3">
        <v>23592</v>
      </c>
      <c r="K722" s="3">
        <v>22512</v>
      </c>
      <c r="L722" s="1">
        <v>0</v>
      </c>
      <c r="M722" s="4">
        <v>0</v>
      </c>
      <c r="N722" s="3">
        <v>1080</v>
      </c>
      <c r="O722" s="4">
        <v>4.5999999999999999E-2</v>
      </c>
      <c r="P722" s="1" t="s">
        <v>2721</v>
      </c>
    </row>
    <row r="723" spans="1:16">
      <c r="A723" s="1" t="s">
        <v>15</v>
      </c>
      <c r="B723" s="1">
        <v>11</v>
      </c>
      <c r="C723" s="1" t="s">
        <v>3980</v>
      </c>
      <c r="D723" s="1" t="s">
        <v>132</v>
      </c>
      <c r="E723" s="2">
        <v>45971</v>
      </c>
      <c r="F723" s="1" t="s">
        <v>53</v>
      </c>
      <c r="G723" s="1" t="s">
        <v>133</v>
      </c>
      <c r="H723" s="1" t="s">
        <v>88</v>
      </c>
      <c r="I723" s="1">
        <v>1</v>
      </c>
      <c r="J723" s="3">
        <v>17036</v>
      </c>
      <c r="K723" s="3">
        <v>16256</v>
      </c>
      <c r="L723" s="1">
        <v>0</v>
      </c>
      <c r="M723" s="4">
        <v>0</v>
      </c>
      <c r="N723" s="1">
        <v>780</v>
      </c>
      <c r="O723" s="4">
        <v>4.5999999999999999E-2</v>
      </c>
      <c r="P723" s="1" t="s">
        <v>2721</v>
      </c>
    </row>
    <row r="724" spans="1:16">
      <c r="A724" s="1" t="s">
        <v>15</v>
      </c>
      <c r="B724" s="1">
        <v>11</v>
      </c>
      <c r="C724" s="1" t="s">
        <v>3981</v>
      </c>
      <c r="D724" s="1" t="s">
        <v>169</v>
      </c>
      <c r="E724" s="2">
        <v>45971</v>
      </c>
      <c r="F724" s="1" t="s">
        <v>53</v>
      </c>
      <c r="G724" s="1" t="s">
        <v>170</v>
      </c>
      <c r="H724" s="1" t="s">
        <v>171</v>
      </c>
      <c r="I724" s="1">
        <v>1</v>
      </c>
      <c r="J724" s="3">
        <v>14332</v>
      </c>
      <c r="K724" s="3">
        <v>13676</v>
      </c>
      <c r="L724" s="1">
        <v>0</v>
      </c>
      <c r="M724" s="4">
        <v>0</v>
      </c>
      <c r="N724" s="1">
        <v>656</v>
      </c>
      <c r="O724" s="4">
        <v>4.5999999999999999E-2</v>
      </c>
      <c r="P724" s="1" t="s">
        <v>2721</v>
      </c>
    </row>
    <row r="725" spans="1:16">
      <c r="A725" s="1" t="s">
        <v>15</v>
      </c>
      <c r="B725" s="1">
        <v>11</v>
      </c>
      <c r="C725" s="1" t="s">
        <v>3982</v>
      </c>
      <c r="D725" s="1" t="s">
        <v>169</v>
      </c>
      <c r="E725" s="2">
        <v>45971</v>
      </c>
      <c r="F725" s="1" t="s">
        <v>53</v>
      </c>
      <c r="G725" s="1" t="s">
        <v>170</v>
      </c>
      <c r="H725" s="1" t="s">
        <v>171</v>
      </c>
      <c r="I725" s="1">
        <v>1</v>
      </c>
      <c r="J725" s="3">
        <v>14332</v>
      </c>
      <c r="K725" s="3">
        <v>13676</v>
      </c>
      <c r="L725" s="1">
        <v>0</v>
      </c>
      <c r="M725" s="4">
        <v>0</v>
      </c>
      <c r="N725" s="1">
        <v>656</v>
      </c>
      <c r="O725" s="4">
        <v>4.5999999999999999E-2</v>
      </c>
      <c r="P725" s="1" t="s">
        <v>2721</v>
      </c>
    </row>
    <row r="726" spans="1:16">
      <c r="A726" s="1" t="s">
        <v>15</v>
      </c>
      <c r="B726" s="1">
        <v>11</v>
      </c>
      <c r="C726" s="1" t="s">
        <v>3983</v>
      </c>
      <c r="D726" s="1" t="s">
        <v>125</v>
      </c>
      <c r="E726" s="2">
        <v>45971</v>
      </c>
      <c r="F726" s="1" t="s">
        <v>126</v>
      </c>
      <c r="G726" s="1" t="s">
        <v>127</v>
      </c>
      <c r="H726" s="1" t="s">
        <v>1658</v>
      </c>
      <c r="I726" s="1">
        <v>1</v>
      </c>
      <c r="J726" s="3">
        <v>19758</v>
      </c>
      <c r="K726" s="3">
        <v>18854</v>
      </c>
      <c r="L726" s="1">
        <v>0</v>
      </c>
      <c r="M726" s="4">
        <v>0</v>
      </c>
      <c r="N726" s="1">
        <v>904</v>
      </c>
      <c r="O726" s="4">
        <v>4.5999999999999999E-2</v>
      </c>
      <c r="P726" s="1" t="s">
        <v>2721</v>
      </c>
    </row>
    <row r="727" spans="1:16">
      <c r="A727" s="1" t="s">
        <v>15</v>
      </c>
      <c r="B727" s="1">
        <v>11</v>
      </c>
      <c r="C727" s="1" t="s">
        <v>3984</v>
      </c>
      <c r="D727" s="1" t="s">
        <v>3985</v>
      </c>
      <c r="E727" s="2">
        <v>45971</v>
      </c>
      <c r="F727" s="1" t="s">
        <v>1513</v>
      </c>
      <c r="G727" s="1" t="s">
        <v>3986</v>
      </c>
      <c r="H727" s="1" t="s">
        <v>3987</v>
      </c>
      <c r="I727" s="1">
        <v>1</v>
      </c>
      <c r="J727" s="3">
        <v>8272</v>
      </c>
      <c r="K727" s="3">
        <v>7893</v>
      </c>
      <c r="L727" s="1">
        <v>0</v>
      </c>
      <c r="M727" s="4">
        <v>0</v>
      </c>
      <c r="N727" s="1">
        <v>379</v>
      </c>
      <c r="O727" s="4">
        <v>4.5999999999999999E-2</v>
      </c>
      <c r="P727" s="1" t="s">
        <v>2721</v>
      </c>
    </row>
    <row r="728" spans="1:16">
      <c r="A728" s="1" t="s">
        <v>15</v>
      </c>
      <c r="B728" s="1">
        <v>11</v>
      </c>
      <c r="C728" s="1" t="s">
        <v>3988</v>
      </c>
      <c r="D728" s="1" t="s">
        <v>1410</v>
      </c>
      <c r="E728" s="2">
        <v>45971</v>
      </c>
      <c r="F728" s="1" t="s">
        <v>1411</v>
      </c>
      <c r="G728" s="1" t="s">
        <v>1412</v>
      </c>
      <c r="H728" s="1" t="s">
        <v>3011</v>
      </c>
      <c r="I728" s="1">
        <v>1</v>
      </c>
      <c r="J728" s="3">
        <v>26186</v>
      </c>
      <c r="K728" s="3">
        <v>24987</v>
      </c>
      <c r="L728" s="1">
        <v>0</v>
      </c>
      <c r="M728" s="4">
        <v>0</v>
      </c>
      <c r="N728" s="3">
        <v>1199</v>
      </c>
      <c r="O728" s="4">
        <v>4.5999999999999999E-2</v>
      </c>
      <c r="P728" s="1" t="s">
        <v>2721</v>
      </c>
    </row>
    <row r="729" spans="1:16">
      <c r="A729" s="1" t="s">
        <v>15</v>
      </c>
      <c r="B729" s="1">
        <v>11</v>
      </c>
      <c r="C729" s="1" t="s">
        <v>3989</v>
      </c>
      <c r="D729" s="1" t="s">
        <v>52</v>
      </c>
      <c r="E729" s="2">
        <v>45971</v>
      </c>
      <c r="F729" s="1" t="s">
        <v>53</v>
      </c>
      <c r="G729" s="1" t="s">
        <v>54</v>
      </c>
      <c r="H729" s="1" t="s">
        <v>55</v>
      </c>
      <c r="I729" s="1">
        <v>1</v>
      </c>
      <c r="J729" s="3">
        <v>16135</v>
      </c>
      <c r="K729" s="3">
        <v>15396</v>
      </c>
      <c r="L729" s="1">
        <v>0</v>
      </c>
      <c r="M729" s="4">
        <v>0</v>
      </c>
      <c r="N729" s="1">
        <v>739</v>
      </c>
      <c r="O729" s="4">
        <v>4.5999999999999999E-2</v>
      </c>
      <c r="P729" s="1" t="s">
        <v>2721</v>
      </c>
    </row>
    <row r="730" spans="1:16">
      <c r="A730" s="1" t="s">
        <v>15</v>
      </c>
      <c r="B730" s="1">
        <v>11</v>
      </c>
      <c r="C730" s="1" t="s">
        <v>3990</v>
      </c>
      <c r="D730" s="1" t="s">
        <v>250</v>
      </c>
      <c r="E730" s="2">
        <v>45971</v>
      </c>
      <c r="F730" s="1" t="s">
        <v>251</v>
      </c>
      <c r="G730" s="1" t="s">
        <v>252</v>
      </c>
      <c r="H730" s="1" t="s">
        <v>497</v>
      </c>
      <c r="I730" s="1">
        <v>1</v>
      </c>
      <c r="J730" s="3">
        <v>23494</v>
      </c>
      <c r="K730" s="3">
        <v>22418</v>
      </c>
      <c r="L730" s="1">
        <v>0</v>
      </c>
      <c r="M730" s="4">
        <v>0</v>
      </c>
      <c r="N730" s="3">
        <v>1076</v>
      </c>
      <c r="O730" s="4">
        <v>4.5999999999999999E-2</v>
      </c>
      <c r="P730" s="1" t="s">
        <v>2721</v>
      </c>
    </row>
    <row r="731" spans="1:16">
      <c r="A731" s="1" t="s">
        <v>15</v>
      </c>
      <c r="B731" s="1">
        <v>11</v>
      </c>
      <c r="C731" s="1" t="s">
        <v>3991</v>
      </c>
      <c r="D731" s="1" t="s">
        <v>178</v>
      </c>
      <c r="E731" s="2">
        <v>45971</v>
      </c>
      <c r="F731" s="1" t="s">
        <v>96</v>
      </c>
      <c r="G731" s="1" t="s">
        <v>179</v>
      </c>
      <c r="H731" s="1" t="s">
        <v>180</v>
      </c>
      <c r="I731" s="1">
        <v>1</v>
      </c>
      <c r="J731" s="3">
        <v>15284</v>
      </c>
      <c r="K731" s="3">
        <v>14584</v>
      </c>
      <c r="L731" s="1">
        <v>0</v>
      </c>
      <c r="M731" s="4">
        <v>0</v>
      </c>
      <c r="N731" s="1">
        <v>700</v>
      </c>
      <c r="O731" s="4">
        <v>4.5999999999999999E-2</v>
      </c>
      <c r="P731" s="1" t="s">
        <v>2721</v>
      </c>
    </row>
    <row r="732" spans="1:16">
      <c r="A732" s="1" t="s">
        <v>15</v>
      </c>
      <c r="B732" s="1">
        <v>11</v>
      </c>
      <c r="C732" s="1" t="s">
        <v>3992</v>
      </c>
      <c r="D732" s="1" t="s">
        <v>482</v>
      </c>
      <c r="E732" s="2">
        <v>45971</v>
      </c>
      <c r="F732" s="1" t="s">
        <v>483</v>
      </c>
      <c r="G732" s="1" t="s">
        <v>484</v>
      </c>
      <c r="H732" s="1" t="s">
        <v>1039</v>
      </c>
      <c r="I732" s="1">
        <v>1</v>
      </c>
      <c r="J732" s="3">
        <v>27426</v>
      </c>
      <c r="K732" s="3">
        <v>26170</v>
      </c>
      <c r="L732" s="1">
        <v>0</v>
      </c>
      <c r="M732" s="4">
        <v>0</v>
      </c>
      <c r="N732" s="3">
        <v>1256</v>
      </c>
      <c r="O732" s="4">
        <v>4.5999999999999999E-2</v>
      </c>
      <c r="P732" s="1" t="s">
        <v>2721</v>
      </c>
    </row>
    <row r="733" spans="1:16">
      <c r="A733" s="1" t="s">
        <v>15</v>
      </c>
      <c r="B733" s="1">
        <v>11</v>
      </c>
      <c r="C733" s="1" t="s">
        <v>3993</v>
      </c>
      <c r="D733" s="1" t="s">
        <v>3994</v>
      </c>
      <c r="E733" s="2">
        <v>45971</v>
      </c>
      <c r="F733" s="1" t="s">
        <v>297</v>
      </c>
      <c r="G733" s="1" t="s">
        <v>3995</v>
      </c>
      <c r="H733" s="1" t="s">
        <v>3996</v>
      </c>
      <c r="I733" s="1">
        <v>1</v>
      </c>
      <c r="J733" s="3">
        <v>189719</v>
      </c>
      <c r="K733" s="3">
        <v>181034</v>
      </c>
      <c r="L733" s="1">
        <v>0</v>
      </c>
      <c r="M733" s="4">
        <v>0</v>
      </c>
      <c r="N733" s="3">
        <v>8685</v>
      </c>
      <c r="O733" s="4">
        <v>4.5999999999999999E-2</v>
      </c>
      <c r="P733" s="1" t="s">
        <v>2721</v>
      </c>
    </row>
    <row r="734" spans="1:16">
      <c r="A734" s="1" t="s">
        <v>15</v>
      </c>
      <c r="B734" s="1">
        <v>11</v>
      </c>
      <c r="C734" s="1" t="s">
        <v>3997</v>
      </c>
      <c r="D734" s="1" t="s">
        <v>3998</v>
      </c>
      <c r="E734" s="2">
        <v>45971</v>
      </c>
      <c r="F734" s="1" t="s">
        <v>96</v>
      </c>
      <c r="G734" s="1" t="s">
        <v>3999</v>
      </c>
      <c r="H734" s="1" t="s">
        <v>4000</v>
      </c>
      <c r="I734" s="1">
        <v>1</v>
      </c>
      <c r="J734" s="3">
        <v>8863</v>
      </c>
      <c r="K734" s="3">
        <v>8457</v>
      </c>
      <c r="L734" s="1">
        <v>0</v>
      </c>
      <c r="M734" s="4">
        <v>0</v>
      </c>
      <c r="N734" s="1">
        <v>406</v>
      </c>
      <c r="O734" s="4">
        <v>4.5999999999999999E-2</v>
      </c>
      <c r="P734" s="1" t="s">
        <v>2721</v>
      </c>
    </row>
    <row r="735" spans="1:16">
      <c r="A735" s="1" t="s">
        <v>15</v>
      </c>
      <c r="B735" s="1">
        <v>11</v>
      </c>
      <c r="C735" s="1" t="s">
        <v>4001</v>
      </c>
      <c r="D735" s="1" t="s">
        <v>1261</v>
      </c>
      <c r="E735" s="2">
        <v>45971</v>
      </c>
      <c r="F735" s="1" t="s">
        <v>33</v>
      </c>
      <c r="G735" s="1" t="s">
        <v>1262</v>
      </c>
      <c r="H735" s="1" t="s">
        <v>4002</v>
      </c>
      <c r="I735" s="1">
        <v>1</v>
      </c>
      <c r="J735" s="3">
        <v>111880</v>
      </c>
      <c r="K735" s="3">
        <v>106758</v>
      </c>
      <c r="L735" s="1">
        <v>0</v>
      </c>
      <c r="M735" s="4">
        <v>0</v>
      </c>
      <c r="N735" s="3">
        <v>5122</v>
      </c>
      <c r="O735" s="4">
        <v>4.5999999999999999E-2</v>
      </c>
      <c r="P735" s="1" t="s">
        <v>2721</v>
      </c>
    </row>
    <row r="736" spans="1:16">
      <c r="A736" s="1" t="s">
        <v>15</v>
      </c>
      <c r="B736" s="1">
        <v>11</v>
      </c>
      <c r="C736" s="1" t="s">
        <v>4003</v>
      </c>
      <c r="D736" s="1" t="s">
        <v>793</v>
      </c>
      <c r="E736" s="2">
        <v>45971</v>
      </c>
      <c r="F736" s="1" t="s">
        <v>126</v>
      </c>
      <c r="G736" s="1" t="s">
        <v>794</v>
      </c>
      <c r="H736" s="1" t="s">
        <v>4004</v>
      </c>
      <c r="I736" s="1">
        <v>1</v>
      </c>
      <c r="J736" s="3">
        <v>10715</v>
      </c>
      <c r="K736" s="3">
        <v>10224</v>
      </c>
      <c r="L736" s="1">
        <v>0</v>
      </c>
      <c r="M736" s="4">
        <v>0</v>
      </c>
      <c r="N736" s="1">
        <v>491</v>
      </c>
      <c r="O736" s="4">
        <v>4.5999999999999999E-2</v>
      </c>
      <c r="P736" s="1" t="s">
        <v>2721</v>
      </c>
    </row>
    <row r="737" spans="1:16">
      <c r="A737" s="1" t="s">
        <v>15</v>
      </c>
      <c r="B737" s="1">
        <v>11</v>
      </c>
      <c r="C737" s="1" t="s">
        <v>4005</v>
      </c>
      <c r="D737" s="1" t="s">
        <v>250</v>
      </c>
      <c r="E737" s="2">
        <v>45971</v>
      </c>
      <c r="F737" s="1" t="s">
        <v>251</v>
      </c>
      <c r="G737" s="1" t="s">
        <v>252</v>
      </c>
      <c r="H737" s="1" t="s">
        <v>497</v>
      </c>
      <c r="I737" s="1">
        <v>1</v>
      </c>
      <c r="J737" s="3">
        <v>23494</v>
      </c>
      <c r="K737" s="3">
        <v>22418</v>
      </c>
      <c r="L737" s="1">
        <v>0</v>
      </c>
      <c r="M737" s="4">
        <v>0</v>
      </c>
      <c r="N737" s="3">
        <v>1076</v>
      </c>
      <c r="O737" s="4">
        <v>4.5999999999999999E-2</v>
      </c>
      <c r="P737" s="1" t="s">
        <v>2721</v>
      </c>
    </row>
    <row r="738" spans="1:16">
      <c r="A738" s="1" t="s">
        <v>15</v>
      </c>
      <c r="B738" s="1">
        <v>11</v>
      </c>
      <c r="C738" s="1" t="s">
        <v>4006</v>
      </c>
      <c r="D738" s="1" t="s">
        <v>17</v>
      </c>
      <c r="E738" s="2">
        <v>45971</v>
      </c>
      <c r="F738" s="1" t="s">
        <v>18</v>
      </c>
      <c r="G738" s="1" t="s">
        <v>19</v>
      </c>
      <c r="H738" s="1" t="s">
        <v>20</v>
      </c>
      <c r="I738" s="1">
        <v>1</v>
      </c>
      <c r="J738" s="3">
        <v>7166</v>
      </c>
      <c r="K738" s="3">
        <v>6838</v>
      </c>
      <c r="L738" s="1">
        <v>0</v>
      </c>
      <c r="M738" s="4">
        <v>0</v>
      </c>
      <c r="N738" s="1">
        <v>328</v>
      </c>
      <c r="O738" s="4">
        <v>4.5999999999999999E-2</v>
      </c>
      <c r="P738" s="1" t="s">
        <v>2721</v>
      </c>
    </row>
    <row r="739" spans="1:16">
      <c r="A739" s="1" t="s">
        <v>15</v>
      </c>
      <c r="B739" s="1">
        <v>11</v>
      </c>
      <c r="C739" s="1" t="s">
        <v>4007</v>
      </c>
      <c r="D739" s="1" t="s">
        <v>4008</v>
      </c>
      <c r="E739" s="2">
        <v>45971</v>
      </c>
      <c r="F739" s="1" t="s">
        <v>63</v>
      </c>
      <c r="G739" s="1" t="s">
        <v>4009</v>
      </c>
      <c r="H739" s="1" t="s">
        <v>4010</v>
      </c>
      <c r="I739" s="1">
        <v>1</v>
      </c>
      <c r="J739" s="3">
        <v>23395</v>
      </c>
      <c r="K739" s="3">
        <v>22324</v>
      </c>
      <c r="L739" s="1">
        <v>0</v>
      </c>
      <c r="M739" s="4">
        <v>0</v>
      </c>
      <c r="N739" s="3">
        <v>1071</v>
      </c>
      <c r="O739" s="4">
        <v>4.5999999999999999E-2</v>
      </c>
      <c r="P739" s="1" t="s">
        <v>2721</v>
      </c>
    </row>
    <row r="740" spans="1:16">
      <c r="A740" s="1" t="s">
        <v>15</v>
      </c>
      <c r="B740" s="1">
        <v>11</v>
      </c>
      <c r="C740" s="1" t="s">
        <v>4011</v>
      </c>
      <c r="D740" s="1" t="s">
        <v>169</v>
      </c>
      <c r="E740" s="2">
        <v>45971</v>
      </c>
      <c r="F740" s="1" t="s">
        <v>53</v>
      </c>
      <c r="G740" s="1" t="s">
        <v>170</v>
      </c>
      <c r="H740" s="1" t="s">
        <v>171</v>
      </c>
      <c r="I740" s="1">
        <v>1</v>
      </c>
      <c r="J740" s="3">
        <v>14332</v>
      </c>
      <c r="K740" s="3">
        <v>13676</v>
      </c>
      <c r="L740" s="1">
        <v>0</v>
      </c>
      <c r="M740" s="4">
        <v>0</v>
      </c>
      <c r="N740" s="1">
        <v>656</v>
      </c>
      <c r="O740" s="4">
        <v>4.5999999999999999E-2</v>
      </c>
      <c r="P740" s="1" t="s">
        <v>2721</v>
      </c>
    </row>
    <row r="741" spans="1:16">
      <c r="A741" s="1" t="s">
        <v>15</v>
      </c>
      <c r="B741" s="1">
        <v>11</v>
      </c>
      <c r="C741" s="1" t="s">
        <v>4012</v>
      </c>
      <c r="D741" s="1" t="s">
        <v>32</v>
      </c>
      <c r="E741" s="2">
        <v>45971</v>
      </c>
      <c r="F741" s="1" t="s">
        <v>33</v>
      </c>
      <c r="G741" s="1" t="s">
        <v>34</v>
      </c>
      <c r="H741" s="1" t="s">
        <v>4013</v>
      </c>
      <c r="I741" s="1">
        <v>1</v>
      </c>
      <c r="J741" s="3">
        <v>72904</v>
      </c>
      <c r="K741" s="3">
        <v>69567</v>
      </c>
      <c r="L741" s="1">
        <v>0</v>
      </c>
      <c r="M741" s="4">
        <v>0</v>
      </c>
      <c r="N741" s="3">
        <v>3337</v>
      </c>
      <c r="O741" s="4">
        <v>4.5999999999999999E-2</v>
      </c>
      <c r="P741" s="1" t="s">
        <v>2721</v>
      </c>
    </row>
    <row r="742" spans="1:16">
      <c r="A742" s="1" t="s">
        <v>15</v>
      </c>
      <c r="B742" s="1">
        <v>11</v>
      </c>
      <c r="C742" s="1" t="s">
        <v>4014</v>
      </c>
      <c r="D742" s="1" t="s">
        <v>549</v>
      </c>
      <c r="E742" s="2">
        <v>45971</v>
      </c>
      <c r="F742" s="1" t="s">
        <v>63</v>
      </c>
      <c r="G742" s="1" t="s">
        <v>550</v>
      </c>
      <c r="H742" s="1" t="s">
        <v>551</v>
      </c>
      <c r="I742" s="1">
        <v>1</v>
      </c>
      <c r="J742" s="3">
        <v>15422</v>
      </c>
      <c r="K742" s="3">
        <v>14716</v>
      </c>
      <c r="L742" s="1">
        <v>0</v>
      </c>
      <c r="M742" s="4">
        <v>0</v>
      </c>
      <c r="N742" s="1">
        <v>706</v>
      </c>
      <c r="O742" s="4">
        <v>4.5999999999999999E-2</v>
      </c>
      <c r="P742" s="1" t="s">
        <v>2721</v>
      </c>
    </row>
    <row r="743" spans="1:16">
      <c r="A743" s="1" t="s">
        <v>15</v>
      </c>
      <c r="B743" s="1">
        <v>11</v>
      </c>
      <c r="C743" s="1" t="s">
        <v>4015</v>
      </c>
      <c r="D743" s="1" t="s">
        <v>104</v>
      </c>
      <c r="E743" s="2">
        <v>45971</v>
      </c>
      <c r="F743" s="1" t="s">
        <v>96</v>
      </c>
      <c r="G743" s="1" t="s">
        <v>105</v>
      </c>
      <c r="H743" s="1" t="s">
        <v>106</v>
      </c>
      <c r="I743" s="1">
        <v>1</v>
      </c>
      <c r="J743" s="3">
        <v>21614</v>
      </c>
      <c r="K743" s="3">
        <v>20625</v>
      </c>
      <c r="L743" s="1">
        <v>0</v>
      </c>
      <c r="M743" s="4">
        <v>0</v>
      </c>
      <c r="N743" s="1">
        <v>989</v>
      </c>
      <c r="O743" s="4">
        <v>4.5999999999999999E-2</v>
      </c>
      <c r="P743" s="1" t="s">
        <v>2721</v>
      </c>
    </row>
    <row r="744" spans="1:16">
      <c r="A744" s="1" t="s">
        <v>15</v>
      </c>
      <c r="B744" s="1">
        <v>11</v>
      </c>
      <c r="C744" s="1" t="s">
        <v>4016</v>
      </c>
      <c r="D744" s="1" t="s">
        <v>4017</v>
      </c>
      <c r="E744" s="2">
        <v>45971</v>
      </c>
      <c r="F744" s="1" t="s">
        <v>33</v>
      </c>
      <c r="G744" s="1" t="s">
        <v>4018</v>
      </c>
      <c r="H744" s="1" t="s">
        <v>4019</v>
      </c>
      <c r="I744" s="1">
        <v>1</v>
      </c>
      <c r="J744" s="3">
        <v>49697</v>
      </c>
      <c r="K744" s="3">
        <v>47422</v>
      </c>
      <c r="L744" s="1">
        <v>0</v>
      </c>
      <c r="M744" s="4">
        <v>0</v>
      </c>
      <c r="N744" s="3">
        <v>2275</v>
      </c>
      <c r="O744" s="4">
        <v>4.5999999999999999E-2</v>
      </c>
      <c r="P744" s="1" t="s">
        <v>2721</v>
      </c>
    </row>
    <row r="745" spans="1:16">
      <c r="A745" s="1" t="s">
        <v>15</v>
      </c>
      <c r="B745" s="1">
        <v>11</v>
      </c>
      <c r="C745" s="1" t="s">
        <v>4016</v>
      </c>
      <c r="D745" s="1" t="s">
        <v>4017</v>
      </c>
      <c r="E745" s="2">
        <v>45971</v>
      </c>
      <c r="F745" s="1" t="s">
        <v>33</v>
      </c>
      <c r="G745" s="1" t="s">
        <v>4018</v>
      </c>
      <c r="H745" s="1" t="s">
        <v>4020</v>
      </c>
      <c r="I745" s="1">
        <v>1</v>
      </c>
      <c r="J745" s="3">
        <v>60440</v>
      </c>
      <c r="K745" s="3">
        <v>57673</v>
      </c>
      <c r="L745" s="1">
        <v>0</v>
      </c>
      <c r="M745" s="4">
        <v>0</v>
      </c>
      <c r="N745" s="3">
        <v>2767</v>
      </c>
      <c r="O745" s="4">
        <v>4.5999999999999999E-2</v>
      </c>
      <c r="P745" s="1" t="s">
        <v>2721</v>
      </c>
    </row>
    <row r="746" spans="1:16">
      <c r="A746" s="1" t="s">
        <v>15</v>
      </c>
      <c r="B746" s="1">
        <v>11</v>
      </c>
      <c r="C746" s="1" t="s">
        <v>4021</v>
      </c>
      <c r="D746" s="1" t="s">
        <v>182</v>
      </c>
      <c r="E746" s="2">
        <v>45971</v>
      </c>
      <c r="F746" s="1" t="s">
        <v>53</v>
      </c>
      <c r="G746" s="1" t="s">
        <v>183</v>
      </c>
      <c r="H746" s="1" t="s">
        <v>4022</v>
      </c>
      <c r="I746" s="1">
        <v>1</v>
      </c>
      <c r="J746" s="3">
        <v>8022</v>
      </c>
      <c r="K746" s="3">
        <v>7655</v>
      </c>
      <c r="L746" s="1">
        <v>0</v>
      </c>
      <c r="M746" s="4">
        <v>0</v>
      </c>
      <c r="N746" s="1">
        <v>367</v>
      </c>
      <c r="O746" s="4">
        <v>4.5999999999999999E-2</v>
      </c>
      <c r="P746" s="1" t="s">
        <v>2721</v>
      </c>
    </row>
    <row r="747" spans="1:16">
      <c r="A747" s="1" t="s">
        <v>15</v>
      </c>
      <c r="B747" s="1">
        <v>11</v>
      </c>
      <c r="C747" s="1" t="s">
        <v>4023</v>
      </c>
      <c r="D747" s="1" t="s">
        <v>4024</v>
      </c>
      <c r="E747" s="2">
        <v>45971</v>
      </c>
      <c r="F747" s="1" t="s">
        <v>883</v>
      </c>
      <c r="G747" s="1" t="s">
        <v>4025</v>
      </c>
      <c r="H747" s="1" t="s">
        <v>4026</v>
      </c>
      <c r="I747" s="1">
        <v>1</v>
      </c>
      <c r="J747" s="3">
        <v>9948</v>
      </c>
      <c r="K747" s="3">
        <v>9493</v>
      </c>
      <c r="L747" s="1">
        <v>0</v>
      </c>
      <c r="M747" s="4">
        <v>0</v>
      </c>
      <c r="N747" s="1">
        <v>455</v>
      </c>
      <c r="O747" s="4">
        <v>4.5999999999999999E-2</v>
      </c>
      <c r="P747" s="1" t="s">
        <v>2721</v>
      </c>
    </row>
    <row r="748" spans="1:16">
      <c r="A748" s="1" t="s">
        <v>15</v>
      </c>
      <c r="B748" s="1">
        <v>11</v>
      </c>
      <c r="C748" s="1" t="s">
        <v>4023</v>
      </c>
      <c r="D748" s="1" t="s">
        <v>4027</v>
      </c>
      <c r="E748" s="2">
        <v>45971</v>
      </c>
      <c r="F748" s="1" t="s">
        <v>524</v>
      </c>
      <c r="G748" s="1" t="s">
        <v>4028</v>
      </c>
      <c r="H748" s="1" t="s">
        <v>4029</v>
      </c>
      <c r="I748" s="1">
        <v>1</v>
      </c>
      <c r="J748" s="3">
        <v>26535</v>
      </c>
      <c r="K748" s="3">
        <v>25320</v>
      </c>
      <c r="L748" s="1">
        <v>0</v>
      </c>
      <c r="M748" s="4">
        <v>0</v>
      </c>
      <c r="N748" s="3">
        <v>1215</v>
      </c>
      <c r="O748" s="4">
        <v>4.5999999999999999E-2</v>
      </c>
      <c r="P748" s="1" t="s">
        <v>2721</v>
      </c>
    </row>
    <row r="749" spans="1:16">
      <c r="A749" s="1" t="s">
        <v>15</v>
      </c>
      <c r="B749" s="1">
        <v>11</v>
      </c>
      <c r="C749" s="1" t="s">
        <v>4030</v>
      </c>
      <c r="D749" s="1" t="s">
        <v>4031</v>
      </c>
      <c r="E749" s="2">
        <v>45971</v>
      </c>
      <c r="F749" s="1" t="s">
        <v>68</v>
      </c>
      <c r="G749" s="1" t="s">
        <v>4032</v>
      </c>
      <c r="H749" s="1" t="s">
        <v>4033</v>
      </c>
      <c r="I749" s="1">
        <v>3</v>
      </c>
      <c r="J749" s="3">
        <v>45252</v>
      </c>
      <c r="K749" s="3">
        <v>43181</v>
      </c>
      <c r="L749" s="1">
        <v>0</v>
      </c>
      <c r="M749" s="4">
        <v>0</v>
      </c>
      <c r="N749" s="3">
        <v>2071</v>
      </c>
      <c r="O749" s="4">
        <v>4.5999999999999999E-2</v>
      </c>
      <c r="P749" s="1" t="s">
        <v>2721</v>
      </c>
    </row>
    <row r="750" spans="1:16">
      <c r="A750" s="1" t="s">
        <v>15</v>
      </c>
      <c r="B750" s="1">
        <v>11</v>
      </c>
      <c r="C750" s="1" t="s">
        <v>4034</v>
      </c>
      <c r="D750" s="1" t="s">
        <v>3836</v>
      </c>
      <c r="E750" s="2">
        <v>45971</v>
      </c>
      <c r="F750" s="1" t="s">
        <v>1241</v>
      </c>
      <c r="G750" s="1" t="s">
        <v>3837</v>
      </c>
      <c r="H750" s="1" t="s">
        <v>4035</v>
      </c>
      <c r="I750" s="1">
        <v>1</v>
      </c>
      <c r="J750" s="3">
        <v>14450</v>
      </c>
      <c r="K750" s="3">
        <v>13789</v>
      </c>
      <c r="L750" s="1">
        <v>0</v>
      </c>
      <c r="M750" s="4">
        <v>0</v>
      </c>
      <c r="N750" s="1">
        <v>661</v>
      </c>
      <c r="O750" s="4">
        <v>4.5999999999999999E-2</v>
      </c>
      <c r="P750" s="1" t="s">
        <v>2721</v>
      </c>
    </row>
    <row r="751" spans="1:16">
      <c r="A751" s="1" t="s">
        <v>15</v>
      </c>
      <c r="B751" s="1">
        <v>11</v>
      </c>
      <c r="C751" s="1" t="s">
        <v>4036</v>
      </c>
      <c r="D751" s="1" t="s">
        <v>1457</v>
      </c>
      <c r="E751" s="2">
        <v>45971</v>
      </c>
      <c r="F751" s="1" t="s">
        <v>347</v>
      </c>
      <c r="G751" s="1" t="s">
        <v>1458</v>
      </c>
      <c r="H751" s="1" t="s">
        <v>4037</v>
      </c>
      <c r="I751" s="1">
        <v>1</v>
      </c>
      <c r="J751" s="3">
        <v>19345</v>
      </c>
      <c r="K751" s="3">
        <v>18460</v>
      </c>
      <c r="L751" s="1">
        <v>0</v>
      </c>
      <c r="M751" s="4">
        <v>0</v>
      </c>
      <c r="N751" s="1">
        <v>885</v>
      </c>
      <c r="O751" s="4">
        <v>4.5999999999999999E-2</v>
      </c>
      <c r="P751" s="1" t="s">
        <v>2721</v>
      </c>
    </row>
    <row r="752" spans="1:16">
      <c r="A752" s="1" t="s">
        <v>15</v>
      </c>
      <c r="B752" s="1">
        <v>11</v>
      </c>
      <c r="C752" s="1" t="s">
        <v>4038</v>
      </c>
      <c r="D752" s="1" t="s">
        <v>4039</v>
      </c>
      <c r="E752" s="2">
        <v>45971</v>
      </c>
      <c r="F752" s="1" t="s">
        <v>53</v>
      </c>
      <c r="G752" s="1" t="s">
        <v>4040</v>
      </c>
      <c r="H752" s="1" t="s">
        <v>4041</v>
      </c>
      <c r="I752" s="1">
        <v>1</v>
      </c>
      <c r="J752" s="3">
        <v>16135</v>
      </c>
      <c r="K752" s="3">
        <v>15396</v>
      </c>
      <c r="L752" s="1">
        <v>0</v>
      </c>
      <c r="M752" s="4">
        <v>0</v>
      </c>
      <c r="N752" s="1">
        <v>739</v>
      </c>
      <c r="O752" s="4">
        <v>4.5999999999999999E-2</v>
      </c>
      <c r="P752" s="1" t="s">
        <v>2721</v>
      </c>
    </row>
    <row r="753" spans="1:16">
      <c r="A753" s="1" t="s">
        <v>15</v>
      </c>
      <c r="B753" s="1">
        <v>11</v>
      </c>
      <c r="C753" s="1" t="s">
        <v>4042</v>
      </c>
      <c r="D753" s="1" t="s">
        <v>169</v>
      </c>
      <c r="E753" s="2">
        <v>45971</v>
      </c>
      <c r="F753" s="1" t="s">
        <v>53</v>
      </c>
      <c r="G753" s="1" t="s">
        <v>170</v>
      </c>
      <c r="H753" s="1" t="s">
        <v>171</v>
      </c>
      <c r="I753" s="1">
        <v>1</v>
      </c>
      <c r="J753" s="3">
        <v>14332</v>
      </c>
      <c r="K753" s="3">
        <v>13676</v>
      </c>
      <c r="L753" s="1">
        <v>0</v>
      </c>
      <c r="M753" s="4">
        <v>0</v>
      </c>
      <c r="N753" s="1">
        <v>656</v>
      </c>
      <c r="O753" s="4">
        <v>4.5999999999999999E-2</v>
      </c>
      <c r="P753" s="1" t="s">
        <v>2721</v>
      </c>
    </row>
    <row r="754" spans="1:16">
      <c r="A754" s="1" t="s">
        <v>15</v>
      </c>
      <c r="B754" s="1">
        <v>11</v>
      </c>
      <c r="C754" s="1" t="s">
        <v>4043</v>
      </c>
      <c r="D754" s="1" t="s">
        <v>1597</v>
      </c>
      <c r="E754" s="2">
        <v>45971</v>
      </c>
      <c r="F754" s="1" t="s">
        <v>464</v>
      </c>
      <c r="G754" s="1" t="s">
        <v>1598</v>
      </c>
      <c r="H754" s="1" t="s">
        <v>1599</v>
      </c>
      <c r="I754" s="1">
        <v>1</v>
      </c>
      <c r="J754" s="3">
        <v>12707</v>
      </c>
      <c r="K754" s="3">
        <v>12126</v>
      </c>
      <c r="L754" s="1">
        <v>0</v>
      </c>
      <c r="M754" s="4">
        <v>0</v>
      </c>
      <c r="N754" s="1">
        <v>581</v>
      </c>
      <c r="O754" s="4">
        <v>4.5999999999999999E-2</v>
      </c>
      <c r="P754" s="1" t="s">
        <v>2721</v>
      </c>
    </row>
    <row r="755" spans="1:16">
      <c r="A755" s="1" t="s">
        <v>15</v>
      </c>
      <c r="B755" s="1">
        <v>11</v>
      </c>
      <c r="C755" s="1" t="s">
        <v>4044</v>
      </c>
      <c r="D755" s="1" t="s">
        <v>4045</v>
      </c>
      <c r="E755" s="2">
        <v>45971</v>
      </c>
      <c r="F755" s="1" t="s">
        <v>68</v>
      </c>
      <c r="G755" s="1" t="s">
        <v>4046</v>
      </c>
      <c r="H755" s="1" t="s">
        <v>4047</v>
      </c>
      <c r="I755" s="1">
        <v>1</v>
      </c>
      <c r="J755" s="3">
        <v>41139</v>
      </c>
      <c r="K755" s="3">
        <v>39255</v>
      </c>
      <c r="L755" s="1">
        <v>0</v>
      </c>
      <c r="M755" s="4">
        <v>0</v>
      </c>
      <c r="N755" s="3">
        <v>1884</v>
      </c>
      <c r="O755" s="4">
        <v>4.5999999999999999E-2</v>
      </c>
      <c r="P755" s="1" t="s">
        <v>2721</v>
      </c>
    </row>
    <row r="756" spans="1:16">
      <c r="A756" s="1" t="s">
        <v>15</v>
      </c>
      <c r="B756" s="1">
        <v>11</v>
      </c>
      <c r="C756" s="1" t="s">
        <v>4048</v>
      </c>
      <c r="D756" s="1" t="s">
        <v>1261</v>
      </c>
      <c r="E756" s="2">
        <v>45971</v>
      </c>
      <c r="F756" s="1" t="s">
        <v>33</v>
      </c>
      <c r="G756" s="1" t="s">
        <v>1262</v>
      </c>
      <c r="H756" s="1" t="s">
        <v>4049</v>
      </c>
      <c r="I756" s="1">
        <v>2</v>
      </c>
      <c r="J756" s="3">
        <v>344400</v>
      </c>
      <c r="K756" s="3">
        <v>328634</v>
      </c>
      <c r="L756" s="1">
        <v>0</v>
      </c>
      <c r="M756" s="4">
        <v>0</v>
      </c>
      <c r="N756" s="3">
        <v>15766</v>
      </c>
      <c r="O756" s="4">
        <v>4.5999999999999999E-2</v>
      </c>
      <c r="P756" s="1" t="s">
        <v>2721</v>
      </c>
    </row>
    <row r="757" spans="1:16">
      <c r="A757" s="1" t="s">
        <v>15</v>
      </c>
      <c r="B757" s="1">
        <v>11</v>
      </c>
      <c r="C757" s="1" t="s">
        <v>4048</v>
      </c>
      <c r="D757" s="1" t="s">
        <v>1261</v>
      </c>
      <c r="E757" s="2">
        <v>45971</v>
      </c>
      <c r="F757" s="1" t="s">
        <v>33</v>
      </c>
      <c r="G757" s="1" t="s">
        <v>1262</v>
      </c>
      <c r="H757" s="1" t="s">
        <v>4050</v>
      </c>
      <c r="I757" s="1">
        <v>1</v>
      </c>
      <c r="J757" s="3">
        <v>93326</v>
      </c>
      <c r="K757" s="3">
        <v>89054</v>
      </c>
      <c r="L757" s="1">
        <v>0</v>
      </c>
      <c r="M757" s="4">
        <v>0</v>
      </c>
      <c r="N757" s="3">
        <v>4272</v>
      </c>
      <c r="O757" s="4">
        <v>4.5999999999999999E-2</v>
      </c>
      <c r="P757" s="1" t="s">
        <v>2721</v>
      </c>
    </row>
    <row r="758" spans="1:16">
      <c r="A758" s="1" t="s">
        <v>15</v>
      </c>
      <c r="B758" s="1">
        <v>11</v>
      </c>
      <c r="C758" s="1" t="s">
        <v>4048</v>
      </c>
      <c r="D758" s="1" t="s">
        <v>1495</v>
      </c>
      <c r="E758" s="2">
        <v>45971</v>
      </c>
      <c r="F758" s="1" t="s">
        <v>33</v>
      </c>
      <c r="G758" s="1" t="s">
        <v>1496</v>
      </c>
      <c r="H758" s="1" t="s">
        <v>4051</v>
      </c>
      <c r="I758" s="1">
        <v>2</v>
      </c>
      <c r="J758" s="3">
        <v>30554</v>
      </c>
      <c r="K758" s="3">
        <v>29155</v>
      </c>
      <c r="L758" s="1">
        <v>0</v>
      </c>
      <c r="M758" s="4">
        <v>0</v>
      </c>
      <c r="N758" s="3">
        <v>1399</v>
      </c>
      <c r="O758" s="4">
        <v>4.5999999999999999E-2</v>
      </c>
      <c r="P758" s="1" t="s">
        <v>2721</v>
      </c>
    </row>
    <row r="759" spans="1:16">
      <c r="A759" s="1" t="s">
        <v>15</v>
      </c>
      <c r="B759" s="1">
        <v>11</v>
      </c>
      <c r="C759" s="1" t="s">
        <v>4052</v>
      </c>
      <c r="D759" s="1" t="s">
        <v>3189</v>
      </c>
      <c r="E759" s="2">
        <v>45971</v>
      </c>
      <c r="F759" s="1" t="s">
        <v>174</v>
      </c>
      <c r="G759" s="1" t="s">
        <v>3190</v>
      </c>
      <c r="H759" s="1" t="s">
        <v>4053</v>
      </c>
      <c r="I759" s="1">
        <v>1</v>
      </c>
      <c r="J759" s="3">
        <v>25067</v>
      </c>
      <c r="K759" s="3">
        <v>23919</v>
      </c>
      <c r="L759" s="1">
        <v>0</v>
      </c>
      <c r="M759" s="4">
        <v>0</v>
      </c>
      <c r="N759" s="3">
        <v>1148</v>
      </c>
      <c r="O759" s="4">
        <v>4.5999999999999999E-2</v>
      </c>
      <c r="P759" s="1" t="s">
        <v>2721</v>
      </c>
    </row>
    <row r="760" spans="1:16">
      <c r="A760" s="1" t="s">
        <v>15</v>
      </c>
      <c r="B760" s="1">
        <v>11</v>
      </c>
      <c r="C760" s="1" t="s">
        <v>4054</v>
      </c>
      <c r="D760" s="1" t="s">
        <v>516</v>
      </c>
      <c r="E760" s="2">
        <v>45971</v>
      </c>
      <c r="F760" s="1" t="s">
        <v>517</v>
      </c>
      <c r="G760" s="1" t="s">
        <v>518</v>
      </c>
      <c r="H760" s="1" t="s">
        <v>519</v>
      </c>
      <c r="I760" s="1">
        <v>1</v>
      </c>
      <c r="J760" s="3">
        <v>21528</v>
      </c>
      <c r="K760" s="3">
        <v>20542</v>
      </c>
      <c r="L760" s="1">
        <v>0</v>
      </c>
      <c r="M760" s="4">
        <v>0</v>
      </c>
      <c r="N760" s="1">
        <v>986</v>
      </c>
      <c r="O760" s="4">
        <v>4.5999999999999999E-2</v>
      </c>
      <c r="P760" s="1" t="s">
        <v>2721</v>
      </c>
    </row>
    <row r="761" spans="1:16">
      <c r="A761" s="1" t="s">
        <v>15</v>
      </c>
      <c r="B761" s="1">
        <v>11</v>
      </c>
      <c r="C761" s="1" t="s">
        <v>4055</v>
      </c>
      <c r="D761" s="1" t="s">
        <v>86</v>
      </c>
      <c r="E761" s="2">
        <v>45971</v>
      </c>
      <c r="F761" s="1" t="s">
        <v>53</v>
      </c>
      <c r="G761" s="1" t="s">
        <v>87</v>
      </c>
      <c r="H761" s="1" t="s">
        <v>88</v>
      </c>
      <c r="I761" s="1">
        <v>1</v>
      </c>
      <c r="J761" s="3">
        <v>14956</v>
      </c>
      <c r="K761" s="3">
        <v>14272</v>
      </c>
      <c r="L761" s="1">
        <v>0</v>
      </c>
      <c r="M761" s="4">
        <v>0</v>
      </c>
      <c r="N761" s="1">
        <v>684</v>
      </c>
      <c r="O761" s="4">
        <v>4.5999999999999999E-2</v>
      </c>
      <c r="P761" s="1" t="s">
        <v>2721</v>
      </c>
    </row>
    <row r="762" spans="1:16">
      <c r="A762" s="1" t="s">
        <v>15</v>
      </c>
      <c r="B762" s="1">
        <v>11</v>
      </c>
      <c r="C762" s="1" t="s">
        <v>4056</v>
      </c>
      <c r="D762" s="1" t="s">
        <v>325</v>
      </c>
      <c r="E762" s="2">
        <v>45971</v>
      </c>
      <c r="F762" s="1" t="s">
        <v>256</v>
      </c>
      <c r="G762" s="1" t="s">
        <v>326</v>
      </c>
      <c r="H762" s="1" t="s">
        <v>910</v>
      </c>
      <c r="I762" s="1">
        <v>1</v>
      </c>
      <c r="J762" s="3">
        <v>14204</v>
      </c>
      <c r="K762" s="3">
        <v>13554</v>
      </c>
      <c r="L762" s="1">
        <v>0</v>
      </c>
      <c r="M762" s="4">
        <v>0</v>
      </c>
      <c r="N762" s="1">
        <v>650</v>
      </c>
      <c r="O762" s="4">
        <v>4.5999999999999999E-2</v>
      </c>
      <c r="P762" s="1" t="s">
        <v>2721</v>
      </c>
    </row>
    <row r="763" spans="1:16">
      <c r="A763" s="1" t="s">
        <v>15</v>
      </c>
      <c r="B763" s="1">
        <v>11</v>
      </c>
      <c r="C763" s="1" t="s">
        <v>4057</v>
      </c>
      <c r="D763" s="1" t="s">
        <v>27</v>
      </c>
      <c r="E763" s="2">
        <v>45971</v>
      </c>
      <c r="F763" s="1" t="s">
        <v>28</v>
      </c>
      <c r="G763" s="1" t="s">
        <v>29</v>
      </c>
      <c r="H763" s="1" t="s">
        <v>352</v>
      </c>
      <c r="I763" s="1">
        <v>1</v>
      </c>
      <c r="J763" s="3">
        <v>27033</v>
      </c>
      <c r="K763" s="3">
        <v>25795</v>
      </c>
      <c r="L763" s="1">
        <v>0</v>
      </c>
      <c r="M763" s="4">
        <v>0</v>
      </c>
      <c r="N763" s="3">
        <v>1238</v>
      </c>
      <c r="O763" s="4">
        <v>4.5999999999999999E-2</v>
      </c>
      <c r="P763" s="1" t="s">
        <v>2721</v>
      </c>
    </row>
    <row r="764" spans="1:16">
      <c r="A764" s="1" t="s">
        <v>15</v>
      </c>
      <c r="B764" s="1">
        <v>11</v>
      </c>
      <c r="C764" s="1" t="s">
        <v>4058</v>
      </c>
      <c r="D764" s="1" t="s">
        <v>47</v>
      </c>
      <c r="E764" s="2">
        <v>45971</v>
      </c>
      <c r="F764" s="1" t="s">
        <v>48</v>
      </c>
      <c r="G764" s="1" t="s">
        <v>49</v>
      </c>
      <c r="H764" s="1" t="s">
        <v>50</v>
      </c>
      <c r="I764" s="1">
        <v>1</v>
      </c>
      <c r="J764" s="3">
        <v>18901</v>
      </c>
      <c r="K764" s="3">
        <v>18036</v>
      </c>
      <c r="L764" s="1">
        <v>0</v>
      </c>
      <c r="M764" s="4">
        <v>0</v>
      </c>
      <c r="N764" s="1">
        <v>865</v>
      </c>
      <c r="O764" s="4">
        <v>4.5999999999999999E-2</v>
      </c>
      <c r="P764" s="1" t="s">
        <v>2721</v>
      </c>
    </row>
    <row r="765" spans="1:16">
      <c r="A765" s="1" t="s">
        <v>15</v>
      </c>
      <c r="B765" s="1">
        <v>11</v>
      </c>
      <c r="C765" s="1" t="s">
        <v>4059</v>
      </c>
      <c r="D765" s="1" t="s">
        <v>4060</v>
      </c>
      <c r="E765" s="2">
        <v>45971</v>
      </c>
      <c r="F765" s="1" t="s">
        <v>4061</v>
      </c>
      <c r="G765" s="1" t="s">
        <v>4062</v>
      </c>
      <c r="H765" s="1" t="s">
        <v>4063</v>
      </c>
      <c r="I765" s="1">
        <v>1</v>
      </c>
      <c r="J765" s="3">
        <v>227816</v>
      </c>
      <c r="K765" s="3">
        <v>217387</v>
      </c>
      <c r="L765" s="1">
        <v>0</v>
      </c>
      <c r="M765" s="4">
        <v>0</v>
      </c>
      <c r="N765" s="3">
        <v>10429</v>
      </c>
      <c r="O765" s="4">
        <v>4.5999999999999999E-2</v>
      </c>
      <c r="P765" s="1" t="s">
        <v>2721</v>
      </c>
    </row>
    <row r="766" spans="1:16">
      <c r="A766" s="1" t="s">
        <v>15</v>
      </c>
      <c r="B766" s="1">
        <v>11</v>
      </c>
      <c r="C766" s="1" t="s">
        <v>4064</v>
      </c>
      <c r="D766" s="1" t="s">
        <v>132</v>
      </c>
      <c r="E766" s="2">
        <v>45971</v>
      </c>
      <c r="F766" s="1" t="s">
        <v>53</v>
      </c>
      <c r="G766" s="1" t="s">
        <v>133</v>
      </c>
      <c r="H766" s="1" t="s">
        <v>88</v>
      </c>
      <c r="I766" s="1">
        <v>1</v>
      </c>
      <c r="J766" s="3">
        <v>17036</v>
      </c>
      <c r="K766" s="3">
        <v>16256</v>
      </c>
      <c r="L766" s="1">
        <v>0</v>
      </c>
      <c r="M766" s="4">
        <v>0</v>
      </c>
      <c r="N766" s="1">
        <v>780</v>
      </c>
      <c r="O766" s="4">
        <v>4.5999999999999999E-2</v>
      </c>
      <c r="P766" s="1" t="s">
        <v>2721</v>
      </c>
    </row>
    <row r="767" spans="1:16">
      <c r="A767" s="1" t="s">
        <v>15</v>
      </c>
      <c r="B767" s="1">
        <v>11</v>
      </c>
      <c r="C767" s="1" t="s">
        <v>4065</v>
      </c>
      <c r="D767" s="1" t="s">
        <v>3541</v>
      </c>
      <c r="E767" s="2">
        <v>45971</v>
      </c>
      <c r="F767" s="1" t="s">
        <v>500</v>
      </c>
      <c r="G767" s="1" t="s">
        <v>1827</v>
      </c>
      <c r="H767" s="1" t="s">
        <v>1828</v>
      </c>
      <c r="I767" s="1">
        <v>1</v>
      </c>
      <c r="J767" s="3">
        <v>141099</v>
      </c>
      <c r="K767" s="3">
        <v>134640</v>
      </c>
      <c r="L767" s="1">
        <v>0</v>
      </c>
      <c r="M767" s="4">
        <v>0</v>
      </c>
      <c r="N767" s="3">
        <v>6459</v>
      </c>
      <c r="O767" s="4">
        <v>4.5999999999999999E-2</v>
      </c>
      <c r="P767" s="1" t="s">
        <v>2721</v>
      </c>
    </row>
    <row r="768" spans="1:16">
      <c r="A768" s="1" t="s">
        <v>15</v>
      </c>
      <c r="B768" s="1">
        <v>11</v>
      </c>
      <c r="C768" s="1" t="s">
        <v>4066</v>
      </c>
      <c r="D768" s="1" t="s">
        <v>3381</v>
      </c>
      <c r="E768" s="2">
        <v>45971</v>
      </c>
      <c r="F768" s="1" t="s">
        <v>235</v>
      </c>
      <c r="G768" s="1" t="s">
        <v>3382</v>
      </c>
      <c r="H768" s="1" t="s">
        <v>3382</v>
      </c>
      <c r="I768" s="1">
        <v>1</v>
      </c>
      <c r="J768" s="3">
        <v>22363</v>
      </c>
      <c r="K768" s="3">
        <v>21340</v>
      </c>
      <c r="L768" s="1">
        <v>0</v>
      </c>
      <c r="M768" s="4">
        <v>0</v>
      </c>
      <c r="N768" s="3">
        <v>1023</v>
      </c>
      <c r="O768" s="4">
        <v>4.5999999999999999E-2</v>
      </c>
      <c r="P768" s="1" t="s">
        <v>2721</v>
      </c>
    </row>
    <row r="769" spans="1:16">
      <c r="A769" s="1" t="s">
        <v>15</v>
      </c>
      <c r="B769" s="1">
        <v>11</v>
      </c>
      <c r="C769" s="1" t="s">
        <v>4067</v>
      </c>
      <c r="D769" s="1" t="s">
        <v>504</v>
      </c>
      <c r="E769" s="2">
        <v>45971</v>
      </c>
      <c r="F769" s="1" t="s">
        <v>407</v>
      </c>
      <c r="G769" s="1" t="s">
        <v>505</v>
      </c>
      <c r="H769" s="1" t="s">
        <v>1322</v>
      </c>
      <c r="I769" s="1">
        <v>1</v>
      </c>
      <c r="J769" s="3">
        <v>23592</v>
      </c>
      <c r="K769" s="3">
        <v>22512</v>
      </c>
      <c r="L769" s="1">
        <v>0</v>
      </c>
      <c r="M769" s="4">
        <v>0</v>
      </c>
      <c r="N769" s="3">
        <v>1080</v>
      </c>
      <c r="O769" s="4">
        <v>4.5999999999999999E-2</v>
      </c>
      <c r="P769" s="1" t="s">
        <v>2721</v>
      </c>
    </row>
    <row r="770" spans="1:16">
      <c r="A770" s="1" t="s">
        <v>15</v>
      </c>
      <c r="B770" s="1">
        <v>11</v>
      </c>
      <c r="C770" s="1" t="s">
        <v>4068</v>
      </c>
      <c r="D770" s="1" t="s">
        <v>3406</v>
      </c>
      <c r="E770" s="2">
        <v>45971</v>
      </c>
      <c r="F770" s="1" t="s">
        <v>570</v>
      </c>
      <c r="G770" s="1" t="s">
        <v>3407</v>
      </c>
      <c r="H770" s="1" t="s">
        <v>3408</v>
      </c>
      <c r="I770" s="1">
        <v>1</v>
      </c>
      <c r="J770" s="3">
        <v>29490</v>
      </c>
      <c r="K770" s="3">
        <v>28140</v>
      </c>
      <c r="L770" s="1">
        <v>0</v>
      </c>
      <c r="M770" s="4">
        <v>0</v>
      </c>
      <c r="N770" s="3">
        <v>1350</v>
      </c>
      <c r="O770" s="4">
        <v>4.5999999999999999E-2</v>
      </c>
      <c r="P770" s="1" t="s">
        <v>2721</v>
      </c>
    </row>
    <row r="771" spans="1:16">
      <c r="A771" s="1" t="s">
        <v>15</v>
      </c>
      <c r="B771" s="1">
        <v>11</v>
      </c>
      <c r="C771" s="1" t="s">
        <v>4069</v>
      </c>
      <c r="D771" s="1" t="s">
        <v>1375</v>
      </c>
      <c r="E771" s="2">
        <v>45971</v>
      </c>
      <c r="F771" s="1" t="s">
        <v>256</v>
      </c>
      <c r="G771" s="1" t="s">
        <v>1376</v>
      </c>
      <c r="H771" s="1" t="s">
        <v>2376</v>
      </c>
      <c r="I771" s="1">
        <v>1</v>
      </c>
      <c r="J771" s="3">
        <v>5161</v>
      </c>
      <c r="K771" s="3">
        <v>4925</v>
      </c>
      <c r="L771" s="1">
        <v>0</v>
      </c>
      <c r="M771" s="4">
        <v>0</v>
      </c>
      <c r="N771" s="1">
        <v>236</v>
      </c>
      <c r="O771" s="4">
        <v>4.5999999999999999E-2</v>
      </c>
      <c r="P771" s="1" t="s">
        <v>2721</v>
      </c>
    </row>
    <row r="772" spans="1:16">
      <c r="A772" s="1" t="s">
        <v>15</v>
      </c>
      <c r="B772" s="1">
        <v>11</v>
      </c>
      <c r="C772" s="1" t="s">
        <v>4070</v>
      </c>
      <c r="D772" s="1" t="s">
        <v>1375</v>
      </c>
      <c r="E772" s="2">
        <v>45971</v>
      </c>
      <c r="F772" s="1" t="s">
        <v>256</v>
      </c>
      <c r="G772" s="1" t="s">
        <v>1376</v>
      </c>
      <c r="H772" s="1" t="s">
        <v>1377</v>
      </c>
      <c r="I772" s="1">
        <v>1</v>
      </c>
      <c r="J772" s="3">
        <v>8208</v>
      </c>
      <c r="K772" s="3">
        <v>7832</v>
      </c>
      <c r="L772" s="1">
        <v>0</v>
      </c>
      <c r="M772" s="4">
        <v>0</v>
      </c>
      <c r="N772" s="1">
        <v>376</v>
      </c>
      <c r="O772" s="4">
        <v>4.5999999999999999E-2</v>
      </c>
      <c r="P772" s="1" t="s">
        <v>2721</v>
      </c>
    </row>
    <row r="773" spans="1:16">
      <c r="A773" s="1" t="s">
        <v>15</v>
      </c>
      <c r="B773" s="1">
        <v>11</v>
      </c>
      <c r="C773" s="1" t="s">
        <v>4071</v>
      </c>
      <c r="D773" s="1" t="s">
        <v>2903</v>
      </c>
      <c r="E773" s="2">
        <v>45971</v>
      </c>
      <c r="F773" s="1" t="s">
        <v>96</v>
      </c>
      <c r="G773" s="1" t="s">
        <v>2904</v>
      </c>
      <c r="H773" s="1" t="s">
        <v>2905</v>
      </c>
      <c r="I773" s="1">
        <v>2</v>
      </c>
      <c r="J773" s="3">
        <v>14108</v>
      </c>
      <c r="K773" s="3">
        <v>13462</v>
      </c>
      <c r="L773" s="1">
        <v>0</v>
      </c>
      <c r="M773" s="4">
        <v>0</v>
      </c>
      <c r="N773" s="1">
        <v>646</v>
      </c>
      <c r="O773" s="4">
        <v>4.5999999999999999E-2</v>
      </c>
      <c r="P773" s="1" t="s">
        <v>2721</v>
      </c>
    </row>
    <row r="774" spans="1:16">
      <c r="A774" s="1" t="s">
        <v>15</v>
      </c>
      <c r="B774" s="1">
        <v>11</v>
      </c>
      <c r="C774" s="1" t="s">
        <v>4072</v>
      </c>
      <c r="D774" s="1" t="s">
        <v>1226</v>
      </c>
      <c r="E774" s="2">
        <v>45971</v>
      </c>
      <c r="F774" s="1" t="s">
        <v>500</v>
      </c>
      <c r="G774" s="1" t="s">
        <v>1227</v>
      </c>
      <c r="H774" s="1" t="s">
        <v>1228</v>
      </c>
      <c r="I774" s="1">
        <v>1</v>
      </c>
      <c r="J774" s="3">
        <v>265138</v>
      </c>
      <c r="K774" s="3">
        <v>253000</v>
      </c>
      <c r="L774" s="1">
        <v>0</v>
      </c>
      <c r="M774" s="4">
        <v>0</v>
      </c>
      <c r="N774" s="3">
        <v>12138</v>
      </c>
      <c r="O774" s="4">
        <v>4.5999999999999999E-2</v>
      </c>
      <c r="P774" s="1" t="s">
        <v>2721</v>
      </c>
    </row>
    <row r="775" spans="1:16">
      <c r="A775" s="1" t="s">
        <v>15</v>
      </c>
      <c r="B775" s="1">
        <v>11</v>
      </c>
      <c r="C775" s="1" t="s">
        <v>4073</v>
      </c>
      <c r="D775" s="1" t="s">
        <v>4039</v>
      </c>
      <c r="E775" s="2">
        <v>45971</v>
      </c>
      <c r="F775" s="1" t="s">
        <v>53</v>
      </c>
      <c r="G775" s="1" t="s">
        <v>4040</v>
      </c>
      <c r="H775" s="1" t="s">
        <v>4074</v>
      </c>
      <c r="I775" s="1">
        <v>1</v>
      </c>
      <c r="J775" s="3">
        <v>9825</v>
      </c>
      <c r="K775" s="3">
        <v>9375</v>
      </c>
      <c r="L775" s="1">
        <v>0</v>
      </c>
      <c r="M775" s="4">
        <v>0</v>
      </c>
      <c r="N775" s="1">
        <v>450</v>
      </c>
      <c r="O775" s="4">
        <v>4.5999999999999999E-2</v>
      </c>
      <c r="P775" s="1" t="s">
        <v>2721</v>
      </c>
    </row>
    <row r="776" spans="1:16">
      <c r="A776" s="1" t="s">
        <v>15</v>
      </c>
      <c r="B776" s="1">
        <v>11</v>
      </c>
      <c r="C776" s="1" t="s">
        <v>4073</v>
      </c>
      <c r="D776" s="1" t="s">
        <v>4039</v>
      </c>
      <c r="E776" s="2">
        <v>45971</v>
      </c>
      <c r="F776" s="1" t="s">
        <v>53</v>
      </c>
      <c r="G776" s="1" t="s">
        <v>4040</v>
      </c>
      <c r="H776" s="1" t="s">
        <v>4075</v>
      </c>
      <c r="I776" s="1">
        <v>1</v>
      </c>
      <c r="J776" s="3">
        <v>9825</v>
      </c>
      <c r="K776" s="3">
        <v>9375</v>
      </c>
      <c r="L776" s="1">
        <v>0</v>
      </c>
      <c r="M776" s="4">
        <v>0</v>
      </c>
      <c r="N776" s="1">
        <v>450</v>
      </c>
      <c r="O776" s="4">
        <v>4.5999999999999999E-2</v>
      </c>
      <c r="P776" s="1" t="s">
        <v>2721</v>
      </c>
    </row>
    <row r="777" spans="1:16">
      <c r="A777" s="1" t="s">
        <v>15</v>
      </c>
      <c r="B777" s="1">
        <v>11</v>
      </c>
      <c r="C777" s="1" t="s">
        <v>4076</v>
      </c>
      <c r="D777" s="1" t="s">
        <v>777</v>
      </c>
      <c r="E777" s="2">
        <v>45971</v>
      </c>
      <c r="F777" s="1" t="s">
        <v>256</v>
      </c>
      <c r="G777" s="1" t="s">
        <v>778</v>
      </c>
      <c r="H777" s="1" t="s">
        <v>779</v>
      </c>
      <c r="I777" s="1">
        <v>1</v>
      </c>
      <c r="J777" s="3">
        <v>11010</v>
      </c>
      <c r="K777" s="3">
        <v>10506</v>
      </c>
      <c r="L777" s="1">
        <v>0</v>
      </c>
      <c r="M777" s="4">
        <v>0</v>
      </c>
      <c r="N777" s="1">
        <v>504</v>
      </c>
      <c r="O777" s="4">
        <v>4.5999999999999999E-2</v>
      </c>
      <c r="P777" s="1" t="s">
        <v>2721</v>
      </c>
    </row>
    <row r="778" spans="1:16">
      <c r="A778" s="1" t="s">
        <v>15</v>
      </c>
      <c r="B778" s="1">
        <v>11</v>
      </c>
      <c r="C778" s="1" t="s">
        <v>4077</v>
      </c>
      <c r="D778" s="1" t="s">
        <v>37</v>
      </c>
      <c r="E778" s="2">
        <v>45971</v>
      </c>
      <c r="F778" s="1" t="s">
        <v>38</v>
      </c>
      <c r="G778" s="1" t="s">
        <v>39</v>
      </c>
      <c r="H778" s="1" t="s">
        <v>40</v>
      </c>
      <c r="I778" s="1">
        <v>1</v>
      </c>
      <c r="J778" s="3">
        <v>89453</v>
      </c>
      <c r="K778" s="3">
        <v>85358</v>
      </c>
      <c r="L778" s="1">
        <v>0</v>
      </c>
      <c r="M778" s="4">
        <v>0</v>
      </c>
      <c r="N778" s="3">
        <v>4095</v>
      </c>
      <c r="O778" s="4">
        <v>4.5999999999999999E-2</v>
      </c>
      <c r="P778" s="1" t="s">
        <v>2721</v>
      </c>
    </row>
    <row r="779" spans="1:16">
      <c r="A779" s="1" t="s">
        <v>15</v>
      </c>
      <c r="B779" s="1">
        <v>11</v>
      </c>
      <c r="C779" s="1" t="s">
        <v>4078</v>
      </c>
      <c r="D779" s="1" t="s">
        <v>4079</v>
      </c>
      <c r="E779" s="2">
        <v>45971</v>
      </c>
      <c r="F779" s="1" t="s">
        <v>96</v>
      </c>
      <c r="G779" s="1" t="s">
        <v>4080</v>
      </c>
      <c r="H779" s="1" t="s">
        <v>4081</v>
      </c>
      <c r="I779" s="1">
        <v>1</v>
      </c>
      <c r="J779" s="3">
        <v>12571</v>
      </c>
      <c r="K779" s="3">
        <v>11995</v>
      </c>
      <c r="L779" s="1">
        <v>0</v>
      </c>
      <c r="M779" s="4">
        <v>0</v>
      </c>
      <c r="N779" s="1">
        <v>576</v>
      </c>
      <c r="O779" s="4">
        <v>4.5999999999999999E-2</v>
      </c>
      <c r="P779" s="1" t="s">
        <v>2721</v>
      </c>
    </row>
    <row r="780" spans="1:16">
      <c r="A780" s="1" t="s">
        <v>15</v>
      </c>
      <c r="B780" s="1">
        <v>11</v>
      </c>
      <c r="C780" s="1" t="s">
        <v>4078</v>
      </c>
      <c r="D780" s="1" t="s">
        <v>4079</v>
      </c>
      <c r="E780" s="2">
        <v>45971</v>
      </c>
      <c r="F780" s="1" t="s">
        <v>96</v>
      </c>
      <c r="G780" s="1" t="s">
        <v>4080</v>
      </c>
      <c r="H780" s="1" t="s">
        <v>4082</v>
      </c>
      <c r="I780" s="1">
        <v>1</v>
      </c>
      <c r="J780" s="3">
        <v>12571</v>
      </c>
      <c r="K780" s="3">
        <v>11995</v>
      </c>
      <c r="L780" s="1">
        <v>0</v>
      </c>
      <c r="M780" s="4">
        <v>0</v>
      </c>
      <c r="N780" s="1">
        <v>576</v>
      </c>
      <c r="O780" s="4">
        <v>4.5999999999999999E-2</v>
      </c>
      <c r="P780" s="1" t="s">
        <v>2721</v>
      </c>
    </row>
    <row r="781" spans="1:16">
      <c r="A781" s="1" t="s">
        <v>15</v>
      </c>
      <c r="B781" s="1">
        <v>11</v>
      </c>
      <c r="C781" s="1" t="s">
        <v>4083</v>
      </c>
      <c r="D781" s="1" t="s">
        <v>865</v>
      </c>
      <c r="E781" s="2">
        <v>45971</v>
      </c>
      <c r="F781" s="1" t="s">
        <v>334</v>
      </c>
      <c r="G781" s="1" t="s">
        <v>866</v>
      </c>
      <c r="H781" s="1" t="s">
        <v>867</v>
      </c>
      <c r="I781" s="1">
        <v>1</v>
      </c>
      <c r="J781" s="3">
        <v>9044</v>
      </c>
      <c r="K781" s="3">
        <v>8630</v>
      </c>
      <c r="L781" s="1">
        <v>0</v>
      </c>
      <c r="M781" s="4">
        <v>0</v>
      </c>
      <c r="N781" s="1">
        <v>414</v>
      </c>
      <c r="O781" s="4">
        <v>4.5999999999999999E-2</v>
      </c>
      <c r="P781" s="1" t="s">
        <v>2721</v>
      </c>
    </row>
    <row r="782" spans="1:16">
      <c r="A782" s="1" t="s">
        <v>15</v>
      </c>
      <c r="B782" s="1">
        <v>11</v>
      </c>
      <c r="C782" s="1" t="s">
        <v>4083</v>
      </c>
      <c r="D782" s="1" t="s">
        <v>865</v>
      </c>
      <c r="E782" s="2">
        <v>45971</v>
      </c>
      <c r="F782" s="1" t="s">
        <v>334</v>
      </c>
      <c r="G782" s="1" t="s">
        <v>866</v>
      </c>
      <c r="H782" s="1" t="s">
        <v>3913</v>
      </c>
      <c r="I782" s="1">
        <v>1</v>
      </c>
      <c r="J782" s="3">
        <v>9044</v>
      </c>
      <c r="K782" s="3">
        <v>8630</v>
      </c>
      <c r="L782" s="1">
        <v>0</v>
      </c>
      <c r="M782" s="4">
        <v>0</v>
      </c>
      <c r="N782" s="1">
        <v>414</v>
      </c>
      <c r="O782" s="4">
        <v>4.5999999999999999E-2</v>
      </c>
      <c r="P782" s="1" t="s">
        <v>2721</v>
      </c>
    </row>
    <row r="783" spans="1:16">
      <c r="A783" s="1" t="s">
        <v>15</v>
      </c>
      <c r="B783" s="1">
        <v>11</v>
      </c>
      <c r="C783" s="1" t="s">
        <v>4084</v>
      </c>
      <c r="D783" s="1" t="s">
        <v>4085</v>
      </c>
      <c r="E783" s="2">
        <v>45971</v>
      </c>
      <c r="F783" s="1" t="s">
        <v>271</v>
      </c>
      <c r="G783" s="1" t="s">
        <v>4086</v>
      </c>
      <c r="H783" s="1" t="s">
        <v>4087</v>
      </c>
      <c r="I783" s="1">
        <v>1</v>
      </c>
      <c r="J783" s="3">
        <v>12582</v>
      </c>
      <c r="K783" s="3">
        <v>12006</v>
      </c>
      <c r="L783" s="1">
        <v>0</v>
      </c>
      <c r="M783" s="4">
        <v>0</v>
      </c>
      <c r="N783" s="1">
        <v>576</v>
      </c>
      <c r="O783" s="4">
        <v>4.5999999999999999E-2</v>
      </c>
      <c r="P783" s="1" t="s">
        <v>2721</v>
      </c>
    </row>
    <row r="784" spans="1:16">
      <c r="A784" s="1" t="s">
        <v>15</v>
      </c>
      <c r="B784" s="1">
        <v>11</v>
      </c>
      <c r="C784" s="1" t="s">
        <v>4088</v>
      </c>
      <c r="D784" s="1" t="s">
        <v>80</v>
      </c>
      <c r="E784" s="2">
        <v>45971</v>
      </c>
      <c r="F784" s="1" t="s">
        <v>58</v>
      </c>
      <c r="G784" s="1" t="s">
        <v>81</v>
      </c>
      <c r="H784" s="1" t="s">
        <v>4089</v>
      </c>
      <c r="I784" s="1">
        <v>1</v>
      </c>
      <c r="J784" s="3">
        <v>17301</v>
      </c>
      <c r="K784" s="3">
        <v>16509</v>
      </c>
      <c r="L784" s="1">
        <v>0</v>
      </c>
      <c r="M784" s="4">
        <v>0</v>
      </c>
      <c r="N784" s="1">
        <v>792</v>
      </c>
      <c r="O784" s="4">
        <v>4.5999999999999999E-2</v>
      </c>
      <c r="P784" s="1" t="s">
        <v>2721</v>
      </c>
    </row>
    <row r="785" spans="1:16">
      <c r="A785" s="1" t="s">
        <v>15</v>
      </c>
      <c r="B785" s="1">
        <v>11</v>
      </c>
      <c r="C785" s="1" t="s">
        <v>4090</v>
      </c>
      <c r="D785" s="1" t="s">
        <v>3244</v>
      </c>
      <c r="E785" s="2">
        <v>45971</v>
      </c>
      <c r="F785" s="1" t="s">
        <v>151</v>
      </c>
      <c r="G785" s="1" t="s">
        <v>3245</v>
      </c>
      <c r="H785" s="1" t="s">
        <v>3245</v>
      </c>
      <c r="I785" s="1">
        <v>2</v>
      </c>
      <c r="J785" s="3">
        <v>50133</v>
      </c>
      <c r="K785" s="3">
        <v>47838</v>
      </c>
      <c r="L785" s="1">
        <v>0</v>
      </c>
      <c r="M785" s="4">
        <v>0</v>
      </c>
      <c r="N785" s="3">
        <v>2295</v>
      </c>
      <c r="O785" s="4">
        <v>4.5999999999999999E-2</v>
      </c>
      <c r="P785" s="1" t="s">
        <v>2721</v>
      </c>
    </row>
    <row r="786" spans="1:16">
      <c r="A786" s="1" t="s">
        <v>15</v>
      </c>
      <c r="B786" s="1">
        <v>11</v>
      </c>
      <c r="C786" s="1" t="s">
        <v>4091</v>
      </c>
      <c r="D786" s="1" t="s">
        <v>1346</v>
      </c>
      <c r="E786" s="2">
        <v>45971</v>
      </c>
      <c r="F786" s="1" t="s">
        <v>317</v>
      </c>
      <c r="G786" s="1" t="s">
        <v>1347</v>
      </c>
      <c r="H786" s="1" t="s">
        <v>1348</v>
      </c>
      <c r="I786" s="1">
        <v>1</v>
      </c>
      <c r="J786" s="3">
        <v>32439</v>
      </c>
      <c r="K786" s="3">
        <v>30954</v>
      </c>
      <c r="L786" s="1">
        <v>0</v>
      </c>
      <c r="M786" s="4">
        <v>0</v>
      </c>
      <c r="N786" s="3">
        <v>1485</v>
      </c>
      <c r="O786" s="4">
        <v>4.5999999999999999E-2</v>
      </c>
      <c r="P786" s="1" t="s">
        <v>2721</v>
      </c>
    </row>
    <row r="787" spans="1:16">
      <c r="A787" s="1" t="s">
        <v>15</v>
      </c>
      <c r="B787" s="1">
        <v>11</v>
      </c>
      <c r="C787" s="1" t="s">
        <v>4092</v>
      </c>
      <c r="D787" s="1" t="s">
        <v>2512</v>
      </c>
      <c r="E787" s="2">
        <v>45971</v>
      </c>
      <c r="F787" s="1" t="s">
        <v>395</v>
      </c>
      <c r="G787" s="1" t="s">
        <v>2513</v>
      </c>
      <c r="H787" s="1" t="s">
        <v>2514</v>
      </c>
      <c r="I787" s="1">
        <v>1</v>
      </c>
      <c r="J787" s="3">
        <v>24575</v>
      </c>
      <c r="K787" s="3">
        <v>23450</v>
      </c>
      <c r="L787" s="1">
        <v>0</v>
      </c>
      <c r="M787" s="4">
        <v>0</v>
      </c>
      <c r="N787" s="3">
        <v>1125</v>
      </c>
      <c r="O787" s="4">
        <v>4.5999999999999999E-2</v>
      </c>
      <c r="P787" s="1" t="s">
        <v>2721</v>
      </c>
    </row>
    <row r="788" spans="1:16">
      <c r="A788" s="1" t="s">
        <v>15</v>
      </c>
      <c r="B788" s="1">
        <v>11</v>
      </c>
      <c r="C788" s="1" t="s">
        <v>4093</v>
      </c>
      <c r="D788" s="1" t="s">
        <v>265</v>
      </c>
      <c r="E788" s="2">
        <v>45971</v>
      </c>
      <c r="F788" s="1" t="s">
        <v>266</v>
      </c>
      <c r="G788" s="1" t="s">
        <v>267</v>
      </c>
      <c r="H788" s="1" t="s">
        <v>3793</v>
      </c>
      <c r="I788" s="1">
        <v>1</v>
      </c>
      <c r="J788" s="3">
        <v>14450</v>
      </c>
      <c r="K788" s="3">
        <v>13789</v>
      </c>
      <c r="L788" s="1">
        <v>0</v>
      </c>
      <c r="M788" s="4">
        <v>0</v>
      </c>
      <c r="N788" s="1">
        <v>661</v>
      </c>
      <c r="O788" s="4">
        <v>4.5999999999999999E-2</v>
      </c>
      <c r="P788" s="1" t="s">
        <v>2721</v>
      </c>
    </row>
    <row r="789" spans="1:16">
      <c r="A789" s="1" t="s">
        <v>15</v>
      </c>
      <c r="B789" s="1">
        <v>11</v>
      </c>
      <c r="C789" s="1" t="s">
        <v>4094</v>
      </c>
      <c r="D789" s="1" t="s">
        <v>903</v>
      </c>
      <c r="E789" s="2">
        <v>45971</v>
      </c>
      <c r="F789" s="1" t="s">
        <v>23</v>
      </c>
      <c r="G789" s="1" t="s">
        <v>587</v>
      </c>
      <c r="H789" s="1" t="s">
        <v>588</v>
      </c>
      <c r="I789" s="1">
        <v>1</v>
      </c>
      <c r="J789" s="3">
        <v>13762</v>
      </c>
      <c r="K789" s="3">
        <v>13132</v>
      </c>
      <c r="L789" s="1">
        <v>0</v>
      </c>
      <c r="M789" s="4">
        <v>0</v>
      </c>
      <c r="N789" s="1">
        <v>630</v>
      </c>
      <c r="O789" s="4">
        <v>4.5999999999999999E-2</v>
      </c>
      <c r="P789" s="1" t="s">
        <v>2721</v>
      </c>
    </row>
    <row r="790" spans="1:16">
      <c r="A790" s="1" t="s">
        <v>15</v>
      </c>
      <c r="B790" s="1">
        <v>11</v>
      </c>
      <c r="C790" s="1" t="s">
        <v>4094</v>
      </c>
      <c r="D790" s="1" t="s">
        <v>4095</v>
      </c>
      <c r="E790" s="2">
        <v>45971</v>
      </c>
      <c r="F790" s="1" t="s">
        <v>58</v>
      </c>
      <c r="G790" s="1" t="s">
        <v>4096</v>
      </c>
      <c r="H790" s="1" t="s">
        <v>4097</v>
      </c>
      <c r="I790" s="1">
        <v>1</v>
      </c>
      <c r="J790" s="3">
        <v>21842</v>
      </c>
      <c r="K790" s="3">
        <v>20842</v>
      </c>
      <c r="L790" s="1">
        <v>0</v>
      </c>
      <c r="M790" s="4">
        <v>0</v>
      </c>
      <c r="N790" s="3">
        <v>1000</v>
      </c>
      <c r="O790" s="4">
        <v>4.5999999999999999E-2</v>
      </c>
      <c r="P790" s="1" t="s">
        <v>2721</v>
      </c>
    </row>
    <row r="791" spans="1:16">
      <c r="A791" s="1" t="s">
        <v>15</v>
      </c>
      <c r="B791" s="1">
        <v>11</v>
      </c>
      <c r="C791" s="1" t="s">
        <v>4098</v>
      </c>
      <c r="D791" s="1" t="s">
        <v>504</v>
      </c>
      <c r="E791" s="2">
        <v>45971</v>
      </c>
      <c r="F791" s="1" t="s">
        <v>407</v>
      </c>
      <c r="G791" s="1" t="s">
        <v>505</v>
      </c>
      <c r="H791" s="1" t="s">
        <v>1322</v>
      </c>
      <c r="I791" s="1">
        <v>1</v>
      </c>
      <c r="J791" s="3">
        <v>23592</v>
      </c>
      <c r="K791" s="3">
        <v>22512</v>
      </c>
      <c r="L791" s="1">
        <v>0</v>
      </c>
      <c r="M791" s="4">
        <v>0</v>
      </c>
      <c r="N791" s="3">
        <v>1080</v>
      </c>
      <c r="O791" s="4">
        <v>4.5999999999999999E-2</v>
      </c>
      <c r="P791" s="1" t="s">
        <v>2721</v>
      </c>
    </row>
    <row r="792" spans="1:16">
      <c r="A792" s="1" t="s">
        <v>15</v>
      </c>
      <c r="B792" s="1">
        <v>11</v>
      </c>
      <c r="C792" s="1" t="s">
        <v>4099</v>
      </c>
      <c r="D792" s="1" t="s">
        <v>1346</v>
      </c>
      <c r="E792" s="2">
        <v>45971</v>
      </c>
      <c r="F792" s="1" t="s">
        <v>317</v>
      </c>
      <c r="G792" s="1" t="s">
        <v>1347</v>
      </c>
      <c r="H792" s="1" t="s">
        <v>4100</v>
      </c>
      <c r="I792" s="1">
        <v>1</v>
      </c>
      <c r="J792" s="3">
        <v>32439</v>
      </c>
      <c r="K792" s="3">
        <v>30954</v>
      </c>
      <c r="L792" s="1">
        <v>0</v>
      </c>
      <c r="M792" s="4">
        <v>0</v>
      </c>
      <c r="N792" s="3">
        <v>1485</v>
      </c>
      <c r="O792" s="4">
        <v>4.5999999999999999E-2</v>
      </c>
      <c r="P792" s="1" t="s">
        <v>2721</v>
      </c>
    </row>
    <row r="793" spans="1:16">
      <c r="A793" s="1" t="s">
        <v>15</v>
      </c>
      <c r="B793" s="1">
        <v>11</v>
      </c>
      <c r="C793" s="1" t="s">
        <v>4099</v>
      </c>
      <c r="D793" s="1" t="s">
        <v>1346</v>
      </c>
      <c r="E793" s="2">
        <v>45971</v>
      </c>
      <c r="F793" s="1" t="s">
        <v>317</v>
      </c>
      <c r="G793" s="1" t="s">
        <v>1347</v>
      </c>
      <c r="H793" s="1" t="s">
        <v>3848</v>
      </c>
      <c r="I793" s="1">
        <v>1</v>
      </c>
      <c r="J793" s="3">
        <v>29982</v>
      </c>
      <c r="K793" s="3">
        <v>28609</v>
      </c>
      <c r="L793" s="1">
        <v>0</v>
      </c>
      <c r="M793" s="4">
        <v>0</v>
      </c>
      <c r="N793" s="3">
        <v>1373</v>
      </c>
      <c r="O793" s="4">
        <v>4.5999999999999999E-2</v>
      </c>
      <c r="P793" s="1" t="s">
        <v>2721</v>
      </c>
    </row>
    <row r="794" spans="1:16">
      <c r="A794" s="1" t="s">
        <v>15</v>
      </c>
      <c r="B794" s="1">
        <v>11</v>
      </c>
      <c r="C794" s="1" t="s">
        <v>4101</v>
      </c>
      <c r="D794" s="1" t="s">
        <v>1500</v>
      </c>
      <c r="E794" s="2">
        <v>45971</v>
      </c>
      <c r="F794" s="1" t="s">
        <v>96</v>
      </c>
      <c r="G794" s="1" t="s">
        <v>1501</v>
      </c>
      <c r="H794" s="1" t="s">
        <v>1502</v>
      </c>
      <c r="I794" s="1">
        <v>2</v>
      </c>
      <c r="J794" s="3">
        <v>22609</v>
      </c>
      <c r="K794" s="3">
        <v>21574</v>
      </c>
      <c r="L794" s="1">
        <v>0</v>
      </c>
      <c r="M794" s="4">
        <v>0</v>
      </c>
      <c r="N794" s="3">
        <v>1035</v>
      </c>
      <c r="O794" s="4">
        <v>4.5999999999999999E-2</v>
      </c>
      <c r="P794" s="1" t="s">
        <v>2721</v>
      </c>
    </row>
    <row r="795" spans="1:16">
      <c r="A795" s="1" t="s">
        <v>15</v>
      </c>
      <c r="B795" s="1">
        <v>11</v>
      </c>
      <c r="C795" s="1" t="s">
        <v>4101</v>
      </c>
      <c r="D795" s="1" t="s">
        <v>3728</v>
      </c>
      <c r="E795" s="2">
        <v>45971</v>
      </c>
      <c r="F795" s="1" t="s">
        <v>96</v>
      </c>
      <c r="G795" s="1" t="s">
        <v>3729</v>
      </c>
      <c r="H795" s="1" t="s">
        <v>3730</v>
      </c>
      <c r="I795" s="1">
        <v>1</v>
      </c>
      <c r="J795" s="3">
        <v>11305</v>
      </c>
      <c r="K795" s="3">
        <v>10787</v>
      </c>
      <c r="L795" s="1">
        <v>0</v>
      </c>
      <c r="M795" s="4">
        <v>0</v>
      </c>
      <c r="N795" s="1">
        <v>518</v>
      </c>
      <c r="O795" s="4">
        <v>4.5999999999999999E-2</v>
      </c>
      <c r="P795" s="1" t="s">
        <v>2721</v>
      </c>
    </row>
    <row r="796" spans="1:16">
      <c r="A796" s="1" t="s">
        <v>15</v>
      </c>
      <c r="B796" s="1">
        <v>11</v>
      </c>
      <c r="C796" s="1" t="s">
        <v>4102</v>
      </c>
      <c r="D796" s="1" t="s">
        <v>22</v>
      </c>
      <c r="E796" s="2">
        <v>45971</v>
      </c>
      <c r="F796" s="1" t="s">
        <v>23</v>
      </c>
      <c r="G796" s="1" t="s">
        <v>24</v>
      </c>
      <c r="H796" s="1" t="s">
        <v>25</v>
      </c>
      <c r="I796" s="1">
        <v>1</v>
      </c>
      <c r="J796" s="3">
        <v>11305</v>
      </c>
      <c r="K796" s="3">
        <v>10787</v>
      </c>
      <c r="L796" s="1">
        <v>0</v>
      </c>
      <c r="M796" s="4">
        <v>0</v>
      </c>
      <c r="N796" s="1">
        <v>518</v>
      </c>
      <c r="O796" s="4">
        <v>4.5999999999999999E-2</v>
      </c>
      <c r="P796" s="1" t="s">
        <v>2721</v>
      </c>
    </row>
    <row r="797" spans="1:16">
      <c r="A797" s="1" t="s">
        <v>15</v>
      </c>
      <c r="B797" s="1">
        <v>11</v>
      </c>
      <c r="C797" s="1" t="s">
        <v>4103</v>
      </c>
      <c r="D797" s="1" t="s">
        <v>72</v>
      </c>
      <c r="E797" s="2">
        <v>45971</v>
      </c>
      <c r="F797" s="1" t="s">
        <v>63</v>
      </c>
      <c r="G797" s="1" t="s">
        <v>73</v>
      </c>
      <c r="H797" s="1" t="s">
        <v>74</v>
      </c>
      <c r="I797" s="1">
        <v>2</v>
      </c>
      <c r="J797" s="3">
        <v>20912</v>
      </c>
      <c r="K797" s="3">
        <v>19955</v>
      </c>
      <c r="L797" s="1">
        <v>0</v>
      </c>
      <c r="M797" s="4">
        <v>0</v>
      </c>
      <c r="N797" s="1">
        <v>957</v>
      </c>
      <c r="O797" s="4">
        <v>4.5999999999999999E-2</v>
      </c>
      <c r="P797" s="1" t="s">
        <v>2721</v>
      </c>
    </row>
    <row r="798" spans="1:16">
      <c r="A798" s="1" t="s">
        <v>15</v>
      </c>
      <c r="B798" s="1">
        <v>11</v>
      </c>
      <c r="C798" s="1" t="s">
        <v>4104</v>
      </c>
      <c r="D798" s="1" t="s">
        <v>1673</v>
      </c>
      <c r="E798" s="2">
        <v>45971</v>
      </c>
      <c r="F798" s="1" t="s">
        <v>660</v>
      </c>
      <c r="G798" s="1" t="s">
        <v>1674</v>
      </c>
      <c r="H798" s="1" t="s">
        <v>2339</v>
      </c>
      <c r="I798" s="1">
        <v>1</v>
      </c>
      <c r="J798" s="3">
        <v>11118</v>
      </c>
      <c r="K798" s="3">
        <v>10609</v>
      </c>
      <c r="L798" s="1">
        <v>0</v>
      </c>
      <c r="M798" s="4">
        <v>0</v>
      </c>
      <c r="N798" s="1">
        <v>509</v>
      </c>
      <c r="O798" s="4">
        <v>4.5999999999999999E-2</v>
      </c>
      <c r="P798" s="1" t="s">
        <v>2721</v>
      </c>
    </row>
    <row r="799" spans="1:16">
      <c r="A799" s="1" t="s">
        <v>15</v>
      </c>
      <c r="B799" s="1">
        <v>11</v>
      </c>
      <c r="C799" s="1" t="s">
        <v>4105</v>
      </c>
      <c r="D799" s="1" t="s">
        <v>394</v>
      </c>
      <c r="E799" s="2">
        <v>45971</v>
      </c>
      <c r="F799" s="1" t="s">
        <v>395</v>
      </c>
      <c r="G799" s="1" t="s">
        <v>2803</v>
      </c>
      <c r="H799" s="1" t="s">
        <v>2804</v>
      </c>
      <c r="I799" s="1">
        <v>2</v>
      </c>
      <c r="J799" s="3">
        <v>37747</v>
      </c>
      <c r="K799" s="3">
        <v>36019</v>
      </c>
      <c r="L799" s="1">
        <v>0</v>
      </c>
      <c r="M799" s="4">
        <v>0</v>
      </c>
      <c r="N799" s="3">
        <v>1728</v>
      </c>
      <c r="O799" s="4">
        <v>4.5999999999999999E-2</v>
      </c>
      <c r="P799" s="1" t="s">
        <v>2721</v>
      </c>
    </row>
    <row r="800" spans="1:16">
      <c r="A800" s="1" t="s">
        <v>15</v>
      </c>
      <c r="B800" s="1">
        <v>11</v>
      </c>
      <c r="C800" s="1" t="s">
        <v>4106</v>
      </c>
      <c r="D800" s="1" t="s">
        <v>960</v>
      </c>
      <c r="E800" s="2">
        <v>45971</v>
      </c>
      <c r="F800" s="1" t="s">
        <v>407</v>
      </c>
      <c r="G800" s="1" t="s">
        <v>961</v>
      </c>
      <c r="H800" s="1" t="s">
        <v>2367</v>
      </c>
      <c r="I800" s="1">
        <v>1</v>
      </c>
      <c r="J800" s="3">
        <v>34405</v>
      </c>
      <c r="K800" s="3">
        <v>32830</v>
      </c>
      <c r="L800" s="1">
        <v>0</v>
      </c>
      <c r="M800" s="4">
        <v>0</v>
      </c>
      <c r="N800" s="3">
        <v>1575</v>
      </c>
      <c r="O800" s="4">
        <v>4.5999999999999999E-2</v>
      </c>
      <c r="P800" s="1" t="s">
        <v>2721</v>
      </c>
    </row>
    <row r="801" spans="1:16">
      <c r="A801" s="1" t="s">
        <v>15</v>
      </c>
      <c r="B801" s="1">
        <v>11</v>
      </c>
      <c r="C801" s="1" t="s">
        <v>4107</v>
      </c>
      <c r="D801" s="1" t="s">
        <v>4108</v>
      </c>
      <c r="E801" s="2">
        <v>45971</v>
      </c>
      <c r="F801" s="1" t="s">
        <v>4109</v>
      </c>
      <c r="G801" s="1" t="s">
        <v>4110</v>
      </c>
      <c r="H801" s="1" t="s">
        <v>4111</v>
      </c>
      <c r="I801" s="1">
        <v>1</v>
      </c>
      <c r="J801" s="3">
        <v>7373</v>
      </c>
      <c r="K801" s="3">
        <v>7035</v>
      </c>
      <c r="L801" s="1">
        <v>0</v>
      </c>
      <c r="M801" s="4">
        <v>0</v>
      </c>
      <c r="N801" s="1">
        <v>338</v>
      </c>
      <c r="O801" s="4">
        <v>4.5999999999999999E-2</v>
      </c>
      <c r="P801" s="1" t="s">
        <v>2721</v>
      </c>
    </row>
    <row r="802" spans="1:16">
      <c r="A802" s="1" t="s">
        <v>15</v>
      </c>
      <c r="B802" s="1">
        <v>11</v>
      </c>
      <c r="C802" s="1" t="s">
        <v>4112</v>
      </c>
      <c r="D802" s="1" t="s">
        <v>86</v>
      </c>
      <c r="E802" s="2">
        <v>45971</v>
      </c>
      <c r="F802" s="1" t="s">
        <v>53</v>
      </c>
      <c r="G802" s="1" t="s">
        <v>87</v>
      </c>
      <c r="H802" s="1" t="s">
        <v>88</v>
      </c>
      <c r="I802" s="1">
        <v>1</v>
      </c>
      <c r="J802" s="3">
        <v>14956</v>
      </c>
      <c r="K802" s="3">
        <v>14272</v>
      </c>
      <c r="L802" s="1">
        <v>0</v>
      </c>
      <c r="M802" s="4">
        <v>0</v>
      </c>
      <c r="N802" s="1">
        <v>684</v>
      </c>
      <c r="O802" s="4">
        <v>4.5999999999999999E-2</v>
      </c>
      <c r="P802" s="1" t="s">
        <v>2721</v>
      </c>
    </row>
    <row r="803" spans="1:16">
      <c r="A803" s="1" t="s">
        <v>15</v>
      </c>
      <c r="B803" s="1">
        <v>11</v>
      </c>
      <c r="C803" s="1" t="s">
        <v>4113</v>
      </c>
      <c r="D803" s="1" t="s">
        <v>390</v>
      </c>
      <c r="E803" s="2">
        <v>45971</v>
      </c>
      <c r="F803" s="1" t="s">
        <v>256</v>
      </c>
      <c r="G803" s="1" t="s">
        <v>391</v>
      </c>
      <c r="H803" s="1" t="s">
        <v>392</v>
      </c>
      <c r="I803" s="1">
        <v>1</v>
      </c>
      <c r="J803" s="3">
        <v>12799</v>
      </c>
      <c r="K803" s="3">
        <v>12213</v>
      </c>
      <c r="L803" s="1">
        <v>0</v>
      </c>
      <c r="M803" s="4">
        <v>0</v>
      </c>
      <c r="N803" s="1">
        <v>586</v>
      </c>
      <c r="O803" s="4">
        <v>4.5999999999999999E-2</v>
      </c>
      <c r="P803" s="1" t="s">
        <v>2721</v>
      </c>
    </row>
    <row r="804" spans="1:16">
      <c r="A804" s="1" t="s">
        <v>15</v>
      </c>
      <c r="B804" s="1">
        <v>11</v>
      </c>
      <c r="C804" s="1" t="s">
        <v>4114</v>
      </c>
      <c r="D804" s="1" t="s">
        <v>169</v>
      </c>
      <c r="E804" s="2">
        <v>45971</v>
      </c>
      <c r="F804" s="1" t="s">
        <v>53</v>
      </c>
      <c r="G804" s="1" t="s">
        <v>170</v>
      </c>
      <c r="H804" s="1" t="s">
        <v>171</v>
      </c>
      <c r="I804" s="1">
        <v>1</v>
      </c>
      <c r="J804" s="3">
        <v>14332</v>
      </c>
      <c r="K804" s="3">
        <v>13676</v>
      </c>
      <c r="L804" s="1">
        <v>0</v>
      </c>
      <c r="M804" s="4">
        <v>0</v>
      </c>
      <c r="N804" s="1">
        <v>656</v>
      </c>
      <c r="O804" s="4">
        <v>4.5999999999999999E-2</v>
      </c>
      <c r="P804" s="1" t="s">
        <v>2721</v>
      </c>
    </row>
    <row r="805" spans="1:16">
      <c r="A805" s="1" t="s">
        <v>15</v>
      </c>
      <c r="B805" s="1">
        <v>11</v>
      </c>
      <c r="C805" s="1" t="s">
        <v>4115</v>
      </c>
      <c r="D805" s="1" t="s">
        <v>169</v>
      </c>
      <c r="E805" s="2">
        <v>45971</v>
      </c>
      <c r="F805" s="1" t="s">
        <v>53</v>
      </c>
      <c r="G805" s="1" t="s">
        <v>170</v>
      </c>
      <c r="H805" s="1" t="s">
        <v>171</v>
      </c>
      <c r="I805" s="1">
        <v>1</v>
      </c>
      <c r="J805" s="3">
        <v>14332</v>
      </c>
      <c r="K805" s="3">
        <v>13676</v>
      </c>
      <c r="L805" s="1">
        <v>0</v>
      </c>
      <c r="M805" s="4">
        <v>0</v>
      </c>
      <c r="N805" s="1">
        <v>656</v>
      </c>
      <c r="O805" s="4">
        <v>4.5999999999999999E-2</v>
      </c>
      <c r="P805" s="1" t="s">
        <v>2721</v>
      </c>
    </row>
    <row r="806" spans="1:16">
      <c r="A806" s="1" t="s">
        <v>15</v>
      </c>
      <c r="B806" s="1">
        <v>11</v>
      </c>
      <c r="C806" s="1" t="s">
        <v>4116</v>
      </c>
      <c r="D806" s="1" t="s">
        <v>255</v>
      </c>
      <c r="E806" s="2">
        <v>45971</v>
      </c>
      <c r="F806" s="1" t="s">
        <v>256</v>
      </c>
      <c r="G806" s="1" t="s">
        <v>257</v>
      </c>
      <c r="H806" s="1" t="s">
        <v>258</v>
      </c>
      <c r="I806" s="1">
        <v>1</v>
      </c>
      <c r="J806" s="3">
        <v>13860</v>
      </c>
      <c r="K806" s="3">
        <v>13226</v>
      </c>
      <c r="L806" s="1">
        <v>0</v>
      </c>
      <c r="M806" s="4">
        <v>0</v>
      </c>
      <c r="N806" s="1">
        <v>634</v>
      </c>
      <c r="O806" s="4">
        <v>4.5999999999999999E-2</v>
      </c>
      <c r="P806" s="1" t="s">
        <v>2721</v>
      </c>
    </row>
    <row r="807" spans="1:16">
      <c r="A807" s="1" t="s">
        <v>15</v>
      </c>
      <c r="B807" s="1">
        <v>11</v>
      </c>
      <c r="C807" s="1" t="s">
        <v>4117</v>
      </c>
      <c r="D807" s="1" t="s">
        <v>511</v>
      </c>
      <c r="E807" s="2">
        <v>45971</v>
      </c>
      <c r="F807" s="1" t="s">
        <v>512</v>
      </c>
      <c r="G807" s="1" t="s">
        <v>513</v>
      </c>
      <c r="H807" s="1" t="s">
        <v>4118</v>
      </c>
      <c r="I807" s="1">
        <v>1</v>
      </c>
      <c r="J807" s="3">
        <v>314599</v>
      </c>
      <c r="K807" s="3">
        <v>300198</v>
      </c>
      <c r="L807" s="1">
        <v>0</v>
      </c>
      <c r="M807" s="4">
        <v>0</v>
      </c>
      <c r="N807" s="3">
        <v>14401</v>
      </c>
      <c r="O807" s="4">
        <v>4.5999999999999999E-2</v>
      </c>
      <c r="P807" s="1" t="s">
        <v>2721</v>
      </c>
    </row>
    <row r="808" spans="1:16">
      <c r="A808" s="1" t="s">
        <v>15</v>
      </c>
      <c r="B808" s="1">
        <v>11</v>
      </c>
      <c r="C808" s="1" t="s">
        <v>4119</v>
      </c>
      <c r="D808" s="1" t="s">
        <v>3762</v>
      </c>
      <c r="E808" s="2">
        <v>45971</v>
      </c>
      <c r="F808" s="1" t="s">
        <v>96</v>
      </c>
      <c r="G808" s="1" t="s">
        <v>596</v>
      </c>
      <c r="H808" s="1" t="s">
        <v>597</v>
      </c>
      <c r="I808" s="1">
        <v>2</v>
      </c>
      <c r="J808" s="3">
        <v>23332</v>
      </c>
      <c r="K808" s="3">
        <v>22264</v>
      </c>
      <c r="L808" s="1">
        <v>0</v>
      </c>
      <c r="M808" s="4">
        <v>0</v>
      </c>
      <c r="N808" s="3">
        <v>1068</v>
      </c>
      <c r="O808" s="4">
        <v>4.5999999999999999E-2</v>
      </c>
      <c r="P808" s="1" t="s">
        <v>2721</v>
      </c>
    </row>
    <row r="809" spans="1:16">
      <c r="A809" s="1" t="s">
        <v>15</v>
      </c>
      <c r="B809" s="1">
        <v>11</v>
      </c>
      <c r="C809" s="1" t="s">
        <v>4120</v>
      </c>
      <c r="D809" s="1" t="s">
        <v>4121</v>
      </c>
      <c r="E809" s="2">
        <v>45971</v>
      </c>
      <c r="F809" s="1" t="s">
        <v>96</v>
      </c>
      <c r="G809" s="1" t="s">
        <v>4122</v>
      </c>
      <c r="H809" s="1" t="s">
        <v>2014</v>
      </c>
      <c r="I809" s="1">
        <v>1</v>
      </c>
      <c r="J809" s="3">
        <v>23423</v>
      </c>
      <c r="K809" s="3">
        <v>22351</v>
      </c>
      <c r="L809" s="1">
        <v>0</v>
      </c>
      <c r="M809" s="4">
        <v>0</v>
      </c>
      <c r="N809" s="3">
        <v>1072</v>
      </c>
      <c r="O809" s="4">
        <v>4.5999999999999999E-2</v>
      </c>
      <c r="P809" s="1" t="s">
        <v>2721</v>
      </c>
    </row>
    <row r="810" spans="1:16">
      <c r="A810" s="1" t="s">
        <v>15</v>
      </c>
      <c r="B810" s="1">
        <v>11</v>
      </c>
      <c r="C810" s="1" t="s">
        <v>4123</v>
      </c>
      <c r="D810" s="1" t="s">
        <v>504</v>
      </c>
      <c r="E810" s="2">
        <v>45971</v>
      </c>
      <c r="F810" s="1" t="s">
        <v>407</v>
      </c>
      <c r="G810" s="1" t="s">
        <v>505</v>
      </c>
      <c r="H810" s="1" t="s">
        <v>1322</v>
      </c>
      <c r="I810" s="1">
        <v>1</v>
      </c>
      <c r="J810" s="3">
        <v>23592</v>
      </c>
      <c r="K810" s="3">
        <v>22512</v>
      </c>
      <c r="L810" s="1">
        <v>0</v>
      </c>
      <c r="M810" s="4">
        <v>0</v>
      </c>
      <c r="N810" s="3">
        <v>1080</v>
      </c>
      <c r="O810" s="4">
        <v>4.5999999999999999E-2</v>
      </c>
      <c r="P810" s="1" t="s">
        <v>2721</v>
      </c>
    </row>
    <row r="811" spans="1:16">
      <c r="A811" s="1" t="s">
        <v>15</v>
      </c>
      <c r="B811" s="1">
        <v>11</v>
      </c>
      <c r="C811" s="1" t="s">
        <v>4124</v>
      </c>
      <c r="D811" s="1" t="s">
        <v>4125</v>
      </c>
      <c r="E811" s="2">
        <v>45971</v>
      </c>
      <c r="F811" s="1" t="s">
        <v>334</v>
      </c>
      <c r="G811" s="1" t="s">
        <v>3168</v>
      </c>
      <c r="H811" s="1" t="s">
        <v>4126</v>
      </c>
      <c r="I811" s="1">
        <v>1</v>
      </c>
      <c r="J811" s="3">
        <v>46987</v>
      </c>
      <c r="K811" s="3">
        <v>44836</v>
      </c>
      <c r="L811" s="1">
        <v>0</v>
      </c>
      <c r="M811" s="4">
        <v>0</v>
      </c>
      <c r="N811" s="3">
        <v>2151</v>
      </c>
      <c r="O811" s="4">
        <v>4.5999999999999999E-2</v>
      </c>
      <c r="P811" s="1" t="s">
        <v>2721</v>
      </c>
    </row>
    <row r="812" spans="1:16">
      <c r="A812" s="1" t="s">
        <v>15</v>
      </c>
      <c r="B812" s="1">
        <v>11</v>
      </c>
      <c r="C812" s="1" t="s">
        <v>4127</v>
      </c>
      <c r="D812" s="1" t="s">
        <v>887</v>
      </c>
      <c r="E812" s="2">
        <v>45971</v>
      </c>
      <c r="F812" s="1" t="s">
        <v>53</v>
      </c>
      <c r="G812" s="1" t="s">
        <v>888</v>
      </c>
      <c r="H812" s="1" t="s">
        <v>889</v>
      </c>
      <c r="I812" s="1">
        <v>1</v>
      </c>
      <c r="J812" s="3">
        <v>10726</v>
      </c>
      <c r="K812" s="3">
        <v>10235</v>
      </c>
      <c r="L812" s="1">
        <v>0</v>
      </c>
      <c r="M812" s="4">
        <v>0</v>
      </c>
      <c r="N812" s="1">
        <v>491</v>
      </c>
      <c r="O812" s="4">
        <v>4.5999999999999999E-2</v>
      </c>
      <c r="P812" s="1" t="s">
        <v>2721</v>
      </c>
    </row>
    <row r="813" spans="1:16">
      <c r="A813" s="1" t="s">
        <v>15</v>
      </c>
      <c r="B813" s="1">
        <v>11</v>
      </c>
      <c r="C813" s="1" t="s">
        <v>4128</v>
      </c>
      <c r="D813" s="1" t="s">
        <v>504</v>
      </c>
      <c r="E813" s="2">
        <v>45971</v>
      </c>
      <c r="F813" s="1" t="s">
        <v>407</v>
      </c>
      <c r="G813" s="1" t="s">
        <v>505</v>
      </c>
      <c r="H813" s="1" t="s">
        <v>963</v>
      </c>
      <c r="I813" s="1">
        <v>1</v>
      </c>
      <c r="J813" s="3">
        <v>35880</v>
      </c>
      <c r="K813" s="3">
        <v>34237</v>
      </c>
      <c r="L813" s="1">
        <v>0</v>
      </c>
      <c r="M813" s="4">
        <v>0</v>
      </c>
      <c r="N813" s="3">
        <v>1643</v>
      </c>
      <c r="O813" s="4">
        <v>4.5999999999999999E-2</v>
      </c>
      <c r="P813" s="1" t="s">
        <v>2721</v>
      </c>
    </row>
    <row r="814" spans="1:16">
      <c r="A814" s="1" t="s">
        <v>15</v>
      </c>
      <c r="B814" s="1">
        <v>11</v>
      </c>
      <c r="C814" s="1" t="s">
        <v>4129</v>
      </c>
      <c r="D814" s="1" t="s">
        <v>1191</v>
      </c>
      <c r="E814" s="2">
        <v>45971</v>
      </c>
      <c r="F814" s="1" t="s">
        <v>570</v>
      </c>
      <c r="G814" s="1" t="s">
        <v>1192</v>
      </c>
      <c r="H814" s="1" t="s">
        <v>1193</v>
      </c>
      <c r="I814" s="1">
        <v>1</v>
      </c>
      <c r="J814" s="3">
        <v>16514</v>
      </c>
      <c r="K814" s="3">
        <v>15758</v>
      </c>
      <c r="L814" s="1">
        <v>0</v>
      </c>
      <c r="M814" s="4">
        <v>0</v>
      </c>
      <c r="N814" s="1">
        <v>756</v>
      </c>
      <c r="O814" s="4">
        <v>4.5999999999999999E-2</v>
      </c>
      <c r="P814" s="1" t="s">
        <v>2721</v>
      </c>
    </row>
    <row r="815" spans="1:16">
      <c r="A815" s="1" t="s">
        <v>15</v>
      </c>
      <c r="B815" s="1">
        <v>11</v>
      </c>
      <c r="C815" s="1" t="s">
        <v>4130</v>
      </c>
      <c r="D815" s="1" t="s">
        <v>1484</v>
      </c>
      <c r="E815" s="2">
        <v>45971</v>
      </c>
      <c r="F815" s="1" t="s">
        <v>1485</v>
      </c>
      <c r="G815" s="1" t="s">
        <v>1486</v>
      </c>
      <c r="H815" s="1" t="s">
        <v>1487</v>
      </c>
      <c r="I815" s="1">
        <v>1</v>
      </c>
      <c r="J815" s="3">
        <v>16416</v>
      </c>
      <c r="K815" s="3">
        <v>15665</v>
      </c>
      <c r="L815" s="1">
        <v>0</v>
      </c>
      <c r="M815" s="4">
        <v>0</v>
      </c>
      <c r="N815" s="1">
        <v>751</v>
      </c>
      <c r="O815" s="4">
        <v>4.5999999999999999E-2</v>
      </c>
      <c r="P815" s="1" t="s">
        <v>2721</v>
      </c>
    </row>
    <row r="816" spans="1:16">
      <c r="A816" s="1" t="s">
        <v>15</v>
      </c>
      <c r="B816" s="1">
        <v>11</v>
      </c>
      <c r="C816" s="1" t="s">
        <v>4131</v>
      </c>
      <c r="D816" s="1" t="s">
        <v>62</v>
      </c>
      <c r="E816" s="2">
        <v>45971</v>
      </c>
      <c r="F816" s="1" t="s">
        <v>63</v>
      </c>
      <c r="G816" s="1" t="s">
        <v>64</v>
      </c>
      <c r="H816" s="1" t="s">
        <v>65</v>
      </c>
      <c r="I816" s="1">
        <v>1</v>
      </c>
      <c r="J816" s="3">
        <v>11809</v>
      </c>
      <c r="K816" s="3">
        <v>11268</v>
      </c>
      <c r="L816" s="1">
        <v>0</v>
      </c>
      <c r="M816" s="4">
        <v>0</v>
      </c>
      <c r="N816" s="1">
        <v>541</v>
      </c>
      <c r="O816" s="4">
        <v>4.5999999999999999E-2</v>
      </c>
      <c r="P816" s="1" t="s">
        <v>2721</v>
      </c>
    </row>
    <row r="817" spans="1:16">
      <c r="A817" s="1" t="s">
        <v>15</v>
      </c>
      <c r="B817" s="1">
        <v>11</v>
      </c>
      <c r="C817" s="1" t="s">
        <v>4132</v>
      </c>
      <c r="D817" s="1" t="s">
        <v>1531</v>
      </c>
      <c r="E817" s="2">
        <v>45971</v>
      </c>
      <c r="F817" s="1" t="s">
        <v>53</v>
      </c>
      <c r="G817" s="1" t="s">
        <v>1532</v>
      </c>
      <c r="H817" s="1" t="s">
        <v>1533</v>
      </c>
      <c r="I817" s="1">
        <v>1</v>
      </c>
      <c r="J817" s="3">
        <v>8022</v>
      </c>
      <c r="K817" s="3">
        <v>7655</v>
      </c>
      <c r="L817" s="1">
        <v>0</v>
      </c>
      <c r="M817" s="4">
        <v>0</v>
      </c>
      <c r="N817" s="1">
        <v>367</v>
      </c>
      <c r="O817" s="4">
        <v>4.5999999999999999E-2</v>
      </c>
      <c r="P817" s="1" t="s">
        <v>2721</v>
      </c>
    </row>
    <row r="818" spans="1:16">
      <c r="A818" s="1" t="s">
        <v>15</v>
      </c>
      <c r="B818" s="1">
        <v>11</v>
      </c>
      <c r="C818" s="1" t="s">
        <v>4133</v>
      </c>
      <c r="D818" s="1" t="s">
        <v>4134</v>
      </c>
      <c r="E818" s="2">
        <v>45971</v>
      </c>
      <c r="F818" s="1" t="s">
        <v>534</v>
      </c>
      <c r="G818" s="1" t="s">
        <v>4135</v>
      </c>
      <c r="H818" s="1" t="s">
        <v>4136</v>
      </c>
      <c r="I818" s="1">
        <v>1</v>
      </c>
      <c r="J818" s="3">
        <v>13035</v>
      </c>
      <c r="K818" s="3">
        <v>12438</v>
      </c>
      <c r="L818" s="1">
        <v>0</v>
      </c>
      <c r="M818" s="4">
        <v>0</v>
      </c>
      <c r="N818" s="1">
        <v>597</v>
      </c>
      <c r="O818" s="4">
        <v>4.5999999999999999E-2</v>
      </c>
      <c r="P818" s="1" t="s">
        <v>2721</v>
      </c>
    </row>
    <row r="819" spans="1:16">
      <c r="A819" s="1" t="s">
        <v>15</v>
      </c>
      <c r="B819" s="1">
        <v>11</v>
      </c>
      <c r="C819" s="1" t="s">
        <v>4137</v>
      </c>
      <c r="D819" s="1" t="s">
        <v>72</v>
      </c>
      <c r="E819" s="2">
        <v>45971</v>
      </c>
      <c r="F819" s="1" t="s">
        <v>63</v>
      </c>
      <c r="G819" s="1" t="s">
        <v>73</v>
      </c>
      <c r="H819" s="1" t="s">
        <v>74</v>
      </c>
      <c r="I819" s="1">
        <v>1</v>
      </c>
      <c r="J819" s="3">
        <v>10456</v>
      </c>
      <c r="K819" s="3">
        <v>9978</v>
      </c>
      <c r="L819" s="1">
        <v>0</v>
      </c>
      <c r="M819" s="4">
        <v>0</v>
      </c>
      <c r="N819" s="1">
        <v>478</v>
      </c>
      <c r="O819" s="4">
        <v>4.5999999999999999E-2</v>
      </c>
      <c r="P819" s="1" t="s">
        <v>2721</v>
      </c>
    </row>
    <row r="820" spans="1:16">
      <c r="A820" s="1" t="s">
        <v>15</v>
      </c>
      <c r="B820" s="1">
        <v>11</v>
      </c>
      <c r="C820" s="1" t="s">
        <v>4138</v>
      </c>
      <c r="D820" s="1" t="s">
        <v>4139</v>
      </c>
      <c r="E820" s="2">
        <v>45971</v>
      </c>
      <c r="F820" s="1" t="s">
        <v>488</v>
      </c>
      <c r="G820" s="1" t="s">
        <v>4140</v>
      </c>
      <c r="H820" s="1" t="s">
        <v>4141</v>
      </c>
      <c r="I820" s="1">
        <v>2</v>
      </c>
      <c r="J820" s="3">
        <v>61438</v>
      </c>
      <c r="K820" s="3">
        <v>58625</v>
      </c>
      <c r="L820" s="1">
        <v>0</v>
      </c>
      <c r="M820" s="4">
        <v>0</v>
      </c>
      <c r="N820" s="3">
        <v>2813</v>
      </c>
      <c r="O820" s="4">
        <v>4.5999999999999999E-2</v>
      </c>
      <c r="P820" s="1" t="s">
        <v>2721</v>
      </c>
    </row>
    <row r="821" spans="1:16">
      <c r="A821" s="1" t="s">
        <v>15</v>
      </c>
      <c r="B821" s="1">
        <v>11</v>
      </c>
      <c r="C821" s="1" t="s">
        <v>4142</v>
      </c>
      <c r="D821" s="1" t="s">
        <v>504</v>
      </c>
      <c r="E821" s="2">
        <v>45971</v>
      </c>
      <c r="F821" s="1" t="s">
        <v>407</v>
      </c>
      <c r="G821" s="1" t="s">
        <v>505</v>
      </c>
      <c r="H821" s="1" t="s">
        <v>1322</v>
      </c>
      <c r="I821" s="1">
        <v>1</v>
      </c>
      <c r="J821" s="3">
        <v>23592</v>
      </c>
      <c r="K821" s="3">
        <v>22512</v>
      </c>
      <c r="L821" s="1">
        <v>0</v>
      </c>
      <c r="M821" s="4">
        <v>0</v>
      </c>
      <c r="N821" s="3">
        <v>1080</v>
      </c>
      <c r="O821" s="4">
        <v>4.5999999999999999E-2</v>
      </c>
      <c r="P821" s="1" t="s">
        <v>2721</v>
      </c>
    </row>
    <row r="822" spans="1:16">
      <c r="A822" s="1" t="s">
        <v>15</v>
      </c>
      <c r="B822" s="1">
        <v>11</v>
      </c>
      <c r="C822" s="1" t="s">
        <v>4143</v>
      </c>
      <c r="D822" s="1" t="s">
        <v>482</v>
      </c>
      <c r="E822" s="2">
        <v>45971</v>
      </c>
      <c r="F822" s="1" t="s">
        <v>483</v>
      </c>
      <c r="G822" s="1" t="s">
        <v>484</v>
      </c>
      <c r="H822" s="1" t="s">
        <v>1777</v>
      </c>
      <c r="I822" s="1">
        <v>1</v>
      </c>
      <c r="J822" s="3">
        <v>27426</v>
      </c>
      <c r="K822" s="3">
        <v>26170</v>
      </c>
      <c r="L822" s="1">
        <v>0</v>
      </c>
      <c r="M822" s="4">
        <v>0</v>
      </c>
      <c r="N822" s="3">
        <v>1256</v>
      </c>
      <c r="O822" s="4">
        <v>4.5999999999999999E-2</v>
      </c>
      <c r="P822" s="1" t="s">
        <v>2721</v>
      </c>
    </row>
    <row r="823" spans="1:16">
      <c r="A823" s="1" t="s">
        <v>15</v>
      </c>
      <c r="B823" s="1">
        <v>11</v>
      </c>
      <c r="C823" s="1" t="s">
        <v>4144</v>
      </c>
      <c r="D823" s="1" t="s">
        <v>4095</v>
      </c>
      <c r="E823" s="2">
        <v>45971</v>
      </c>
      <c r="F823" s="1" t="s">
        <v>58</v>
      </c>
      <c r="G823" s="1" t="s">
        <v>4096</v>
      </c>
      <c r="H823" s="1" t="s">
        <v>4097</v>
      </c>
      <c r="I823" s="1">
        <v>1</v>
      </c>
      <c r="J823" s="3">
        <v>21842</v>
      </c>
      <c r="K823" s="3">
        <v>20842</v>
      </c>
      <c r="L823" s="1">
        <v>0</v>
      </c>
      <c r="M823" s="4">
        <v>0</v>
      </c>
      <c r="N823" s="3">
        <v>1000</v>
      </c>
      <c r="O823" s="4">
        <v>4.5999999999999999E-2</v>
      </c>
      <c r="P823" s="1" t="s">
        <v>2721</v>
      </c>
    </row>
    <row r="824" spans="1:16">
      <c r="A824" s="1" t="s">
        <v>15</v>
      </c>
      <c r="B824" s="1">
        <v>11</v>
      </c>
      <c r="C824" s="1" t="s">
        <v>4145</v>
      </c>
      <c r="D824" s="1" t="s">
        <v>132</v>
      </c>
      <c r="E824" s="2">
        <v>45971</v>
      </c>
      <c r="F824" s="1" t="s">
        <v>53</v>
      </c>
      <c r="G824" s="1" t="s">
        <v>133</v>
      </c>
      <c r="H824" s="1" t="s">
        <v>88</v>
      </c>
      <c r="I824" s="1">
        <v>1</v>
      </c>
      <c r="J824" s="3">
        <v>17036</v>
      </c>
      <c r="K824" s="3">
        <v>16256</v>
      </c>
      <c r="L824" s="1">
        <v>0</v>
      </c>
      <c r="M824" s="4">
        <v>0</v>
      </c>
      <c r="N824" s="1">
        <v>780</v>
      </c>
      <c r="O824" s="4">
        <v>4.5999999999999999E-2</v>
      </c>
      <c r="P824" s="1" t="s">
        <v>2721</v>
      </c>
    </row>
    <row r="825" spans="1:16">
      <c r="A825" s="1" t="s">
        <v>15</v>
      </c>
      <c r="B825" s="1">
        <v>11</v>
      </c>
      <c r="C825" s="1" t="s">
        <v>4146</v>
      </c>
      <c r="D825" s="1" t="s">
        <v>3252</v>
      </c>
      <c r="E825" s="2">
        <v>45971</v>
      </c>
      <c r="F825" s="1" t="s">
        <v>77</v>
      </c>
      <c r="G825" s="1" t="s">
        <v>3253</v>
      </c>
      <c r="H825" s="1" t="s">
        <v>3253</v>
      </c>
      <c r="I825" s="1">
        <v>1</v>
      </c>
      <c r="J825" s="3">
        <v>11231</v>
      </c>
      <c r="K825" s="3">
        <v>10717</v>
      </c>
      <c r="L825" s="1">
        <v>0</v>
      </c>
      <c r="M825" s="4">
        <v>0</v>
      </c>
      <c r="N825" s="1">
        <v>514</v>
      </c>
      <c r="O825" s="4">
        <v>4.5999999999999999E-2</v>
      </c>
      <c r="P825" s="1" t="s">
        <v>2721</v>
      </c>
    </row>
    <row r="826" spans="1:16">
      <c r="A826" s="1" t="s">
        <v>15</v>
      </c>
      <c r="B826" s="1">
        <v>11</v>
      </c>
      <c r="C826" s="1" t="s">
        <v>4147</v>
      </c>
      <c r="D826" s="1" t="s">
        <v>1026</v>
      </c>
      <c r="E826" s="2">
        <v>45971</v>
      </c>
      <c r="F826" s="1" t="s">
        <v>256</v>
      </c>
      <c r="G826" s="1" t="s">
        <v>1027</v>
      </c>
      <c r="H826" s="1" t="s">
        <v>1028</v>
      </c>
      <c r="I826" s="1">
        <v>1</v>
      </c>
      <c r="J826" s="3">
        <v>5407</v>
      </c>
      <c r="K826" s="3">
        <v>5159</v>
      </c>
      <c r="L826" s="1">
        <v>0</v>
      </c>
      <c r="M826" s="4">
        <v>0</v>
      </c>
      <c r="N826" s="1">
        <v>248</v>
      </c>
      <c r="O826" s="4">
        <v>4.5999999999999999E-2</v>
      </c>
      <c r="P826" s="1" t="s">
        <v>2721</v>
      </c>
    </row>
    <row r="827" spans="1:16">
      <c r="A827" s="1" t="s">
        <v>15</v>
      </c>
      <c r="B827" s="1">
        <v>11</v>
      </c>
      <c r="C827" s="1" t="s">
        <v>4148</v>
      </c>
      <c r="D827" s="1" t="s">
        <v>390</v>
      </c>
      <c r="E827" s="2">
        <v>45971</v>
      </c>
      <c r="F827" s="1" t="s">
        <v>256</v>
      </c>
      <c r="G827" s="1" t="s">
        <v>391</v>
      </c>
      <c r="H827" s="1" t="s">
        <v>1307</v>
      </c>
      <c r="I827" s="1">
        <v>1</v>
      </c>
      <c r="J827" s="3">
        <v>23395</v>
      </c>
      <c r="K827" s="3">
        <v>22324</v>
      </c>
      <c r="L827" s="1">
        <v>0</v>
      </c>
      <c r="M827" s="4">
        <v>0</v>
      </c>
      <c r="N827" s="3">
        <v>1071</v>
      </c>
      <c r="O827" s="4">
        <v>4.5999999999999999E-2</v>
      </c>
      <c r="P827" s="1" t="s">
        <v>2721</v>
      </c>
    </row>
    <row r="828" spans="1:16">
      <c r="A828" s="1" t="s">
        <v>15</v>
      </c>
      <c r="B828" s="1">
        <v>11</v>
      </c>
      <c r="C828" s="1" t="s">
        <v>4149</v>
      </c>
      <c r="D828" s="1" t="s">
        <v>307</v>
      </c>
      <c r="E828" s="2">
        <v>45971</v>
      </c>
      <c r="F828" s="1" t="s">
        <v>256</v>
      </c>
      <c r="G828" s="1" t="s">
        <v>308</v>
      </c>
      <c r="H828" s="1" t="s">
        <v>4150</v>
      </c>
      <c r="I828" s="1">
        <v>1</v>
      </c>
      <c r="J828" s="3">
        <v>11226</v>
      </c>
      <c r="K828" s="3">
        <v>10712</v>
      </c>
      <c r="L828" s="1">
        <v>0</v>
      </c>
      <c r="M828" s="4">
        <v>0</v>
      </c>
      <c r="N828" s="1">
        <v>514</v>
      </c>
      <c r="O828" s="4">
        <v>4.5999999999999999E-2</v>
      </c>
      <c r="P828" s="1" t="s">
        <v>2721</v>
      </c>
    </row>
    <row r="829" spans="1:16">
      <c r="A829" s="1" t="s">
        <v>15</v>
      </c>
      <c r="B829" s="1">
        <v>11</v>
      </c>
      <c r="C829" s="1" t="s">
        <v>4151</v>
      </c>
      <c r="D829" s="1" t="s">
        <v>482</v>
      </c>
      <c r="E829" s="2">
        <v>45971</v>
      </c>
      <c r="F829" s="1" t="s">
        <v>483</v>
      </c>
      <c r="G829" s="1" t="s">
        <v>484</v>
      </c>
      <c r="H829" s="1" t="s">
        <v>485</v>
      </c>
      <c r="I829" s="1">
        <v>10</v>
      </c>
      <c r="J829" s="3">
        <v>165006</v>
      </c>
      <c r="K829" s="3">
        <v>157453</v>
      </c>
      <c r="L829" s="1">
        <v>0</v>
      </c>
      <c r="M829" s="4">
        <v>0</v>
      </c>
      <c r="N829" s="3">
        <v>7553</v>
      </c>
      <c r="O829" s="4">
        <v>4.5999999999999999E-2</v>
      </c>
      <c r="P829" s="1" t="s">
        <v>2721</v>
      </c>
    </row>
    <row r="830" spans="1:16">
      <c r="A830" s="1" t="s">
        <v>15</v>
      </c>
      <c r="B830" s="1">
        <v>11</v>
      </c>
      <c r="C830" s="1" t="s">
        <v>4152</v>
      </c>
      <c r="D830" s="1" t="s">
        <v>52</v>
      </c>
      <c r="E830" s="2">
        <v>45971</v>
      </c>
      <c r="F830" s="1" t="s">
        <v>53</v>
      </c>
      <c r="G830" s="1" t="s">
        <v>54</v>
      </c>
      <c r="H830" s="1" t="s">
        <v>248</v>
      </c>
      <c r="I830" s="1">
        <v>1</v>
      </c>
      <c r="J830" s="3">
        <v>16135</v>
      </c>
      <c r="K830" s="3">
        <v>15396</v>
      </c>
      <c r="L830" s="1">
        <v>0</v>
      </c>
      <c r="M830" s="4">
        <v>0</v>
      </c>
      <c r="N830" s="1">
        <v>739</v>
      </c>
      <c r="O830" s="4">
        <v>4.5999999999999999E-2</v>
      </c>
      <c r="P830" s="1" t="s">
        <v>2721</v>
      </c>
    </row>
    <row r="831" spans="1:16">
      <c r="A831" s="1" t="s">
        <v>15</v>
      </c>
      <c r="B831" s="1">
        <v>11</v>
      </c>
      <c r="C831" s="1" t="s">
        <v>4153</v>
      </c>
      <c r="D831" s="1" t="s">
        <v>3571</v>
      </c>
      <c r="E831" s="2">
        <v>45971</v>
      </c>
      <c r="F831" s="1" t="s">
        <v>235</v>
      </c>
      <c r="G831" s="1" t="s">
        <v>3572</v>
      </c>
      <c r="H831" s="1" t="s">
        <v>3572</v>
      </c>
      <c r="I831" s="1">
        <v>1</v>
      </c>
      <c r="J831" s="3">
        <v>13565</v>
      </c>
      <c r="K831" s="3">
        <v>12944</v>
      </c>
      <c r="L831" s="1">
        <v>0</v>
      </c>
      <c r="M831" s="4">
        <v>0</v>
      </c>
      <c r="N831" s="1">
        <v>621</v>
      </c>
      <c r="O831" s="4">
        <v>4.5999999999999999E-2</v>
      </c>
      <c r="P831" s="1" t="s">
        <v>2721</v>
      </c>
    </row>
    <row r="832" spans="1:16">
      <c r="A832" s="1" t="s">
        <v>15</v>
      </c>
      <c r="B832" s="1">
        <v>11</v>
      </c>
      <c r="C832" s="1" t="s">
        <v>4154</v>
      </c>
      <c r="D832" s="1" t="s">
        <v>224</v>
      </c>
      <c r="E832" s="2">
        <v>45971</v>
      </c>
      <c r="F832" s="1" t="s">
        <v>96</v>
      </c>
      <c r="G832" s="1" t="s">
        <v>225</v>
      </c>
      <c r="H832" s="1" t="s">
        <v>896</v>
      </c>
      <c r="I832" s="1">
        <v>1</v>
      </c>
      <c r="J832" s="3">
        <v>12571</v>
      </c>
      <c r="K832" s="3">
        <v>11995</v>
      </c>
      <c r="L832" s="1">
        <v>0</v>
      </c>
      <c r="M832" s="4">
        <v>0</v>
      </c>
      <c r="N832" s="1">
        <v>576</v>
      </c>
      <c r="O832" s="4">
        <v>4.5999999999999999E-2</v>
      </c>
      <c r="P832" s="1" t="s">
        <v>2721</v>
      </c>
    </row>
    <row r="833" spans="1:16">
      <c r="A833" s="1" t="s">
        <v>15</v>
      </c>
      <c r="B833" s="1">
        <v>11</v>
      </c>
      <c r="C833" s="1" t="s">
        <v>4155</v>
      </c>
      <c r="D833" s="1" t="s">
        <v>4156</v>
      </c>
      <c r="E833" s="2">
        <v>45971</v>
      </c>
      <c r="F833" s="1" t="s">
        <v>53</v>
      </c>
      <c r="G833" s="1" t="s">
        <v>4157</v>
      </c>
      <c r="H833" s="1" t="s">
        <v>4158</v>
      </c>
      <c r="I833" s="1">
        <v>1</v>
      </c>
      <c r="J833" s="3">
        <v>9825</v>
      </c>
      <c r="K833" s="3">
        <v>9375</v>
      </c>
      <c r="L833" s="1">
        <v>0</v>
      </c>
      <c r="M833" s="4">
        <v>0</v>
      </c>
      <c r="N833" s="1">
        <v>450</v>
      </c>
      <c r="O833" s="4">
        <v>4.5999999999999999E-2</v>
      </c>
      <c r="P833" s="1" t="s">
        <v>2721</v>
      </c>
    </row>
    <row r="834" spans="1:16">
      <c r="A834" s="1" t="s">
        <v>15</v>
      </c>
      <c r="B834" s="1">
        <v>11</v>
      </c>
      <c r="C834" s="1" t="s">
        <v>4159</v>
      </c>
      <c r="D834" s="1" t="s">
        <v>3680</v>
      </c>
      <c r="E834" s="2">
        <v>45971</v>
      </c>
      <c r="F834" s="1" t="s">
        <v>488</v>
      </c>
      <c r="G834" s="1" t="s">
        <v>3681</v>
      </c>
      <c r="H834" s="1" t="s">
        <v>3682</v>
      </c>
      <c r="I834" s="1">
        <v>1</v>
      </c>
      <c r="J834" s="3">
        <v>11786</v>
      </c>
      <c r="K834" s="3">
        <v>11247</v>
      </c>
      <c r="L834" s="1">
        <v>0</v>
      </c>
      <c r="M834" s="4">
        <v>0</v>
      </c>
      <c r="N834" s="1">
        <v>539</v>
      </c>
      <c r="O834" s="4">
        <v>4.5999999999999999E-2</v>
      </c>
      <c r="P834" s="1" t="s">
        <v>2721</v>
      </c>
    </row>
    <row r="835" spans="1:16">
      <c r="A835" s="1" t="s">
        <v>15</v>
      </c>
      <c r="B835" s="1">
        <v>11</v>
      </c>
      <c r="C835" s="1" t="s">
        <v>4160</v>
      </c>
      <c r="D835" s="1" t="s">
        <v>533</v>
      </c>
      <c r="E835" s="2">
        <v>45971</v>
      </c>
      <c r="F835" s="1" t="s">
        <v>534</v>
      </c>
      <c r="G835" s="1" t="s">
        <v>535</v>
      </c>
      <c r="H835" s="1" t="s">
        <v>536</v>
      </c>
      <c r="I835" s="1">
        <v>1</v>
      </c>
      <c r="J835" s="3">
        <v>19552</v>
      </c>
      <c r="K835" s="3">
        <v>18657</v>
      </c>
      <c r="L835" s="1">
        <v>0</v>
      </c>
      <c r="M835" s="4">
        <v>0</v>
      </c>
      <c r="N835" s="1">
        <v>895</v>
      </c>
      <c r="O835" s="4">
        <v>4.5999999999999999E-2</v>
      </c>
      <c r="P835" s="1" t="s">
        <v>2721</v>
      </c>
    </row>
    <row r="836" spans="1:16">
      <c r="A836" s="1" t="s">
        <v>15</v>
      </c>
      <c r="B836" s="1">
        <v>11</v>
      </c>
      <c r="C836" s="1" t="s">
        <v>4161</v>
      </c>
      <c r="D836" s="1" t="s">
        <v>487</v>
      </c>
      <c r="E836" s="2">
        <v>45971</v>
      </c>
      <c r="F836" s="1" t="s">
        <v>488</v>
      </c>
      <c r="G836" s="1" t="s">
        <v>489</v>
      </c>
      <c r="H836" s="1" t="s">
        <v>490</v>
      </c>
      <c r="I836" s="1">
        <v>1</v>
      </c>
      <c r="J836" s="3">
        <v>19169</v>
      </c>
      <c r="K836" s="3">
        <v>18291</v>
      </c>
      <c r="L836" s="1">
        <v>0</v>
      </c>
      <c r="M836" s="4">
        <v>0</v>
      </c>
      <c r="N836" s="1">
        <v>878</v>
      </c>
      <c r="O836" s="4">
        <v>4.5999999999999999E-2</v>
      </c>
      <c r="P836" s="1" t="s">
        <v>2721</v>
      </c>
    </row>
    <row r="837" spans="1:16">
      <c r="A837" s="1" t="s">
        <v>15</v>
      </c>
      <c r="B837" s="1">
        <v>11</v>
      </c>
      <c r="C837" s="1" t="s">
        <v>4162</v>
      </c>
      <c r="D837" s="1" t="s">
        <v>1294</v>
      </c>
      <c r="E837" s="2">
        <v>45971</v>
      </c>
      <c r="F837" s="1" t="s">
        <v>347</v>
      </c>
      <c r="G837" s="1" t="s">
        <v>1295</v>
      </c>
      <c r="H837" s="1" t="s">
        <v>4163</v>
      </c>
      <c r="I837" s="1">
        <v>1</v>
      </c>
      <c r="J837" s="3">
        <v>18677</v>
      </c>
      <c r="K837" s="3">
        <v>17822</v>
      </c>
      <c r="L837" s="1">
        <v>0</v>
      </c>
      <c r="M837" s="4">
        <v>0</v>
      </c>
      <c r="N837" s="1">
        <v>855</v>
      </c>
      <c r="O837" s="4">
        <v>4.5999999999999999E-2</v>
      </c>
      <c r="P837" s="1" t="s">
        <v>2721</v>
      </c>
    </row>
    <row r="838" spans="1:16">
      <c r="A838" s="1" t="s">
        <v>15</v>
      </c>
      <c r="B838" s="1">
        <v>11</v>
      </c>
      <c r="C838" s="1" t="s">
        <v>4164</v>
      </c>
      <c r="D838" s="1" t="s">
        <v>86</v>
      </c>
      <c r="E838" s="2">
        <v>45971</v>
      </c>
      <c r="F838" s="1" t="s">
        <v>53</v>
      </c>
      <c r="G838" s="1" t="s">
        <v>87</v>
      </c>
      <c r="H838" s="1" t="s">
        <v>88</v>
      </c>
      <c r="I838" s="1">
        <v>1</v>
      </c>
      <c r="J838" s="3">
        <v>14956</v>
      </c>
      <c r="K838" s="3">
        <v>14272</v>
      </c>
      <c r="L838" s="1">
        <v>0</v>
      </c>
      <c r="M838" s="4">
        <v>0</v>
      </c>
      <c r="N838" s="1">
        <v>684</v>
      </c>
      <c r="O838" s="4">
        <v>4.5999999999999999E-2</v>
      </c>
      <c r="P838" s="1" t="s">
        <v>2721</v>
      </c>
    </row>
    <row r="839" spans="1:16">
      <c r="A839" s="1" t="s">
        <v>15</v>
      </c>
      <c r="B839" s="1">
        <v>11</v>
      </c>
      <c r="C839" s="1" t="s">
        <v>4165</v>
      </c>
      <c r="D839" s="1" t="s">
        <v>4166</v>
      </c>
      <c r="E839" s="2">
        <v>45971</v>
      </c>
      <c r="F839" s="1" t="s">
        <v>4061</v>
      </c>
      <c r="G839" s="1" t="s">
        <v>4167</v>
      </c>
      <c r="H839" s="1" t="s">
        <v>4168</v>
      </c>
      <c r="I839" s="1">
        <v>1</v>
      </c>
      <c r="J839" s="3">
        <v>31456</v>
      </c>
      <c r="K839" s="3">
        <v>30016</v>
      </c>
      <c r="L839" s="1">
        <v>0</v>
      </c>
      <c r="M839" s="4">
        <v>0</v>
      </c>
      <c r="N839" s="3">
        <v>1440</v>
      </c>
      <c r="O839" s="4">
        <v>4.5999999999999999E-2</v>
      </c>
      <c r="P839" s="1" t="s">
        <v>2721</v>
      </c>
    </row>
    <row r="840" spans="1:16">
      <c r="A840" s="1" t="s">
        <v>15</v>
      </c>
      <c r="B840" s="1">
        <v>11</v>
      </c>
      <c r="C840" s="1" t="s">
        <v>4169</v>
      </c>
      <c r="D840" s="1" t="s">
        <v>1074</v>
      </c>
      <c r="E840" s="2">
        <v>45971</v>
      </c>
      <c r="F840" s="1" t="s">
        <v>1075</v>
      </c>
      <c r="G840" s="1" t="s">
        <v>1076</v>
      </c>
      <c r="H840" s="1" t="s">
        <v>1077</v>
      </c>
      <c r="I840" s="1">
        <v>1</v>
      </c>
      <c r="J840" s="3">
        <v>15284</v>
      </c>
      <c r="K840" s="3">
        <v>14584</v>
      </c>
      <c r="L840" s="1">
        <v>0</v>
      </c>
      <c r="M840" s="4">
        <v>0</v>
      </c>
      <c r="N840" s="1">
        <v>700</v>
      </c>
      <c r="O840" s="4">
        <v>4.5999999999999999E-2</v>
      </c>
      <c r="P840" s="1" t="s">
        <v>2721</v>
      </c>
    </row>
    <row r="841" spans="1:16">
      <c r="A841" s="1" t="s">
        <v>15</v>
      </c>
      <c r="B841" s="1">
        <v>11</v>
      </c>
      <c r="C841" s="1" t="s">
        <v>4170</v>
      </c>
      <c r="D841" s="1" t="s">
        <v>504</v>
      </c>
      <c r="E841" s="2">
        <v>45971</v>
      </c>
      <c r="F841" s="1" t="s">
        <v>407</v>
      </c>
      <c r="G841" s="1" t="s">
        <v>505</v>
      </c>
      <c r="H841" s="1" t="s">
        <v>1322</v>
      </c>
      <c r="I841" s="1">
        <v>1</v>
      </c>
      <c r="J841" s="3">
        <v>23592</v>
      </c>
      <c r="K841" s="3">
        <v>22512</v>
      </c>
      <c r="L841" s="1">
        <v>0</v>
      </c>
      <c r="M841" s="4">
        <v>0</v>
      </c>
      <c r="N841" s="3">
        <v>1080</v>
      </c>
      <c r="O841" s="4">
        <v>4.5999999999999999E-2</v>
      </c>
      <c r="P841" s="1" t="s">
        <v>2721</v>
      </c>
    </row>
    <row r="842" spans="1:16">
      <c r="A842" s="1" t="s">
        <v>15</v>
      </c>
      <c r="B842" s="1">
        <v>11</v>
      </c>
      <c r="C842" s="1" t="s">
        <v>4171</v>
      </c>
      <c r="D842" s="1" t="s">
        <v>1250</v>
      </c>
      <c r="E842" s="2">
        <v>45971</v>
      </c>
      <c r="F842" s="1" t="s">
        <v>18</v>
      </c>
      <c r="G842" s="1" t="s">
        <v>1251</v>
      </c>
      <c r="H842" s="1" t="s">
        <v>1252</v>
      </c>
      <c r="I842" s="1">
        <v>2</v>
      </c>
      <c r="J842" s="3">
        <v>16790</v>
      </c>
      <c r="K842" s="3">
        <v>16021</v>
      </c>
      <c r="L842" s="1">
        <v>0</v>
      </c>
      <c r="M842" s="4">
        <v>0</v>
      </c>
      <c r="N842" s="1">
        <v>769</v>
      </c>
      <c r="O842" s="4">
        <v>4.5999999999999999E-2</v>
      </c>
      <c r="P842" s="1" t="s">
        <v>2721</v>
      </c>
    </row>
    <row r="843" spans="1:16">
      <c r="A843" s="1" t="s">
        <v>15</v>
      </c>
      <c r="B843" s="1">
        <v>11</v>
      </c>
      <c r="C843" s="1" t="s">
        <v>4171</v>
      </c>
      <c r="D843" s="1" t="s">
        <v>1250</v>
      </c>
      <c r="E843" s="2">
        <v>45971</v>
      </c>
      <c r="F843" s="1" t="s">
        <v>18</v>
      </c>
      <c r="G843" s="1" t="s">
        <v>1251</v>
      </c>
      <c r="H843" s="1" t="s">
        <v>20</v>
      </c>
      <c r="I843" s="1">
        <v>2</v>
      </c>
      <c r="J843" s="3">
        <v>16790</v>
      </c>
      <c r="K843" s="3">
        <v>16021</v>
      </c>
      <c r="L843" s="1">
        <v>0</v>
      </c>
      <c r="M843" s="4">
        <v>0</v>
      </c>
      <c r="N843" s="1">
        <v>769</v>
      </c>
      <c r="O843" s="4">
        <v>4.5999999999999999E-2</v>
      </c>
      <c r="P843" s="1" t="s">
        <v>2721</v>
      </c>
    </row>
    <row r="844" spans="1:16">
      <c r="A844" s="1" t="s">
        <v>15</v>
      </c>
      <c r="B844" s="1">
        <v>11</v>
      </c>
      <c r="C844" s="1" t="s">
        <v>4172</v>
      </c>
      <c r="D844" s="1" t="s">
        <v>3564</v>
      </c>
      <c r="E844" s="2">
        <v>45971</v>
      </c>
      <c r="F844" s="1" t="s">
        <v>2173</v>
      </c>
      <c r="G844" s="1" t="s">
        <v>3565</v>
      </c>
      <c r="H844" s="1" t="s">
        <v>3566</v>
      </c>
      <c r="I844" s="1">
        <v>1</v>
      </c>
      <c r="J844" s="3">
        <v>40303</v>
      </c>
      <c r="K844" s="3">
        <v>38458</v>
      </c>
      <c r="L844" s="1">
        <v>0</v>
      </c>
      <c r="M844" s="4">
        <v>0</v>
      </c>
      <c r="N844" s="3">
        <v>1845</v>
      </c>
      <c r="O844" s="4">
        <v>4.5999999999999999E-2</v>
      </c>
      <c r="P844" s="1" t="s">
        <v>2721</v>
      </c>
    </row>
    <row r="845" spans="1:16">
      <c r="A845" s="1" t="s">
        <v>15</v>
      </c>
      <c r="B845" s="1">
        <v>11</v>
      </c>
      <c r="C845" s="1" t="s">
        <v>4173</v>
      </c>
      <c r="D845" s="1" t="s">
        <v>3394</v>
      </c>
      <c r="E845" s="2">
        <v>45971</v>
      </c>
      <c r="F845" s="1" t="s">
        <v>500</v>
      </c>
      <c r="G845" s="1" t="s">
        <v>3395</v>
      </c>
      <c r="H845" s="1" t="s">
        <v>4174</v>
      </c>
      <c r="I845" s="1">
        <v>1</v>
      </c>
      <c r="J845" s="3">
        <v>71587</v>
      </c>
      <c r="K845" s="3">
        <v>68310</v>
      </c>
      <c r="L845" s="1">
        <v>0</v>
      </c>
      <c r="M845" s="4">
        <v>0</v>
      </c>
      <c r="N845" s="3">
        <v>3277</v>
      </c>
      <c r="O845" s="4">
        <v>4.5999999999999999E-2</v>
      </c>
      <c r="P845" s="1" t="s">
        <v>2721</v>
      </c>
    </row>
    <row r="846" spans="1:16">
      <c r="A846" s="1" t="s">
        <v>15</v>
      </c>
      <c r="B846" s="1">
        <v>11</v>
      </c>
      <c r="C846" s="1" t="s">
        <v>4175</v>
      </c>
      <c r="D846" s="1" t="s">
        <v>906</v>
      </c>
      <c r="E846" s="2">
        <v>45971</v>
      </c>
      <c r="F846" s="1" t="s">
        <v>554</v>
      </c>
      <c r="G846" s="1" t="s">
        <v>907</v>
      </c>
      <c r="H846" s="1" t="s">
        <v>2935</v>
      </c>
      <c r="I846" s="1">
        <v>1</v>
      </c>
      <c r="J846" s="3">
        <v>23936</v>
      </c>
      <c r="K846" s="3">
        <v>22840</v>
      </c>
      <c r="L846" s="1">
        <v>0</v>
      </c>
      <c r="M846" s="4">
        <v>0</v>
      </c>
      <c r="N846" s="3">
        <v>1096</v>
      </c>
      <c r="O846" s="4">
        <v>4.5999999999999999E-2</v>
      </c>
      <c r="P846" s="1" t="s">
        <v>2721</v>
      </c>
    </row>
    <row r="847" spans="1:16">
      <c r="A847" s="1" t="s">
        <v>15</v>
      </c>
      <c r="B847" s="1">
        <v>11</v>
      </c>
      <c r="C847" s="1" t="s">
        <v>4176</v>
      </c>
      <c r="D847" s="1" t="s">
        <v>221</v>
      </c>
      <c r="E847" s="2">
        <v>45971</v>
      </c>
      <c r="F847" s="1" t="s">
        <v>96</v>
      </c>
      <c r="G847" s="1" t="s">
        <v>222</v>
      </c>
      <c r="H847" s="1" t="s">
        <v>1015</v>
      </c>
      <c r="I847" s="1">
        <v>1</v>
      </c>
      <c r="J847" s="3">
        <v>12571</v>
      </c>
      <c r="K847" s="3">
        <v>11995</v>
      </c>
      <c r="L847" s="1">
        <v>0</v>
      </c>
      <c r="M847" s="4">
        <v>0</v>
      </c>
      <c r="N847" s="1">
        <v>576</v>
      </c>
      <c r="O847" s="4">
        <v>4.5999999999999999E-2</v>
      </c>
      <c r="P847" s="1" t="s">
        <v>2721</v>
      </c>
    </row>
    <row r="848" spans="1:16">
      <c r="A848" s="1" t="s">
        <v>15</v>
      </c>
      <c r="B848" s="1">
        <v>11</v>
      </c>
      <c r="C848" s="1" t="s">
        <v>4177</v>
      </c>
      <c r="D848" s="1" t="s">
        <v>492</v>
      </c>
      <c r="E848" s="2">
        <v>45971</v>
      </c>
      <c r="F848" s="1" t="s">
        <v>493</v>
      </c>
      <c r="G848" s="1" t="s">
        <v>494</v>
      </c>
      <c r="H848" s="1" t="s">
        <v>495</v>
      </c>
      <c r="I848" s="1">
        <v>1</v>
      </c>
      <c r="J848" s="3">
        <v>7569</v>
      </c>
      <c r="K848" s="3">
        <v>7223</v>
      </c>
      <c r="L848" s="1">
        <v>0</v>
      </c>
      <c r="M848" s="4">
        <v>0</v>
      </c>
      <c r="N848" s="1">
        <v>346</v>
      </c>
      <c r="O848" s="4">
        <v>4.5999999999999999E-2</v>
      </c>
      <c r="P848" s="1" t="s">
        <v>2721</v>
      </c>
    </row>
    <row r="849" spans="1:16">
      <c r="A849" s="1" t="s">
        <v>15</v>
      </c>
      <c r="B849" s="1">
        <v>11</v>
      </c>
      <c r="C849" s="1" t="s">
        <v>4178</v>
      </c>
      <c r="D849" s="1" t="s">
        <v>2903</v>
      </c>
      <c r="E849" s="2">
        <v>45971</v>
      </c>
      <c r="F849" s="1" t="s">
        <v>96</v>
      </c>
      <c r="G849" s="1" t="s">
        <v>2904</v>
      </c>
      <c r="H849" s="1" t="s">
        <v>2905</v>
      </c>
      <c r="I849" s="1">
        <v>1</v>
      </c>
      <c r="J849" s="3">
        <v>7054</v>
      </c>
      <c r="K849" s="3">
        <v>6731</v>
      </c>
      <c r="L849" s="1">
        <v>0</v>
      </c>
      <c r="M849" s="4">
        <v>0</v>
      </c>
      <c r="N849" s="1">
        <v>323</v>
      </c>
      <c r="O849" s="4">
        <v>4.5999999999999999E-2</v>
      </c>
      <c r="P849" s="1" t="s">
        <v>2721</v>
      </c>
    </row>
    <row r="850" spans="1:16">
      <c r="A850" s="1" t="s">
        <v>15</v>
      </c>
      <c r="B850" s="1">
        <v>11</v>
      </c>
      <c r="C850" s="1" t="s">
        <v>4179</v>
      </c>
      <c r="D850" s="1" t="s">
        <v>2922</v>
      </c>
      <c r="E850" s="2">
        <v>45971</v>
      </c>
      <c r="F850" s="1" t="s">
        <v>1241</v>
      </c>
      <c r="G850" s="1" t="s">
        <v>2923</v>
      </c>
      <c r="H850" s="1" t="s">
        <v>2924</v>
      </c>
      <c r="I850" s="1">
        <v>1</v>
      </c>
      <c r="J850" s="3">
        <v>15925</v>
      </c>
      <c r="K850" s="3">
        <v>15196</v>
      </c>
      <c r="L850" s="1">
        <v>0</v>
      </c>
      <c r="M850" s="4">
        <v>0</v>
      </c>
      <c r="N850" s="1">
        <v>729</v>
      </c>
      <c r="O850" s="4">
        <v>4.5999999999999999E-2</v>
      </c>
      <c r="P850" s="1" t="s">
        <v>2721</v>
      </c>
    </row>
    <row r="851" spans="1:16">
      <c r="A851" s="1" t="s">
        <v>15</v>
      </c>
      <c r="B851" s="1">
        <v>11</v>
      </c>
      <c r="C851" s="1" t="s">
        <v>4180</v>
      </c>
      <c r="D851" s="1" t="s">
        <v>32</v>
      </c>
      <c r="E851" s="2">
        <v>45971</v>
      </c>
      <c r="F851" s="1" t="s">
        <v>33</v>
      </c>
      <c r="G851" s="1" t="s">
        <v>34</v>
      </c>
      <c r="H851" s="1" t="s">
        <v>4181</v>
      </c>
      <c r="I851" s="1">
        <v>1</v>
      </c>
      <c r="J851" s="3">
        <v>90353</v>
      </c>
      <c r="K851" s="3">
        <v>86217</v>
      </c>
      <c r="L851" s="1">
        <v>0</v>
      </c>
      <c r="M851" s="4">
        <v>0</v>
      </c>
      <c r="N851" s="3">
        <v>4136</v>
      </c>
      <c r="O851" s="4">
        <v>4.5999999999999999E-2</v>
      </c>
      <c r="P851" s="1" t="s">
        <v>2721</v>
      </c>
    </row>
    <row r="852" spans="1:16">
      <c r="A852" s="1" t="s">
        <v>15</v>
      </c>
      <c r="B852" s="1">
        <v>11</v>
      </c>
      <c r="C852" s="1" t="s">
        <v>4182</v>
      </c>
      <c r="D852" s="1" t="s">
        <v>86</v>
      </c>
      <c r="E852" s="2">
        <v>45971</v>
      </c>
      <c r="F852" s="1" t="s">
        <v>53</v>
      </c>
      <c r="G852" s="1" t="s">
        <v>87</v>
      </c>
      <c r="H852" s="1" t="s">
        <v>88</v>
      </c>
      <c r="I852" s="1">
        <v>1</v>
      </c>
      <c r="J852" s="3">
        <v>14956</v>
      </c>
      <c r="K852" s="3">
        <v>14272</v>
      </c>
      <c r="L852" s="1">
        <v>0</v>
      </c>
      <c r="M852" s="4">
        <v>0</v>
      </c>
      <c r="N852" s="1">
        <v>684</v>
      </c>
      <c r="O852" s="4">
        <v>4.5999999999999999E-2</v>
      </c>
      <c r="P852" s="1" t="s">
        <v>2721</v>
      </c>
    </row>
    <row r="853" spans="1:16">
      <c r="A853" s="1" t="s">
        <v>15</v>
      </c>
      <c r="B853" s="1">
        <v>11</v>
      </c>
      <c r="C853" s="1" t="s">
        <v>4183</v>
      </c>
      <c r="D853" s="1" t="s">
        <v>1419</v>
      </c>
      <c r="E853" s="2">
        <v>45971</v>
      </c>
      <c r="F853" s="1" t="s">
        <v>96</v>
      </c>
      <c r="G853" s="1" t="s">
        <v>1420</v>
      </c>
      <c r="H853" s="1" t="s">
        <v>4184</v>
      </c>
      <c r="I853" s="1">
        <v>1</v>
      </c>
      <c r="J853" s="3">
        <v>11550</v>
      </c>
      <c r="K853" s="3">
        <v>11022</v>
      </c>
      <c r="L853" s="1">
        <v>0</v>
      </c>
      <c r="M853" s="4">
        <v>0</v>
      </c>
      <c r="N853" s="1">
        <v>528</v>
      </c>
      <c r="O853" s="4">
        <v>4.5999999999999999E-2</v>
      </c>
      <c r="P853" s="1" t="s">
        <v>2721</v>
      </c>
    </row>
    <row r="854" spans="1:16">
      <c r="A854" s="1" t="s">
        <v>15</v>
      </c>
      <c r="B854" s="1">
        <v>11</v>
      </c>
      <c r="C854" s="1" t="s">
        <v>4185</v>
      </c>
      <c r="D854" s="1" t="s">
        <v>865</v>
      </c>
      <c r="E854" s="2">
        <v>45971</v>
      </c>
      <c r="F854" s="1" t="s">
        <v>334</v>
      </c>
      <c r="G854" s="1" t="s">
        <v>866</v>
      </c>
      <c r="H854" s="1" t="s">
        <v>4186</v>
      </c>
      <c r="I854" s="1">
        <v>2</v>
      </c>
      <c r="J854" s="3">
        <v>18087</v>
      </c>
      <c r="K854" s="3">
        <v>17259</v>
      </c>
      <c r="L854" s="1">
        <v>0</v>
      </c>
      <c r="M854" s="4">
        <v>0</v>
      </c>
      <c r="N854" s="1">
        <v>828</v>
      </c>
      <c r="O854" s="4">
        <v>4.5999999999999999E-2</v>
      </c>
      <c r="P854" s="1" t="s">
        <v>2721</v>
      </c>
    </row>
    <row r="855" spans="1:16">
      <c r="A855" s="1" t="s">
        <v>15</v>
      </c>
      <c r="B855" s="1">
        <v>11</v>
      </c>
      <c r="C855" s="1" t="s">
        <v>4187</v>
      </c>
      <c r="D855" s="1" t="s">
        <v>789</v>
      </c>
      <c r="E855" s="2">
        <v>45971</v>
      </c>
      <c r="F855" s="1" t="s">
        <v>53</v>
      </c>
      <c r="G855" s="1" t="s">
        <v>790</v>
      </c>
      <c r="H855" s="1" t="s">
        <v>791</v>
      </c>
      <c r="I855" s="1">
        <v>1</v>
      </c>
      <c r="J855" s="3">
        <v>15234</v>
      </c>
      <c r="K855" s="3">
        <v>14536</v>
      </c>
      <c r="L855" s="1">
        <v>0</v>
      </c>
      <c r="M855" s="4">
        <v>0</v>
      </c>
      <c r="N855" s="1">
        <v>698</v>
      </c>
      <c r="O855" s="4">
        <v>4.5999999999999999E-2</v>
      </c>
      <c r="P855" s="1" t="s">
        <v>2721</v>
      </c>
    </row>
    <row r="856" spans="1:16">
      <c r="A856" s="1" t="s">
        <v>15</v>
      </c>
      <c r="B856" s="1">
        <v>11</v>
      </c>
      <c r="C856" s="1" t="s">
        <v>4188</v>
      </c>
      <c r="D856" s="1" t="s">
        <v>135</v>
      </c>
      <c r="E856" s="2">
        <v>45971</v>
      </c>
      <c r="F856" s="1" t="s">
        <v>53</v>
      </c>
      <c r="G856" s="1" t="s">
        <v>136</v>
      </c>
      <c r="H856" s="1" t="s">
        <v>4189</v>
      </c>
      <c r="I856" s="1">
        <v>1</v>
      </c>
      <c r="J856" s="3">
        <v>18750</v>
      </c>
      <c r="K856" s="3">
        <v>17891</v>
      </c>
      <c r="L856" s="1">
        <v>0</v>
      </c>
      <c r="M856" s="4">
        <v>0</v>
      </c>
      <c r="N856" s="1">
        <v>859</v>
      </c>
      <c r="O856" s="4">
        <v>4.5999999999999999E-2</v>
      </c>
      <c r="P856" s="1" t="s">
        <v>2721</v>
      </c>
    </row>
    <row r="857" spans="1:16">
      <c r="A857" s="1" t="s">
        <v>15</v>
      </c>
      <c r="B857" s="1">
        <v>11</v>
      </c>
      <c r="C857" s="1" t="s">
        <v>4190</v>
      </c>
      <c r="D857" s="1" t="s">
        <v>797</v>
      </c>
      <c r="E857" s="2">
        <v>45971</v>
      </c>
      <c r="F857" s="1" t="s">
        <v>798</v>
      </c>
      <c r="G857" s="1" t="s">
        <v>799</v>
      </c>
      <c r="H857" s="1" t="s">
        <v>832</v>
      </c>
      <c r="I857" s="1">
        <v>1</v>
      </c>
      <c r="J857" s="3">
        <v>13271</v>
      </c>
      <c r="K857" s="3">
        <v>12663</v>
      </c>
      <c r="L857" s="1">
        <v>0</v>
      </c>
      <c r="M857" s="4">
        <v>0</v>
      </c>
      <c r="N857" s="1">
        <v>608</v>
      </c>
      <c r="O857" s="4">
        <v>4.5999999999999999E-2</v>
      </c>
      <c r="P857" s="1" t="s">
        <v>2721</v>
      </c>
    </row>
    <row r="858" spans="1:16">
      <c r="A858" s="1" t="s">
        <v>15</v>
      </c>
      <c r="B858" s="1">
        <v>11</v>
      </c>
      <c r="C858" s="1" t="s">
        <v>4190</v>
      </c>
      <c r="D858" s="1" t="s">
        <v>797</v>
      </c>
      <c r="E858" s="2">
        <v>45971</v>
      </c>
      <c r="F858" s="1" t="s">
        <v>798</v>
      </c>
      <c r="G858" s="1" t="s">
        <v>799</v>
      </c>
      <c r="H858" s="1" t="s">
        <v>1331</v>
      </c>
      <c r="I858" s="1">
        <v>1</v>
      </c>
      <c r="J858" s="3">
        <v>13271</v>
      </c>
      <c r="K858" s="3">
        <v>12663</v>
      </c>
      <c r="L858" s="1">
        <v>0</v>
      </c>
      <c r="M858" s="4">
        <v>0</v>
      </c>
      <c r="N858" s="1">
        <v>608</v>
      </c>
      <c r="O858" s="4">
        <v>4.5999999999999999E-2</v>
      </c>
      <c r="P858" s="1" t="s">
        <v>2721</v>
      </c>
    </row>
    <row r="859" spans="1:16">
      <c r="A859" s="1" t="s">
        <v>15</v>
      </c>
      <c r="B859" s="1">
        <v>11</v>
      </c>
      <c r="C859" s="1" t="s">
        <v>4191</v>
      </c>
      <c r="D859" s="1" t="s">
        <v>95</v>
      </c>
      <c r="E859" s="2">
        <v>45971</v>
      </c>
      <c r="F859" s="1" t="s">
        <v>96</v>
      </c>
      <c r="G859" s="1" t="s">
        <v>97</v>
      </c>
      <c r="H859" s="1" t="s">
        <v>97</v>
      </c>
      <c r="I859" s="1">
        <v>1</v>
      </c>
      <c r="J859" s="3">
        <v>12571</v>
      </c>
      <c r="K859" s="3">
        <v>11995</v>
      </c>
      <c r="L859" s="1">
        <v>0</v>
      </c>
      <c r="M859" s="4">
        <v>0</v>
      </c>
      <c r="N859" s="1">
        <v>576</v>
      </c>
      <c r="O859" s="4">
        <v>4.5999999999999999E-2</v>
      </c>
      <c r="P859" s="1" t="s">
        <v>2721</v>
      </c>
    </row>
    <row r="860" spans="1:16">
      <c r="A860" s="1" t="s">
        <v>15</v>
      </c>
      <c r="B860" s="1">
        <v>11</v>
      </c>
      <c r="C860" s="1" t="s">
        <v>4191</v>
      </c>
      <c r="D860" s="1" t="s">
        <v>834</v>
      </c>
      <c r="E860" s="2">
        <v>45971</v>
      </c>
      <c r="F860" s="1" t="s">
        <v>96</v>
      </c>
      <c r="G860" s="1" t="s">
        <v>835</v>
      </c>
      <c r="H860" s="1" t="s">
        <v>4192</v>
      </c>
      <c r="I860" s="1">
        <v>1</v>
      </c>
      <c r="J860" s="3">
        <v>13475</v>
      </c>
      <c r="K860" s="3">
        <v>12858</v>
      </c>
      <c r="L860" s="1">
        <v>0</v>
      </c>
      <c r="M860" s="4">
        <v>0</v>
      </c>
      <c r="N860" s="1">
        <v>617</v>
      </c>
      <c r="O860" s="4">
        <v>4.5999999999999999E-2</v>
      </c>
      <c r="P860" s="1" t="s">
        <v>2721</v>
      </c>
    </row>
    <row r="861" spans="1:16">
      <c r="A861" s="1" t="s">
        <v>15</v>
      </c>
      <c r="B861" s="1">
        <v>11</v>
      </c>
      <c r="C861" s="1" t="s">
        <v>4193</v>
      </c>
      <c r="D861" s="1" t="s">
        <v>116</v>
      </c>
      <c r="E861" s="2">
        <v>45971</v>
      </c>
      <c r="F861" s="1" t="s">
        <v>63</v>
      </c>
      <c r="G861" s="1" t="s">
        <v>117</v>
      </c>
      <c r="H861" s="1" t="s">
        <v>139</v>
      </c>
      <c r="I861" s="1">
        <v>1</v>
      </c>
      <c r="J861" s="3">
        <v>15422</v>
      </c>
      <c r="K861" s="3">
        <v>14716</v>
      </c>
      <c r="L861" s="1">
        <v>0</v>
      </c>
      <c r="M861" s="4">
        <v>0</v>
      </c>
      <c r="N861" s="1">
        <v>706</v>
      </c>
      <c r="O861" s="4">
        <v>4.5999999999999999E-2</v>
      </c>
      <c r="P861" s="1" t="s">
        <v>2721</v>
      </c>
    </row>
    <row r="862" spans="1:16">
      <c r="A862" s="1" t="s">
        <v>15</v>
      </c>
      <c r="B862" s="1">
        <v>11</v>
      </c>
      <c r="C862" s="1" t="s">
        <v>4193</v>
      </c>
      <c r="D862" s="1" t="s">
        <v>112</v>
      </c>
      <c r="E862" s="2">
        <v>45971</v>
      </c>
      <c r="F862" s="1" t="s">
        <v>63</v>
      </c>
      <c r="G862" s="1" t="s">
        <v>113</v>
      </c>
      <c r="H862" s="1" t="s">
        <v>872</v>
      </c>
      <c r="I862" s="1">
        <v>1</v>
      </c>
      <c r="J862" s="3">
        <v>8834</v>
      </c>
      <c r="K862" s="3">
        <v>8430</v>
      </c>
      <c r="L862" s="1">
        <v>0</v>
      </c>
      <c r="M862" s="4">
        <v>0</v>
      </c>
      <c r="N862" s="1">
        <v>404</v>
      </c>
      <c r="O862" s="4">
        <v>4.5999999999999999E-2</v>
      </c>
      <c r="P862" s="1" t="s">
        <v>2721</v>
      </c>
    </row>
    <row r="863" spans="1:16">
      <c r="A863" s="1" t="s">
        <v>15</v>
      </c>
      <c r="B863" s="1">
        <v>11</v>
      </c>
      <c r="C863" s="1" t="s">
        <v>4194</v>
      </c>
      <c r="D863" s="1" t="s">
        <v>125</v>
      </c>
      <c r="E863" s="2">
        <v>45971</v>
      </c>
      <c r="F863" s="1" t="s">
        <v>126</v>
      </c>
      <c r="G863" s="1" t="s">
        <v>127</v>
      </c>
      <c r="H863" s="1" t="s">
        <v>128</v>
      </c>
      <c r="I863" s="1">
        <v>1</v>
      </c>
      <c r="J863" s="3">
        <v>13959</v>
      </c>
      <c r="K863" s="3">
        <v>13320</v>
      </c>
      <c r="L863" s="1">
        <v>0</v>
      </c>
      <c r="M863" s="4">
        <v>0</v>
      </c>
      <c r="N863" s="1">
        <v>639</v>
      </c>
      <c r="O863" s="4">
        <v>4.5999999999999999E-2</v>
      </c>
      <c r="P863" s="1" t="s">
        <v>2721</v>
      </c>
    </row>
    <row r="864" spans="1:16">
      <c r="A864" s="1" t="s">
        <v>15</v>
      </c>
      <c r="B864" s="1">
        <v>11</v>
      </c>
      <c r="C864" s="1" t="s">
        <v>4195</v>
      </c>
      <c r="D864" s="1" t="s">
        <v>1125</v>
      </c>
      <c r="E864" s="2">
        <v>45971</v>
      </c>
      <c r="F864" s="1" t="s">
        <v>96</v>
      </c>
      <c r="G864" s="1" t="s">
        <v>1126</v>
      </c>
      <c r="H864" s="1" t="s">
        <v>1127</v>
      </c>
      <c r="I864" s="1">
        <v>1</v>
      </c>
      <c r="J864" s="3">
        <v>9858</v>
      </c>
      <c r="K864" s="3">
        <v>9406</v>
      </c>
      <c r="L864" s="1">
        <v>0</v>
      </c>
      <c r="M864" s="4">
        <v>0</v>
      </c>
      <c r="N864" s="1">
        <v>452</v>
      </c>
      <c r="O864" s="4">
        <v>4.5999999999999999E-2</v>
      </c>
      <c r="P864" s="1" t="s">
        <v>2721</v>
      </c>
    </row>
    <row r="865" spans="1:16">
      <c r="A865" s="1" t="s">
        <v>15</v>
      </c>
      <c r="B865" s="1">
        <v>11</v>
      </c>
      <c r="C865" s="1" t="s">
        <v>4196</v>
      </c>
      <c r="D865" s="1" t="s">
        <v>250</v>
      </c>
      <c r="E865" s="2">
        <v>45971</v>
      </c>
      <c r="F865" s="1" t="s">
        <v>251</v>
      </c>
      <c r="G865" s="1" t="s">
        <v>252</v>
      </c>
      <c r="H865" s="1" t="s">
        <v>253</v>
      </c>
      <c r="I865" s="1">
        <v>1</v>
      </c>
      <c r="J865" s="3">
        <v>17203</v>
      </c>
      <c r="K865" s="3">
        <v>16415</v>
      </c>
      <c r="L865" s="1">
        <v>0</v>
      </c>
      <c r="M865" s="4">
        <v>0</v>
      </c>
      <c r="N865" s="1">
        <v>788</v>
      </c>
      <c r="O865" s="4">
        <v>4.5999999999999999E-2</v>
      </c>
      <c r="P865" s="1" t="s">
        <v>2721</v>
      </c>
    </row>
    <row r="866" spans="1:16">
      <c r="A866" s="1" t="s">
        <v>15</v>
      </c>
      <c r="B866" s="1">
        <v>11</v>
      </c>
      <c r="C866" s="1" t="s">
        <v>4197</v>
      </c>
      <c r="D866" s="1" t="s">
        <v>333</v>
      </c>
      <c r="E866" s="2">
        <v>45971</v>
      </c>
      <c r="F866" s="1" t="s">
        <v>334</v>
      </c>
      <c r="G866" s="1" t="s">
        <v>335</v>
      </c>
      <c r="H866" s="1" t="s">
        <v>1408</v>
      </c>
      <c r="I866" s="1">
        <v>1</v>
      </c>
      <c r="J866" s="3">
        <v>5505</v>
      </c>
      <c r="K866" s="3">
        <v>5253</v>
      </c>
      <c r="L866" s="1">
        <v>0</v>
      </c>
      <c r="M866" s="4">
        <v>0</v>
      </c>
      <c r="N866" s="1">
        <v>252</v>
      </c>
      <c r="O866" s="4">
        <v>4.5999999999999999E-2</v>
      </c>
      <c r="P866" s="1" t="s">
        <v>2721</v>
      </c>
    </row>
    <row r="867" spans="1:16">
      <c r="A867" s="1" t="s">
        <v>15</v>
      </c>
      <c r="B867" s="1">
        <v>11</v>
      </c>
      <c r="C867" s="1" t="s">
        <v>4198</v>
      </c>
      <c r="D867" s="1" t="s">
        <v>4199</v>
      </c>
      <c r="E867" s="2">
        <v>45971</v>
      </c>
      <c r="F867" s="1" t="s">
        <v>1271</v>
      </c>
      <c r="G867" s="1" t="s">
        <v>4200</v>
      </c>
      <c r="H867" s="1" t="s">
        <v>4201</v>
      </c>
      <c r="I867" s="1">
        <v>2</v>
      </c>
      <c r="J867" s="3">
        <v>14352</v>
      </c>
      <c r="K867" s="3">
        <v>13695</v>
      </c>
      <c r="L867" s="1">
        <v>0</v>
      </c>
      <c r="M867" s="4">
        <v>0</v>
      </c>
      <c r="N867" s="1">
        <v>657</v>
      </c>
      <c r="O867" s="4">
        <v>4.5999999999999999E-2</v>
      </c>
      <c r="P867" s="1" t="s">
        <v>2721</v>
      </c>
    </row>
    <row r="868" spans="1:16">
      <c r="A868" s="1" t="s">
        <v>15</v>
      </c>
      <c r="B868" s="1">
        <v>11</v>
      </c>
      <c r="C868" s="1" t="s">
        <v>4202</v>
      </c>
      <c r="D868" s="1" t="s">
        <v>777</v>
      </c>
      <c r="E868" s="2">
        <v>45971</v>
      </c>
      <c r="F868" s="1" t="s">
        <v>256</v>
      </c>
      <c r="G868" s="1" t="s">
        <v>778</v>
      </c>
      <c r="H868" s="1" t="s">
        <v>779</v>
      </c>
      <c r="I868" s="1">
        <v>1</v>
      </c>
      <c r="J868" s="3">
        <v>11010</v>
      </c>
      <c r="K868" s="3">
        <v>10506</v>
      </c>
      <c r="L868" s="1">
        <v>0</v>
      </c>
      <c r="M868" s="4">
        <v>0</v>
      </c>
      <c r="N868" s="1">
        <v>504</v>
      </c>
      <c r="O868" s="4">
        <v>4.5999999999999999E-2</v>
      </c>
      <c r="P868" s="1" t="s">
        <v>2721</v>
      </c>
    </row>
    <row r="869" spans="1:16">
      <c r="A869" s="1" t="s">
        <v>15</v>
      </c>
      <c r="B869" s="1">
        <v>11</v>
      </c>
      <c r="C869" s="1" t="s">
        <v>4203</v>
      </c>
      <c r="D869" s="1" t="s">
        <v>4204</v>
      </c>
      <c r="E869" s="2">
        <v>45971</v>
      </c>
      <c r="F869" s="1" t="s">
        <v>96</v>
      </c>
      <c r="G869" s="1" t="s">
        <v>3000</v>
      </c>
      <c r="H869" s="1" t="s">
        <v>4205</v>
      </c>
      <c r="I869" s="1">
        <v>1</v>
      </c>
      <c r="J869" s="3">
        <v>8501</v>
      </c>
      <c r="K869" s="3">
        <v>8112</v>
      </c>
      <c r="L869" s="1">
        <v>0</v>
      </c>
      <c r="M869" s="4">
        <v>0</v>
      </c>
      <c r="N869" s="1">
        <v>389</v>
      </c>
      <c r="O869" s="4">
        <v>4.5999999999999999E-2</v>
      </c>
      <c r="P869" s="1" t="s">
        <v>2721</v>
      </c>
    </row>
    <row r="870" spans="1:16">
      <c r="A870" s="1" t="s">
        <v>15</v>
      </c>
      <c r="B870" s="1">
        <v>11</v>
      </c>
      <c r="C870" s="1" t="s">
        <v>4203</v>
      </c>
      <c r="D870" s="1" t="s">
        <v>132</v>
      </c>
      <c r="E870" s="2">
        <v>45971</v>
      </c>
      <c r="F870" s="1" t="s">
        <v>53</v>
      </c>
      <c r="G870" s="1" t="s">
        <v>133</v>
      </c>
      <c r="H870" s="1" t="s">
        <v>88</v>
      </c>
      <c r="I870" s="1">
        <v>1</v>
      </c>
      <c r="J870" s="3">
        <v>17036</v>
      </c>
      <c r="K870" s="3">
        <v>16256</v>
      </c>
      <c r="L870" s="1">
        <v>0</v>
      </c>
      <c r="M870" s="4">
        <v>0</v>
      </c>
      <c r="N870" s="1">
        <v>780</v>
      </c>
      <c r="O870" s="4">
        <v>4.5999999999999999E-2</v>
      </c>
      <c r="P870" s="1" t="s">
        <v>2721</v>
      </c>
    </row>
    <row r="871" spans="1:16">
      <c r="A871" s="1" t="s">
        <v>15</v>
      </c>
      <c r="B871" s="1">
        <v>11</v>
      </c>
      <c r="C871" s="1" t="s">
        <v>4206</v>
      </c>
      <c r="D871" s="1" t="s">
        <v>1250</v>
      </c>
      <c r="E871" s="2">
        <v>45971</v>
      </c>
      <c r="F871" s="1" t="s">
        <v>18</v>
      </c>
      <c r="G871" s="1" t="s">
        <v>1251</v>
      </c>
      <c r="H871" s="1" t="s">
        <v>1252</v>
      </c>
      <c r="I871" s="1">
        <v>1</v>
      </c>
      <c r="J871" s="3">
        <v>8395</v>
      </c>
      <c r="K871" s="3">
        <v>8011</v>
      </c>
      <c r="L871" s="1">
        <v>0</v>
      </c>
      <c r="M871" s="4">
        <v>0</v>
      </c>
      <c r="N871" s="1">
        <v>384</v>
      </c>
      <c r="O871" s="4">
        <v>4.5999999999999999E-2</v>
      </c>
      <c r="P871" s="1" t="s">
        <v>2721</v>
      </c>
    </row>
    <row r="872" spans="1:16">
      <c r="A872" s="1" t="s">
        <v>15</v>
      </c>
      <c r="B872" s="1">
        <v>11</v>
      </c>
      <c r="C872" s="1" t="s">
        <v>4206</v>
      </c>
      <c r="D872" s="1" t="s">
        <v>1250</v>
      </c>
      <c r="E872" s="2">
        <v>45971</v>
      </c>
      <c r="F872" s="1" t="s">
        <v>18</v>
      </c>
      <c r="G872" s="1" t="s">
        <v>1251</v>
      </c>
      <c r="H872" s="1" t="s">
        <v>20</v>
      </c>
      <c r="I872" s="1">
        <v>1</v>
      </c>
      <c r="J872" s="3">
        <v>8395</v>
      </c>
      <c r="K872" s="3">
        <v>8011</v>
      </c>
      <c r="L872" s="1">
        <v>0</v>
      </c>
      <c r="M872" s="4">
        <v>0</v>
      </c>
      <c r="N872" s="1">
        <v>384</v>
      </c>
      <c r="O872" s="4">
        <v>4.5999999999999999E-2</v>
      </c>
      <c r="P872" s="1" t="s">
        <v>2721</v>
      </c>
    </row>
    <row r="873" spans="1:16">
      <c r="A873" s="1" t="s">
        <v>15</v>
      </c>
      <c r="B873" s="1">
        <v>11</v>
      </c>
      <c r="C873" s="1" t="s">
        <v>4207</v>
      </c>
      <c r="D873" s="1" t="s">
        <v>4208</v>
      </c>
      <c r="E873" s="2">
        <v>45971</v>
      </c>
      <c r="F873" s="1" t="s">
        <v>276</v>
      </c>
      <c r="G873" s="1" t="s">
        <v>4209</v>
      </c>
      <c r="H873" s="1" t="s">
        <v>4210</v>
      </c>
      <c r="I873" s="1">
        <v>1</v>
      </c>
      <c r="J873" s="3">
        <v>16809</v>
      </c>
      <c r="K873" s="3">
        <v>16040</v>
      </c>
      <c r="L873" s="1">
        <v>0</v>
      </c>
      <c r="M873" s="4">
        <v>0</v>
      </c>
      <c r="N873" s="1">
        <v>769</v>
      </c>
      <c r="O873" s="4">
        <v>4.5999999999999999E-2</v>
      </c>
      <c r="P873" s="1" t="s">
        <v>2721</v>
      </c>
    </row>
    <row r="874" spans="1:16">
      <c r="A874" s="1" t="s">
        <v>15</v>
      </c>
      <c r="B874" s="1">
        <v>11</v>
      </c>
      <c r="C874" s="1" t="s">
        <v>4207</v>
      </c>
      <c r="D874" s="1" t="s">
        <v>279</v>
      </c>
      <c r="E874" s="2">
        <v>45971</v>
      </c>
      <c r="F874" s="1" t="s">
        <v>276</v>
      </c>
      <c r="G874" s="1" t="s">
        <v>280</v>
      </c>
      <c r="H874" s="1" t="s">
        <v>281</v>
      </c>
      <c r="I874" s="1">
        <v>1</v>
      </c>
      <c r="J874" s="3">
        <v>34641</v>
      </c>
      <c r="K874" s="3">
        <v>33055</v>
      </c>
      <c r="L874" s="1">
        <v>0</v>
      </c>
      <c r="M874" s="4">
        <v>0</v>
      </c>
      <c r="N874" s="3">
        <v>1586</v>
      </c>
      <c r="O874" s="4">
        <v>4.5999999999999999E-2</v>
      </c>
      <c r="P874" s="1" t="s">
        <v>2721</v>
      </c>
    </row>
    <row r="875" spans="1:16">
      <c r="A875" s="1" t="s">
        <v>15</v>
      </c>
      <c r="B875" s="1">
        <v>11</v>
      </c>
      <c r="C875" s="1" t="s">
        <v>4211</v>
      </c>
      <c r="D875" s="1" t="s">
        <v>86</v>
      </c>
      <c r="E875" s="2">
        <v>45971</v>
      </c>
      <c r="F875" s="1" t="s">
        <v>53</v>
      </c>
      <c r="G875" s="1" t="s">
        <v>87</v>
      </c>
      <c r="H875" s="1" t="s">
        <v>88</v>
      </c>
      <c r="I875" s="1">
        <v>1</v>
      </c>
      <c r="J875" s="3">
        <v>14956</v>
      </c>
      <c r="K875" s="3">
        <v>14272</v>
      </c>
      <c r="L875" s="1">
        <v>0</v>
      </c>
      <c r="M875" s="4">
        <v>0</v>
      </c>
      <c r="N875" s="1">
        <v>684</v>
      </c>
      <c r="O875" s="4">
        <v>4.5999999999999999E-2</v>
      </c>
      <c r="P875" s="1" t="s">
        <v>2721</v>
      </c>
    </row>
    <row r="876" spans="1:16">
      <c r="A876" s="1" t="s">
        <v>15</v>
      </c>
      <c r="B876" s="1">
        <v>11</v>
      </c>
      <c r="C876" s="1" t="s">
        <v>4212</v>
      </c>
      <c r="D876" s="1" t="s">
        <v>27</v>
      </c>
      <c r="E876" s="2">
        <v>45971</v>
      </c>
      <c r="F876" s="1" t="s">
        <v>28</v>
      </c>
      <c r="G876" s="1" t="s">
        <v>29</v>
      </c>
      <c r="H876" s="1" t="s">
        <v>352</v>
      </c>
      <c r="I876" s="1">
        <v>1</v>
      </c>
      <c r="J876" s="3">
        <v>27033</v>
      </c>
      <c r="K876" s="3">
        <v>25795</v>
      </c>
      <c r="L876" s="1">
        <v>0</v>
      </c>
      <c r="M876" s="4">
        <v>0</v>
      </c>
      <c r="N876" s="3">
        <v>1238</v>
      </c>
      <c r="O876" s="4">
        <v>4.5999999999999999E-2</v>
      </c>
      <c r="P876" s="1" t="s">
        <v>2721</v>
      </c>
    </row>
    <row r="877" spans="1:16">
      <c r="A877" s="1" t="s">
        <v>15</v>
      </c>
      <c r="B877" s="1">
        <v>11</v>
      </c>
      <c r="C877" s="1" t="s">
        <v>4212</v>
      </c>
      <c r="D877" s="1" t="s">
        <v>504</v>
      </c>
      <c r="E877" s="2">
        <v>45971</v>
      </c>
      <c r="F877" s="1" t="s">
        <v>407</v>
      </c>
      <c r="G877" s="1" t="s">
        <v>505</v>
      </c>
      <c r="H877" s="1" t="s">
        <v>1004</v>
      </c>
      <c r="I877" s="1">
        <v>1</v>
      </c>
      <c r="J877" s="3">
        <v>9339</v>
      </c>
      <c r="K877" s="3">
        <v>8911</v>
      </c>
      <c r="L877" s="1">
        <v>0</v>
      </c>
      <c r="M877" s="4">
        <v>0</v>
      </c>
      <c r="N877" s="1">
        <v>428</v>
      </c>
      <c r="O877" s="4">
        <v>4.5999999999999999E-2</v>
      </c>
      <c r="P877" s="1" t="s">
        <v>2721</v>
      </c>
    </row>
    <row r="878" spans="1:16">
      <c r="A878" s="1" t="s">
        <v>15</v>
      </c>
      <c r="B878" s="1">
        <v>11</v>
      </c>
      <c r="C878" s="1" t="s">
        <v>4213</v>
      </c>
      <c r="D878" s="1" t="s">
        <v>72</v>
      </c>
      <c r="E878" s="2">
        <v>45971</v>
      </c>
      <c r="F878" s="1" t="s">
        <v>63</v>
      </c>
      <c r="G878" s="1" t="s">
        <v>73</v>
      </c>
      <c r="H878" s="1" t="s">
        <v>74</v>
      </c>
      <c r="I878" s="1">
        <v>2</v>
      </c>
      <c r="J878" s="3">
        <v>20912</v>
      </c>
      <c r="K878" s="3">
        <v>19955</v>
      </c>
      <c r="L878" s="1">
        <v>0</v>
      </c>
      <c r="M878" s="4">
        <v>0</v>
      </c>
      <c r="N878" s="1">
        <v>957</v>
      </c>
      <c r="O878" s="4">
        <v>4.5999999999999999E-2</v>
      </c>
      <c r="P878" s="1" t="s">
        <v>2721</v>
      </c>
    </row>
    <row r="879" spans="1:16">
      <c r="A879" s="1" t="s">
        <v>15</v>
      </c>
      <c r="B879" s="1">
        <v>11</v>
      </c>
      <c r="C879" s="1" t="s">
        <v>4214</v>
      </c>
      <c r="D879" s="1" t="s">
        <v>1359</v>
      </c>
      <c r="E879" s="2">
        <v>45971</v>
      </c>
      <c r="F879" s="1" t="s">
        <v>63</v>
      </c>
      <c r="G879" s="1" t="s">
        <v>1360</v>
      </c>
      <c r="H879" s="1" t="s">
        <v>2352</v>
      </c>
      <c r="I879" s="1">
        <v>1</v>
      </c>
      <c r="J879" s="3">
        <v>30765</v>
      </c>
      <c r="K879" s="3">
        <v>29357</v>
      </c>
      <c r="L879" s="1">
        <v>0</v>
      </c>
      <c r="M879" s="4">
        <v>0</v>
      </c>
      <c r="N879" s="3">
        <v>1408</v>
      </c>
      <c r="O879" s="4">
        <v>4.5999999999999999E-2</v>
      </c>
      <c r="P879" s="1" t="s">
        <v>2721</v>
      </c>
    </row>
    <row r="880" spans="1:16">
      <c r="A880" s="1" t="s">
        <v>15</v>
      </c>
      <c r="B880" s="1">
        <v>11</v>
      </c>
      <c r="C880" s="1" t="s">
        <v>4215</v>
      </c>
      <c r="D880" s="1" t="s">
        <v>4216</v>
      </c>
      <c r="E880" s="2">
        <v>45971</v>
      </c>
      <c r="F880" s="1" t="s">
        <v>4217</v>
      </c>
      <c r="G880" s="1" t="s">
        <v>4218</v>
      </c>
      <c r="H880" s="1" t="s">
        <v>4219</v>
      </c>
      <c r="I880" s="1">
        <v>2</v>
      </c>
      <c r="J880" s="3">
        <v>57014</v>
      </c>
      <c r="K880" s="3">
        <v>54404</v>
      </c>
      <c r="L880" s="1">
        <v>0</v>
      </c>
      <c r="M880" s="4">
        <v>0</v>
      </c>
      <c r="N880" s="3">
        <v>2610</v>
      </c>
      <c r="O880" s="4">
        <v>4.5999999999999999E-2</v>
      </c>
      <c r="P880" s="1" t="s">
        <v>2721</v>
      </c>
    </row>
    <row r="881" spans="1:16">
      <c r="A881" s="1" t="s">
        <v>15</v>
      </c>
      <c r="B881" s="1">
        <v>11</v>
      </c>
      <c r="C881" s="1" t="s">
        <v>4220</v>
      </c>
      <c r="D881" s="1" t="s">
        <v>3557</v>
      </c>
      <c r="E881" s="2">
        <v>45971</v>
      </c>
      <c r="F881" s="1" t="s">
        <v>2537</v>
      </c>
      <c r="G881" s="1" t="s">
        <v>3558</v>
      </c>
      <c r="H881" s="1" t="s">
        <v>3559</v>
      </c>
      <c r="I881" s="1">
        <v>1</v>
      </c>
      <c r="J881" s="3">
        <v>17694</v>
      </c>
      <c r="K881" s="3">
        <v>16884</v>
      </c>
      <c r="L881" s="1">
        <v>0</v>
      </c>
      <c r="M881" s="4">
        <v>0</v>
      </c>
      <c r="N881" s="1">
        <v>810</v>
      </c>
      <c r="O881" s="4">
        <v>4.5999999999999999E-2</v>
      </c>
      <c r="P881" s="1" t="s">
        <v>2721</v>
      </c>
    </row>
    <row r="882" spans="1:16">
      <c r="A882" s="1" t="s">
        <v>15</v>
      </c>
      <c r="B882" s="1">
        <v>11</v>
      </c>
      <c r="C882" s="1" t="s">
        <v>4221</v>
      </c>
      <c r="D882" s="1" t="s">
        <v>394</v>
      </c>
      <c r="E882" s="2">
        <v>45971</v>
      </c>
      <c r="F882" s="1" t="s">
        <v>395</v>
      </c>
      <c r="G882" s="1" t="s">
        <v>2803</v>
      </c>
      <c r="H882" s="1" t="s">
        <v>2804</v>
      </c>
      <c r="I882" s="1">
        <v>1</v>
      </c>
      <c r="J882" s="3">
        <v>18874</v>
      </c>
      <c r="K882" s="3">
        <v>18010</v>
      </c>
      <c r="L882" s="1">
        <v>0</v>
      </c>
      <c r="M882" s="4">
        <v>0</v>
      </c>
      <c r="N882" s="1">
        <v>864</v>
      </c>
      <c r="O882" s="4">
        <v>4.5999999999999999E-2</v>
      </c>
      <c r="P882" s="1" t="s">
        <v>2721</v>
      </c>
    </row>
    <row r="883" spans="1:16">
      <c r="A883" s="1" t="s">
        <v>15</v>
      </c>
      <c r="B883" s="1">
        <v>11</v>
      </c>
      <c r="C883" s="1" t="s">
        <v>4222</v>
      </c>
      <c r="D883" s="1" t="s">
        <v>3836</v>
      </c>
      <c r="E883" s="2">
        <v>45971</v>
      </c>
      <c r="F883" s="1" t="s">
        <v>1241</v>
      </c>
      <c r="G883" s="1" t="s">
        <v>3837</v>
      </c>
      <c r="H883" s="1" t="s">
        <v>4035</v>
      </c>
      <c r="I883" s="1">
        <v>1</v>
      </c>
      <c r="J883" s="3">
        <v>14450</v>
      </c>
      <c r="K883" s="3">
        <v>13789</v>
      </c>
      <c r="L883" s="1">
        <v>0</v>
      </c>
      <c r="M883" s="4">
        <v>0</v>
      </c>
      <c r="N883" s="1">
        <v>661</v>
      </c>
      <c r="O883" s="4">
        <v>4.5999999999999999E-2</v>
      </c>
      <c r="P883" s="1" t="s">
        <v>2721</v>
      </c>
    </row>
    <row r="884" spans="1:16">
      <c r="A884" s="1" t="s">
        <v>15</v>
      </c>
      <c r="B884" s="1">
        <v>11</v>
      </c>
      <c r="C884" s="1" t="s">
        <v>4223</v>
      </c>
      <c r="D884" s="1" t="s">
        <v>1088</v>
      </c>
      <c r="E884" s="2">
        <v>45971</v>
      </c>
      <c r="F884" s="1" t="s">
        <v>317</v>
      </c>
      <c r="G884" s="1" t="s">
        <v>1089</v>
      </c>
      <c r="H884" s="1" t="s">
        <v>4224</v>
      </c>
      <c r="I884" s="1">
        <v>1</v>
      </c>
      <c r="J884" s="3">
        <v>45120</v>
      </c>
      <c r="K884" s="3">
        <v>43054</v>
      </c>
      <c r="L884" s="1">
        <v>0</v>
      </c>
      <c r="M884" s="4">
        <v>0</v>
      </c>
      <c r="N884" s="3">
        <v>2066</v>
      </c>
      <c r="O884" s="4">
        <v>4.5999999999999999E-2</v>
      </c>
      <c r="P884" s="1" t="s">
        <v>2721</v>
      </c>
    </row>
    <row r="885" spans="1:16">
      <c r="A885" s="1" t="s">
        <v>15</v>
      </c>
      <c r="B885" s="1">
        <v>11</v>
      </c>
      <c r="C885" s="1" t="s">
        <v>4225</v>
      </c>
      <c r="D885" s="1" t="s">
        <v>1177</v>
      </c>
      <c r="E885" s="2">
        <v>45971</v>
      </c>
      <c r="F885" s="1" t="s">
        <v>251</v>
      </c>
      <c r="G885" s="1" t="s">
        <v>1178</v>
      </c>
      <c r="H885" s="1" t="s">
        <v>1179</v>
      </c>
      <c r="I885" s="1">
        <v>1</v>
      </c>
      <c r="J885" s="3">
        <v>21429</v>
      </c>
      <c r="K885" s="3">
        <v>20448</v>
      </c>
      <c r="L885" s="1">
        <v>0</v>
      </c>
      <c r="M885" s="4">
        <v>0</v>
      </c>
      <c r="N885" s="1">
        <v>981</v>
      </c>
      <c r="O885" s="4">
        <v>4.5999999999999999E-2</v>
      </c>
      <c r="P885" s="1" t="s">
        <v>2721</v>
      </c>
    </row>
    <row r="886" spans="1:16">
      <c r="A886" s="1" t="s">
        <v>15</v>
      </c>
      <c r="B886" s="1">
        <v>11</v>
      </c>
      <c r="C886" s="1" t="s">
        <v>4226</v>
      </c>
      <c r="D886" s="1" t="s">
        <v>1359</v>
      </c>
      <c r="E886" s="2">
        <v>45971</v>
      </c>
      <c r="F886" s="1" t="s">
        <v>63</v>
      </c>
      <c r="G886" s="1" t="s">
        <v>1360</v>
      </c>
      <c r="H886" s="1" t="s">
        <v>2352</v>
      </c>
      <c r="I886" s="1">
        <v>1</v>
      </c>
      <c r="J886" s="3">
        <v>30765</v>
      </c>
      <c r="K886" s="3">
        <v>29357</v>
      </c>
      <c r="L886" s="1">
        <v>0</v>
      </c>
      <c r="M886" s="4">
        <v>0</v>
      </c>
      <c r="N886" s="3">
        <v>1408</v>
      </c>
      <c r="O886" s="4">
        <v>4.5999999999999999E-2</v>
      </c>
      <c r="P886" s="1" t="s">
        <v>2721</v>
      </c>
    </row>
    <row r="887" spans="1:16">
      <c r="A887" s="1" t="s">
        <v>15</v>
      </c>
      <c r="B887" s="1">
        <v>11</v>
      </c>
      <c r="C887" s="1" t="s">
        <v>4227</v>
      </c>
      <c r="D887" s="1" t="s">
        <v>244</v>
      </c>
      <c r="E887" s="2">
        <v>45971</v>
      </c>
      <c r="F887" s="1" t="s">
        <v>53</v>
      </c>
      <c r="G887" s="1" t="s">
        <v>245</v>
      </c>
      <c r="H887" s="1" t="s">
        <v>1166</v>
      </c>
      <c r="I887" s="1">
        <v>1</v>
      </c>
      <c r="J887" s="3">
        <v>8272</v>
      </c>
      <c r="K887" s="3">
        <v>7893</v>
      </c>
      <c r="L887" s="1">
        <v>0</v>
      </c>
      <c r="M887" s="4">
        <v>0</v>
      </c>
      <c r="N887" s="1">
        <v>379</v>
      </c>
      <c r="O887" s="4">
        <v>4.5999999999999999E-2</v>
      </c>
      <c r="P887" s="1" t="s">
        <v>2721</v>
      </c>
    </row>
    <row r="888" spans="1:16">
      <c r="A888" s="1" t="s">
        <v>15</v>
      </c>
      <c r="B888" s="1">
        <v>11</v>
      </c>
      <c r="C888" s="1" t="s">
        <v>4228</v>
      </c>
      <c r="D888" s="1" t="s">
        <v>4229</v>
      </c>
      <c r="E888" s="2">
        <v>45971</v>
      </c>
      <c r="F888" s="1" t="s">
        <v>96</v>
      </c>
      <c r="G888" s="1" t="s">
        <v>2609</v>
      </c>
      <c r="H888" s="1" t="s">
        <v>2610</v>
      </c>
      <c r="I888" s="1">
        <v>1</v>
      </c>
      <c r="J888" s="3">
        <v>10779</v>
      </c>
      <c r="K888" s="3">
        <v>10285</v>
      </c>
      <c r="L888" s="1">
        <v>0</v>
      </c>
      <c r="M888" s="4">
        <v>0</v>
      </c>
      <c r="N888" s="1">
        <v>494</v>
      </c>
      <c r="O888" s="4">
        <v>4.5999999999999999E-2</v>
      </c>
      <c r="P888" s="1" t="s">
        <v>2721</v>
      </c>
    </row>
    <row r="889" spans="1:16">
      <c r="A889" s="1" t="s">
        <v>15</v>
      </c>
      <c r="B889" s="1">
        <v>11</v>
      </c>
      <c r="C889" s="1" t="s">
        <v>4230</v>
      </c>
      <c r="D889" s="1" t="s">
        <v>903</v>
      </c>
      <c r="E889" s="2">
        <v>45971</v>
      </c>
      <c r="F889" s="1" t="s">
        <v>23</v>
      </c>
      <c r="G889" s="1" t="s">
        <v>587</v>
      </c>
      <c r="H889" s="1" t="s">
        <v>588</v>
      </c>
      <c r="I889" s="1">
        <v>1</v>
      </c>
      <c r="J889" s="3">
        <v>13762</v>
      </c>
      <c r="K889" s="3">
        <v>13132</v>
      </c>
      <c r="L889" s="1">
        <v>0</v>
      </c>
      <c r="M889" s="4">
        <v>0</v>
      </c>
      <c r="N889" s="1">
        <v>630</v>
      </c>
      <c r="O889" s="4">
        <v>4.5999999999999999E-2</v>
      </c>
      <c r="P889" s="1" t="s">
        <v>2721</v>
      </c>
    </row>
    <row r="890" spans="1:16">
      <c r="A890" s="1" t="s">
        <v>15</v>
      </c>
      <c r="B890" s="1">
        <v>11</v>
      </c>
      <c r="C890" s="1" t="s">
        <v>4230</v>
      </c>
      <c r="D890" s="1" t="s">
        <v>903</v>
      </c>
      <c r="E890" s="2">
        <v>45971</v>
      </c>
      <c r="F890" s="1" t="s">
        <v>23</v>
      </c>
      <c r="G890" s="1" t="s">
        <v>587</v>
      </c>
      <c r="H890" s="1" t="s">
        <v>904</v>
      </c>
      <c r="I890" s="1">
        <v>1</v>
      </c>
      <c r="J890" s="3">
        <v>13762</v>
      </c>
      <c r="K890" s="3">
        <v>13132</v>
      </c>
      <c r="L890" s="1">
        <v>0</v>
      </c>
      <c r="M890" s="4">
        <v>0</v>
      </c>
      <c r="N890" s="1">
        <v>630</v>
      </c>
      <c r="O890" s="4">
        <v>4.5999999999999999E-2</v>
      </c>
      <c r="P890" s="1" t="s">
        <v>2721</v>
      </c>
    </row>
    <row r="891" spans="1:16">
      <c r="A891" s="1" t="s">
        <v>15</v>
      </c>
      <c r="B891" s="1">
        <v>11</v>
      </c>
      <c r="C891" s="1" t="s">
        <v>4228</v>
      </c>
      <c r="D891" s="1" t="s">
        <v>4231</v>
      </c>
      <c r="E891" s="2">
        <v>45971</v>
      </c>
      <c r="F891" s="1" t="s">
        <v>53</v>
      </c>
      <c r="G891" s="1" t="s">
        <v>4232</v>
      </c>
      <c r="H891" s="1" t="s">
        <v>4233</v>
      </c>
      <c r="I891" s="1">
        <v>1</v>
      </c>
      <c r="J891" s="3">
        <v>12450</v>
      </c>
      <c r="K891" s="3">
        <v>11880</v>
      </c>
      <c r="L891" s="1">
        <v>0</v>
      </c>
      <c r="M891" s="4">
        <v>0</v>
      </c>
      <c r="N891" s="1">
        <v>570</v>
      </c>
      <c r="O891" s="4">
        <v>4.5999999999999999E-2</v>
      </c>
      <c r="P891" s="1" t="s">
        <v>2721</v>
      </c>
    </row>
    <row r="892" spans="1:16">
      <c r="A892" s="1" t="s">
        <v>15</v>
      </c>
      <c r="B892" s="1">
        <v>11</v>
      </c>
      <c r="C892" s="1" t="s">
        <v>4234</v>
      </c>
      <c r="D892" s="1" t="s">
        <v>4235</v>
      </c>
      <c r="E892" s="2">
        <v>45971</v>
      </c>
      <c r="F892" s="1" t="s">
        <v>2173</v>
      </c>
      <c r="G892" s="1" t="s">
        <v>4236</v>
      </c>
      <c r="H892" s="1" t="s">
        <v>4237</v>
      </c>
      <c r="I892" s="1">
        <v>1</v>
      </c>
      <c r="J892" s="3">
        <v>35191</v>
      </c>
      <c r="K892" s="3">
        <v>33580</v>
      </c>
      <c r="L892" s="1">
        <v>0</v>
      </c>
      <c r="M892" s="4">
        <v>0</v>
      </c>
      <c r="N892" s="3">
        <v>1611</v>
      </c>
      <c r="O892" s="4">
        <v>4.5999999999999999E-2</v>
      </c>
      <c r="P892" s="1" t="s">
        <v>2721</v>
      </c>
    </row>
    <row r="893" spans="1:16">
      <c r="A893" s="1" t="s">
        <v>15</v>
      </c>
      <c r="B893" s="1">
        <v>11</v>
      </c>
      <c r="C893" s="1" t="s">
        <v>4238</v>
      </c>
      <c r="D893" s="1" t="s">
        <v>3592</v>
      </c>
      <c r="E893" s="2">
        <v>45971</v>
      </c>
      <c r="F893" s="1" t="s">
        <v>261</v>
      </c>
      <c r="G893" s="1" t="s">
        <v>3593</v>
      </c>
      <c r="H893" s="1" t="s">
        <v>3593</v>
      </c>
      <c r="I893" s="1">
        <v>1</v>
      </c>
      <c r="J893" s="3">
        <v>70776</v>
      </c>
      <c r="K893" s="3">
        <v>67536</v>
      </c>
      <c r="L893" s="1">
        <v>0</v>
      </c>
      <c r="M893" s="4">
        <v>0</v>
      </c>
      <c r="N893" s="3">
        <v>3240</v>
      </c>
      <c r="O893" s="4">
        <v>4.5999999999999999E-2</v>
      </c>
      <c r="P893" s="1" t="s">
        <v>2721</v>
      </c>
    </row>
    <row r="894" spans="1:16">
      <c r="A894" s="1" t="s">
        <v>15</v>
      </c>
      <c r="B894" s="1">
        <v>11</v>
      </c>
      <c r="C894" s="1" t="s">
        <v>4239</v>
      </c>
      <c r="D894" s="1" t="s">
        <v>217</v>
      </c>
      <c r="E894" s="2">
        <v>45971</v>
      </c>
      <c r="F894" s="1" t="s">
        <v>63</v>
      </c>
      <c r="G894" s="1" t="s">
        <v>218</v>
      </c>
      <c r="H894" s="1" t="s">
        <v>4240</v>
      </c>
      <c r="I894" s="1">
        <v>2</v>
      </c>
      <c r="J894" s="3">
        <v>16406</v>
      </c>
      <c r="K894" s="3">
        <v>15655</v>
      </c>
      <c r="L894" s="1">
        <v>0</v>
      </c>
      <c r="M894" s="4">
        <v>0</v>
      </c>
      <c r="N894" s="1">
        <v>751</v>
      </c>
      <c r="O894" s="4">
        <v>4.5999999999999999E-2</v>
      </c>
      <c r="P894" s="1" t="s">
        <v>2721</v>
      </c>
    </row>
    <row r="895" spans="1:16">
      <c r="A895" s="1" t="s">
        <v>15</v>
      </c>
      <c r="B895" s="1">
        <v>11</v>
      </c>
      <c r="C895" s="1" t="s">
        <v>4241</v>
      </c>
      <c r="D895" s="1" t="s">
        <v>4242</v>
      </c>
      <c r="E895" s="2">
        <v>45971</v>
      </c>
      <c r="F895" s="1" t="s">
        <v>846</v>
      </c>
      <c r="G895" s="1" t="s">
        <v>4243</v>
      </c>
      <c r="H895" s="1" t="s">
        <v>4244</v>
      </c>
      <c r="I895" s="1">
        <v>1</v>
      </c>
      <c r="J895" s="3">
        <v>99283</v>
      </c>
      <c r="K895" s="3">
        <v>94738</v>
      </c>
      <c r="L895" s="1">
        <v>0</v>
      </c>
      <c r="M895" s="4">
        <v>0</v>
      </c>
      <c r="N895" s="3">
        <v>4545</v>
      </c>
      <c r="O895" s="4">
        <v>4.5999999999999999E-2</v>
      </c>
      <c r="P895" s="1" t="s">
        <v>2721</v>
      </c>
    </row>
    <row r="896" spans="1:16">
      <c r="A896" s="1" t="s">
        <v>15</v>
      </c>
      <c r="B896" s="1">
        <v>11</v>
      </c>
      <c r="C896" s="1" t="s">
        <v>4245</v>
      </c>
      <c r="D896" s="1" t="s">
        <v>4246</v>
      </c>
      <c r="E896" s="2">
        <v>45971</v>
      </c>
      <c r="F896" s="1" t="s">
        <v>1513</v>
      </c>
      <c r="G896" s="1" t="s">
        <v>4247</v>
      </c>
      <c r="H896" s="1" t="s">
        <v>1918</v>
      </c>
      <c r="I896" s="1">
        <v>1</v>
      </c>
      <c r="J896" s="3">
        <v>9107</v>
      </c>
      <c r="K896" s="3">
        <v>8691</v>
      </c>
      <c r="L896" s="1">
        <v>0</v>
      </c>
      <c r="M896" s="4">
        <v>0</v>
      </c>
      <c r="N896" s="1">
        <v>416</v>
      </c>
      <c r="O896" s="4">
        <v>4.5999999999999999E-2</v>
      </c>
      <c r="P896" s="1" t="s">
        <v>2721</v>
      </c>
    </row>
    <row r="897" spans="1:16">
      <c r="A897" s="1" t="s">
        <v>15</v>
      </c>
      <c r="B897" s="1">
        <v>11</v>
      </c>
      <c r="C897" s="1" t="s">
        <v>4248</v>
      </c>
      <c r="D897" s="1" t="s">
        <v>150</v>
      </c>
      <c r="E897" s="2">
        <v>45971</v>
      </c>
      <c r="F897" s="1" t="s">
        <v>151</v>
      </c>
      <c r="G897" s="1" t="s">
        <v>152</v>
      </c>
      <c r="H897" s="1" t="s">
        <v>152</v>
      </c>
      <c r="I897" s="1">
        <v>1</v>
      </c>
      <c r="J897" s="3">
        <v>36371</v>
      </c>
      <c r="K897" s="3">
        <v>34706</v>
      </c>
      <c r="L897" s="1">
        <v>0</v>
      </c>
      <c r="M897" s="4">
        <v>0</v>
      </c>
      <c r="N897" s="3">
        <v>1665</v>
      </c>
      <c r="O897" s="4">
        <v>4.5999999999999999E-2</v>
      </c>
      <c r="P897" s="1" t="s">
        <v>2721</v>
      </c>
    </row>
    <row r="898" spans="1:16">
      <c r="A898" s="1" t="s">
        <v>15</v>
      </c>
      <c r="B898" s="1">
        <v>11</v>
      </c>
      <c r="C898" s="1" t="s">
        <v>4249</v>
      </c>
      <c r="D898" s="1" t="s">
        <v>132</v>
      </c>
      <c r="E898" s="2">
        <v>45971</v>
      </c>
      <c r="F898" s="1" t="s">
        <v>53</v>
      </c>
      <c r="G898" s="1" t="s">
        <v>133</v>
      </c>
      <c r="H898" s="1" t="s">
        <v>88</v>
      </c>
      <c r="I898" s="1">
        <v>1</v>
      </c>
      <c r="J898" s="3">
        <v>17036</v>
      </c>
      <c r="K898" s="3">
        <v>16256</v>
      </c>
      <c r="L898" s="1">
        <v>0</v>
      </c>
      <c r="M898" s="4">
        <v>0</v>
      </c>
      <c r="N898" s="1">
        <v>780</v>
      </c>
      <c r="O898" s="4">
        <v>4.5999999999999999E-2</v>
      </c>
      <c r="P898" s="1" t="s">
        <v>2721</v>
      </c>
    </row>
    <row r="899" spans="1:16">
      <c r="A899" s="1" t="s">
        <v>15</v>
      </c>
      <c r="B899" s="1">
        <v>11</v>
      </c>
      <c r="C899" s="1" t="s">
        <v>4250</v>
      </c>
      <c r="D899" s="1" t="s">
        <v>76</v>
      </c>
      <c r="E899" s="2">
        <v>45971</v>
      </c>
      <c r="F899" s="1" t="s">
        <v>77</v>
      </c>
      <c r="G899" s="1" t="s">
        <v>78</v>
      </c>
      <c r="H899" s="1" t="s">
        <v>78</v>
      </c>
      <c r="I899" s="1">
        <v>1</v>
      </c>
      <c r="J899" s="3">
        <v>11231</v>
      </c>
      <c r="K899" s="3">
        <v>10717</v>
      </c>
      <c r="L899" s="1">
        <v>0</v>
      </c>
      <c r="M899" s="4">
        <v>0</v>
      </c>
      <c r="N899" s="1">
        <v>514</v>
      </c>
      <c r="O899" s="4">
        <v>4.5999999999999999E-2</v>
      </c>
      <c r="P899" s="1" t="s">
        <v>2721</v>
      </c>
    </row>
    <row r="900" spans="1:16">
      <c r="A900" s="1" t="s">
        <v>15</v>
      </c>
      <c r="B900" s="1">
        <v>11</v>
      </c>
      <c r="C900" s="1" t="s">
        <v>4251</v>
      </c>
      <c r="D900" s="1" t="s">
        <v>72</v>
      </c>
      <c r="E900" s="2">
        <v>45971</v>
      </c>
      <c r="F900" s="1" t="s">
        <v>63</v>
      </c>
      <c r="G900" s="1" t="s">
        <v>73</v>
      </c>
      <c r="H900" s="1" t="s">
        <v>74</v>
      </c>
      <c r="I900" s="1">
        <v>1</v>
      </c>
      <c r="J900" s="3">
        <v>10456</v>
      </c>
      <c r="K900" s="3">
        <v>9978</v>
      </c>
      <c r="L900" s="1">
        <v>0</v>
      </c>
      <c r="M900" s="4">
        <v>0</v>
      </c>
      <c r="N900" s="1">
        <v>478</v>
      </c>
      <c r="O900" s="4">
        <v>4.5999999999999999E-2</v>
      </c>
      <c r="P900" s="1" t="s">
        <v>2721</v>
      </c>
    </row>
    <row r="901" spans="1:16">
      <c r="A901" s="1" t="s">
        <v>15</v>
      </c>
      <c r="B901" s="1">
        <v>11</v>
      </c>
      <c r="C901" s="1" t="s">
        <v>4252</v>
      </c>
      <c r="D901" s="1" t="s">
        <v>4253</v>
      </c>
      <c r="E901" s="2">
        <v>45971</v>
      </c>
      <c r="F901" s="1" t="s">
        <v>312</v>
      </c>
      <c r="G901" s="1" t="s">
        <v>4254</v>
      </c>
      <c r="H901" s="1" t="s">
        <v>4255</v>
      </c>
      <c r="I901" s="1">
        <v>1</v>
      </c>
      <c r="J901" s="3">
        <v>28310</v>
      </c>
      <c r="K901" s="3">
        <v>27014</v>
      </c>
      <c r="L901" s="1">
        <v>0</v>
      </c>
      <c r="M901" s="4">
        <v>0</v>
      </c>
      <c r="N901" s="3">
        <v>1296</v>
      </c>
      <c r="O901" s="4">
        <v>4.5999999999999999E-2</v>
      </c>
      <c r="P901" s="1" t="s">
        <v>2721</v>
      </c>
    </row>
    <row r="902" spans="1:16">
      <c r="A902" s="1" t="s">
        <v>15</v>
      </c>
      <c r="B902" s="1">
        <v>11</v>
      </c>
      <c r="C902" s="1" t="s">
        <v>4256</v>
      </c>
      <c r="D902" s="1" t="s">
        <v>2764</v>
      </c>
      <c r="E902" s="2">
        <v>45971</v>
      </c>
      <c r="F902" s="1" t="s">
        <v>53</v>
      </c>
      <c r="G902" s="1" t="s">
        <v>2765</v>
      </c>
      <c r="H902" s="1" t="s">
        <v>3611</v>
      </c>
      <c r="I902" s="1">
        <v>2</v>
      </c>
      <c r="J902" s="3">
        <v>35876</v>
      </c>
      <c r="K902" s="3">
        <v>34233</v>
      </c>
      <c r="L902" s="1">
        <v>0</v>
      </c>
      <c r="M902" s="4">
        <v>0</v>
      </c>
      <c r="N902" s="3">
        <v>1643</v>
      </c>
      <c r="O902" s="4">
        <v>4.5999999999999999E-2</v>
      </c>
      <c r="P902" s="1" t="s">
        <v>2721</v>
      </c>
    </row>
    <row r="903" spans="1:16">
      <c r="A903" s="1" t="s">
        <v>15</v>
      </c>
      <c r="B903" s="1">
        <v>11</v>
      </c>
      <c r="C903" s="1" t="s">
        <v>4257</v>
      </c>
      <c r="D903" s="1" t="s">
        <v>4258</v>
      </c>
      <c r="E903" s="2">
        <v>45971</v>
      </c>
      <c r="F903" s="1" t="s">
        <v>1075</v>
      </c>
      <c r="G903" s="1" t="s">
        <v>4259</v>
      </c>
      <c r="H903" s="1" t="s">
        <v>4260</v>
      </c>
      <c r="I903" s="1">
        <v>1</v>
      </c>
      <c r="J903" s="3">
        <v>11698</v>
      </c>
      <c r="K903" s="3">
        <v>11162</v>
      </c>
      <c r="L903" s="1">
        <v>0</v>
      </c>
      <c r="M903" s="4">
        <v>0</v>
      </c>
      <c r="N903" s="1">
        <v>536</v>
      </c>
      <c r="O903" s="4">
        <v>4.5999999999999999E-2</v>
      </c>
      <c r="P903" s="1" t="s">
        <v>2721</v>
      </c>
    </row>
    <row r="904" spans="1:16">
      <c r="A904" s="1" t="s">
        <v>15</v>
      </c>
      <c r="B904" s="1">
        <v>11</v>
      </c>
      <c r="C904" s="1" t="s">
        <v>4257</v>
      </c>
      <c r="D904" s="1" t="s">
        <v>4261</v>
      </c>
      <c r="E904" s="2">
        <v>45971</v>
      </c>
      <c r="F904" s="1" t="s">
        <v>1075</v>
      </c>
      <c r="G904" s="1" t="s">
        <v>4262</v>
      </c>
      <c r="H904" s="1" t="s">
        <v>4263</v>
      </c>
      <c r="I904" s="1">
        <v>1</v>
      </c>
      <c r="J904" s="3">
        <v>20665</v>
      </c>
      <c r="K904" s="3">
        <v>19719</v>
      </c>
      <c r="L904" s="1">
        <v>0</v>
      </c>
      <c r="M904" s="4">
        <v>0</v>
      </c>
      <c r="N904" s="1">
        <v>946</v>
      </c>
      <c r="O904" s="4">
        <v>4.5999999999999999E-2</v>
      </c>
      <c r="P904" s="1" t="s">
        <v>2721</v>
      </c>
    </row>
    <row r="905" spans="1:16">
      <c r="A905" s="1" t="s">
        <v>15</v>
      </c>
      <c r="B905" s="1">
        <v>11</v>
      </c>
      <c r="C905" s="1" t="s">
        <v>4264</v>
      </c>
      <c r="D905" s="1" t="s">
        <v>3653</v>
      </c>
      <c r="E905" s="2">
        <v>45971</v>
      </c>
      <c r="F905" s="1" t="s">
        <v>725</v>
      </c>
      <c r="G905" s="1" t="s">
        <v>3654</v>
      </c>
      <c r="H905" s="1" t="s">
        <v>3655</v>
      </c>
      <c r="I905" s="1">
        <v>1</v>
      </c>
      <c r="J905" s="3">
        <v>131919</v>
      </c>
      <c r="K905" s="3">
        <v>125880</v>
      </c>
      <c r="L905" s="1">
        <v>0</v>
      </c>
      <c r="M905" s="4">
        <v>0</v>
      </c>
      <c r="N905" s="3">
        <v>6039</v>
      </c>
      <c r="O905" s="4">
        <v>4.5999999999999999E-2</v>
      </c>
      <c r="P905" s="1" t="s">
        <v>2721</v>
      </c>
    </row>
    <row r="906" spans="1:16">
      <c r="A906" s="1" t="s">
        <v>15</v>
      </c>
      <c r="B906" s="1">
        <v>11</v>
      </c>
      <c r="C906" s="1" t="s">
        <v>4265</v>
      </c>
      <c r="D906" s="1" t="s">
        <v>169</v>
      </c>
      <c r="E906" s="2">
        <v>45971</v>
      </c>
      <c r="F906" s="1" t="s">
        <v>53</v>
      </c>
      <c r="G906" s="1" t="s">
        <v>170</v>
      </c>
      <c r="H906" s="1" t="s">
        <v>171</v>
      </c>
      <c r="I906" s="1">
        <v>1</v>
      </c>
      <c r="J906" s="3">
        <v>14332</v>
      </c>
      <c r="K906" s="3">
        <v>13676</v>
      </c>
      <c r="L906" s="1">
        <v>0</v>
      </c>
      <c r="M906" s="4">
        <v>0</v>
      </c>
      <c r="N906" s="1">
        <v>656</v>
      </c>
      <c r="O906" s="4">
        <v>4.5999999999999999E-2</v>
      </c>
      <c r="P906" s="1" t="s">
        <v>2721</v>
      </c>
    </row>
    <row r="907" spans="1:16">
      <c r="A907" s="1" t="s">
        <v>15</v>
      </c>
      <c r="B907" s="1">
        <v>11</v>
      </c>
      <c r="C907" s="1" t="s">
        <v>4266</v>
      </c>
      <c r="D907" s="1" t="s">
        <v>3762</v>
      </c>
      <c r="E907" s="2">
        <v>45971</v>
      </c>
      <c r="F907" s="1" t="s">
        <v>96</v>
      </c>
      <c r="G907" s="1" t="s">
        <v>596</v>
      </c>
      <c r="H907" s="1" t="s">
        <v>597</v>
      </c>
      <c r="I907" s="1">
        <v>1</v>
      </c>
      <c r="J907" s="3">
        <v>11666</v>
      </c>
      <c r="K907" s="3">
        <v>11132</v>
      </c>
      <c r="L907" s="1">
        <v>0</v>
      </c>
      <c r="M907" s="4">
        <v>0</v>
      </c>
      <c r="N907" s="1">
        <v>534</v>
      </c>
      <c r="O907" s="4">
        <v>4.5999999999999999E-2</v>
      </c>
      <c r="P907" s="1" t="s">
        <v>2721</v>
      </c>
    </row>
    <row r="908" spans="1:16">
      <c r="A908" s="1" t="s">
        <v>15</v>
      </c>
      <c r="B908" s="1">
        <v>11</v>
      </c>
      <c r="C908" s="1" t="s">
        <v>4267</v>
      </c>
      <c r="D908" s="1" t="s">
        <v>238</v>
      </c>
      <c r="E908" s="2">
        <v>45971</v>
      </c>
      <c r="F908" s="1" t="s">
        <v>239</v>
      </c>
      <c r="G908" s="1" t="s">
        <v>240</v>
      </c>
      <c r="H908" s="1" t="s">
        <v>241</v>
      </c>
      <c r="I908" s="1">
        <v>1</v>
      </c>
      <c r="J908" s="3">
        <v>11305</v>
      </c>
      <c r="K908" s="3">
        <v>10787</v>
      </c>
      <c r="L908" s="1">
        <v>0</v>
      </c>
      <c r="M908" s="4">
        <v>0</v>
      </c>
      <c r="N908" s="1">
        <v>518</v>
      </c>
      <c r="O908" s="4">
        <v>4.5999999999999999E-2</v>
      </c>
      <c r="P908" s="1" t="s">
        <v>2721</v>
      </c>
    </row>
    <row r="909" spans="1:16">
      <c r="A909" s="1" t="s">
        <v>15</v>
      </c>
      <c r="B909" s="1">
        <v>11</v>
      </c>
      <c r="C909" s="1" t="s">
        <v>4268</v>
      </c>
      <c r="D909" s="1" t="s">
        <v>4269</v>
      </c>
      <c r="E909" s="2">
        <v>45971</v>
      </c>
      <c r="F909" s="1" t="s">
        <v>261</v>
      </c>
      <c r="G909" s="1" t="s">
        <v>4270</v>
      </c>
      <c r="H909" s="1" t="s">
        <v>4270</v>
      </c>
      <c r="I909" s="1">
        <v>1</v>
      </c>
      <c r="J909" s="3">
        <v>34405</v>
      </c>
      <c r="K909" s="3">
        <v>32830</v>
      </c>
      <c r="L909" s="1">
        <v>0</v>
      </c>
      <c r="M909" s="4">
        <v>0</v>
      </c>
      <c r="N909" s="3">
        <v>1575</v>
      </c>
      <c r="O909" s="4">
        <v>4.5999999999999999E-2</v>
      </c>
      <c r="P909" s="1" t="s">
        <v>2721</v>
      </c>
    </row>
    <row r="910" spans="1:16">
      <c r="A910" s="1" t="s">
        <v>15</v>
      </c>
      <c r="B910" s="1">
        <v>11</v>
      </c>
      <c r="C910" s="1" t="s">
        <v>4271</v>
      </c>
      <c r="D910" s="1" t="s">
        <v>125</v>
      </c>
      <c r="E910" s="2">
        <v>45971</v>
      </c>
      <c r="F910" s="1" t="s">
        <v>126</v>
      </c>
      <c r="G910" s="1" t="s">
        <v>127</v>
      </c>
      <c r="H910" s="1" t="s">
        <v>1658</v>
      </c>
      <c r="I910" s="1">
        <v>1</v>
      </c>
      <c r="J910" s="3">
        <v>19758</v>
      </c>
      <c r="K910" s="3">
        <v>18854</v>
      </c>
      <c r="L910" s="1">
        <v>0</v>
      </c>
      <c r="M910" s="4">
        <v>0</v>
      </c>
      <c r="N910" s="1">
        <v>904</v>
      </c>
      <c r="O910" s="4">
        <v>4.5999999999999999E-2</v>
      </c>
      <c r="P910" s="1" t="s">
        <v>2721</v>
      </c>
    </row>
    <row r="911" spans="1:16">
      <c r="A911" s="1" t="s">
        <v>15</v>
      </c>
      <c r="B911" s="1">
        <v>11</v>
      </c>
      <c r="C911" s="1" t="s">
        <v>4272</v>
      </c>
      <c r="D911" s="1" t="s">
        <v>238</v>
      </c>
      <c r="E911" s="2">
        <v>45971</v>
      </c>
      <c r="F911" s="1" t="s">
        <v>239</v>
      </c>
      <c r="G911" s="1" t="s">
        <v>240</v>
      </c>
      <c r="H911" s="1" t="s">
        <v>241</v>
      </c>
      <c r="I911" s="1">
        <v>1</v>
      </c>
      <c r="J911" s="3">
        <v>11305</v>
      </c>
      <c r="K911" s="3">
        <v>10787</v>
      </c>
      <c r="L911" s="1">
        <v>0</v>
      </c>
      <c r="M911" s="4">
        <v>0</v>
      </c>
      <c r="N911" s="1">
        <v>518</v>
      </c>
      <c r="O911" s="4">
        <v>4.5999999999999999E-2</v>
      </c>
      <c r="P911" s="1" t="s">
        <v>2721</v>
      </c>
    </row>
    <row r="912" spans="1:16">
      <c r="A912" s="1" t="s">
        <v>577</v>
      </c>
      <c r="B912" s="1">
        <v>11</v>
      </c>
      <c r="C912" s="1" t="s">
        <v>4273</v>
      </c>
      <c r="D912" s="1" t="s">
        <v>4274</v>
      </c>
      <c r="E912" s="2">
        <v>45971</v>
      </c>
      <c r="F912" s="1" t="s">
        <v>2173</v>
      </c>
      <c r="G912" s="1" t="s">
        <v>4275</v>
      </c>
      <c r="H912" s="1" t="s">
        <v>4276</v>
      </c>
      <c r="I912" s="1">
        <v>2</v>
      </c>
      <c r="J912" s="3">
        <v>45808</v>
      </c>
      <c r="K912" s="3">
        <v>43711</v>
      </c>
      <c r="L912" s="1">
        <v>0</v>
      </c>
      <c r="M912" s="4">
        <v>0</v>
      </c>
      <c r="N912" s="3">
        <v>2097</v>
      </c>
      <c r="O912" s="4">
        <v>4.5999999999999999E-2</v>
      </c>
      <c r="P912" s="1" t="s">
        <v>2721</v>
      </c>
    </row>
    <row r="913" spans="1:16">
      <c r="A913" s="1" t="s">
        <v>577</v>
      </c>
      <c r="B913" s="1">
        <v>11</v>
      </c>
      <c r="C913" s="1" t="s">
        <v>4277</v>
      </c>
      <c r="D913" s="1" t="s">
        <v>592</v>
      </c>
      <c r="E913" s="2">
        <v>45971</v>
      </c>
      <c r="F913" s="1" t="s">
        <v>33</v>
      </c>
      <c r="G913" s="1" t="s">
        <v>34</v>
      </c>
      <c r="H913" s="1" t="s">
        <v>4278</v>
      </c>
      <c r="I913" s="1">
        <v>1</v>
      </c>
      <c r="J913" s="3">
        <v>108786</v>
      </c>
      <c r="K913" s="3">
        <v>103806</v>
      </c>
      <c r="L913" s="1">
        <v>0</v>
      </c>
      <c r="M913" s="4">
        <v>0</v>
      </c>
      <c r="N913" s="3">
        <v>4980</v>
      </c>
      <c r="O913" s="4">
        <v>4.5999999999999999E-2</v>
      </c>
      <c r="P913" s="1" t="s">
        <v>2721</v>
      </c>
    </row>
    <row r="914" spans="1:16">
      <c r="A914" s="1" t="s">
        <v>577</v>
      </c>
      <c r="B914" s="1">
        <v>11</v>
      </c>
      <c r="C914" s="1" t="s">
        <v>4279</v>
      </c>
      <c r="D914" s="1" t="s">
        <v>1741</v>
      </c>
      <c r="E914" s="2">
        <v>45971</v>
      </c>
      <c r="F914" s="1" t="s">
        <v>500</v>
      </c>
      <c r="G914" s="1" t="s">
        <v>900</v>
      </c>
      <c r="H914" s="1" t="s">
        <v>901</v>
      </c>
      <c r="I914" s="1">
        <v>1</v>
      </c>
      <c r="J914" s="3">
        <v>105846</v>
      </c>
      <c r="K914" s="3">
        <v>101000</v>
      </c>
      <c r="L914" s="1">
        <v>0</v>
      </c>
      <c r="M914" s="4">
        <v>0</v>
      </c>
      <c r="N914" s="3">
        <v>4846</v>
      </c>
      <c r="O914" s="4">
        <v>4.5999999999999999E-2</v>
      </c>
      <c r="P914" s="1" t="s">
        <v>2721</v>
      </c>
    </row>
    <row r="915" spans="1:16">
      <c r="A915" s="1" t="s">
        <v>577</v>
      </c>
      <c r="B915" s="1">
        <v>11</v>
      </c>
      <c r="C915" s="1" t="s">
        <v>4280</v>
      </c>
      <c r="D915" s="1" t="s">
        <v>4281</v>
      </c>
      <c r="E915" s="2">
        <v>45971</v>
      </c>
      <c r="F915" s="1" t="s">
        <v>1665</v>
      </c>
      <c r="G915" s="1" t="s">
        <v>4282</v>
      </c>
      <c r="H915" s="1" t="s">
        <v>4283</v>
      </c>
      <c r="I915" s="1">
        <v>1</v>
      </c>
      <c r="J915" s="3">
        <v>31102</v>
      </c>
      <c r="K915" s="3">
        <v>29678</v>
      </c>
      <c r="L915" s="1">
        <v>0</v>
      </c>
      <c r="M915" s="4">
        <v>0</v>
      </c>
      <c r="N915" s="3">
        <v>1424</v>
      </c>
      <c r="O915" s="4">
        <v>4.5999999999999999E-2</v>
      </c>
      <c r="P915" s="1" t="s">
        <v>2721</v>
      </c>
    </row>
    <row r="916" spans="1:16">
      <c r="A916" s="1" t="s">
        <v>577</v>
      </c>
      <c r="B916" s="1">
        <v>11</v>
      </c>
      <c r="C916" s="1" t="s">
        <v>4284</v>
      </c>
      <c r="D916" s="1" t="s">
        <v>1812</v>
      </c>
      <c r="E916" s="2">
        <v>45971</v>
      </c>
      <c r="F916" s="1" t="s">
        <v>256</v>
      </c>
      <c r="G916" s="1" t="s">
        <v>1376</v>
      </c>
      <c r="H916" s="1" t="s">
        <v>1377</v>
      </c>
      <c r="I916" s="1">
        <v>1</v>
      </c>
      <c r="J916" s="3">
        <v>8208</v>
      </c>
      <c r="K916" s="3">
        <v>7832</v>
      </c>
      <c r="L916" s="1">
        <v>0</v>
      </c>
      <c r="M916" s="4">
        <v>0</v>
      </c>
      <c r="N916" s="1">
        <v>376</v>
      </c>
      <c r="O916" s="4">
        <v>4.5999999999999999E-2</v>
      </c>
      <c r="P916" s="1" t="s">
        <v>2721</v>
      </c>
    </row>
    <row r="917" spans="1:16">
      <c r="A917" s="1" t="s">
        <v>577</v>
      </c>
      <c r="B917" s="1">
        <v>11</v>
      </c>
      <c r="C917" s="1" t="s">
        <v>4285</v>
      </c>
      <c r="D917" s="1" t="s">
        <v>4286</v>
      </c>
      <c r="E917" s="2">
        <v>45971</v>
      </c>
      <c r="F917" s="1" t="s">
        <v>839</v>
      </c>
      <c r="G917" s="1" t="s">
        <v>4287</v>
      </c>
      <c r="H917" s="1" t="s">
        <v>4288</v>
      </c>
      <c r="I917" s="1">
        <v>1</v>
      </c>
      <c r="J917" s="3">
        <v>16908</v>
      </c>
      <c r="K917" s="3">
        <v>16134</v>
      </c>
      <c r="L917" s="1">
        <v>0</v>
      </c>
      <c r="M917" s="4">
        <v>0</v>
      </c>
      <c r="N917" s="1">
        <v>774</v>
      </c>
      <c r="O917" s="4">
        <v>4.5999999999999999E-2</v>
      </c>
      <c r="P917" s="1" t="s">
        <v>2721</v>
      </c>
    </row>
    <row r="918" spans="1:16">
      <c r="A918" s="1" t="s">
        <v>577</v>
      </c>
      <c r="B918" s="1">
        <v>11</v>
      </c>
      <c r="C918" s="1" t="s">
        <v>4289</v>
      </c>
      <c r="D918" s="1" t="s">
        <v>4290</v>
      </c>
      <c r="E918" s="2">
        <v>45971</v>
      </c>
      <c r="F918" s="1" t="s">
        <v>235</v>
      </c>
      <c r="G918" s="1" t="s">
        <v>3382</v>
      </c>
      <c r="H918" s="1" t="s">
        <v>3382</v>
      </c>
      <c r="I918" s="1">
        <v>1</v>
      </c>
      <c r="J918" s="3">
        <v>22363</v>
      </c>
      <c r="K918" s="3">
        <v>21340</v>
      </c>
      <c r="L918" s="1">
        <v>0</v>
      </c>
      <c r="M918" s="4">
        <v>0</v>
      </c>
      <c r="N918" s="3">
        <v>1023</v>
      </c>
      <c r="O918" s="4">
        <v>4.5999999999999999E-2</v>
      </c>
      <c r="P918" s="1" t="s">
        <v>2721</v>
      </c>
    </row>
    <row r="919" spans="1:16">
      <c r="A919" s="1" t="s">
        <v>577</v>
      </c>
      <c r="B919" s="1">
        <v>11</v>
      </c>
      <c r="C919" s="1" t="s">
        <v>4291</v>
      </c>
      <c r="D919" s="1" t="s">
        <v>4292</v>
      </c>
      <c r="E919" s="2">
        <v>45971</v>
      </c>
      <c r="F919" s="1" t="s">
        <v>18</v>
      </c>
      <c r="G919" s="1" t="s">
        <v>4293</v>
      </c>
      <c r="H919" s="1" t="s">
        <v>4294</v>
      </c>
      <c r="I919" s="1">
        <v>5</v>
      </c>
      <c r="J919" s="3">
        <v>29490</v>
      </c>
      <c r="K919" s="3">
        <v>28140</v>
      </c>
      <c r="L919" s="1">
        <v>0</v>
      </c>
      <c r="M919" s="4">
        <v>0</v>
      </c>
      <c r="N919" s="3">
        <v>1350</v>
      </c>
      <c r="O919" s="4">
        <v>4.5999999999999999E-2</v>
      </c>
      <c r="P919" s="1" t="s">
        <v>2721</v>
      </c>
    </row>
    <row r="920" spans="1:16">
      <c r="A920" s="1" t="s">
        <v>577</v>
      </c>
      <c r="B920" s="1">
        <v>11</v>
      </c>
      <c r="C920" s="1" t="s">
        <v>4295</v>
      </c>
      <c r="D920" s="1" t="s">
        <v>4296</v>
      </c>
      <c r="E920" s="2">
        <v>45971</v>
      </c>
      <c r="F920" s="1" t="s">
        <v>1241</v>
      </c>
      <c r="G920" s="1" t="s">
        <v>3837</v>
      </c>
      <c r="H920" s="1" t="s">
        <v>3838</v>
      </c>
      <c r="I920" s="1">
        <v>1</v>
      </c>
      <c r="J920" s="3">
        <v>25067</v>
      </c>
      <c r="K920" s="3">
        <v>23919</v>
      </c>
      <c r="L920" s="1">
        <v>0</v>
      </c>
      <c r="M920" s="4">
        <v>0</v>
      </c>
      <c r="N920" s="3">
        <v>1148</v>
      </c>
      <c r="O920" s="4">
        <v>4.5999999999999999E-2</v>
      </c>
      <c r="P920" s="1" t="s">
        <v>2721</v>
      </c>
    </row>
    <row r="921" spans="1:16">
      <c r="A921" s="1" t="s">
        <v>577</v>
      </c>
      <c r="B921" s="1">
        <v>11</v>
      </c>
      <c r="C921" s="1" t="s">
        <v>4297</v>
      </c>
      <c r="D921" s="1" t="s">
        <v>4298</v>
      </c>
      <c r="E921" s="2">
        <v>45971</v>
      </c>
      <c r="F921" s="1" t="s">
        <v>235</v>
      </c>
      <c r="G921" s="1" t="s">
        <v>236</v>
      </c>
      <c r="H921" s="1" t="s">
        <v>236</v>
      </c>
      <c r="I921" s="1">
        <v>1</v>
      </c>
      <c r="J921" s="3">
        <v>10605</v>
      </c>
      <c r="K921" s="3">
        <v>10119</v>
      </c>
      <c r="L921" s="1">
        <v>0</v>
      </c>
      <c r="M921" s="4">
        <v>0</v>
      </c>
      <c r="N921" s="1">
        <v>486</v>
      </c>
      <c r="O921" s="4">
        <v>4.5999999999999999E-2</v>
      </c>
      <c r="P921" s="1" t="s">
        <v>2721</v>
      </c>
    </row>
    <row r="922" spans="1:16">
      <c r="A922" s="1" t="s">
        <v>577</v>
      </c>
      <c r="B922" s="1">
        <v>11</v>
      </c>
      <c r="C922" s="1" t="s">
        <v>4299</v>
      </c>
      <c r="D922" s="1" t="s">
        <v>579</v>
      </c>
      <c r="E922" s="2">
        <v>45971</v>
      </c>
      <c r="F922" s="1" t="s">
        <v>63</v>
      </c>
      <c r="G922" s="1" t="s">
        <v>117</v>
      </c>
      <c r="H922" s="1" t="s">
        <v>118</v>
      </c>
      <c r="I922" s="1">
        <v>1</v>
      </c>
      <c r="J922" s="3">
        <v>18627</v>
      </c>
      <c r="K922" s="3">
        <v>17774</v>
      </c>
      <c r="L922" s="1">
        <v>0</v>
      </c>
      <c r="M922" s="4">
        <v>0</v>
      </c>
      <c r="N922" s="1">
        <v>853</v>
      </c>
      <c r="O922" s="4">
        <v>4.5999999999999999E-2</v>
      </c>
      <c r="P922" s="1" t="s">
        <v>2721</v>
      </c>
    </row>
    <row r="923" spans="1:16">
      <c r="A923" s="1" t="s">
        <v>577</v>
      </c>
      <c r="B923" s="1">
        <v>11</v>
      </c>
      <c r="C923" s="1" t="s">
        <v>4299</v>
      </c>
      <c r="D923" s="1" t="s">
        <v>4300</v>
      </c>
      <c r="E923" s="2">
        <v>45971</v>
      </c>
      <c r="F923" s="1" t="s">
        <v>63</v>
      </c>
      <c r="G923" s="1" t="s">
        <v>3755</v>
      </c>
      <c r="H923" s="1" t="s">
        <v>3756</v>
      </c>
      <c r="I923" s="1">
        <v>2</v>
      </c>
      <c r="J923" s="3">
        <v>10276</v>
      </c>
      <c r="K923" s="3">
        <v>9806</v>
      </c>
      <c r="L923" s="1">
        <v>0</v>
      </c>
      <c r="M923" s="4">
        <v>0</v>
      </c>
      <c r="N923" s="1">
        <v>470</v>
      </c>
      <c r="O923" s="4">
        <v>4.5999999999999999E-2</v>
      </c>
      <c r="P923" s="1" t="s">
        <v>2721</v>
      </c>
    </row>
    <row r="924" spans="1:16">
      <c r="A924" s="1" t="s">
        <v>577</v>
      </c>
      <c r="B924" s="1">
        <v>11</v>
      </c>
      <c r="C924" s="1" t="s">
        <v>4301</v>
      </c>
      <c r="D924" s="1" t="s">
        <v>1741</v>
      </c>
      <c r="E924" s="2">
        <v>45971</v>
      </c>
      <c r="F924" s="1" t="s">
        <v>500</v>
      </c>
      <c r="G924" s="1" t="s">
        <v>900</v>
      </c>
      <c r="H924" s="1" t="s">
        <v>1678</v>
      </c>
      <c r="I924" s="1">
        <v>1</v>
      </c>
      <c r="J924" s="3">
        <v>102702</v>
      </c>
      <c r="K924" s="3">
        <v>98000</v>
      </c>
      <c r="L924" s="1">
        <v>0</v>
      </c>
      <c r="M924" s="4">
        <v>0</v>
      </c>
      <c r="N924" s="3">
        <v>4702</v>
      </c>
      <c r="O924" s="4">
        <v>4.5999999999999999E-2</v>
      </c>
      <c r="P924" s="1" t="s">
        <v>2721</v>
      </c>
    </row>
    <row r="925" spans="1:16">
      <c r="A925" s="1" t="s">
        <v>577</v>
      </c>
      <c r="B925" s="1">
        <v>11</v>
      </c>
      <c r="C925" s="1" t="s">
        <v>4302</v>
      </c>
      <c r="D925" s="1" t="s">
        <v>4303</v>
      </c>
      <c r="E925" s="2">
        <v>45971</v>
      </c>
      <c r="F925" s="1" t="s">
        <v>96</v>
      </c>
      <c r="G925" s="1" t="s">
        <v>1126</v>
      </c>
      <c r="H925" s="1" t="s">
        <v>1127</v>
      </c>
      <c r="I925" s="1">
        <v>1</v>
      </c>
      <c r="J925" s="3">
        <v>9858</v>
      </c>
      <c r="K925" s="3">
        <v>9406</v>
      </c>
      <c r="L925" s="1">
        <v>0</v>
      </c>
      <c r="M925" s="4">
        <v>0</v>
      </c>
      <c r="N925" s="1">
        <v>452</v>
      </c>
      <c r="O925" s="4">
        <v>4.5999999999999999E-2</v>
      </c>
      <c r="P925" s="1" t="s">
        <v>2721</v>
      </c>
    </row>
    <row r="926" spans="1:16">
      <c r="A926" s="1" t="s">
        <v>577</v>
      </c>
      <c r="B926" s="1">
        <v>11</v>
      </c>
      <c r="C926" s="1" t="s">
        <v>4304</v>
      </c>
      <c r="D926" s="1" t="s">
        <v>4305</v>
      </c>
      <c r="E926" s="2">
        <v>45971</v>
      </c>
      <c r="F926" s="1" t="s">
        <v>426</v>
      </c>
      <c r="G926" s="1" t="s">
        <v>427</v>
      </c>
      <c r="H926" s="1" t="s">
        <v>1568</v>
      </c>
      <c r="I926" s="1">
        <v>1</v>
      </c>
      <c r="J926" s="3">
        <v>24575</v>
      </c>
      <c r="K926" s="3">
        <v>23450</v>
      </c>
      <c r="L926" s="1">
        <v>0</v>
      </c>
      <c r="M926" s="4">
        <v>0</v>
      </c>
      <c r="N926" s="3">
        <v>1125</v>
      </c>
      <c r="O926" s="4">
        <v>4.5999999999999999E-2</v>
      </c>
      <c r="P926" s="1" t="s">
        <v>2721</v>
      </c>
    </row>
    <row r="927" spans="1:16">
      <c r="A927" s="1" t="s">
        <v>577</v>
      </c>
      <c r="B927" s="1">
        <v>11</v>
      </c>
      <c r="C927" s="1" t="s">
        <v>4306</v>
      </c>
      <c r="D927" s="1" t="s">
        <v>1731</v>
      </c>
      <c r="E927" s="2">
        <v>45971</v>
      </c>
      <c r="F927" s="1" t="s">
        <v>500</v>
      </c>
      <c r="G927" s="1" t="s">
        <v>1080</v>
      </c>
      <c r="H927" s="1" t="s">
        <v>1081</v>
      </c>
      <c r="I927" s="1">
        <v>1</v>
      </c>
      <c r="J927" s="3">
        <v>113182</v>
      </c>
      <c r="K927" s="3">
        <v>108000</v>
      </c>
      <c r="L927" s="1">
        <v>0</v>
      </c>
      <c r="M927" s="4">
        <v>0</v>
      </c>
      <c r="N927" s="3">
        <v>5182</v>
      </c>
      <c r="O927" s="4">
        <v>4.5999999999999999E-2</v>
      </c>
      <c r="P927" s="1" t="s">
        <v>2721</v>
      </c>
    </row>
    <row r="928" spans="1:16">
      <c r="A928" s="1" t="s">
        <v>577</v>
      </c>
      <c r="B928" s="1">
        <v>11</v>
      </c>
      <c r="C928" s="1" t="s">
        <v>4307</v>
      </c>
      <c r="D928" s="1" t="s">
        <v>4308</v>
      </c>
      <c r="E928" s="2">
        <v>45971</v>
      </c>
      <c r="F928" s="1" t="s">
        <v>4309</v>
      </c>
      <c r="G928" s="1" t="s">
        <v>4310</v>
      </c>
      <c r="H928" s="1" t="s">
        <v>4311</v>
      </c>
      <c r="I928" s="1">
        <v>1</v>
      </c>
      <c r="J928" s="3">
        <v>31259</v>
      </c>
      <c r="K928" s="3">
        <v>29828</v>
      </c>
      <c r="L928" s="1">
        <v>0</v>
      </c>
      <c r="M928" s="4">
        <v>0</v>
      </c>
      <c r="N928" s="3">
        <v>1431</v>
      </c>
      <c r="O928" s="4">
        <v>4.5999999999999999E-2</v>
      </c>
      <c r="P928" s="1" t="s">
        <v>2721</v>
      </c>
    </row>
    <row r="929" spans="1:16">
      <c r="A929" s="1" t="s">
        <v>577</v>
      </c>
      <c r="B929" s="1">
        <v>11</v>
      </c>
      <c r="C929" s="1" t="s">
        <v>4312</v>
      </c>
      <c r="D929" s="1" t="s">
        <v>4313</v>
      </c>
      <c r="E929" s="2">
        <v>45971</v>
      </c>
      <c r="F929" s="1" t="s">
        <v>534</v>
      </c>
      <c r="G929" s="1" t="s">
        <v>535</v>
      </c>
      <c r="H929" s="1" t="s">
        <v>536</v>
      </c>
      <c r="I929" s="1">
        <v>1</v>
      </c>
      <c r="J929" s="3">
        <v>19552</v>
      </c>
      <c r="K929" s="3">
        <v>18657</v>
      </c>
      <c r="L929" s="1">
        <v>0</v>
      </c>
      <c r="M929" s="4">
        <v>0</v>
      </c>
      <c r="N929" s="1">
        <v>895</v>
      </c>
      <c r="O929" s="4">
        <v>4.5999999999999999E-2</v>
      </c>
      <c r="P929" s="1" t="s">
        <v>2721</v>
      </c>
    </row>
    <row r="930" spans="1:16">
      <c r="A930" s="1" t="s">
        <v>577</v>
      </c>
      <c r="B930" s="1">
        <v>11</v>
      </c>
      <c r="C930" s="1" t="s">
        <v>4314</v>
      </c>
      <c r="D930" s="1" t="s">
        <v>4315</v>
      </c>
      <c r="E930" s="2">
        <v>45971</v>
      </c>
      <c r="F930" s="1" t="s">
        <v>1562</v>
      </c>
      <c r="G930" s="1" t="s">
        <v>3198</v>
      </c>
      <c r="H930" s="1" t="s">
        <v>4316</v>
      </c>
      <c r="I930" s="1">
        <v>1</v>
      </c>
      <c r="J930" s="3">
        <v>373540</v>
      </c>
      <c r="K930" s="3">
        <v>356440</v>
      </c>
      <c r="L930" s="1">
        <v>0</v>
      </c>
      <c r="M930" s="4">
        <v>0</v>
      </c>
      <c r="N930" s="3">
        <v>17100</v>
      </c>
      <c r="O930" s="4">
        <v>4.5999999999999999E-2</v>
      </c>
      <c r="P930" s="1" t="s">
        <v>2721</v>
      </c>
    </row>
    <row r="931" spans="1:16">
      <c r="A931" s="1" t="s">
        <v>577</v>
      </c>
      <c r="B931" s="1">
        <v>11</v>
      </c>
      <c r="C931" s="1" t="s">
        <v>4317</v>
      </c>
      <c r="D931" s="1" t="s">
        <v>1797</v>
      </c>
      <c r="E931" s="2">
        <v>45971</v>
      </c>
      <c r="F931" s="1" t="s">
        <v>1798</v>
      </c>
      <c r="G931" s="1" t="s">
        <v>1799</v>
      </c>
      <c r="H931" s="1" t="s">
        <v>1800</v>
      </c>
      <c r="I931" s="1">
        <v>2</v>
      </c>
      <c r="J931" s="3">
        <v>41483</v>
      </c>
      <c r="K931" s="3">
        <v>39584</v>
      </c>
      <c r="L931" s="1">
        <v>0</v>
      </c>
      <c r="M931" s="4">
        <v>0</v>
      </c>
      <c r="N931" s="3">
        <v>1899</v>
      </c>
      <c r="O931" s="4">
        <v>4.5999999999999999E-2</v>
      </c>
      <c r="P931" s="1" t="s">
        <v>2721</v>
      </c>
    </row>
    <row r="932" spans="1:16">
      <c r="A932" s="1" t="s">
        <v>577</v>
      </c>
      <c r="B932" s="1">
        <v>11</v>
      </c>
      <c r="C932" s="1" t="s">
        <v>4318</v>
      </c>
      <c r="D932" s="1" t="s">
        <v>4319</v>
      </c>
      <c r="E932" s="2">
        <v>45971</v>
      </c>
      <c r="F932" s="1" t="s">
        <v>53</v>
      </c>
      <c r="G932" s="1" t="s">
        <v>133</v>
      </c>
      <c r="H932" s="1" t="s">
        <v>88</v>
      </c>
      <c r="I932" s="1">
        <v>1</v>
      </c>
      <c r="J932" s="3">
        <v>17036</v>
      </c>
      <c r="K932" s="3">
        <v>16256</v>
      </c>
      <c r="L932" s="1">
        <v>0</v>
      </c>
      <c r="M932" s="4">
        <v>0</v>
      </c>
      <c r="N932" s="1">
        <v>780</v>
      </c>
      <c r="O932" s="4">
        <v>4.5999999999999999E-2</v>
      </c>
      <c r="P932" s="1" t="s">
        <v>2721</v>
      </c>
    </row>
    <row r="933" spans="1:16">
      <c r="A933" s="1" t="s">
        <v>577</v>
      </c>
      <c r="B933" s="1">
        <v>11</v>
      </c>
      <c r="C933" s="1" t="s">
        <v>4320</v>
      </c>
      <c r="D933" s="1" t="s">
        <v>4321</v>
      </c>
      <c r="E933" s="2">
        <v>45971</v>
      </c>
      <c r="F933" s="1" t="s">
        <v>641</v>
      </c>
      <c r="G933" s="1" t="s">
        <v>4322</v>
      </c>
      <c r="H933" s="1" t="s">
        <v>4323</v>
      </c>
      <c r="I933" s="1">
        <v>1</v>
      </c>
      <c r="J933" s="3">
        <v>67827</v>
      </c>
      <c r="K933" s="3">
        <v>64722</v>
      </c>
      <c r="L933" s="1">
        <v>0</v>
      </c>
      <c r="M933" s="4">
        <v>0</v>
      </c>
      <c r="N933" s="3">
        <v>3105</v>
      </c>
      <c r="O933" s="4">
        <v>4.5999999999999999E-2</v>
      </c>
      <c r="P933" s="1" t="s">
        <v>2721</v>
      </c>
    </row>
    <row r="934" spans="1:16">
      <c r="A934" s="1" t="s">
        <v>577</v>
      </c>
      <c r="B934" s="1">
        <v>11</v>
      </c>
      <c r="C934" s="1" t="s">
        <v>4324</v>
      </c>
      <c r="D934" s="1" t="s">
        <v>1779</v>
      </c>
      <c r="E934" s="2">
        <v>45971</v>
      </c>
      <c r="F934" s="1" t="s">
        <v>63</v>
      </c>
      <c r="G934" s="1" t="s">
        <v>113</v>
      </c>
      <c r="H934" s="1" t="s">
        <v>74</v>
      </c>
      <c r="I934" s="1">
        <v>1</v>
      </c>
      <c r="J934" s="3">
        <v>10456</v>
      </c>
      <c r="K934" s="3">
        <v>9978</v>
      </c>
      <c r="L934" s="1">
        <v>0</v>
      </c>
      <c r="M934" s="4">
        <v>0</v>
      </c>
      <c r="N934" s="1">
        <v>478</v>
      </c>
      <c r="O934" s="4">
        <v>4.5999999999999999E-2</v>
      </c>
      <c r="P934" s="1" t="s">
        <v>2721</v>
      </c>
    </row>
    <row r="935" spans="1:16">
      <c r="A935" s="1" t="s">
        <v>577</v>
      </c>
      <c r="B935" s="1">
        <v>11</v>
      </c>
      <c r="C935" s="1" t="s">
        <v>4325</v>
      </c>
      <c r="D935" s="1" t="s">
        <v>4326</v>
      </c>
      <c r="E935" s="2">
        <v>45971</v>
      </c>
      <c r="F935" s="1" t="s">
        <v>235</v>
      </c>
      <c r="G935" s="1" t="s">
        <v>4327</v>
      </c>
      <c r="H935" s="1" t="s">
        <v>4328</v>
      </c>
      <c r="I935" s="1">
        <v>1</v>
      </c>
      <c r="J935" s="3">
        <v>12681</v>
      </c>
      <c r="K935" s="3">
        <v>12100</v>
      </c>
      <c r="L935" s="1">
        <v>0</v>
      </c>
      <c r="M935" s="4">
        <v>0</v>
      </c>
      <c r="N935" s="1">
        <v>581</v>
      </c>
      <c r="O935" s="4">
        <v>4.5999999999999999E-2</v>
      </c>
      <c r="P935" s="1" t="s">
        <v>2721</v>
      </c>
    </row>
    <row r="936" spans="1:16">
      <c r="A936" s="1" t="s">
        <v>577</v>
      </c>
      <c r="B936" s="1">
        <v>11</v>
      </c>
      <c r="C936" s="1" t="s">
        <v>4329</v>
      </c>
      <c r="D936" s="1" t="s">
        <v>4330</v>
      </c>
      <c r="E936" s="2">
        <v>45971</v>
      </c>
      <c r="F936" s="1" t="s">
        <v>48</v>
      </c>
      <c r="G936" s="1" t="s">
        <v>990</v>
      </c>
      <c r="H936" s="1" t="s">
        <v>991</v>
      </c>
      <c r="I936" s="1">
        <v>1</v>
      </c>
      <c r="J936" s="3">
        <v>13113</v>
      </c>
      <c r="K936" s="3">
        <v>12513</v>
      </c>
      <c r="L936" s="1">
        <v>0</v>
      </c>
      <c r="M936" s="4">
        <v>0</v>
      </c>
      <c r="N936" s="1">
        <v>600</v>
      </c>
      <c r="O936" s="4">
        <v>4.5999999999999999E-2</v>
      </c>
      <c r="P936" s="1" t="s">
        <v>2721</v>
      </c>
    </row>
    <row r="937" spans="1:16">
      <c r="A937" s="1" t="s">
        <v>577</v>
      </c>
      <c r="B937" s="1">
        <v>11</v>
      </c>
      <c r="C937" s="1" t="s">
        <v>4331</v>
      </c>
      <c r="D937" s="1" t="s">
        <v>1731</v>
      </c>
      <c r="E937" s="2">
        <v>45971</v>
      </c>
      <c r="F937" s="1" t="s">
        <v>500</v>
      </c>
      <c r="G937" s="1" t="s">
        <v>1080</v>
      </c>
      <c r="H937" s="1" t="s">
        <v>1081</v>
      </c>
      <c r="I937" s="1">
        <v>1</v>
      </c>
      <c r="J937" s="3">
        <v>113182</v>
      </c>
      <c r="K937" s="3">
        <v>108000</v>
      </c>
      <c r="L937" s="1">
        <v>0</v>
      </c>
      <c r="M937" s="4">
        <v>0</v>
      </c>
      <c r="N937" s="3">
        <v>5182</v>
      </c>
      <c r="O937" s="4">
        <v>4.5999999999999999E-2</v>
      </c>
      <c r="P937" s="1" t="s">
        <v>2721</v>
      </c>
    </row>
    <row r="938" spans="1:16">
      <c r="A938" s="1" t="s">
        <v>577</v>
      </c>
      <c r="B938" s="1">
        <v>11</v>
      </c>
      <c r="C938" s="1" t="s">
        <v>4332</v>
      </c>
      <c r="D938" s="1" t="s">
        <v>4290</v>
      </c>
      <c r="E938" s="2">
        <v>45971</v>
      </c>
      <c r="F938" s="1" t="s">
        <v>235</v>
      </c>
      <c r="G938" s="1" t="s">
        <v>3382</v>
      </c>
      <c r="H938" s="1" t="s">
        <v>3382</v>
      </c>
      <c r="I938" s="1">
        <v>1</v>
      </c>
      <c r="J938" s="3">
        <v>22363</v>
      </c>
      <c r="K938" s="3">
        <v>21340</v>
      </c>
      <c r="L938" s="1">
        <v>0</v>
      </c>
      <c r="M938" s="4">
        <v>0</v>
      </c>
      <c r="N938" s="3">
        <v>1023</v>
      </c>
      <c r="O938" s="4">
        <v>4.5999999999999999E-2</v>
      </c>
      <c r="P938" s="1" t="s">
        <v>2721</v>
      </c>
    </row>
    <row r="939" spans="1:16">
      <c r="A939" s="1" t="s">
        <v>577</v>
      </c>
      <c r="B939" s="1">
        <v>11</v>
      </c>
      <c r="C939" s="1" t="s">
        <v>4333</v>
      </c>
      <c r="D939" s="1" t="s">
        <v>4334</v>
      </c>
      <c r="E939" s="2">
        <v>45971</v>
      </c>
      <c r="F939" s="1" t="s">
        <v>1403</v>
      </c>
      <c r="G939" s="1" t="s">
        <v>4335</v>
      </c>
      <c r="H939" s="1" t="s">
        <v>4336</v>
      </c>
      <c r="I939" s="1">
        <v>1</v>
      </c>
      <c r="J939" s="3">
        <v>14745</v>
      </c>
      <c r="K939" s="3">
        <v>14070</v>
      </c>
      <c r="L939" s="1">
        <v>0</v>
      </c>
      <c r="M939" s="4">
        <v>0</v>
      </c>
      <c r="N939" s="1">
        <v>675</v>
      </c>
      <c r="O939" s="4">
        <v>4.5999999999999999E-2</v>
      </c>
      <c r="P939" s="1" t="s">
        <v>2721</v>
      </c>
    </row>
    <row r="940" spans="1:16">
      <c r="A940" s="1" t="s">
        <v>577</v>
      </c>
      <c r="B940" s="1">
        <v>11</v>
      </c>
      <c r="C940" s="1" t="s">
        <v>4337</v>
      </c>
      <c r="D940" s="1" t="s">
        <v>4338</v>
      </c>
      <c r="E940" s="2">
        <v>45971</v>
      </c>
      <c r="F940" s="1" t="s">
        <v>96</v>
      </c>
      <c r="G940" s="1" t="s">
        <v>4339</v>
      </c>
      <c r="H940" s="1" t="s">
        <v>4340</v>
      </c>
      <c r="I940" s="1">
        <v>1</v>
      </c>
      <c r="J940" s="3">
        <v>17092</v>
      </c>
      <c r="K940" s="3">
        <v>16310</v>
      </c>
      <c r="L940" s="1">
        <v>0</v>
      </c>
      <c r="M940" s="4">
        <v>0</v>
      </c>
      <c r="N940" s="1">
        <v>782</v>
      </c>
      <c r="O940" s="4">
        <v>4.5999999999999999E-2</v>
      </c>
      <c r="P940" s="1" t="s">
        <v>2721</v>
      </c>
    </row>
    <row r="941" spans="1:16">
      <c r="A941" s="1" t="s">
        <v>577</v>
      </c>
      <c r="B941" s="1">
        <v>11</v>
      </c>
      <c r="C941" s="1" t="s">
        <v>4341</v>
      </c>
      <c r="D941" s="1" t="s">
        <v>1741</v>
      </c>
      <c r="E941" s="2">
        <v>45971</v>
      </c>
      <c r="F941" s="1" t="s">
        <v>500</v>
      </c>
      <c r="G941" s="1" t="s">
        <v>900</v>
      </c>
      <c r="H941" s="1" t="s">
        <v>1678</v>
      </c>
      <c r="I941" s="1">
        <v>1</v>
      </c>
      <c r="J941" s="3">
        <v>102702</v>
      </c>
      <c r="K941" s="3">
        <v>98000</v>
      </c>
      <c r="L941" s="1">
        <v>0</v>
      </c>
      <c r="M941" s="4">
        <v>0</v>
      </c>
      <c r="N941" s="3">
        <v>4702</v>
      </c>
      <c r="O941" s="4">
        <v>4.5999999999999999E-2</v>
      </c>
      <c r="P941" s="1" t="s">
        <v>2721</v>
      </c>
    </row>
    <row r="942" spans="1:16">
      <c r="A942" s="1" t="s">
        <v>577</v>
      </c>
      <c r="B942" s="1">
        <v>11</v>
      </c>
      <c r="C942" s="1" t="s">
        <v>4342</v>
      </c>
      <c r="D942" s="1" t="s">
        <v>1705</v>
      </c>
      <c r="E942" s="2">
        <v>45971</v>
      </c>
      <c r="F942" s="1" t="s">
        <v>96</v>
      </c>
      <c r="G942" s="1" t="s">
        <v>1706</v>
      </c>
      <c r="H942" s="1" t="s">
        <v>2348</v>
      </c>
      <c r="I942" s="1">
        <v>1</v>
      </c>
      <c r="J942" s="3">
        <v>9405</v>
      </c>
      <c r="K942" s="3">
        <v>8975</v>
      </c>
      <c r="L942" s="1">
        <v>0</v>
      </c>
      <c r="M942" s="4">
        <v>0</v>
      </c>
      <c r="N942" s="1">
        <v>430</v>
      </c>
      <c r="O942" s="4">
        <v>4.5999999999999999E-2</v>
      </c>
      <c r="P942" s="1" t="s">
        <v>2721</v>
      </c>
    </row>
    <row r="943" spans="1:16">
      <c r="A943" s="1" t="s">
        <v>577</v>
      </c>
      <c r="B943" s="1">
        <v>11</v>
      </c>
      <c r="C943" s="1" t="s">
        <v>4343</v>
      </c>
      <c r="D943" s="1" t="s">
        <v>4344</v>
      </c>
      <c r="E943" s="2">
        <v>45971</v>
      </c>
      <c r="F943" s="1" t="s">
        <v>68</v>
      </c>
      <c r="G943" s="1" t="s">
        <v>4032</v>
      </c>
      <c r="H943" s="1" t="s">
        <v>4033</v>
      </c>
      <c r="I943" s="1">
        <v>1</v>
      </c>
      <c r="J943" s="3">
        <v>15084</v>
      </c>
      <c r="K943" s="3">
        <v>14394</v>
      </c>
      <c r="L943" s="1">
        <v>0</v>
      </c>
      <c r="M943" s="4">
        <v>0</v>
      </c>
      <c r="N943" s="1">
        <v>690</v>
      </c>
      <c r="O943" s="4">
        <v>4.5999999999999999E-2</v>
      </c>
      <c r="P943" s="1" t="s">
        <v>2721</v>
      </c>
    </row>
    <row r="944" spans="1:16">
      <c r="A944" s="1" t="s">
        <v>577</v>
      </c>
      <c r="B944" s="1">
        <v>11</v>
      </c>
      <c r="C944" s="1" t="s">
        <v>4345</v>
      </c>
      <c r="D944" s="1" t="s">
        <v>4346</v>
      </c>
      <c r="E944" s="2">
        <v>45971</v>
      </c>
      <c r="F944" s="1" t="s">
        <v>500</v>
      </c>
      <c r="G944" s="1" t="s">
        <v>4347</v>
      </c>
      <c r="H944" s="1" t="s">
        <v>502</v>
      </c>
      <c r="I944" s="1">
        <v>1</v>
      </c>
      <c r="J944" s="3">
        <v>227073</v>
      </c>
      <c r="K944" s="3">
        <v>216678</v>
      </c>
      <c r="L944" s="1">
        <v>0</v>
      </c>
      <c r="M944" s="4">
        <v>0</v>
      </c>
      <c r="N944" s="3">
        <v>10395</v>
      </c>
      <c r="O944" s="4">
        <v>4.5999999999999999E-2</v>
      </c>
      <c r="P944" s="1" t="s">
        <v>2721</v>
      </c>
    </row>
    <row r="945" spans="1:16">
      <c r="A945" s="1" t="s">
        <v>577</v>
      </c>
      <c r="B945" s="1">
        <v>11</v>
      </c>
      <c r="C945" s="1" t="s">
        <v>4348</v>
      </c>
      <c r="D945" s="1" t="s">
        <v>1741</v>
      </c>
      <c r="E945" s="2">
        <v>45971</v>
      </c>
      <c r="F945" s="1" t="s">
        <v>500</v>
      </c>
      <c r="G945" s="1" t="s">
        <v>900</v>
      </c>
      <c r="H945" s="1" t="s">
        <v>901</v>
      </c>
      <c r="I945" s="1">
        <v>1</v>
      </c>
      <c r="J945" s="3">
        <v>105846</v>
      </c>
      <c r="K945" s="3">
        <v>101000</v>
      </c>
      <c r="L945" s="1">
        <v>0</v>
      </c>
      <c r="M945" s="4">
        <v>0</v>
      </c>
      <c r="N945" s="3">
        <v>4846</v>
      </c>
      <c r="O945" s="4">
        <v>4.5999999999999999E-2</v>
      </c>
      <c r="P945" s="1" t="s">
        <v>2721</v>
      </c>
    </row>
    <row r="946" spans="1:16">
      <c r="A946" s="1" t="s">
        <v>577</v>
      </c>
      <c r="B946" s="1">
        <v>11</v>
      </c>
      <c r="C946" s="1" t="s">
        <v>4349</v>
      </c>
      <c r="D946" s="1" t="s">
        <v>4350</v>
      </c>
      <c r="E946" s="2">
        <v>45971</v>
      </c>
      <c r="F946" s="1" t="s">
        <v>846</v>
      </c>
      <c r="G946" s="1" t="s">
        <v>4243</v>
      </c>
      <c r="H946" s="1" t="s">
        <v>4244</v>
      </c>
      <c r="I946" s="1">
        <v>1</v>
      </c>
      <c r="J946" s="3">
        <v>99283</v>
      </c>
      <c r="K946" s="3">
        <v>94738</v>
      </c>
      <c r="L946" s="1">
        <v>0</v>
      </c>
      <c r="M946" s="4">
        <v>0</v>
      </c>
      <c r="N946" s="3">
        <v>4545</v>
      </c>
      <c r="O946" s="4">
        <v>4.5999999999999999E-2</v>
      </c>
      <c r="P946" s="1" t="s">
        <v>2721</v>
      </c>
    </row>
    <row r="947" spans="1:16">
      <c r="A947" s="1" t="s">
        <v>577</v>
      </c>
      <c r="B947" s="1">
        <v>11</v>
      </c>
      <c r="C947" s="1" t="s">
        <v>4351</v>
      </c>
      <c r="D947" s="1" t="s">
        <v>1762</v>
      </c>
      <c r="E947" s="2">
        <v>45971</v>
      </c>
      <c r="F947" s="1" t="s">
        <v>347</v>
      </c>
      <c r="G947" s="1" t="s">
        <v>1458</v>
      </c>
      <c r="H947" s="1" t="s">
        <v>4352</v>
      </c>
      <c r="I947" s="1">
        <v>1</v>
      </c>
      <c r="J947" s="3">
        <v>18343</v>
      </c>
      <c r="K947" s="3">
        <v>17503</v>
      </c>
      <c r="L947" s="1">
        <v>0</v>
      </c>
      <c r="M947" s="4">
        <v>0</v>
      </c>
      <c r="N947" s="1">
        <v>840</v>
      </c>
      <c r="O947" s="4">
        <v>4.5999999999999999E-2</v>
      </c>
      <c r="P947" s="1" t="s">
        <v>2721</v>
      </c>
    </row>
    <row r="948" spans="1:16">
      <c r="A948" s="1" t="s">
        <v>577</v>
      </c>
      <c r="B948" s="1">
        <v>11</v>
      </c>
      <c r="C948" s="1" t="s">
        <v>4353</v>
      </c>
      <c r="D948" s="1" t="s">
        <v>4354</v>
      </c>
      <c r="E948" s="2">
        <v>45971</v>
      </c>
      <c r="F948" s="1" t="s">
        <v>400</v>
      </c>
      <c r="G948" s="1" t="s">
        <v>4355</v>
      </c>
      <c r="H948" s="1" t="s">
        <v>4356</v>
      </c>
      <c r="I948" s="1">
        <v>1</v>
      </c>
      <c r="J948" s="3">
        <v>16591</v>
      </c>
      <c r="K948" s="3">
        <v>15832</v>
      </c>
      <c r="L948" s="1">
        <v>0</v>
      </c>
      <c r="M948" s="4">
        <v>0</v>
      </c>
      <c r="N948" s="1">
        <v>759</v>
      </c>
      <c r="O948" s="4">
        <v>4.5999999999999999E-2</v>
      </c>
      <c r="P948" s="1" t="s">
        <v>2721</v>
      </c>
    </row>
    <row r="949" spans="1:16">
      <c r="A949" s="1" t="s">
        <v>577</v>
      </c>
      <c r="B949" s="1">
        <v>11</v>
      </c>
      <c r="C949" s="1" t="s">
        <v>4357</v>
      </c>
      <c r="D949" s="1" t="s">
        <v>4358</v>
      </c>
      <c r="E949" s="2">
        <v>45971</v>
      </c>
      <c r="F949" s="1" t="s">
        <v>261</v>
      </c>
      <c r="G949" s="1" t="s">
        <v>3593</v>
      </c>
      <c r="H949" s="1" t="s">
        <v>3593</v>
      </c>
      <c r="I949" s="1">
        <v>1</v>
      </c>
      <c r="J949" s="3">
        <v>70776</v>
      </c>
      <c r="K949" s="3">
        <v>67536</v>
      </c>
      <c r="L949" s="1">
        <v>0</v>
      </c>
      <c r="M949" s="4">
        <v>0</v>
      </c>
      <c r="N949" s="3">
        <v>3240</v>
      </c>
      <c r="O949" s="4">
        <v>4.5999999999999999E-2</v>
      </c>
      <c r="P949" s="1" t="s">
        <v>2721</v>
      </c>
    </row>
    <row r="950" spans="1:16">
      <c r="A950" s="1" t="s">
        <v>577</v>
      </c>
      <c r="B950" s="1">
        <v>11</v>
      </c>
      <c r="C950" s="1" t="s">
        <v>4359</v>
      </c>
      <c r="D950" s="1" t="s">
        <v>2600</v>
      </c>
      <c r="E950" s="2">
        <v>45971</v>
      </c>
      <c r="F950" s="1" t="s">
        <v>28</v>
      </c>
      <c r="G950" s="1" t="s">
        <v>29</v>
      </c>
      <c r="H950" s="1" t="s">
        <v>352</v>
      </c>
      <c r="I950" s="1">
        <v>1</v>
      </c>
      <c r="J950" s="3">
        <v>27033</v>
      </c>
      <c r="K950" s="3">
        <v>25795</v>
      </c>
      <c r="L950" s="1">
        <v>0</v>
      </c>
      <c r="M950" s="4">
        <v>0</v>
      </c>
      <c r="N950" s="3">
        <v>1238</v>
      </c>
      <c r="O950" s="4">
        <v>4.5999999999999999E-2</v>
      </c>
      <c r="P950" s="1" t="s">
        <v>2721</v>
      </c>
    </row>
    <row r="951" spans="1:16">
      <c r="A951" s="1" t="s">
        <v>602</v>
      </c>
      <c r="B951" s="1">
        <v>11</v>
      </c>
      <c r="C951" s="1">
        <v>15100151495660</v>
      </c>
      <c r="D951" s="1" t="s">
        <v>610</v>
      </c>
      <c r="E951" s="2">
        <v>45971</v>
      </c>
      <c r="F951" s="1" t="s">
        <v>604</v>
      </c>
      <c r="G951" s="1" t="s">
        <v>611</v>
      </c>
      <c r="H951" s="1" t="s">
        <v>612</v>
      </c>
      <c r="I951" s="1">
        <v>3</v>
      </c>
      <c r="J951" s="3">
        <v>33800</v>
      </c>
      <c r="K951" s="3">
        <v>23950</v>
      </c>
      <c r="L951" s="3">
        <v>3921</v>
      </c>
      <c r="M951" s="4">
        <v>0.11600000000000001</v>
      </c>
      <c r="N951" s="3">
        <v>5929</v>
      </c>
      <c r="O951" s="4">
        <v>0.17499999999999999</v>
      </c>
      <c r="P951" s="1" t="s">
        <v>2721</v>
      </c>
    </row>
    <row r="952" spans="1:16">
      <c r="A952" s="1" t="s">
        <v>602</v>
      </c>
      <c r="B952" s="1">
        <v>11</v>
      </c>
      <c r="C952" s="1">
        <v>3100151694726</v>
      </c>
      <c r="D952" s="1" t="s">
        <v>621</v>
      </c>
      <c r="E952" s="2">
        <v>45971</v>
      </c>
      <c r="F952" s="1" t="s">
        <v>604</v>
      </c>
      <c r="G952" s="1" t="s">
        <v>622</v>
      </c>
      <c r="H952" s="1" t="s">
        <v>3012</v>
      </c>
      <c r="I952" s="1">
        <v>1</v>
      </c>
      <c r="J952" s="3">
        <v>8900</v>
      </c>
      <c r="K952" s="3">
        <v>3675</v>
      </c>
      <c r="L952" s="3">
        <v>1032</v>
      </c>
      <c r="M952" s="4">
        <v>0.11600000000000001</v>
      </c>
      <c r="N952" s="3">
        <v>4193</v>
      </c>
      <c r="O952" s="4">
        <v>0.47099999999999997</v>
      </c>
      <c r="P952" s="1" t="s">
        <v>2721</v>
      </c>
    </row>
    <row r="953" spans="1:16">
      <c r="A953" s="1" t="s">
        <v>602</v>
      </c>
      <c r="B953" s="1">
        <v>11</v>
      </c>
      <c r="C953" s="1">
        <v>9100151261018</v>
      </c>
      <c r="D953" s="1" t="s">
        <v>4360</v>
      </c>
      <c r="E953" s="2">
        <v>45971</v>
      </c>
      <c r="F953" s="1" t="s">
        <v>604</v>
      </c>
      <c r="G953" s="1" t="s">
        <v>4361</v>
      </c>
      <c r="H953" s="1" t="s">
        <v>4362</v>
      </c>
      <c r="I953" s="1">
        <v>1</v>
      </c>
      <c r="J953" s="3">
        <v>31000</v>
      </c>
      <c r="K953" s="3">
        <v>11300</v>
      </c>
      <c r="L953" s="3">
        <v>3596</v>
      </c>
      <c r="M953" s="4">
        <v>0.11600000000000001</v>
      </c>
      <c r="N953" s="3">
        <v>16104</v>
      </c>
      <c r="O953" s="4">
        <v>0.51900000000000002</v>
      </c>
      <c r="P953" s="1" t="s">
        <v>2721</v>
      </c>
    </row>
    <row r="954" spans="1:16">
      <c r="A954" s="1" t="s">
        <v>602</v>
      </c>
      <c r="B954" s="1">
        <v>11</v>
      </c>
      <c r="C954" s="1">
        <v>6100151373250</v>
      </c>
      <c r="D954" s="1" t="s">
        <v>613</v>
      </c>
      <c r="E954" s="2">
        <v>45971</v>
      </c>
      <c r="F954" s="1" t="s">
        <v>604</v>
      </c>
      <c r="G954" s="1" t="s">
        <v>614</v>
      </c>
      <c r="H954" s="1" t="s">
        <v>4363</v>
      </c>
      <c r="I954" s="1">
        <v>3</v>
      </c>
      <c r="J954" s="3">
        <v>33800</v>
      </c>
      <c r="K954" s="3">
        <v>23950</v>
      </c>
      <c r="L954" s="3">
        <v>3921</v>
      </c>
      <c r="M954" s="4">
        <v>0.11600000000000001</v>
      </c>
      <c r="N954" s="3">
        <v>5929</v>
      </c>
      <c r="O954" s="4">
        <v>0.17499999999999999</v>
      </c>
      <c r="P954" s="1" t="s">
        <v>2721</v>
      </c>
    </row>
    <row r="955" spans="1:16">
      <c r="A955" s="1" t="s">
        <v>602</v>
      </c>
      <c r="B955" s="1">
        <v>11</v>
      </c>
      <c r="C955" s="1">
        <v>26100151425400</v>
      </c>
      <c r="D955" s="1" t="s">
        <v>4364</v>
      </c>
      <c r="E955" s="2">
        <v>45971</v>
      </c>
      <c r="F955" s="1" t="s">
        <v>604</v>
      </c>
      <c r="G955" s="1" t="s">
        <v>4365</v>
      </c>
      <c r="H955" s="1" t="s">
        <v>4366</v>
      </c>
      <c r="I955" s="1">
        <v>5</v>
      </c>
      <c r="J955" s="3">
        <v>66900</v>
      </c>
      <c r="K955" s="3">
        <v>52000</v>
      </c>
      <c r="L955" s="3">
        <v>7760</v>
      </c>
      <c r="M955" s="4">
        <v>0.11600000000000001</v>
      </c>
      <c r="N955" s="3">
        <v>7140</v>
      </c>
      <c r="O955" s="4">
        <v>0.107</v>
      </c>
      <c r="P955" s="1" t="s">
        <v>2721</v>
      </c>
    </row>
    <row r="956" spans="1:16">
      <c r="A956" s="1" t="s">
        <v>602</v>
      </c>
      <c r="B956" s="1">
        <v>11</v>
      </c>
      <c r="C956" s="1">
        <v>12100151484510</v>
      </c>
      <c r="D956" s="1" t="s">
        <v>610</v>
      </c>
      <c r="E956" s="2">
        <v>45971</v>
      </c>
      <c r="F956" s="1" t="s">
        <v>604</v>
      </c>
      <c r="G956" s="1" t="s">
        <v>611</v>
      </c>
      <c r="H956" s="1" t="s">
        <v>3412</v>
      </c>
      <c r="I956" s="1">
        <v>3</v>
      </c>
      <c r="J956" s="3">
        <v>33800</v>
      </c>
      <c r="K956" s="3">
        <v>23950</v>
      </c>
      <c r="L956" s="3">
        <v>3921</v>
      </c>
      <c r="M956" s="4">
        <v>0.11600000000000001</v>
      </c>
      <c r="N956" s="3">
        <v>5929</v>
      </c>
      <c r="O956" s="4">
        <v>0.17499999999999999</v>
      </c>
      <c r="P956" s="1" t="s">
        <v>2721</v>
      </c>
    </row>
    <row r="957" spans="1:16">
      <c r="A957" s="1" t="s">
        <v>602</v>
      </c>
      <c r="B957" s="1">
        <v>11</v>
      </c>
      <c r="C957" s="1">
        <v>4100152182812</v>
      </c>
      <c r="D957" s="1" t="s">
        <v>621</v>
      </c>
      <c r="E957" s="2">
        <v>45971</v>
      </c>
      <c r="F957" s="1" t="s">
        <v>604</v>
      </c>
      <c r="G957" s="1" t="s">
        <v>622</v>
      </c>
      <c r="H957" s="1" t="s">
        <v>3012</v>
      </c>
      <c r="I957" s="1">
        <v>1</v>
      </c>
      <c r="J957" s="3">
        <v>8900</v>
      </c>
      <c r="K957" s="3">
        <v>3675</v>
      </c>
      <c r="L957" s="3">
        <v>1032</v>
      </c>
      <c r="M957" s="4">
        <v>0.11600000000000001</v>
      </c>
      <c r="N957" s="3">
        <v>4193</v>
      </c>
      <c r="O957" s="4">
        <v>0.47099999999999997</v>
      </c>
      <c r="P957" s="1" t="s">
        <v>2721</v>
      </c>
    </row>
    <row r="958" spans="1:16">
      <c r="A958" s="1" t="s">
        <v>616</v>
      </c>
      <c r="B958" s="1">
        <v>11</v>
      </c>
      <c r="C958" s="1">
        <v>2025110981370410</v>
      </c>
      <c r="D958" s="1" t="s">
        <v>3014</v>
      </c>
      <c r="E958" s="2">
        <v>45971</v>
      </c>
      <c r="F958" s="1" t="s">
        <v>604</v>
      </c>
      <c r="G958" s="1" t="s">
        <v>3015</v>
      </c>
      <c r="H958" s="1" t="s">
        <v>4367</v>
      </c>
      <c r="I958" s="1">
        <v>2</v>
      </c>
      <c r="J958" s="3">
        <v>17400</v>
      </c>
      <c r="K958" s="3">
        <v>4850</v>
      </c>
      <c r="L958" s="1">
        <v>696</v>
      </c>
      <c r="M958" s="4">
        <v>0.04</v>
      </c>
      <c r="N958" s="3">
        <v>11854</v>
      </c>
      <c r="O958" s="4">
        <v>0.68100000000000005</v>
      </c>
      <c r="P958" s="1" t="s">
        <v>2721</v>
      </c>
    </row>
    <row r="959" spans="1:16">
      <c r="A959" s="1" t="s">
        <v>616</v>
      </c>
      <c r="B959" s="1">
        <v>11</v>
      </c>
      <c r="C959" s="1">
        <v>2025110969943130</v>
      </c>
      <c r="D959" s="1" t="s">
        <v>621</v>
      </c>
      <c r="E959" s="2">
        <v>45971</v>
      </c>
      <c r="F959" s="1" t="s">
        <v>604</v>
      </c>
      <c r="G959" s="1" t="s">
        <v>622</v>
      </c>
      <c r="H959" s="1" t="s">
        <v>3413</v>
      </c>
      <c r="I959" s="1">
        <v>1</v>
      </c>
      <c r="J959" s="3">
        <v>8800</v>
      </c>
      <c r="K959" s="3">
        <v>3675</v>
      </c>
      <c r="L959" s="1">
        <v>352</v>
      </c>
      <c r="M959" s="4">
        <v>0.04</v>
      </c>
      <c r="N959" s="3">
        <v>4773</v>
      </c>
      <c r="O959" s="4">
        <v>0.54200000000000004</v>
      </c>
      <c r="P959" s="1" t="s">
        <v>2721</v>
      </c>
    </row>
    <row r="960" spans="1:16">
      <c r="A960" s="1" t="s">
        <v>626</v>
      </c>
      <c r="B960" s="1">
        <v>11</v>
      </c>
      <c r="C960" s="1">
        <v>69014345</v>
      </c>
      <c r="D960" s="1" t="s">
        <v>627</v>
      </c>
      <c r="E960" s="2">
        <v>45971</v>
      </c>
      <c r="F960" s="1" t="s">
        <v>604</v>
      </c>
      <c r="G960" s="1" t="s">
        <v>628</v>
      </c>
      <c r="H960" s="1" t="s">
        <v>629</v>
      </c>
      <c r="I960" s="1">
        <v>1</v>
      </c>
      <c r="J960" s="3">
        <v>8000</v>
      </c>
      <c r="K960" s="3">
        <v>1800</v>
      </c>
      <c r="L960" s="1">
        <v>880</v>
      </c>
      <c r="M960" s="4">
        <v>0.11</v>
      </c>
      <c r="N960" s="3">
        <v>5320</v>
      </c>
      <c r="O960" s="4">
        <v>0.66500000000000004</v>
      </c>
      <c r="P960" s="1" t="s">
        <v>2721</v>
      </c>
    </row>
    <row r="961" spans="1:16">
      <c r="A961" s="1" t="s">
        <v>626</v>
      </c>
      <c r="B961" s="1">
        <v>11</v>
      </c>
      <c r="C961" s="1">
        <v>69008410</v>
      </c>
      <c r="D961" s="1" t="s">
        <v>627</v>
      </c>
      <c r="E961" s="2">
        <v>45971</v>
      </c>
      <c r="F961" s="1" t="s">
        <v>604</v>
      </c>
      <c r="G961" s="1" t="s">
        <v>628</v>
      </c>
      <c r="H961" s="1" t="s">
        <v>2271</v>
      </c>
      <c r="I961" s="1">
        <v>2</v>
      </c>
      <c r="J961" s="3">
        <v>12800</v>
      </c>
      <c r="K961" s="3">
        <v>3600</v>
      </c>
      <c r="L961" s="3">
        <v>1408</v>
      </c>
      <c r="M961" s="4">
        <v>0.11</v>
      </c>
      <c r="N961" s="3">
        <v>7792</v>
      </c>
      <c r="O961" s="4">
        <v>0.60899999999999999</v>
      </c>
      <c r="P961" s="1" t="s">
        <v>2721</v>
      </c>
    </row>
    <row r="962" spans="1:16">
      <c r="A962" s="1" t="s">
        <v>630</v>
      </c>
      <c r="B962" s="1">
        <v>11</v>
      </c>
      <c r="C962" s="1">
        <v>1117044604094160</v>
      </c>
      <c r="D962" s="1" t="s">
        <v>627</v>
      </c>
      <c r="E962" s="2">
        <v>45971</v>
      </c>
      <c r="F962" s="1" t="s">
        <v>604</v>
      </c>
      <c r="G962" s="1" t="s">
        <v>628</v>
      </c>
      <c r="H962" s="1" t="s">
        <v>1848</v>
      </c>
      <c r="I962" s="1">
        <v>1</v>
      </c>
      <c r="J962" s="3">
        <v>7500</v>
      </c>
      <c r="K962" s="3">
        <v>4300</v>
      </c>
      <c r="L962" s="1">
        <v>495</v>
      </c>
      <c r="M962" s="4">
        <v>6.6000000000000003E-2</v>
      </c>
      <c r="N962" s="3">
        <v>2705</v>
      </c>
      <c r="O962" s="4">
        <v>0.36099999999999999</v>
      </c>
      <c r="P962" s="1" t="s">
        <v>2721</v>
      </c>
    </row>
    <row r="963" spans="1:16">
      <c r="A963" s="1" t="s">
        <v>630</v>
      </c>
      <c r="B963" s="1">
        <v>11</v>
      </c>
      <c r="C963" s="1">
        <v>1117121277738880</v>
      </c>
      <c r="D963" s="1" t="s">
        <v>627</v>
      </c>
      <c r="E963" s="2">
        <v>45971</v>
      </c>
      <c r="F963" s="1" t="s">
        <v>604</v>
      </c>
      <c r="G963" s="1" t="s">
        <v>628</v>
      </c>
      <c r="H963" s="1" t="s">
        <v>631</v>
      </c>
      <c r="I963" s="1">
        <v>6</v>
      </c>
      <c r="J963" s="3">
        <v>37830</v>
      </c>
      <c r="K963" s="3">
        <v>13300</v>
      </c>
      <c r="L963" s="3">
        <v>2497</v>
      </c>
      <c r="M963" s="4">
        <v>6.6000000000000003E-2</v>
      </c>
      <c r="N963" s="3">
        <v>22033</v>
      </c>
      <c r="O963" s="4">
        <v>0.58199999999999996</v>
      </c>
      <c r="P963" s="1" t="s">
        <v>2721</v>
      </c>
    </row>
    <row r="964" spans="1:16">
      <c r="A964" s="1" t="s">
        <v>630</v>
      </c>
      <c r="B964" s="1">
        <v>11</v>
      </c>
      <c r="C964" s="1">
        <v>1117071346288370</v>
      </c>
      <c r="D964" s="1" t="s">
        <v>627</v>
      </c>
      <c r="E964" s="2">
        <v>45971</v>
      </c>
      <c r="F964" s="1" t="s">
        <v>604</v>
      </c>
      <c r="G964" s="1" t="s">
        <v>628</v>
      </c>
      <c r="H964" s="1" t="s">
        <v>631</v>
      </c>
      <c r="I964" s="1">
        <v>6</v>
      </c>
      <c r="J964" s="3">
        <v>37830</v>
      </c>
      <c r="K964" s="3">
        <v>13300</v>
      </c>
      <c r="L964" s="3">
        <v>2497</v>
      </c>
      <c r="M964" s="4">
        <v>6.6000000000000003E-2</v>
      </c>
      <c r="N964" s="3">
        <v>22033</v>
      </c>
      <c r="O964" s="4">
        <v>0.58199999999999996</v>
      </c>
      <c r="P964" s="1" t="s">
        <v>2721</v>
      </c>
    </row>
    <row r="965" spans="1:16">
      <c r="A965" s="1" t="s">
        <v>630</v>
      </c>
      <c r="B965" s="1">
        <v>11</v>
      </c>
      <c r="C965" s="1">
        <v>1117112231288010</v>
      </c>
      <c r="D965" s="1" t="s">
        <v>627</v>
      </c>
      <c r="E965" s="2">
        <v>45971</v>
      </c>
      <c r="F965" s="1" t="s">
        <v>604</v>
      </c>
      <c r="G965" s="1" t="s">
        <v>628</v>
      </c>
      <c r="H965" s="1" t="s">
        <v>1848</v>
      </c>
      <c r="I965" s="1">
        <v>1</v>
      </c>
      <c r="J965" s="3">
        <v>6000</v>
      </c>
      <c r="K965" s="3">
        <v>4300</v>
      </c>
      <c r="L965" s="1">
        <v>396</v>
      </c>
      <c r="M965" s="4">
        <v>6.6000000000000003E-2</v>
      </c>
      <c r="N965" s="3">
        <v>1304</v>
      </c>
      <c r="O965" s="4">
        <v>0.217</v>
      </c>
      <c r="P965" s="1" t="s">
        <v>2721</v>
      </c>
    </row>
    <row r="966" spans="1:16">
      <c r="A966" s="1" t="s">
        <v>630</v>
      </c>
      <c r="B966" s="1">
        <v>11</v>
      </c>
      <c r="C966" s="1">
        <v>1117031542797250</v>
      </c>
      <c r="D966" s="1" t="s">
        <v>627</v>
      </c>
      <c r="E966" s="2">
        <v>45971</v>
      </c>
      <c r="F966" s="1" t="s">
        <v>604</v>
      </c>
      <c r="G966" s="1" t="s">
        <v>628</v>
      </c>
      <c r="H966" s="1" t="s">
        <v>1848</v>
      </c>
      <c r="I966" s="1">
        <v>1</v>
      </c>
      <c r="J966" s="3">
        <v>7500</v>
      </c>
      <c r="K966" s="3">
        <v>4300</v>
      </c>
      <c r="L966" s="1">
        <v>495</v>
      </c>
      <c r="M966" s="4">
        <v>6.6000000000000003E-2</v>
      </c>
      <c r="N966" s="3">
        <v>2705</v>
      </c>
      <c r="O966" s="4">
        <v>0.36099999999999999</v>
      </c>
      <c r="P966" s="1" t="s">
        <v>2721</v>
      </c>
    </row>
    <row r="967" spans="1:16">
      <c r="A967" s="1" t="s">
        <v>739</v>
      </c>
      <c r="B967" s="1">
        <v>11</v>
      </c>
      <c r="C967" s="1">
        <v>31386397</v>
      </c>
      <c r="D967" s="1" t="s">
        <v>3420</v>
      </c>
      <c r="E967" s="2">
        <v>45971</v>
      </c>
      <c r="F967" s="1" t="s">
        <v>604</v>
      </c>
      <c r="G967" s="1" t="s">
        <v>3421</v>
      </c>
      <c r="H967" s="1" t="s">
        <v>3422</v>
      </c>
      <c r="I967" s="1">
        <v>1</v>
      </c>
      <c r="J967" s="3">
        <v>8900</v>
      </c>
      <c r="K967" s="3">
        <v>5026</v>
      </c>
      <c r="L967" s="3">
        <v>1175</v>
      </c>
      <c r="M967" s="4">
        <v>0.13200000000000001</v>
      </c>
      <c r="N967" s="3">
        <v>2699</v>
      </c>
      <c r="O967" s="4">
        <v>0.30299999999999999</v>
      </c>
      <c r="P967" s="1" t="s">
        <v>2721</v>
      </c>
    </row>
    <row r="968" spans="1:16">
      <c r="A968" s="1" t="s">
        <v>739</v>
      </c>
      <c r="B968" s="1">
        <v>11</v>
      </c>
      <c r="C968" s="1">
        <v>31393720</v>
      </c>
      <c r="D968" s="1" t="s">
        <v>3420</v>
      </c>
      <c r="E968" s="2">
        <v>45971</v>
      </c>
      <c r="F968" s="1" t="s">
        <v>604</v>
      </c>
      <c r="G968" s="1" t="s">
        <v>3421</v>
      </c>
      <c r="H968" s="1" t="s">
        <v>3422</v>
      </c>
      <c r="I968" s="1">
        <v>1</v>
      </c>
      <c r="J968" s="3">
        <v>8900</v>
      </c>
      <c r="K968" s="3">
        <v>5026</v>
      </c>
      <c r="L968" s="3">
        <v>1175</v>
      </c>
      <c r="M968" s="4">
        <v>0.13200000000000001</v>
      </c>
      <c r="N968" s="3">
        <v>2699</v>
      </c>
      <c r="O968" s="4">
        <v>0.30299999999999999</v>
      </c>
      <c r="P968" s="1" t="s">
        <v>2721</v>
      </c>
    </row>
    <row r="969" spans="1:16">
      <c r="A969" s="1" t="s">
        <v>602</v>
      </c>
      <c r="B969" s="1">
        <v>11</v>
      </c>
      <c r="C969" s="1">
        <v>11100151460267</v>
      </c>
      <c r="D969" s="1" t="s">
        <v>1862</v>
      </c>
      <c r="E969" s="2">
        <v>45971</v>
      </c>
      <c r="F969" s="1" t="s">
        <v>235</v>
      </c>
      <c r="G969" s="1" t="s">
        <v>1863</v>
      </c>
      <c r="H969" s="1" t="s">
        <v>1864</v>
      </c>
      <c r="I969" s="1">
        <v>1</v>
      </c>
      <c r="J969" s="3">
        <v>14790</v>
      </c>
      <c r="K969" s="3">
        <v>7739</v>
      </c>
      <c r="L969" s="3">
        <v>1716</v>
      </c>
      <c r="M969" s="4">
        <v>0.11600000000000001</v>
      </c>
      <c r="N969" s="3">
        <v>5335</v>
      </c>
      <c r="O969" s="4">
        <v>0.36099999999999999</v>
      </c>
      <c r="P969" s="1" t="s">
        <v>2721</v>
      </c>
    </row>
    <row r="970" spans="1:16">
      <c r="A970" s="1" t="s">
        <v>602</v>
      </c>
      <c r="B970" s="1">
        <v>11</v>
      </c>
      <c r="C970" s="1">
        <v>19100151916267</v>
      </c>
      <c r="D970" s="1" t="s">
        <v>1862</v>
      </c>
      <c r="E970" s="2">
        <v>45971</v>
      </c>
      <c r="F970" s="1" t="s">
        <v>235</v>
      </c>
      <c r="G970" s="1" t="s">
        <v>1863</v>
      </c>
      <c r="H970" s="1" t="s">
        <v>1864</v>
      </c>
      <c r="I970" s="1">
        <v>1</v>
      </c>
      <c r="J970" s="3">
        <v>14790</v>
      </c>
      <c r="K970" s="3">
        <v>7739</v>
      </c>
      <c r="L970" s="3">
        <v>1716</v>
      </c>
      <c r="M970" s="4">
        <v>0.11600000000000001</v>
      </c>
      <c r="N970" s="3">
        <v>5335</v>
      </c>
      <c r="O970" s="4">
        <v>0.36099999999999999</v>
      </c>
      <c r="P970" s="1" t="s">
        <v>2721</v>
      </c>
    </row>
    <row r="971" spans="1:16">
      <c r="A971" s="1" t="s">
        <v>312</v>
      </c>
      <c r="B971" s="1">
        <v>11</v>
      </c>
      <c r="C971" s="1" t="s">
        <v>4368</v>
      </c>
      <c r="D971" s="1" t="s">
        <v>4369</v>
      </c>
      <c r="E971" s="2">
        <v>45971</v>
      </c>
      <c r="F971" s="1" t="s">
        <v>96</v>
      </c>
      <c r="G971" s="1" t="s">
        <v>4370</v>
      </c>
      <c r="H971" s="1" t="s">
        <v>4371</v>
      </c>
      <c r="I971" s="1">
        <v>1</v>
      </c>
      <c r="J971" s="3">
        <v>14720</v>
      </c>
      <c r="K971" s="3">
        <v>13721</v>
      </c>
      <c r="L971" s="1">
        <v>0</v>
      </c>
      <c r="M971" s="4">
        <v>0</v>
      </c>
      <c r="N971" s="1">
        <v>999</v>
      </c>
      <c r="O971" s="4">
        <v>6.8000000000000005E-2</v>
      </c>
      <c r="P971" s="1" t="s">
        <v>2721</v>
      </c>
    </row>
    <row r="972" spans="1:16">
      <c r="A972" s="1" t="s">
        <v>312</v>
      </c>
      <c r="B972" s="1">
        <v>11</v>
      </c>
      <c r="C972" s="1" t="s">
        <v>4368</v>
      </c>
      <c r="D972" s="1" t="s">
        <v>4372</v>
      </c>
      <c r="E972" s="2">
        <v>45971</v>
      </c>
      <c r="F972" s="1" t="s">
        <v>1075</v>
      </c>
      <c r="G972" s="1" t="s">
        <v>4373</v>
      </c>
      <c r="H972" s="1" t="s">
        <v>4374</v>
      </c>
      <c r="I972" s="1">
        <v>1</v>
      </c>
      <c r="J972" s="3">
        <v>10028</v>
      </c>
      <c r="K972" s="3">
        <v>9380</v>
      </c>
      <c r="L972" s="1">
        <v>0</v>
      </c>
      <c r="M972" s="4">
        <v>0</v>
      </c>
      <c r="N972" s="1">
        <v>648</v>
      </c>
      <c r="O972" s="4">
        <v>6.5000000000000002E-2</v>
      </c>
      <c r="P972" s="1" t="s">
        <v>2721</v>
      </c>
    </row>
    <row r="973" spans="1:16">
      <c r="A973" s="1" t="s">
        <v>312</v>
      </c>
      <c r="B973" s="1">
        <v>11</v>
      </c>
      <c r="C973" s="1" t="s">
        <v>4368</v>
      </c>
      <c r="D973" s="1" t="s">
        <v>4375</v>
      </c>
      <c r="E973" s="2">
        <v>45971</v>
      </c>
      <c r="F973" s="1" t="s">
        <v>524</v>
      </c>
      <c r="G973" s="1" t="s">
        <v>4376</v>
      </c>
      <c r="H973" s="1" t="s">
        <v>4377</v>
      </c>
      <c r="I973" s="1">
        <v>1</v>
      </c>
      <c r="J973" s="3">
        <v>19136</v>
      </c>
      <c r="K973" s="3">
        <v>17800</v>
      </c>
      <c r="L973" s="1">
        <v>0</v>
      </c>
      <c r="M973" s="4">
        <v>0</v>
      </c>
      <c r="N973" s="3">
        <v>1336</v>
      </c>
      <c r="O973" s="4">
        <v>7.0000000000000007E-2</v>
      </c>
      <c r="P973" s="1" t="s">
        <v>2721</v>
      </c>
    </row>
    <row r="974" spans="1:16">
      <c r="A974" s="1" t="s">
        <v>312</v>
      </c>
      <c r="B974" s="1">
        <v>11</v>
      </c>
      <c r="C974" s="1" t="s">
        <v>4368</v>
      </c>
      <c r="D974" s="1" t="s">
        <v>4378</v>
      </c>
      <c r="E974" s="2">
        <v>45971</v>
      </c>
      <c r="F974" s="1" t="s">
        <v>43</v>
      </c>
      <c r="G974" s="1" t="s">
        <v>4379</v>
      </c>
      <c r="H974" s="1" t="s">
        <v>4380</v>
      </c>
      <c r="I974" s="1">
        <v>1</v>
      </c>
      <c r="J974" s="3">
        <v>16928</v>
      </c>
      <c r="K974" s="3">
        <v>15477</v>
      </c>
      <c r="L974" s="1">
        <v>0</v>
      </c>
      <c r="M974" s="4">
        <v>0</v>
      </c>
      <c r="N974" s="3">
        <v>1451</v>
      </c>
      <c r="O974" s="4">
        <v>8.5999999999999993E-2</v>
      </c>
      <c r="P974" s="1" t="s">
        <v>2721</v>
      </c>
    </row>
    <row r="975" spans="1:16">
      <c r="A975" s="1" t="s">
        <v>312</v>
      </c>
      <c r="B975" s="1">
        <v>11</v>
      </c>
      <c r="C975" s="1" t="s">
        <v>4368</v>
      </c>
      <c r="D975" s="1" t="s">
        <v>2132</v>
      </c>
      <c r="E975" s="2">
        <v>45971</v>
      </c>
      <c r="F975" s="1" t="s">
        <v>426</v>
      </c>
      <c r="G975" s="1" t="s">
        <v>2133</v>
      </c>
      <c r="H975" s="1" t="s">
        <v>4381</v>
      </c>
      <c r="I975" s="1">
        <v>1</v>
      </c>
      <c r="J975" s="3">
        <v>24012</v>
      </c>
      <c r="K975" s="3">
        <v>22512</v>
      </c>
      <c r="L975" s="1">
        <v>0</v>
      </c>
      <c r="M975" s="4">
        <v>0</v>
      </c>
      <c r="N975" s="3">
        <v>1500</v>
      </c>
      <c r="O975" s="4">
        <v>6.2E-2</v>
      </c>
      <c r="P975" s="1" t="s">
        <v>2721</v>
      </c>
    </row>
    <row r="976" spans="1:16">
      <c r="A976" s="1" t="s">
        <v>312</v>
      </c>
      <c r="B976" s="1">
        <v>11</v>
      </c>
      <c r="C976" s="1" t="s">
        <v>4382</v>
      </c>
      <c r="D976" s="1" t="s">
        <v>724</v>
      </c>
      <c r="E976" s="2">
        <v>45971</v>
      </c>
      <c r="F976" s="1" t="s">
        <v>725</v>
      </c>
      <c r="G976" s="1" t="s">
        <v>726</v>
      </c>
      <c r="H976" s="1" t="s">
        <v>4383</v>
      </c>
      <c r="I976" s="1">
        <v>1</v>
      </c>
      <c r="J976" s="3">
        <v>129996</v>
      </c>
      <c r="K976" s="3">
        <v>121940</v>
      </c>
      <c r="L976" s="1">
        <v>0</v>
      </c>
      <c r="M976" s="4">
        <v>0</v>
      </c>
      <c r="N976" s="3">
        <v>8056</v>
      </c>
      <c r="O976" s="4">
        <v>6.2E-2</v>
      </c>
      <c r="P976" s="1" t="s">
        <v>2721</v>
      </c>
    </row>
    <row r="977" spans="1:16">
      <c r="A977" s="1" t="s">
        <v>649</v>
      </c>
      <c r="B977" s="1">
        <v>11</v>
      </c>
      <c r="C977" s="1">
        <v>25111005342276</v>
      </c>
      <c r="D977" s="1" t="s">
        <v>4384</v>
      </c>
      <c r="E977" s="2">
        <v>45971</v>
      </c>
      <c r="F977" s="1" t="s">
        <v>48</v>
      </c>
      <c r="G977" s="1" t="s">
        <v>4385</v>
      </c>
      <c r="H977" s="1" t="s">
        <v>4386</v>
      </c>
      <c r="I977" s="1">
        <v>1</v>
      </c>
      <c r="J977" s="3">
        <v>18700</v>
      </c>
      <c r="K977" s="3">
        <v>15899</v>
      </c>
      <c r="L977" s="1">
        <v>0</v>
      </c>
      <c r="M977" s="4">
        <v>0</v>
      </c>
      <c r="N977" s="3">
        <v>2801</v>
      </c>
      <c r="O977" s="4">
        <v>0.15</v>
      </c>
      <c r="P977" s="1" t="s">
        <v>2721</v>
      </c>
    </row>
    <row r="978" spans="1:16">
      <c r="A978" s="1" t="s">
        <v>649</v>
      </c>
      <c r="B978" s="1">
        <v>11</v>
      </c>
      <c r="C978" s="1">
        <v>25111002395145</v>
      </c>
      <c r="D978" s="1" t="s">
        <v>4387</v>
      </c>
      <c r="E978" s="2">
        <v>45971</v>
      </c>
      <c r="F978" s="1" t="s">
        <v>803</v>
      </c>
      <c r="G978" s="1" t="s">
        <v>4388</v>
      </c>
      <c r="H978" s="1" t="s">
        <v>4389</v>
      </c>
      <c r="I978" s="1">
        <v>1</v>
      </c>
      <c r="J978" s="3">
        <v>17001</v>
      </c>
      <c r="K978" s="3">
        <v>15910</v>
      </c>
      <c r="L978" s="1">
        <v>0</v>
      </c>
      <c r="M978" s="4">
        <v>0</v>
      </c>
      <c r="N978" s="3">
        <v>1091</v>
      </c>
      <c r="O978" s="4">
        <v>6.4000000000000001E-2</v>
      </c>
      <c r="P978" s="1" t="s">
        <v>2721</v>
      </c>
    </row>
    <row r="979" spans="1:16">
      <c r="A979" s="1" t="s">
        <v>649</v>
      </c>
      <c r="B979" s="1">
        <v>11</v>
      </c>
      <c r="C979" s="1">
        <v>25110923190915</v>
      </c>
      <c r="D979" s="1" t="s">
        <v>4390</v>
      </c>
      <c r="E979" s="2">
        <v>45971</v>
      </c>
      <c r="F979" s="1" t="s">
        <v>48</v>
      </c>
      <c r="G979" s="1" t="s">
        <v>4391</v>
      </c>
      <c r="H979" s="1" t="s">
        <v>4392</v>
      </c>
      <c r="I979" s="1">
        <v>1</v>
      </c>
      <c r="J979" s="3">
        <v>21225</v>
      </c>
      <c r="K979" s="3">
        <v>18036</v>
      </c>
      <c r="L979" s="1">
        <v>0</v>
      </c>
      <c r="M979" s="4">
        <v>0</v>
      </c>
      <c r="N979" s="3">
        <v>3189</v>
      </c>
      <c r="O979" s="4">
        <v>0.15</v>
      </c>
      <c r="P979" s="1" t="s">
        <v>2721</v>
      </c>
    </row>
    <row r="980" spans="1:16">
      <c r="A980" s="1" t="s">
        <v>649</v>
      </c>
      <c r="B980" s="1">
        <v>11</v>
      </c>
      <c r="C980" s="1">
        <v>25110914290113</v>
      </c>
      <c r="D980" s="1" t="s">
        <v>4390</v>
      </c>
      <c r="E980" s="2">
        <v>45971</v>
      </c>
      <c r="F980" s="1" t="s">
        <v>48</v>
      </c>
      <c r="G980" s="1" t="s">
        <v>4391</v>
      </c>
      <c r="H980" s="1" t="s">
        <v>4392</v>
      </c>
      <c r="I980" s="1">
        <v>1</v>
      </c>
      <c r="J980" s="3">
        <v>21225</v>
      </c>
      <c r="K980" s="3">
        <v>18036</v>
      </c>
      <c r="L980" s="1">
        <v>0</v>
      </c>
      <c r="M980" s="4">
        <v>0</v>
      </c>
      <c r="N980" s="3">
        <v>3189</v>
      </c>
      <c r="O980" s="4">
        <v>0.15</v>
      </c>
      <c r="P980" s="1" t="s">
        <v>2721</v>
      </c>
    </row>
    <row r="981" spans="1:16">
      <c r="A981" s="1" t="s">
        <v>649</v>
      </c>
      <c r="B981" s="1">
        <v>11</v>
      </c>
      <c r="C981" s="1">
        <v>25110817555435</v>
      </c>
      <c r="D981" s="1" t="s">
        <v>2639</v>
      </c>
      <c r="E981" s="2">
        <v>45971</v>
      </c>
      <c r="F981" s="1" t="s">
        <v>48</v>
      </c>
      <c r="G981" s="1" t="s">
        <v>2640</v>
      </c>
      <c r="H981" s="1" t="s">
        <v>2641</v>
      </c>
      <c r="I981" s="1">
        <v>1</v>
      </c>
      <c r="J981" s="3">
        <v>10472</v>
      </c>
      <c r="K981" s="3">
        <v>8888</v>
      </c>
      <c r="L981" s="1">
        <v>0</v>
      </c>
      <c r="M981" s="4">
        <v>0</v>
      </c>
      <c r="N981" s="3">
        <v>1584</v>
      </c>
      <c r="O981" s="4">
        <v>0.151</v>
      </c>
      <c r="P981" s="1" t="s">
        <v>2721</v>
      </c>
    </row>
    <row r="982" spans="1:16">
      <c r="A982" s="1" t="s">
        <v>649</v>
      </c>
      <c r="B982" s="1">
        <v>11</v>
      </c>
      <c r="C982" s="1">
        <v>25110814362654</v>
      </c>
      <c r="D982" s="1" t="s">
        <v>4393</v>
      </c>
      <c r="E982" s="2">
        <v>45971</v>
      </c>
      <c r="F982" s="1" t="s">
        <v>18</v>
      </c>
      <c r="G982" s="1" t="s">
        <v>4394</v>
      </c>
      <c r="H982" s="1" t="s">
        <v>4395</v>
      </c>
      <c r="I982" s="1">
        <v>3</v>
      </c>
      <c r="J982" s="3">
        <v>21929</v>
      </c>
      <c r="K982" s="3">
        <v>20514</v>
      </c>
      <c r="L982" s="1">
        <v>0</v>
      </c>
      <c r="M982" s="4">
        <v>0</v>
      </c>
      <c r="N982" s="3">
        <v>1415</v>
      </c>
      <c r="O982" s="4">
        <v>6.5000000000000002E-2</v>
      </c>
      <c r="P982" s="1" t="s">
        <v>2721</v>
      </c>
    </row>
    <row r="983" spans="1:16">
      <c r="A983" s="1" t="s">
        <v>649</v>
      </c>
      <c r="B983" s="1">
        <v>11</v>
      </c>
      <c r="C983" s="1">
        <v>25110810101848</v>
      </c>
      <c r="D983" s="1" t="s">
        <v>3432</v>
      </c>
      <c r="E983" s="2">
        <v>45971</v>
      </c>
      <c r="F983" s="1" t="s">
        <v>48</v>
      </c>
      <c r="G983" s="1" t="s">
        <v>3433</v>
      </c>
      <c r="H983" s="1" t="s">
        <v>3434</v>
      </c>
      <c r="I983" s="1">
        <v>1</v>
      </c>
      <c r="J983" s="3">
        <v>11594</v>
      </c>
      <c r="K983" s="3">
        <v>9838</v>
      </c>
      <c r="L983" s="1">
        <v>0</v>
      </c>
      <c r="M983" s="4">
        <v>0</v>
      </c>
      <c r="N983" s="3">
        <v>1756</v>
      </c>
      <c r="O983" s="4">
        <v>0.151</v>
      </c>
      <c r="P983" s="1" t="s">
        <v>2721</v>
      </c>
    </row>
    <row r="984" spans="1:16">
      <c r="A984" s="1" t="s">
        <v>649</v>
      </c>
      <c r="B984" s="1">
        <v>11</v>
      </c>
      <c r="C984" s="1">
        <v>25110810101848</v>
      </c>
      <c r="D984" s="1" t="s">
        <v>2635</v>
      </c>
      <c r="E984" s="2">
        <v>45971</v>
      </c>
      <c r="F984" s="1" t="s">
        <v>2636</v>
      </c>
      <c r="G984" s="1" t="s">
        <v>2637</v>
      </c>
      <c r="H984" s="1" t="s">
        <v>2638</v>
      </c>
      <c r="I984" s="1">
        <v>1</v>
      </c>
      <c r="J984" s="3">
        <v>10472</v>
      </c>
      <c r="K984" s="3">
        <v>8911</v>
      </c>
      <c r="L984" s="1">
        <v>0</v>
      </c>
      <c r="M984" s="4">
        <v>0</v>
      </c>
      <c r="N984" s="3">
        <v>1561</v>
      </c>
      <c r="O984" s="4">
        <v>0.14899999999999999</v>
      </c>
      <c r="P984" s="1" t="s">
        <v>2721</v>
      </c>
    </row>
    <row r="985" spans="1:16">
      <c r="A985" s="1" t="s">
        <v>649</v>
      </c>
      <c r="B985" s="1">
        <v>11</v>
      </c>
      <c r="C985" s="1">
        <v>25110801365345</v>
      </c>
      <c r="D985" s="1" t="s">
        <v>4396</v>
      </c>
      <c r="E985" s="2">
        <v>45971</v>
      </c>
      <c r="F985" s="1" t="s">
        <v>48</v>
      </c>
      <c r="G985" s="1" t="s">
        <v>4397</v>
      </c>
      <c r="H985" s="1" t="s">
        <v>4398</v>
      </c>
      <c r="I985" s="1">
        <v>1</v>
      </c>
      <c r="J985" s="3">
        <v>9537</v>
      </c>
      <c r="K985" s="3">
        <v>8112</v>
      </c>
      <c r="L985" s="1">
        <v>0</v>
      </c>
      <c r="M985" s="4">
        <v>0</v>
      </c>
      <c r="N985" s="3">
        <v>1425</v>
      </c>
      <c r="O985" s="4">
        <v>0.14899999999999999</v>
      </c>
      <c r="P985" s="1" t="s">
        <v>2721</v>
      </c>
    </row>
    <row r="986" spans="1:16">
      <c r="A986" s="1" t="s">
        <v>649</v>
      </c>
      <c r="B986" s="1">
        <v>11</v>
      </c>
      <c r="C986" s="1">
        <v>25110716325973</v>
      </c>
      <c r="D986" s="1" t="s">
        <v>4399</v>
      </c>
      <c r="E986" s="2">
        <v>45971</v>
      </c>
      <c r="F986" s="1" t="s">
        <v>18</v>
      </c>
      <c r="G986" s="1" t="s">
        <v>4400</v>
      </c>
      <c r="H986" s="1" t="s">
        <v>4401</v>
      </c>
      <c r="I986" s="1">
        <v>1</v>
      </c>
      <c r="J986" s="3">
        <v>6035</v>
      </c>
      <c r="K986" s="3">
        <v>5628</v>
      </c>
      <c r="L986" s="1">
        <v>0</v>
      </c>
      <c r="M986" s="4">
        <v>0</v>
      </c>
      <c r="N986" s="1">
        <v>407</v>
      </c>
      <c r="O986" s="4">
        <v>6.7000000000000004E-2</v>
      </c>
      <c r="P986" s="1" t="s">
        <v>2721</v>
      </c>
    </row>
    <row r="987" spans="1:16">
      <c r="A987" s="1" t="s">
        <v>649</v>
      </c>
      <c r="B987" s="1">
        <v>11</v>
      </c>
      <c r="C987" s="1">
        <v>25110714233819</v>
      </c>
      <c r="D987" s="1" t="s">
        <v>1907</v>
      </c>
      <c r="E987" s="2">
        <v>45971</v>
      </c>
      <c r="F987" s="1" t="s">
        <v>235</v>
      </c>
      <c r="G987" s="1" t="s">
        <v>1908</v>
      </c>
      <c r="H987" s="1" t="s">
        <v>1909</v>
      </c>
      <c r="I987" s="1">
        <v>1</v>
      </c>
      <c r="J987" s="3">
        <v>26435</v>
      </c>
      <c r="K987" s="3">
        <v>24774</v>
      </c>
      <c r="L987" s="1">
        <v>0</v>
      </c>
      <c r="M987" s="4">
        <v>0</v>
      </c>
      <c r="N987" s="3">
        <v>1661</v>
      </c>
      <c r="O987" s="4">
        <v>6.3E-2</v>
      </c>
      <c r="P987" s="1" t="s">
        <v>2721</v>
      </c>
    </row>
    <row r="988" spans="1:16">
      <c r="A988" s="1" t="s">
        <v>649</v>
      </c>
      <c r="B988" s="1">
        <v>11</v>
      </c>
      <c r="C988" s="1">
        <v>25110710564552</v>
      </c>
      <c r="D988" s="1" t="s">
        <v>3502</v>
      </c>
      <c r="E988" s="2">
        <v>45971</v>
      </c>
      <c r="F988" s="1" t="s">
        <v>483</v>
      </c>
      <c r="G988" s="1" t="s">
        <v>3503</v>
      </c>
      <c r="H988" s="1" t="s">
        <v>4402</v>
      </c>
      <c r="I988" s="1">
        <v>2</v>
      </c>
      <c r="J988" s="3">
        <v>61523</v>
      </c>
      <c r="K988" s="3">
        <v>52340</v>
      </c>
      <c r="L988" s="1">
        <v>0</v>
      </c>
      <c r="M988" s="4">
        <v>0</v>
      </c>
      <c r="N988" s="3">
        <v>9183</v>
      </c>
      <c r="O988" s="4">
        <v>0.14899999999999999</v>
      </c>
      <c r="P988" s="1" t="s">
        <v>2721</v>
      </c>
    </row>
    <row r="989" spans="1:16">
      <c r="A989" s="1" t="s">
        <v>649</v>
      </c>
      <c r="B989" s="1">
        <v>11</v>
      </c>
      <c r="C989" s="1">
        <v>25110710361099</v>
      </c>
      <c r="D989" s="1" t="s">
        <v>2635</v>
      </c>
      <c r="E989" s="2">
        <v>45971</v>
      </c>
      <c r="F989" s="1" t="s">
        <v>2636</v>
      </c>
      <c r="G989" s="1" t="s">
        <v>2637</v>
      </c>
      <c r="H989" s="1" t="s">
        <v>2638</v>
      </c>
      <c r="I989" s="1">
        <v>1</v>
      </c>
      <c r="J989" s="3">
        <v>10472</v>
      </c>
      <c r="K989" s="3">
        <v>8911</v>
      </c>
      <c r="L989" s="1">
        <v>0</v>
      </c>
      <c r="M989" s="4">
        <v>0</v>
      </c>
      <c r="N989" s="3">
        <v>1561</v>
      </c>
      <c r="O989" s="4">
        <v>0.14899999999999999</v>
      </c>
      <c r="P989" s="1" t="s">
        <v>2721</v>
      </c>
    </row>
    <row r="990" spans="1:16">
      <c r="A990" s="1" t="s">
        <v>620</v>
      </c>
      <c r="B990" s="1">
        <v>11</v>
      </c>
      <c r="C990" s="1">
        <v>4366421959</v>
      </c>
      <c r="D990" s="1" t="s">
        <v>4403</v>
      </c>
      <c r="E990" s="2">
        <v>45971</v>
      </c>
      <c r="F990" s="1" t="s">
        <v>441</v>
      </c>
      <c r="G990" s="1" t="s">
        <v>4404</v>
      </c>
      <c r="H990" s="1" t="s">
        <v>4405</v>
      </c>
      <c r="I990" s="1">
        <v>1</v>
      </c>
      <c r="J990" s="3">
        <v>38200</v>
      </c>
      <c r="K990" s="3">
        <v>23450</v>
      </c>
      <c r="L990" s="3">
        <v>4966</v>
      </c>
      <c r="M990" s="4">
        <v>0.13</v>
      </c>
      <c r="N990" s="3">
        <v>9784</v>
      </c>
      <c r="O990" s="4">
        <v>0.25600000000000001</v>
      </c>
      <c r="P990" s="1" t="s">
        <v>2721</v>
      </c>
    </row>
    <row r="991" spans="1:16">
      <c r="A991" s="1" t="s">
        <v>620</v>
      </c>
      <c r="B991" s="1">
        <v>11</v>
      </c>
      <c r="C991" s="1">
        <v>2538879753</v>
      </c>
      <c r="D991" s="1" t="s">
        <v>4406</v>
      </c>
      <c r="E991" s="2">
        <v>45971</v>
      </c>
      <c r="F991" s="1" t="s">
        <v>407</v>
      </c>
      <c r="G991" s="1" t="s">
        <v>4407</v>
      </c>
      <c r="H991" s="1" t="s">
        <v>4408</v>
      </c>
      <c r="I991" s="1">
        <v>1</v>
      </c>
      <c r="J991" s="3">
        <v>49000</v>
      </c>
      <c r="K991" s="3">
        <v>30016</v>
      </c>
      <c r="L991" s="3">
        <v>6370</v>
      </c>
      <c r="M991" s="4">
        <v>0.13</v>
      </c>
      <c r="N991" s="3">
        <v>12614</v>
      </c>
      <c r="O991" s="4">
        <v>0.25700000000000001</v>
      </c>
      <c r="P991" s="1" t="s">
        <v>2721</v>
      </c>
    </row>
    <row r="992" spans="1:16">
      <c r="A992" s="1" t="s">
        <v>632</v>
      </c>
      <c r="B992" s="1">
        <v>11</v>
      </c>
      <c r="C992" s="1">
        <v>161845525</v>
      </c>
      <c r="D992" s="1" t="s">
        <v>4409</v>
      </c>
      <c r="E992" s="2">
        <v>45971</v>
      </c>
      <c r="F992" s="1" t="s">
        <v>4410</v>
      </c>
      <c r="G992" s="1" t="s">
        <v>4411</v>
      </c>
      <c r="I992" s="1">
        <v>2</v>
      </c>
      <c r="J992" s="3">
        <v>59800</v>
      </c>
      <c r="K992" s="3">
        <v>46900</v>
      </c>
      <c r="L992" s="3">
        <v>6339</v>
      </c>
      <c r="M992" s="4">
        <v>0.106</v>
      </c>
      <c r="N992" s="3">
        <v>6561</v>
      </c>
      <c r="O992" s="4">
        <v>0.11</v>
      </c>
      <c r="P992" s="1" t="s">
        <v>2721</v>
      </c>
    </row>
    <row r="993" spans="1:16">
      <c r="A993" s="1" t="s">
        <v>632</v>
      </c>
      <c r="B993" s="1">
        <v>11</v>
      </c>
      <c r="C993" s="1">
        <v>161809557</v>
      </c>
      <c r="D993" s="1" t="s">
        <v>4412</v>
      </c>
      <c r="E993" s="2">
        <v>45971</v>
      </c>
      <c r="F993" s="1" t="s">
        <v>200</v>
      </c>
      <c r="G993" s="1" t="s">
        <v>4413</v>
      </c>
      <c r="I993" s="1">
        <v>1</v>
      </c>
      <c r="J993" s="3">
        <v>37000</v>
      </c>
      <c r="K993" s="3">
        <v>30016</v>
      </c>
      <c r="L993" s="3">
        <v>3922</v>
      </c>
      <c r="M993" s="4">
        <v>0.106</v>
      </c>
      <c r="N993" s="3">
        <v>3062</v>
      </c>
      <c r="O993" s="4">
        <v>8.3000000000000004E-2</v>
      </c>
      <c r="P993" s="1" t="s">
        <v>2721</v>
      </c>
    </row>
    <row r="994" spans="1:16">
      <c r="A994" s="1" t="s">
        <v>632</v>
      </c>
      <c r="B994" s="1">
        <v>11</v>
      </c>
      <c r="C994" s="1">
        <v>161742307</v>
      </c>
      <c r="D994" s="1" t="s">
        <v>682</v>
      </c>
      <c r="E994" s="2">
        <v>45971</v>
      </c>
      <c r="F994" s="1" t="s">
        <v>500</v>
      </c>
      <c r="G994" s="1" t="s">
        <v>683</v>
      </c>
      <c r="I994" s="1">
        <v>1</v>
      </c>
      <c r="J994" s="3">
        <v>134900</v>
      </c>
      <c r="K994" s="3">
        <v>107500</v>
      </c>
      <c r="L994" s="3">
        <v>14299</v>
      </c>
      <c r="M994" s="4">
        <v>0.106</v>
      </c>
      <c r="N994" s="3">
        <v>13100</v>
      </c>
      <c r="O994" s="4">
        <v>9.7000000000000003E-2</v>
      </c>
      <c r="P994" s="1" t="s">
        <v>2721</v>
      </c>
    </row>
    <row r="995" spans="1:16">
      <c r="A995" s="1" t="s">
        <v>632</v>
      </c>
      <c r="B995" s="1">
        <v>11</v>
      </c>
      <c r="C995" s="1">
        <v>161562341</v>
      </c>
      <c r="D995" s="1" t="s">
        <v>715</v>
      </c>
      <c r="E995" s="2">
        <v>45971</v>
      </c>
      <c r="F995" s="1" t="s">
        <v>500</v>
      </c>
      <c r="G995" s="1" t="s">
        <v>716</v>
      </c>
      <c r="I995" s="1">
        <v>1</v>
      </c>
      <c r="J995" s="3">
        <v>138900</v>
      </c>
      <c r="K995" s="3">
        <v>111200</v>
      </c>
      <c r="L995" s="3">
        <v>14723</v>
      </c>
      <c r="M995" s="4">
        <v>0.106</v>
      </c>
      <c r="N995" s="3">
        <v>12977</v>
      </c>
      <c r="O995" s="4">
        <v>9.2999999999999999E-2</v>
      </c>
      <c r="P995" s="1" t="s">
        <v>2721</v>
      </c>
    </row>
    <row r="996" spans="1:16">
      <c r="A996" s="1" t="s">
        <v>632</v>
      </c>
      <c r="B996" s="1">
        <v>11</v>
      </c>
      <c r="C996" s="1">
        <v>161453049</v>
      </c>
      <c r="D996" s="1" t="s">
        <v>4414</v>
      </c>
      <c r="E996" s="2">
        <v>45971</v>
      </c>
      <c r="F996" s="1" t="s">
        <v>48</v>
      </c>
      <c r="G996" s="1" t="s">
        <v>4415</v>
      </c>
      <c r="I996" s="1">
        <v>1</v>
      </c>
      <c r="J996" s="3">
        <v>17900</v>
      </c>
      <c r="K996" s="3">
        <v>13714</v>
      </c>
      <c r="L996" s="3">
        <v>1897</v>
      </c>
      <c r="M996" s="4">
        <v>0.106</v>
      </c>
      <c r="N996" s="3">
        <v>2289</v>
      </c>
      <c r="O996" s="4">
        <v>0.128</v>
      </c>
      <c r="P996" s="1" t="s">
        <v>2721</v>
      </c>
    </row>
    <row r="997" spans="1:16">
      <c r="A997" s="1" t="s">
        <v>1917</v>
      </c>
      <c r="B997" s="1">
        <v>11</v>
      </c>
      <c r="C997" s="1">
        <v>1.1616176259221099E+20</v>
      </c>
      <c r="D997" s="1" t="s">
        <v>2124</v>
      </c>
      <c r="E997" s="2">
        <v>45971</v>
      </c>
      <c r="F997" s="1" t="s">
        <v>256</v>
      </c>
      <c r="G997" s="1" t="s">
        <v>2125</v>
      </c>
      <c r="H997" s="1" t="s">
        <v>560</v>
      </c>
      <c r="I997" s="1">
        <v>1</v>
      </c>
      <c r="J997" s="3">
        <v>10396</v>
      </c>
      <c r="K997" s="3">
        <v>8911</v>
      </c>
      <c r="L997" s="1">
        <v>0</v>
      </c>
      <c r="M997" s="4">
        <v>0</v>
      </c>
      <c r="N997" s="3">
        <v>1485</v>
      </c>
      <c r="O997" s="4">
        <v>0.14299999999999999</v>
      </c>
      <c r="P997" s="1" t="s">
        <v>2721</v>
      </c>
    </row>
    <row r="998" spans="1:16">
      <c r="A998" s="1" t="s">
        <v>1917</v>
      </c>
      <c r="B998" s="1">
        <v>11</v>
      </c>
      <c r="C998" s="1">
        <v>1.1616176259221099E+20</v>
      </c>
      <c r="D998" s="1" t="s">
        <v>4416</v>
      </c>
      <c r="E998" s="2">
        <v>45971</v>
      </c>
      <c r="F998" s="1" t="s">
        <v>256</v>
      </c>
      <c r="G998" s="1" t="s">
        <v>4417</v>
      </c>
      <c r="H998" s="1" t="s">
        <v>4418</v>
      </c>
      <c r="I998" s="1">
        <v>1</v>
      </c>
      <c r="J998" s="3">
        <v>10120</v>
      </c>
      <c r="K998" s="3">
        <v>8911</v>
      </c>
      <c r="L998" s="1">
        <v>0</v>
      </c>
      <c r="M998" s="4">
        <v>0</v>
      </c>
      <c r="N998" s="3">
        <v>1209</v>
      </c>
      <c r="O998" s="4">
        <v>0.11899999999999999</v>
      </c>
      <c r="P998" s="1" t="s">
        <v>2721</v>
      </c>
    </row>
    <row r="999" spans="1:16">
      <c r="A999" s="1" t="s">
        <v>1917</v>
      </c>
      <c r="B999" s="1">
        <v>11</v>
      </c>
      <c r="C999" s="1">
        <v>1.1616176259221099E+20</v>
      </c>
      <c r="D999" s="1" t="s">
        <v>4419</v>
      </c>
      <c r="E999" s="2">
        <v>45971</v>
      </c>
      <c r="F999" s="1" t="s">
        <v>256</v>
      </c>
      <c r="G999" s="1" t="s">
        <v>4420</v>
      </c>
      <c r="H999" s="1" t="s">
        <v>4421</v>
      </c>
      <c r="I999" s="1">
        <v>1</v>
      </c>
      <c r="J999" s="3">
        <v>10672</v>
      </c>
      <c r="K999" s="3">
        <v>9202</v>
      </c>
      <c r="L999" s="1">
        <v>0</v>
      </c>
      <c r="M999" s="4">
        <v>0</v>
      </c>
      <c r="N999" s="3">
        <v>1470</v>
      </c>
      <c r="O999" s="4">
        <v>0.13800000000000001</v>
      </c>
      <c r="P999" s="1" t="s">
        <v>2721</v>
      </c>
    </row>
    <row r="1000" spans="1:16">
      <c r="A1000" s="1" t="s">
        <v>1917</v>
      </c>
      <c r="B1000" s="1">
        <v>11</v>
      </c>
      <c r="C1000" s="1">
        <v>1.1610176253708299E+20</v>
      </c>
      <c r="D1000" s="1" t="s">
        <v>4422</v>
      </c>
      <c r="E1000" s="2">
        <v>45971</v>
      </c>
      <c r="F1000" s="1" t="s">
        <v>3343</v>
      </c>
      <c r="G1000" s="1" t="s">
        <v>4423</v>
      </c>
      <c r="H1000" s="1" t="s">
        <v>4424</v>
      </c>
      <c r="I1000" s="1">
        <v>1</v>
      </c>
      <c r="J1000" s="3">
        <v>30420</v>
      </c>
      <c r="K1000" s="3">
        <v>25701</v>
      </c>
      <c r="L1000" s="1">
        <v>0</v>
      </c>
      <c r="M1000" s="4">
        <v>0</v>
      </c>
      <c r="N1000" s="3">
        <v>4719</v>
      </c>
      <c r="O1000" s="4">
        <v>0.155</v>
      </c>
      <c r="P1000" s="1" t="s">
        <v>2721</v>
      </c>
    </row>
    <row r="1001" spans="1:16">
      <c r="A1001" s="1" t="s">
        <v>1917</v>
      </c>
      <c r="B1001" s="1">
        <v>11</v>
      </c>
      <c r="C1001" s="1">
        <v>1.1608176249920201E+20</v>
      </c>
      <c r="D1001" s="1" t="s">
        <v>708</v>
      </c>
      <c r="E1001" s="2">
        <v>45971</v>
      </c>
      <c r="F1001" s="1" t="s">
        <v>317</v>
      </c>
      <c r="G1001" s="1" t="s">
        <v>709</v>
      </c>
      <c r="H1001" s="1" t="s">
        <v>319</v>
      </c>
      <c r="I1001" s="1">
        <v>1</v>
      </c>
      <c r="J1001" s="3">
        <v>30510</v>
      </c>
      <c r="K1001" s="3">
        <v>24388</v>
      </c>
      <c r="L1001" s="1">
        <v>0</v>
      </c>
      <c r="M1001" s="4">
        <v>0</v>
      </c>
      <c r="N1001" s="3">
        <v>6122</v>
      </c>
      <c r="O1001" s="4">
        <v>0.20100000000000001</v>
      </c>
      <c r="P1001" s="1" t="s">
        <v>2721</v>
      </c>
    </row>
    <row r="1002" spans="1:16">
      <c r="A1002" s="1" t="s">
        <v>1917</v>
      </c>
      <c r="B1002" s="1">
        <v>11</v>
      </c>
      <c r="C1002" s="1">
        <v>1.16021762491844E+20</v>
      </c>
      <c r="D1002" s="1" t="s">
        <v>1862</v>
      </c>
      <c r="E1002" s="2">
        <v>45971</v>
      </c>
      <c r="F1002" s="1" t="s">
        <v>235</v>
      </c>
      <c r="G1002" s="1" t="s">
        <v>1863</v>
      </c>
      <c r="H1002" s="1" t="s">
        <v>4425</v>
      </c>
      <c r="I1002" s="1">
        <v>1</v>
      </c>
      <c r="J1002" s="3">
        <v>8820</v>
      </c>
      <c r="K1002" s="3">
        <v>7739</v>
      </c>
      <c r="L1002" s="1">
        <v>0</v>
      </c>
      <c r="M1002" s="4">
        <v>0</v>
      </c>
      <c r="N1002" s="3">
        <v>1081</v>
      </c>
      <c r="O1002" s="4">
        <v>0.123</v>
      </c>
      <c r="P1002" s="1" t="s">
        <v>2721</v>
      </c>
    </row>
    <row r="1003" spans="1:16">
      <c r="A1003" s="1" t="s">
        <v>1917</v>
      </c>
      <c r="B1003" s="1">
        <v>11</v>
      </c>
      <c r="C1003" s="1">
        <v>1.16021762491844E+20</v>
      </c>
      <c r="D1003" s="1" t="s">
        <v>2071</v>
      </c>
      <c r="E1003" s="2">
        <v>45971</v>
      </c>
      <c r="F1003" s="1" t="s">
        <v>235</v>
      </c>
      <c r="G1003" s="1" t="s">
        <v>2072</v>
      </c>
      <c r="H1003" s="1" t="s">
        <v>1395</v>
      </c>
      <c r="I1003" s="1">
        <v>1</v>
      </c>
      <c r="J1003" s="3">
        <v>8820</v>
      </c>
      <c r="K1003" s="3">
        <v>7739</v>
      </c>
      <c r="L1003" s="1">
        <v>0</v>
      </c>
      <c r="M1003" s="4">
        <v>0</v>
      </c>
      <c r="N1003" s="3">
        <v>1081</v>
      </c>
      <c r="O1003" s="4">
        <v>0.123</v>
      </c>
      <c r="P1003" s="1" t="s">
        <v>2721</v>
      </c>
    </row>
    <row r="1004" spans="1:16">
      <c r="A1004" s="1" t="s">
        <v>1917</v>
      </c>
      <c r="B1004" s="1">
        <v>11</v>
      </c>
      <c r="C1004" s="1">
        <v>1.16001762491761E+20</v>
      </c>
      <c r="D1004" s="1" t="s">
        <v>4426</v>
      </c>
      <c r="E1004" s="2">
        <v>45971</v>
      </c>
      <c r="F1004" s="1" t="s">
        <v>256</v>
      </c>
      <c r="G1004" s="1" t="s">
        <v>4427</v>
      </c>
      <c r="H1004" s="1" t="s">
        <v>4428</v>
      </c>
      <c r="I1004" s="1">
        <v>1</v>
      </c>
      <c r="J1004" s="3">
        <v>31464</v>
      </c>
      <c r="K1004" s="3">
        <v>25326</v>
      </c>
      <c r="L1004" s="1">
        <v>0</v>
      </c>
      <c r="M1004" s="4">
        <v>0</v>
      </c>
      <c r="N1004" s="3">
        <v>6138</v>
      </c>
      <c r="O1004" s="4">
        <v>0.19500000000000001</v>
      </c>
      <c r="P1004" s="1" t="s">
        <v>2721</v>
      </c>
    </row>
    <row r="1005" spans="1:16">
      <c r="A1005" s="1" t="s">
        <v>686</v>
      </c>
      <c r="B1005" s="1">
        <v>11</v>
      </c>
      <c r="C1005" s="1" t="s">
        <v>4429</v>
      </c>
      <c r="D1005" s="1" t="s">
        <v>4430</v>
      </c>
      <c r="E1005" s="2">
        <v>45971</v>
      </c>
      <c r="F1005" s="1" t="s">
        <v>689</v>
      </c>
      <c r="G1005" s="1" t="s">
        <v>4431</v>
      </c>
      <c r="H1005" s="1" t="s">
        <v>4432</v>
      </c>
      <c r="I1005" s="1">
        <v>1</v>
      </c>
      <c r="J1005" s="3">
        <v>18300</v>
      </c>
      <c r="K1005" s="3">
        <v>12194</v>
      </c>
      <c r="L1005" s="1">
        <v>714</v>
      </c>
      <c r="M1005" s="4">
        <v>3.9E-2</v>
      </c>
      <c r="N1005" s="3">
        <v>5392</v>
      </c>
      <c r="O1005" s="4">
        <v>0.29499999999999998</v>
      </c>
      <c r="P1005" s="1" t="s">
        <v>2721</v>
      </c>
    </row>
    <row r="1006" spans="1:16">
      <c r="A1006" s="1" t="s">
        <v>1849</v>
      </c>
      <c r="B1006" s="1">
        <v>11</v>
      </c>
      <c r="C1006" s="1">
        <v>6935520</v>
      </c>
      <c r="D1006" s="1" t="s">
        <v>1968</v>
      </c>
      <c r="E1006" s="2">
        <v>45971</v>
      </c>
      <c r="F1006" s="1" t="s">
        <v>239</v>
      </c>
      <c r="G1006" s="1" t="s">
        <v>1969</v>
      </c>
      <c r="H1006" s="1" t="s">
        <v>1970</v>
      </c>
      <c r="I1006" s="1">
        <v>1</v>
      </c>
      <c r="J1006" s="3">
        <v>16800</v>
      </c>
      <c r="K1006" s="3">
        <v>10787</v>
      </c>
      <c r="L1006" s="3">
        <v>2520</v>
      </c>
      <c r="M1006" s="4">
        <v>0.15</v>
      </c>
      <c r="N1006" s="3">
        <v>3493</v>
      </c>
      <c r="O1006" s="4">
        <v>0.20799999999999999</v>
      </c>
      <c r="P1006" s="1" t="s">
        <v>2721</v>
      </c>
    </row>
    <row r="1007" spans="1:16">
      <c r="A1007" s="1" t="s">
        <v>1849</v>
      </c>
      <c r="B1007" s="1">
        <v>11</v>
      </c>
      <c r="C1007" s="1">
        <v>6935521</v>
      </c>
      <c r="D1007" s="1" t="s">
        <v>1983</v>
      </c>
      <c r="E1007" s="2">
        <v>45971</v>
      </c>
      <c r="F1007" s="1" t="s">
        <v>239</v>
      </c>
      <c r="G1007" s="1" t="s">
        <v>1984</v>
      </c>
      <c r="H1007" s="1" t="s">
        <v>4433</v>
      </c>
      <c r="I1007" s="1">
        <v>1</v>
      </c>
      <c r="J1007" s="3">
        <v>16800</v>
      </c>
      <c r="K1007" s="3">
        <v>10787</v>
      </c>
      <c r="L1007" s="3">
        <v>2520</v>
      </c>
      <c r="M1007" s="4">
        <v>0.15</v>
      </c>
      <c r="N1007" s="3">
        <v>3493</v>
      </c>
      <c r="O1007" s="4">
        <v>0.20799999999999999</v>
      </c>
      <c r="P1007" s="1" t="s">
        <v>2721</v>
      </c>
    </row>
    <row r="1008" spans="1:16">
      <c r="A1008" s="1" t="s">
        <v>1849</v>
      </c>
      <c r="B1008" s="1">
        <v>11</v>
      </c>
      <c r="C1008" s="1">
        <v>259008</v>
      </c>
      <c r="D1008" s="1" t="s">
        <v>728</v>
      </c>
      <c r="E1008" s="2">
        <v>45971</v>
      </c>
      <c r="F1008" s="1" t="s">
        <v>534</v>
      </c>
      <c r="G1008" s="1" t="s">
        <v>729</v>
      </c>
      <c r="H1008" s="1" t="s">
        <v>3031</v>
      </c>
      <c r="I1008" s="1">
        <v>1</v>
      </c>
      <c r="J1008" s="3">
        <v>48900</v>
      </c>
      <c r="K1008" s="3">
        <v>31500</v>
      </c>
      <c r="L1008" s="3">
        <v>7335</v>
      </c>
      <c r="M1008" s="4">
        <v>0.15</v>
      </c>
      <c r="N1008" s="3">
        <v>10065</v>
      </c>
      <c r="O1008" s="4">
        <v>0.20599999999999999</v>
      </c>
      <c r="P1008" s="1" t="s">
        <v>2721</v>
      </c>
    </row>
    <row r="1009" spans="1:16">
      <c r="A1009" s="1" t="s">
        <v>1849</v>
      </c>
      <c r="B1009" s="1">
        <v>11</v>
      </c>
      <c r="C1009" s="1">
        <v>258743</v>
      </c>
      <c r="D1009" s="1" t="s">
        <v>1983</v>
      </c>
      <c r="E1009" s="2">
        <v>45971</v>
      </c>
      <c r="F1009" s="1" t="s">
        <v>239</v>
      </c>
      <c r="G1009" s="1" t="s">
        <v>1984</v>
      </c>
      <c r="H1009" s="1" t="s">
        <v>1985</v>
      </c>
      <c r="I1009" s="1">
        <v>1</v>
      </c>
      <c r="J1009" s="3">
        <v>20700</v>
      </c>
      <c r="K1009" s="3">
        <v>10787</v>
      </c>
      <c r="L1009" s="3">
        <v>3105</v>
      </c>
      <c r="M1009" s="4">
        <v>0.15</v>
      </c>
      <c r="N1009" s="3">
        <v>6808</v>
      </c>
      <c r="O1009" s="4">
        <v>0.32900000000000001</v>
      </c>
      <c r="P1009" s="1" t="s">
        <v>2721</v>
      </c>
    </row>
    <row r="1010" spans="1:16">
      <c r="A1010" s="1" t="s">
        <v>1849</v>
      </c>
      <c r="B1010" s="1">
        <v>11</v>
      </c>
      <c r="C1010" s="1">
        <v>257778</v>
      </c>
      <c r="D1010" s="1" t="s">
        <v>4434</v>
      </c>
      <c r="E1010" s="2">
        <v>45971</v>
      </c>
      <c r="F1010" s="1" t="s">
        <v>1935</v>
      </c>
      <c r="G1010" s="1" t="s">
        <v>4435</v>
      </c>
      <c r="H1010" s="1" t="s">
        <v>4436</v>
      </c>
      <c r="I1010" s="1">
        <v>1</v>
      </c>
      <c r="J1010" s="3">
        <v>13000</v>
      </c>
      <c r="K1010" s="3">
        <v>9474</v>
      </c>
      <c r="L1010" s="3">
        <v>1950</v>
      </c>
      <c r="M1010" s="4">
        <v>0.15</v>
      </c>
      <c r="N1010" s="3">
        <v>1576</v>
      </c>
      <c r="O1010" s="4">
        <v>0.121</v>
      </c>
      <c r="P1010" s="1" t="s">
        <v>2721</v>
      </c>
    </row>
    <row r="1011" spans="1:16">
      <c r="A1011" s="1" t="s">
        <v>1849</v>
      </c>
      <c r="B1011" s="1">
        <v>11</v>
      </c>
      <c r="C1011" s="1">
        <v>257706</v>
      </c>
      <c r="D1011" s="1" t="s">
        <v>3032</v>
      </c>
      <c r="E1011" s="2">
        <v>45971</v>
      </c>
      <c r="F1011" s="1" t="s">
        <v>3033</v>
      </c>
      <c r="G1011" s="1" t="s">
        <v>3034</v>
      </c>
      <c r="H1011" s="1" t="s">
        <v>3035</v>
      </c>
      <c r="I1011" s="1">
        <v>1</v>
      </c>
      <c r="J1011" s="3">
        <v>41900</v>
      </c>
      <c r="K1011" s="3">
        <v>32192</v>
      </c>
      <c r="L1011" s="3">
        <v>6285</v>
      </c>
      <c r="M1011" s="4">
        <v>0.15</v>
      </c>
      <c r="N1011" s="3">
        <v>3423</v>
      </c>
      <c r="O1011" s="4">
        <v>8.2000000000000003E-2</v>
      </c>
      <c r="P1011" s="1" t="s">
        <v>2721</v>
      </c>
    </row>
    <row r="1012" spans="1:16">
      <c r="A1012" s="1" t="s">
        <v>1849</v>
      </c>
      <c r="B1012" s="1">
        <v>11</v>
      </c>
      <c r="C1012" s="1">
        <v>257515</v>
      </c>
      <c r="D1012" s="1" t="s">
        <v>1977</v>
      </c>
      <c r="E1012" s="2">
        <v>45971</v>
      </c>
      <c r="F1012" s="1" t="s">
        <v>235</v>
      </c>
      <c r="G1012" s="1" t="s">
        <v>1978</v>
      </c>
      <c r="H1012" s="1" t="s">
        <v>1979</v>
      </c>
      <c r="I1012" s="1">
        <v>1</v>
      </c>
      <c r="J1012" s="3">
        <v>15900</v>
      </c>
      <c r="K1012" s="3">
        <v>12579</v>
      </c>
      <c r="L1012" s="3">
        <v>2385</v>
      </c>
      <c r="M1012" s="4">
        <v>0.15</v>
      </c>
      <c r="N1012" s="1">
        <v>936</v>
      </c>
      <c r="O1012" s="4">
        <v>5.8999999999999997E-2</v>
      </c>
      <c r="P1012" s="1" t="s">
        <v>2721</v>
      </c>
    </row>
    <row r="1013" spans="1:16">
      <c r="A1013" s="1" t="s">
        <v>1849</v>
      </c>
      <c r="B1013" s="1">
        <v>11</v>
      </c>
      <c r="C1013" s="1">
        <v>257492</v>
      </c>
      <c r="D1013" s="1" t="s">
        <v>1980</v>
      </c>
      <c r="E1013" s="2">
        <v>45971</v>
      </c>
      <c r="F1013" s="1" t="s">
        <v>23</v>
      </c>
      <c r="G1013" s="1" t="s">
        <v>1981</v>
      </c>
      <c r="H1013" s="1" t="s">
        <v>1982</v>
      </c>
      <c r="I1013" s="1">
        <v>1</v>
      </c>
      <c r="J1013" s="3">
        <v>26400</v>
      </c>
      <c r="K1013" s="3">
        <v>10787</v>
      </c>
      <c r="L1013" s="3">
        <v>3960</v>
      </c>
      <c r="M1013" s="4">
        <v>0.15</v>
      </c>
      <c r="N1013" s="3">
        <v>11653</v>
      </c>
      <c r="O1013" s="4">
        <v>0.441</v>
      </c>
      <c r="P1013" s="1" t="s">
        <v>2721</v>
      </c>
    </row>
    <row r="1014" spans="1:16">
      <c r="A1014" s="1" t="s">
        <v>1849</v>
      </c>
      <c r="B1014" s="1">
        <v>11</v>
      </c>
      <c r="C1014" s="1">
        <v>256108</v>
      </c>
      <c r="D1014" s="1" t="s">
        <v>4437</v>
      </c>
      <c r="E1014" s="2">
        <v>45971</v>
      </c>
      <c r="F1014" s="1" t="s">
        <v>1935</v>
      </c>
      <c r="G1014" s="1" t="s">
        <v>4438</v>
      </c>
      <c r="H1014" s="1" t="s">
        <v>4439</v>
      </c>
      <c r="I1014" s="1">
        <v>1</v>
      </c>
      <c r="J1014" s="3">
        <v>11900</v>
      </c>
      <c r="K1014" s="3">
        <v>8151</v>
      </c>
      <c r="L1014" s="3">
        <v>1785</v>
      </c>
      <c r="M1014" s="4">
        <v>0.15</v>
      </c>
      <c r="N1014" s="3">
        <v>1964</v>
      </c>
      <c r="O1014" s="4">
        <v>0.16500000000000001</v>
      </c>
      <c r="P1014" s="1" t="s">
        <v>2721</v>
      </c>
    </row>
    <row r="1015" spans="1:16">
      <c r="A1015" s="1" t="s">
        <v>1849</v>
      </c>
      <c r="B1015" s="1">
        <v>11</v>
      </c>
      <c r="C1015" s="1">
        <v>255938</v>
      </c>
      <c r="D1015" s="1" t="s">
        <v>4440</v>
      </c>
      <c r="E1015" s="2">
        <v>45971</v>
      </c>
      <c r="F1015" s="1" t="s">
        <v>2636</v>
      </c>
      <c r="G1015" s="1" t="s">
        <v>4441</v>
      </c>
      <c r="H1015" s="1" t="s">
        <v>4442</v>
      </c>
      <c r="I1015" s="1">
        <v>1</v>
      </c>
      <c r="J1015" s="3">
        <v>11000</v>
      </c>
      <c r="K1015" s="3">
        <v>6847</v>
      </c>
      <c r="L1015" s="3">
        <v>1650</v>
      </c>
      <c r="M1015" s="4">
        <v>0.15</v>
      </c>
      <c r="N1015" s="3">
        <v>2503</v>
      </c>
      <c r="O1015" s="4">
        <v>0.22800000000000001</v>
      </c>
      <c r="P1015" s="1" t="s">
        <v>2721</v>
      </c>
    </row>
    <row r="1016" spans="1:16">
      <c r="A1016" s="1" t="s">
        <v>692</v>
      </c>
      <c r="B1016" s="1">
        <v>11</v>
      </c>
      <c r="C1016" s="1" t="s">
        <v>4443</v>
      </c>
      <c r="D1016" s="1" t="s">
        <v>4444</v>
      </c>
      <c r="E1016" s="2">
        <v>45971</v>
      </c>
      <c r="F1016" s="1" t="s">
        <v>1411</v>
      </c>
      <c r="G1016" s="1" t="s">
        <v>4445</v>
      </c>
      <c r="H1016" s="1" t="s">
        <v>4446</v>
      </c>
      <c r="I1016" s="1">
        <v>1</v>
      </c>
      <c r="J1016" s="3">
        <v>41565</v>
      </c>
      <c r="K1016" s="3">
        <v>38833</v>
      </c>
      <c r="L1016" s="1">
        <v>0</v>
      </c>
      <c r="M1016" s="4">
        <v>0</v>
      </c>
      <c r="N1016" s="3">
        <v>2732</v>
      </c>
      <c r="O1016" s="4">
        <v>6.6000000000000003E-2</v>
      </c>
      <c r="P1016" s="1" t="s">
        <v>2721</v>
      </c>
    </row>
    <row r="1017" spans="1:16">
      <c r="A1017" s="1" t="s">
        <v>692</v>
      </c>
      <c r="B1017" s="1">
        <v>11</v>
      </c>
      <c r="C1017" s="1" t="s">
        <v>4447</v>
      </c>
      <c r="D1017" s="1" t="s">
        <v>3048</v>
      </c>
      <c r="E1017" s="2">
        <v>45971</v>
      </c>
      <c r="F1017" s="1" t="s">
        <v>96</v>
      </c>
      <c r="G1017" s="1" t="s">
        <v>3049</v>
      </c>
      <c r="H1017" s="1" t="s">
        <v>3050</v>
      </c>
      <c r="I1017" s="1">
        <v>1</v>
      </c>
      <c r="J1017" s="3">
        <v>13464</v>
      </c>
      <c r="K1017" s="3">
        <v>12427</v>
      </c>
      <c r="L1017" s="1">
        <v>0</v>
      </c>
      <c r="M1017" s="4">
        <v>0</v>
      </c>
      <c r="N1017" s="3">
        <v>1037</v>
      </c>
      <c r="O1017" s="4">
        <v>7.6999999999999999E-2</v>
      </c>
      <c r="P1017" s="1" t="s">
        <v>2721</v>
      </c>
    </row>
    <row r="1018" spans="1:16">
      <c r="A1018" s="1" t="s">
        <v>692</v>
      </c>
      <c r="B1018" s="1">
        <v>11</v>
      </c>
      <c r="C1018" s="1" t="s">
        <v>4448</v>
      </c>
      <c r="D1018" s="1" t="s">
        <v>1945</v>
      </c>
      <c r="E1018" s="2">
        <v>45971</v>
      </c>
      <c r="F1018" s="1" t="s">
        <v>96</v>
      </c>
      <c r="G1018" s="1" t="s">
        <v>1946</v>
      </c>
      <c r="H1018" s="1" t="s">
        <v>1947</v>
      </c>
      <c r="I1018" s="1">
        <v>1</v>
      </c>
      <c r="J1018" s="3">
        <v>18615</v>
      </c>
      <c r="K1018" s="3">
        <v>16227</v>
      </c>
      <c r="L1018" s="1">
        <v>0</v>
      </c>
      <c r="M1018" s="4">
        <v>0</v>
      </c>
      <c r="N1018" s="3">
        <v>2388</v>
      </c>
      <c r="O1018" s="4">
        <v>0.128</v>
      </c>
      <c r="P1018" s="1" t="s">
        <v>2721</v>
      </c>
    </row>
    <row r="1019" spans="1:16">
      <c r="A1019" s="1" t="s">
        <v>692</v>
      </c>
      <c r="B1019" s="1">
        <v>11</v>
      </c>
      <c r="C1019" s="1" t="s">
        <v>4449</v>
      </c>
      <c r="D1019" s="1" t="s">
        <v>4450</v>
      </c>
      <c r="E1019" s="2">
        <v>45971</v>
      </c>
      <c r="F1019" s="1" t="s">
        <v>33</v>
      </c>
      <c r="G1019" s="1" t="s">
        <v>4451</v>
      </c>
      <c r="H1019" s="1" t="s">
        <v>4452</v>
      </c>
      <c r="I1019" s="1">
        <v>1</v>
      </c>
      <c r="J1019" s="3">
        <v>123930</v>
      </c>
      <c r="K1019" s="3">
        <v>97458</v>
      </c>
      <c r="L1019" s="1">
        <v>0</v>
      </c>
      <c r="M1019" s="4">
        <v>0</v>
      </c>
      <c r="N1019" s="3">
        <v>26472</v>
      </c>
      <c r="O1019" s="4">
        <v>0.214</v>
      </c>
      <c r="P1019" s="1" t="s">
        <v>2721</v>
      </c>
    </row>
    <row r="1020" spans="1:16">
      <c r="A1020" s="1" t="s">
        <v>692</v>
      </c>
      <c r="B1020" s="1">
        <v>11</v>
      </c>
      <c r="C1020" s="1" t="s">
        <v>4453</v>
      </c>
      <c r="D1020" s="1" t="s">
        <v>694</v>
      </c>
      <c r="E1020" s="2">
        <v>45971</v>
      </c>
      <c r="F1020" s="1" t="s">
        <v>96</v>
      </c>
      <c r="G1020" s="1" t="s">
        <v>695</v>
      </c>
      <c r="H1020" s="1" t="s">
        <v>696</v>
      </c>
      <c r="I1020" s="1">
        <v>1</v>
      </c>
      <c r="J1020" s="3">
        <v>16065</v>
      </c>
      <c r="K1020" s="3">
        <v>14584</v>
      </c>
      <c r="L1020" s="1">
        <v>0</v>
      </c>
      <c r="M1020" s="4">
        <v>0</v>
      </c>
      <c r="N1020" s="3">
        <v>1481</v>
      </c>
      <c r="O1020" s="4">
        <v>9.1999999999999998E-2</v>
      </c>
      <c r="P1020" s="1" t="s">
        <v>2721</v>
      </c>
    </row>
    <row r="1021" spans="1:16">
      <c r="A1021" s="1" t="s">
        <v>692</v>
      </c>
      <c r="B1021" s="1">
        <v>11</v>
      </c>
      <c r="C1021" s="1" t="s">
        <v>4454</v>
      </c>
      <c r="D1021" s="1" t="s">
        <v>694</v>
      </c>
      <c r="E1021" s="2">
        <v>45971</v>
      </c>
      <c r="F1021" s="1" t="s">
        <v>96</v>
      </c>
      <c r="G1021" s="1" t="s">
        <v>695</v>
      </c>
      <c r="H1021" s="1" t="s">
        <v>696</v>
      </c>
      <c r="I1021" s="1">
        <v>1</v>
      </c>
      <c r="J1021" s="3">
        <v>16065</v>
      </c>
      <c r="K1021" s="3">
        <v>14584</v>
      </c>
      <c r="L1021" s="1">
        <v>0</v>
      </c>
      <c r="M1021" s="4">
        <v>0</v>
      </c>
      <c r="N1021" s="3">
        <v>1481</v>
      </c>
      <c r="O1021" s="4">
        <v>9.1999999999999998E-2</v>
      </c>
      <c r="P1021" s="1" t="s">
        <v>2721</v>
      </c>
    </row>
    <row r="1022" spans="1:16">
      <c r="A1022" s="1" t="s">
        <v>692</v>
      </c>
      <c r="B1022" s="1">
        <v>11</v>
      </c>
      <c r="C1022" s="1" t="s">
        <v>4455</v>
      </c>
      <c r="D1022" s="1" t="s">
        <v>4456</v>
      </c>
      <c r="E1022" s="2">
        <v>45971</v>
      </c>
      <c r="F1022" s="1" t="s">
        <v>96</v>
      </c>
      <c r="G1022" s="1" t="s">
        <v>4457</v>
      </c>
      <c r="H1022" s="1" t="s">
        <v>941</v>
      </c>
      <c r="I1022" s="1">
        <v>2</v>
      </c>
      <c r="J1022" s="3">
        <v>27880</v>
      </c>
      <c r="K1022" s="3">
        <v>25716</v>
      </c>
      <c r="L1022" s="1">
        <v>0</v>
      </c>
      <c r="M1022" s="4">
        <v>0</v>
      </c>
      <c r="N1022" s="3">
        <v>2164</v>
      </c>
      <c r="O1022" s="4">
        <v>7.8E-2</v>
      </c>
      <c r="P1022" s="1" t="s">
        <v>2721</v>
      </c>
    </row>
    <row r="1023" spans="1:16">
      <c r="A1023" s="1" t="s">
        <v>2033</v>
      </c>
      <c r="B1023" s="1">
        <v>11</v>
      </c>
      <c r="C1023" s="1">
        <v>2.0251110045857101E+18</v>
      </c>
      <c r="D1023" s="1" t="s">
        <v>4458</v>
      </c>
      <c r="E1023" s="2">
        <v>45971</v>
      </c>
      <c r="F1023" s="1" t="s">
        <v>3033</v>
      </c>
      <c r="G1023" s="1" t="s">
        <v>4459</v>
      </c>
      <c r="H1023" s="1" t="s">
        <v>4460</v>
      </c>
      <c r="I1023" s="1">
        <v>1</v>
      </c>
      <c r="J1023" s="3">
        <v>27965</v>
      </c>
      <c r="K1023" s="3">
        <v>24688</v>
      </c>
      <c r="L1023" s="1">
        <v>0</v>
      </c>
      <c r="M1023" s="4">
        <v>0</v>
      </c>
      <c r="N1023" s="3">
        <v>3277</v>
      </c>
      <c r="O1023" s="4">
        <v>0.11700000000000001</v>
      </c>
      <c r="P1023" s="1" t="s">
        <v>2721</v>
      </c>
    </row>
    <row r="1024" spans="1:16">
      <c r="A1024" s="1" t="s">
        <v>2033</v>
      </c>
      <c r="B1024" s="1">
        <v>11</v>
      </c>
      <c r="C1024" s="1">
        <v>2.02511071926001E+18</v>
      </c>
      <c r="D1024" s="1" t="s">
        <v>4461</v>
      </c>
      <c r="E1024" s="2">
        <v>45971</v>
      </c>
      <c r="F1024" s="1" t="s">
        <v>368</v>
      </c>
      <c r="G1024" s="1" t="s">
        <v>4462</v>
      </c>
      <c r="H1024" s="1" t="s">
        <v>2318</v>
      </c>
      <c r="I1024" s="1">
        <v>1</v>
      </c>
      <c r="J1024" s="3">
        <v>35020</v>
      </c>
      <c r="K1024" s="3">
        <v>25716</v>
      </c>
      <c r="L1024" s="1">
        <v>0</v>
      </c>
      <c r="M1024" s="4">
        <v>0</v>
      </c>
      <c r="N1024" s="3">
        <v>9304</v>
      </c>
      <c r="O1024" s="4">
        <v>0.26600000000000001</v>
      </c>
      <c r="P1024" s="1" t="s">
        <v>2721</v>
      </c>
    </row>
    <row r="1025" spans="1:16">
      <c r="A1025" s="1" t="s">
        <v>2033</v>
      </c>
      <c r="B1025" s="1">
        <v>11</v>
      </c>
      <c r="C1025" s="1">
        <v>2.0251107112428101E+18</v>
      </c>
      <c r="D1025" s="1" t="s">
        <v>4463</v>
      </c>
      <c r="E1025" s="2">
        <v>45971</v>
      </c>
      <c r="F1025" s="1" t="s">
        <v>53</v>
      </c>
      <c r="G1025" s="1" t="s">
        <v>4464</v>
      </c>
      <c r="H1025" s="1" t="s">
        <v>4465</v>
      </c>
      <c r="I1025" s="1">
        <v>1</v>
      </c>
      <c r="J1025" s="3">
        <v>14365</v>
      </c>
      <c r="K1025" s="3">
        <v>13676</v>
      </c>
      <c r="L1025" s="1">
        <v>0</v>
      </c>
      <c r="M1025" s="4">
        <v>0</v>
      </c>
      <c r="N1025" s="1">
        <v>689</v>
      </c>
      <c r="O1025" s="4">
        <v>4.8000000000000001E-2</v>
      </c>
      <c r="P1025" s="1" t="s">
        <v>2721</v>
      </c>
    </row>
    <row r="1026" spans="1:16">
      <c r="A1026" s="1" t="s">
        <v>702</v>
      </c>
      <c r="B1026" s="1">
        <v>11</v>
      </c>
      <c r="C1026" s="1" t="s">
        <v>4466</v>
      </c>
      <c r="D1026" s="1" t="s">
        <v>2048</v>
      </c>
      <c r="E1026" s="2">
        <v>45971</v>
      </c>
      <c r="F1026" s="1" t="s">
        <v>96</v>
      </c>
      <c r="G1026" s="1" t="s">
        <v>2049</v>
      </c>
      <c r="H1026" s="1" t="s">
        <v>1321</v>
      </c>
      <c r="I1026" s="1">
        <v>1</v>
      </c>
      <c r="J1026" s="3">
        <v>10600</v>
      </c>
      <c r="K1026" s="3">
        <v>8112</v>
      </c>
      <c r="L1026" s="1">
        <v>0</v>
      </c>
      <c r="M1026" s="4">
        <v>0</v>
      </c>
      <c r="N1026" s="3">
        <v>2488</v>
      </c>
      <c r="O1026" s="4">
        <v>0.23499999999999999</v>
      </c>
      <c r="P1026" s="1" t="s">
        <v>2721</v>
      </c>
    </row>
    <row r="1027" spans="1:16">
      <c r="A1027" s="1" t="s">
        <v>702</v>
      </c>
      <c r="B1027" s="1">
        <v>11</v>
      </c>
      <c r="C1027" s="1" t="s">
        <v>4466</v>
      </c>
      <c r="D1027" s="1" t="s">
        <v>4467</v>
      </c>
      <c r="E1027" s="2">
        <v>45971</v>
      </c>
      <c r="F1027" s="1" t="s">
        <v>96</v>
      </c>
      <c r="G1027" s="1" t="s">
        <v>4468</v>
      </c>
      <c r="H1027" s="1" t="s">
        <v>1444</v>
      </c>
      <c r="I1027" s="1">
        <v>1</v>
      </c>
      <c r="J1027" s="3">
        <v>12300</v>
      </c>
      <c r="K1027" s="3">
        <v>8372</v>
      </c>
      <c r="L1027" s="1">
        <v>0</v>
      </c>
      <c r="M1027" s="4">
        <v>0</v>
      </c>
      <c r="N1027" s="3">
        <v>3928</v>
      </c>
      <c r="O1027" s="4">
        <v>0.31900000000000001</v>
      </c>
      <c r="P1027" s="1" t="s">
        <v>2721</v>
      </c>
    </row>
    <row r="1028" spans="1:16">
      <c r="A1028" s="1" t="s">
        <v>702</v>
      </c>
      <c r="B1028" s="1">
        <v>11</v>
      </c>
      <c r="C1028" s="1" t="s">
        <v>4466</v>
      </c>
      <c r="D1028" s="1" t="s">
        <v>4469</v>
      </c>
      <c r="E1028" s="2">
        <v>45971</v>
      </c>
      <c r="F1028" s="1" t="s">
        <v>96</v>
      </c>
      <c r="G1028" s="1" t="s">
        <v>4470</v>
      </c>
      <c r="H1028" s="1" t="s">
        <v>3633</v>
      </c>
      <c r="I1028" s="1">
        <v>1</v>
      </c>
      <c r="J1028" s="3">
        <v>14500</v>
      </c>
      <c r="K1028" s="3">
        <v>11132</v>
      </c>
      <c r="L1028" s="1">
        <v>0</v>
      </c>
      <c r="M1028" s="4">
        <v>0</v>
      </c>
      <c r="N1028" s="3">
        <v>3368</v>
      </c>
      <c r="O1028" s="4">
        <v>0.23200000000000001</v>
      </c>
      <c r="P1028" s="1" t="s">
        <v>2721</v>
      </c>
    </row>
    <row r="1029" spans="1:16">
      <c r="A1029" s="1" t="s">
        <v>702</v>
      </c>
      <c r="B1029" s="1">
        <v>11</v>
      </c>
      <c r="C1029" s="1" t="s">
        <v>4471</v>
      </c>
      <c r="D1029" s="1" t="s">
        <v>4472</v>
      </c>
      <c r="E1029" s="2">
        <v>45971</v>
      </c>
      <c r="F1029" s="1" t="s">
        <v>914</v>
      </c>
      <c r="G1029" s="1" t="s">
        <v>4473</v>
      </c>
      <c r="H1029" s="1" t="s">
        <v>4474</v>
      </c>
      <c r="I1029" s="1">
        <v>1</v>
      </c>
      <c r="J1029" s="3">
        <v>29900</v>
      </c>
      <c r="K1029" s="3">
        <v>18510</v>
      </c>
      <c r="L1029" s="1">
        <v>0</v>
      </c>
      <c r="M1029" s="4">
        <v>0</v>
      </c>
      <c r="N1029" s="3">
        <v>11390</v>
      </c>
      <c r="O1029" s="4">
        <v>0.38100000000000001</v>
      </c>
      <c r="P1029" s="1" t="s">
        <v>2721</v>
      </c>
    </row>
    <row r="1030" spans="1:16">
      <c r="A1030" s="1" t="s">
        <v>702</v>
      </c>
      <c r="B1030" s="1">
        <v>11</v>
      </c>
      <c r="C1030" s="1" t="s">
        <v>4475</v>
      </c>
      <c r="D1030" s="1" t="s">
        <v>4476</v>
      </c>
      <c r="E1030" s="2">
        <v>45971</v>
      </c>
      <c r="F1030" s="1" t="s">
        <v>256</v>
      </c>
      <c r="G1030" s="1" t="s">
        <v>4477</v>
      </c>
      <c r="H1030" s="1" t="s">
        <v>1304</v>
      </c>
      <c r="I1030" s="1">
        <v>1</v>
      </c>
      <c r="J1030" s="3">
        <v>6200</v>
      </c>
      <c r="K1030" s="3">
        <v>4718</v>
      </c>
      <c r="L1030" s="1">
        <v>0</v>
      </c>
      <c r="M1030" s="4">
        <v>0</v>
      </c>
      <c r="N1030" s="3">
        <v>1482</v>
      </c>
      <c r="O1030" s="4">
        <v>0.23899999999999999</v>
      </c>
      <c r="P1030" s="1" t="s">
        <v>2721</v>
      </c>
    </row>
    <row r="1031" spans="1:16">
      <c r="A1031" s="1" t="s">
        <v>2736</v>
      </c>
      <c r="B1031" s="1">
        <v>11</v>
      </c>
      <c r="C1031" s="1">
        <v>2.02511100741444E+17</v>
      </c>
      <c r="D1031" s="1" t="s">
        <v>680</v>
      </c>
      <c r="E1031" s="2">
        <v>45971</v>
      </c>
      <c r="F1031" s="1" t="s">
        <v>500</v>
      </c>
      <c r="G1031" s="1" t="s">
        <v>681</v>
      </c>
      <c r="H1031" s="1" t="s">
        <v>4478</v>
      </c>
      <c r="I1031" s="1">
        <v>1</v>
      </c>
      <c r="J1031" s="3">
        <v>122000</v>
      </c>
      <c r="K1031" s="3">
        <v>101000</v>
      </c>
      <c r="L1031" s="3">
        <v>18300</v>
      </c>
      <c r="M1031" s="4">
        <v>0.15</v>
      </c>
      <c r="N1031" s="3">
        <v>2700</v>
      </c>
      <c r="O1031" s="4">
        <v>2.1999999999999999E-2</v>
      </c>
      <c r="P1031" s="1" t="s">
        <v>2721</v>
      </c>
    </row>
    <row r="1032" spans="1:16">
      <c r="A1032" s="1" t="s">
        <v>707</v>
      </c>
      <c r="B1032" s="1">
        <v>11</v>
      </c>
      <c r="C1032" s="1">
        <v>2.0251108101903501E+17</v>
      </c>
      <c r="D1032" s="1" t="s">
        <v>4479</v>
      </c>
      <c r="E1032" s="2">
        <v>45971</v>
      </c>
      <c r="F1032" s="1" t="s">
        <v>91</v>
      </c>
      <c r="G1032" s="1" t="s">
        <v>4480</v>
      </c>
      <c r="H1032" s="1" t="s">
        <v>4481</v>
      </c>
      <c r="I1032" s="1">
        <v>1</v>
      </c>
      <c r="J1032" s="3">
        <v>17200</v>
      </c>
      <c r="K1032" s="3">
        <v>12907</v>
      </c>
      <c r="L1032" s="3">
        <v>2580</v>
      </c>
      <c r="M1032" s="4">
        <v>0.15</v>
      </c>
      <c r="N1032" s="3">
        <v>1713</v>
      </c>
      <c r="O1032" s="4">
        <v>0.1</v>
      </c>
      <c r="P1032" s="1" t="s">
        <v>2721</v>
      </c>
    </row>
    <row r="1033" spans="1:16">
      <c r="A1033" s="1" t="s">
        <v>707</v>
      </c>
      <c r="B1033" s="1">
        <v>11</v>
      </c>
      <c r="C1033" s="1">
        <v>2.0251109100000998E+17</v>
      </c>
      <c r="D1033" s="1" t="s">
        <v>4482</v>
      </c>
      <c r="E1033" s="2">
        <v>45971</v>
      </c>
      <c r="F1033" s="1" t="s">
        <v>256</v>
      </c>
      <c r="G1033" s="1" t="s">
        <v>4483</v>
      </c>
      <c r="H1033" s="1" t="s">
        <v>4484</v>
      </c>
      <c r="I1033" s="1">
        <v>1</v>
      </c>
      <c r="J1033" s="3">
        <v>7800</v>
      </c>
      <c r="K1033" s="3">
        <v>4925</v>
      </c>
      <c r="L1033" s="3">
        <v>1170</v>
      </c>
      <c r="M1033" s="4">
        <v>0.15</v>
      </c>
      <c r="N1033" s="3">
        <v>1705</v>
      </c>
      <c r="O1033" s="4">
        <v>0.219</v>
      </c>
      <c r="P1033" s="1" t="s">
        <v>2721</v>
      </c>
    </row>
    <row r="1034" spans="1:16">
      <c r="A1034" s="1" t="s">
        <v>707</v>
      </c>
      <c r="B1034" s="1">
        <v>11</v>
      </c>
      <c r="C1034" s="1">
        <v>2.0251110071331299E+17</v>
      </c>
      <c r="D1034" s="1" t="s">
        <v>2071</v>
      </c>
      <c r="E1034" s="2">
        <v>45971</v>
      </c>
      <c r="F1034" s="1" t="s">
        <v>235</v>
      </c>
      <c r="G1034" s="1" t="s">
        <v>2072</v>
      </c>
      <c r="H1034" s="1" t="s">
        <v>2073</v>
      </c>
      <c r="I1034" s="1">
        <v>1</v>
      </c>
      <c r="J1034" s="3">
        <v>9800</v>
      </c>
      <c r="K1034" s="3">
        <v>7739</v>
      </c>
      <c r="L1034" s="3">
        <v>1470</v>
      </c>
      <c r="M1034" s="4">
        <v>0.15</v>
      </c>
      <c r="N1034" s="1">
        <v>591</v>
      </c>
      <c r="O1034" s="4">
        <v>0.06</v>
      </c>
      <c r="P1034" s="1" t="s">
        <v>2721</v>
      </c>
    </row>
    <row r="1035" spans="1:16">
      <c r="A1035" s="1" t="s">
        <v>707</v>
      </c>
      <c r="B1035" s="1">
        <v>11</v>
      </c>
      <c r="C1035" s="1">
        <v>2.0251110071519299E+17</v>
      </c>
      <c r="D1035" s="1" t="s">
        <v>2071</v>
      </c>
      <c r="E1035" s="2">
        <v>45971</v>
      </c>
      <c r="F1035" s="1" t="s">
        <v>235</v>
      </c>
      <c r="G1035" s="1" t="s">
        <v>2072</v>
      </c>
      <c r="H1035" s="1" t="s">
        <v>2073</v>
      </c>
      <c r="I1035" s="1">
        <v>1</v>
      </c>
      <c r="J1035" s="3">
        <v>9800</v>
      </c>
      <c r="K1035" s="3">
        <v>7739</v>
      </c>
      <c r="L1035" s="3">
        <v>1470</v>
      </c>
      <c r="M1035" s="4">
        <v>0.15</v>
      </c>
      <c r="N1035" s="1">
        <v>591</v>
      </c>
      <c r="O1035" s="4">
        <v>0.06</v>
      </c>
      <c r="P1035" s="1" t="s">
        <v>2721</v>
      </c>
    </row>
    <row r="1036" spans="1:16">
      <c r="A1036" s="1" t="s">
        <v>707</v>
      </c>
      <c r="B1036" s="1">
        <v>11</v>
      </c>
      <c r="C1036" s="1">
        <v>2.0251110071625299E+17</v>
      </c>
      <c r="D1036" s="1" t="s">
        <v>2071</v>
      </c>
      <c r="E1036" s="2">
        <v>45971</v>
      </c>
      <c r="F1036" s="1" t="s">
        <v>235</v>
      </c>
      <c r="G1036" s="1" t="s">
        <v>2072</v>
      </c>
      <c r="H1036" s="1" t="s">
        <v>2073</v>
      </c>
      <c r="I1036" s="1">
        <v>1</v>
      </c>
      <c r="J1036" s="3">
        <v>9800</v>
      </c>
      <c r="K1036" s="3">
        <v>7739</v>
      </c>
      <c r="L1036" s="3">
        <v>1470</v>
      </c>
      <c r="M1036" s="4">
        <v>0.15</v>
      </c>
      <c r="N1036" s="1">
        <v>591</v>
      </c>
      <c r="O1036" s="4">
        <v>0.06</v>
      </c>
      <c r="P1036" s="1" t="s">
        <v>2721</v>
      </c>
    </row>
    <row r="1037" spans="1:16">
      <c r="A1037" s="1" t="s">
        <v>707</v>
      </c>
      <c r="B1037" s="1">
        <v>11</v>
      </c>
      <c r="C1037" s="1">
        <v>2.0251110071729299E+17</v>
      </c>
      <c r="D1037" s="1" t="s">
        <v>2071</v>
      </c>
      <c r="E1037" s="2">
        <v>45971</v>
      </c>
      <c r="F1037" s="1" t="s">
        <v>235</v>
      </c>
      <c r="G1037" s="1" t="s">
        <v>2072</v>
      </c>
      <c r="H1037" s="1" t="s">
        <v>2073</v>
      </c>
      <c r="I1037" s="1">
        <v>1</v>
      </c>
      <c r="J1037" s="3">
        <v>9800</v>
      </c>
      <c r="K1037" s="3">
        <v>7739</v>
      </c>
      <c r="L1037" s="3">
        <v>1470</v>
      </c>
      <c r="M1037" s="4">
        <v>0.15</v>
      </c>
      <c r="N1037" s="1">
        <v>591</v>
      </c>
      <c r="O1037" s="4">
        <v>0.06</v>
      </c>
      <c r="P1037" s="1" t="s">
        <v>2721</v>
      </c>
    </row>
    <row r="1038" spans="1:16">
      <c r="A1038" s="1" t="s">
        <v>707</v>
      </c>
      <c r="B1038" s="1">
        <v>11</v>
      </c>
      <c r="C1038" s="1">
        <v>2.0251110071839299E+17</v>
      </c>
      <c r="D1038" s="1" t="s">
        <v>2071</v>
      </c>
      <c r="E1038" s="2">
        <v>45971</v>
      </c>
      <c r="F1038" s="1" t="s">
        <v>235</v>
      </c>
      <c r="G1038" s="1" t="s">
        <v>2072</v>
      </c>
      <c r="H1038" s="1" t="s">
        <v>2073</v>
      </c>
      <c r="I1038" s="1">
        <v>1</v>
      </c>
      <c r="J1038" s="3">
        <v>9800</v>
      </c>
      <c r="K1038" s="3">
        <v>7739</v>
      </c>
      <c r="L1038" s="3">
        <v>1470</v>
      </c>
      <c r="M1038" s="4">
        <v>0.15</v>
      </c>
      <c r="N1038" s="1">
        <v>591</v>
      </c>
      <c r="O1038" s="4">
        <v>0.06</v>
      </c>
      <c r="P1038" s="1" t="s">
        <v>2721</v>
      </c>
    </row>
    <row r="1039" spans="1:16">
      <c r="A1039" s="1" t="s">
        <v>707</v>
      </c>
      <c r="B1039" s="1">
        <v>11</v>
      </c>
      <c r="C1039" s="1">
        <v>2.0251110071943299E+17</v>
      </c>
      <c r="D1039" s="1" t="s">
        <v>2071</v>
      </c>
      <c r="E1039" s="2">
        <v>45971</v>
      </c>
      <c r="F1039" s="1" t="s">
        <v>235</v>
      </c>
      <c r="G1039" s="1" t="s">
        <v>2072</v>
      </c>
      <c r="H1039" s="1" t="s">
        <v>2073</v>
      </c>
      <c r="I1039" s="1">
        <v>1</v>
      </c>
      <c r="J1039" s="3">
        <v>9800</v>
      </c>
      <c r="K1039" s="3">
        <v>7739</v>
      </c>
      <c r="L1039" s="3">
        <v>1470</v>
      </c>
      <c r="M1039" s="4">
        <v>0.15</v>
      </c>
      <c r="N1039" s="1">
        <v>591</v>
      </c>
      <c r="O1039" s="4">
        <v>0.06</v>
      </c>
      <c r="P1039" s="1" t="s">
        <v>2721</v>
      </c>
    </row>
    <row r="1040" spans="1:16">
      <c r="A1040" s="1" t="s">
        <v>2082</v>
      </c>
      <c r="B1040" s="1">
        <v>11</v>
      </c>
      <c r="C1040" s="1">
        <v>2.0251107174241901E+17</v>
      </c>
      <c r="D1040" s="1" t="s">
        <v>2666</v>
      </c>
      <c r="E1040" s="2">
        <v>45971</v>
      </c>
      <c r="F1040" s="1" t="s">
        <v>1200</v>
      </c>
      <c r="G1040" s="1" t="s">
        <v>2667</v>
      </c>
      <c r="H1040" s="1" t="s">
        <v>2668</v>
      </c>
      <c r="I1040" s="1">
        <v>1</v>
      </c>
      <c r="J1040" s="3">
        <v>31900</v>
      </c>
      <c r="K1040" s="3">
        <v>16978</v>
      </c>
      <c r="L1040" s="3">
        <v>4785</v>
      </c>
      <c r="M1040" s="4">
        <v>0.15</v>
      </c>
      <c r="N1040" s="3">
        <v>10137</v>
      </c>
      <c r="O1040" s="4">
        <v>0.318</v>
      </c>
      <c r="P1040" s="1" t="s">
        <v>2721</v>
      </c>
    </row>
    <row r="1041" spans="1:16">
      <c r="A1041" s="1" t="s">
        <v>2082</v>
      </c>
      <c r="B1041" s="1">
        <v>11</v>
      </c>
      <c r="C1041" s="1">
        <v>2.0251107192943299E+17</v>
      </c>
      <c r="D1041" s="1" t="s">
        <v>2132</v>
      </c>
      <c r="E1041" s="2">
        <v>45971</v>
      </c>
      <c r="F1041" s="1" t="s">
        <v>426</v>
      </c>
      <c r="G1041" s="1" t="s">
        <v>2133</v>
      </c>
      <c r="H1041" s="1" t="s">
        <v>4485</v>
      </c>
      <c r="I1041" s="1">
        <v>1</v>
      </c>
      <c r="J1041" s="3">
        <v>31000</v>
      </c>
      <c r="K1041" s="3">
        <v>22512</v>
      </c>
      <c r="L1041" s="3">
        <v>4650</v>
      </c>
      <c r="M1041" s="4">
        <v>0.15</v>
      </c>
      <c r="N1041" s="3">
        <v>3838</v>
      </c>
      <c r="O1041" s="4">
        <v>0.124</v>
      </c>
      <c r="P1041" s="1" t="s">
        <v>2721</v>
      </c>
    </row>
    <row r="1042" spans="1:16">
      <c r="A1042" s="1" t="s">
        <v>2082</v>
      </c>
      <c r="B1042" s="1">
        <v>11</v>
      </c>
      <c r="C1042" s="1">
        <v>2.0251109124533501E+17</v>
      </c>
      <c r="D1042" s="1" t="s">
        <v>4486</v>
      </c>
      <c r="E1042" s="2">
        <v>45971</v>
      </c>
      <c r="F1042" s="1" t="s">
        <v>256</v>
      </c>
      <c r="G1042" s="1" t="s">
        <v>4487</v>
      </c>
      <c r="H1042" s="1" t="s">
        <v>4488</v>
      </c>
      <c r="I1042" s="1">
        <v>1</v>
      </c>
      <c r="J1042" s="3">
        <v>24700</v>
      </c>
      <c r="K1042" s="3">
        <v>16978</v>
      </c>
      <c r="L1042" s="3">
        <v>3705</v>
      </c>
      <c r="M1042" s="4">
        <v>0.15</v>
      </c>
      <c r="N1042" s="3">
        <v>4017</v>
      </c>
      <c r="O1042" s="4">
        <v>0.16300000000000001</v>
      </c>
      <c r="P1042" s="1" t="s">
        <v>2721</v>
      </c>
    </row>
    <row r="1043" spans="1:16">
      <c r="A1043" s="1" t="s">
        <v>2082</v>
      </c>
      <c r="B1043" s="1">
        <v>11</v>
      </c>
      <c r="C1043" s="1">
        <v>2.0251109202403901E+17</v>
      </c>
      <c r="D1043" s="1" t="s">
        <v>4489</v>
      </c>
      <c r="E1043" s="2">
        <v>45971</v>
      </c>
      <c r="F1043" s="1" t="s">
        <v>426</v>
      </c>
      <c r="G1043" s="1" t="s">
        <v>4490</v>
      </c>
      <c r="H1043" s="1" t="s">
        <v>4491</v>
      </c>
      <c r="I1043" s="1">
        <v>1</v>
      </c>
      <c r="J1043" s="3">
        <v>74000</v>
      </c>
      <c r="K1043" s="3">
        <v>51590</v>
      </c>
      <c r="L1043" s="3">
        <v>11100</v>
      </c>
      <c r="M1043" s="4">
        <v>0.15</v>
      </c>
      <c r="N1043" s="3">
        <v>11310</v>
      </c>
      <c r="O1043" s="4">
        <v>0.153</v>
      </c>
      <c r="P1043" s="1" t="s">
        <v>2721</v>
      </c>
    </row>
    <row r="1044" spans="1:16">
      <c r="A1044" s="1" t="s">
        <v>711</v>
      </c>
      <c r="B1044" s="1">
        <v>11</v>
      </c>
      <c r="C1044" s="1">
        <v>2.0251107160448499E+17</v>
      </c>
      <c r="D1044" s="1" t="s">
        <v>4492</v>
      </c>
      <c r="E1044" s="2">
        <v>45971</v>
      </c>
      <c r="F1044" s="1" t="s">
        <v>58</v>
      </c>
      <c r="G1044" s="1" t="s">
        <v>4493</v>
      </c>
      <c r="H1044" s="1" t="s">
        <v>4494</v>
      </c>
      <c r="I1044" s="1">
        <v>1</v>
      </c>
      <c r="J1044" s="3">
        <v>21900</v>
      </c>
      <c r="K1044" s="3">
        <v>11256</v>
      </c>
      <c r="L1044" s="3">
        <v>3285</v>
      </c>
      <c r="M1044" s="4">
        <v>0.15</v>
      </c>
      <c r="N1044" s="3">
        <v>7359</v>
      </c>
      <c r="O1044" s="4">
        <v>0.33600000000000002</v>
      </c>
      <c r="P1044" s="1" t="s">
        <v>2721</v>
      </c>
    </row>
    <row r="1045" spans="1:16">
      <c r="A1045" s="1" t="s">
        <v>711</v>
      </c>
      <c r="B1045" s="1">
        <v>11</v>
      </c>
      <c r="C1045" s="1">
        <v>2.0251107164645699E+17</v>
      </c>
      <c r="D1045" s="1" t="s">
        <v>4495</v>
      </c>
      <c r="E1045" s="2">
        <v>45971</v>
      </c>
      <c r="F1045" s="1" t="s">
        <v>3343</v>
      </c>
      <c r="G1045" s="1" t="s">
        <v>4496</v>
      </c>
      <c r="H1045" s="1" t="s">
        <v>4497</v>
      </c>
      <c r="I1045" s="1">
        <v>1</v>
      </c>
      <c r="J1045" s="3">
        <v>55900</v>
      </c>
      <c r="K1045" s="3">
        <v>42960</v>
      </c>
      <c r="L1045" s="3">
        <v>8385</v>
      </c>
      <c r="M1045" s="4">
        <v>0.15</v>
      </c>
      <c r="N1045" s="3">
        <v>4555</v>
      </c>
      <c r="O1045" s="4">
        <v>8.1000000000000003E-2</v>
      </c>
      <c r="P1045" s="1" t="s">
        <v>2721</v>
      </c>
    </row>
    <row r="1046" spans="1:16">
      <c r="A1046" s="1" t="s">
        <v>711</v>
      </c>
      <c r="B1046" s="1">
        <v>11</v>
      </c>
      <c r="C1046" s="1">
        <v>2.0251108085100899E+17</v>
      </c>
      <c r="D1046" s="1" t="s">
        <v>4498</v>
      </c>
      <c r="E1046" s="2">
        <v>45971</v>
      </c>
      <c r="F1046" s="1" t="s">
        <v>1241</v>
      </c>
      <c r="G1046" s="1" t="s">
        <v>4499</v>
      </c>
      <c r="H1046" s="1" t="s">
        <v>4500</v>
      </c>
      <c r="I1046" s="1">
        <v>1</v>
      </c>
      <c r="J1046" s="3">
        <v>30900</v>
      </c>
      <c r="K1046" s="3">
        <v>24576</v>
      </c>
      <c r="L1046" s="3">
        <v>4635</v>
      </c>
      <c r="M1046" s="4">
        <v>0.15</v>
      </c>
      <c r="N1046" s="3">
        <v>1689</v>
      </c>
      <c r="O1046" s="4">
        <v>5.5E-2</v>
      </c>
      <c r="P1046" s="1" t="s">
        <v>2721</v>
      </c>
    </row>
    <row r="1047" spans="1:16">
      <c r="A1047" s="1" t="s">
        <v>718</v>
      </c>
      <c r="B1047" s="1">
        <v>11</v>
      </c>
      <c r="C1047" s="1">
        <v>2.0251109221339699E+17</v>
      </c>
      <c r="D1047" s="1" t="s">
        <v>1968</v>
      </c>
      <c r="E1047" s="2">
        <v>45971</v>
      </c>
      <c r="F1047" s="1" t="s">
        <v>239</v>
      </c>
      <c r="G1047" s="1" t="s">
        <v>1969</v>
      </c>
      <c r="H1047" s="1" t="s">
        <v>4501</v>
      </c>
      <c r="I1047" s="1">
        <v>1</v>
      </c>
      <c r="J1047" s="3">
        <v>16000</v>
      </c>
      <c r="K1047" s="3">
        <v>10787</v>
      </c>
      <c r="L1047" s="3">
        <v>1600</v>
      </c>
      <c r="M1047" s="4">
        <v>0.1</v>
      </c>
      <c r="N1047" s="3">
        <v>3613</v>
      </c>
      <c r="O1047" s="4">
        <v>0.22600000000000001</v>
      </c>
      <c r="P1047" s="1" t="s">
        <v>2721</v>
      </c>
    </row>
    <row r="1048" spans="1:16">
      <c r="A1048" s="1" t="s">
        <v>718</v>
      </c>
      <c r="B1048" s="1">
        <v>11</v>
      </c>
      <c r="C1048" s="1">
        <v>2.0251109164457901E+17</v>
      </c>
      <c r="D1048" s="1" t="s">
        <v>719</v>
      </c>
      <c r="E1048" s="2">
        <v>45971</v>
      </c>
      <c r="F1048" s="1" t="s">
        <v>239</v>
      </c>
      <c r="G1048" s="1" t="s">
        <v>720</v>
      </c>
      <c r="H1048" s="1" t="s">
        <v>721</v>
      </c>
      <c r="I1048" s="1">
        <v>1</v>
      </c>
      <c r="J1048" s="3">
        <v>16000</v>
      </c>
      <c r="K1048" s="3">
        <v>10787</v>
      </c>
      <c r="L1048" s="3">
        <v>1600</v>
      </c>
      <c r="M1048" s="4">
        <v>0.1</v>
      </c>
      <c r="N1048" s="3">
        <v>3613</v>
      </c>
      <c r="O1048" s="4">
        <v>0.22600000000000001</v>
      </c>
      <c r="P1048" s="1" t="s">
        <v>2721</v>
      </c>
    </row>
    <row r="1049" spans="1:16">
      <c r="A1049" s="1" t="s">
        <v>718</v>
      </c>
      <c r="B1049" s="1">
        <v>11</v>
      </c>
      <c r="C1049" s="1">
        <v>2.0251109114315901E+17</v>
      </c>
      <c r="D1049" s="1" t="s">
        <v>4502</v>
      </c>
      <c r="E1049" s="2">
        <v>45971</v>
      </c>
      <c r="F1049" s="1" t="s">
        <v>1255</v>
      </c>
      <c r="G1049" s="1" t="s">
        <v>4503</v>
      </c>
      <c r="H1049" s="1" t="s">
        <v>4504</v>
      </c>
      <c r="I1049" s="1">
        <v>1</v>
      </c>
      <c r="J1049" s="3">
        <v>29000</v>
      </c>
      <c r="K1049" s="3">
        <v>20542</v>
      </c>
      <c r="L1049" s="3">
        <v>2900</v>
      </c>
      <c r="M1049" s="4">
        <v>0.1</v>
      </c>
      <c r="N1049" s="3">
        <v>5558</v>
      </c>
      <c r="O1049" s="4">
        <v>0.192</v>
      </c>
      <c r="P1049" s="1" t="s">
        <v>2721</v>
      </c>
    </row>
    <row r="1050" spans="1:16">
      <c r="A1050" s="1" t="s">
        <v>718</v>
      </c>
      <c r="B1050" s="1">
        <v>11</v>
      </c>
      <c r="C1050" s="1">
        <v>2.0251108211514499E+17</v>
      </c>
      <c r="D1050" s="1" t="s">
        <v>719</v>
      </c>
      <c r="E1050" s="2">
        <v>45971</v>
      </c>
      <c r="F1050" s="1" t="s">
        <v>239</v>
      </c>
      <c r="G1050" s="1" t="s">
        <v>720</v>
      </c>
      <c r="H1050" s="1" t="s">
        <v>721</v>
      </c>
      <c r="I1050" s="1">
        <v>1</v>
      </c>
      <c r="J1050" s="3">
        <v>16000</v>
      </c>
      <c r="K1050" s="3">
        <v>10787</v>
      </c>
      <c r="L1050" s="3">
        <v>1600</v>
      </c>
      <c r="M1050" s="4">
        <v>0.1</v>
      </c>
      <c r="N1050" s="3">
        <v>3613</v>
      </c>
      <c r="O1050" s="4">
        <v>0.22600000000000001</v>
      </c>
      <c r="P1050" s="1" t="s">
        <v>2721</v>
      </c>
    </row>
    <row r="1051" spans="1:16">
      <c r="A1051" s="1" t="s">
        <v>718</v>
      </c>
      <c r="B1051" s="1">
        <v>11</v>
      </c>
      <c r="C1051" s="1">
        <v>2.0251108140719002E+17</v>
      </c>
      <c r="D1051" s="1" t="s">
        <v>4505</v>
      </c>
      <c r="E1051" s="2">
        <v>45971</v>
      </c>
      <c r="F1051" s="1" t="s">
        <v>839</v>
      </c>
      <c r="G1051" s="1" t="s">
        <v>4506</v>
      </c>
      <c r="H1051" s="1" t="s">
        <v>4507</v>
      </c>
      <c r="I1051" s="1">
        <v>1</v>
      </c>
      <c r="J1051" s="3">
        <v>20700</v>
      </c>
      <c r="K1051" s="3">
        <v>16134</v>
      </c>
      <c r="L1051" s="3">
        <v>2070</v>
      </c>
      <c r="M1051" s="4">
        <v>0.1</v>
      </c>
      <c r="N1051" s="3">
        <v>2496</v>
      </c>
      <c r="O1051" s="4">
        <v>0.121</v>
      </c>
      <c r="P1051" s="1" t="s">
        <v>2721</v>
      </c>
    </row>
    <row r="1052" spans="1:16">
      <c r="A1052" s="1" t="s">
        <v>718</v>
      </c>
      <c r="B1052" s="1">
        <v>11</v>
      </c>
      <c r="C1052" s="1">
        <v>2.0251107212247299E+17</v>
      </c>
      <c r="D1052" s="1" t="s">
        <v>4508</v>
      </c>
      <c r="E1052" s="2">
        <v>45971</v>
      </c>
      <c r="F1052" s="1" t="s">
        <v>839</v>
      </c>
      <c r="G1052" s="1" t="s">
        <v>4509</v>
      </c>
      <c r="H1052" s="1" t="s">
        <v>4510</v>
      </c>
      <c r="I1052" s="1">
        <v>1</v>
      </c>
      <c r="J1052" s="3">
        <v>27700</v>
      </c>
      <c r="K1052" s="3">
        <v>21574</v>
      </c>
      <c r="L1052" s="3">
        <v>2770</v>
      </c>
      <c r="M1052" s="4">
        <v>0.1</v>
      </c>
      <c r="N1052" s="3">
        <v>3356</v>
      </c>
      <c r="O1052" s="4">
        <v>0.121</v>
      </c>
      <c r="P1052" s="1" t="s">
        <v>2721</v>
      </c>
    </row>
    <row r="1053" spans="1:16">
      <c r="A1053" s="1" t="s">
        <v>722</v>
      </c>
      <c r="B1053" s="1">
        <v>11</v>
      </c>
      <c r="C1053" s="1" t="s">
        <v>4511</v>
      </c>
      <c r="D1053" s="1" t="s">
        <v>4512</v>
      </c>
      <c r="E1053" s="2">
        <v>45971</v>
      </c>
      <c r="F1053" s="1" t="s">
        <v>347</v>
      </c>
      <c r="G1053" s="1" t="s">
        <v>4513</v>
      </c>
      <c r="H1053" s="1" t="s">
        <v>4514</v>
      </c>
      <c r="I1053" s="1">
        <v>1</v>
      </c>
      <c r="J1053" s="3">
        <v>20240</v>
      </c>
      <c r="K1053" s="3">
        <v>18741</v>
      </c>
      <c r="L1053" s="1">
        <v>0</v>
      </c>
      <c r="M1053" s="4">
        <v>0</v>
      </c>
      <c r="N1053" s="3">
        <v>1499</v>
      </c>
      <c r="O1053" s="4">
        <v>7.3999999999999996E-2</v>
      </c>
      <c r="P1053" s="1" t="s">
        <v>2721</v>
      </c>
    </row>
    <row r="1054" spans="1:16">
      <c r="A1054" s="1" t="s">
        <v>722</v>
      </c>
      <c r="B1054" s="1">
        <v>11</v>
      </c>
      <c r="C1054" s="1" t="s">
        <v>4515</v>
      </c>
      <c r="D1054" s="1" t="s">
        <v>4516</v>
      </c>
      <c r="E1054" s="2">
        <v>45971</v>
      </c>
      <c r="F1054" s="1" t="s">
        <v>689</v>
      </c>
      <c r="G1054" s="1" t="s">
        <v>4517</v>
      </c>
      <c r="H1054" s="1" t="s">
        <v>4518</v>
      </c>
      <c r="I1054" s="1">
        <v>1</v>
      </c>
      <c r="J1054" s="3">
        <v>31425</v>
      </c>
      <c r="K1054" s="3">
        <v>30016</v>
      </c>
      <c r="L1054" s="1">
        <v>0</v>
      </c>
      <c r="M1054" s="4">
        <v>0</v>
      </c>
      <c r="N1054" s="3">
        <v>1409</v>
      </c>
      <c r="O1054" s="4">
        <v>4.4999999999999998E-2</v>
      </c>
      <c r="P1054" s="1" t="s">
        <v>2721</v>
      </c>
    </row>
    <row r="1055" spans="1:16">
      <c r="A1055" s="1" t="s">
        <v>722</v>
      </c>
      <c r="B1055" s="1">
        <v>11</v>
      </c>
      <c r="C1055" s="1" t="s">
        <v>4519</v>
      </c>
      <c r="D1055" s="1" t="s">
        <v>4520</v>
      </c>
      <c r="E1055" s="2">
        <v>45971</v>
      </c>
      <c r="F1055" s="1" t="s">
        <v>347</v>
      </c>
      <c r="G1055" s="1" t="s">
        <v>4521</v>
      </c>
      <c r="H1055" s="1" t="s">
        <v>4522</v>
      </c>
      <c r="I1055" s="1">
        <v>1</v>
      </c>
      <c r="J1055" s="3">
        <v>20240</v>
      </c>
      <c r="K1055" s="3">
        <v>18798</v>
      </c>
      <c r="L1055" s="1">
        <v>0</v>
      </c>
      <c r="M1055" s="4">
        <v>0</v>
      </c>
      <c r="N1055" s="3">
        <v>1442</v>
      </c>
      <c r="O1055" s="4">
        <v>7.0999999999999994E-2</v>
      </c>
      <c r="P1055" s="1" t="s">
        <v>2721</v>
      </c>
    </row>
    <row r="1056" spans="1:16">
      <c r="A1056" s="1" t="s">
        <v>733</v>
      </c>
      <c r="B1056" s="1">
        <v>11</v>
      </c>
      <c r="C1056" s="1" t="s">
        <v>4523</v>
      </c>
      <c r="D1056" s="1" t="s">
        <v>4524</v>
      </c>
      <c r="E1056" s="2">
        <v>45971</v>
      </c>
      <c r="F1056" s="1" t="s">
        <v>96</v>
      </c>
      <c r="G1056" s="1" t="s">
        <v>4525</v>
      </c>
      <c r="I1056" s="1">
        <v>1</v>
      </c>
      <c r="J1056" s="3">
        <v>9800</v>
      </c>
      <c r="K1056" s="3">
        <v>8457</v>
      </c>
      <c r="L1056" s="1">
        <v>0</v>
      </c>
      <c r="M1056" s="4">
        <v>0</v>
      </c>
      <c r="N1056" s="3">
        <v>1343</v>
      </c>
      <c r="O1056" s="4">
        <v>0.13700000000000001</v>
      </c>
      <c r="P1056" s="1" t="s">
        <v>2721</v>
      </c>
    </row>
    <row r="1057" spans="1:16">
      <c r="A1057" s="1" t="s">
        <v>733</v>
      </c>
      <c r="B1057" s="1">
        <v>11</v>
      </c>
      <c r="C1057" s="1" t="s">
        <v>4523</v>
      </c>
      <c r="D1057" s="1" t="s">
        <v>4526</v>
      </c>
      <c r="E1057" s="2">
        <v>45971</v>
      </c>
      <c r="F1057" s="1" t="s">
        <v>646</v>
      </c>
      <c r="G1057" s="1" t="s">
        <v>4527</v>
      </c>
      <c r="I1057" s="1">
        <v>1</v>
      </c>
      <c r="J1057" s="3">
        <v>56900</v>
      </c>
      <c r="K1057" s="3">
        <v>46431</v>
      </c>
      <c r="L1057" s="1">
        <v>0</v>
      </c>
      <c r="M1057" s="4">
        <v>0</v>
      </c>
      <c r="N1057" s="3">
        <v>10469</v>
      </c>
      <c r="O1057" s="4">
        <v>0.184</v>
      </c>
      <c r="P1057" s="1" t="s">
        <v>2721</v>
      </c>
    </row>
    <row r="1058" spans="1:16">
      <c r="A1058" s="1" t="s">
        <v>733</v>
      </c>
      <c r="B1058" s="1">
        <v>11</v>
      </c>
      <c r="C1058" s="1" t="s">
        <v>4528</v>
      </c>
      <c r="D1058" s="1" t="s">
        <v>2028</v>
      </c>
      <c r="E1058" s="2">
        <v>45971</v>
      </c>
      <c r="F1058" s="1" t="s">
        <v>96</v>
      </c>
      <c r="G1058" s="1" t="s">
        <v>2029</v>
      </c>
      <c r="I1058" s="1">
        <v>1</v>
      </c>
      <c r="J1058" s="3">
        <v>15901</v>
      </c>
      <c r="K1058" s="3">
        <v>13721</v>
      </c>
      <c r="L1058" s="1">
        <v>0</v>
      </c>
      <c r="M1058" s="4">
        <v>0</v>
      </c>
      <c r="N1058" s="3">
        <v>2180</v>
      </c>
      <c r="O1058" s="4">
        <v>0.13700000000000001</v>
      </c>
      <c r="P1058" s="1" t="s">
        <v>2721</v>
      </c>
    </row>
    <row r="1059" spans="1:16">
      <c r="A1059" s="1" t="s">
        <v>739</v>
      </c>
      <c r="B1059" s="1">
        <v>11</v>
      </c>
      <c r="C1059" s="1">
        <v>31378600</v>
      </c>
      <c r="D1059" s="1" t="s">
        <v>4529</v>
      </c>
      <c r="E1059" s="2">
        <v>45971</v>
      </c>
      <c r="F1059" s="1" t="s">
        <v>407</v>
      </c>
      <c r="G1059" s="1" t="s">
        <v>4530</v>
      </c>
      <c r="H1059" s="1" t="s">
        <v>4530</v>
      </c>
      <c r="I1059" s="1">
        <v>1</v>
      </c>
      <c r="J1059" s="3">
        <v>49900</v>
      </c>
      <c r="K1059" s="3">
        <v>39396</v>
      </c>
      <c r="L1059" s="3">
        <v>6587</v>
      </c>
      <c r="M1059" s="4">
        <v>0.13200000000000001</v>
      </c>
      <c r="N1059" s="3">
        <v>3917</v>
      </c>
      <c r="O1059" s="4">
        <v>7.9000000000000001E-2</v>
      </c>
      <c r="P1059" s="1" t="s">
        <v>2721</v>
      </c>
    </row>
    <row r="1060" spans="1:16">
      <c r="A1060" s="1" t="s">
        <v>739</v>
      </c>
      <c r="B1060" s="1">
        <v>11</v>
      </c>
      <c r="C1060" s="1">
        <v>31380642</v>
      </c>
      <c r="D1060" s="1" t="s">
        <v>4531</v>
      </c>
      <c r="E1060" s="2">
        <v>45971</v>
      </c>
      <c r="F1060" s="1" t="s">
        <v>38</v>
      </c>
      <c r="G1060" s="1" t="s">
        <v>4532</v>
      </c>
      <c r="H1060" s="1" t="s">
        <v>40</v>
      </c>
      <c r="I1060" s="1">
        <v>1</v>
      </c>
      <c r="J1060" s="3">
        <v>105000</v>
      </c>
      <c r="K1060" s="3">
        <v>85358</v>
      </c>
      <c r="L1060" s="3">
        <v>13860</v>
      </c>
      <c r="M1060" s="4">
        <v>0.13200000000000001</v>
      </c>
      <c r="N1060" s="3">
        <v>5782</v>
      </c>
      <c r="O1060" s="4">
        <v>5.5E-2</v>
      </c>
      <c r="P1060" s="1" t="s">
        <v>2721</v>
      </c>
    </row>
    <row r="1061" spans="1:16">
      <c r="A1061" s="1" t="s">
        <v>739</v>
      </c>
      <c r="B1061" s="1">
        <v>11</v>
      </c>
      <c r="C1061" s="1">
        <v>31384090</v>
      </c>
      <c r="D1061" s="1" t="s">
        <v>4533</v>
      </c>
      <c r="E1061" s="2">
        <v>45971</v>
      </c>
      <c r="F1061" s="1" t="s">
        <v>317</v>
      </c>
      <c r="G1061" s="1" t="s">
        <v>4534</v>
      </c>
      <c r="H1061" s="1" t="s">
        <v>1348</v>
      </c>
      <c r="I1061" s="1">
        <v>1</v>
      </c>
      <c r="J1061" s="3">
        <v>36900</v>
      </c>
      <c r="K1061" s="3">
        <v>30954</v>
      </c>
      <c r="L1061" s="3">
        <v>4871</v>
      </c>
      <c r="M1061" s="4">
        <v>0.13200000000000001</v>
      </c>
      <c r="N1061" s="3">
        <v>1075</v>
      </c>
      <c r="O1061" s="4">
        <v>2.9000000000000001E-2</v>
      </c>
      <c r="P1061" s="1" t="s">
        <v>2721</v>
      </c>
    </row>
    <row r="1062" spans="1:16">
      <c r="A1062" s="1" t="s">
        <v>739</v>
      </c>
      <c r="B1062" s="1">
        <v>11</v>
      </c>
      <c r="C1062" s="1">
        <v>31386918</v>
      </c>
      <c r="D1062" s="1" t="s">
        <v>4535</v>
      </c>
      <c r="E1062" s="2">
        <v>45971</v>
      </c>
      <c r="F1062" s="1" t="s">
        <v>4536</v>
      </c>
      <c r="G1062" s="1" t="s">
        <v>4537</v>
      </c>
      <c r="H1062" s="1" t="s">
        <v>4538</v>
      </c>
      <c r="I1062" s="1">
        <v>1</v>
      </c>
      <c r="J1062" s="3">
        <v>38900</v>
      </c>
      <c r="K1062" s="3">
        <v>30954</v>
      </c>
      <c r="L1062" s="3">
        <v>5135</v>
      </c>
      <c r="M1062" s="4">
        <v>0.13200000000000001</v>
      </c>
      <c r="N1062" s="3">
        <v>2811</v>
      </c>
      <c r="O1062" s="4">
        <v>7.1999999999999995E-2</v>
      </c>
      <c r="P1062" s="1" t="s">
        <v>2721</v>
      </c>
    </row>
    <row r="1063" spans="1:16">
      <c r="A1063" s="1" t="s">
        <v>739</v>
      </c>
      <c r="B1063" s="1">
        <v>11</v>
      </c>
      <c r="C1063" s="1">
        <v>31386953</v>
      </c>
      <c r="D1063" s="1" t="s">
        <v>3088</v>
      </c>
      <c r="E1063" s="2">
        <v>45971</v>
      </c>
      <c r="F1063" s="1" t="s">
        <v>235</v>
      </c>
      <c r="G1063" s="1" t="s">
        <v>3089</v>
      </c>
      <c r="H1063" s="1" t="s">
        <v>3090</v>
      </c>
      <c r="I1063" s="1">
        <v>2</v>
      </c>
      <c r="J1063" s="3">
        <v>33800</v>
      </c>
      <c r="K1063" s="3">
        <v>27202</v>
      </c>
      <c r="L1063" s="3">
        <v>4462</v>
      </c>
      <c r="M1063" s="4">
        <v>0.13200000000000001</v>
      </c>
      <c r="N1063" s="3">
        <v>2136</v>
      </c>
      <c r="O1063" s="4">
        <v>6.3E-2</v>
      </c>
      <c r="P1063" s="1" t="s">
        <v>2721</v>
      </c>
    </row>
    <row r="1064" spans="1:16">
      <c r="A1064" s="1" t="s">
        <v>739</v>
      </c>
      <c r="B1064" s="1">
        <v>11</v>
      </c>
      <c r="C1064" s="1">
        <v>31388790</v>
      </c>
      <c r="D1064" s="1" t="s">
        <v>4539</v>
      </c>
      <c r="E1064" s="2">
        <v>45971</v>
      </c>
      <c r="F1064" s="1" t="s">
        <v>63</v>
      </c>
      <c r="G1064" s="1" t="s">
        <v>4540</v>
      </c>
      <c r="H1064" s="1" t="s">
        <v>139</v>
      </c>
      <c r="I1064" s="1">
        <v>1</v>
      </c>
      <c r="J1064" s="3">
        <v>18500</v>
      </c>
      <c r="K1064" s="3">
        <v>15690</v>
      </c>
      <c r="L1064" s="3">
        <v>2442</v>
      </c>
      <c r="M1064" s="4">
        <v>0.13200000000000001</v>
      </c>
      <c r="N1064" s="1">
        <v>368</v>
      </c>
      <c r="O1064" s="4">
        <v>0.02</v>
      </c>
      <c r="P1064" s="1" t="s">
        <v>2721</v>
      </c>
    </row>
    <row r="1065" spans="1:16">
      <c r="A1065" s="1" t="s">
        <v>739</v>
      </c>
      <c r="B1065" s="1">
        <v>11</v>
      </c>
      <c r="C1065" s="1">
        <v>31389637</v>
      </c>
      <c r="D1065" s="1" t="s">
        <v>2642</v>
      </c>
      <c r="E1065" s="2">
        <v>45971</v>
      </c>
      <c r="F1065" s="1" t="s">
        <v>483</v>
      </c>
      <c r="G1065" s="1" t="s">
        <v>2643</v>
      </c>
      <c r="H1065" s="1" t="s">
        <v>2644</v>
      </c>
      <c r="I1065" s="1">
        <v>1</v>
      </c>
      <c r="J1065" s="3">
        <v>32800</v>
      </c>
      <c r="K1065" s="3">
        <v>26170</v>
      </c>
      <c r="L1065" s="3">
        <v>4330</v>
      </c>
      <c r="M1065" s="4">
        <v>0.13200000000000001</v>
      </c>
      <c r="N1065" s="3">
        <v>2300</v>
      </c>
      <c r="O1065" s="4">
        <v>7.0000000000000007E-2</v>
      </c>
      <c r="P1065" s="1" t="s">
        <v>2721</v>
      </c>
    </row>
    <row r="1066" spans="1:16">
      <c r="A1066" s="1" t="s">
        <v>739</v>
      </c>
      <c r="B1066" s="1">
        <v>11</v>
      </c>
      <c r="C1066" s="1">
        <v>31395046</v>
      </c>
      <c r="D1066" s="1" t="s">
        <v>3088</v>
      </c>
      <c r="E1066" s="2">
        <v>45971</v>
      </c>
      <c r="F1066" s="1" t="s">
        <v>235</v>
      </c>
      <c r="G1066" s="1" t="s">
        <v>3089</v>
      </c>
      <c r="H1066" s="1" t="s">
        <v>3090</v>
      </c>
      <c r="I1066" s="1">
        <v>1</v>
      </c>
      <c r="J1066" s="3">
        <v>16900</v>
      </c>
      <c r="K1066" s="3">
        <v>13601</v>
      </c>
      <c r="L1066" s="3">
        <v>2231</v>
      </c>
      <c r="M1066" s="4">
        <v>0.13200000000000001</v>
      </c>
      <c r="N1066" s="3">
        <v>1068</v>
      </c>
      <c r="O1066" s="4">
        <v>6.3E-2</v>
      </c>
      <c r="P1066" s="1" t="s">
        <v>2721</v>
      </c>
    </row>
    <row r="1067" spans="1:16">
      <c r="A1067" s="1" t="s">
        <v>739</v>
      </c>
      <c r="B1067" s="1">
        <v>11</v>
      </c>
      <c r="C1067" s="1">
        <v>31397239</v>
      </c>
      <c r="D1067" s="1" t="s">
        <v>4541</v>
      </c>
      <c r="E1067" s="2">
        <v>45971</v>
      </c>
      <c r="F1067" s="1" t="s">
        <v>2173</v>
      </c>
      <c r="G1067" s="1" t="s">
        <v>4542</v>
      </c>
      <c r="H1067" s="1" t="s">
        <v>3673</v>
      </c>
      <c r="I1067" s="1">
        <v>1</v>
      </c>
      <c r="J1067" s="3">
        <v>18500</v>
      </c>
      <c r="K1067" s="3">
        <v>14070</v>
      </c>
      <c r="L1067" s="3">
        <v>2442</v>
      </c>
      <c r="M1067" s="4">
        <v>0.13200000000000001</v>
      </c>
      <c r="N1067" s="3">
        <v>1988</v>
      </c>
      <c r="O1067" s="4">
        <v>0.107</v>
      </c>
      <c r="P1067" s="1" t="s">
        <v>2721</v>
      </c>
    </row>
    <row r="1068" spans="1:16">
      <c r="A1068" s="1" t="s">
        <v>756</v>
      </c>
      <c r="B1068" s="1">
        <v>11</v>
      </c>
      <c r="C1068" s="1" t="s">
        <v>4543</v>
      </c>
      <c r="D1068" s="1" t="s">
        <v>758</v>
      </c>
      <c r="E1068" s="2">
        <v>45971</v>
      </c>
      <c r="F1068" s="1" t="s">
        <v>28</v>
      </c>
      <c r="G1068" s="1" t="s">
        <v>759</v>
      </c>
      <c r="H1068" s="1" t="s">
        <v>760</v>
      </c>
      <c r="I1068" s="1">
        <v>1</v>
      </c>
      <c r="J1068" s="3">
        <v>28950</v>
      </c>
      <c r="K1068" s="3">
        <v>25795</v>
      </c>
      <c r="L1068" s="1">
        <v>0</v>
      </c>
      <c r="M1068" s="4">
        <v>0</v>
      </c>
      <c r="N1068" s="3">
        <v>3155</v>
      </c>
      <c r="O1068" s="4">
        <v>0.109</v>
      </c>
      <c r="P1068" s="1" t="s">
        <v>2723</v>
      </c>
    </row>
    <row r="1069" spans="1:16">
      <c r="A1069" s="1" t="s">
        <v>756</v>
      </c>
      <c r="B1069" s="1">
        <v>11</v>
      </c>
      <c r="C1069" s="1" t="s">
        <v>4544</v>
      </c>
      <c r="D1069" s="1" t="s">
        <v>4393</v>
      </c>
      <c r="E1069" s="2">
        <v>45971</v>
      </c>
      <c r="F1069" s="1" t="s">
        <v>18</v>
      </c>
      <c r="G1069" s="1" t="s">
        <v>4394</v>
      </c>
      <c r="H1069" s="1" t="s">
        <v>4545</v>
      </c>
      <c r="I1069" s="1">
        <v>1</v>
      </c>
      <c r="J1069" s="3">
        <v>8000</v>
      </c>
      <c r="K1069" s="3">
        <v>6838</v>
      </c>
      <c r="L1069" s="1">
        <v>0</v>
      </c>
      <c r="M1069" s="4">
        <v>0</v>
      </c>
      <c r="N1069" s="3">
        <v>1162</v>
      </c>
      <c r="O1069" s="4">
        <v>0.14499999999999999</v>
      </c>
      <c r="P1069" s="1" t="s">
        <v>2723</v>
      </c>
    </row>
    <row r="1070" spans="1:16">
      <c r="A1070" s="1" t="s">
        <v>756</v>
      </c>
      <c r="B1070" s="1">
        <v>11</v>
      </c>
      <c r="C1070" s="1" t="s">
        <v>4546</v>
      </c>
      <c r="D1070" s="1" t="s">
        <v>4547</v>
      </c>
      <c r="E1070" s="2">
        <v>45971</v>
      </c>
      <c r="F1070" s="1" t="s">
        <v>256</v>
      </c>
      <c r="G1070" s="1" t="s">
        <v>4548</v>
      </c>
      <c r="H1070" s="1" t="s">
        <v>4549</v>
      </c>
      <c r="I1070" s="1">
        <v>1</v>
      </c>
      <c r="J1070" s="3">
        <v>28950</v>
      </c>
      <c r="K1070" s="3">
        <v>24388</v>
      </c>
      <c r="L1070" s="1">
        <v>0</v>
      </c>
      <c r="M1070" s="4">
        <v>0</v>
      </c>
      <c r="N1070" s="3">
        <v>4562</v>
      </c>
      <c r="O1070" s="4">
        <v>0.158</v>
      </c>
      <c r="P1070" s="1" t="s">
        <v>2723</v>
      </c>
    </row>
    <row r="1071" spans="1:16">
      <c r="A1071" s="1" t="s">
        <v>756</v>
      </c>
      <c r="B1071" s="1">
        <v>11</v>
      </c>
      <c r="C1071" s="1" t="s">
        <v>4550</v>
      </c>
      <c r="D1071" s="1" t="s">
        <v>758</v>
      </c>
      <c r="E1071" s="2">
        <v>45971</v>
      </c>
      <c r="F1071" s="1" t="s">
        <v>28</v>
      </c>
      <c r="G1071" s="1" t="s">
        <v>759</v>
      </c>
      <c r="H1071" s="1" t="s">
        <v>760</v>
      </c>
      <c r="I1071" s="1">
        <v>1</v>
      </c>
      <c r="J1071" s="3">
        <v>28950</v>
      </c>
      <c r="K1071" s="3">
        <v>25795</v>
      </c>
      <c r="L1071" s="1">
        <v>0</v>
      </c>
      <c r="M1071" s="4">
        <v>0</v>
      </c>
      <c r="N1071" s="3">
        <v>3155</v>
      </c>
      <c r="O1071" s="4">
        <v>0.109</v>
      </c>
      <c r="P1071" s="1" t="s">
        <v>2723</v>
      </c>
    </row>
    <row r="1072" spans="1:16">
      <c r="A1072" s="1" t="s">
        <v>2179</v>
      </c>
      <c r="B1072" s="1">
        <v>11</v>
      </c>
      <c r="C1072" s="1">
        <v>2.0251109092420101E+18</v>
      </c>
      <c r="D1072" s="1" t="s">
        <v>4551</v>
      </c>
      <c r="E1072" s="2">
        <v>45971</v>
      </c>
      <c r="F1072" s="1" t="s">
        <v>43</v>
      </c>
      <c r="G1072" s="1" t="s">
        <v>4552</v>
      </c>
      <c r="H1072" s="1" t="s">
        <v>4553</v>
      </c>
      <c r="I1072" s="1">
        <v>1</v>
      </c>
      <c r="J1072" s="3">
        <v>21200</v>
      </c>
      <c r="K1072" s="3">
        <v>19417</v>
      </c>
      <c r="L1072" s="1">
        <v>0</v>
      </c>
      <c r="M1072" s="4">
        <v>0</v>
      </c>
      <c r="N1072" s="3">
        <v>1783</v>
      </c>
      <c r="O1072" s="4">
        <v>8.4000000000000005E-2</v>
      </c>
      <c r="P1072" s="1" t="s">
        <v>2723</v>
      </c>
    </row>
    <row r="1073" spans="1:16">
      <c r="A1073" s="1" t="s">
        <v>761</v>
      </c>
      <c r="B1073" s="1">
        <v>11</v>
      </c>
      <c r="C1073" s="1" t="s">
        <v>4554</v>
      </c>
      <c r="D1073" s="1" t="s">
        <v>4555</v>
      </c>
      <c r="E1073" s="2">
        <v>45971</v>
      </c>
      <c r="F1073" s="1" t="s">
        <v>2188</v>
      </c>
      <c r="G1073" s="1" t="s">
        <v>4556</v>
      </c>
      <c r="I1073" s="1">
        <v>1</v>
      </c>
      <c r="J1073" s="3">
        <v>32260</v>
      </c>
      <c r="K1073" s="3">
        <v>30000</v>
      </c>
      <c r="L1073" s="1">
        <v>0</v>
      </c>
      <c r="M1073" s="4">
        <v>0</v>
      </c>
      <c r="N1073" s="3">
        <v>2260</v>
      </c>
      <c r="O1073" s="4">
        <v>7.0000000000000007E-2</v>
      </c>
      <c r="P1073" s="1" t="s">
        <v>2723</v>
      </c>
    </row>
    <row r="1074" spans="1:16">
      <c r="A1074" s="1" t="s">
        <v>761</v>
      </c>
      <c r="B1074" s="1">
        <v>11</v>
      </c>
      <c r="C1074" s="1" t="s">
        <v>4557</v>
      </c>
      <c r="D1074" s="1" t="s">
        <v>4558</v>
      </c>
      <c r="E1074" s="2">
        <v>45971</v>
      </c>
      <c r="F1074" s="1" t="s">
        <v>2188</v>
      </c>
      <c r="G1074" s="1" t="s">
        <v>4559</v>
      </c>
      <c r="I1074" s="1">
        <v>1</v>
      </c>
      <c r="J1074" s="3">
        <v>9360</v>
      </c>
      <c r="K1074" s="3">
        <v>8700</v>
      </c>
      <c r="L1074" s="1">
        <v>0</v>
      </c>
      <c r="M1074" s="4">
        <v>0</v>
      </c>
      <c r="N1074" s="1">
        <v>660</v>
      </c>
      <c r="O1074" s="4">
        <v>7.0999999999999994E-2</v>
      </c>
      <c r="P1074" s="1" t="s">
        <v>2723</v>
      </c>
    </row>
    <row r="1075" spans="1:16">
      <c r="A1075" s="1" t="s">
        <v>2193</v>
      </c>
      <c r="B1075" s="1">
        <v>11</v>
      </c>
      <c r="C1075" s="1">
        <v>30213335</v>
      </c>
      <c r="D1075" s="1" t="s">
        <v>4560</v>
      </c>
      <c r="E1075" s="2">
        <v>45971</v>
      </c>
      <c r="F1075" s="1" t="s">
        <v>28</v>
      </c>
      <c r="G1075" s="1" t="s">
        <v>4561</v>
      </c>
      <c r="H1075" s="1" t="s">
        <v>4562</v>
      </c>
      <c r="I1075" s="1">
        <v>1</v>
      </c>
      <c r="J1075" s="3">
        <v>93019</v>
      </c>
      <c r="K1075" s="3">
        <v>85827</v>
      </c>
      <c r="L1075" s="1">
        <v>0</v>
      </c>
      <c r="M1075" s="4">
        <v>0</v>
      </c>
      <c r="N1075" s="3">
        <v>7192</v>
      </c>
      <c r="O1075" s="4">
        <v>7.6999999999999999E-2</v>
      </c>
      <c r="P1075" s="1" t="s">
        <v>2723</v>
      </c>
    </row>
    <row r="1076" spans="1:16">
      <c r="A1076" s="1" t="s">
        <v>2193</v>
      </c>
      <c r="B1076" s="1">
        <v>11</v>
      </c>
      <c r="C1076" s="1">
        <v>30167137</v>
      </c>
      <c r="D1076" s="1" t="s">
        <v>3108</v>
      </c>
      <c r="E1076" s="2">
        <v>45971</v>
      </c>
      <c r="F1076" s="1" t="s">
        <v>187</v>
      </c>
      <c r="G1076" s="1" t="s">
        <v>3109</v>
      </c>
      <c r="H1076" s="1" t="s">
        <v>3110</v>
      </c>
      <c r="I1076" s="1">
        <v>1</v>
      </c>
      <c r="J1076" s="3">
        <v>25718</v>
      </c>
      <c r="K1076" s="3">
        <v>22512</v>
      </c>
      <c r="L1076" s="1">
        <v>0</v>
      </c>
      <c r="M1076" s="4">
        <v>0</v>
      </c>
      <c r="N1076" s="3">
        <v>3206</v>
      </c>
      <c r="O1076" s="4">
        <v>0.125</v>
      </c>
      <c r="P1076" s="1" t="s">
        <v>2723</v>
      </c>
    </row>
    <row r="1077" spans="1:16">
      <c r="A1077" s="1" t="s">
        <v>2200</v>
      </c>
      <c r="B1077" s="1">
        <v>11</v>
      </c>
      <c r="C1077" s="1">
        <v>249218962</v>
      </c>
      <c r="D1077" s="1" t="s">
        <v>2130</v>
      </c>
      <c r="E1077" s="2">
        <v>45971</v>
      </c>
      <c r="F1077" s="1" t="s">
        <v>126</v>
      </c>
      <c r="G1077" s="1" t="s">
        <v>2131</v>
      </c>
      <c r="H1077" s="1" t="s">
        <v>1149</v>
      </c>
      <c r="I1077" s="1">
        <v>1</v>
      </c>
      <c r="J1077" s="3">
        <v>14200</v>
      </c>
      <c r="K1077" s="3">
        <v>13132</v>
      </c>
      <c r="L1077" s="1">
        <v>0</v>
      </c>
      <c r="M1077" s="4">
        <v>0</v>
      </c>
      <c r="N1077" s="3">
        <v>1068</v>
      </c>
      <c r="O1077" s="4">
        <v>7.4999999999999997E-2</v>
      </c>
      <c r="P1077" s="1" t="s">
        <v>2723</v>
      </c>
    </row>
    <row r="1078" spans="1:16">
      <c r="A1078" s="1" t="s">
        <v>2200</v>
      </c>
      <c r="B1078" s="1">
        <v>11</v>
      </c>
      <c r="C1078" s="1">
        <v>249229095</v>
      </c>
      <c r="D1078" s="1" t="s">
        <v>4563</v>
      </c>
      <c r="E1078" s="2">
        <v>45971</v>
      </c>
      <c r="F1078" s="1" t="s">
        <v>256</v>
      </c>
      <c r="G1078" s="1" t="s">
        <v>4564</v>
      </c>
      <c r="H1078" s="1" t="s">
        <v>4565</v>
      </c>
      <c r="I1078" s="1">
        <v>1</v>
      </c>
      <c r="J1078" s="3">
        <v>12800</v>
      </c>
      <c r="K1078" s="3">
        <v>11800</v>
      </c>
      <c r="L1078" s="1">
        <v>0</v>
      </c>
      <c r="M1078" s="4">
        <v>0</v>
      </c>
      <c r="N1078" s="3">
        <v>1000</v>
      </c>
      <c r="O1078" s="4">
        <v>7.8E-2</v>
      </c>
      <c r="P1078" s="1" t="s">
        <v>2723</v>
      </c>
    </row>
    <row r="1079" spans="1:16">
      <c r="A1079" s="1" t="s">
        <v>763</v>
      </c>
      <c r="B1079" s="1">
        <v>11</v>
      </c>
      <c r="C1079" s="1" t="s">
        <v>4566</v>
      </c>
      <c r="D1079" s="1" t="s">
        <v>4567</v>
      </c>
      <c r="E1079" s="2">
        <v>45971</v>
      </c>
      <c r="F1079" s="1" t="s">
        <v>126</v>
      </c>
      <c r="G1079" s="1" t="s">
        <v>4568</v>
      </c>
      <c r="H1079" s="1" t="s">
        <v>4569</v>
      </c>
      <c r="I1079" s="1">
        <v>1</v>
      </c>
      <c r="J1079" s="3">
        <v>31280</v>
      </c>
      <c r="K1079" s="3">
        <v>28328</v>
      </c>
      <c r="L1079" s="1">
        <v>0</v>
      </c>
      <c r="M1079" s="4">
        <v>0</v>
      </c>
      <c r="N1079" s="3">
        <v>2952</v>
      </c>
      <c r="O1079" s="4">
        <v>9.4E-2</v>
      </c>
      <c r="P1079" s="1" t="s">
        <v>2723</v>
      </c>
    </row>
    <row r="1080" spans="1:16">
      <c r="A1080" s="1" t="s">
        <v>763</v>
      </c>
      <c r="B1080" s="1">
        <v>11</v>
      </c>
      <c r="C1080" s="1" t="s">
        <v>4570</v>
      </c>
      <c r="D1080" s="1" t="s">
        <v>2214</v>
      </c>
      <c r="E1080" s="2">
        <v>45971</v>
      </c>
      <c r="F1080" s="1" t="s">
        <v>2188</v>
      </c>
      <c r="G1080" s="1" t="s">
        <v>2215</v>
      </c>
      <c r="H1080" s="1" t="s">
        <v>4571</v>
      </c>
      <c r="I1080" s="1">
        <v>1</v>
      </c>
      <c r="J1080" s="3">
        <v>23500</v>
      </c>
      <c r="K1080" s="3">
        <v>21500</v>
      </c>
      <c r="L1080" s="1">
        <v>0</v>
      </c>
      <c r="M1080" s="4">
        <v>0</v>
      </c>
      <c r="N1080" s="3">
        <v>2000</v>
      </c>
      <c r="O1080" s="4">
        <v>8.5000000000000006E-2</v>
      </c>
      <c r="P1080" s="1" t="s">
        <v>2723</v>
      </c>
    </row>
    <row r="1081" spans="1:16">
      <c r="A1081" s="1" t="s">
        <v>763</v>
      </c>
      <c r="B1081" s="1">
        <v>11</v>
      </c>
      <c r="C1081" s="1" t="s">
        <v>4572</v>
      </c>
      <c r="D1081" s="1" t="s">
        <v>2210</v>
      </c>
      <c r="E1081" s="2">
        <v>45971</v>
      </c>
      <c r="F1081" s="1" t="s">
        <v>554</v>
      </c>
      <c r="G1081" s="1" t="s">
        <v>2211</v>
      </c>
      <c r="H1081" s="1" t="s">
        <v>2212</v>
      </c>
      <c r="I1081" s="1">
        <v>1</v>
      </c>
      <c r="J1081" s="3">
        <v>16070</v>
      </c>
      <c r="K1081" s="3">
        <v>14539</v>
      </c>
      <c r="L1081" s="1">
        <v>0</v>
      </c>
      <c r="M1081" s="4">
        <v>0</v>
      </c>
      <c r="N1081" s="3">
        <v>1531</v>
      </c>
      <c r="O1081" s="4">
        <v>9.5000000000000001E-2</v>
      </c>
      <c r="P1081" s="1" t="s">
        <v>2723</v>
      </c>
    </row>
    <row r="1082" spans="1:16">
      <c r="A1082" s="1" t="s">
        <v>763</v>
      </c>
      <c r="B1082" s="1">
        <v>11</v>
      </c>
      <c r="C1082" s="1" t="s">
        <v>4573</v>
      </c>
      <c r="D1082" s="1" t="s">
        <v>4574</v>
      </c>
      <c r="E1082" s="2">
        <v>45971</v>
      </c>
      <c r="F1082" s="1" t="s">
        <v>2188</v>
      </c>
      <c r="G1082" s="1" t="s">
        <v>4575</v>
      </c>
      <c r="H1082" s="1" t="s">
        <v>4576</v>
      </c>
      <c r="I1082" s="1">
        <v>1</v>
      </c>
      <c r="J1082" s="3">
        <v>15500</v>
      </c>
      <c r="K1082" s="3">
        <v>14000</v>
      </c>
      <c r="L1082" s="1">
        <v>0</v>
      </c>
      <c r="M1082" s="4">
        <v>0</v>
      </c>
      <c r="N1082" s="3">
        <v>1500</v>
      </c>
      <c r="O1082" s="4">
        <v>9.7000000000000003E-2</v>
      </c>
      <c r="P1082" s="1" t="s">
        <v>2723</v>
      </c>
    </row>
    <row r="1083" spans="1:16">
      <c r="A1083" s="1" t="s">
        <v>763</v>
      </c>
      <c r="B1083" s="1">
        <v>11</v>
      </c>
      <c r="C1083" s="1" t="s">
        <v>4577</v>
      </c>
      <c r="D1083" s="1" t="s">
        <v>2214</v>
      </c>
      <c r="E1083" s="2">
        <v>45971</v>
      </c>
      <c r="F1083" s="1" t="s">
        <v>2188</v>
      </c>
      <c r="G1083" s="1" t="s">
        <v>2215</v>
      </c>
      <c r="H1083" s="1" t="s">
        <v>4571</v>
      </c>
      <c r="I1083" s="1">
        <v>1</v>
      </c>
      <c r="J1083" s="3">
        <v>23500</v>
      </c>
      <c r="K1083" s="3">
        <v>21500</v>
      </c>
      <c r="L1083" s="1">
        <v>0</v>
      </c>
      <c r="M1083" s="4">
        <v>0</v>
      </c>
      <c r="N1083" s="3">
        <v>2000</v>
      </c>
      <c r="O1083" s="4">
        <v>8.5000000000000006E-2</v>
      </c>
      <c r="P1083" s="1" t="s">
        <v>2723</v>
      </c>
    </row>
    <row r="1084" spans="1:16">
      <c r="A1084" s="1" t="s">
        <v>763</v>
      </c>
      <c r="B1084" s="1">
        <v>11</v>
      </c>
      <c r="C1084" s="1" t="s">
        <v>4578</v>
      </c>
      <c r="D1084" s="1" t="s">
        <v>2214</v>
      </c>
      <c r="E1084" s="2">
        <v>45971</v>
      </c>
      <c r="F1084" s="1" t="s">
        <v>2188</v>
      </c>
      <c r="G1084" s="1" t="s">
        <v>2215</v>
      </c>
      <c r="H1084" s="1" t="s">
        <v>4571</v>
      </c>
      <c r="I1084" s="1">
        <v>1</v>
      </c>
      <c r="J1084" s="3">
        <v>23500</v>
      </c>
      <c r="K1084" s="3">
        <v>21500</v>
      </c>
      <c r="L1084" s="1">
        <v>0</v>
      </c>
      <c r="M1084" s="4">
        <v>0</v>
      </c>
      <c r="N1084" s="3">
        <v>2000</v>
      </c>
      <c r="O1084" s="4">
        <v>8.5000000000000006E-2</v>
      </c>
      <c r="P1084" s="1" t="s">
        <v>2723</v>
      </c>
    </row>
    <row r="1085" spans="1:16">
      <c r="A1085" s="1" t="s">
        <v>763</v>
      </c>
      <c r="B1085" s="1">
        <v>11</v>
      </c>
      <c r="C1085" s="1" t="s">
        <v>4579</v>
      </c>
      <c r="D1085" s="1" t="s">
        <v>2214</v>
      </c>
      <c r="E1085" s="2">
        <v>45971</v>
      </c>
      <c r="F1085" s="1" t="s">
        <v>2188</v>
      </c>
      <c r="G1085" s="1" t="s">
        <v>2215</v>
      </c>
      <c r="H1085" s="1" t="s">
        <v>4571</v>
      </c>
      <c r="I1085" s="1">
        <v>1</v>
      </c>
      <c r="J1085" s="3">
        <v>23500</v>
      </c>
      <c r="K1085" s="3">
        <v>21500</v>
      </c>
      <c r="L1085" s="1">
        <v>0</v>
      </c>
      <c r="M1085" s="4">
        <v>0</v>
      </c>
      <c r="N1085" s="3">
        <v>2000</v>
      </c>
      <c r="O1085" s="4">
        <v>8.5000000000000006E-2</v>
      </c>
      <c r="P1085" s="1" t="s">
        <v>2723</v>
      </c>
    </row>
    <row r="1086" spans="1:16">
      <c r="A1086" s="1" t="s">
        <v>763</v>
      </c>
      <c r="B1086" s="1">
        <v>11</v>
      </c>
      <c r="C1086" s="1" t="s">
        <v>4580</v>
      </c>
      <c r="D1086" s="1" t="s">
        <v>4581</v>
      </c>
      <c r="E1086" s="2">
        <v>45971</v>
      </c>
      <c r="F1086" s="1" t="s">
        <v>53</v>
      </c>
      <c r="G1086" s="1" t="s">
        <v>4582</v>
      </c>
      <c r="H1086" s="1" t="s">
        <v>4583</v>
      </c>
      <c r="I1086" s="1">
        <v>1</v>
      </c>
      <c r="J1086" s="3">
        <v>16070</v>
      </c>
      <c r="K1086" s="3">
        <v>14536</v>
      </c>
      <c r="L1086" s="1">
        <v>0</v>
      </c>
      <c r="M1086" s="4">
        <v>0</v>
      </c>
      <c r="N1086" s="3">
        <v>1534</v>
      </c>
      <c r="O1086" s="4">
        <v>9.5000000000000001E-2</v>
      </c>
      <c r="P1086" s="1" t="s">
        <v>2723</v>
      </c>
    </row>
    <row r="1087" spans="1:16">
      <c r="A1087" s="1" t="s">
        <v>763</v>
      </c>
      <c r="B1087" s="1">
        <v>11</v>
      </c>
      <c r="C1087" s="1" t="s">
        <v>4584</v>
      </c>
      <c r="D1087" s="1" t="s">
        <v>4574</v>
      </c>
      <c r="E1087" s="2">
        <v>45971</v>
      </c>
      <c r="F1087" s="1" t="s">
        <v>2188</v>
      </c>
      <c r="G1087" s="1" t="s">
        <v>4575</v>
      </c>
      <c r="H1087" s="1" t="s">
        <v>4576</v>
      </c>
      <c r="I1087" s="1">
        <v>1</v>
      </c>
      <c r="J1087" s="3">
        <v>15500</v>
      </c>
      <c r="K1087" s="3">
        <v>14000</v>
      </c>
      <c r="L1087" s="1">
        <v>0</v>
      </c>
      <c r="M1087" s="4">
        <v>0</v>
      </c>
      <c r="N1087" s="3">
        <v>1500</v>
      </c>
      <c r="O1087" s="4">
        <v>9.7000000000000003E-2</v>
      </c>
      <c r="P1087" s="1" t="s">
        <v>2723</v>
      </c>
    </row>
    <row r="1088" spans="1:16">
      <c r="A1088" s="1" t="s">
        <v>763</v>
      </c>
      <c r="B1088" s="1">
        <v>11</v>
      </c>
      <c r="C1088" s="1" t="s">
        <v>4585</v>
      </c>
      <c r="D1088" s="1" t="s">
        <v>2635</v>
      </c>
      <c r="E1088" s="2">
        <v>45971</v>
      </c>
      <c r="F1088" s="1" t="s">
        <v>2636</v>
      </c>
      <c r="G1088" s="1" t="s">
        <v>2637</v>
      </c>
      <c r="H1088" s="1" t="s">
        <v>4586</v>
      </c>
      <c r="I1088" s="1">
        <v>1</v>
      </c>
      <c r="J1088" s="3">
        <v>9860</v>
      </c>
      <c r="K1088" s="3">
        <v>8911</v>
      </c>
      <c r="L1088" s="1">
        <v>0</v>
      </c>
      <c r="M1088" s="4">
        <v>0</v>
      </c>
      <c r="N1088" s="1">
        <v>949</v>
      </c>
      <c r="O1088" s="4">
        <v>9.6000000000000002E-2</v>
      </c>
      <c r="P1088" s="1" t="s">
        <v>2723</v>
      </c>
    </row>
    <row r="1089" spans="1:16">
      <c r="A1089" s="1" t="s">
        <v>763</v>
      </c>
      <c r="B1089" s="1">
        <v>11</v>
      </c>
      <c r="C1089" s="1" t="s">
        <v>4587</v>
      </c>
      <c r="D1089" s="1" t="s">
        <v>4588</v>
      </c>
      <c r="E1089" s="2">
        <v>45971</v>
      </c>
      <c r="F1089" s="1" t="s">
        <v>53</v>
      </c>
      <c r="G1089" s="1" t="s">
        <v>4589</v>
      </c>
      <c r="H1089" s="1" t="s">
        <v>4590</v>
      </c>
      <c r="I1089" s="1">
        <v>1</v>
      </c>
      <c r="J1089" s="3">
        <v>16920</v>
      </c>
      <c r="K1089" s="3">
        <v>15396</v>
      </c>
      <c r="L1089" s="1">
        <v>0</v>
      </c>
      <c r="M1089" s="4">
        <v>0</v>
      </c>
      <c r="N1089" s="3">
        <v>1524</v>
      </c>
      <c r="O1089" s="4">
        <v>0.09</v>
      </c>
      <c r="P1089" s="1" t="s">
        <v>2723</v>
      </c>
    </row>
    <row r="1090" spans="1:16">
      <c r="A1090" s="1" t="s">
        <v>763</v>
      </c>
      <c r="B1090" s="1">
        <v>11</v>
      </c>
      <c r="C1090" s="1" t="s">
        <v>4591</v>
      </c>
      <c r="D1090" s="1" t="s">
        <v>4574</v>
      </c>
      <c r="E1090" s="2">
        <v>45971</v>
      </c>
      <c r="F1090" s="1" t="s">
        <v>2188</v>
      </c>
      <c r="G1090" s="1" t="s">
        <v>4575</v>
      </c>
      <c r="H1090" s="1" t="s">
        <v>4576</v>
      </c>
      <c r="I1090" s="1">
        <v>1</v>
      </c>
      <c r="J1090" s="3">
        <v>15500</v>
      </c>
      <c r="K1090" s="3">
        <v>14000</v>
      </c>
      <c r="L1090" s="1">
        <v>0</v>
      </c>
      <c r="M1090" s="4">
        <v>0</v>
      </c>
      <c r="N1090" s="3">
        <v>1500</v>
      </c>
      <c r="O1090" s="4">
        <v>9.7000000000000003E-2</v>
      </c>
      <c r="P1090" s="1" t="s">
        <v>2723</v>
      </c>
    </row>
    <row r="1091" spans="1:16">
      <c r="A1091" s="1" t="s">
        <v>763</v>
      </c>
      <c r="B1091" s="1">
        <v>11</v>
      </c>
      <c r="C1091" s="1" t="s">
        <v>4592</v>
      </c>
      <c r="D1091" s="1" t="s">
        <v>2214</v>
      </c>
      <c r="E1091" s="2">
        <v>45971</v>
      </c>
      <c r="F1091" s="1" t="s">
        <v>2188</v>
      </c>
      <c r="G1091" s="1" t="s">
        <v>2215</v>
      </c>
      <c r="H1091" s="1" t="s">
        <v>4571</v>
      </c>
      <c r="I1091" s="1">
        <v>1</v>
      </c>
      <c r="J1091" s="3">
        <v>23500</v>
      </c>
      <c r="K1091" s="3">
        <v>21500</v>
      </c>
      <c r="L1091" s="1">
        <v>0</v>
      </c>
      <c r="M1091" s="4">
        <v>0</v>
      </c>
      <c r="N1091" s="3">
        <v>2000</v>
      </c>
      <c r="O1091" s="4">
        <v>8.5000000000000006E-2</v>
      </c>
      <c r="P1091" s="1" t="s">
        <v>2723</v>
      </c>
    </row>
    <row r="1092" spans="1:16">
      <c r="A1092" s="1" t="s">
        <v>763</v>
      </c>
      <c r="B1092" s="1">
        <v>11</v>
      </c>
      <c r="C1092" s="1" t="s">
        <v>4593</v>
      </c>
      <c r="D1092" s="1" t="s">
        <v>2214</v>
      </c>
      <c r="E1092" s="2">
        <v>45971</v>
      </c>
      <c r="F1092" s="1" t="s">
        <v>2188</v>
      </c>
      <c r="G1092" s="1" t="s">
        <v>2215</v>
      </c>
      <c r="H1092" s="1" t="s">
        <v>4571</v>
      </c>
      <c r="I1092" s="1">
        <v>1</v>
      </c>
      <c r="J1092" s="3">
        <v>23500</v>
      </c>
      <c r="K1092" s="3">
        <v>21500</v>
      </c>
      <c r="L1092" s="1">
        <v>0</v>
      </c>
      <c r="M1092" s="4">
        <v>0</v>
      </c>
      <c r="N1092" s="3">
        <v>2000</v>
      </c>
      <c r="O1092" s="4">
        <v>8.5000000000000006E-2</v>
      </c>
      <c r="P1092" s="1" t="s">
        <v>2723</v>
      </c>
    </row>
    <row r="1093" spans="1:16">
      <c r="A1093" s="1" t="s">
        <v>763</v>
      </c>
      <c r="B1093" s="1">
        <v>11</v>
      </c>
      <c r="C1093" s="1" t="s">
        <v>4594</v>
      </c>
      <c r="D1093" s="1" t="s">
        <v>4595</v>
      </c>
      <c r="E1093" s="2">
        <v>45971</v>
      </c>
      <c r="F1093" s="1" t="s">
        <v>2188</v>
      </c>
      <c r="G1093" s="1" t="s">
        <v>4596</v>
      </c>
      <c r="I1093" s="1">
        <v>1</v>
      </c>
      <c r="J1093" s="3">
        <v>15000</v>
      </c>
      <c r="K1093" s="3">
        <v>12500</v>
      </c>
      <c r="L1093" s="1">
        <v>0</v>
      </c>
      <c r="M1093" s="4">
        <v>0</v>
      </c>
      <c r="N1093" s="3">
        <v>2500</v>
      </c>
      <c r="O1093" s="4">
        <v>0.16700000000000001</v>
      </c>
      <c r="P1093" s="1" t="s">
        <v>2723</v>
      </c>
    </row>
    <row r="1094" spans="1:16">
      <c r="A1094" s="1" t="s">
        <v>763</v>
      </c>
      <c r="B1094" s="1">
        <v>11</v>
      </c>
      <c r="C1094" s="1" t="s">
        <v>4597</v>
      </c>
      <c r="D1094" s="1" t="s">
        <v>4574</v>
      </c>
      <c r="E1094" s="2">
        <v>45971</v>
      </c>
      <c r="F1094" s="1" t="s">
        <v>2188</v>
      </c>
      <c r="G1094" s="1" t="s">
        <v>4575</v>
      </c>
      <c r="H1094" s="1" t="s">
        <v>4576</v>
      </c>
      <c r="I1094" s="1">
        <v>1</v>
      </c>
      <c r="J1094" s="3">
        <v>15500</v>
      </c>
      <c r="K1094" s="3">
        <v>14000</v>
      </c>
      <c r="L1094" s="1">
        <v>0</v>
      </c>
      <c r="M1094" s="4">
        <v>0</v>
      </c>
      <c r="N1094" s="3">
        <v>1500</v>
      </c>
      <c r="O1094" s="4">
        <v>9.7000000000000003E-2</v>
      </c>
      <c r="P1094" s="1" t="s">
        <v>2723</v>
      </c>
    </row>
    <row r="1095" spans="1:16">
      <c r="A1095" s="1" t="s">
        <v>763</v>
      </c>
      <c r="B1095" s="1">
        <v>11</v>
      </c>
      <c r="C1095" s="1" t="s">
        <v>4598</v>
      </c>
      <c r="D1095" s="1" t="s">
        <v>4599</v>
      </c>
      <c r="E1095" s="2">
        <v>45971</v>
      </c>
      <c r="F1095" s="1" t="s">
        <v>554</v>
      </c>
      <c r="G1095" s="1" t="s">
        <v>4600</v>
      </c>
      <c r="H1095" s="1" t="s">
        <v>4601</v>
      </c>
      <c r="I1095" s="1">
        <v>1</v>
      </c>
      <c r="J1095" s="3">
        <v>18530</v>
      </c>
      <c r="K1095" s="3">
        <v>16790</v>
      </c>
      <c r="L1095" s="1">
        <v>0</v>
      </c>
      <c r="M1095" s="4">
        <v>0</v>
      </c>
      <c r="N1095" s="3">
        <v>1740</v>
      </c>
      <c r="O1095" s="4">
        <v>9.4E-2</v>
      </c>
      <c r="P1095" s="1" t="s">
        <v>2723</v>
      </c>
    </row>
    <row r="1096" spans="1:16">
      <c r="A1096" s="1" t="s">
        <v>763</v>
      </c>
      <c r="B1096" s="1">
        <v>11</v>
      </c>
      <c r="C1096" s="1" t="s">
        <v>4602</v>
      </c>
      <c r="D1096" s="1" t="s">
        <v>4603</v>
      </c>
      <c r="E1096" s="2">
        <v>45971</v>
      </c>
      <c r="F1096" s="1" t="s">
        <v>2188</v>
      </c>
      <c r="G1096" s="1" t="s">
        <v>4604</v>
      </c>
      <c r="I1096" s="1">
        <v>2</v>
      </c>
      <c r="J1096" s="3">
        <v>27600</v>
      </c>
      <c r="K1096" s="3">
        <v>22000</v>
      </c>
      <c r="L1096" s="1">
        <v>0</v>
      </c>
      <c r="M1096" s="4">
        <v>0</v>
      </c>
      <c r="N1096" s="3">
        <v>5600</v>
      </c>
      <c r="O1096" s="4">
        <v>0.20300000000000001</v>
      </c>
      <c r="P1096" s="1" t="s">
        <v>2723</v>
      </c>
    </row>
    <row r="1097" spans="1:16">
      <c r="A1097" s="1" t="s">
        <v>763</v>
      </c>
      <c r="B1097" s="1">
        <v>11</v>
      </c>
      <c r="C1097" s="1" t="s">
        <v>4605</v>
      </c>
      <c r="D1097" s="1" t="s">
        <v>2034</v>
      </c>
      <c r="E1097" s="2">
        <v>45971</v>
      </c>
      <c r="F1097" s="1" t="s">
        <v>554</v>
      </c>
      <c r="G1097" s="1" t="s">
        <v>2035</v>
      </c>
      <c r="H1097" s="1" t="s">
        <v>4606</v>
      </c>
      <c r="I1097" s="1">
        <v>1</v>
      </c>
      <c r="J1097" s="3">
        <v>9520</v>
      </c>
      <c r="K1097" s="3">
        <v>8630</v>
      </c>
      <c r="L1097" s="1">
        <v>0</v>
      </c>
      <c r="M1097" s="4">
        <v>0</v>
      </c>
      <c r="N1097" s="1">
        <v>890</v>
      </c>
      <c r="O1097" s="4">
        <v>9.2999999999999999E-2</v>
      </c>
      <c r="P1097" s="1" t="s">
        <v>2723</v>
      </c>
    </row>
    <row r="1098" spans="1:16">
      <c r="A1098" s="1" t="s">
        <v>763</v>
      </c>
      <c r="B1098" s="1">
        <v>11</v>
      </c>
      <c r="C1098" s="1" t="s">
        <v>4607</v>
      </c>
      <c r="D1098" s="1" t="s">
        <v>4608</v>
      </c>
      <c r="E1098" s="2">
        <v>45971</v>
      </c>
      <c r="F1098" s="1" t="s">
        <v>554</v>
      </c>
      <c r="G1098" s="1" t="s">
        <v>4609</v>
      </c>
      <c r="H1098" s="1" t="s">
        <v>4610</v>
      </c>
      <c r="I1098" s="1">
        <v>1</v>
      </c>
      <c r="J1098" s="3">
        <v>8420</v>
      </c>
      <c r="K1098" s="3">
        <v>7663</v>
      </c>
      <c r="L1098" s="1">
        <v>0</v>
      </c>
      <c r="M1098" s="4">
        <v>0</v>
      </c>
      <c r="N1098" s="1">
        <v>757</v>
      </c>
      <c r="O1098" s="4">
        <v>0.09</v>
      </c>
      <c r="P1098" s="1" t="s">
        <v>2723</v>
      </c>
    </row>
    <row r="1099" spans="1:16">
      <c r="A1099" s="1" t="s">
        <v>763</v>
      </c>
      <c r="B1099" s="1">
        <v>11</v>
      </c>
      <c r="C1099" s="1" t="s">
        <v>4611</v>
      </c>
      <c r="D1099" s="1" t="s">
        <v>4612</v>
      </c>
      <c r="E1099" s="2">
        <v>45971</v>
      </c>
      <c r="F1099" s="1" t="s">
        <v>2188</v>
      </c>
      <c r="G1099" s="1" t="s">
        <v>4613</v>
      </c>
      <c r="I1099" s="1">
        <v>1</v>
      </c>
      <c r="J1099" s="3">
        <v>13800</v>
      </c>
      <c r="K1099" s="3">
        <v>11500</v>
      </c>
      <c r="L1099" s="1">
        <v>0</v>
      </c>
      <c r="M1099" s="4">
        <v>0</v>
      </c>
      <c r="N1099" s="3">
        <v>2300</v>
      </c>
      <c r="O1099" s="4">
        <v>0.16700000000000001</v>
      </c>
      <c r="P1099" s="1" t="s">
        <v>2723</v>
      </c>
    </row>
    <row r="1100" spans="1:16">
      <c r="A1100" s="1" t="s">
        <v>763</v>
      </c>
      <c r="B1100" s="1">
        <v>11</v>
      </c>
      <c r="C1100" s="1" t="s">
        <v>4614</v>
      </c>
      <c r="D1100" s="1" t="s">
        <v>2214</v>
      </c>
      <c r="E1100" s="2">
        <v>45971</v>
      </c>
      <c r="F1100" s="1" t="s">
        <v>2188</v>
      </c>
      <c r="G1100" s="1" t="s">
        <v>2215</v>
      </c>
      <c r="H1100" s="1" t="s">
        <v>4571</v>
      </c>
      <c r="I1100" s="1">
        <v>1</v>
      </c>
      <c r="J1100" s="3">
        <v>23500</v>
      </c>
      <c r="K1100" s="3">
        <v>21500</v>
      </c>
      <c r="L1100" s="1">
        <v>0</v>
      </c>
      <c r="M1100" s="4">
        <v>0</v>
      </c>
      <c r="N1100" s="3">
        <v>2000</v>
      </c>
      <c r="O1100" s="4">
        <v>8.5000000000000006E-2</v>
      </c>
      <c r="P1100" s="1" t="s">
        <v>2723</v>
      </c>
    </row>
    <row r="1101" spans="1:16">
      <c r="A1101" s="1" t="s">
        <v>763</v>
      </c>
      <c r="B1101" s="1">
        <v>11</v>
      </c>
      <c r="C1101" s="1" t="s">
        <v>4615</v>
      </c>
      <c r="D1101" s="1" t="s">
        <v>2214</v>
      </c>
      <c r="E1101" s="2">
        <v>45971</v>
      </c>
      <c r="F1101" s="1" t="s">
        <v>2188</v>
      </c>
      <c r="G1101" s="1" t="s">
        <v>2215</v>
      </c>
      <c r="H1101" s="1" t="s">
        <v>4571</v>
      </c>
      <c r="I1101" s="1">
        <v>1</v>
      </c>
      <c r="J1101" s="3">
        <v>23500</v>
      </c>
      <c r="K1101" s="3">
        <v>21500</v>
      </c>
      <c r="L1101" s="1">
        <v>0</v>
      </c>
      <c r="M1101" s="4">
        <v>0</v>
      </c>
      <c r="N1101" s="3">
        <v>2000</v>
      </c>
      <c r="O1101" s="4">
        <v>8.5000000000000006E-2</v>
      </c>
      <c r="P1101" s="1" t="s">
        <v>2723</v>
      </c>
    </row>
    <row r="1102" spans="1:16">
      <c r="A1102" s="1" t="s">
        <v>763</v>
      </c>
      <c r="B1102" s="1">
        <v>11</v>
      </c>
      <c r="C1102" s="1" t="s">
        <v>4616</v>
      </c>
      <c r="D1102" s="1" t="s">
        <v>4574</v>
      </c>
      <c r="E1102" s="2">
        <v>45971</v>
      </c>
      <c r="F1102" s="1" t="s">
        <v>2188</v>
      </c>
      <c r="G1102" s="1" t="s">
        <v>4575</v>
      </c>
      <c r="H1102" s="1" t="s">
        <v>4576</v>
      </c>
      <c r="I1102" s="1">
        <v>1</v>
      </c>
      <c r="J1102" s="3">
        <v>15500</v>
      </c>
      <c r="K1102" s="3">
        <v>14000</v>
      </c>
      <c r="L1102" s="1">
        <v>0</v>
      </c>
      <c r="M1102" s="4">
        <v>0</v>
      </c>
      <c r="N1102" s="3">
        <v>1500</v>
      </c>
      <c r="O1102" s="4">
        <v>9.7000000000000003E-2</v>
      </c>
      <c r="P1102" s="1" t="s">
        <v>2723</v>
      </c>
    </row>
    <row r="1103" spans="1:16">
      <c r="A1103" s="1" t="s">
        <v>763</v>
      </c>
      <c r="B1103" s="1">
        <v>11</v>
      </c>
      <c r="C1103" s="1" t="s">
        <v>4617</v>
      </c>
      <c r="D1103" s="1" t="s">
        <v>2214</v>
      </c>
      <c r="E1103" s="2">
        <v>45971</v>
      </c>
      <c r="F1103" s="1" t="s">
        <v>2188</v>
      </c>
      <c r="G1103" s="1" t="s">
        <v>2215</v>
      </c>
      <c r="H1103" s="1" t="s">
        <v>4571</v>
      </c>
      <c r="I1103" s="1">
        <v>1</v>
      </c>
      <c r="J1103" s="3">
        <v>23500</v>
      </c>
      <c r="K1103" s="3">
        <v>21500</v>
      </c>
      <c r="L1103" s="1">
        <v>0</v>
      </c>
      <c r="M1103" s="4">
        <v>0</v>
      </c>
      <c r="N1103" s="3">
        <v>2000</v>
      </c>
      <c r="O1103" s="4">
        <v>8.5000000000000006E-2</v>
      </c>
      <c r="P1103" s="1" t="s">
        <v>2723</v>
      </c>
    </row>
    <row r="1104" spans="1:16">
      <c r="A1104" s="1" t="s">
        <v>763</v>
      </c>
      <c r="B1104" s="1">
        <v>11</v>
      </c>
      <c r="C1104" s="1" t="s">
        <v>4618</v>
      </c>
      <c r="D1104" s="1" t="s">
        <v>2214</v>
      </c>
      <c r="E1104" s="2">
        <v>45971</v>
      </c>
      <c r="F1104" s="1" t="s">
        <v>2188</v>
      </c>
      <c r="G1104" s="1" t="s">
        <v>2215</v>
      </c>
      <c r="H1104" s="1" t="s">
        <v>4571</v>
      </c>
      <c r="I1104" s="1">
        <v>1</v>
      </c>
      <c r="J1104" s="3">
        <v>23500</v>
      </c>
      <c r="K1104" s="3">
        <v>21500</v>
      </c>
      <c r="L1104" s="1">
        <v>0</v>
      </c>
      <c r="M1104" s="4">
        <v>0</v>
      </c>
      <c r="N1104" s="3">
        <v>2000</v>
      </c>
      <c r="O1104" s="4">
        <v>8.5000000000000006E-2</v>
      </c>
      <c r="P1104" s="1" t="s">
        <v>2723</v>
      </c>
    </row>
    <row r="1105" spans="1:16">
      <c r="A1105" s="1" t="s">
        <v>763</v>
      </c>
      <c r="B1105" s="1">
        <v>11</v>
      </c>
      <c r="C1105" s="1" t="s">
        <v>4619</v>
      </c>
      <c r="D1105" s="1" t="s">
        <v>4620</v>
      </c>
      <c r="E1105" s="2">
        <v>45971</v>
      </c>
      <c r="F1105" s="1" t="s">
        <v>63</v>
      </c>
      <c r="G1105" s="1" t="s">
        <v>4621</v>
      </c>
      <c r="H1105" s="1" t="s">
        <v>4622</v>
      </c>
      <c r="I1105" s="1">
        <v>1</v>
      </c>
      <c r="J1105" s="3">
        <v>8250</v>
      </c>
      <c r="K1105" s="3">
        <v>7429</v>
      </c>
      <c r="L1105" s="1">
        <v>0</v>
      </c>
      <c r="M1105" s="4">
        <v>0</v>
      </c>
      <c r="N1105" s="1">
        <v>821</v>
      </c>
      <c r="O1105" s="4">
        <v>0.1</v>
      </c>
      <c r="P1105" s="1" t="s">
        <v>2723</v>
      </c>
    </row>
    <row r="1106" spans="1:16">
      <c r="A1106" s="1" t="s">
        <v>626</v>
      </c>
      <c r="B1106" s="1">
        <v>11</v>
      </c>
      <c r="C1106" s="1">
        <v>69033639</v>
      </c>
      <c r="D1106" s="1" t="s">
        <v>627</v>
      </c>
      <c r="E1106" s="2">
        <v>45971</v>
      </c>
      <c r="F1106" s="1" t="s">
        <v>604</v>
      </c>
      <c r="G1106" s="1" t="s">
        <v>628</v>
      </c>
      <c r="H1106" s="1" t="s">
        <v>2271</v>
      </c>
      <c r="I1106" s="1">
        <v>2</v>
      </c>
      <c r="J1106" s="3">
        <v>12800</v>
      </c>
      <c r="K1106" s="3">
        <v>3600</v>
      </c>
      <c r="L1106" s="3">
        <v>1408</v>
      </c>
      <c r="M1106" s="4">
        <v>0.11</v>
      </c>
      <c r="N1106" s="3">
        <v>7792</v>
      </c>
      <c r="O1106" s="4">
        <v>0.60899999999999999</v>
      </c>
      <c r="P1106" s="1" t="s">
        <v>2721</v>
      </c>
    </row>
    <row r="1107" spans="1:16">
      <c r="A1107" s="1" t="s">
        <v>626</v>
      </c>
      <c r="B1107" s="1">
        <v>11</v>
      </c>
      <c r="C1107" s="1">
        <v>69033580</v>
      </c>
      <c r="D1107" s="1" t="s">
        <v>627</v>
      </c>
      <c r="E1107" s="2">
        <v>45971</v>
      </c>
      <c r="F1107" s="1" t="s">
        <v>604</v>
      </c>
      <c r="G1107" s="1" t="s">
        <v>628</v>
      </c>
      <c r="H1107" s="1" t="s">
        <v>2271</v>
      </c>
      <c r="I1107" s="1">
        <v>2</v>
      </c>
      <c r="J1107" s="3">
        <v>12800</v>
      </c>
      <c r="K1107" s="3">
        <v>3600</v>
      </c>
      <c r="L1107" s="3">
        <v>1408</v>
      </c>
      <c r="M1107" s="4">
        <v>0.11</v>
      </c>
      <c r="N1107" s="3">
        <v>7792</v>
      </c>
      <c r="O1107" s="4">
        <v>0.60899999999999999</v>
      </c>
      <c r="P1107" s="1" t="s">
        <v>2721</v>
      </c>
    </row>
    <row r="1108" spans="1:16">
      <c r="A1108" s="1" t="s">
        <v>15</v>
      </c>
      <c r="B1108" s="1">
        <v>11</v>
      </c>
      <c r="C1108" s="1" t="s">
        <v>4623</v>
      </c>
      <c r="D1108" s="1" t="s">
        <v>132</v>
      </c>
      <c r="E1108" s="2">
        <v>45972</v>
      </c>
      <c r="F1108" s="1" t="s">
        <v>53</v>
      </c>
      <c r="G1108" s="1" t="s">
        <v>133</v>
      </c>
      <c r="H1108" s="1" t="s">
        <v>88</v>
      </c>
      <c r="I1108" s="1">
        <v>1</v>
      </c>
      <c r="J1108" s="3">
        <v>17036</v>
      </c>
      <c r="K1108" s="3">
        <v>16256</v>
      </c>
      <c r="L1108" s="1">
        <v>0</v>
      </c>
      <c r="M1108" s="4">
        <v>0</v>
      </c>
      <c r="N1108" s="1">
        <v>780</v>
      </c>
      <c r="O1108" s="4">
        <v>4.5999999999999999E-2</v>
      </c>
      <c r="P1108" s="1" t="s">
        <v>2721</v>
      </c>
    </row>
    <row r="1109" spans="1:16">
      <c r="A1109" s="1" t="s">
        <v>15</v>
      </c>
      <c r="B1109" s="1">
        <v>11</v>
      </c>
      <c r="C1109" s="1" t="s">
        <v>4624</v>
      </c>
      <c r="D1109" s="1" t="s">
        <v>104</v>
      </c>
      <c r="E1109" s="2">
        <v>45972</v>
      </c>
      <c r="F1109" s="1" t="s">
        <v>96</v>
      </c>
      <c r="G1109" s="1" t="s">
        <v>105</v>
      </c>
      <c r="H1109" s="1" t="s">
        <v>106</v>
      </c>
      <c r="I1109" s="1">
        <v>1</v>
      </c>
      <c r="J1109" s="3">
        <v>21614</v>
      </c>
      <c r="K1109" s="3">
        <v>20625</v>
      </c>
      <c r="L1109" s="1">
        <v>0</v>
      </c>
      <c r="M1109" s="4">
        <v>0</v>
      </c>
      <c r="N1109" s="1">
        <v>989</v>
      </c>
      <c r="O1109" s="4">
        <v>4.5999999999999999E-2</v>
      </c>
      <c r="P1109" s="1" t="s">
        <v>2721</v>
      </c>
    </row>
    <row r="1110" spans="1:16">
      <c r="A1110" s="1" t="s">
        <v>15</v>
      </c>
      <c r="B1110" s="1">
        <v>11</v>
      </c>
      <c r="C1110" s="1" t="s">
        <v>4625</v>
      </c>
      <c r="D1110" s="1" t="s">
        <v>960</v>
      </c>
      <c r="E1110" s="2">
        <v>45972</v>
      </c>
      <c r="F1110" s="1" t="s">
        <v>407</v>
      </c>
      <c r="G1110" s="1" t="s">
        <v>961</v>
      </c>
      <c r="H1110" s="1" t="s">
        <v>2830</v>
      </c>
      <c r="I1110" s="1">
        <v>1</v>
      </c>
      <c r="J1110" s="3">
        <v>16711</v>
      </c>
      <c r="K1110" s="3">
        <v>15946</v>
      </c>
      <c r="L1110" s="1">
        <v>0</v>
      </c>
      <c r="M1110" s="4">
        <v>0</v>
      </c>
      <c r="N1110" s="1">
        <v>765</v>
      </c>
      <c r="O1110" s="4">
        <v>4.5999999999999999E-2</v>
      </c>
      <c r="P1110" s="1" t="s">
        <v>2721</v>
      </c>
    </row>
    <row r="1111" spans="1:16">
      <c r="A1111" s="1" t="s">
        <v>15</v>
      </c>
      <c r="B1111" s="1">
        <v>11</v>
      </c>
      <c r="C1111" s="1" t="s">
        <v>4625</v>
      </c>
      <c r="D1111" s="1" t="s">
        <v>504</v>
      </c>
      <c r="E1111" s="2">
        <v>45972</v>
      </c>
      <c r="F1111" s="1" t="s">
        <v>407</v>
      </c>
      <c r="G1111" s="1" t="s">
        <v>505</v>
      </c>
      <c r="H1111" s="1" t="s">
        <v>506</v>
      </c>
      <c r="I1111" s="1">
        <v>1</v>
      </c>
      <c r="J1111" s="3">
        <v>40303</v>
      </c>
      <c r="K1111" s="3">
        <v>38458</v>
      </c>
      <c r="L1111" s="1">
        <v>0</v>
      </c>
      <c r="M1111" s="4">
        <v>0</v>
      </c>
      <c r="N1111" s="3">
        <v>1845</v>
      </c>
      <c r="O1111" s="4">
        <v>4.5999999999999999E-2</v>
      </c>
      <c r="P1111" s="1" t="s">
        <v>2721</v>
      </c>
    </row>
    <row r="1112" spans="1:16">
      <c r="A1112" s="1" t="s">
        <v>15</v>
      </c>
      <c r="B1112" s="1">
        <v>11</v>
      </c>
      <c r="C1112" s="1" t="s">
        <v>4626</v>
      </c>
      <c r="D1112" s="1" t="s">
        <v>960</v>
      </c>
      <c r="E1112" s="2">
        <v>45972</v>
      </c>
      <c r="F1112" s="1" t="s">
        <v>407</v>
      </c>
      <c r="G1112" s="1" t="s">
        <v>961</v>
      </c>
      <c r="H1112" s="1" t="s">
        <v>2830</v>
      </c>
      <c r="I1112" s="1">
        <v>1</v>
      </c>
      <c r="J1112" s="3">
        <v>16711</v>
      </c>
      <c r="K1112" s="3">
        <v>15946</v>
      </c>
      <c r="L1112" s="1">
        <v>0</v>
      </c>
      <c r="M1112" s="4">
        <v>0</v>
      </c>
      <c r="N1112" s="1">
        <v>765</v>
      </c>
      <c r="O1112" s="4">
        <v>4.5999999999999999E-2</v>
      </c>
      <c r="P1112" s="1" t="s">
        <v>2721</v>
      </c>
    </row>
    <row r="1113" spans="1:16">
      <c r="A1113" s="1" t="s">
        <v>15</v>
      </c>
      <c r="B1113" s="1">
        <v>11</v>
      </c>
      <c r="C1113" s="1" t="s">
        <v>4626</v>
      </c>
      <c r="D1113" s="1" t="s">
        <v>1452</v>
      </c>
      <c r="E1113" s="2">
        <v>45972</v>
      </c>
      <c r="F1113" s="1" t="s">
        <v>407</v>
      </c>
      <c r="G1113" s="1" t="s">
        <v>1453</v>
      </c>
      <c r="H1113" s="1" t="s">
        <v>1474</v>
      </c>
      <c r="I1113" s="1">
        <v>1</v>
      </c>
      <c r="J1113" s="3">
        <v>11305</v>
      </c>
      <c r="K1113" s="3">
        <v>10787</v>
      </c>
      <c r="L1113" s="1">
        <v>0</v>
      </c>
      <c r="M1113" s="4">
        <v>0</v>
      </c>
      <c r="N1113" s="1">
        <v>518</v>
      </c>
      <c r="O1113" s="4">
        <v>4.5999999999999999E-2</v>
      </c>
      <c r="P1113" s="1" t="s">
        <v>2721</v>
      </c>
    </row>
    <row r="1114" spans="1:16">
      <c r="A1114" s="1" t="s">
        <v>15</v>
      </c>
      <c r="B1114" s="1">
        <v>11</v>
      </c>
      <c r="C1114" s="1" t="s">
        <v>4627</v>
      </c>
      <c r="D1114" s="1" t="s">
        <v>228</v>
      </c>
      <c r="E1114" s="2">
        <v>45972</v>
      </c>
      <c r="F1114" s="1" t="s">
        <v>53</v>
      </c>
      <c r="G1114" s="1" t="s">
        <v>229</v>
      </c>
      <c r="H1114" s="1" t="s">
        <v>230</v>
      </c>
      <c r="I1114" s="1">
        <v>1</v>
      </c>
      <c r="J1114" s="3">
        <v>9825</v>
      </c>
      <c r="K1114" s="3">
        <v>9375</v>
      </c>
      <c r="L1114" s="1">
        <v>0</v>
      </c>
      <c r="M1114" s="4">
        <v>0</v>
      </c>
      <c r="N1114" s="1">
        <v>450</v>
      </c>
      <c r="O1114" s="4">
        <v>4.5999999999999999E-2</v>
      </c>
      <c r="P1114" s="1" t="s">
        <v>2721</v>
      </c>
    </row>
    <row r="1115" spans="1:16">
      <c r="A1115" s="1" t="s">
        <v>15</v>
      </c>
      <c r="B1115" s="1">
        <v>11</v>
      </c>
      <c r="C1115" s="1" t="s">
        <v>4628</v>
      </c>
      <c r="D1115" s="1" t="s">
        <v>4629</v>
      </c>
      <c r="E1115" s="2">
        <v>45972</v>
      </c>
      <c r="F1115" s="1" t="s">
        <v>63</v>
      </c>
      <c r="G1115" s="1" t="s">
        <v>4630</v>
      </c>
      <c r="H1115" s="1" t="s">
        <v>1655</v>
      </c>
      <c r="I1115" s="1">
        <v>1</v>
      </c>
      <c r="J1115" s="3">
        <v>6009</v>
      </c>
      <c r="K1115" s="3">
        <v>5734</v>
      </c>
      <c r="L1115" s="1">
        <v>0</v>
      </c>
      <c r="M1115" s="4">
        <v>0</v>
      </c>
      <c r="N1115" s="1">
        <v>275</v>
      </c>
      <c r="O1115" s="4">
        <v>4.5999999999999999E-2</v>
      </c>
      <c r="P1115" s="1" t="s">
        <v>2721</v>
      </c>
    </row>
    <row r="1116" spans="1:16">
      <c r="A1116" s="1" t="s">
        <v>15</v>
      </c>
      <c r="B1116" s="1">
        <v>11</v>
      </c>
      <c r="C1116" s="1" t="s">
        <v>4631</v>
      </c>
      <c r="D1116" s="1" t="s">
        <v>985</v>
      </c>
      <c r="E1116" s="2">
        <v>45972</v>
      </c>
      <c r="F1116" s="1" t="s">
        <v>187</v>
      </c>
      <c r="G1116" s="1" t="s">
        <v>986</v>
      </c>
      <c r="H1116" s="1" t="s">
        <v>4632</v>
      </c>
      <c r="I1116" s="1">
        <v>1</v>
      </c>
      <c r="J1116" s="3">
        <v>23592</v>
      </c>
      <c r="K1116" s="3">
        <v>22512</v>
      </c>
      <c r="L1116" s="1">
        <v>0</v>
      </c>
      <c r="M1116" s="4">
        <v>0</v>
      </c>
      <c r="N1116" s="3">
        <v>1080</v>
      </c>
      <c r="O1116" s="4">
        <v>4.5999999999999999E-2</v>
      </c>
      <c r="P1116" s="1" t="s">
        <v>2721</v>
      </c>
    </row>
    <row r="1117" spans="1:16">
      <c r="A1117" s="1" t="s">
        <v>15</v>
      </c>
      <c r="B1117" s="1">
        <v>11</v>
      </c>
      <c r="C1117" s="1" t="s">
        <v>4633</v>
      </c>
      <c r="D1117" s="1" t="s">
        <v>2811</v>
      </c>
      <c r="E1117" s="2">
        <v>45972</v>
      </c>
      <c r="F1117" s="1" t="s">
        <v>235</v>
      </c>
      <c r="G1117" s="1" t="s">
        <v>2060</v>
      </c>
      <c r="H1117" s="1" t="s">
        <v>2060</v>
      </c>
      <c r="I1117" s="1">
        <v>1</v>
      </c>
      <c r="J1117" s="3">
        <v>25963</v>
      </c>
      <c r="K1117" s="3">
        <v>24774</v>
      </c>
      <c r="L1117" s="1">
        <v>0</v>
      </c>
      <c r="M1117" s="4">
        <v>0</v>
      </c>
      <c r="N1117" s="3">
        <v>1189</v>
      </c>
      <c r="O1117" s="4">
        <v>4.5999999999999999E-2</v>
      </c>
      <c r="P1117" s="1" t="s">
        <v>2721</v>
      </c>
    </row>
    <row r="1118" spans="1:16">
      <c r="A1118" s="1" t="s">
        <v>15</v>
      </c>
      <c r="B1118" s="1">
        <v>11</v>
      </c>
      <c r="C1118" s="1" t="s">
        <v>4634</v>
      </c>
      <c r="D1118" s="1" t="s">
        <v>1380</v>
      </c>
      <c r="E1118" s="2">
        <v>45972</v>
      </c>
      <c r="F1118" s="1" t="s">
        <v>1381</v>
      </c>
      <c r="G1118" s="1" t="s">
        <v>1382</v>
      </c>
      <c r="H1118" s="1" t="s">
        <v>1383</v>
      </c>
      <c r="I1118" s="1">
        <v>1</v>
      </c>
      <c r="J1118" s="3">
        <v>34792</v>
      </c>
      <c r="K1118" s="3">
        <v>33200</v>
      </c>
      <c r="L1118" s="1">
        <v>0</v>
      </c>
      <c r="M1118" s="4">
        <v>0</v>
      </c>
      <c r="N1118" s="3">
        <v>1592</v>
      </c>
      <c r="O1118" s="4">
        <v>4.5999999999999999E-2</v>
      </c>
      <c r="P1118" s="1" t="s">
        <v>2721</v>
      </c>
    </row>
    <row r="1119" spans="1:16">
      <c r="A1119" s="1" t="s">
        <v>15</v>
      </c>
      <c r="B1119" s="1">
        <v>11</v>
      </c>
      <c r="C1119" s="1" t="s">
        <v>4634</v>
      </c>
      <c r="D1119" s="1" t="s">
        <v>818</v>
      </c>
      <c r="E1119" s="2">
        <v>45972</v>
      </c>
      <c r="F1119" s="1" t="s">
        <v>235</v>
      </c>
      <c r="G1119" s="1" t="s">
        <v>819</v>
      </c>
      <c r="H1119" s="1" t="s">
        <v>1187</v>
      </c>
      <c r="I1119" s="1">
        <v>2</v>
      </c>
      <c r="J1119" s="3">
        <v>27131</v>
      </c>
      <c r="K1119" s="3">
        <v>25889</v>
      </c>
      <c r="L1119" s="1">
        <v>0</v>
      </c>
      <c r="M1119" s="4">
        <v>0</v>
      </c>
      <c r="N1119" s="3">
        <v>1242</v>
      </c>
      <c r="O1119" s="4">
        <v>4.5999999999999999E-2</v>
      </c>
      <c r="P1119" s="1" t="s">
        <v>2721</v>
      </c>
    </row>
    <row r="1120" spans="1:16">
      <c r="A1120" s="1" t="s">
        <v>15</v>
      </c>
      <c r="B1120" s="1">
        <v>11</v>
      </c>
      <c r="C1120" s="1" t="s">
        <v>4634</v>
      </c>
      <c r="D1120" s="1" t="s">
        <v>818</v>
      </c>
      <c r="E1120" s="2">
        <v>45972</v>
      </c>
      <c r="F1120" s="1" t="s">
        <v>235</v>
      </c>
      <c r="G1120" s="1" t="s">
        <v>819</v>
      </c>
      <c r="H1120" s="1" t="s">
        <v>821</v>
      </c>
      <c r="I1120" s="1">
        <v>1</v>
      </c>
      <c r="J1120" s="3">
        <v>8061</v>
      </c>
      <c r="K1120" s="3">
        <v>7692</v>
      </c>
      <c r="L1120" s="1">
        <v>0</v>
      </c>
      <c r="M1120" s="4">
        <v>0</v>
      </c>
      <c r="N1120" s="1">
        <v>369</v>
      </c>
      <c r="O1120" s="4">
        <v>4.5999999999999999E-2</v>
      </c>
      <c r="P1120" s="1" t="s">
        <v>2721</v>
      </c>
    </row>
    <row r="1121" spans="1:16">
      <c r="A1121" s="1" t="s">
        <v>15</v>
      </c>
      <c r="B1121" s="1">
        <v>11</v>
      </c>
      <c r="C1121" s="1" t="s">
        <v>4635</v>
      </c>
      <c r="D1121" s="1" t="s">
        <v>169</v>
      </c>
      <c r="E1121" s="2">
        <v>45972</v>
      </c>
      <c r="F1121" s="1" t="s">
        <v>53</v>
      </c>
      <c r="G1121" s="1" t="s">
        <v>170</v>
      </c>
      <c r="H1121" s="1" t="s">
        <v>171</v>
      </c>
      <c r="I1121" s="1">
        <v>1</v>
      </c>
      <c r="J1121" s="3">
        <v>14332</v>
      </c>
      <c r="K1121" s="3">
        <v>13676</v>
      </c>
      <c r="L1121" s="1">
        <v>0</v>
      </c>
      <c r="M1121" s="4">
        <v>0</v>
      </c>
      <c r="N1121" s="1">
        <v>656</v>
      </c>
      <c r="O1121" s="4">
        <v>4.5999999999999999E-2</v>
      </c>
      <c r="P1121" s="1" t="s">
        <v>2721</v>
      </c>
    </row>
    <row r="1122" spans="1:16">
      <c r="A1122" s="1" t="s">
        <v>15</v>
      </c>
      <c r="B1122" s="1">
        <v>11</v>
      </c>
      <c r="C1122" s="1" t="s">
        <v>4636</v>
      </c>
      <c r="D1122" s="1" t="s">
        <v>228</v>
      </c>
      <c r="E1122" s="2">
        <v>45972</v>
      </c>
      <c r="F1122" s="1" t="s">
        <v>53</v>
      </c>
      <c r="G1122" s="1" t="s">
        <v>229</v>
      </c>
      <c r="H1122" s="1" t="s">
        <v>230</v>
      </c>
      <c r="I1122" s="1">
        <v>1</v>
      </c>
      <c r="J1122" s="3">
        <v>9825</v>
      </c>
      <c r="K1122" s="3">
        <v>9375</v>
      </c>
      <c r="L1122" s="1">
        <v>0</v>
      </c>
      <c r="M1122" s="4">
        <v>0</v>
      </c>
      <c r="N1122" s="1">
        <v>450</v>
      </c>
      <c r="O1122" s="4">
        <v>4.5999999999999999E-2</v>
      </c>
      <c r="P1122" s="1" t="s">
        <v>2721</v>
      </c>
    </row>
    <row r="1123" spans="1:16">
      <c r="A1123" s="1" t="s">
        <v>15</v>
      </c>
      <c r="B1123" s="1">
        <v>11</v>
      </c>
      <c r="C1123" s="1" t="s">
        <v>4637</v>
      </c>
      <c r="D1123" s="1" t="s">
        <v>1246</v>
      </c>
      <c r="E1123" s="2">
        <v>45972</v>
      </c>
      <c r="F1123" s="1" t="s">
        <v>53</v>
      </c>
      <c r="G1123" s="1" t="s">
        <v>1247</v>
      </c>
      <c r="H1123" s="1" t="s">
        <v>1366</v>
      </c>
      <c r="I1123" s="1">
        <v>1</v>
      </c>
      <c r="J1123" s="3">
        <v>8383</v>
      </c>
      <c r="K1123" s="3">
        <v>7999</v>
      </c>
      <c r="L1123" s="1">
        <v>0</v>
      </c>
      <c r="M1123" s="4">
        <v>0</v>
      </c>
      <c r="N1123" s="1">
        <v>384</v>
      </c>
      <c r="O1123" s="4">
        <v>4.5999999999999999E-2</v>
      </c>
      <c r="P1123" s="1" t="s">
        <v>2721</v>
      </c>
    </row>
    <row r="1124" spans="1:16">
      <c r="A1124" s="1" t="s">
        <v>15</v>
      </c>
      <c r="B1124" s="1">
        <v>11</v>
      </c>
      <c r="C1124" s="1" t="s">
        <v>4638</v>
      </c>
      <c r="D1124" s="1" t="s">
        <v>1355</v>
      </c>
      <c r="E1124" s="2">
        <v>45972</v>
      </c>
      <c r="F1124" s="1" t="s">
        <v>256</v>
      </c>
      <c r="G1124" s="1" t="s">
        <v>1356</v>
      </c>
      <c r="H1124" s="1" t="s">
        <v>4639</v>
      </c>
      <c r="I1124" s="1">
        <v>1</v>
      </c>
      <c r="J1124" s="3">
        <v>13676</v>
      </c>
      <c r="K1124" s="3">
        <v>13050</v>
      </c>
      <c r="L1124" s="1">
        <v>0</v>
      </c>
      <c r="M1124" s="4">
        <v>0</v>
      </c>
      <c r="N1124" s="1">
        <v>626</v>
      </c>
      <c r="O1124" s="4">
        <v>4.5999999999999999E-2</v>
      </c>
      <c r="P1124" s="1" t="s">
        <v>2721</v>
      </c>
    </row>
    <row r="1125" spans="1:16">
      <c r="A1125" s="1" t="s">
        <v>15</v>
      </c>
      <c r="B1125" s="1">
        <v>11</v>
      </c>
      <c r="C1125" s="1" t="s">
        <v>4640</v>
      </c>
      <c r="D1125" s="1" t="s">
        <v>228</v>
      </c>
      <c r="E1125" s="2">
        <v>45972</v>
      </c>
      <c r="F1125" s="1" t="s">
        <v>53</v>
      </c>
      <c r="G1125" s="1" t="s">
        <v>229</v>
      </c>
      <c r="H1125" s="1" t="s">
        <v>230</v>
      </c>
      <c r="I1125" s="1">
        <v>1</v>
      </c>
      <c r="J1125" s="3">
        <v>9825</v>
      </c>
      <c r="K1125" s="3">
        <v>9375</v>
      </c>
      <c r="L1125" s="1">
        <v>0</v>
      </c>
      <c r="M1125" s="4">
        <v>0</v>
      </c>
      <c r="N1125" s="1">
        <v>450</v>
      </c>
      <c r="O1125" s="4">
        <v>4.5999999999999999E-2</v>
      </c>
      <c r="P1125" s="1" t="s">
        <v>2721</v>
      </c>
    </row>
    <row r="1126" spans="1:16">
      <c r="A1126" s="1" t="s">
        <v>15</v>
      </c>
      <c r="B1126" s="1">
        <v>11</v>
      </c>
      <c r="C1126" s="1" t="s">
        <v>4641</v>
      </c>
      <c r="D1126" s="1" t="s">
        <v>4642</v>
      </c>
      <c r="E1126" s="2">
        <v>45972</v>
      </c>
      <c r="F1126" s="1" t="s">
        <v>96</v>
      </c>
      <c r="G1126" s="1" t="s">
        <v>4643</v>
      </c>
      <c r="H1126" s="1" t="s">
        <v>1947</v>
      </c>
      <c r="I1126" s="1">
        <v>1</v>
      </c>
      <c r="J1126" s="3">
        <v>17006</v>
      </c>
      <c r="K1126" s="3">
        <v>16227</v>
      </c>
      <c r="L1126" s="1">
        <v>0</v>
      </c>
      <c r="M1126" s="4">
        <v>0</v>
      </c>
      <c r="N1126" s="1">
        <v>779</v>
      </c>
      <c r="O1126" s="4">
        <v>4.5999999999999999E-2</v>
      </c>
      <c r="P1126" s="1" t="s">
        <v>2721</v>
      </c>
    </row>
    <row r="1127" spans="1:16">
      <c r="A1127" s="1" t="s">
        <v>15</v>
      </c>
      <c r="B1127" s="1">
        <v>11</v>
      </c>
      <c r="C1127" s="1" t="s">
        <v>4644</v>
      </c>
      <c r="D1127" s="1" t="s">
        <v>1153</v>
      </c>
      <c r="E1127" s="2">
        <v>45972</v>
      </c>
      <c r="F1127" s="1" t="s">
        <v>235</v>
      </c>
      <c r="G1127" s="1" t="s">
        <v>1154</v>
      </c>
      <c r="H1127" s="1" t="s">
        <v>1155</v>
      </c>
      <c r="I1127" s="1">
        <v>1</v>
      </c>
      <c r="J1127" s="3">
        <v>14254</v>
      </c>
      <c r="K1127" s="3">
        <v>13601</v>
      </c>
      <c r="L1127" s="1">
        <v>0</v>
      </c>
      <c r="M1127" s="4">
        <v>0</v>
      </c>
      <c r="N1127" s="1">
        <v>653</v>
      </c>
      <c r="O1127" s="4">
        <v>4.5999999999999999E-2</v>
      </c>
      <c r="P1127" s="1" t="s">
        <v>2721</v>
      </c>
    </row>
    <row r="1128" spans="1:16">
      <c r="A1128" s="1" t="s">
        <v>15</v>
      </c>
      <c r="B1128" s="1">
        <v>11</v>
      </c>
      <c r="C1128" s="1" t="s">
        <v>4645</v>
      </c>
      <c r="D1128" s="1" t="s">
        <v>2876</v>
      </c>
      <c r="E1128" s="2">
        <v>45972</v>
      </c>
      <c r="F1128" s="1" t="s">
        <v>441</v>
      </c>
      <c r="G1128" s="1" t="s">
        <v>2877</v>
      </c>
      <c r="H1128" s="1" t="s">
        <v>2878</v>
      </c>
      <c r="I1128" s="1">
        <v>1</v>
      </c>
      <c r="J1128" s="3">
        <v>49150</v>
      </c>
      <c r="K1128" s="3">
        <v>46900</v>
      </c>
      <c r="L1128" s="1">
        <v>0</v>
      </c>
      <c r="M1128" s="4">
        <v>0</v>
      </c>
      <c r="N1128" s="3">
        <v>2250</v>
      </c>
      <c r="O1128" s="4">
        <v>4.5999999999999999E-2</v>
      </c>
      <c r="P1128" s="1" t="s">
        <v>2721</v>
      </c>
    </row>
    <row r="1129" spans="1:16">
      <c r="A1129" s="1" t="s">
        <v>15</v>
      </c>
      <c r="B1129" s="1">
        <v>11</v>
      </c>
      <c r="C1129" s="1" t="s">
        <v>4646</v>
      </c>
      <c r="D1129" s="1" t="s">
        <v>504</v>
      </c>
      <c r="E1129" s="2">
        <v>45972</v>
      </c>
      <c r="F1129" s="1" t="s">
        <v>407</v>
      </c>
      <c r="G1129" s="1" t="s">
        <v>505</v>
      </c>
      <c r="H1129" s="1" t="s">
        <v>963</v>
      </c>
      <c r="I1129" s="1">
        <v>1</v>
      </c>
      <c r="J1129" s="3">
        <v>35880</v>
      </c>
      <c r="K1129" s="3">
        <v>34237</v>
      </c>
      <c r="L1129" s="1">
        <v>0</v>
      </c>
      <c r="M1129" s="4">
        <v>0</v>
      </c>
      <c r="N1129" s="3">
        <v>1643</v>
      </c>
      <c r="O1129" s="4">
        <v>4.5999999999999999E-2</v>
      </c>
      <c r="P1129" s="1" t="s">
        <v>2721</v>
      </c>
    </row>
    <row r="1130" spans="1:16">
      <c r="A1130" s="1" t="s">
        <v>15</v>
      </c>
      <c r="B1130" s="1">
        <v>11</v>
      </c>
      <c r="C1130" s="1" t="s">
        <v>4647</v>
      </c>
      <c r="D1130" s="1" t="s">
        <v>80</v>
      </c>
      <c r="E1130" s="2">
        <v>45972</v>
      </c>
      <c r="F1130" s="1" t="s">
        <v>58</v>
      </c>
      <c r="G1130" s="1" t="s">
        <v>81</v>
      </c>
      <c r="H1130" s="1" t="s">
        <v>4648</v>
      </c>
      <c r="I1130" s="1">
        <v>1</v>
      </c>
      <c r="J1130" s="3">
        <v>17301</v>
      </c>
      <c r="K1130" s="3">
        <v>16509</v>
      </c>
      <c r="L1130" s="1">
        <v>0</v>
      </c>
      <c r="M1130" s="4">
        <v>0</v>
      </c>
      <c r="N1130" s="1">
        <v>792</v>
      </c>
      <c r="O1130" s="4">
        <v>4.5999999999999999E-2</v>
      </c>
      <c r="P1130" s="1" t="s">
        <v>2721</v>
      </c>
    </row>
    <row r="1131" spans="1:16">
      <c r="A1131" s="1" t="s">
        <v>15</v>
      </c>
      <c r="B1131" s="1">
        <v>11</v>
      </c>
      <c r="C1131" s="1" t="s">
        <v>4649</v>
      </c>
      <c r="D1131" s="1" t="s">
        <v>504</v>
      </c>
      <c r="E1131" s="2">
        <v>45972</v>
      </c>
      <c r="F1131" s="1" t="s">
        <v>407</v>
      </c>
      <c r="G1131" s="1" t="s">
        <v>505</v>
      </c>
      <c r="H1131" s="1" t="s">
        <v>1322</v>
      </c>
      <c r="I1131" s="1">
        <v>1</v>
      </c>
      <c r="J1131" s="3">
        <v>23592</v>
      </c>
      <c r="K1131" s="3">
        <v>22512</v>
      </c>
      <c r="L1131" s="1">
        <v>0</v>
      </c>
      <c r="M1131" s="4">
        <v>0</v>
      </c>
      <c r="N1131" s="3">
        <v>1080</v>
      </c>
      <c r="O1131" s="4">
        <v>4.5999999999999999E-2</v>
      </c>
      <c r="P1131" s="1" t="s">
        <v>2721</v>
      </c>
    </row>
    <row r="1132" spans="1:16">
      <c r="A1132" s="1" t="s">
        <v>15</v>
      </c>
      <c r="B1132" s="1">
        <v>11</v>
      </c>
      <c r="C1132" s="1" t="s">
        <v>4650</v>
      </c>
      <c r="D1132" s="1" t="s">
        <v>4651</v>
      </c>
      <c r="E1132" s="2">
        <v>45972</v>
      </c>
      <c r="F1132" s="1" t="s">
        <v>4652</v>
      </c>
      <c r="G1132" s="1" t="s">
        <v>4653</v>
      </c>
      <c r="H1132" s="1" t="s">
        <v>4654</v>
      </c>
      <c r="I1132" s="1">
        <v>2</v>
      </c>
      <c r="J1132" s="3">
        <v>21429</v>
      </c>
      <c r="K1132" s="3">
        <v>20448</v>
      </c>
      <c r="L1132" s="1">
        <v>0</v>
      </c>
      <c r="M1132" s="4">
        <v>0</v>
      </c>
      <c r="N1132" s="1">
        <v>981</v>
      </c>
      <c r="O1132" s="4">
        <v>4.5999999999999999E-2</v>
      </c>
      <c r="P1132" s="1" t="s">
        <v>2721</v>
      </c>
    </row>
    <row r="1133" spans="1:16">
      <c r="A1133" s="1" t="s">
        <v>15</v>
      </c>
      <c r="B1133" s="1">
        <v>11</v>
      </c>
      <c r="C1133" s="1" t="s">
        <v>4650</v>
      </c>
      <c r="D1133" s="1" t="s">
        <v>72</v>
      </c>
      <c r="E1133" s="2">
        <v>45972</v>
      </c>
      <c r="F1133" s="1" t="s">
        <v>63</v>
      </c>
      <c r="G1133" s="1" t="s">
        <v>73</v>
      </c>
      <c r="H1133" s="1" t="s">
        <v>74</v>
      </c>
      <c r="I1133" s="1">
        <v>1</v>
      </c>
      <c r="J1133" s="3">
        <v>10456</v>
      </c>
      <c r="K1133" s="3">
        <v>9978</v>
      </c>
      <c r="L1133" s="1">
        <v>0</v>
      </c>
      <c r="M1133" s="4">
        <v>0</v>
      </c>
      <c r="N1133" s="1">
        <v>478</v>
      </c>
      <c r="O1133" s="4">
        <v>4.5999999999999999E-2</v>
      </c>
      <c r="P1133" s="1" t="s">
        <v>2721</v>
      </c>
    </row>
    <row r="1134" spans="1:16">
      <c r="A1134" s="1" t="s">
        <v>15</v>
      </c>
      <c r="B1134" s="1">
        <v>11</v>
      </c>
      <c r="C1134" s="1" t="s">
        <v>4655</v>
      </c>
      <c r="D1134" s="1" t="s">
        <v>208</v>
      </c>
      <c r="E1134" s="2">
        <v>45972</v>
      </c>
      <c r="F1134" s="1" t="s">
        <v>126</v>
      </c>
      <c r="G1134" s="1" t="s">
        <v>209</v>
      </c>
      <c r="H1134" s="1" t="s">
        <v>210</v>
      </c>
      <c r="I1134" s="1">
        <v>1</v>
      </c>
      <c r="J1134" s="3">
        <v>19267</v>
      </c>
      <c r="K1134" s="3">
        <v>18385</v>
      </c>
      <c r="L1134" s="1">
        <v>0</v>
      </c>
      <c r="M1134" s="4">
        <v>0</v>
      </c>
      <c r="N1134" s="1">
        <v>882</v>
      </c>
      <c r="O1134" s="4">
        <v>4.5999999999999999E-2</v>
      </c>
      <c r="P1134" s="1" t="s">
        <v>2721</v>
      </c>
    </row>
    <row r="1135" spans="1:16">
      <c r="A1135" s="1" t="s">
        <v>15</v>
      </c>
      <c r="B1135" s="1">
        <v>11</v>
      </c>
      <c r="C1135" s="1" t="s">
        <v>4656</v>
      </c>
      <c r="D1135" s="1" t="s">
        <v>169</v>
      </c>
      <c r="E1135" s="2">
        <v>45972</v>
      </c>
      <c r="F1135" s="1" t="s">
        <v>53</v>
      </c>
      <c r="G1135" s="1" t="s">
        <v>170</v>
      </c>
      <c r="H1135" s="1" t="s">
        <v>171</v>
      </c>
      <c r="I1135" s="1">
        <v>1</v>
      </c>
      <c r="J1135" s="3">
        <v>14332</v>
      </c>
      <c r="K1135" s="3">
        <v>13676</v>
      </c>
      <c r="L1135" s="1">
        <v>0</v>
      </c>
      <c r="M1135" s="4">
        <v>0</v>
      </c>
      <c r="N1135" s="1">
        <v>656</v>
      </c>
      <c r="O1135" s="4">
        <v>4.5999999999999999E-2</v>
      </c>
      <c r="P1135" s="1" t="s">
        <v>2721</v>
      </c>
    </row>
    <row r="1136" spans="1:16">
      <c r="A1136" s="1" t="s">
        <v>15</v>
      </c>
      <c r="B1136" s="1">
        <v>11</v>
      </c>
      <c r="C1136" s="1" t="s">
        <v>4657</v>
      </c>
      <c r="D1136" s="1" t="s">
        <v>834</v>
      </c>
      <c r="E1136" s="2">
        <v>45972</v>
      </c>
      <c r="F1136" s="1" t="s">
        <v>96</v>
      </c>
      <c r="G1136" s="1" t="s">
        <v>835</v>
      </c>
      <c r="H1136" s="1" t="s">
        <v>4192</v>
      </c>
      <c r="I1136" s="1">
        <v>1</v>
      </c>
      <c r="J1136" s="3">
        <v>13475</v>
      </c>
      <c r="K1136" s="3">
        <v>12858</v>
      </c>
      <c r="L1136" s="1">
        <v>0</v>
      </c>
      <c r="M1136" s="4">
        <v>0</v>
      </c>
      <c r="N1136" s="1">
        <v>617</v>
      </c>
      <c r="O1136" s="4">
        <v>4.5999999999999999E-2</v>
      </c>
      <c r="P1136" s="1" t="s">
        <v>2721</v>
      </c>
    </row>
    <row r="1137" spans="1:16">
      <c r="A1137" s="1" t="s">
        <v>15</v>
      </c>
      <c r="B1137" s="1">
        <v>11</v>
      </c>
      <c r="C1137" s="1" t="s">
        <v>4658</v>
      </c>
      <c r="D1137" s="1" t="s">
        <v>238</v>
      </c>
      <c r="E1137" s="2">
        <v>45972</v>
      </c>
      <c r="F1137" s="1" t="s">
        <v>239</v>
      </c>
      <c r="G1137" s="1" t="s">
        <v>240</v>
      </c>
      <c r="H1137" s="1" t="s">
        <v>241</v>
      </c>
      <c r="I1137" s="1">
        <v>1</v>
      </c>
      <c r="J1137" s="3">
        <v>11305</v>
      </c>
      <c r="K1137" s="3">
        <v>10787</v>
      </c>
      <c r="L1137" s="1">
        <v>0</v>
      </c>
      <c r="M1137" s="4">
        <v>0</v>
      </c>
      <c r="N1137" s="1">
        <v>518</v>
      </c>
      <c r="O1137" s="4">
        <v>4.5999999999999999E-2</v>
      </c>
      <c r="P1137" s="1" t="s">
        <v>2721</v>
      </c>
    </row>
    <row r="1138" spans="1:16">
      <c r="A1138" s="1" t="s">
        <v>15</v>
      </c>
      <c r="B1138" s="1">
        <v>11</v>
      </c>
      <c r="C1138" s="1" t="s">
        <v>4659</v>
      </c>
      <c r="D1138" s="1" t="s">
        <v>3406</v>
      </c>
      <c r="E1138" s="2">
        <v>45972</v>
      </c>
      <c r="F1138" s="1" t="s">
        <v>570</v>
      </c>
      <c r="G1138" s="1" t="s">
        <v>3407</v>
      </c>
      <c r="H1138" s="1" t="s">
        <v>3408</v>
      </c>
      <c r="I1138" s="1">
        <v>1</v>
      </c>
      <c r="J1138" s="3">
        <v>29490</v>
      </c>
      <c r="K1138" s="3">
        <v>28140</v>
      </c>
      <c r="L1138" s="1">
        <v>0</v>
      </c>
      <c r="M1138" s="4">
        <v>0</v>
      </c>
      <c r="N1138" s="3">
        <v>1350</v>
      </c>
      <c r="O1138" s="4">
        <v>4.5999999999999999E-2</v>
      </c>
      <c r="P1138" s="1" t="s">
        <v>2721</v>
      </c>
    </row>
    <row r="1139" spans="1:16">
      <c r="A1139" s="1" t="s">
        <v>15</v>
      </c>
      <c r="B1139" s="1">
        <v>11</v>
      </c>
      <c r="C1139" s="1" t="s">
        <v>4660</v>
      </c>
      <c r="D1139" s="1" t="s">
        <v>2834</v>
      </c>
      <c r="E1139" s="2">
        <v>45972</v>
      </c>
      <c r="F1139" s="1" t="s">
        <v>96</v>
      </c>
      <c r="G1139" s="1" t="s">
        <v>2835</v>
      </c>
      <c r="H1139" s="1" t="s">
        <v>701</v>
      </c>
      <c r="I1139" s="1">
        <v>1</v>
      </c>
      <c r="J1139" s="3">
        <v>11666</v>
      </c>
      <c r="K1139" s="3">
        <v>11132</v>
      </c>
      <c r="L1139" s="1">
        <v>0</v>
      </c>
      <c r="M1139" s="4">
        <v>0</v>
      </c>
      <c r="N1139" s="1">
        <v>534</v>
      </c>
      <c r="O1139" s="4">
        <v>4.5999999999999999E-2</v>
      </c>
      <c r="P1139" s="1" t="s">
        <v>2721</v>
      </c>
    </row>
    <row r="1140" spans="1:16">
      <c r="A1140" s="1" t="s">
        <v>15</v>
      </c>
      <c r="B1140" s="1">
        <v>11</v>
      </c>
      <c r="C1140" s="1" t="s">
        <v>4660</v>
      </c>
      <c r="D1140" s="1" t="s">
        <v>2903</v>
      </c>
      <c r="E1140" s="2">
        <v>45972</v>
      </c>
      <c r="F1140" s="1" t="s">
        <v>96</v>
      </c>
      <c r="G1140" s="1" t="s">
        <v>2904</v>
      </c>
      <c r="H1140" s="1" t="s">
        <v>2905</v>
      </c>
      <c r="I1140" s="1">
        <v>1</v>
      </c>
      <c r="J1140" s="3">
        <v>7054</v>
      </c>
      <c r="K1140" s="3">
        <v>6731</v>
      </c>
      <c r="L1140" s="1">
        <v>0</v>
      </c>
      <c r="M1140" s="4">
        <v>0</v>
      </c>
      <c r="N1140" s="1">
        <v>323</v>
      </c>
      <c r="O1140" s="4">
        <v>4.5999999999999999E-2</v>
      </c>
      <c r="P1140" s="1" t="s">
        <v>2721</v>
      </c>
    </row>
    <row r="1141" spans="1:16">
      <c r="A1141" s="1" t="s">
        <v>15</v>
      </c>
      <c r="B1141" s="1">
        <v>11</v>
      </c>
      <c r="C1141" s="1" t="s">
        <v>4661</v>
      </c>
      <c r="D1141" s="1" t="s">
        <v>1191</v>
      </c>
      <c r="E1141" s="2">
        <v>45972</v>
      </c>
      <c r="F1141" s="1" t="s">
        <v>570</v>
      </c>
      <c r="G1141" s="1" t="s">
        <v>1192</v>
      </c>
      <c r="H1141" s="1" t="s">
        <v>1193</v>
      </c>
      <c r="I1141" s="1">
        <v>1</v>
      </c>
      <c r="J1141" s="3">
        <v>16514</v>
      </c>
      <c r="K1141" s="3">
        <v>15758</v>
      </c>
      <c r="L1141" s="1">
        <v>0</v>
      </c>
      <c r="M1141" s="4">
        <v>0</v>
      </c>
      <c r="N1141" s="1">
        <v>756</v>
      </c>
      <c r="O1141" s="4">
        <v>4.5999999999999999E-2</v>
      </c>
      <c r="P1141" s="1" t="s">
        <v>2721</v>
      </c>
    </row>
    <row r="1142" spans="1:16">
      <c r="A1142" s="1" t="s">
        <v>15</v>
      </c>
      <c r="B1142" s="1">
        <v>11</v>
      </c>
      <c r="C1142" s="1" t="s">
        <v>4662</v>
      </c>
      <c r="D1142" s="1" t="s">
        <v>415</v>
      </c>
      <c r="E1142" s="2">
        <v>45972</v>
      </c>
      <c r="F1142" s="1" t="s">
        <v>416</v>
      </c>
      <c r="G1142" s="1" t="s">
        <v>417</v>
      </c>
      <c r="H1142" s="1" t="s">
        <v>418</v>
      </c>
      <c r="I1142" s="1">
        <v>1</v>
      </c>
      <c r="J1142" s="3">
        <v>12779</v>
      </c>
      <c r="K1142" s="3">
        <v>12194</v>
      </c>
      <c r="L1142" s="1">
        <v>0</v>
      </c>
      <c r="M1142" s="4">
        <v>0</v>
      </c>
      <c r="N1142" s="1">
        <v>585</v>
      </c>
      <c r="O1142" s="4">
        <v>4.5999999999999999E-2</v>
      </c>
      <c r="P1142" s="1" t="s">
        <v>2721</v>
      </c>
    </row>
    <row r="1143" spans="1:16">
      <c r="A1143" s="1" t="s">
        <v>15</v>
      </c>
      <c r="B1143" s="1">
        <v>11</v>
      </c>
      <c r="C1143" s="1" t="s">
        <v>4663</v>
      </c>
      <c r="D1143" s="1" t="s">
        <v>238</v>
      </c>
      <c r="E1143" s="2">
        <v>45972</v>
      </c>
      <c r="F1143" s="1" t="s">
        <v>239</v>
      </c>
      <c r="G1143" s="1" t="s">
        <v>240</v>
      </c>
      <c r="H1143" s="1" t="s">
        <v>241</v>
      </c>
      <c r="I1143" s="1">
        <v>1</v>
      </c>
      <c r="J1143" s="3">
        <v>11305</v>
      </c>
      <c r="K1143" s="3">
        <v>10787</v>
      </c>
      <c r="L1143" s="1">
        <v>0</v>
      </c>
      <c r="M1143" s="4">
        <v>0</v>
      </c>
      <c r="N1143" s="1">
        <v>518</v>
      </c>
      <c r="O1143" s="4">
        <v>4.5999999999999999E-2</v>
      </c>
      <c r="P1143" s="1" t="s">
        <v>2721</v>
      </c>
    </row>
    <row r="1144" spans="1:16">
      <c r="A1144" s="1" t="s">
        <v>15</v>
      </c>
      <c r="B1144" s="1">
        <v>11</v>
      </c>
      <c r="C1144" s="1" t="s">
        <v>4663</v>
      </c>
      <c r="D1144" s="1" t="s">
        <v>238</v>
      </c>
      <c r="E1144" s="2">
        <v>45972</v>
      </c>
      <c r="F1144" s="1" t="s">
        <v>239</v>
      </c>
      <c r="G1144" s="1" t="s">
        <v>240</v>
      </c>
      <c r="H1144" s="1" t="s">
        <v>242</v>
      </c>
      <c r="I1144" s="1">
        <v>1</v>
      </c>
      <c r="J1144" s="3">
        <v>11305</v>
      </c>
      <c r="K1144" s="3">
        <v>10787</v>
      </c>
      <c r="L1144" s="1">
        <v>0</v>
      </c>
      <c r="M1144" s="4">
        <v>0</v>
      </c>
      <c r="N1144" s="1">
        <v>518</v>
      </c>
      <c r="O1144" s="4">
        <v>4.5999999999999999E-2</v>
      </c>
      <c r="P1144" s="1" t="s">
        <v>2721</v>
      </c>
    </row>
    <row r="1145" spans="1:16">
      <c r="A1145" s="1" t="s">
        <v>15</v>
      </c>
      <c r="B1145" s="1">
        <v>11</v>
      </c>
      <c r="C1145" s="1" t="s">
        <v>4664</v>
      </c>
      <c r="D1145" s="1" t="s">
        <v>2478</v>
      </c>
      <c r="E1145" s="2">
        <v>45972</v>
      </c>
      <c r="F1145" s="1" t="s">
        <v>53</v>
      </c>
      <c r="G1145" s="1" t="s">
        <v>2479</v>
      </c>
      <c r="H1145" s="1" t="s">
        <v>4665</v>
      </c>
      <c r="I1145" s="1">
        <v>1</v>
      </c>
      <c r="J1145" s="3">
        <v>20642</v>
      </c>
      <c r="K1145" s="3">
        <v>19697</v>
      </c>
      <c r="L1145" s="1">
        <v>0</v>
      </c>
      <c r="M1145" s="4">
        <v>0</v>
      </c>
      <c r="N1145" s="1">
        <v>945</v>
      </c>
      <c r="O1145" s="4">
        <v>4.5999999999999999E-2</v>
      </c>
      <c r="P1145" s="1" t="s">
        <v>2721</v>
      </c>
    </row>
    <row r="1146" spans="1:16">
      <c r="A1146" s="1" t="s">
        <v>15</v>
      </c>
      <c r="B1146" s="1">
        <v>11</v>
      </c>
      <c r="C1146" s="1" t="s">
        <v>4666</v>
      </c>
      <c r="D1146" s="1" t="s">
        <v>4667</v>
      </c>
      <c r="E1146" s="2">
        <v>45972</v>
      </c>
      <c r="F1146" s="1" t="s">
        <v>53</v>
      </c>
      <c r="G1146" s="1" t="s">
        <v>583</v>
      </c>
      <c r="H1146" s="1" t="s">
        <v>584</v>
      </c>
      <c r="I1146" s="1">
        <v>1</v>
      </c>
      <c r="J1146" s="3">
        <v>8022</v>
      </c>
      <c r="K1146" s="3">
        <v>7655</v>
      </c>
      <c r="L1146" s="1">
        <v>0</v>
      </c>
      <c r="M1146" s="4">
        <v>0</v>
      </c>
      <c r="N1146" s="1">
        <v>367</v>
      </c>
      <c r="O1146" s="4">
        <v>4.5999999999999999E-2</v>
      </c>
      <c r="P1146" s="1" t="s">
        <v>2721</v>
      </c>
    </row>
    <row r="1147" spans="1:16">
      <c r="A1147" s="1" t="s">
        <v>15</v>
      </c>
      <c r="B1147" s="1">
        <v>11</v>
      </c>
      <c r="C1147" s="1" t="s">
        <v>4668</v>
      </c>
      <c r="D1147" s="1" t="s">
        <v>4669</v>
      </c>
      <c r="E1147" s="2">
        <v>45972</v>
      </c>
      <c r="F1147" s="1" t="s">
        <v>63</v>
      </c>
      <c r="G1147" s="1" t="s">
        <v>4670</v>
      </c>
      <c r="H1147" s="1" t="s">
        <v>118</v>
      </c>
      <c r="I1147" s="1">
        <v>1</v>
      </c>
      <c r="J1147" s="3">
        <v>18627</v>
      </c>
      <c r="K1147" s="3">
        <v>17774</v>
      </c>
      <c r="L1147" s="1">
        <v>0</v>
      </c>
      <c r="M1147" s="4">
        <v>0</v>
      </c>
      <c r="N1147" s="1">
        <v>853</v>
      </c>
      <c r="O1147" s="4">
        <v>4.5999999999999999E-2</v>
      </c>
      <c r="P1147" s="1" t="s">
        <v>2721</v>
      </c>
    </row>
    <row r="1148" spans="1:16">
      <c r="A1148" s="1" t="s">
        <v>15</v>
      </c>
      <c r="B1148" s="1">
        <v>11</v>
      </c>
      <c r="C1148" s="1" t="s">
        <v>4671</v>
      </c>
      <c r="D1148" s="1" t="s">
        <v>4672</v>
      </c>
      <c r="E1148" s="2">
        <v>45972</v>
      </c>
      <c r="F1148" s="1" t="s">
        <v>4673</v>
      </c>
      <c r="G1148" s="1" t="s">
        <v>4674</v>
      </c>
      <c r="H1148" s="1" t="s">
        <v>4675</v>
      </c>
      <c r="I1148" s="1">
        <v>1</v>
      </c>
      <c r="J1148" s="3">
        <v>7667</v>
      </c>
      <c r="K1148" s="3">
        <v>7316</v>
      </c>
      <c r="L1148" s="1">
        <v>0</v>
      </c>
      <c r="M1148" s="4">
        <v>0</v>
      </c>
      <c r="N1148" s="1">
        <v>351</v>
      </c>
      <c r="O1148" s="4">
        <v>4.5999999999999999E-2</v>
      </c>
      <c r="P1148" s="1" t="s">
        <v>2721</v>
      </c>
    </row>
    <row r="1149" spans="1:16">
      <c r="A1149" s="1" t="s">
        <v>15</v>
      </c>
      <c r="B1149" s="1">
        <v>11</v>
      </c>
      <c r="C1149" s="1" t="s">
        <v>4676</v>
      </c>
      <c r="D1149" s="1" t="s">
        <v>939</v>
      </c>
      <c r="E1149" s="2">
        <v>45972</v>
      </c>
      <c r="F1149" s="1" t="s">
        <v>96</v>
      </c>
      <c r="G1149" s="1" t="s">
        <v>940</v>
      </c>
      <c r="H1149" s="1" t="s">
        <v>941</v>
      </c>
      <c r="I1149" s="1">
        <v>1</v>
      </c>
      <c r="J1149" s="3">
        <v>13475</v>
      </c>
      <c r="K1149" s="3">
        <v>12858</v>
      </c>
      <c r="L1149" s="1">
        <v>0</v>
      </c>
      <c r="M1149" s="4">
        <v>0</v>
      </c>
      <c r="N1149" s="1">
        <v>617</v>
      </c>
      <c r="O1149" s="4">
        <v>4.5999999999999999E-2</v>
      </c>
      <c r="P1149" s="1" t="s">
        <v>2721</v>
      </c>
    </row>
    <row r="1150" spans="1:16">
      <c r="A1150" s="1" t="s">
        <v>15</v>
      </c>
      <c r="B1150" s="1">
        <v>11</v>
      </c>
      <c r="C1150" s="1" t="s">
        <v>4677</v>
      </c>
      <c r="D1150" s="1" t="s">
        <v>52</v>
      </c>
      <c r="E1150" s="2">
        <v>45972</v>
      </c>
      <c r="F1150" s="1" t="s">
        <v>53</v>
      </c>
      <c r="G1150" s="1" t="s">
        <v>54</v>
      </c>
      <c r="H1150" s="1" t="s">
        <v>248</v>
      </c>
      <c r="I1150" s="1">
        <v>1</v>
      </c>
      <c r="J1150" s="3">
        <v>16135</v>
      </c>
      <c r="K1150" s="3">
        <v>15396</v>
      </c>
      <c r="L1150" s="1">
        <v>0</v>
      </c>
      <c r="M1150" s="4">
        <v>0</v>
      </c>
      <c r="N1150" s="1">
        <v>739</v>
      </c>
      <c r="O1150" s="4">
        <v>4.5999999999999999E-2</v>
      </c>
      <c r="P1150" s="1" t="s">
        <v>2721</v>
      </c>
    </row>
    <row r="1151" spans="1:16">
      <c r="A1151" s="1" t="s">
        <v>15</v>
      </c>
      <c r="B1151" s="1">
        <v>11</v>
      </c>
      <c r="C1151" s="1" t="s">
        <v>4678</v>
      </c>
      <c r="D1151" s="1" t="s">
        <v>169</v>
      </c>
      <c r="E1151" s="2">
        <v>45972</v>
      </c>
      <c r="F1151" s="1" t="s">
        <v>53</v>
      </c>
      <c r="G1151" s="1" t="s">
        <v>170</v>
      </c>
      <c r="H1151" s="1" t="s">
        <v>171</v>
      </c>
      <c r="I1151" s="1">
        <v>1</v>
      </c>
      <c r="J1151" s="3">
        <v>14332</v>
      </c>
      <c r="K1151" s="3">
        <v>13676</v>
      </c>
      <c r="L1151" s="1">
        <v>0</v>
      </c>
      <c r="M1151" s="4">
        <v>0</v>
      </c>
      <c r="N1151" s="1">
        <v>656</v>
      </c>
      <c r="O1151" s="4">
        <v>4.5999999999999999E-2</v>
      </c>
      <c r="P1151" s="1" t="s">
        <v>2721</v>
      </c>
    </row>
    <row r="1152" spans="1:16">
      <c r="A1152" s="1" t="s">
        <v>15</v>
      </c>
      <c r="B1152" s="1">
        <v>11</v>
      </c>
      <c r="C1152" s="1" t="s">
        <v>4679</v>
      </c>
      <c r="D1152" s="1" t="s">
        <v>862</v>
      </c>
      <c r="E1152" s="2">
        <v>45972</v>
      </c>
      <c r="F1152" s="1" t="s">
        <v>334</v>
      </c>
      <c r="G1152" s="1" t="s">
        <v>863</v>
      </c>
      <c r="H1152" s="1" t="s">
        <v>1549</v>
      </c>
      <c r="I1152" s="1">
        <v>1</v>
      </c>
      <c r="J1152" s="3">
        <v>16220</v>
      </c>
      <c r="K1152" s="3">
        <v>15477</v>
      </c>
      <c r="L1152" s="1">
        <v>0</v>
      </c>
      <c r="M1152" s="4">
        <v>0</v>
      </c>
      <c r="N1152" s="1">
        <v>743</v>
      </c>
      <c r="O1152" s="4">
        <v>4.5999999999999999E-2</v>
      </c>
      <c r="P1152" s="1" t="s">
        <v>2721</v>
      </c>
    </row>
    <row r="1153" spans="1:16">
      <c r="A1153" s="1" t="s">
        <v>15</v>
      </c>
      <c r="B1153" s="1">
        <v>11</v>
      </c>
      <c r="C1153" s="1" t="s">
        <v>4680</v>
      </c>
      <c r="D1153" s="1" t="s">
        <v>1011</v>
      </c>
      <c r="E1153" s="2">
        <v>45972</v>
      </c>
      <c r="F1153" s="1" t="s">
        <v>53</v>
      </c>
      <c r="G1153" s="1" t="s">
        <v>1012</v>
      </c>
      <c r="H1153" s="1" t="s">
        <v>1013</v>
      </c>
      <c r="I1153" s="1">
        <v>1</v>
      </c>
      <c r="J1153" s="3">
        <v>11628</v>
      </c>
      <c r="K1153" s="3">
        <v>11096</v>
      </c>
      <c r="L1153" s="1">
        <v>0</v>
      </c>
      <c r="M1153" s="4">
        <v>0</v>
      </c>
      <c r="N1153" s="1">
        <v>532</v>
      </c>
      <c r="O1153" s="4">
        <v>4.5999999999999999E-2</v>
      </c>
      <c r="P1153" s="1" t="s">
        <v>2721</v>
      </c>
    </row>
    <row r="1154" spans="1:16">
      <c r="A1154" s="1" t="s">
        <v>15</v>
      </c>
      <c r="B1154" s="1">
        <v>11</v>
      </c>
      <c r="C1154" s="1" t="s">
        <v>4681</v>
      </c>
      <c r="D1154" s="1" t="s">
        <v>845</v>
      </c>
      <c r="E1154" s="2">
        <v>45972</v>
      </c>
      <c r="F1154" s="1" t="s">
        <v>846</v>
      </c>
      <c r="G1154" s="1" t="s">
        <v>847</v>
      </c>
      <c r="H1154" s="1" t="s">
        <v>848</v>
      </c>
      <c r="I1154" s="1">
        <v>1</v>
      </c>
      <c r="J1154" s="3">
        <v>112554</v>
      </c>
      <c r="K1154" s="3">
        <v>107401</v>
      </c>
      <c r="L1154" s="1">
        <v>0</v>
      </c>
      <c r="M1154" s="4">
        <v>0</v>
      </c>
      <c r="N1154" s="3">
        <v>5153</v>
      </c>
      <c r="O1154" s="4">
        <v>4.5999999999999999E-2</v>
      </c>
      <c r="P1154" s="1" t="s">
        <v>2721</v>
      </c>
    </row>
    <row r="1155" spans="1:16">
      <c r="A1155" s="1" t="s">
        <v>15</v>
      </c>
      <c r="B1155" s="1">
        <v>11</v>
      </c>
      <c r="C1155" s="1" t="s">
        <v>4682</v>
      </c>
      <c r="D1155" s="1" t="s">
        <v>27</v>
      </c>
      <c r="E1155" s="2">
        <v>45972</v>
      </c>
      <c r="F1155" s="1" t="s">
        <v>28</v>
      </c>
      <c r="G1155" s="1" t="s">
        <v>29</v>
      </c>
      <c r="H1155" s="1" t="s">
        <v>352</v>
      </c>
      <c r="I1155" s="1">
        <v>1</v>
      </c>
      <c r="J1155" s="3">
        <v>27033</v>
      </c>
      <c r="K1155" s="3">
        <v>25795</v>
      </c>
      <c r="L1155" s="1">
        <v>0</v>
      </c>
      <c r="M1155" s="4">
        <v>0</v>
      </c>
      <c r="N1155" s="3">
        <v>1238</v>
      </c>
      <c r="O1155" s="4">
        <v>4.5999999999999999E-2</v>
      </c>
      <c r="P1155" s="1" t="s">
        <v>2721</v>
      </c>
    </row>
    <row r="1156" spans="1:16">
      <c r="A1156" s="1" t="s">
        <v>15</v>
      </c>
      <c r="B1156" s="1">
        <v>11</v>
      </c>
      <c r="C1156" s="1" t="s">
        <v>4683</v>
      </c>
      <c r="D1156" s="1" t="s">
        <v>132</v>
      </c>
      <c r="E1156" s="2">
        <v>45972</v>
      </c>
      <c r="F1156" s="1" t="s">
        <v>53</v>
      </c>
      <c r="G1156" s="1" t="s">
        <v>133</v>
      </c>
      <c r="H1156" s="1" t="s">
        <v>88</v>
      </c>
      <c r="I1156" s="1">
        <v>1</v>
      </c>
      <c r="J1156" s="3">
        <v>17036</v>
      </c>
      <c r="K1156" s="3">
        <v>16256</v>
      </c>
      <c r="L1156" s="1">
        <v>0</v>
      </c>
      <c r="M1156" s="4">
        <v>0</v>
      </c>
      <c r="N1156" s="1">
        <v>780</v>
      </c>
      <c r="O1156" s="4">
        <v>4.5999999999999999E-2</v>
      </c>
      <c r="P1156" s="1" t="s">
        <v>2721</v>
      </c>
    </row>
    <row r="1157" spans="1:16">
      <c r="A1157" s="1" t="s">
        <v>15</v>
      </c>
      <c r="B1157" s="1">
        <v>11</v>
      </c>
      <c r="C1157" s="1" t="s">
        <v>4684</v>
      </c>
      <c r="D1157" s="1" t="s">
        <v>27</v>
      </c>
      <c r="E1157" s="2">
        <v>45972</v>
      </c>
      <c r="F1157" s="1" t="s">
        <v>28</v>
      </c>
      <c r="G1157" s="1" t="s">
        <v>29</v>
      </c>
      <c r="H1157" s="1" t="s">
        <v>352</v>
      </c>
      <c r="I1157" s="1">
        <v>1</v>
      </c>
      <c r="J1157" s="3">
        <v>27033</v>
      </c>
      <c r="K1157" s="3">
        <v>25795</v>
      </c>
      <c r="L1157" s="1">
        <v>0</v>
      </c>
      <c r="M1157" s="4">
        <v>0</v>
      </c>
      <c r="N1157" s="3">
        <v>1238</v>
      </c>
      <c r="O1157" s="4">
        <v>4.5999999999999999E-2</v>
      </c>
      <c r="P1157" s="1" t="s">
        <v>2721</v>
      </c>
    </row>
    <row r="1158" spans="1:16">
      <c r="A1158" s="1" t="s">
        <v>15</v>
      </c>
      <c r="B1158" s="1">
        <v>11</v>
      </c>
      <c r="C1158" s="1" t="s">
        <v>4684</v>
      </c>
      <c r="D1158" s="1" t="s">
        <v>27</v>
      </c>
      <c r="E1158" s="2">
        <v>45972</v>
      </c>
      <c r="F1158" s="1" t="s">
        <v>28</v>
      </c>
      <c r="G1158" s="1" t="s">
        <v>29</v>
      </c>
      <c r="H1158" s="1" t="s">
        <v>30</v>
      </c>
      <c r="I1158" s="1">
        <v>1</v>
      </c>
      <c r="J1158" s="3">
        <v>27033</v>
      </c>
      <c r="K1158" s="3">
        <v>25795</v>
      </c>
      <c r="L1158" s="1">
        <v>0</v>
      </c>
      <c r="M1158" s="4">
        <v>0</v>
      </c>
      <c r="N1158" s="3">
        <v>1238</v>
      </c>
      <c r="O1158" s="4">
        <v>4.5999999999999999E-2</v>
      </c>
      <c r="P1158" s="1" t="s">
        <v>2721</v>
      </c>
    </row>
    <row r="1159" spans="1:16">
      <c r="A1159" s="1" t="s">
        <v>15</v>
      </c>
      <c r="B1159" s="1">
        <v>11</v>
      </c>
      <c r="C1159" s="1" t="s">
        <v>4685</v>
      </c>
      <c r="D1159" s="1" t="s">
        <v>1100</v>
      </c>
      <c r="E1159" s="2">
        <v>45972</v>
      </c>
      <c r="F1159" s="1" t="s">
        <v>1101</v>
      </c>
      <c r="G1159" s="1" t="s">
        <v>1102</v>
      </c>
      <c r="H1159" s="1" t="s">
        <v>4686</v>
      </c>
      <c r="I1159" s="1">
        <v>1</v>
      </c>
      <c r="J1159" s="3">
        <v>15630</v>
      </c>
      <c r="K1159" s="3">
        <v>14914</v>
      </c>
      <c r="L1159" s="1">
        <v>0</v>
      </c>
      <c r="M1159" s="4">
        <v>0</v>
      </c>
      <c r="N1159" s="1">
        <v>716</v>
      </c>
      <c r="O1159" s="4">
        <v>4.5999999999999999E-2</v>
      </c>
      <c r="P1159" s="1" t="s">
        <v>2721</v>
      </c>
    </row>
    <row r="1160" spans="1:16">
      <c r="A1160" s="1" t="s">
        <v>15</v>
      </c>
      <c r="B1160" s="1">
        <v>11</v>
      </c>
      <c r="C1160" s="1" t="s">
        <v>4687</v>
      </c>
      <c r="D1160" s="1" t="s">
        <v>3592</v>
      </c>
      <c r="E1160" s="2">
        <v>45972</v>
      </c>
      <c r="F1160" s="1" t="s">
        <v>261</v>
      </c>
      <c r="G1160" s="1" t="s">
        <v>3593</v>
      </c>
      <c r="H1160" s="1" t="s">
        <v>3593</v>
      </c>
      <c r="I1160" s="1">
        <v>1</v>
      </c>
      <c r="J1160" s="3">
        <v>70776</v>
      </c>
      <c r="K1160" s="3">
        <v>67536</v>
      </c>
      <c r="L1160" s="1">
        <v>0</v>
      </c>
      <c r="M1160" s="4">
        <v>0</v>
      </c>
      <c r="N1160" s="3">
        <v>3240</v>
      </c>
      <c r="O1160" s="4">
        <v>4.5999999999999999E-2</v>
      </c>
      <c r="P1160" s="1" t="s">
        <v>2721</v>
      </c>
    </row>
    <row r="1161" spans="1:16">
      <c r="A1161" s="1" t="s">
        <v>15</v>
      </c>
      <c r="B1161" s="1">
        <v>11</v>
      </c>
      <c r="C1161" s="1" t="s">
        <v>4688</v>
      </c>
      <c r="D1161" s="1" t="s">
        <v>4689</v>
      </c>
      <c r="E1161" s="2">
        <v>45972</v>
      </c>
      <c r="F1161" s="1" t="s">
        <v>839</v>
      </c>
      <c r="G1161" s="1" t="s">
        <v>4690</v>
      </c>
      <c r="H1161" s="1" t="s">
        <v>4691</v>
      </c>
      <c r="I1161" s="1">
        <v>4</v>
      </c>
      <c r="J1161" s="3">
        <v>49150</v>
      </c>
      <c r="K1161" s="3">
        <v>46900</v>
      </c>
      <c r="L1161" s="1">
        <v>0</v>
      </c>
      <c r="M1161" s="4">
        <v>0</v>
      </c>
      <c r="N1161" s="3">
        <v>2250</v>
      </c>
      <c r="O1161" s="4">
        <v>4.5999999999999999E-2</v>
      </c>
      <c r="P1161" s="1" t="s">
        <v>2721</v>
      </c>
    </row>
    <row r="1162" spans="1:16">
      <c r="A1162" s="1" t="s">
        <v>15</v>
      </c>
      <c r="B1162" s="1">
        <v>11</v>
      </c>
      <c r="C1162" s="1" t="s">
        <v>4688</v>
      </c>
      <c r="D1162" s="1" t="s">
        <v>4689</v>
      </c>
      <c r="E1162" s="2">
        <v>45972</v>
      </c>
      <c r="F1162" s="1" t="s">
        <v>839</v>
      </c>
      <c r="G1162" s="1" t="s">
        <v>4690</v>
      </c>
      <c r="H1162" s="1" t="s">
        <v>4692</v>
      </c>
      <c r="I1162" s="1">
        <v>4</v>
      </c>
      <c r="J1162" s="3">
        <v>49150</v>
      </c>
      <c r="K1162" s="3">
        <v>46900</v>
      </c>
      <c r="L1162" s="1">
        <v>0</v>
      </c>
      <c r="M1162" s="4">
        <v>0</v>
      </c>
      <c r="N1162" s="3">
        <v>2250</v>
      </c>
      <c r="O1162" s="4">
        <v>4.5999999999999999E-2</v>
      </c>
      <c r="P1162" s="1" t="s">
        <v>2721</v>
      </c>
    </row>
    <row r="1163" spans="1:16">
      <c r="A1163" s="1" t="s">
        <v>15</v>
      </c>
      <c r="B1163" s="1">
        <v>11</v>
      </c>
      <c r="C1163" s="1" t="s">
        <v>4693</v>
      </c>
      <c r="D1163" s="1" t="s">
        <v>4694</v>
      </c>
      <c r="E1163" s="2">
        <v>45972</v>
      </c>
      <c r="F1163" s="1" t="s">
        <v>53</v>
      </c>
      <c r="G1163" s="1" t="s">
        <v>4695</v>
      </c>
      <c r="H1163" s="1" t="s">
        <v>4696</v>
      </c>
      <c r="I1163" s="1">
        <v>1</v>
      </c>
      <c r="J1163" s="3">
        <v>12529</v>
      </c>
      <c r="K1163" s="3">
        <v>11956</v>
      </c>
      <c r="L1163" s="1">
        <v>0</v>
      </c>
      <c r="M1163" s="4">
        <v>0</v>
      </c>
      <c r="N1163" s="1">
        <v>573</v>
      </c>
      <c r="O1163" s="4">
        <v>4.5999999999999999E-2</v>
      </c>
      <c r="P1163" s="1" t="s">
        <v>2721</v>
      </c>
    </row>
    <row r="1164" spans="1:16">
      <c r="A1164" s="1" t="s">
        <v>15</v>
      </c>
      <c r="B1164" s="1">
        <v>11</v>
      </c>
      <c r="C1164" s="1" t="s">
        <v>4697</v>
      </c>
      <c r="D1164" s="1" t="s">
        <v>1074</v>
      </c>
      <c r="E1164" s="2">
        <v>45972</v>
      </c>
      <c r="F1164" s="1" t="s">
        <v>1075</v>
      </c>
      <c r="G1164" s="1" t="s">
        <v>1076</v>
      </c>
      <c r="H1164" s="1" t="s">
        <v>1585</v>
      </c>
      <c r="I1164" s="1">
        <v>1</v>
      </c>
      <c r="J1164" s="3">
        <v>12503</v>
      </c>
      <c r="K1164" s="3">
        <v>11930</v>
      </c>
      <c r="L1164" s="1">
        <v>0</v>
      </c>
      <c r="M1164" s="4">
        <v>0</v>
      </c>
      <c r="N1164" s="1">
        <v>573</v>
      </c>
      <c r="O1164" s="4">
        <v>4.5999999999999999E-2</v>
      </c>
      <c r="P1164" s="1" t="s">
        <v>2721</v>
      </c>
    </row>
    <row r="1165" spans="1:16">
      <c r="A1165" s="1" t="s">
        <v>15</v>
      </c>
      <c r="B1165" s="1">
        <v>11</v>
      </c>
      <c r="C1165" s="1" t="s">
        <v>4698</v>
      </c>
      <c r="D1165" s="1" t="s">
        <v>1399</v>
      </c>
      <c r="E1165" s="2">
        <v>45972</v>
      </c>
      <c r="F1165" s="1" t="s">
        <v>261</v>
      </c>
      <c r="G1165" s="1" t="s">
        <v>1400</v>
      </c>
      <c r="H1165" s="1" t="s">
        <v>1400</v>
      </c>
      <c r="I1165" s="1">
        <v>1</v>
      </c>
      <c r="J1165" s="3">
        <v>23592</v>
      </c>
      <c r="K1165" s="3">
        <v>22512</v>
      </c>
      <c r="L1165" s="1">
        <v>0</v>
      </c>
      <c r="M1165" s="4">
        <v>0</v>
      </c>
      <c r="N1165" s="3">
        <v>1080</v>
      </c>
      <c r="O1165" s="4">
        <v>4.5999999999999999E-2</v>
      </c>
      <c r="P1165" s="1" t="s">
        <v>2721</v>
      </c>
    </row>
    <row r="1166" spans="1:16">
      <c r="A1166" s="1" t="s">
        <v>15</v>
      </c>
      <c r="B1166" s="1">
        <v>11</v>
      </c>
      <c r="C1166" s="1" t="s">
        <v>4699</v>
      </c>
      <c r="D1166" s="1" t="s">
        <v>1438</v>
      </c>
      <c r="E1166" s="2">
        <v>45972</v>
      </c>
      <c r="F1166" s="1" t="s">
        <v>126</v>
      </c>
      <c r="G1166" s="1" t="s">
        <v>1439</v>
      </c>
      <c r="H1166" s="1" t="s">
        <v>1440</v>
      </c>
      <c r="I1166" s="1">
        <v>1</v>
      </c>
      <c r="J1166" s="3">
        <v>20643</v>
      </c>
      <c r="K1166" s="3">
        <v>19698</v>
      </c>
      <c r="L1166" s="1">
        <v>0</v>
      </c>
      <c r="M1166" s="4">
        <v>0</v>
      </c>
      <c r="N1166" s="1">
        <v>945</v>
      </c>
      <c r="O1166" s="4">
        <v>4.5999999999999999E-2</v>
      </c>
      <c r="P1166" s="1" t="s">
        <v>2721</v>
      </c>
    </row>
    <row r="1167" spans="1:16">
      <c r="A1167" s="1" t="s">
        <v>15</v>
      </c>
      <c r="B1167" s="1">
        <v>11</v>
      </c>
      <c r="C1167" s="1" t="s">
        <v>4700</v>
      </c>
      <c r="D1167" s="1" t="s">
        <v>1191</v>
      </c>
      <c r="E1167" s="2">
        <v>45972</v>
      </c>
      <c r="F1167" s="1" t="s">
        <v>570</v>
      </c>
      <c r="G1167" s="1" t="s">
        <v>1192</v>
      </c>
      <c r="H1167" s="1" t="s">
        <v>1193</v>
      </c>
      <c r="I1167" s="1">
        <v>1</v>
      </c>
      <c r="J1167" s="3">
        <v>16514</v>
      </c>
      <c r="K1167" s="3">
        <v>15758</v>
      </c>
      <c r="L1167" s="1">
        <v>0</v>
      </c>
      <c r="M1167" s="4">
        <v>0</v>
      </c>
      <c r="N1167" s="1">
        <v>756</v>
      </c>
      <c r="O1167" s="4">
        <v>4.5999999999999999E-2</v>
      </c>
      <c r="P1167" s="1" t="s">
        <v>2721</v>
      </c>
    </row>
    <row r="1168" spans="1:16">
      <c r="A1168" s="1" t="s">
        <v>15</v>
      </c>
      <c r="B1168" s="1">
        <v>11</v>
      </c>
      <c r="C1168" s="1" t="s">
        <v>4701</v>
      </c>
      <c r="D1168" s="1" t="s">
        <v>4702</v>
      </c>
      <c r="E1168" s="2">
        <v>45972</v>
      </c>
      <c r="F1168" s="1" t="s">
        <v>96</v>
      </c>
      <c r="G1168" s="1" t="s">
        <v>4703</v>
      </c>
      <c r="H1168" s="1" t="s">
        <v>4704</v>
      </c>
      <c r="I1168" s="1">
        <v>1</v>
      </c>
      <c r="J1168" s="3">
        <v>8501</v>
      </c>
      <c r="K1168" s="3">
        <v>8112</v>
      </c>
      <c r="L1168" s="1">
        <v>0</v>
      </c>
      <c r="M1168" s="4">
        <v>0</v>
      </c>
      <c r="N1168" s="1">
        <v>389</v>
      </c>
      <c r="O1168" s="4">
        <v>4.5999999999999999E-2</v>
      </c>
      <c r="P1168" s="1" t="s">
        <v>2721</v>
      </c>
    </row>
    <row r="1169" spans="1:16">
      <c r="A1169" s="1" t="s">
        <v>15</v>
      </c>
      <c r="B1169" s="1">
        <v>11</v>
      </c>
      <c r="C1169" s="1" t="s">
        <v>4705</v>
      </c>
      <c r="D1169" s="1" t="s">
        <v>903</v>
      </c>
      <c r="E1169" s="2">
        <v>45972</v>
      </c>
      <c r="F1169" s="1" t="s">
        <v>23</v>
      </c>
      <c r="G1169" s="1" t="s">
        <v>587</v>
      </c>
      <c r="H1169" s="1" t="s">
        <v>588</v>
      </c>
      <c r="I1169" s="1">
        <v>1</v>
      </c>
      <c r="J1169" s="3">
        <v>13762</v>
      </c>
      <c r="K1169" s="3">
        <v>13132</v>
      </c>
      <c r="L1169" s="1">
        <v>0</v>
      </c>
      <c r="M1169" s="4">
        <v>0</v>
      </c>
      <c r="N1169" s="1">
        <v>630</v>
      </c>
      <c r="O1169" s="4">
        <v>4.5999999999999999E-2</v>
      </c>
      <c r="P1169" s="1" t="s">
        <v>2721</v>
      </c>
    </row>
    <row r="1170" spans="1:16">
      <c r="A1170" s="1" t="s">
        <v>15</v>
      </c>
      <c r="B1170" s="1">
        <v>11</v>
      </c>
      <c r="C1170" s="1" t="s">
        <v>4706</v>
      </c>
      <c r="D1170" s="1" t="s">
        <v>4707</v>
      </c>
      <c r="E1170" s="2">
        <v>45972</v>
      </c>
      <c r="F1170" s="1" t="s">
        <v>155</v>
      </c>
      <c r="G1170" s="1" t="s">
        <v>4708</v>
      </c>
      <c r="H1170" s="1" t="s">
        <v>4709</v>
      </c>
      <c r="I1170" s="1">
        <v>1</v>
      </c>
      <c r="J1170" s="3">
        <v>5996</v>
      </c>
      <c r="K1170" s="3">
        <v>5722</v>
      </c>
      <c r="L1170" s="1">
        <v>0</v>
      </c>
      <c r="M1170" s="4">
        <v>0</v>
      </c>
      <c r="N1170" s="1">
        <v>274</v>
      </c>
      <c r="O1170" s="4">
        <v>4.5999999999999999E-2</v>
      </c>
      <c r="P1170" s="1" t="s">
        <v>2721</v>
      </c>
    </row>
    <row r="1171" spans="1:16">
      <c r="A1171" s="1" t="s">
        <v>15</v>
      </c>
      <c r="B1171" s="1">
        <v>11</v>
      </c>
      <c r="C1171" s="1" t="s">
        <v>4710</v>
      </c>
      <c r="D1171" s="1" t="s">
        <v>1597</v>
      </c>
      <c r="E1171" s="2">
        <v>45972</v>
      </c>
      <c r="F1171" s="1" t="s">
        <v>464</v>
      </c>
      <c r="G1171" s="1" t="s">
        <v>1598</v>
      </c>
      <c r="H1171" s="1" t="s">
        <v>1599</v>
      </c>
      <c r="I1171" s="1">
        <v>1</v>
      </c>
      <c r="J1171" s="3">
        <v>12707</v>
      </c>
      <c r="K1171" s="3">
        <v>12126</v>
      </c>
      <c r="L1171" s="1">
        <v>0</v>
      </c>
      <c r="M1171" s="4">
        <v>0</v>
      </c>
      <c r="N1171" s="1">
        <v>581</v>
      </c>
      <c r="O1171" s="4">
        <v>4.5999999999999999E-2</v>
      </c>
      <c r="P1171" s="1" t="s">
        <v>2721</v>
      </c>
    </row>
    <row r="1172" spans="1:16">
      <c r="A1172" s="1" t="s">
        <v>15</v>
      </c>
      <c r="B1172" s="1">
        <v>11</v>
      </c>
      <c r="C1172" s="1" t="s">
        <v>4710</v>
      </c>
      <c r="D1172" s="1" t="s">
        <v>1597</v>
      </c>
      <c r="E1172" s="2">
        <v>45972</v>
      </c>
      <c r="F1172" s="1" t="s">
        <v>464</v>
      </c>
      <c r="G1172" s="1" t="s">
        <v>1598</v>
      </c>
      <c r="H1172" s="1" t="s">
        <v>4711</v>
      </c>
      <c r="I1172" s="1">
        <v>1</v>
      </c>
      <c r="J1172" s="3">
        <v>13621</v>
      </c>
      <c r="K1172" s="3">
        <v>12998</v>
      </c>
      <c r="L1172" s="1">
        <v>0</v>
      </c>
      <c r="M1172" s="4">
        <v>0</v>
      </c>
      <c r="N1172" s="1">
        <v>623</v>
      </c>
      <c r="O1172" s="4">
        <v>4.5999999999999999E-2</v>
      </c>
      <c r="P1172" s="1" t="s">
        <v>2721</v>
      </c>
    </row>
    <row r="1173" spans="1:16">
      <c r="A1173" s="1" t="s">
        <v>15</v>
      </c>
      <c r="B1173" s="1">
        <v>11</v>
      </c>
      <c r="C1173" s="1" t="s">
        <v>4712</v>
      </c>
      <c r="D1173" s="1" t="s">
        <v>238</v>
      </c>
      <c r="E1173" s="2">
        <v>45972</v>
      </c>
      <c r="F1173" s="1" t="s">
        <v>239</v>
      </c>
      <c r="G1173" s="1" t="s">
        <v>240</v>
      </c>
      <c r="H1173" s="1" t="s">
        <v>242</v>
      </c>
      <c r="I1173" s="1">
        <v>1</v>
      </c>
      <c r="J1173" s="3">
        <v>11305</v>
      </c>
      <c r="K1173" s="3">
        <v>10787</v>
      </c>
      <c r="L1173" s="1">
        <v>0</v>
      </c>
      <c r="M1173" s="4">
        <v>0</v>
      </c>
      <c r="N1173" s="1">
        <v>518</v>
      </c>
      <c r="O1173" s="4">
        <v>4.5999999999999999E-2</v>
      </c>
      <c r="P1173" s="1" t="s">
        <v>2721</v>
      </c>
    </row>
    <row r="1174" spans="1:16">
      <c r="A1174" s="1" t="s">
        <v>15</v>
      </c>
      <c r="B1174" s="1">
        <v>11</v>
      </c>
      <c r="C1174" s="1" t="s">
        <v>4713</v>
      </c>
      <c r="D1174" s="1" t="s">
        <v>394</v>
      </c>
      <c r="E1174" s="2">
        <v>45972</v>
      </c>
      <c r="F1174" s="1" t="s">
        <v>395</v>
      </c>
      <c r="G1174" s="1" t="s">
        <v>2803</v>
      </c>
      <c r="H1174" s="1" t="s">
        <v>2804</v>
      </c>
      <c r="I1174" s="1">
        <v>1</v>
      </c>
      <c r="J1174" s="3">
        <v>18874</v>
      </c>
      <c r="K1174" s="3">
        <v>18010</v>
      </c>
      <c r="L1174" s="1">
        <v>0</v>
      </c>
      <c r="M1174" s="4">
        <v>0</v>
      </c>
      <c r="N1174" s="1">
        <v>864</v>
      </c>
      <c r="O1174" s="4">
        <v>4.5999999999999999E-2</v>
      </c>
      <c r="P1174" s="1" t="s">
        <v>2721</v>
      </c>
    </row>
    <row r="1175" spans="1:16">
      <c r="A1175" s="1" t="s">
        <v>15</v>
      </c>
      <c r="B1175" s="1">
        <v>11</v>
      </c>
      <c r="C1175" s="1" t="s">
        <v>4714</v>
      </c>
      <c r="D1175" s="1" t="s">
        <v>1375</v>
      </c>
      <c r="E1175" s="2">
        <v>45972</v>
      </c>
      <c r="F1175" s="1" t="s">
        <v>256</v>
      </c>
      <c r="G1175" s="1" t="s">
        <v>1376</v>
      </c>
      <c r="H1175" s="1" t="s">
        <v>1377</v>
      </c>
      <c r="I1175" s="1">
        <v>1</v>
      </c>
      <c r="J1175" s="3">
        <v>8208</v>
      </c>
      <c r="K1175" s="3">
        <v>7832</v>
      </c>
      <c r="L1175" s="1">
        <v>0</v>
      </c>
      <c r="M1175" s="4">
        <v>0</v>
      </c>
      <c r="N1175" s="1">
        <v>376</v>
      </c>
      <c r="O1175" s="4">
        <v>4.5999999999999999E-2</v>
      </c>
      <c r="P1175" s="1" t="s">
        <v>2721</v>
      </c>
    </row>
    <row r="1176" spans="1:16">
      <c r="A1176" s="1" t="s">
        <v>15</v>
      </c>
      <c r="B1176" s="1">
        <v>11</v>
      </c>
      <c r="C1176" s="1" t="s">
        <v>4715</v>
      </c>
      <c r="D1176" s="1" t="s">
        <v>86</v>
      </c>
      <c r="E1176" s="2">
        <v>45972</v>
      </c>
      <c r="F1176" s="1" t="s">
        <v>53</v>
      </c>
      <c r="G1176" s="1" t="s">
        <v>87</v>
      </c>
      <c r="H1176" s="1" t="s">
        <v>88</v>
      </c>
      <c r="I1176" s="1">
        <v>2</v>
      </c>
      <c r="J1176" s="3">
        <v>29913</v>
      </c>
      <c r="K1176" s="3">
        <v>28543</v>
      </c>
      <c r="L1176" s="1">
        <v>0</v>
      </c>
      <c r="M1176" s="4">
        <v>0</v>
      </c>
      <c r="N1176" s="3">
        <v>1370</v>
      </c>
      <c r="O1176" s="4">
        <v>4.5999999999999999E-2</v>
      </c>
      <c r="P1176" s="1" t="s">
        <v>2721</v>
      </c>
    </row>
    <row r="1177" spans="1:16">
      <c r="A1177" s="1" t="s">
        <v>15</v>
      </c>
      <c r="B1177" s="1">
        <v>11</v>
      </c>
      <c r="C1177" s="1" t="s">
        <v>4716</v>
      </c>
      <c r="D1177" s="1" t="s">
        <v>504</v>
      </c>
      <c r="E1177" s="2">
        <v>45972</v>
      </c>
      <c r="F1177" s="1" t="s">
        <v>407</v>
      </c>
      <c r="G1177" s="1" t="s">
        <v>505</v>
      </c>
      <c r="H1177" s="1" t="s">
        <v>1131</v>
      </c>
      <c r="I1177" s="1">
        <v>1</v>
      </c>
      <c r="J1177" s="3">
        <v>54065</v>
      </c>
      <c r="K1177" s="3">
        <v>51590</v>
      </c>
      <c r="L1177" s="1">
        <v>0</v>
      </c>
      <c r="M1177" s="4">
        <v>0</v>
      </c>
      <c r="N1177" s="3">
        <v>2475</v>
      </c>
      <c r="O1177" s="4">
        <v>4.5999999999999999E-2</v>
      </c>
      <c r="P1177" s="1" t="s">
        <v>2721</v>
      </c>
    </row>
    <row r="1178" spans="1:16">
      <c r="A1178" s="1" t="s">
        <v>15</v>
      </c>
      <c r="B1178" s="1">
        <v>11</v>
      </c>
      <c r="C1178" s="1" t="s">
        <v>4717</v>
      </c>
      <c r="D1178" s="1" t="s">
        <v>3328</v>
      </c>
      <c r="E1178" s="2">
        <v>45972</v>
      </c>
      <c r="F1178" s="1" t="s">
        <v>488</v>
      </c>
      <c r="G1178" s="1" t="s">
        <v>3329</v>
      </c>
      <c r="H1178" s="1" t="s">
        <v>3330</v>
      </c>
      <c r="I1178" s="1">
        <v>1</v>
      </c>
      <c r="J1178" s="3">
        <v>17694</v>
      </c>
      <c r="K1178" s="3">
        <v>16884</v>
      </c>
      <c r="L1178" s="1">
        <v>0</v>
      </c>
      <c r="M1178" s="4">
        <v>0</v>
      </c>
      <c r="N1178" s="1">
        <v>810</v>
      </c>
      <c r="O1178" s="4">
        <v>4.5999999999999999E-2</v>
      </c>
      <c r="P1178" s="1" t="s">
        <v>2721</v>
      </c>
    </row>
    <row r="1179" spans="1:16">
      <c r="A1179" s="1" t="s">
        <v>15</v>
      </c>
      <c r="B1179" s="1">
        <v>11</v>
      </c>
      <c r="C1179" s="1" t="s">
        <v>4718</v>
      </c>
      <c r="D1179" s="1" t="s">
        <v>32</v>
      </c>
      <c r="E1179" s="2">
        <v>45972</v>
      </c>
      <c r="F1179" s="1" t="s">
        <v>33</v>
      </c>
      <c r="G1179" s="1" t="s">
        <v>34</v>
      </c>
      <c r="H1179" s="1" t="s">
        <v>4719</v>
      </c>
      <c r="I1179" s="1">
        <v>1</v>
      </c>
      <c r="J1179" s="3">
        <v>102694</v>
      </c>
      <c r="K1179" s="3">
        <v>97993</v>
      </c>
      <c r="L1179" s="1">
        <v>0</v>
      </c>
      <c r="M1179" s="4">
        <v>0</v>
      </c>
      <c r="N1179" s="3">
        <v>4701</v>
      </c>
      <c r="O1179" s="4">
        <v>4.5999999999999999E-2</v>
      </c>
      <c r="P1179" s="1" t="s">
        <v>2721</v>
      </c>
    </row>
    <row r="1180" spans="1:16">
      <c r="A1180" s="1" t="s">
        <v>15</v>
      </c>
      <c r="B1180" s="1">
        <v>11</v>
      </c>
      <c r="C1180" s="1" t="s">
        <v>4718</v>
      </c>
      <c r="D1180" s="1" t="s">
        <v>32</v>
      </c>
      <c r="E1180" s="2">
        <v>45972</v>
      </c>
      <c r="F1180" s="1" t="s">
        <v>33</v>
      </c>
      <c r="G1180" s="1" t="s">
        <v>34</v>
      </c>
      <c r="H1180" s="1" t="s">
        <v>4720</v>
      </c>
      <c r="I1180" s="1">
        <v>1</v>
      </c>
      <c r="J1180" s="3">
        <v>93544</v>
      </c>
      <c r="K1180" s="3">
        <v>89262</v>
      </c>
      <c r="L1180" s="1">
        <v>0</v>
      </c>
      <c r="M1180" s="4">
        <v>0</v>
      </c>
      <c r="N1180" s="3">
        <v>4282</v>
      </c>
      <c r="O1180" s="4">
        <v>4.5999999999999999E-2</v>
      </c>
      <c r="P1180" s="1" t="s">
        <v>2721</v>
      </c>
    </row>
    <row r="1181" spans="1:16">
      <c r="A1181" s="1" t="s">
        <v>15</v>
      </c>
      <c r="B1181" s="1">
        <v>11</v>
      </c>
      <c r="C1181" s="1" t="s">
        <v>4721</v>
      </c>
      <c r="D1181" s="1" t="s">
        <v>1283</v>
      </c>
      <c r="E1181" s="2">
        <v>45972</v>
      </c>
      <c r="F1181" s="1" t="s">
        <v>1255</v>
      </c>
      <c r="G1181" s="1" t="s">
        <v>1284</v>
      </c>
      <c r="H1181" s="1" t="s">
        <v>4722</v>
      </c>
      <c r="I1181" s="1">
        <v>1</v>
      </c>
      <c r="J1181" s="3">
        <v>15826</v>
      </c>
      <c r="K1181" s="3">
        <v>15102</v>
      </c>
      <c r="L1181" s="1">
        <v>0</v>
      </c>
      <c r="M1181" s="4">
        <v>0</v>
      </c>
      <c r="N1181" s="1">
        <v>724</v>
      </c>
      <c r="O1181" s="4">
        <v>4.5999999999999999E-2</v>
      </c>
      <c r="P1181" s="1" t="s">
        <v>2721</v>
      </c>
    </row>
    <row r="1182" spans="1:16">
      <c r="A1182" s="1" t="s">
        <v>15</v>
      </c>
      <c r="B1182" s="1">
        <v>11</v>
      </c>
      <c r="C1182" s="1" t="s">
        <v>4723</v>
      </c>
      <c r="D1182" s="1" t="s">
        <v>538</v>
      </c>
      <c r="E1182" s="2">
        <v>45972</v>
      </c>
      <c r="F1182" s="1" t="s">
        <v>53</v>
      </c>
      <c r="G1182" s="1" t="s">
        <v>539</v>
      </c>
      <c r="H1182" s="1" t="s">
        <v>540</v>
      </c>
      <c r="I1182" s="1">
        <v>1</v>
      </c>
      <c r="J1182" s="3">
        <v>14332</v>
      </c>
      <c r="K1182" s="3">
        <v>13676</v>
      </c>
      <c r="L1182" s="1">
        <v>0</v>
      </c>
      <c r="M1182" s="4">
        <v>0</v>
      </c>
      <c r="N1182" s="1">
        <v>656</v>
      </c>
      <c r="O1182" s="4">
        <v>4.5999999999999999E-2</v>
      </c>
      <c r="P1182" s="1" t="s">
        <v>2721</v>
      </c>
    </row>
    <row r="1183" spans="1:16">
      <c r="A1183" s="1" t="s">
        <v>15</v>
      </c>
      <c r="B1183" s="1">
        <v>11</v>
      </c>
      <c r="C1183" s="1" t="s">
        <v>4724</v>
      </c>
      <c r="D1183" s="1" t="s">
        <v>62</v>
      </c>
      <c r="E1183" s="2">
        <v>45972</v>
      </c>
      <c r="F1183" s="1" t="s">
        <v>63</v>
      </c>
      <c r="G1183" s="1" t="s">
        <v>64</v>
      </c>
      <c r="H1183" s="1" t="s">
        <v>65</v>
      </c>
      <c r="I1183" s="1">
        <v>1</v>
      </c>
      <c r="J1183" s="3">
        <v>11809</v>
      </c>
      <c r="K1183" s="3">
        <v>11268</v>
      </c>
      <c r="L1183" s="1">
        <v>0</v>
      </c>
      <c r="M1183" s="4">
        <v>0</v>
      </c>
      <c r="N1183" s="1">
        <v>541</v>
      </c>
      <c r="O1183" s="4">
        <v>4.5999999999999999E-2</v>
      </c>
      <c r="P1183" s="1" t="s">
        <v>2721</v>
      </c>
    </row>
    <row r="1184" spans="1:16">
      <c r="A1184" s="1" t="s">
        <v>15</v>
      </c>
      <c r="B1184" s="1">
        <v>11</v>
      </c>
      <c r="C1184" s="1" t="s">
        <v>4725</v>
      </c>
      <c r="D1184" s="1" t="s">
        <v>797</v>
      </c>
      <c r="E1184" s="2">
        <v>45972</v>
      </c>
      <c r="F1184" s="1" t="s">
        <v>798</v>
      </c>
      <c r="G1184" s="1" t="s">
        <v>799</v>
      </c>
      <c r="H1184" s="1" t="s">
        <v>1331</v>
      </c>
      <c r="I1184" s="1">
        <v>1</v>
      </c>
      <c r="J1184" s="3">
        <v>13271</v>
      </c>
      <c r="K1184" s="3">
        <v>12663</v>
      </c>
      <c r="L1184" s="1">
        <v>0</v>
      </c>
      <c r="M1184" s="4">
        <v>0</v>
      </c>
      <c r="N1184" s="1">
        <v>608</v>
      </c>
      <c r="O1184" s="4">
        <v>4.5999999999999999E-2</v>
      </c>
      <c r="P1184" s="1" t="s">
        <v>2721</v>
      </c>
    </row>
    <row r="1185" spans="1:16">
      <c r="A1185" s="1" t="s">
        <v>15</v>
      </c>
      <c r="B1185" s="1">
        <v>11</v>
      </c>
      <c r="C1185" s="1" t="s">
        <v>4726</v>
      </c>
      <c r="D1185" s="1" t="s">
        <v>903</v>
      </c>
      <c r="E1185" s="2">
        <v>45972</v>
      </c>
      <c r="F1185" s="1" t="s">
        <v>23</v>
      </c>
      <c r="G1185" s="1" t="s">
        <v>587</v>
      </c>
      <c r="H1185" s="1" t="s">
        <v>904</v>
      </c>
      <c r="I1185" s="1">
        <v>1</v>
      </c>
      <c r="J1185" s="3">
        <v>13762</v>
      </c>
      <c r="K1185" s="3">
        <v>13132</v>
      </c>
      <c r="L1185" s="1">
        <v>0</v>
      </c>
      <c r="M1185" s="4">
        <v>0</v>
      </c>
      <c r="N1185" s="1">
        <v>630</v>
      </c>
      <c r="O1185" s="4">
        <v>4.5999999999999999E-2</v>
      </c>
      <c r="P1185" s="1" t="s">
        <v>2721</v>
      </c>
    </row>
    <row r="1186" spans="1:16">
      <c r="A1186" s="1" t="s">
        <v>15</v>
      </c>
      <c r="B1186" s="1">
        <v>11</v>
      </c>
      <c r="C1186" s="1" t="s">
        <v>4727</v>
      </c>
      <c r="D1186" s="1" t="s">
        <v>27</v>
      </c>
      <c r="E1186" s="2">
        <v>45972</v>
      </c>
      <c r="F1186" s="1" t="s">
        <v>28</v>
      </c>
      <c r="G1186" s="1" t="s">
        <v>29</v>
      </c>
      <c r="H1186" s="1" t="s">
        <v>30</v>
      </c>
      <c r="I1186" s="1">
        <v>1</v>
      </c>
      <c r="J1186" s="3">
        <v>27033</v>
      </c>
      <c r="K1186" s="3">
        <v>25795</v>
      </c>
      <c r="L1186" s="1">
        <v>0</v>
      </c>
      <c r="M1186" s="4">
        <v>0</v>
      </c>
      <c r="N1186" s="3">
        <v>1238</v>
      </c>
      <c r="O1186" s="4">
        <v>4.5999999999999999E-2</v>
      </c>
      <c r="P1186" s="1" t="s">
        <v>2721</v>
      </c>
    </row>
    <row r="1187" spans="1:16">
      <c r="A1187" s="1" t="s">
        <v>15</v>
      </c>
      <c r="B1187" s="1">
        <v>11</v>
      </c>
      <c r="C1187" s="1" t="s">
        <v>4728</v>
      </c>
      <c r="D1187" s="1" t="s">
        <v>86</v>
      </c>
      <c r="E1187" s="2">
        <v>45972</v>
      </c>
      <c r="F1187" s="1" t="s">
        <v>53</v>
      </c>
      <c r="G1187" s="1" t="s">
        <v>87</v>
      </c>
      <c r="H1187" s="1" t="s">
        <v>88</v>
      </c>
      <c r="I1187" s="1">
        <v>1</v>
      </c>
      <c r="J1187" s="3">
        <v>14956</v>
      </c>
      <c r="K1187" s="3">
        <v>14272</v>
      </c>
      <c r="L1187" s="1">
        <v>0</v>
      </c>
      <c r="M1187" s="4">
        <v>0</v>
      </c>
      <c r="N1187" s="1">
        <v>684</v>
      </c>
      <c r="O1187" s="4">
        <v>4.5999999999999999E-2</v>
      </c>
      <c r="P1187" s="1" t="s">
        <v>2721</v>
      </c>
    </row>
    <row r="1188" spans="1:16">
      <c r="A1188" s="1" t="s">
        <v>15</v>
      </c>
      <c r="B1188" s="1">
        <v>11</v>
      </c>
      <c r="C1188" s="1" t="s">
        <v>4729</v>
      </c>
      <c r="D1188" s="1" t="s">
        <v>4730</v>
      </c>
      <c r="E1188" s="2">
        <v>45972</v>
      </c>
      <c r="F1188" s="1" t="s">
        <v>1665</v>
      </c>
      <c r="G1188" s="1" t="s">
        <v>4731</v>
      </c>
      <c r="H1188" s="1" t="s">
        <v>4732</v>
      </c>
      <c r="I1188" s="1">
        <v>1</v>
      </c>
      <c r="J1188" s="3">
        <v>34366</v>
      </c>
      <c r="K1188" s="3">
        <v>32792</v>
      </c>
      <c r="L1188" s="1">
        <v>0</v>
      </c>
      <c r="M1188" s="4">
        <v>0</v>
      </c>
      <c r="N1188" s="3">
        <v>1574</v>
      </c>
      <c r="O1188" s="4">
        <v>4.5999999999999999E-2</v>
      </c>
      <c r="P1188" s="1" t="s">
        <v>2721</v>
      </c>
    </row>
    <row r="1189" spans="1:16">
      <c r="A1189" s="1" t="s">
        <v>15</v>
      </c>
      <c r="B1189" s="1">
        <v>11</v>
      </c>
      <c r="C1189" s="1" t="s">
        <v>4733</v>
      </c>
      <c r="D1189" s="1" t="s">
        <v>72</v>
      </c>
      <c r="E1189" s="2">
        <v>45972</v>
      </c>
      <c r="F1189" s="1" t="s">
        <v>63</v>
      </c>
      <c r="G1189" s="1" t="s">
        <v>73</v>
      </c>
      <c r="H1189" s="1" t="s">
        <v>74</v>
      </c>
      <c r="I1189" s="1">
        <v>1</v>
      </c>
      <c r="J1189" s="3">
        <v>10456</v>
      </c>
      <c r="K1189" s="3">
        <v>9978</v>
      </c>
      <c r="L1189" s="1">
        <v>0</v>
      </c>
      <c r="M1189" s="4">
        <v>0</v>
      </c>
      <c r="N1189" s="1">
        <v>478</v>
      </c>
      <c r="O1189" s="4">
        <v>4.5999999999999999E-2</v>
      </c>
      <c r="P1189" s="1" t="s">
        <v>2721</v>
      </c>
    </row>
    <row r="1190" spans="1:16">
      <c r="A1190" s="1" t="s">
        <v>15</v>
      </c>
      <c r="B1190" s="1">
        <v>11</v>
      </c>
      <c r="C1190" s="1" t="s">
        <v>4734</v>
      </c>
      <c r="D1190" s="1" t="s">
        <v>3302</v>
      </c>
      <c r="E1190" s="2">
        <v>45972</v>
      </c>
      <c r="F1190" s="1" t="s">
        <v>3303</v>
      </c>
      <c r="G1190" s="1" t="s">
        <v>3304</v>
      </c>
      <c r="H1190" s="1" t="s">
        <v>3305</v>
      </c>
      <c r="I1190" s="1">
        <v>1</v>
      </c>
      <c r="J1190" s="3">
        <v>16220</v>
      </c>
      <c r="K1190" s="3">
        <v>15477</v>
      </c>
      <c r="L1190" s="1">
        <v>0</v>
      </c>
      <c r="M1190" s="4">
        <v>0</v>
      </c>
      <c r="N1190" s="1">
        <v>743</v>
      </c>
      <c r="O1190" s="4">
        <v>4.5999999999999999E-2</v>
      </c>
      <c r="P1190" s="1" t="s">
        <v>2721</v>
      </c>
    </row>
    <row r="1191" spans="1:16">
      <c r="A1191" s="1" t="s">
        <v>15</v>
      </c>
      <c r="B1191" s="1">
        <v>11</v>
      </c>
      <c r="C1191" s="1" t="s">
        <v>4735</v>
      </c>
      <c r="D1191" s="1" t="s">
        <v>482</v>
      </c>
      <c r="E1191" s="2">
        <v>45972</v>
      </c>
      <c r="F1191" s="1" t="s">
        <v>483</v>
      </c>
      <c r="G1191" s="1" t="s">
        <v>484</v>
      </c>
      <c r="H1191" s="1" t="s">
        <v>485</v>
      </c>
      <c r="I1191" s="1">
        <v>1</v>
      </c>
      <c r="J1191" s="3">
        <v>16501</v>
      </c>
      <c r="K1191" s="3">
        <v>15745</v>
      </c>
      <c r="L1191" s="1">
        <v>0</v>
      </c>
      <c r="M1191" s="4">
        <v>0</v>
      </c>
      <c r="N1191" s="1">
        <v>756</v>
      </c>
      <c r="O1191" s="4">
        <v>4.5999999999999999E-2</v>
      </c>
      <c r="P1191" s="1" t="s">
        <v>2721</v>
      </c>
    </row>
    <row r="1192" spans="1:16">
      <c r="A1192" s="1" t="s">
        <v>15</v>
      </c>
      <c r="B1192" s="1">
        <v>11</v>
      </c>
      <c r="C1192" s="1" t="s">
        <v>4736</v>
      </c>
      <c r="D1192" s="1" t="s">
        <v>72</v>
      </c>
      <c r="E1192" s="2">
        <v>45972</v>
      </c>
      <c r="F1192" s="1" t="s">
        <v>63</v>
      </c>
      <c r="G1192" s="1" t="s">
        <v>73</v>
      </c>
      <c r="H1192" s="1" t="s">
        <v>74</v>
      </c>
      <c r="I1192" s="1">
        <v>2</v>
      </c>
      <c r="J1192" s="3">
        <v>20912</v>
      </c>
      <c r="K1192" s="3">
        <v>19955</v>
      </c>
      <c r="L1192" s="1">
        <v>0</v>
      </c>
      <c r="M1192" s="4">
        <v>0</v>
      </c>
      <c r="N1192" s="1">
        <v>957</v>
      </c>
      <c r="O1192" s="4">
        <v>4.5999999999999999E-2</v>
      </c>
      <c r="P1192" s="1" t="s">
        <v>2721</v>
      </c>
    </row>
    <row r="1193" spans="1:16">
      <c r="A1193" s="1" t="s">
        <v>15</v>
      </c>
      <c r="B1193" s="1">
        <v>11</v>
      </c>
      <c r="C1193" s="1" t="s">
        <v>4737</v>
      </c>
      <c r="D1193" s="1" t="s">
        <v>4738</v>
      </c>
      <c r="E1193" s="2">
        <v>45972</v>
      </c>
      <c r="F1193" s="1" t="s">
        <v>235</v>
      </c>
      <c r="G1193" s="1" t="s">
        <v>4739</v>
      </c>
      <c r="H1193" s="1" t="s">
        <v>4740</v>
      </c>
      <c r="I1193" s="1">
        <v>1</v>
      </c>
      <c r="J1193" s="3">
        <v>20569</v>
      </c>
      <c r="K1193" s="3">
        <v>19628</v>
      </c>
      <c r="L1193" s="1">
        <v>0</v>
      </c>
      <c r="M1193" s="4">
        <v>0</v>
      </c>
      <c r="N1193" s="1">
        <v>941</v>
      </c>
      <c r="O1193" s="4">
        <v>4.5999999999999999E-2</v>
      </c>
      <c r="P1193" s="1" t="s">
        <v>2721</v>
      </c>
    </row>
    <row r="1194" spans="1:16">
      <c r="A1194" s="1" t="s">
        <v>15</v>
      </c>
      <c r="B1194" s="1">
        <v>11</v>
      </c>
      <c r="C1194" s="1" t="s">
        <v>4741</v>
      </c>
      <c r="D1194" s="1" t="s">
        <v>2334</v>
      </c>
      <c r="E1194" s="2">
        <v>45972</v>
      </c>
      <c r="F1194" s="1" t="s">
        <v>261</v>
      </c>
      <c r="G1194" s="1" t="s">
        <v>2335</v>
      </c>
      <c r="H1194" s="1" t="s">
        <v>2336</v>
      </c>
      <c r="I1194" s="1">
        <v>3</v>
      </c>
      <c r="J1194" s="3">
        <v>76674</v>
      </c>
      <c r="K1194" s="3">
        <v>73164</v>
      </c>
      <c r="L1194" s="1">
        <v>0</v>
      </c>
      <c r="M1194" s="4">
        <v>0</v>
      </c>
      <c r="N1194" s="3">
        <v>3510</v>
      </c>
      <c r="O1194" s="4">
        <v>4.5999999999999999E-2</v>
      </c>
      <c r="P1194" s="1" t="s">
        <v>2721</v>
      </c>
    </row>
    <row r="1195" spans="1:16">
      <c r="A1195" s="1" t="s">
        <v>15</v>
      </c>
      <c r="B1195" s="1">
        <v>11</v>
      </c>
      <c r="C1195" s="1" t="s">
        <v>4742</v>
      </c>
      <c r="D1195" s="1" t="s">
        <v>212</v>
      </c>
      <c r="E1195" s="2">
        <v>45972</v>
      </c>
      <c r="F1195" s="1" t="s">
        <v>213</v>
      </c>
      <c r="G1195" s="1" t="s">
        <v>214</v>
      </c>
      <c r="H1195" s="1" t="s">
        <v>215</v>
      </c>
      <c r="I1195" s="1">
        <v>1</v>
      </c>
      <c r="J1195" s="3">
        <v>16220</v>
      </c>
      <c r="K1195" s="3">
        <v>15477</v>
      </c>
      <c r="L1195" s="1">
        <v>0</v>
      </c>
      <c r="M1195" s="4">
        <v>0</v>
      </c>
      <c r="N1195" s="1">
        <v>743</v>
      </c>
      <c r="O1195" s="4">
        <v>4.5999999999999999E-2</v>
      </c>
      <c r="P1195" s="1" t="s">
        <v>2721</v>
      </c>
    </row>
    <row r="1196" spans="1:16">
      <c r="A1196" s="1" t="s">
        <v>15</v>
      </c>
      <c r="B1196" s="1">
        <v>11</v>
      </c>
      <c r="C1196" s="1" t="s">
        <v>4743</v>
      </c>
      <c r="D1196" s="1" t="s">
        <v>482</v>
      </c>
      <c r="E1196" s="2">
        <v>45972</v>
      </c>
      <c r="F1196" s="1" t="s">
        <v>483</v>
      </c>
      <c r="G1196" s="1" t="s">
        <v>484</v>
      </c>
      <c r="H1196" s="1" t="s">
        <v>860</v>
      </c>
      <c r="I1196" s="1">
        <v>1</v>
      </c>
      <c r="J1196" s="3">
        <v>27426</v>
      </c>
      <c r="K1196" s="3">
        <v>26170</v>
      </c>
      <c r="L1196" s="1">
        <v>0</v>
      </c>
      <c r="M1196" s="4">
        <v>0</v>
      </c>
      <c r="N1196" s="3">
        <v>1256</v>
      </c>
      <c r="O1196" s="4">
        <v>4.5999999999999999E-2</v>
      </c>
      <c r="P1196" s="1" t="s">
        <v>2721</v>
      </c>
    </row>
    <row r="1197" spans="1:16">
      <c r="A1197" s="1" t="s">
        <v>15</v>
      </c>
      <c r="B1197" s="1">
        <v>11</v>
      </c>
      <c r="C1197" s="1" t="s">
        <v>4744</v>
      </c>
      <c r="D1197" s="1" t="s">
        <v>1346</v>
      </c>
      <c r="E1197" s="2">
        <v>45972</v>
      </c>
      <c r="F1197" s="1" t="s">
        <v>317</v>
      </c>
      <c r="G1197" s="1" t="s">
        <v>1347</v>
      </c>
      <c r="H1197" s="1" t="s">
        <v>1348</v>
      </c>
      <c r="I1197" s="1">
        <v>1</v>
      </c>
      <c r="J1197" s="3">
        <v>32439</v>
      </c>
      <c r="K1197" s="3">
        <v>30954</v>
      </c>
      <c r="L1197" s="1">
        <v>0</v>
      </c>
      <c r="M1197" s="4">
        <v>0</v>
      </c>
      <c r="N1197" s="3">
        <v>1485</v>
      </c>
      <c r="O1197" s="4">
        <v>4.5999999999999999E-2</v>
      </c>
      <c r="P1197" s="1" t="s">
        <v>2721</v>
      </c>
    </row>
    <row r="1198" spans="1:16">
      <c r="A1198" s="1" t="s">
        <v>15</v>
      </c>
      <c r="B1198" s="1">
        <v>11</v>
      </c>
      <c r="C1198" s="1" t="s">
        <v>4745</v>
      </c>
      <c r="D1198" s="1" t="s">
        <v>238</v>
      </c>
      <c r="E1198" s="2">
        <v>45972</v>
      </c>
      <c r="F1198" s="1" t="s">
        <v>239</v>
      </c>
      <c r="G1198" s="1" t="s">
        <v>240</v>
      </c>
      <c r="H1198" s="1" t="s">
        <v>241</v>
      </c>
      <c r="I1198" s="1">
        <v>1</v>
      </c>
      <c r="J1198" s="3">
        <v>11305</v>
      </c>
      <c r="K1198" s="3">
        <v>10787</v>
      </c>
      <c r="L1198" s="1">
        <v>0</v>
      </c>
      <c r="M1198" s="4">
        <v>0</v>
      </c>
      <c r="N1198" s="1">
        <v>518</v>
      </c>
      <c r="O1198" s="4">
        <v>4.5999999999999999E-2</v>
      </c>
      <c r="P1198" s="1" t="s">
        <v>2721</v>
      </c>
    </row>
    <row r="1199" spans="1:16">
      <c r="A1199" s="1" t="s">
        <v>15</v>
      </c>
      <c r="B1199" s="1">
        <v>11</v>
      </c>
      <c r="C1199" s="1" t="s">
        <v>4746</v>
      </c>
      <c r="D1199" s="1" t="s">
        <v>878</v>
      </c>
      <c r="E1199" s="2">
        <v>45972</v>
      </c>
      <c r="F1199" s="1" t="s">
        <v>856</v>
      </c>
      <c r="G1199" s="1" t="s">
        <v>879</v>
      </c>
      <c r="H1199" s="1" t="s">
        <v>880</v>
      </c>
      <c r="I1199" s="1">
        <v>1</v>
      </c>
      <c r="J1199" s="3">
        <v>89453</v>
      </c>
      <c r="K1199" s="3">
        <v>85358</v>
      </c>
      <c r="L1199" s="1">
        <v>0</v>
      </c>
      <c r="M1199" s="4">
        <v>0</v>
      </c>
      <c r="N1199" s="3">
        <v>4095</v>
      </c>
      <c r="O1199" s="4">
        <v>4.5999999999999999E-2</v>
      </c>
      <c r="P1199" s="1" t="s">
        <v>2721</v>
      </c>
    </row>
    <row r="1200" spans="1:16">
      <c r="A1200" s="1" t="s">
        <v>15</v>
      </c>
      <c r="B1200" s="1">
        <v>11</v>
      </c>
      <c r="C1200" s="1" t="s">
        <v>4747</v>
      </c>
      <c r="D1200" s="1" t="s">
        <v>62</v>
      </c>
      <c r="E1200" s="2">
        <v>45972</v>
      </c>
      <c r="F1200" s="1" t="s">
        <v>63</v>
      </c>
      <c r="G1200" s="1" t="s">
        <v>64</v>
      </c>
      <c r="H1200" s="1" t="s">
        <v>65</v>
      </c>
      <c r="I1200" s="1">
        <v>1</v>
      </c>
      <c r="J1200" s="3">
        <v>11809</v>
      </c>
      <c r="K1200" s="3">
        <v>11268</v>
      </c>
      <c r="L1200" s="1">
        <v>0</v>
      </c>
      <c r="M1200" s="4">
        <v>0</v>
      </c>
      <c r="N1200" s="1">
        <v>541</v>
      </c>
      <c r="O1200" s="4">
        <v>4.5999999999999999E-2</v>
      </c>
      <c r="P1200" s="1" t="s">
        <v>2721</v>
      </c>
    </row>
    <row r="1201" spans="1:16">
      <c r="A1201" s="1" t="s">
        <v>15</v>
      </c>
      <c r="B1201" s="1">
        <v>11</v>
      </c>
      <c r="C1201" s="1" t="s">
        <v>4748</v>
      </c>
      <c r="D1201" s="1" t="s">
        <v>1467</v>
      </c>
      <c r="E1201" s="2">
        <v>45972</v>
      </c>
      <c r="F1201" s="1" t="s">
        <v>126</v>
      </c>
      <c r="G1201" s="1" t="s">
        <v>1468</v>
      </c>
      <c r="H1201" s="1" t="s">
        <v>1469</v>
      </c>
      <c r="I1201" s="1">
        <v>1</v>
      </c>
      <c r="J1201" s="3">
        <v>17989</v>
      </c>
      <c r="K1201" s="3">
        <v>17165</v>
      </c>
      <c r="L1201" s="1">
        <v>0</v>
      </c>
      <c r="M1201" s="4">
        <v>0</v>
      </c>
      <c r="N1201" s="1">
        <v>824</v>
      </c>
      <c r="O1201" s="4">
        <v>4.5999999999999999E-2</v>
      </c>
      <c r="P1201" s="1" t="s">
        <v>2721</v>
      </c>
    </row>
    <row r="1202" spans="1:16">
      <c r="A1202" s="1" t="s">
        <v>15</v>
      </c>
      <c r="B1202" s="1">
        <v>11</v>
      </c>
      <c r="C1202" s="1" t="s">
        <v>4749</v>
      </c>
      <c r="D1202" s="1" t="s">
        <v>4750</v>
      </c>
      <c r="E1202" s="2">
        <v>45972</v>
      </c>
      <c r="F1202" s="1" t="s">
        <v>4751</v>
      </c>
      <c r="G1202" s="1" t="s">
        <v>4752</v>
      </c>
      <c r="H1202" s="1" t="s">
        <v>4753</v>
      </c>
      <c r="I1202" s="1">
        <v>1</v>
      </c>
      <c r="J1202" s="3">
        <v>11796</v>
      </c>
      <c r="K1202" s="3">
        <v>11256</v>
      </c>
      <c r="L1202" s="1">
        <v>0</v>
      </c>
      <c r="M1202" s="4">
        <v>0</v>
      </c>
      <c r="N1202" s="1">
        <v>540</v>
      </c>
      <c r="O1202" s="4">
        <v>4.5999999999999999E-2</v>
      </c>
      <c r="P1202" s="1" t="s">
        <v>2721</v>
      </c>
    </row>
    <row r="1203" spans="1:16">
      <c r="A1203" s="1" t="s">
        <v>15</v>
      </c>
      <c r="B1203" s="1">
        <v>11</v>
      </c>
      <c r="C1203" s="1" t="s">
        <v>4754</v>
      </c>
      <c r="D1203" s="1" t="s">
        <v>22</v>
      </c>
      <c r="E1203" s="2">
        <v>45972</v>
      </c>
      <c r="F1203" s="1" t="s">
        <v>23</v>
      </c>
      <c r="G1203" s="1" t="s">
        <v>24</v>
      </c>
      <c r="H1203" s="1" t="s">
        <v>25</v>
      </c>
      <c r="I1203" s="1">
        <v>2</v>
      </c>
      <c r="J1203" s="3">
        <v>22609</v>
      </c>
      <c r="K1203" s="3">
        <v>21574</v>
      </c>
      <c r="L1203" s="1">
        <v>0</v>
      </c>
      <c r="M1203" s="4">
        <v>0</v>
      </c>
      <c r="N1203" s="3">
        <v>1035</v>
      </c>
      <c r="O1203" s="4">
        <v>4.5999999999999999E-2</v>
      </c>
      <c r="P1203" s="1" t="s">
        <v>2721</v>
      </c>
    </row>
    <row r="1204" spans="1:16">
      <c r="A1204" s="1" t="s">
        <v>15</v>
      </c>
      <c r="B1204" s="1">
        <v>11</v>
      </c>
      <c r="C1204" s="1" t="s">
        <v>4755</v>
      </c>
      <c r="D1204" s="1" t="s">
        <v>234</v>
      </c>
      <c r="E1204" s="2">
        <v>45972</v>
      </c>
      <c r="F1204" s="1" t="s">
        <v>235</v>
      </c>
      <c r="G1204" s="1" t="s">
        <v>236</v>
      </c>
      <c r="H1204" s="1" t="s">
        <v>236</v>
      </c>
      <c r="I1204" s="1">
        <v>1</v>
      </c>
      <c r="J1204" s="3">
        <v>10605</v>
      </c>
      <c r="K1204" s="3">
        <v>10119</v>
      </c>
      <c r="L1204" s="1">
        <v>0</v>
      </c>
      <c r="M1204" s="4">
        <v>0</v>
      </c>
      <c r="N1204" s="1">
        <v>486</v>
      </c>
      <c r="O1204" s="4">
        <v>4.5999999999999999E-2</v>
      </c>
      <c r="P1204" s="1" t="s">
        <v>2721</v>
      </c>
    </row>
    <row r="1205" spans="1:16">
      <c r="A1205" s="1" t="s">
        <v>15</v>
      </c>
      <c r="B1205" s="1">
        <v>11</v>
      </c>
      <c r="C1205" s="1" t="s">
        <v>4756</v>
      </c>
      <c r="D1205" s="1" t="s">
        <v>86</v>
      </c>
      <c r="E1205" s="2">
        <v>45972</v>
      </c>
      <c r="F1205" s="1" t="s">
        <v>53</v>
      </c>
      <c r="G1205" s="1" t="s">
        <v>87</v>
      </c>
      <c r="H1205" s="1" t="s">
        <v>88</v>
      </c>
      <c r="I1205" s="1">
        <v>1</v>
      </c>
      <c r="J1205" s="3">
        <v>14956</v>
      </c>
      <c r="K1205" s="3">
        <v>14272</v>
      </c>
      <c r="L1205" s="1">
        <v>0</v>
      </c>
      <c r="M1205" s="4">
        <v>0</v>
      </c>
      <c r="N1205" s="1">
        <v>684</v>
      </c>
      <c r="O1205" s="4">
        <v>4.5999999999999999E-2</v>
      </c>
      <c r="P1205" s="1" t="s">
        <v>2721</v>
      </c>
    </row>
    <row r="1206" spans="1:16">
      <c r="A1206" s="1" t="s">
        <v>15</v>
      </c>
      <c r="B1206" s="1">
        <v>11</v>
      </c>
      <c r="C1206" s="1" t="s">
        <v>4757</v>
      </c>
      <c r="D1206" s="1" t="s">
        <v>3232</v>
      </c>
      <c r="E1206" s="2">
        <v>45972</v>
      </c>
      <c r="F1206" s="1" t="s">
        <v>1772</v>
      </c>
      <c r="G1206" s="1" t="s">
        <v>3233</v>
      </c>
      <c r="H1206" s="1" t="s">
        <v>3234</v>
      </c>
      <c r="I1206" s="1">
        <v>1</v>
      </c>
      <c r="J1206" s="3">
        <v>29077</v>
      </c>
      <c r="K1206" s="3">
        <v>27746</v>
      </c>
      <c r="L1206" s="1">
        <v>0</v>
      </c>
      <c r="M1206" s="4">
        <v>0</v>
      </c>
      <c r="N1206" s="3">
        <v>1331</v>
      </c>
      <c r="O1206" s="4">
        <v>4.5999999999999999E-2</v>
      </c>
      <c r="P1206" s="1" t="s">
        <v>2721</v>
      </c>
    </row>
    <row r="1207" spans="1:16">
      <c r="A1207" s="1" t="s">
        <v>15</v>
      </c>
      <c r="B1207" s="1">
        <v>11</v>
      </c>
      <c r="C1207" s="1" t="s">
        <v>4758</v>
      </c>
      <c r="D1207" s="1" t="s">
        <v>542</v>
      </c>
      <c r="E1207" s="2">
        <v>45972</v>
      </c>
      <c r="F1207" s="1" t="s">
        <v>543</v>
      </c>
      <c r="G1207" s="1" t="s">
        <v>544</v>
      </c>
      <c r="H1207" s="1" t="s">
        <v>545</v>
      </c>
      <c r="I1207" s="1">
        <v>1</v>
      </c>
      <c r="J1207" s="3">
        <v>36371</v>
      </c>
      <c r="K1207" s="3">
        <v>34706</v>
      </c>
      <c r="L1207" s="1">
        <v>0</v>
      </c>
      <c r="M1207" s="4">
        <v>0</v>
      </c>
      <c r="N1207" s="3">
        <v>1665</v>
      </c>
      <c r="O1207" s="4">
        <v>4.5999999999999999E-2</v>
      </c>
      <c r="P1207" s="1" t="s">
        <v>2721</v>
      </c>
    </row>
    <row r="1208" spans="1:16">
      <c r="A1208" s="1" t="s">
        <v>15</v>
      </c>
      <c r="B1208" s="1">
        <v>11</v>
      </c>
      <c r="C1208" s="1" t="s">
        <v>4759</v>
      </c>
      <c r="D1208" s="1" t="s">
        <v>440</v>
      </c>
      <c r="E1208" s="2">
        <v>45972</v>
      </c>
      <c r="F1208" s="1" t="s">
        <v>441</v>
      </c>
      <c r="G1208" s="1" t="s">
        <v>442</v>
      </c>
      <c r="H1208" s="1" t="s">
        <v>443</v>
      </c>
      <c r="I1208" s="1">
        <v>1</v>
      </c>
      <c r="J1208" s="3">
        <v>27524</v>
      </c>
      <c r="K1208" s="3">
        <v>26264</v>
      </c>
      <c r="L1208" s="1">
        <v>0</v>
      </c>
      <c r="M1208" s="4">
        <v>0</v>
      </c>
      <c r="N1208" s="3">
        <v>1260</v>
      </c>
      <c r="O1208" s="4">
        <v>4.5999999999999999E-2</v>
      </c>
      <c r="P1208" s="1" t="s">
        <v>2721</v>
      </c>
    </row>
    <row r="1209" spans="1:16">
      <c r="A1209" s="1" t="s">
        <v>15</v>
      </c>
      <c r="B1209" s="1">
        <v>11</v>
      </c>
      <c r="C1209" s="1" t="s">
        <v>4760</v>
      </c>
      <c r="D1209" s="1" t="s">
        <v>569</v>
      </c>
      <c r="E1209" s="2">
        <v>45972</v>
      </c>
      <c r="F1209" s="1" t="s">
        <v>570</v>
      </c>
      <c r="G1209" s="1" t="s">
        <v>571</v>
      </c>
      <c r="H1209" s="1" t="s">
        <v>572</v>
      </c>
      <c r="I1209" s="1">
        <v>1</v>
      </c>
      <c r="J1209" s="3">
        <v>19660</v>
      </c>
      <c r="K1209" s="3">
        <v>18760</v>
      </c>
      <c r="L1209" s="1">
        <v>0</v>
      </c>
      <c r="M1209" s="4">
        <v>0</v>
      </c>
      <c r="N1209" s="1">
        <v>900</v>
      </c>
      <c r="O1209" s="4">
        <v>4.5999999999999999E-2</v>
      </c>
      <c r="P1209" s="1" t="s">
        <v>2721</v>
      </c>
    </row>
    <row r="1210" spans="1:16">
      <c r="A1210" s="1" t="s">
        <v>15</v>
      </c>
      <c r="B1210" s="1">
        <v>11</v>
      </c>
      <c r="C1210" s="1" t="s">
        <v>4761</v>
      </c>
      <c r="D1210" s="1" t="s">
        <v>4156</v>
      </c>
      <c r="E1210" s="2">
        <v>45972</v>
      </c>
      <c r="F1210" s="1" t="s">
        <v>53</v>
      </c>
      <c r="G1210" s="1" t="s">
        <v>4157</v>
      </c>
      <c r="H1210" s="1" t="s">
        <v>4158</v>
      </c>
      <c r="I1210" s="1">
        <v>1</v>
      </c>
      <c r="J1210" s="3">
        <v>9825</v>
      </c>
      <c r="K1210" s="3">
        <v>9375</v>
      </c>
      <c r="L1210" s="1">
        <v>0</v>
      </c>
      <c r="M1210" s="4">
        <v>0</v>
      </c>
      <c r="N1210" s="1">
        <v>450</v>
      </c>
      <c r="O1210" s="4">
        <v>4.5999999999999999E-2</v>
      </c>
      <c r="P1210" s="1" t="s">
        <v>2721</v>
      </c>
    </row>
    <row r="1211" spans="1:16">
      <c r="A1211" s="1" t="s">
        <v>15</v>
      </c>
      <c r="B1211" s="1">
        <v>11</v>
      </c>
      <c r="C1211" s="1" t="s">
        <v>4762</v>
      </c>
      <c r="D1211" s="1" t="s">
        <v>86</v>
      </c>
      <c r="E1211" s="2">
        <v>45972</v>
      </c>
      <c r="F1211" s="1" t="s">
        <v>53</v>
      </c>
      <c r="G1211" s="1" t="s">
        <v>87</v>
      </c>
      <c r="H1211" s="1" t="s">
        <v>88</v>
      </c>
      <c r="I1211" s="1">
        <v>1</v>
      </c>
      <c r="J1211" s="3">
        <v>14956</v>
      </c>
      <c r="K1211" s="3">
        <v>14272</v>
      </c>
      <c r="L1211" s="1">
        <v>0</v>
      </c>
      <c r="M1211" s="4">
        <v>0</v>
      </c>
      <c r="N1211" s="1">
        <v>684</v>
      </c>
      <c r="O1211" s="4">
        <v>4.5999999999999999E-2</v>
      </c>
      <c r="P1211" s="1" t="s">
        <v>2721</v>
      </c>
    </row>
    <row r="1212" spans="1:16">
      <c r="A1212" s="1" t="s">
        <v>15</v>
      </c>
      <c r="B1212" s="1">
        <v>11</v>
      </c>
      <c r="C1212" s="1" t="s">
        <v>4763</v>
      </c>
      <c r="D1212" s="1" t="s">
        <v>4764</v>
      </c>
      <c r="E1212" s="2">
        <v>45972</v>
      </c>
      <c r="F1212" s="1" t="s">
        <v>96</v>
      </c>
      <c r="G1212" s="1" t="s">
        <v>4765</v>
      </c>
      <c r="H1212" s="1" t="s">
        <v>4766</v>
      </c>
      <c r="I1212" s="1">
        <v>1</v>
      </c>
      <c r="J1212" s="3">
        <v>11666</v>
      </c>
      <c r="K1212" s="3">
        <v>11132</v>
      </c>
      <c r="L1212" s="1">
        <v>0</v>
      </c>
      <c r="M1212" s="4">
        <v>0</v>
      </c>
      <c r="N1212" s="1">
        <v>534</v>
      </c>
      <c r="O1212" s="4">
        <v>4.5999999999999999E-2</v>
      </c>
      <c r="P1212" s="1" t="s">
        <v>2721</v>
      </c>
    </row>
    <row r="1213" spans="1:16">
      <c r="A1213" s="1" t="s">
        <v>15</v>
      </c>
      <c r="B1213" s="1">
        <v>11</v>
      </c>
      <c r="C1213" s="1" t="s">
        <v>4763</v>
      </c>
      <c r="D1213" s="1" t="s">
        <v>2903</v>
      </c>
      <c r="E1213" s="2">
        <v>45972</v>
      </c>
      <c r="F1213" s="1" t="s">
        <v>96</v>
      </c>
      <c r="G1213" s="1" t="s">
        <v>2904</v>
      </c>
      <c r="H1213" s="1" t="s">
        <v>2905</v>
      </c>
      <c r="I1213" s="1">
        <v>1</v>
      </c>
      <c r="J1213" s="3">
        <v>7054</v>
      </c>
      <c r="K1213" s="3">
        <v>6731</v>
      </c>
      <c r="L1213" s="1">
        <v>0</v>
      </c>
      <c r="M1213" s="4">
        <v>0</v>
      </c>
      <c r="N1213" s="1">
        <v>323</v>
      </c>
      <c r="O1213" s="4">
        <v>4.5999999999999999E-2</v>
      </c>
      <c r="P1213" s="1" t="s">
        <v>2721</v>
      </c>
    </row>
    <row r="1214" spans="1:16">
      <c r="A1214" s="1" t="s">
        <v>15</v>
      </c>
      <c r="B1214" s="1">
        <v>11</v>
      </c>
      <c r="C1214" s="1" t="s">
        <v>4767</v>
      </c>
      <c r="D1214" s="1" t="s">
        <v>1254</v>
      </c>
      <c r="E1214" s="2">
        <v>45972</v>
      </c>
      <c r="F1214" s="1" t="s">
        <v>1255</v>
      </c>
      <c r="G1214" s="1" t="s">
        <v>1256</v>
      </c>
      <c r="H1214" s="1" t="s">
        <v>4768</v>
      </c>
      <c r="I1214" s="1">
        <v>1</v>
      </c>
      <c r="J1214" s="3">
        <v>49642</v>
      </c>
      <c r="K1214" s="3">
        <v>47369</v>
      </c>
      <c r="L1214" s="1">
        <v>0</v>
      </c>
      <c r="M1214" s="4">
        <v>0</v>
      </c>
      <c r="N1214" s="3">
        <v>2273</v>
      </c>
      <c r="O1214" s="4">
        <v>4.5999999999999999E-2</v>
      </c>
      <c r="P1214" s="1" t="s">
        <v>2721</v>
      </c>
    </row>
    <row r="1215" spans="1:16">
      <c r="A1215" s="1" t="s">
        <v>15</v>
      </c>
      <c r="B1215" s="1">
        <v>11</v>
      </c>
      <c r="C1215" s="1" t="s">
        <v>4769</v>
      </c>
      <c r="D1215" s="1" t="s">
        <v>4770</v>
      </c>
      <c r="E1215" s="2">
        <v>45972</v>
      </c>
      <c r="F1215" s="1" t="s">
        <v>355</v>
      </c>
      <c r="G1215" s="1" t="s">
        <v>4771</v>
      </c>
      <c r="H1215" s="1" t="s">
        <v>4772</v>
      </c>
      <c r="I1215" s="1">
        <v>1</v>
      </c>
      <c r="J1215" s="3">
        <v>426622</v>
      </c>
      <c r="K1215" s="3">
        <v>407092</v>
      </c>
      <c r="L1215" s="1">
        <v>0</v>
      </c>
      <c r="M1215" s="4">
        <v>0</v>
      </c>
      <c r="N1215" s="3">
        <v>19530</v>
      </c>
      <c r="O1215" s="4">
        <v>4.5999999999999999E-2</v>
      </c>
      <c r="P1215" s="1" t="s">
        <v>2721</v>
      </c>
    </row>
    <row r="1216" spans="1:16">
      <c r="A1216" s="1" t="s">
        <v>15</v>
      </c>
      <c r="B1216" s="1">
        <v>11</v>
      </c>
      <c r="C1216" s="1" t="s">
        <v>4773</v>
      </c>
      <c r="D1216" s="1" t="s">
        <v>504</v>
      </c>
      <c r="E1216" s="2">
        <v>45972</v>
      </c>
      <c r="F1216" s="1" t="s">
        <v>407</v>
      </c>
      <c r="G1216" s="1" t="s">
        <v>505</v>
      </c>
      <c r="H1216" s="1" t="s">
        <v>1131</v>
      </c>
      <c r="I1216" s="1">
        <v>1</v>
      </c>
      <c r="J1216" s="3">
        <v>54065</v>
      </c>
      <c r="K1216" s="3">
        <v>51590</v>
      </c>
      <c r="L1216" s="1">
        <v>0</v>
      </c>
      <c r="M1216" s="4">
        <v>0</v>
      </c>
      <c r="N1216" s="3">
        <v>2475</v>
      </c>
      <c r="O1216" s="4">
        <v>4.5999999999999999E-2</v>
      </c>
      <c r="P1216" s="1" t="s">
        <v>2721</v>
      </c>
    </row>
    <row r="1217" spans="1:16">
      <c r="A1217" s="1" t="s">
        <v>15</v>
      </c>
      <c r="B1217" s="1">
        <v>11</v>
      </c>
      <c r="C1217" s="1" t="s">
        <v>4774</v>
      </c>
      <c r="D1217" s="1" t="s">
        <v>1153</v>
      </c>
      <c r="E1217" s="2">
        <v>45972</v>
      </c>
      <c r="F1217" s="1" t="s">
        <v>235</v>
      </c>
      <c r="G1217" s="1" t="s">
        <v>1154</v>
      </c>
      <c r="H1217" s="1" t="s">
        <v>1155</v>
      </c>
      <c r="I1217" s="1">
        <v>1</v>
      </c>
      <c r="J1217" s="3">
        <v>14254</v>
      </c>
      <c r="K1217" s="3">
        <v>13601</v>
      </c>
      <c r="L1217" s="1">
        <v>0</v>
      </c>
      <c r="M1217" s="4">
        <v>0</v>
      </c>
      <c r="N1217" s="1">
        <v>653</v>
      </c>
      <c r="O1217" s="4">
        <v>4.5999999999999999E-2</v>
      </c>
      <c r="P1217" s="1" t="s">
        <v>2721</v>
      </c>
    </row>
    <row r="1218" spans="1:16">
      <c r="A1218" s="1" t="s">
        <v>15</v>
      </c>
      <c r="B1218" s="1">
        <v>11</v>
      </c>
      <c r="C1218" s="1" t="s">
        <v>4775</v>
      </c>
      <c r="D1218" s="1" t="s">
        <v>4776</v>
      </c>
      <c r="E1218" s="2">
        <v>45972</v>
      </c>
      <c r="F1218" s="1" t="s">
        <v>524</v>
      </c>
      <c r="G1218" s="1" t="s">
        <v>4777</v>
      </c>
      <c r="H1218" s="1" t="s">
        <v>4778</v>
      </c>
      <c r="I1218" s="1">
        <v>1</v>
      </c>
      <c r="J1218" s="3">
        <v>20245</v>
      </c>
      <c r="K1218" s="3">
        <v>19318</v>
      </c>
      <c r="L1218" s="1">
        <v>0</v>
      </c>
      <c r="M1218" s="4">
        <v>0</v>
      </c>
      <c r="N1218" s="1">
        <v>927</v>
      </c>
      <c r="O1218" s="4">
        <v>4.5999999999999999E-2</v>
      </c>
      <c r="P1218" s="1" t="s">
        <v>2721</v>
      </c>
    </row>
    <row r="1219" spans="1:16">
      <c r="A1219" s="1" t="s">
        <v>15</v>
      </c>
      <c r="B1219" s="1">
        <v>11</v>
      </c>
      <c r="C1219" s="1" t="s">
        <v>4779</v>
      </c>
      <c r="D1219" s="1" t="s">
        <v>1233</v>
      </c>
      <c r="E1219" s="2">
        <v>45972</v>
      </c>
      <c r="F1219" s="1" t="s">
        <v>500</v>
      </c>
      <c r="G1219" s="1" t="s">
        <v>1234</v>
      </c>
      <c r="H1219" s="1" t="s">
        <v>1235</v>
      </c>
      <c r="I1219" s="1">
        <v>1</v>
      </c>
      <c r="J1219" s="3">
        <v>253565</v>
      </c>
      <c r="K1219" s="3">
        <v>241957</v>
      </c>
      <c r="L1219" s="1">
        <v>0</v>
      </c>
      <c r="M1219" s="4">
        <v>0</v>
      </c>
      <c r="N1219" s="3">
        <v>11608</v>
      </c>
      <c r="O1219" s="4">
        <v>4.5999999999999999E-2</v>
      </c>
      <c r="P1219" s="1" t="s">
        <v>2721</v>
      </c>
    </row>
    <row r="1220" spans="1:16">
      <c r="A1220" s="1" t="s">
        <v>15</v>
      </c>
      <c r="B1220" s="1">
        <v>11</v>
      </c>
      <c r="C1220" s="1" t="s">
        <v>4780</v>
      </c>
      <c r="D1220" s="1" t="s">
        <v>3836</v>
      </c>
      <c r="E1220" s="2">
        <v>45972</v>
      </c>
      <c r="F1220" s="1" t="s">
        <v>1241</v>
      </c>
      <c r="G1220" s="1" t="s">
        <v>3837</v>
      </c>
      <c r="H1220" s="1" t="s">
        <v>3838</v>
      </c>
      <c r="I1220" s="1">
        <v>1</v>
      </c>
      <c r="J1220" s="3">
        <v>25067</v>
      </c>
      <c r="K1220" s="3">
        <v>23919</v>
      </c>
      <c r="L1220" s="1">
        <v>0</v>
      </c>
      <c r="M1220" s="4">
        <v>0</v>
      </c>
      <c r="N1220" s="3">
        <v>1148</v>
      </c>
      <c r="O1220" s="4">
        <v>4.5999999999999999E-2</v>
      </c>
      <c r="P1220" s="1" t="s">
        <v>2721</v>
      </c>
    </row>
    <row r="1221" spans="1:16">
      <c r="A1221" s="1" t="s">
        <v>15</v>
      </c>
      <c r="B1221" s="1">
        <v>11</v>
      </c>
      <c r="C1221" s="1" t="s">
        <v>4781</v>
      </c>
      <c r="D1221" s="1" t="s">
        <v>1431</v>
      </c>
      <c r="E1221" s="2">
        <v>45972</v>
      </c>
      <c r="F1221" s="1" t="s">
        <v>500</v>
      </c>
      <c r="G1221" s="1" t="s">
        <v>1432</v>
      </c>
      <c r="H1221" s="1" t="s">
        <v>1433</v>
      </c>
      <c r="I1221" s="1">
        <v>1</v>
      </c>
      <c r="J1221" s="3">
        <v>155625</v>
      </c>
      <c r="K1221" s="3">
        <v>148500</v>
      </c>
      <c r="L1221" s="1">
        <v>0</v>
      </c>
      <c r="M1221" s="4">
        <v>0</v>
      </c>
      <c r="N1221" s="3">
        <v>7125</v>
      </c>
      <c r="O1221" s="4">
        <v>4.5999999999999999E-2</v>
      </c>
      <c r="P1221" s="1" t="s">
        <v>2721</v>
      </c>
    </row>
    <row r="1222" spans="1:16">
      <c r="A1222" s="1" t="s">
        <v>15</v>
      </c>
      <c r="B1222" s="1">
        <v>11</v>
      </c>
      <c r="C1222" s="1" t="s">
        <v>4782</v>
      </c>
      <c r="D1222" s="1" t="s">
        <v>160</v>
      </c>
      <c r="E1222" s="2">
        <v>45972</v>
      </c>
      <c r="F1222" s="1" t="s">
        <v>161</v>
      </c>
      <c r="G1222" s="1" t="s">
        <v>162</v>
      </c>
      <c r="H1222" s="1" t="s">
        <v>810</v>
      </c>
      <c r="I1222" s="1">
        <v>1</v>
      </c>
      <c r="J1222" s="3">
        <v>9928</v>
      </c>
      <c r="K1222" s="3">
        <v>9474</v>
      </c>
      <c r="L1222" s="1">
        <v>0</v>
      </c>
      <c r="M1222" s="4">
        <v>0</v>
      </c>
      <c r="N1222" s="1">
        <v>454</v>
      </c>
      <c r="O1222" s="4">
        <v>4.5999999999999999E-2</v>
      </c>
      <c r="P1222" s="1" t="s">
        <v>2721</v>
      </c>
    </row>
    <row r="1223" spans="1:16">
      <c r="A1223" s="1" t="s">
        <v>15</v>
      </c>
      <c r="B1223" s="1">
        <v>11</v>
      </c>
      <c r="C1223" s="1" t="s">
        <v>4783</v>
      </c>
      <c r="D1223" s="1" t="s">
        <v>169</v>
      </c>
      <c r="E1223" s="2">
        <v>45972</v>
      </c>
      <c r="F1223" s="1" t="s">
        <v>53</v>
      </c>
      <c r="G1223" s="1" t="s">
        <v>170</v>
      </c>
      <c r="H1223" s="1" t="s">
        <v>171</v>
      </c>
      <c r="I1223" s="1">
        <v>1</v>
      </c>
      <c r="J1223" s="3">
        <v>14332</v>
      </c>
      <c r="K1223" s="3">
        <v>13676</v>
      </c>
      <c r="L1223" s="1">
        <v>0</v>
      </c>
      <c r="M1223" s="4">
        <v>0</v>
      </c>
      <c r="N1223" s="1">
        <v>656</v>
      </c>
      <c r="O1223" s="4">
        <v>4.5999999999999999E-2</v>
      </c>
      <c r="P1223" s="1" t="s">
        <v>2721</v>
      </c>
    </row>
    <row r="1224" spans="1:16">
      <c r="A1224" s="1" t="s">
        <v>15</v>
      </c>
      <c r="B1224" s="1">
        <v>11</v>
      </c>
      <c r="C1224" s="1" t="s">
        <v>4784</v>
      </c>
      <c r="D1224" s="1" t="s">
        <v>4785</v>
      </c>
      <c r="E1224" s="2">
        <v>45972</v>
      </c>
      <c r="F1224" s="1" t="s">
        <v>554</v>
      </c>
      <c r="G1224" s="1" t="s">
        <v>4786</v>
      </c>
      <c r="H1224" s="1" t="s">
        <v>4787</v>
      </c>
      <c r="I1224" s="1">
        <v>1</v>
      </c>
      <c r="J1224" s="3">
        <v>13418</v>
      </c>
      <c r="K1224" s="3">
        <v>12804</v>
      </c>
      <c r="L1224" s="1">
        <v>0</v>
      </c>
      <c r="M1224" s="4">
        <v>0</v>
      </c>
      <c r="N1224" s="1">
        <v>614</v>
      </c>
      <c r="O1224" s="4">
        <v>4.5999999999999999E-2</v>
      </c>
      <c r="P1224" s="1" t="s">
        <v>2721</v>
      </c>
    </row>
    <row r="1225" spans="1:16">
      <c r="A1225" s="1" t="s">
        <v>15</v>
      </c>
      <c r="B1225" s="1">
        <v>11</v>
      </c>
      <c r="C1225" s="1" t="s">
        <v>4788</v>
      </c>
      <c r="D1225" s="1" t="s">
        <v>3307</v>
      </c>
      <c r="E1225" s="2">
        <v>45972</v>
      </c>
      <c r="F1225" s="1" t="s">
        <v>347</v>
      </c>
      <c r="G1225" s="1" t="s">
        <v>3308</v>
      </c>
      <c r="H1225" s="1" t="s">
        <v>3309</v>
      </c>
      <c r="I1225" s="1">
        <v>1</v>
      </c>
      <c r="J1225" s="3">
        <v>18677</v>
      </c>
      <c r="K1225" s="3">
        <v>17822</v>
      </c>
      <c r="L1225" s="1">
        <v>0</v>
      </c>
      <c r="M1225" s="4">
        <v>0</v>
      </c>
      <c r="N1225" s="1">
        <v>855</v>
      </c>
      <c r="O1225" s="4">
        <v>4.5999999999999999E-2</v>
      </c>
      <c r="P1225" s="1" t="s">
        <v>2721</v>
      </c>
    </row>
    <row r="1226" spans="1:16">
      <c r="A1226" s="1" t="s">
        <v>15</v>
      </c>
      <c r="B1226" s="1">
        <v>11</v>
      </c>
      <c r="C1226" s="1" t="s">
        <v>4789</v>
      </c>
      <c r="D1226" s="1" t="s">
        <v>1226</v>
      </c>
      <c r="E1226" s="2">
        <v>45972</v>
      </c>
      <c r="F1226" s="1" t="s">
        <v>500</v>
      </c>
      <c r="G1226" s="1" t="s">
        <v>1227</v>
      </c>
      <c r="H1226" s="1" t="s">
        <v>1228</v>
      </c>
      <c r="I1226" s="1">
        <v>1</v>
      </c>
      <c r="J1226" s="3">
        <v>265138</v>
      </c>
      <c r="K1226" s="3">
        <v>253000</v>
      </c>
      <c r="L1226" s="1">
        <v>0</v>
      </c>
      <c r="M1226" s="4">
        <v>0</v>
      </c>
      <c r="N1226" s="3">
        <v>12138</v>
      </c>
      <c r="O1226" s="4">
        <v>4.5999999999999999E-2</v>
      </c>
      <c r="P1226" s="1" t="s">
        <v>2721</v>
      </c>
    </row>
    <row r="1227" spans="1:16">
      <c r="A1227" s="1" t="s">
        <v>15</v>
      </c>
      <c r="B1227" s="1">
        <v>11</v>
      </c>
      <c r="C1227" s="1" t="s">
        <v>4790</v>
      </c>
      <c r="D1227" s="1" t="s">
        <v>4791</v>
      </c>
      <c r="E1227" s="2">
        <v>45972</v>
      </c>
      <c r="F1227" s="1" t="s">
        <v>3625</v>
      </c>
      <c r="G1227" s="1" t="s">
        <v>4792</v>
      </c>
      <c r="H1227" s="1" t="s">
        <v>4793</v>
      </c>
      <c r="I1227" s="1">
        <v>1</v>
      </c>
      <c r="J1227" s="3">
        <v>15728</v>
      </c>
      <c r="K1227" s="3">
        <v>15008</v>
      </c>
      <c r="L1227" s="1">
        <v>0</v>
      </c>
      <c r="M1227" s="4">
        <v>0</v>
      </c>
      <c r="N1227" s="1">
        <v>720</v>
      </c>
      <c r="O1227" s="4">
        <v>4.5999999999999999E-2</v>
      </c>
      <c r="P1227" s="1" t="s">
        <v>2721</v>
      </c>
    </row>
    <row r="1228" spans="1:16">
      <c r="A1228" s="1" t="s">
        <v>15</v>
      </c>
      <c r="B1228" s="1">
        <v>11</v>
      </c>
      <c r="C1228" s="1" t="s">
        <v>4794</v>
      </c>
      <c r="D1228" s="1" t="s">
        <v>4795</v>
      </c>
      <c r="E1228" s="2">
        <v>45972</v>
      </c>
      <c r="F1228" s="1" t="s">
        <v>68</v>
      </c>
      <c r="G1228" s="1" t="s">
        <v>4796</v>
      </c>
      <c r="H1228" s="1" t="s">
        <v>4797</v>
      </c>
      <c r="I1228" s="1">
        <v>1</v>
      </c>
      <c r="J1228" s="3">
        <v>23769</v>
      </c>
      <c r="K1228" s="3">
        <v>22681</v>
      </c>
      <c r="L1228" s="1">
        <v>0</v>
      </c>
      <c r="M1228" s="4">
        <v>0</v>
      </c>
      <c r="N1228" s="3">
        <v>1088</v>
      </c>
      <c r="O1228" s="4">
        <v>4.5999999999999999E-2</v>
      </c>
      <c r="P1228" s="1" t="s">
        <v>2721</v>
      </c>
    </row>
    <row r="1229" spans="1:16">
      <c r="A1229" s="1" t="s">
        <v>15</v>
      </c>
      <c r="B1229" s="1">
        <v>11</v>
      </c>
      <c r="C1229" s="1" t="s">
        <v>4798</v>
      </c>
      <c r="D1229" s="1" t="s">
        <v>1500</v>
      </c>
      <c r="E1229" s="2">
        <v>45972</v>
      </c>
      <c r="F1229" s="1" t="s">
        <v>96</v>
      </c>
      <c r="G1229" s="1" t="s">
        <v>1501</v>
      </c>
      <c r="H1229" s="1" t="s">
        <v>1502</v>
      </c>
      <c r="I1229" s="1">
        <v>1</v>
      </c>
      <c r="J1229" s="3">
        <v>11305</v>
      </c>
      <c r="K1229" s="3">
        <v>10787</v>
      </c>
      <c r="L1229" s="1">
        <v>0</v>
      </c>
      <c r="M1229" s="4">
        <v>0</v>
      </c>
      <c r="N1229" s="1">
        <v>518</v>
      </c>
      <c r="O1229" s="4">
        <v>4.5999999999999999E-2</v>
      </c>
      <c r="P1229" s="1" t="s">
        <v>2721</v>
      </c>
    </row>
    <row r="1230" spans="1:16">
      <c r="A1230" s="1" t="s">
        <v>15</v>
      </c>
      <c r="B1230" s="1">
        <v>11</v>
      </c>
      <c r="C1230" s="1" t="s">
        <v>4798</v>
      </c>
      <c r="D1230" s="1" t="s">
        <v>108</v>
      </c>
      <c r="E1230" s="2">
        <v>45972</v>
      </c>
      <c r="F1230" s="1" t="s">
        <v>96</v>
      </c>
      <c r="G1230" s="1" t="s">
        <v>109</v>
      </c>
      <c r="H1230" s="1" t="s">
        <v>110</v>
      </c>
      <c r="I1230" s="1">
        <v>1</v>
      </c>
      <c r="J1230" s="3">
        <v>10762</v>
      </c>
      <c r="K1230" s="3">
        <v>10269</v>
      </c>
      <c r="L1230" s="1">
        <v>0</v>
      </c>
      <c r="M1230" s="4">
        <v>0</v>
      </c>
      <c r="N1230" s="1">
        <v>493</v>
      </c>
      <c r="O1230" s="4">
        <v>4.5999999999999999E-2</v>
      </c>
      <c r="P1230" s="1" t="s">
        <v>2721</v>
      </c>
    </row>
    <row r="1231" spans="1:16">
      <c r="A1231" s="1" t="s">
        <v>15</v>
      </c>
      <c r="B1231" s="1">
        <v>11</v>
      </c>
      <c r="C1231" s="1" t="s">
        <v>4799</v>
      </c>
      <c r="D1231" s="1" t="s">
        <v>955</v>
      </c>
      <c r="E1231" s="2">
        <v>45972</v>
      </c>
      <c r="F1231" s="1" t="s">
        <v>554</v>
      </c>
      <c r="G1231" s="1" t="s">
        <v>956</v>
      </c>
      <c r="H1231" s="1" t="s">
        <v>957</v>
      </c>
      <c r="I1231" s="1">
        <v>1</v>
      </c>
      <c r="J1231" s="3">
        <v>17596</v>
      </c>
      <c r="K1231" s="3">
        <v>16790</v>
      </c>
      <c r="L1231" s="1">
        <v>0</v>
      </c>
      <c r="M1231" s="4">
        <v>0</v>
      </c>
      <c r="N1231" s="1">
        <v>806</v>
      </c>
      <c r="O1231" s="4">
        <v>4.5999999999999999E-2</v>
      </c>
      <c r="P1231" s="1" t="s">
        <v>2721</v>
      </c>
    </row>
    <row r="1232" spans="1:16">
      <c r="A1232" s="1" t="s">
        <v>15</v>
      </c>
      <c r="B1232" s="1">
        <v>11</v>
      </c>
      <c r="C1232" s="1" t="s">
        <v>4800</v>
      </c>
      <c r="D1232" s="1" t="s">
        <v>311</v>
      </c>
      <c r="E1232" s="2">
        <v>45972</v>
      </c>
      <c r="F1232" s="1" t="s">
        <v>312</v>
      </c>
      <c r="G1232" s="1" t="s">
        <v>313</v>
      </c>
      <c r="H1232" s="1" t="s">
        <v>4801</v>
      </c>
      <c r="I1232" s="1">
        <v>1</v>
      </c>
      <c r="J1232" s="3">
        <v>28310</v>
      </c>
      <c r="K1232" s="3">
        <v>27014</v>
      </c>
      <c r="L1232" s="1">
        <v>0</v>
      </c>
      <c r="M1232" s="4">
        <v>0</v>
      </c>
      <c r="N1232" s="3">
        <v>1296</v>
      </c>
      <c r="O1232" s="4">
        <v>4.5999999999999999E-2</v>
      </c>
      <c r="P1232" s="1" t="s">
        <v>2721</v>
      </c>
    </row>
    <row r="1233" spans="1:16">
      <c r="A1233" s="1" t="s">
        <v>15</v>
      </c>
      <c r="B1233" s="1">
        <v>11</v>
      </c>
      <c r="C1233" s="1" t="s">
        <v>4800</v>
      </c>
      <c r="D1233" s="1" t="s">
        <v>311</v>
      </c>
      <c r="E1233" s="2">
        <v>45972</v>
      </c>
      <c r="F1233" s="1" t="s">
        <v>312</v>
      </c>
      <c r="G1233" s="1" t="s">
        <v>313</v>
      </c>
      <c r="H1233" s="1" t="s">
        <v>4802</v>
      </c>
      <c r="I1233" s="1">
        <v>1</v>
      </c>
      <c r="J1233" s="3">
        <v>28310</v>
      </c>
      <c r="K1233" s="3">
        <v>27014</v>
      </c>
      <c r="L1233" s="1">
        <v>0</v>
      </c>
      <c r="M1233" s="4">
        <v>0</v>
      </c>
      <c r="N1233" s="3">
        <v>1296</v>
      </c>
      <c r="O1233" s="4">
        <v>4.5999999999999999E-2</v>
      </c>
      <c r="P1233" s="1" t="s">
        <v>2721</v>
      </c>
    </row>
    <row r="1234" spans="1:16">
      <c r="A1234" s="1" t="s">
        <v>15</v>
      </c>
      <c r="B1234" s="1">
        <v>11</v>
      </c>
      <c r="C1234" s="1" t="s">
        <v>4803</v>
      </c>
      <c r="D1234" s="1" t="s">
        <v>906</v>
      </c>
      <c r="E1234" s="2">
        <v>45972</v>
      </c>
      <c r="F1234" s="1" t="s">
        <v>554</v>
      </c>
      <c r="G1234" s="1" t="s">
        <v>907</v>
      </c>
      <c r="H1234" s="1" t="s">
        <v>2935</v>
      </c>
      <c r="I1234" s="1">
        <v>1</v>
      </c>
      <c r="J1234" s="3">
        <v>23936</v>
      </c>
      <c r="K1234" s="3">
        <v>22840</v>
      </c>
      <c r="L1234" s="1">
        <v>0</v>
      </c>
      <c r="M1234" s="4">
        <v>0</v>
      </c>
      <c r="N1234" s="3">
        <v>1096</v>
      </c>
      <c r="O1234" s="4">
        <v>4.5999999999999999E-2</v>
      </c>
      <c r="P1234" s="1" t="s">
        <v>2721</v>
      </c>
    </row>
    <row r="1235" spans="1:16">
      <c r="A1235" s="1" t="s">
        <v>15</v>
      </c>
      <c r="B1235" s="1">
        <v>11</v>
      </c>
      <c r="C1235" s="1" t="s">
        <v>4803</v>
      </c>
      <c r="D1235" s="1" t="s">
        <v>169</v>
      </c>
      <c r="E1235" s="2">
        <v>45972</v>
      </c>
      <c r="F1235" s="1" t="s">
        <v>53</v>
      </c>
      <c r="G1235" s="1" t="s">
        <v>170</v>
      </c>
      <c r="H1235" s="1" t="s">
        <v>171</v>
      </c>
      <c r="I1235" s="1">
        <v>1</v>
      </c>
      <c r="J1235" s="3">
        <v>14332</v>
      </c>
      <c r="K1235" s="3">
        <v>13676</v>
      </c>
      <c r="L1235" s="1">
        <v>0</v>
      </c>
      <c r="M1235" s="4">
        <v>0</v>
      </c>
      <c r="N1235" s="1">
        <v>656</v>
      </c>
      <c r="O1235" s="4">
        <v>4.5999999999999999E-2</v>
      </c>
      <c r="P1235" s="1" t="s">
        <v>2721</v>
      </c>
    </row>
    <row r="1236" spans="1:16">
      <c r="A1236" s="1" t="s">
        <v>15</v>
      </c>
      <c r="B1236" s="1">
        <v>11</v>
      </c>
      <c r="C1236" s="1" t="s">
        <v>4804</v>
      </c>
      <c r="D1236" s="1" t="s">
        <v>538</v>
      </c>
      <c r="E1236" s="2">
        <v>45972</v>
      </c>
      <c r="F1236" s="1" t="s">
        <v>53</v>
      </c>
      <c r="G1236" s="1" t="s">
        <v>539</v>
      </c>
      <c r="H1236" s="1" t="s">
        <v>540</v>
      </c>
      <c r="I1236" s="1">
        <v>1</v>
      </c>
      <c r="J1236" s="3">
        <v>14332</v>
      </c>
      <c r="K1236" s="3">
        <v>13676</v>
      </c>
      <c r="L1236" s="1">
        <v>0</v>
      </c>
      <c r="M1236" s="4">
        <v>0</v>
      </c>
      <c r="N1236" s="1">
        <v>656</v>
      </c>
      <c r="O1236" s="4">
        <v>4.5999999999999999E-2</v>
      </c>
      <c r="P1236" s="1" t="s">
        <v>2721</v>
      </c>
    </row>
    <row r="1237" spans="1:16">
      <c r="A1237" s="1" t="s">
        <v>15</v>
      </c>
      <c r="B1237" s="1">
        <v>11</v>
      </c>
      <c r="C1237" s="1" t="s">
        <v>4805</v>
      </c>
      <c r="D1237" s="1" t="s">
        <v>504</v>
      </c>
      <c r="E1237" s="2">
        <v>45972</v>
      </c>
      <c r="F1237" s="1" t="s">
        <v>407</v>
      </c>
      <c r="G1237" s="1" t="s">
        <v>505</v>
      </c>
      <c r="H1237" s="1" t="s">
        <v>1004</v>
      </c>
      <c r="I1237" s="1">
        <v>1</v>
      </c>
      <c r="J1237" s="3">
        <v>9339</v>
      </c>
      <c r="K1237" s="3">
        <v>8911</v>
      </c>
      <c r="L1237" s="1">
        <v>0</v>
      </c>
      <c r="M1237" s="4">
        <v>0</v>
      </c>
      <c r="N1237" s="1">
        <v>428</v>
      </c>
      <c r="O1237" s="4">
        <v>4.5999999999999999E-2</v>
      </c>
      <c r="P1237" s="1" t="s">
        <v>2721</v>
      </c>
    </row>
    <row r="1238" spans="1:16">
      <c r="A1238" s="1" t="s">
        <v>15</v>
      </c>
      <c r="B1238" s="1">
        <v>11</v>
      </c>
      <c r="C1238" s="1" t="s">
        <v>4806</v>
      </c>
      <c r="D1238" s="1" t="s">
        <v>316</v>
      </c>
      <c r="E1238" s="2">
        <v>45972</v>
      </c>
      <c r="F1238" s="1" t="s">
        <v>317</v>
      </c>
      <c r="G1238" s="1" t="s">
        <v>318</v>
      </c>
      <c r="H1238" s="1" t="s">
        <v>319</v>
      </c>
      <c r="I1238" s="1">
        <v>1</v>
      </c>
      <c r="J1238" s="3">
        <v>25558</v>
      </c>
      <c r="K1238" s="3">
        <v>24388</v>
      </c>
      <c r="L1238" s="1">
        <v>0</v>
      </c>
      <c r="M1238" s="4">
        <v>0</v>
      </c>
      <c r="N1238" s="3">
        <v>1170</v>
      </c>
      <c r="O1238" s="4">
        <v>4.5999999999999999E-2</v>
      </c>
      <c r="P1238" s="1" t="s">
        <v>2721</v>
      </c>
    </row>
    <row r="1239" spans="1:16">
      <c r="A1239" s="1" t="s">
        <v>15</v>
      </c>
      <c r="B1239" s="1">
        <v>11</v>
      </c>
      <c r="C1239" s="1" t="s">
        <v>4807</v>
      </c>
      <c r="D1239" s="1" t="s">
        <v>169</v>
      </c>
      <c r="E1239" s="2">
        <v>45972</v>
      </c>
      <c r="F1239" s="1" t="s">
        <v>53</v>
      </c>
      <c r="G1239" s="1" t="s">
        <v>170</v>
      </c>
      <c r="H1239" s="1" t="s">
        <v>171</v>
      </c>
      <c r="I1239" s="1">
        <v>1</v>
      </c>
      <c r="J1239" s="3">
        <v>14332</v>
      </c>
      <c r="K1239" s="3">
        <v>13676</v>
      </c>
      <c r="L1239" s="1">
        <v>0</v>
      </c>
      <c r="M1239" s="4">
        <v>0</v>
      </c>
      <c r="N1239" s="1">
        <v>656</v>
      </c>
      <c r="O1239" s="4">
        <v>4.5999999999999999E-2</v>
      </c>
      <c r="P1239" s="1" t="s">
        <v>2721</v>
      </c>
    </row>
    <row r="1240" spans="1:16">
      <c r="A1240" s="1" t="s">
        <v>15</v>
      </c>
      <c r="B1240" s="1">
        <v>11</v>
      </c>
      <c r="C1240" s="1" t="s">
        <v>4808</v>
      </c>
      <c r="D1240" s="1" t="s">
        <v>4809</v>
      </c>
      <c r="E1240" s="2">
        <v>45972</v>
      </c>
      <c r="F1240" s="1" t="s">
        <v>783</v>
      </c>
      <c r="G1240" s="1" t="s">
        <v>4810</v>
      </c>
      <c r="H1240" s="1" t="s">
        <v>4811</v>
      </c>
      <c r="I1240" s="1">
        <v>1</v>
      </c>
      <c r="J1240" s="3">
        <v>41483</v>
      </c>
      <c r="K1240" s="3">
        <v>39584</v>
      </c>
      <c r="L1240" s="1">
        <v>0</v>
      </c>
      <c r="M1240" s="4">
        <v>0</v>
      </c>
      <c r="N1240" s="3">
        <v>1899</v>
      </c>
      <c r="O1240" s="4">
        <v>4.5999999999999999E-2</v>
      </c>
      <c r="P1240" s="1" t="s">
        <v>2721</v>
      </c>
    </row>
    <row r="1241" spans="1:16">
      <c r="A1241" s="1" t="s">
        <v>15</v>
      </c>
      <c r="B1241" s="1">
        <v>11</v>
      </c>
      <c r="C1241" s="1" t="s">
        <v>4812</v>
      </c>
      <c r="D1241" s="1" t="s">
        <v>244</v>
      </c>
      <c r="E1241" s="2">
        <v>45972</v>
      </c>
      <c r="F1241" s="1" t="s">
        <v>53</v>
      </c>
      <c r="G1241" s="1" t="s">
        <v>245</v>
      </c>
      <c r="H1241" s="1" t="s">
        <v>1166</v>
      </c>
      <c r="I1241" s="1">
        <v>1</v>
      </c>
      <c r="J1241" s="3">
        <v>8272</v>
      </c>
      <c r="K1241" s="3">
        <v>7893</v>
      </c>
      <c r="L1241" s="1">
        <v>0</v>
      </c>
      <c r="M1241" s="4">
        <v>0</v>
      </c>
      <c r="N1241" s="1">
        <v>379</v>
      </c>
      <c r="O1241" s="4">
        <v>4.5999999999999999E-2</v>
      </c>
      <c r="P1241" s="1" t="s">
        <v>2721</v>
      </c>
    </row>
    <row r="1242" spans="1:16">
      <c r="A1242" s="1" t="s">
        <v>15</v>
      </c>
      <c r="B1242" s="1">
        <v>11</v>
      </c>
      <c r="C1242" s="1" t="s">
        <v>4813</v>
      </c>
      <c r="D1242" s="1" t="s">
        <v>250</v>
      </c>
      <c r="E1242" s="2">
        <v>45972</v>
      </c>
      <c r="F1242" s="1" t="s">
        <v>251</v>
      </c>
      <c r="G1242" s="1" t="s">
        <v>252</v>
      </c>
      <c r="H1242" s="1" t="s">
        <v>3569</v>
      </c>
      <c r="I1242" s="1">
        <v>1</v>
      </c>
      <c r="J1242" s="3">
        <v>29392</v>
      </c>
      <c r="K1242" s="3">
        <v>28046</v>
      </c>
      <c r="L1242" s="1">
        <v>0</v>
      </c>
      <c r="M1242" s="4">
        <v>0</v>
      </c>
      <c r="N1242" s="3">
        <v>1346</v>
      </c>
      <c r="O1242" s="4">
        <v>4.5999999999999999E-2</v>
      </c>
      <c r="P1242" s="1" t="s">
        <v>2721</v>
      </c>
    </row>
    <row r="1243" spans="1:16">
      <c r="A1243" s="1" t="s">
        <v>15</v>
      </c>
      <c r="B1243" s="1">
        <v>11</v>
      </c>
      <c r="C1243" s="1" t="s">
        <v>4814</v>
      </c>
      <c r="D1243" s="1" t="s">
        <v>132</v>
      </c>
      <c r="E1243" s="2">
        <v>45972</v>
      </c>
      <c r="F1243" s="1" t="s">
        <v>53</v>
      </c>
      <c r="G1243" s="1" t="s">
        <v>133</v>
      </c>
      <c r="H1243" s="1" t="s">
        <v>88</v>
      </c>
      <c r="I1243" s="1">
        <v>1</v>
      </c>
      <c r="J1243" s="3">
        <v>17036</v>
      </c>
      <c r="K1243" s="3">
        <v>16256</v>
      </c>
      <c r="L1243" s="1">
        <v>0</v>
      </c>
      <c r="M1243" s="4">
        <v>0</v>
      </c>
      <c r="N1243" s="1">
        <v>780</v>
      </c>
      <c r="O1243" s="4">
        <v>4.5999999999999999E-2</v>
      </c>
      <c r="P1243" s="1" t="s">
        <v>2721</v>
      </c>
    </row>
    <row r="1244" spans="1:16">
      <c r="A1244" s="1" t="s">
        <v>15</v>
      </c>
      <c r="B1244" s="1">
        <v>11</v>
      </c>
      <c r="C1244" s="1" t="s">
        <v>4815</v>
      </c>
      <c r="D1244" s="1" t="s">
        <v>903</v>
      </c>
      <c r="E1244" s="2">
        <v>45972</v>
      </c>
      <c r="F1244" s="1" t="s">
        <v>23</v>
      </c>
      <c r="G1244" s="1" t="s">
        <v>587</v>
      </c>
      <c r="H1244" s="1" t="s">
        <v>588</v>
      </c>
      <c r="I1244" s="1">
        <v>1</v>
      </c>
      <c r="J1244" s="3">
        <v>13762</v>
      </c>
      <c r="K1244" s="3">
        <v>13132</v>
      </c>
      <c r="L1244" s="1">
        <v>0</v>
      </c>
      <c r="M1244" s="4">
        <v>0</v>
      </c>
      <c r="N1244" s="1">
        <v>630</v>
      </c>
      <c r="O1244" s="4">
        <v>4.5999999999999999E-2</v>
      </c>
      <c r="P1244" s="1" t="s">
        <v>2721</v>
      </c>
    </row>
    <row r="1245" spans="1:16">
      <c r="A1245" s="1" t="s">
        <v>15</v>
      </c>
      <c r="B1245" s="1">
        <v>11</v>
      </c>
      <c r="C1245" s="1" t="s">
        <v>4816</v>
      </c>
      <c r="D1245" s="1" t="s">
        <v>482</v>
      </c>
      <c r="E1245" s="2">
        <v>45972</v>
      </c>
      <c r="F1245" s="1" t="s">
        <v>483</v>
      </c>
      <c r="G1245" s="1" t="s">
        <v>484</v>
      </c>
      <c r="H1245" s="1" t="s">
        <v>485</v>
      </c>
      <c r="I1245" s="1">
        <v>1</v>
      </c>
      <c r="J1245" s="3">
        <v>16501</v>
      </c>
      <c r="K1245" s="3">
        <v>15745</v>
      </c>
      <c r="L1245" s="1">
        <v>0</v>
      </c>
      <c r="M1245" s="4">
        <v>0</v>
      </c>
      <c r="N1245" s="1">
        <v>756</v>
      </c>
      <c r="O1245" s="4">
        <v>4.5999999999999999E-2</v>
      </c>
      <c r="P1245" s="1" t="s">
        <v>2721</v>
      </c>
    </row>
    <row r="1246" spans="1:16">
      <c r="A1246" s="1" t="s">
        <v>15</v>
      </c>
      <c r="B1246" s="1">
        <v>11</v>
      </c>
      <c r="C1246" s="1" t="s">
        <v>4817</v>
      </c>
      <c r="D1246" s="1" t="s">
        <v>913</v>
      </c>
      <c r="E1246" s="2">
        <v>45972</v>
      </c>
      <c r="F1246" s="1" t="s">
        <v>914</v>
      </c>
      <c r="G1246" s="1" t="s">
        <v>915</v>
      </c>
      <c r="H1246" s="1" t="s">
        <v>916</v>
      </c>
      <c r="I1246" s="1">
        <v>1</v>
      </c>
      <c r="J1246" s="3">
        <v>29773</v>
      </c>
      <c r="K1246" s="3">
        <v>28410</v>
      </c>
      <c r="L1246" s="1">
        <v>0</v>
      </c>
      <c r="M1246" s="4">
        <v>0</v>
      </c>
      <c r="N1246" s="3">
        <v>1363</v>
      </c>
      <c r="O1246" s="4">
        <v>4.5999999999999999E-2</v>
      </c>
      <c r="P1246" s="1" t="s">
        <v>2721</v>
      </c>
    </row>
    <row r="1247" spans="1:16">
      <c r="A1247" s="1" t="s">
        <v>15</v>
      </c>
      <c r="B1247" s="1">
        <v>11</v>
      </c>
      <c r="C1247" s="1" t="s">
        <v>4818</v>
      </c>
      <c r="D1247" s="1" t="s">
        <v>903</v>
      </c>
      <c r="E1247" s="2">
        <v>45972</v>
      </c>
      <c r="F1247" s="1" t="s">
        <v>23</v>
      </c>
      <c r="G1247" s="1" t="s">
        <v>587</v>
      </c>
      <c r="H1247" s="1" t="s">
        <v>588</v>
      </c>
      <c r="I1247" s="1">
        <v>1</v>
      </c>
      <c r="J1247" s="3">
        <v>13762</v>
      </c>
      <c r="K1247" s="3">
        <v>13132</v>
      </c>
      <c r="L1247" s="1">
        <v>0</v>
      </c>
      <c r="M1247" s="4">
        <v>0</v>
      </c>
      <c r="N1247" s="1">
        <v>630</v>
      </c>
      <c r="O1247" s="4">
        <v>4.5999999999999999E-2</v>
      </c>
      <c r="P1247" s="1" t="s">
        <v>2721</v>
      </c>
    </row>
    <row r="1248" spans="1:16">
      <c r="A1248" s="1" t="s">
        <v>15</v>
      </c>
      <c r="B1248" s="1">
        <v>11</v>
      </c>
      <c r="C1248" s="1" t="s">
        <v>4819</v>
      </c>
      <c r="D1248" s="1" t="s">
        <v>1100</v>
      </c>
      <c r="E1248" s="2">
        <v>45972</v>
      </c>
      <c r="F1248" s="1" t="s">
        <v>1101</v>
      </c>
      <c r="G1248" s="1" t="s">
        <v>1102</v>
      </c>
      <c r="H1248" s="1" t="s">
        <v>4820</v>
      </c>
      <c r="I1248" s="1">
        <v>1</v>
      </c>
      <c r="J1248" s="3">
        <v>21626</v>
      </c>
      <c r="K1248" s="3">
        <v>20636</v>
      </c>
      <c r="L1248" s="1">
        <v>0</v>
      </c>
      <c r="M1248" s="4">
        <v>0</v>
      </c>
      <c r="N1248" s="1">
        <v>990</v>
      </c>
      <c r="O1248" s="4">
        <v>4.5999999999999999E-2</v>
      </c>
      <c r="P1248" s="1" t="s">
        <v>2721</v>
      </c>
    </row>
    <row r="1249" spans="1:16">
      <c r="A1249" s="1" t="s">
        <v>15</v>
      </c>
      <c r="B1249" s="1">
        <v>11</v>
      </c>
      <c r="C1249" s="1" t="s">
        <v>4821</v>
      </c>
      <c r="D1249" s="1" t="s">
        <v>1105</v>
      </c>
      <c r="E1249" s="2">
        <v>45972</v>
      </c>
      <c r="F1249" s="1" t="s">
        <v>1106</v>
      </c>
      <c r="G1249" s="1" t="s">
        <v>1107</v>
      </c>
      <c r="H1249" s="1" t="s">
        <v>4822</v>
      </c>
      <c r="I1249" s="1">
        <v>3</v>
      </c>
      <c r="J1249" s="3">
        <v>31413</v>
      </c>
      <c r="K1249" s="3">
        <v>29975</v>
      </c>
      <c r="L1249" s="1">
        <v>0</v>
      </c>
      <c r="M1249" s="4">
        <v>0</v>
      </c>
      <c r="N1249" s="3">
        <v>1438</v>
      </c>
      <c r="O1249" s="4">
        <v>4.5999999999999999E-2</v>
      </c>
      <c r="P1249" s="1" t="s">
        <v>2721</v>
      </c>
    </row>
    <row r="1250" spans="1:16">
      <c r="A1250" s="1" t="s">
        <v>15</v>
      </c>
      <c r="B1250" s="1">
        <v>11</v>
      </c>
      <c r="C1250" s="1" t="s">
        <v>4823</v>
      </c>
      <c r="D1250" s="1" t="s">
        <v>1587</v>
      </c>
      <c r="E1250" s="2">
        <v>45972</v>
      </c>
      <c r="F1250" s="1" t="s">
        <v>126</v>
      </c>
      <c r="G1250" s="1" t="s">
        <v>1588</v>
      </c>
      <c r="H1250" s="1" t="s">
        <v>2420</v>
      </c>
      <c r="I1250" s="1">
        <v>1</v>
      </c>
      <c r="J1250" s="3">
        <v>14352</v>
      </c>
      <c r="K1250" s="3">
        <v>13695</v>
      </c>
      <c r="L1250" s="1">
        <v>0</v>
      </c>
      <c r="M1250" s="4">
        <v>0</v>
      </c>
      <c r="N1250" s="1">
        <v>657</v>
      </c>
      <c r="O1250" s="4">
        <v>4.5999999999999999E-2</v>
      </c>
      <c r="P1250" s="1" t="s">
        <v>2721</v>
      </c>
    </row>
    <row r="1251" spans="1:16">
      <c r="A1251" s="1" t="s">
        <v>15</v>
      </c>
      <c r="B1251" s="1">
        <v>11</v>
      </c>
      <c r="C1251" s="1" t="s">
        <v>4824</v>
      </c>
      <c r="D1251" s="1" t="s">
        <v>1100</v>
      </c>
      <c r="E1251" s="2">
        <v>45972</v>
      </c>
      <c r="F1251" s="1" t="s">
        <v>1101</v>
      </c>
      <c r="G1251" s="1" t="s">
        <v>1102</v>
      </c>
      <c r="H1251" s="1" t="s">
        <v>4825</v>
      </c>
      <c r="I1251" s="1">
        <v>1</v>
      </c>
      <c r="J1251" s="3">
        <v>19660</v>
      </c>
      <c r="K1251" s="3">
        <v>18760</v>
      </c>
      <c r="L1251" s="1">
        <v>0</v>
      </c>
      <c r="M1251" s="4">
        <v>0</v>
      </c>
      <c r="N1251" s="1">
        <v>900</v>
      </c>
      <c r="O1251" s="4">
        <v>4.5999999999999999E-2</v>
      </c>
      <c r="P1251" s="1" t="s">
        <v>2721</v>
      </c>
    </row>
    <row r="1252" spans="1:16">
      <c r="A1252" s="1" t="s">
        <v>15</v>
      </c>
      <c r="B1252" s="1">
        <v>11</v>
      </c>
      <c r="C1252" s="1" t="s">
        <v>4826</v>
      </c>
      <c r="D1252" s="1" t="s">
        <v>3292</v>
      </c>
      <c r="E1252" s="2">
        <v>45972</v>
      </c>
      <c r="F1252" s="1" t="s">
        <v>239</v>
      </c>
      <c r="G1252" s="1" t="s">
        <v>3293</v>
      </c>
      <c r="H1252" s="1" t="s">
        <v>3294</v>
      </c>
      <c r="I1252" s="1">
        <v>1</v>
      </c>
      <c r="J1252" s="3">
        <v>11305</v>
      </c>
      <c r="K1252" s="3">
        <v>10787</v>
      </c>
      <c r="L1252" s="1">
        <v>0</v>
      </c>
      <c r="M1252" s="4">
        <v>0</v>
      </c>
      <c r="N1252" s="1">
        <v>518</v>
      </c>
      <c r="O1252" s="4">
        <v>4.5999999999999999E-2</v>
      </c>
      <c r="P1252" s="1" t="s">
        <v>2721</v>
      </c>
    </row>
    <row r="1253" spans="1:16">
      <c r="A1253" s="1" t="s">
        <v>15</v>
      </c>
      <c r="B1253" s="1">
        <v>11</v>
      </c>
      <c r="C1253" s="1" t="s">
        <v>4826</v>
      </c>
      <c r="D1253" s="1" t="s">
        <v>238</v>
      </c>
      <c r="E1253" s="2">
        <v>45972</v>
      </c>
      <c r="F1253" s="1" t="s">
        <v>239</v>
      </c>
      <c r="G1253" s="1" t="s">
        <v>240</v>
      </c>
      <c r="H1253" s="1" t="s">
        <v>242</v>
      </c>
      <c r="I1253" s="1">
        <v>1</v>
      </c>
      <c r="J1253" s="3">
        <v>11305</v>
      </c>
      <c r="K1253" s="3">
        <v>10787</v>
      </c>
      <c r="L1253" s="1">
        <v>0</v>
      </c>
      <c r="M1253" s="4">
        <v>0</v>
      </c>
      <c r="N1253" s="1">
        <v>518</v>
      </c>
      <c r="O1253" s="4">
        <v>4.5999999999999999E-2</v>
      </c>
      <c r="P1253" s="1" t="s">
        <v>2721</v>
      </c>
    </row>
    <row r="1254" spans="1:16">
      <c r="A1254" s="1" t="s">
        <v>15</v>
      </c>
      <c r="B1254" s="1">
        <v>11</v>
      </c>
      <c r="C1254" s="1" t="s">
        <v>4827</v>
      </c>
      <c r="D1254" s="1" t="s">
        <v>4828</v>
      </c>
      <c r="E1254" s="2">
        <v>45972</v>
      </c>
      <c r="F1254" s="1" t="s">
        <v>126</v>
      </c>
      <c r="G1254" s="1" t="s">
        <v>4829</v>
      </c>
      <c r="H1254" s="1" t="s">
        <v>4830</v>
      </c>
      <c r="I1254" s="1">
        <v>2</v>
      </c>
      <c r="J1254" s="3">
        <v>35978</v>
      </c>
      <c r="K1254" s="3">
        <v>34331</v>
      </c>
      <c r="L1254" s="1">
        <v>0</v>
      </c>
      <c r="M1254" s="4">
        <v>0</v>
      </c>
      <c r="N1254" s="3">
        <v>1647</v>
      </c>
      <c r="O1254" s="4">
        <v>4.5999999999999999E-2</v>
      </c>
      <c r="P1254" s="1" t="s">
        <v>2721</v>
      </c>
    </row>
    <row r="1255" spans="1:16">
      <c r="A1255" s="1" t="s">
        <v>15</v>
      </c>
      <c r="B1255" s="1">
        <v>11</v>
      </c>
      <c r="C1255" s="1" t="s">
        <v>4831</v>
      </c>
      <c r="D1255" s="1" t="s">
        <v>4121</v>
      </c>
      <c r="E1255" s="2">
        <v>45972</v>
      </c>
      <c r="F1255" s="1" t="s">
        <v>96</v>
      </c>
      <c r="G1255" s="1" t="s">
        <v>4122</v>
      </c>
      <c r="H1255" s="1" t="s">
        <v>2014</v>
      </c>
      <c r="I1255" s="1">
        <v>1</v>
      </c>
      <c r="J1255" s="3">
        <v>23423</v>
      </c>
      <c r="K1255" s="3">
        <v>22351</v>
      </c>
      <c r="L1255" s="1">
        <v>0</v>
      </c>
      <c r="M1255" s="4">
        <v>0</v>
      </c>
      <c r="N1255" s="3">
        <v>1072</v>
      </c>
      <c r="O1255" s="4">
        <v>4.5999999999999999E-2</v>
      </c>
      <c r="P1255" s="1" t="s">
        <v>2721</v>
      </c>
    </row>
    <row r="1256" spans="1:16">
      <c r="A1256" s="1" t="s">
        <v>15</v>
      </c>
      <c r="B1256" s="1">
        <v>11</v>
      </c>
      <c r="C1256" s="1" t="s">
        <v>4832</v>
      </c>
      <c r="D1256" s="1" t="s">
        <v>504</v>
      </c>
      <c r="E1256" s="2">
        <v>45972</v>
      </c>
      <c r="F1256" s="1" t="s">
        <v>407</v>
      </c>
      <c r="G1256" s="1" t="s">
        <v>505</v>
      </c>
      <c r="H1256" s="1" t="s">
        <v>1322</v>
      </c>
      <c r="I1256" s="1">
        <v>1</v>
      </c>
      <c r="J1256" s="3">
        <v>23592</v>
      </c>
      <c r="K1256" s="3">
        <v>22512</v>
      </c>
      <c r="L1256" s="1">
        <v>0</v>
      </c>
      <c r="M1256" s="4">
        <v>0</v>
      </c>
      <c r="N1256" s="3">
        <v>1080</v>
      </c>
      <c r="O1256" s="4">
        <v>4.5999999999999999E-2</v>
      </c>
      <c r="P1256" s="1" t="s">
        <v>2721</v>
      </c>
    </row>
    <row r="1257" spans="1:16">
      <c r="A1257" s="1" t="s">
        <v>15</v>
      </c>
      <c r="B1257" s="1">
        <v>11</v>
      </c>
      <c r="C1257" s="1" t="s">
        <v>4833</v>
      </c>
      <c r="D1257" s="1" t="s">
        <v>311</v>
      </c>
      <c r="E1257" s="2">
        <v>45972</v>
      </c>
      <c r="F1257" s="1" t="s">
        <v>312</v>
      </c>
      <c r="G1257" s="1" t="s">
        <v>313</v>
      </c>
      <c r="H1257" s="1" t="s">
        <v>4834</v>
      </c>
      <c r="I1257" s="1">
        <v>1</v>
      </c>
      <c r="J1257" s="3">
        <v>28310</v>
      </c>
      <c r="K1257" s="3">
        <v>27014</v>
      </c>
      <c r="L1257" s="1">
        <v>0</v>
      </c>
      <c r="M1257" s="4">
        <v>0</v>
      </c>
      <c r="N1257" s="3">
        <v>1296</v>
      </c>
      <c r="O1257" s="4">
        <v>4.5999999999999999E-2</v>
      </c>
      <c r="P1257" s="1" t="s">
        <v>2721</v>
      </c>
    </row>
    <row r="1258" spans="1:16">
      <c r="A1258" s="1" t="s">
        <v>15</v>
      </c>
      <c r="B1258" s="1">
        <v>11</v>
      </c>
      <c r="C1258" s="1" t="s">
        <v>4835</v>
      </c>
      <c r="D1258" s="1" t="s">
        <v>4836</v>
      </c>
      <c r="E1258" s="2">
        <v>45972</v>
      </c>
      <c r="F1258" s="1" t="s">
        <v>1562</v>
      </c>
      <c r="G1258" s="1" t="s">
        <v>4837</v>
      </c>
      <c r="H1258" s="1" t="s">
        <v>4838</v>
      </c>
      <c r="I1258" s="1">
        <v>1</v>
      </c>
      <c r="J1258" s="3">
        <v>417775</v>
      </c>
      <c r="K1258" s="3">
        <v>398650</v>
      </c>
      <c r="L1258" s="1">
        <v>0</v>
      </c>
      <c r="M1258" s="4">
        <v>0</v>
      </c>
      <c r="N1258" s="3">
        <v>19125</v>
      </c>
      <c r="O1258" s="4">
        <v>4.5999999999999999E-2</v>
      </c>
      <c r="P1258" s="1" t="s">
        <v>2721</v>
      </c>
    </row>
    <row r="1259" spans="1:16">
      <c r="A1259" s="1" t="s">
        <v>15</v>
      </c>
      <c r="B1259" s="1">
        <v>11</v>
      </c>
      <c r="C1259" s="1" t="s">
        <v>4839</v>
      </c>
      <c r="D1259" s="1" t="s">
        <v>178</v>
      </c>
      <c r="E1259" s="2">
        <v>45972</v>
      </c>
      <c r="F1259" s="1" t="s">
        <v>96</v>
      </c>
      <c r="G1259" s="1" t="s">
        <v>179</v>
      </c>
      <c r="H1259" s="1" t="s">
        <v>180</v>
      </c>
      <c r="I1259" s="1">
        <v>1</v>
      </c>
      <c r="J1259" s="3">
        <v>15284</v>
      </c>
      <c r="K1259" s="3">
        <v>14584</v>
      </c>
      <c r="L1259" s="1">
        <v>0</v>
      </c>
      <c r="M1259" s="4">
        <v>0</v>
      </c>
      <c r="N1259" s="1">
        <v>700</v>
      </c>
      <c r="O1259" s="4">
        <v>4.5999999999999999E-2</v>
      </c>
      <c r="P1259" s="1" t="s">
        <v>2721</v>
      </c>
    </row>
    <row r="1260" spans="1:16">
      <c r="A1260" s="1" t="s">
        <v>15</v>
      </c>
      <c r="B1260" s="1">
        <v>11</v>
      </c>
      <c r="C1260" s="1" t="s">
        <v>4840</v>
      </c>
      <c r="D1260" s="1" t="s">
        <v>228</v>
      </c>
      <c r="E1260" s="2">
        <v>45972</v>
      </c>
      <c r="F1260" s="1" t="s">
        <v>53</v>
      </c>
      <c r="G1260" s="1" t="s">
        <v>229</v>
      </c>
      <c r="H1260" s="1" t="s">
        <v>230</v>
      </c>
      <c r="I1260" s="1">
        <v>1</v>
      </c>
      <c r="J1260" s="3">
        <v>9825</v>
      </c>
      <c r="K1260" s="3">
        <v>9375</v>
      </c>
      <c r="L1260" s="1">
        <v>0</v>
      </c>
      <c r="M1260" s="4">
        <v>0</v>
      </c>
      <c r="N1260" s="1">
        <v>450</v>
      </c>
      <c r="O1260" s="4">
        <v>4.5999999999999999E-2</v>
      </c>
      <c r="P1260" s="1" t="s">
        <v>2721</v>
      </c>
    </row>
    <row r="1261" spans="1:16">
      <c r="A1261" s="1" t="s">
        <v>15</v>
      </c>
      <c r="B1261" s="1">
        <v>11</v>
      </c>
      <c r="C1261" s="1" t="s">
        <v>4841</v>
      </c>
      <c r="D1261" s="1" t="s">
        <v>228</v>
      </c>
      <c r="E1261" s="2">
        <v>45972</v>
      </c>
      <c r="F1261" s="1" t="s">
        <v>53</v>
      </c>
      <c r="G1261" s="1" t="s">
        <v>229</v>
      </c>
      <c r="H1261" s="1" t="s">
        <v>230</v>
      </c>
      <c r="I1261" s="1">
        <v>1</v>
      </c>
      <c r="J1261" s="3">
        <v>9825</v>
      </c>
      <c r="K1261" s="3">
        <v>9375</v>
      </c>
      <c r="L1261" s="1">
        <v>0</v>
      </c>
      <c r="M1261" s="4">
        <v>0</v>
      </c>
      <c r="N1261" s="1">
        <v>450</v>
      </c>
      <c r="O1261" s="4">
        <v>4.5999999999999999E-2</v>
      </c>
      <c r="P1261" s="1" t="s">
        <v>2721</v>
      </c>
    </row>
    <row r="1262" spans="1:16">
      <c r="A1262" s="1" t="s">
        <v>15</v>
      </c>
      <c r="B1262" s="1">
        <v>11</v>
      </c>
      <c r="C1262" s="1" t="s">
        <v>4842</v>
      </c>
      <c r="D1262" s="1" t="s">
        <v>141</v>
      </c>
      <c r="E1262" s="2">
        <v>45972</v>
      </c>
      <c r="F1262" s="1" t="s">
        <v>142</v>
      </c>
      <c r="G1262" s="1" t="s">
        <v>143</v>
      </c>
      <c r="H1262" s="1" t="s">
        <v>144</v>
      </c>
      <c r="I1262" s="1">
        <v>1</v>
      </c>
      <c r="J1262" s="3">
        <v>22314</v>
      </c>
      <c r="K1262" s="3">
        <v>21293</v>
      </c>
      <c r="L1262" s="1">
        <v>0</v>
      </c>
      <c r="M1262" s="4">
        <v>0</v>
      </c>
      <c r="N1262" s="3">
        <v>1021</v>
      </c>
      <c r="O1262" s="4">
        <v>4.5999999999999999E-2</v>
      </c>
      <c r="P1262" s="1" t="s">
        <v>2721</v>
      </c>
    </row>
    <row r="1263" spans="1:16">
      <c r="A1263" s="1" t="s">
        <v>15</v>
      </c>
      <c r="B1263" s="1">
        <v>11</v>
      </c>
      <c r="C1263" s="1" t="s">
        <v>4843</v>
      </c>
      <c r="D1263" s="1" t="s">
        <v>169</v>
      </c>
      <c r="E1263" s="2">
        <v>45972</v>
      </c>
      <c r="F1263" s="1" t="s">
        <v>53</v>
      </c>
      <c r="G1263" s="1" t="s">
        <v>170</v>
      </c>
      <c r="H1263" s="1" t="s">
        <v>171</v>
      </c>
      <c r="I1263" s="1">
        <v>1</v>
      </c>
      <c r="J1263" s="3">
        <v>14332</v>
      </c>
      <c r="K1263" s="3">
        <v>13676</v>
      </c>
      <c r="L1263" s="1">
        <v>0</v>
      </c>
      <c r="M1263" s="4">
        <v>0</v>
      </c>
      <c r="N1263" s="1">
        <v>656</v>
      </c>
      <c r="O1263" s="4">
        <v>4.5999999999999999E-2</v>
      </c>
      <c r="P1263" s="1" t="s">
        <v>2721</v>
      </c>
    </row>
    <row r="1264" spans="1:16">
      <c r="A1264" s="1" t="s">
        <v>15</v>
      </c>
      <c r="B1264" s="1">
        <v>11</v>
      </c>
      <c r="C1264" s="1" t="s">
        <v>4844</v>
      </c>
      <c r="D1264" s="1" t="s">
        <v>1250</v>
      </c>
      <c r="E1264" s="2">
        <v>45972</v>
      </c>
      <c r="F1264" s="1" t="s">
        <v>18</v>
      </c>
      <c r="G1264" s="1" t="s">
        <v>1251</v>
      </c>
      <c r="H1264" s="1" t="s">
        <v>20</v>
      </c>
      <c r="I1264" s="1">
        <v>1</v>
      </c>
      <c r="J1264" s="3">
        <v>8395</v>
      </c>
      <c r="K1264" s="3">
        <v>8011</v>
      </c>
      <c r="L1264" s="1">
        <v>0</v>
      </c>
      <c r="M1264" s="4">
        <v>0</v>
      </c>
      <c r="N1264" s="1">
        <v>384</v>
      </c>
      <c r="O1264" s="4">
        <v>4.5999999999999999E-2</v>
      </c>
      <c r="P1264" s="1" t="s">
        <v>2721</v>
      </c>
    </row>
    <row r="1265" spans="1:16">
      <c r="A1265" s="1" t="s">
        <v>15</v>
      </c>
      <c r="B1265" s="1">
        <v>11</v>
      </c>
      <c r="C1265" s="1" t="s">
        <v>4845</v>
      </c>
      <c r="D1265" s="1" t="s">
        <v>4134</v>
      </c>
      <c r="E1265" s="2">
        <v>45972</v>
      </c>
      <c r="F1265" s="1" t="s">
        <v>534</v>
      </c>
      <c r="G1265" s="1" t="s">
        <v>4135</v>
      </c>
      <c r="H1265" s="1" t="s">
        <v>4136</v>
      </c>
      <c r="I1265" s="1">
        <v>1</v>
      </c>
      <c r="J1265" s="3">
        <v>13035</v>
      </c>
      <c r="K1265" s="3">
        <v>12438</v>
      </c>
      <c r="L1265" s="1">
        <v>0</v>
      </c>
      <c r="M1265" s="4">
        <v>0</v>
      </c>
      <c r="N1265" s="1">
        <v>597</v>
      </c>
      <c r="O1265" s="4">
        <v>4.5999999999999999E-2</v>
      </c>
      <c r="P1265" s="1" t="s">
        <v>2721</v>
      </c>
    </row>
    <row r="1266" spans="1:16">
      <c r="A1266" s="1" t="s">
        <v>15</v>
      </c>
      <c r="B1266" s="1">
        <v>11</v>
      </c>
      <c r="C1266" s="1" t="s">
        <v>4846</v>
      </c>
      <c r="D1266" s="1" t="s">
        <v>169</v>
      </c>
      <c r="E1266" s="2">
        <v>45972</v>
      </c>
      <c r="F1266" s="1" t="s">
        <v>53</v>
      </c>
      <c r="G1266" s="1" t="s">
        <v>170</v>
      </c>
      <c r="H1266" s="1" t="s">
        <v>171</v>
      </c>
      <c r="I1266" s="1">
        <v>1</v>
      </c>
      <c r="J1266" s="3">
        <v>14332</v>
      </c>
      <c r="K1266" s="3">
        <v>13676</v>
      </c>
      <c r="L1266" s="1">
        <v>0</v>
      </c>
      <c r="M1266" s="4">
        <v>0</v>
      </c>
      <c r="N1266" s="1">
        <v>656</v>
      </c>
      <c r="O1266" s="4">
        <v>4.5999999999999999E-2</v>
      </c>
      <c r="P1266" s="1" t="s">
        <v>2721</v>
      </c>
    </row>
    <row r="1267" spans="1:16">
      <c r="A1267" s="1" t="s">
        <v>15</v>
      </c>
      <c r="B1267" s="1">
        <v>11</v>
      </c>
      <c r="C1267" s="1" t="s">
        <v>4847</v>
      </c>
      <c r="D1267" s="1" t="s">
        <v>104</v>
      </c>
      <c r="E1267" s="2">
        <v>45972</v>
      </c>
      <c r="F1267" s="1" t="s">
        <v>96</v>
      </c>
      <c r="G1267" s="1" t="s">
        <v>105</v>
      </c>
      <c r="H1267" s="1" t="s">
        <v>106</v>
      </c>
      <c r="I1267" s="1">
        <v>1</v>
      </c>
      <c r="J1267" s="3">
        <v>21614</v>
      </c>
      <c r="K1267" s="3">
        <v>20625</v>
      </c>
      <c r="L1267" s="1">
        <v>0</v>
      </c>
      <c r="M1267" s="4">
        <v>0</v>
      </c>
      <c r="N1267" s="1">
        <v>989</v>
      </c>
      <c r="O1267" s="4">
        <v>4.5999999999999999E-2</v>
      </c>
      <c r="P1267" s="1" t="s">
        <v>2721</v>
      </c>
    </row>
    <row r="1268" spans="1:16">
      <c r="A1268" s="1" t="s">
        <v>15</v>
      </c>
      <c r="B1268" s="1">
        <v>11</v>
      </c>
      <c r="C1268" s="1" t="s">
        <v>4848</v>
      </c>
      <c r="D1268" s="1" t="s">
        <v>3328</v>
      </c>
      <c r="E1268" s="2">
        <v>45972</v>
      </c>
      <c r="F1268" s="1" t="s">
        <v>488</v>
      </c>
      <c r="G1268" s="1" t="s">
        <v>3329</v>
      </c>
      <c r="H1268" s="1" t="s">
        <v>3330</v>
      </c>
      <c r="I1268" s="1">
        <v>1</v>
      </c>
      <c r="J1268" s="3">
        <v>17694</v>
      </c>
      <c r="K1268" s="3">
        <v>16884</v>
      </c>
      <c r="L1268" s="1">
        <v>0</v>
      </c>
      <c r="M1268" s="4">
        <v>0</v>
      </c>
      <c r="N1268" s="1">
        <v>810</v>
      </c>
      <c r="O1268" s="4">
        <v>4.5999999999999999E-2</v>
      </c>
      <c r="P1268" s="1" t="s">
        <v>2721</v>
      </c>
    </row>
    <row r="1269" spans="1:16">
      <c r="A1269" s="1" t="s">
        <v>15</v>
      </c>
      <c r="B1269" s="1">
        <v>11</v>
      </c>
      <c r="C1269" s="1" t="s">
        <v>4849</v>
      </c>
      <c r="D1269" s="1" t="s">
        <v>4850</v>
      </c>
      <c r="E1269" s="2">
        <v>45972</v>
      </c>
      <c r="F1269" s="1" t="s">
        <v>1310</v>
      </c>
      <c r="G1269" s="1" t="s">
        <v>4851</v>
      </c>
      <c r="H1269" s="1" t="s">
        <v>4852</v>
      </c>
      <c r="I1269" s="1">
        <v>1</v>
      </c>
      <c r="J1269" s="3">
        <v>19517</v>
      </c>
      <c r="K1269" s="3">
        <v>18624</v>
      </c>
      <c r="L1269" s="1">
        <v>0</v>
      </c>
      <c r="M1269" s="4">
        <v>0</v>
      </c>
      <c r="N1269" s="1">
        <v>893</v>
      </c>
      <c r="O1269" s="4">
        <v>4.5999999999999999E-2</v>
      </c>
      <c r="P1269" s="1" t="s">
        <v>2721</v>
      </c>
    </row>
    <row r="1270" spans="1:16">
      <c r="A1270" s="1" t="s">
        <v>15</v>
      </c>
      <c r="B1270" s="1">
        <v>11</v>
      </c>
      <c r="C1270" s="1" t="s">
        <v>4853</v>
      </c>
      <c r="D1270" s="1" t="s">
        <v>4246</v>
      </c>
      <c r="E1270" s="2">
        <v>45972</v>
      </c>
      <c r="F1270" s="1" t="s">
        <v>1513</v>
      </c>
      <c r="G1270" s="1" t="s">
        <v>4247</v>
      </c>
      <c r="H1270" s="1" t="s">
        <v>4854</v>
      </c>
      <c r="I1270" s="1">
        <v>1</v>
      </c>
      <c r="J1270" s="3">
        <v>16460</v>
      </c>
      <c r="K1270" s="3">
        <v>15707</v>
      </c>
      <c r="L1270" s="1">
        <v>0</v>
      </c>
      <c r="M1270" s="4">
        <v>0</v>
      </c>
      <c r="N1270" s="1">
        <v>753</v>
      </c>
      <c r="O1270" s="4">
        <v>4.5999999999999999E-2</v>
      </c>
      <c r="P1270" s="1" t="s">
        <v>2721</v>
      </c>
    </row>
    <row r="1271" spans="1:16">
      <c r="A1271" s="1" t="s">
        <v>15</v>
      </c>
      <c r="B1271" s="1">
        <v>11</v>
      </c>
      <c r="C1271" s="1" t="s">
        <v>4855</v>
      </c>
      <c r="D1271" s="1" t="s">
        <v>390</v>
      </c>
      <c r="E1271" s="2">
        <v>45972</v>
      </c>
      <c r="F1271" s="1" t="s">
        <v>256</v>
      </c>
      <c r="G1271" s="1" t="s">
        <v>391</v>
      </c>
      <c r="H1271" s="1" t="s">
        <v>392</v>
      </c>
      <c r="I1271" s="1">
        <v>1</v>
      </c>
      <c r="J1271" s="3">
        <v>12799</v>
      </c>
      <c r="K1271" s="3">
        <v>12213</v>
      </c>
      <c r="L1271" s="1">
        <v>0</v>
      </c>
      <c r="M1271" s="4">
        <v>0</v>
      </c>
      <c r="N1271" s="1">
        <v>586</v>
      </c>
      <c r="O1271" s="4">
        <v>4.5999999999999999E-2</v>
      </c>
      <c r="P1271" s="1" t="s">
        <v>2721</v>
      </c>
    </row>
    <row r="1272" spans="1:16">
      <c r="A1272" s="1" t="s">
        <v>15</v>
      </c>
      <c r="B1272" s="1">
        <v>11</v>
      </c>
      <c r="C1272" s="1" t="s">
        <v>4856</v>
      </c>
      <c r="D1272" s="1" t="s">
        <v>1673</v>
      </c>
      <c r="E1272" s="2">
        <v>45972</v>
      </c>
      <c r="F1272" s="1" t="s">
        <v>660</v>
      </c>
      <c r="G1272" s="1" t="s">
        <v>1674</v>
      </c>
      <c r="H1272" s="1" t="s">
        <v>2339</v>
      </c>
      <c r="I1272" s="1">
        <v>1</v>
      </c>
      <c r="J1272" s="3">
        <v>11118</v>
      </c>
      <c r="K1272" s="3">
        <v>10609</v>
      </c>
      <c r="L1272" s="1">
        <v>0</v>
      </c>
      <c r="M1272" s="4">
        <v>0</v>
      </c>
      <c r="N1272" s="1">
        <v>509</v>
      </c>
      <c r="O1272" s="4">
        <v>4.5999999999999999E-2</v>
      </c>
      <c r="P1272" s="1" t="s">
        <v>2721</v>
      </c>
    </row>
    <row r="1273" spans="1:16">
      <c r="A1273" s="1" t="s">
        <v>15</v>
      </c>
      <c r="B1273" s="1">
        <v>11</v>
      </c>
      <c r="C1273" s="1" t="s">
        <v>4857</v>
      </c>
      <c r="D1273" s="1" t="s">
        <v>504</v>
      </c>
      <c r="E1273" s="2">
        <v>45972</v>
      </c>
      <c r="F1273" s="1" t="s">
        <v>407</v>
      </c>
      <c r="G1273" s="1" t="s">
        <v>505</v>
      </c>
      <c r="H1273" s="1" t="s">
        <v>1322</v>
      </c>
      <c r="I1273" s="1">
        <v>1</v>
      </c>
      <c r="J1273" s="3">
        <v>23592</v>
      </c>
      <c r="K1273" s="3">
        <v>22512</v>
      </c>
      <c r="L1273" s="1">
        <v>0</v>
      </c>
      <c r="M1273" s="4">
        <v>0</v>
      </c>
      <c r="N1273" s="3">
        <v>1080</v>
      </c>
      <c r="O1273" s="4">
        <v>4.5999999999999999E-2</v>
      </c>
      <c r="P1273" s="1" t="s">
        <v>2721</v>
      </c>
    </row>
    <row r="1274" spans="1:16">
      <c r="A1274" s="1" t="s">
        <v>15</v>
      </c>
      <c r="B1274" s="1">
        <v>11</v>
      </c>
      <c r="C1274" s="1" t="s">
        <v>4858</v>
      </c>
      <c r="D1274" s="1" t="s">
        <v>1393</v>
      </c>
      <c r="E1274" s="2">
        <v>45972</v>
      </c>
      <c r="F1274" s="1" t="s">
        <v>235</v>
      </c>
      <c r="G1274" s="1" t="s">
        <v>1394</v>
      </c>
      <c r="H1274" s="1" t="s">
        <v>4425</v>
      </c>
      <c r="I1274" s="1">
        <v>1</v>
      </c>
      <c r="J1274" s="3">
        <v>8110</v>
      </c>
      <c r="K1274" s="3">
        <v>7739</v>
      </c>
      <c r="L1274" s="1">
        <v>0</v>
      </c>
      <c r="M1274" s="4">
        <v>0</v>
      </c>
      <c r="N1274" s="1">
        <v>371</v>
      </c>
      <c r="O1274" s="4">
        <v>4.5999999999999999E-2</v>
      </c>
      <c r="P1274" s="1" t="s">
        <v>2721</v>
      </c>
    </row>
    <row r="1275" spans="1:16">
      <c r="A1275" s="1" t="s">
        <v>15</v>
      </c>
      <c r="B1275" s="1">
        <v>11</v>
      </c>
      <c r="C1275" s="1" t="s">
        <v>4859</v>
      </c>
      <c r="D1275" s="1" t="s">
        <v>777</v>
      </c>
      <c r="E1275" s="2">
        <v>45972</v>
      </c>
      <c r="F1275" s="1" t="s">
        <v>256</v>
      </c>
      <c r="G1275" s="1" t="s">
        <v>778</v>
      </c>
      <c r="H1275" s="1" t="s">
        <v>779</v>
      </c>
      <c r="I1275" s="1">
        <v>1</v>
      </c>
      <c r="J1275" s="3">
        <v>11010</v>
      </c>
      <c r="K1275" s="3">
        <v>10506</v>
      </c>
      <c r="L1275" s="1">
        <v>0</v>
      </c>
      <c r="M1275" s="4">
        <v>0</v>
      </c>
      <c r="N1275" s="1">
        <v>504</v>
      </c>
      <c r="O1275" s="4">
        <v>4.5999999999999999E-2</v>
      </c>
      <c r="P1275" s="1" t="s">
        <v>2721</v>
      </c>
    </row>
    <row r="1276" spans="1:16">
      <c r="A1276" s="1" t="s">
        <v>15</v>
      </c>
      <c r="B1276" s="1">
        <v>11</v>
      </c>
      <c r="C1276" s="1" t="s">
        <v>4860</v>
      </c>
      <c r="D1276" s="1" t="s">
        <v>1105</v>
      </c>
      <c r="E1276" s="2">
        <v>45972</v>
      </c>
      <c r="F1276" s="1" t="s">
        <v>1106</v>
      </c>
      <c r="G1276" s="1" t="s">
        <v>1107</v>
      </c>
      <c r="H1276" s="1" t="s">
        <v>1108</v>
      </c>
      <c r="I1276" s="1">
        <v>1</v>
      </c>
      <c r="J1276" s="3">
        <v>10471</v>
      </c>
      <c r="K1276" s="3">
        <v>9992</v>
      </c>
      <c r="L1276" s="1">
        <v>0</v>
      </c>
      <c r="M1276" s="4">
        <v>0</v>
      </c>
      <c r="N1276" s="1">
        <v>479</v>
      </c>
      <c r="O1276" s="4">
        <v>4.5999999999999999E-2</v>
      </c>
      <c r="P1276" s="1" t="s">
        <v>2721</v>
      </c>
    </row>
    <row r="1277" spans="1:16">
      <c r="A1277" s="1" t="s">
        <v>15</v>
      </c>
      <c r="B1277" s="1">
        <v>11</v>
      </c>
      <c r="C1277" s="1" t="s">
        <v>4861</v>
      </c>
      <c r="D1277" s="1" t="s">
        <v>828</v>
      </c>
      <c r="E1277" s="2">
        <v>45972</v>
      </c>
      <c r="F1277" s="1" t="s">
        <v>689</v>
      </c>
      <c r="G1277" s="1" t="s">
        <v>829</v>
      </c>
      <c r="H1277" s="1" t="s">
        <v>3685</v>
      </c>
      <c r="I1277" s="1">
        <v>1</v>
      </c>
      <c r="J1277" s="3">
        <v>12779</v>
      </c>
      <c r="K1277" s="3">
        <v>12194</v>
      </c>
      <c r="L1277" s="1">
        <v>0</v>
      </c>
      <c r="M1277" s="4">
        <v>0</v>
      </c>
      <c r="N1277" s="1">
        <v>585</v>
      </c>
      <c r="O1277" s="4">
        <v>4.5999999999999999E-2</v>
      </c>
      <c r="P1277" s="1" t="s">
        <v>2721</v>
      </c>
    </row>
    <row r="1278" spans="1:16">
      <c r="A1278" s="1" t="s">
        <v>15</v>
      </c>
      <c r="B1278" s="1">
        <v>11</v>
      </c>
      <c r="C1278" s="1" t="s">
        <v>4862</v>
      </c>
      <c r="D1278" s="1" t="s">
        <v>4863</v>
      </c>
      <c r="E1278" s="2">
        <v>45972</v>
      </c>
      <c r="F1278" s="1" t="s">
        <v>3496</v>
      </c>
      <c r="G1278" s="1" t="s">
        <v>4864</v>
      </c>
      <c r="H1278" s="1" t="s">
        <v>4865</v>
      </c>
      <c r="I1278" s="1">
        <v>1</v>
      </c>
      <c r="J1278" s="3">
        <v>11599</v>
      </c>
      <c r="K1278" s="3">
        <v>11068</v>
      </c>
      <c r="L1278" s="1">
        <v>0</v>
      </c>
      <c r="M1278" s="4">
        <v>0</v>
      </c>
      <c r="N1278" s="1">
        <v>531</v>
      </c>
      <c r="O1278" s="4">
        <v>4.5999999999999999E-2</v>
      </c>
      <c r="P1278" s="1" t="s">
        <v>2721</v>
      </c>
    </row>
    <row r="1279" spans="1:16">
      <c r="A1279" s="1" t="s">
        <v>15</v>
      </c>
      <c r="B1279" s="1">
        <v>11</v>
      </c>
      <c r="C1279" s="1" t="s">
        <v>4866</v>
      </c>
      <c r="D1279" s="1" t="s">
        <v>1346</v>
      </c>
      <c r="E1279" s="2">
        <v>45972</v>
      </c>
      <c r="F1279" s="1" t="s">
        <v>317</v>
      </c>
      <c r="G1279" s="1" t="s">
        <v>1347</v>
      </c>
      <c r="H1279" s="1" t="s">
        <v>1348</v>
      </c>
      <c r="I1279" s="1">
        <v>1</v>
      </c>
      <c r="J1279" s="3">
        <v>32439</v>
      </c>
      <c r="K1279" s="3">
        <v>30954</v>
      </c>
      <c r="L1279" s="1">
        <v>0</v>
      </c>
      <c r="M1279" s="4">
        <v>0</v>
      </c>
      <c r="N1279" s="3">
        <v>1485</v>
      </c>
      <c r="O1279" s="4">
        <v>4.5999999999999999E-2</v>
      </c>
      <c r="P1279" s="1" t="s">
        <v>2721</v>
      </c>
    </row>
    <row r="1280" spans="1:16">
      <c r="A1280" s="1" t="s">
        <v>15</v>
      </c>
      <c r="B1280" s="1">
        <v>11</v>
      </c>
      <c r="C1280" s="1" t="s">
        <v>4867</v>
      </c>
      <c r="D1280" s="1" t="s">
        <v>4868</v>
      </c>
      <c r="E1280" s="2">
        <v>45972</v>
      </c>
      <c r="F1280" s="1" t="s">
        <v>18</v>
      </c>
      <c r="G1280" s="1" t="s">
        <v>4293</v>
      </c>
      <c r="H1280" s="1" t="s">
        <v>4294</v>
      </c>
      <c r="I1280" s="1">
        <v>1</v>
      </c>
      <c r="J1280" s="3">
        <v>5898</v>
      </c>
      <c r="K1280" s="3">
        <v>5628</v>
      </c>
      <c r="L1280" s="1">
        <v>0</v>
      </c>
      <c r="M1280" s="4">
        <v>0</v>
      </c>
      <c r="N1280" s="1">
        <v>270</v>
      </c>
      <c r="O1280" s="4">
        <v>4.5999999999999999E-2</v>
      </c>
      <c r="P1280" s="1" t="s">
        <v>2721</v>
      </c>
    </row>
    <row r="1281" spans="1:16">
      <c r="A1281" s="1" t="s">
        <v>15</v>
      </c>
      <c r="B1281" s="1">
        <v>11</v>
      </c>
      <c r="C1281" s="1" t="s">
        <v>4869</v>
      </c>
      <c r="D1281" s="1" t="s">
        <v>482</v>
      </c>
      <c r="E1281" s="2">
        <v>45972</v>
      </c>
      <c r="F1281" s="1" t="s">
        <v>483</v>
      </c>
      <c r="G1281" s="1" t="s">
        <v>484</v>
      </c>
      <c r="H1281" s="1" t="s">
        <v>485</v>
      </c>
      <c r="I1281" s="1">
        <v>1</v>
      </c>
      <c r="J1281" s="3">
        <v>16501</v>
      </c>
      <c r="K1281" s="3">
        <v>15745</v>
      </c>
      <c r="L1281" s="1">
        <v>0</v>
      </c>
      <c r="M1281" s="4">
        <v>0</v>
      </c>
      <c r="N1281" s="1">
        <v>756</v>
      </c>
      <c r="O1281" s="4">
        <v>4.5999999999999999E-2</v>
      </c>
      <c r="P1281" s="1" t="s">
        <v>2721</v>
      </c>
    </row>
    <row r="1282" spans="1:16">
      <c r="A1282" s="1" t="s">
        <v>15</v>
      </c>
      <c r="B1282" s="1">
        <v>11</v>
      </c>
      <c r="C1282" s="1" t="s">
        <v>4870</v>
      </c>
      <c r="D1282" s="1" t="s">
        <v>1346</v>
      </c>
      <c r="E1282" s="2">
        <v>45972</v>
      </c>
      <c r="F1282" s="1" t="s">
        <v>317</v>
      </c>
      <c r="G1282" s="1" t="s">
        <v>1347</v>
      </c>
      <c r="H1282" s="1" t="s">
        <v>742</v>
      </c>
      <c r="I1282" s="1">
        <v>1</v>
      </c>
      <c r="J1282" s="3">
        <v>27524</v>
      </c>
      <c r="K1282" s="3">
        <v>26264</v>
      </c>
      <c r="L1282" s="1">
        <v>0</v>
      </c>
      <c r="M1282" s="4">
        <v>0</v>
      </c>
      <c r="N1282" s="3">
        <v>1260</v>
      </c>
      <c r="O1282" s="4">
        <v>4.5999999999999999E-2</v>
      </c>
      <c r="P1282" s="1" t="s">
        <v>2721</v>
      </c>
    </row>
    <row r="1283" spans="1:16">
      <c r="A1283" s="1" t="s">
        <v>15</v>
      </c>
      <c r="B1283" s="1">
        <v>11</v>
      </c>
      <c r="C1283" s="1" t="s">
        <v>4871</v>
      </c>
      <c r="D1283" s="1" t="s">
        <v>86</v>
      </c>
      <c r="E1283" s="2">
        <v>45972</v>
      </c>
      <c r="F1283" s="1" t="s">
        <v>53</v>
      </c>
      <c r="G1283" s="1" t="s">
        <v>87</v>
      </c>
      <c r="H1283" s="1" t="s">
        <v>88</v>
      </c>
      <c r="I1283" s="1">
        <v>1</v>
      </c>
      <c r="J1283" s="3">
        <v>14956</v>
      </c>
      <c r="K1283" s="3">
        <v>14272</v>
      </c>
      <c r="L1283" s="1">
        <v>0</v>
      </c>
      <c r="M1283" s="4">
        <v>0</v>
      </c>
      <c r="N1283" s="1">
        <v>684</v>
      </c>
      <c r="O1283" s="4">
        <v>4.5999999999999999E-2</v>
      </c>
      <c r="P1283" s="1" t="s">
        <v>2721</v>
      </c>
    </row>
    <row r="1284" spans="1:16">
      <c r="A1284" s="1" t="s">
        <v>15</v>
      </c>
      <c r="B1284" s="1">
        <v>11</v>
      </c>
      <c r="C1284" s="1" t="s">
        <v>4872</v>
      </c>
      <c r="D1284" s="1" t="s">
        <v>2490</v>
      </c>
      <c r="E1284" s="2">
        <v>45972</v>
      </c>
      <c r="F1284" s="1" t="s">
        <v>753</v>
      </c>
      <c r="G1284" s="1" t="s">
        <v>2491</v>
      </c>
      <c r="H1284" s="1" t="s">
        <v>4873</v>
      </c>
      <c r="I1284" s="1">
        <v>1</v>
      </c>
      <c r="J1284" s="3">
        <v>47774</v>
      </c>
      <c r="K1284" s="3">
        <v>45587</v>
      </c>
      <c r="L1284" s="1">
        <v>0</v>
      </c>
      <c r="M1284" s="4">
        <v>0</v>
      </c>
      <c r="N1284" s="3">
        <v>2187</v>
      </c>
      <c r="O1284" s="4">
        <v>4.5999999999999999E-2</v>
      </c>
      <c r="P1284" s="1" t="s">
        <v>2721</v>
      </c>
    </row>
    <row r="1285" spans="1:16">
      <c r="A1285" s="1" t="s">
        <v>15</v>
      </c>
      <c r="B1285" s="1">
        <v>11</v>
      </c>
      <c r="C1285" s="1" t="s">
        <v>4874</v>
      </c>
      <c r="D1285" s="1" t="s">
        <v>944</v>
      </c>
      <c r="E1285" s="2">
        <v>45972</v>
      </c>
      <c r="F1285" s="1" t="s">
        <v>945</v>
      </c>
      <c r="G1285" s="1" t="s">
        <v>946</v>
      </c>
      <c r="H1285" s="1" t="s">
        <v>4875</v>
      </c>
      <c r="I1285" s="1">
        <v>2</v>
      </c>
      <c r="J1285" s="3">
        <v>31448</v>
      </c>
      <c r="K1285" s="3">
        <v>30008</v>
      </c>
      <c r="L1285" s="1">
        <v>0</v>
      </c>
      <c r="M1285" s="4">
        <v>0</v>
      </c>
      <c r="N1285" s="3">
        <v>1440</v>
      </c>
      <c r="O1285" s="4">
        <v>4.5999999999999999E-2</v>
      </c>
      <c r="P1285" s="1" t="s">
        <v>2721</v>
      </c>
    </row>
    <row r="1286" spans="1:16">
      <c r="A1286" s="1" t="s">
        <v>15</v>
      </c>
      <c r="B1286" s="1">
        <v>11</v>
      </c>
      <c r="C1286" s="1" t="s">
        <v>4876</v>
      </c>
      <c r="D1286" s="1" t="s">
        <v>4877</v>
      </c>
      <c r="E1286" s="2">
        <v>45972</v>
      </c>
      <c r="F1286" s="1" t="s">
        <v>783</v>
      </c>
      <c r="G1286" s="1" t="s">
        <v>4878</v>
      </c>
      <c r="H1286" s="1" t="s">
        <v>4879</v>
      </c>
      <c r="I1286" s="1">
        <v>1</v>
      </c>
      <c r="J1286" s="3">
        <v>22216</v>
      </c>
      <c r="K1286" s="3">
        <v>21199</v>
      </c>
      <c r="L1286" s="1">
        <v>0</v>
      </c>
      <c r="M1286" s="4">
        <v>0</v>
      </c>
      <c r="N1286" s="3">
        <v>1017</v>
      </c>
      <c r="O1286" s="4">
        <v>4.5999999999999999E-2</v>
      </c>
      <c r="P1286" s="1" t="s">
        <v>2721</v>
      </c>
    </row>
    <row r="1287" spans="1:16">
      <c r="A1287" s="1" t="s">
        <v>15</v>
      </c>
      <c r="B1287" s="1">
        <v>11</v>
      </c>
      <c r="C1287" s="1" t="s">
        <v>4880</v>
      </c>
      <c r="D1287" s="1" t="s">
        <v>4881</v>
      </c>
      <c r="E1287" s="2">
        <v>45972</v>
      </c>
      <c r="F1287" s="1" t="s">
        <v>1325</v>
      </c>
      <c r="G1287" s="1" t="s">
        <v>4882</v>
      </c>
      <c r="H1287" s="1" t="s">
        <v>4883</v>
      </c>
      <c r="I1287" s="1">
        <v>1</v>
      </c>
      <c r="J1287" s="3">
        <v>7864</v>
      </c>
      <c r="K1287" s="3">
        <v>7504</v>
      </c>
      <c r="L1287" s="1">
        <v>0</v>
      </c>
      <c r="M1287" s="4">
        <v>0</v>
      </c>
      <c r="N1287" s="1">
        <v>360</v>
      </c>
      <c r="O1287" s="4">
        <v>4.5999999999999999E-2</v>
      </c>
      <c r="P1287" s="1" t="s">
        <v>2721</v>
      </c>
    </row>
    <row r="1288" spans="1:16">
      <c r="A1288" s="1" t="s">
        <v>15</v>
      </c>
      <c r="B1288" s="1">
        <v>11</v>
      </c>
      <c r="C1288" s="1" t="s">
        <v>4884</v>
      </c>
      <c r="D1288" s="1" t="s">
        <v>72</v>
      </c>
      <c r="E1288" s="2">
        <v>45972</v>
      </c>
      <c r="F1288" s="1" t="s">
        <v>63</v>
      </c>
      <c r="G1288" s="1" t="s">
        <v>73</v>
      </c>
      <c r="H1288" s="1" t="s">
        <v>74</v>
      </c>
      <c r="I1288" s="1">
        <v>1</v>
      </c>
      <c r="J1288" s="3">
        <v>10456</v>
      </c>
      <c r="K1288" s="3">
        <v>9978</v>
      </c>
      <c r="L1288" s="1">
        <v>0</v>
      </c>
      <c r="M1288" s="4">
        <v>0</v>
      </c>
      <c r="N1288" s="1">
        <v>478</v>
      </c>
      <c r="O1288" s="4">
        <v>4.5999999999999999E-2</v>
      </c>
      <c r="P1288" s="1" t="s">
        <v>2721</v>
      </c>
    </row>
    <row r="1289" spans="1:16">
      <c r="A1289" s="1" t="s">
        <v>577</v>
      </c>
      <c r="B1289" s="1">
        <v>11</v>
      </c>
      <c r="C1289" s="1" t="s">
        <v>4885</v>
      </c>
      <c r="D1289" s="1" t="s">
        <v>1779</v>
      </c>
      <c r="E1289" s="2">
        <v>45972</v>
      </c>
      <c r="F1289" s="1" t="s">
        <v>63</v>
      </c>
      <c r="G1289" s="1" t="s">
        <v>113</v>
      </c>
      <c r="H1289" s="1" t="s">
        <v>74</v>
      </c>
      <c r="I1289" s="1">
        <v>1</v>
      </c>
      <c r="J1289" s="3">
        <v>10456</v>
      </c>
      <c r="K1289" s="3">
        <v>9978</v>
      </c>
      <c r="L1289" s="1">
        <v>0</v>
      </c>
      <c r="M1289" s="4">
        <v>0</v>
      </c>
      <c r="N1289" s="1">
        <v>478</v>
      </c>
      <c r="O1289" s="4">
        <v>4.5999999999999999E-2</v>
      </c>
      <c r="P1289" s="1" t="s">
        <v>2721</v>
      </c>
    </row>
    <row r="1290" spans="1:16">
      <c r="A1290" s="1" t="s">
        <v>577</v>
      </c>
      <c r="B1290" s="1">
        <v>11</v>
      </c>
      <c r="C1290" s="1" t="s">
        <v>4886</v>
      </c>
      <c r="D1290" s="1" t="s">
        <v>590</v>
      </c>
      <c r="E1290" s="2">
        <v>45972</v>
      </c>
      <c r="F1290" s="1" t="s">
        <v>312</v>
      </c>
      <c r="G1290" s="1" t="s">
        <v>412</v>
      </c>
      <c r="H1290" s="1" t="s">
        <v>413</v>
      </c>
      <c r="I1290" s="1">
        <v>1</v>
      </c>
      <c r="J1290" s="3">
        <v>27524</v>
      </c>
      <c r="K1290" s="3">
        <v>26264</v>
      </c>
      <c r="L1290" s="1">
        <v>0</v>
      </c>
      <c r="M1290" s="4">
        <v>0</v>
      </c>
      <c r="N1290" s="3">
        <v>1260</v>
      </c>
      <c r="O1290" s="4">
        <v>4.5999999999999999E-2</v>
      </c>
      <c r="P1290" s="1" t="s">
        <v>2721</v>
      </c>
    </row>
    <row r="1291" spans="1:16">
      <c r="A1291" s="1" t="s">
        <v>577</v>
      </c>
      <c r="B1291" s="1">
        <v>11</v>
      </c>
      <c r="C1291" s="1" t="s">
        <v>4887</v>
      </c>
      <c r="D1291" s="1" t="s">
        <v>4888</v>
      </c>
      <c r="E1291" s="2">
        <v>45972</v>
      </c>
      <c r="F1291" s="1" t="s">
        <v>856</v>
      </c>
      <c r="G1291" s="1" t="s">
        <v>1093</v>
      </c>
      <c r="H1291" s="1" t="s">
        <v>1094</v>
      </c>
      <c r="I1291" s="1">
        <v>1</v>
      </c>
      <c r="J1291" s="3">
        <v>31439</v>
      </c>
      <c r="K1291" s="3">
        <v>30000</v>
      </c>
      <c r="L1291" s="1">
        <v>0</v>
      </c>
      <c r="M1291" s="4">
        <v>0</v>
      </c>
      <c r="N1291" s="3">
        <v>1439</v>
      </c>
      <c r="O1291" s="4">
        <v>4.5999999999999999E-2</v>
      </c>
      <c r="P1291" s="1" t="s">
        <v>2721</v>
      </c>
    </row>
    <row r="1292" spans="1:16">
      <c r="A1292" s="1" t="s">
        <v>577</v>
      </c>
      <c r="B1292" s="1">
        <v>11</v>
      </c>
      <c r="C1292" s="1" t="s">
        <v>4889</v>
      </c>
      <c r="D1292" s="1" t="s">
        <v>4290</v>
      </c>
      <c r="E1292" s="2">
        <v>45972</v>
      </c>
      <c r="F1292" s="1" t="s">
        <v>235</v>
      </c>
      <c r="G1292" s="1" t="s">
        <v>3382</v>
      </c>
      <c r="H1292" s="1" t="s">
        <v>3382</v>
      </c>
      <c r="I1292" s="1">
        <v>1</v>
      </c>
      <c r="J1292" s="3">
        <v>22363</v>
      </c>
      <c r="K1292" s="3">
        <v>21340</v>
      </c>
      <c r="L1292" s="1">
        <v>0</v>
      </c>
      <c r="M1292" s="4">
        <v>0</v>
      </c>
      <c r="N1292" s="3">
        <v>1023</v>
      </c>
      <c r="O1292" s="4">
        <v>4.5999999999999999E-2</v>
      </c>
      <c r="P1292" s="1" t="s">
        <v>2721</v>
      </c>
    </row>
    <row r="1293" spans="1:16">
      <c r="A1293" s="1" t="s">
        <v>577</v>
      </c>
      <c r="B1293" s="1">
        <v>11</v>
      </c>
      <c r="C1293" s="1" t="s">
        <v>4890</v>
      </c>
      <c r="D1293" s="1" t="s">
        <v>4891</v>
      </c>
      <c r="E1293" s="2">
        <v>45972</v>
      </c>
      <c r="F1293" s="1" t="s">
        <v>500</v>
      </c>
      <c r="G1293" s="1" t="s">
        <v>4892</v>
      </c>
      <c r="H1293" s="1" t="s">
        <v>4893</v>
      </c>
      <c r="I1293" s="1">
        <v>1</v>
      </c>
      <c r="J1293" s="3">
        <v>288193</v>
      </c>
      <c r="K1293" s="3">
        <v>275000</v>
      </c>
      <c r="L1293" s="1">
        <v>0</v>
      </c>
      <c r="M1293" s="4">
        <v>0</v>
      </c>
      <c r="N1293" s="3">
        <v>13193</v>
      </c>
      <c r="O1293" s="4">
        <v>4.5999999999999999E-2</v>
      </c>
      <c r="P1293" s="1" t="s">
        <v>2721</v>
      </c>
    </row>
    <row r="1294" spans="1:16">
      <c r="A1294" s="1" t="s">
        <v>577</v>
      </c>
      <c r="B1294" s="1">
        <v>11</v>
      </c>
      <c r="C1294" s="1" t="s">
        <v>4894</v>
      </c>
      <c r="D1294" s="1" t="s">
        <v>1698</v>
      </c>
      <c r="E1294" s="2">
        <v>45972</v>
      </c>
      <c r="F1294" s="1" t="s">
        <v>235</v>
      </c>
      <c r="G1294" s="1" t="s">
        <v>1154</v>
      </c>
      <c r="H1294" s="1" t="s">
        <v>1155</v>
      </c>
      <c r="I1294" s="1">
        <v>2</v>
      </c>
      <c r="J1294" s="3">
        <v>28507</v>
      </c>
      <c r="K1294" s="3">
        <v>27202</v>
      </c>
      <c r="L1294" s="1">
        <v>0</v>
      </c>
      <c r="M1294" s="4">
        <v>0</v>
      </c>
      <c r="N1294" s="3">
        <v>1305</v>
      </c>
      <c r="O1294" s="4">
        <v>4.5999999999999999E-2</v>
      </c>
      <c r="P1294" s="1" t="s">
        <v>2721</v>
      </c>
    </row>
    <row r="1295" spans="1:16">
      <c r="A1295" s="1" t="s">
        <v>577</v>
      </c>
      <c r="B1295" s="1">
        <v>11</v>
      </c>
      <c r="C1295" s="1" t="s">
        <v>4895</v>
      </c>
      <c r="D1295" s="1" t="s">
        <v>4896</v>
      </c>
      <c r="E1295" s="2">
        <v>45972</v>
      </c>
      <c r="F1295" s="1" t="s">
        <v>96</v>
      </c>
      <c r="G1295" s="1" t="s">
        <v>4897</v>
      </c>
      <c r="H1295" s="1" t="s">
        <v>4898</v>
      </c>
      <c r="I1295" s="1">
        <v>1</v>
      </c>
      <c r="J1295" s="3">
        <v>17092</v>
      </c>
      <c r="K1295" s="3">
        <v>16310</v>
      </c>
      <c r="L1295" s="1">
        <v>0</v>
      </c>
      <c r="M1295" s="4">
        <v>0</v>
      </c>
      <c r="N1295" s="1">
        <v>782</v>
      </c>
      <c r="O1295" s="4">
        <v>4.5999999999999999E-2</v>
      </c>
      <c r="P1295" s="1" t="s">
        <v>2721</v>
      </c>
    </row>
    <row r="1296" spans="1:16">
      <c r="A1296" s="1" t="s">
        <v>577</v>
      </c>
      <c r="B1296" s="1">
        <v>11</v>
      </c>
      <c r="C1296" s="1" t="s">
        <v>4899</v>
      </c>
      <c r="D1296" s="1" t="s">
        <v>1731</v>
      </c>
      <c r="E1296" s="2">
        <v>45972</v>
      </c>
      <c r="F1296" s="1" t="s">
        <v>500</v>
      </c>
      <c r="G1296" s="1" t="s">
        <v>1080</v>
      </c>
      <c r="H1296" s="1" t="s">
        <v>1081</v>
      </c>
      <c r="I1296" s="1">
        <v>1</v>
      </c>
      <c r="J1296" s="3">
        <v>113182</v>
      </c>
      <c r="K1296" s="3">
        <v>108000</v>
      </c>
      <c r="L1296" s="1">
        <v>0</v>
      </c>
      <c r="M1296" s="4">
        <v>0</v>
      </c>
      <c r="N1296" s="3">
        <v>5182</v>
      </c>
      <c r="O1296" s="4">
        <v>4.5999999999999999E-2</v>
      </c>
      <c r="P1296" s="1" t="s">
        <v>2721</v>
      </c>
    </row>
    <row r="1297" spans="1:16">
      <c r="A1297" s="1" t="s">
        <v>577</v>
      </c>
      <c r="B1297" s="1">
        <v>11</v>
      </c>
      <c r="C1297" s="1" t="s">
        <v>4900</v>
      </c>
      <c r="D1297" s="1" t="s">
        <v>2600</v>
      </c>
      <c r="E1297" s="2">
        <v>45972</v>
      </c>
      <c r="F1297" s="1" t="s">
        <v>28</v>
      </c>
      <c r="G1297" s="1" t="s">
        <v>29</v>
      </c>
      <c r="H1297" s="1" t="s">
        <v>30</v>
      </c>
      <c r="I1297" s="1">
        <v>1</v>
      </c>
      <c r="J1297" s="3">
        <v>27033</v>
      </c>
      <c r="K1297" s="3">
        <v>25795</v>
      </c>
      <c r="L1297" s="1">
        <v>0</v>
      </c>
      <c r="M1297" s="4">
        <v>0</v>
      </c>
      <c r="N1297" s="3">
        <v>1238</v>
      </c>
      <c r="O1297" s="4">
        <v>4.5999999999999999E-2</v>
      </c>
      <c r="P1297" s="1" t="s">
        <v>2721</v>
      </c>
    </row>
    <row r="1298" spans="1:16">
      <c r="A1298" s="1" t="s">
        <v>577</v>
      </c>
      <c r="B1298" s="1">
        <v>11</v>
      </c>
      <c r="C1298" s="1" t="s">
        <v>4901</v>
      </c>
      <c r="D1298" s="1" t="s">
        <v>4902</v>
      </c>
      <c r="E1298" s="2">
        <v>45972</v>
      </c>
      <c r="F1298" s="1" t="s">
        <v>347</v>
      </c>
      <c r="G1298" s="1" t="s">
        <v>1295</v>
      </c>
      <c r="H1298" s="1" t="s">
        <v>4903</v>
      </c>
      <c r="I1298" s="1">
        <v>1</v>
      </c>
      <c r="J1298" s="3">
        <v>25165</v>
      </c>
      <c r="K1298" s="3">
        <v>24013</v>
      </c>
      <c r="L1298" s="1">
        <v>0</v>
      </c>
      <c r="M1298" s="4">
        <v>0</v>
      </c>
      <c r="N1298" s="3">
        <v>1152</v>
      </c>
      <c r="O1298" s="4">
        <v>4.5999999999999999E-2</v>
      </c>
      <c r="P1298" s="1" t="s">
        <v>2721</v>
      </c>
    </row>
    <row r="1299" spans="1:16">
      <c r="A1299" s="1" t="s">
        <v>577</v>
      </c>
      <c r="B1299" s="1">
        <v>11</v>
      </c>
      <c r="C1299" s="1" t="s">
        <v>4904</v>
      </c>
      <c r="D1299" s="1" t="s">
        <v>1700</v>
      </c>
      <c r="E1299" s="2">
        <v>45972</v>
      </c>
      <c r="F1299" s="1" t="s">
        <v>395</v>
      </c>
      <c r="G1299" s="1" t="s">
        <v>2803</v>
      </c>
      <c r="H1299" s="1" t="s">
        <v>2804</v>
      </c>
      <c r="I1299" s="1">
        <v>1</v>
      </c>
      <c r="J1299" s="3">
        <v>18874</v>
      </c>
      <c r="K1299" s="3">
        <v>18010</v>
      </c>
      <c r="L1299" s="1">
        <v>0</v>
      </c>
      <c r="M1299" s="4">
        <v>0</v>
      </c>
      <c r="N1299" s="1">
        <v>864</v>
      </c>
      <c r="O1299" s="4">
        <v>4.5999999999999999E-2</v>
      </c>
      <c r="P1299" s="1" t="s">
        <v>2721</v>
      </c>
    </row>
    <row r="1300" spans="1:16">
      <c r="A1300" s="1" t="s">
        <v>577</v>
      </c>
      <c r="B1300" s="1">
        <v>11</v>
      </c>
      <c r="C1300" s="1" t="s">
        <v>4905</v>
      </c>
      <c r="D1300" s="1" t="s">
        <v>4906</v>
      </c>
      <c r="E1300" s="2">
        <v>45972</v>
      </c>
      <c r="F1300" s="1" t="s">
        <v>488</v>
      </c>
      <c r="G1300" s="1" t="s">
        <v>489</v>
      </c>
      <c r="H1300" s="1" t="s">
        <v>490</v>
      </c>
      <c r="I1300" s="1">
        <v>1</v>
      </c>
      <c r="J1300" s="3">
        <v>19169</v>
      </c>
      <c r="K1300" s="3">
        <v>18291</v>
      </c>
      <c r="L1300" s="1">
        <v>0</v>
      </c>
      <c r="M1300" s="4">
        <v>0</v>
      </c>
      <c r="N1300" s="1">
        <v>878</v>
      </c>
      <c r="O1300" s="4">
        <v>4.5999999999999999E-2</v>
      </c>
      <c r="P1300" s="1" t="s">
        <v>2721</v>
      </c>
    </row>
    <row r="1301" spans="1:16">
      <c r="A1301" s="1" t="s">
        <v>577</v>
      </c>
      <c r="B1301" s="1">
        <v>11</v>
      </c>
      <c r="C1301" s="1" t="s">
        <v>4907</v>
      </c>
      <c r="D1301" s="1" t="s">
        <v>4908</v>
      </c>
      <c r="E1301" s="2">
        <v>45972</v>
      </c>
      <c r="F1301" s="1" t="s">
        <v>407</v>
      </c>
      <c r="G1301" s="1" t="s">
        <v>505</v>
      </c>
      <c r="H1301" s="1" t="s">
        <v>506</v>
      </c>
      <c r="I1301" s="1">
        <v>1</v>
      </c>
      <c r="J1301" s="3">
        <v>40303</v>
      </c>
      <c r="K1301" s="3">
        <v>38458</v>
      </c>
      <c r="L1301" s="1">
        <v>0</v>
      </c>
      <c r="M1301" s="4">
        <v>0</v>
      </c>
      <c r="N1301" s="3">
        <v>1845</v>
      </c>
      <c r="O1301" s="4">
        <v>4.5999999999999999E-2</v>
      </c>
      <c r="P1301" s="1" t="s">
        <v>2721</v>
      </c>
    </row>
    <row r="1302" spans="1:16">
      <c r="A1302" s="1" t="s">
        <v>577</v>
      </c>
      <c r="B1302" s="1">
        <v>11</v>
      </c>
      <c r="C1302" s="1" t="s">
        <v>4907</v>
      </c>
      <c r="D1302" s="1" t="s">
        <v>4909</v>
      </c>
      <c r="E1302" s="2">
        <v>45972</v>
      </c>
      <c r="F1302" s="1" t="s">
        <v>96</v>
      </c>
      <c r="G1302" s="1" t="s">
        <v>4910</v>
      </c>
      <c r="H1302" s="1" t="s">
        <v>4911</v>
      </c>
      <c r="I1302" s="1">
        <v>1</v>
      </c>
      <c r="J1302" s="3">
        <v>10762</v>
      </c>
      <c r="K1302" s="3">
        <v>10269</v>
      </c>
      <c r="L1302" s="1">
        <v>0</v>
      </c>
      <c r="M1302" s="4">
        <v>0</v>
      </c>
      <c r="N1302" s="1">
        <v>493</v>
      </c>
      <c r="O1302" s="4">
        <v>4.5999999999999999E-2</v>
      </c>
      <c r="P1302" s="1" t="s">
        <v>2721</v>
      </c>
    </row>
    <row r="1303" spans="1:16">
      <c r="A1303" s="1" t="s">
        <v>577</v>
      </c>
      <c r="B1303" s="1">
        <v>11</v>
      </c>
      <c r="C1303" s="1" t="s">
        <v>4912</v>
      </c>
      <c r="D1303" s="1" t="s">
        <v>1802</v>
      </c>
      <c r="E1303" s="2">
        <v>45972</v>
      </c>
      <c r="F1303" s="1" t="s">
        <v>96</v>
      </c>
      <c r="G1303" s="1" t="s">
        <v>1320</v>
      </c>
      <c r="H1303" s="1" t="s">
        <v>1321</v>
      </c>
      <c r="I1303" s="1">
        <v>1</v>
      </c>
      <c r="J1303" s="3">
        <v>8501</v>
      </c>
      <c r="K1303" s="3">
        <v>8112</v>
      </c>
      <c r="L1303" s="1">
        <v>0</v>
      </c>
      <c r="M1303" s="4">
        <v>0</v>
      </c>
      <c r="N1303" s="1">
        <v>389</v>
      </c>
      <c r="O1303" s="4">
        <v>4.5999999999999999E-2</v>
      </c>
      <c r="P1303" s="1" t="s">
        <v>2721</v>
      </c>
    </row>
    <row r="1304" spans="1:16">
      <c r="A1304" s="1" t="s">
        <v>602</v>
      </c>
      <c r="B1304" s="1">
        <v>11</v>
      </c>
      <c r="C1304" s="1">
        <v>23100152170422</v>
      </c>
      <c r="D1304" s="1" t="s">
        <v>607</v>
      </c>
      <c r="E1304" s="2">
        <v>45972</v>
      </c>
      <c r="F1304" s="1" t="s">
        <v>604</v>
      </c>
      <c r="G1304" s="1" t="s">
        <v>608</v>
      </c>
      <c r="H1304" s="1" t="s">
        <v>609</v>
      </c>
      <c r="I1304" s="1">
        <v>3</v>
      </c>
      <c r="J1304" s="3">
        <v>42800</v>
      </c>
      <c r="K1304" s="3">
        <v>32200</v>
      </c>
      <c r="L1304" s="3">
        <v>4965</v>
      </c>
      <c r="M1304" s="4">
        <v>0.11600000000000001</v>
      </c>
      <c r="N1304" s="3">
        <v>5635</v>
      </c>
      <c r="O1304" s="4">
        <v>0.13200000000000001</v>
      </c>
      <c r="P1304" s="1" t="s">
        <v>2721</v>
      </c>
    </row>
    <row r="1305" spans="1:16">
      <c r="A1305" s="1" t="s">
        <v>624</v>
      </c>
      <c r="B1305" s="1">
        <v>11</v>
      </c>
      <c r="C1305" s="1">
        <v>2025111019635080</v>
      </c>
      <c r="D1305" s="1" t="s">
        <v>607</v>
      </c>
      <c r="E1305" s="2">
        <v>45972</v>
      </c>
      <c r="F1305" s="1" t="s">
        <v>604</v>
      </c>
      <c r="G1305" s="1" t="s">
        <v>608</v>
      </c>
      <c r="H1305" s="1" t="s">
        <v>1847</v>
      </c>
      <c r="I1305" s="1">
        <v>5</v>
      </c>
      <c r="J1305" s="3">
        <v>66530</v>
      </c>
      <c r="K1305" s="3">
        <v>52000</v>
      </c>
      <c r="L1305" s="3">
        <v>8649</v>
      </c>
      <c r="M1305" s="4">
        <v>0.13</v>
      </c>
      <c r="N1305" s="3">
        <v>5881</v>
      </c>
      <c r="O1305" s="4">
        <v>8.7999999999999995E-2</v>
      </c>
      <c r="P1305" s="1" t="s">
        <v>2721</v>
      </c>
    </row>
    <row r="1306" spans="1:16">
      <c r="A1306" s="1" t="s">
        <v>630</v>
      </c>
      <c r="B1306" s="1">
        <v>11</v>
      </c>
      <c r="C1306" s="1">
        <v>1117107719571910</v>
      </c>
      <c r="D1306" s="1" t="s">
        <v>4913</v>
      </c>
      <c r="E1306" s="2">
        <v>45972</v>
      </c>
      <c r="F1306" s="1" t="s">
        <v>604</v>
      </c>
      <c r="G1306" s="1" t="s">
        <v>4914</v>
      </c>
      <c r="I1306" s="1">
        <v>1</v>
      </c>
      <c r="J1306" s="3">
        <v>8500</v>
      </c>
      <c r="K1306" s="3">
        <v>2500</v>
      </c>
      <c r="L1306" s="1">
        <v>561</v>
      </c>
      <c r="M1306" s="4">
        <v>6.6000000000000003E-2</v>
      </c>
      <c r="N1306" s="3">
        <v>5439</v>
      </c>
      <c r="O1306" s="4">
        <v>0.64</v>
      </c>
      <c r="P1306" s="1" t="s">
        <v>2721</v>
      </c>
    </row>
    <row r="1307" spans="1:16">
      <c r="A1307" s="1" t="s">
        <v>630</v>
      </c>
      <c r="B1307" s="1">
        <v>11</v>
      </c>
      <c r="C1307" s="1">
        <v>1117015377291640</v>
      </c>
      <c r="D1307" s="1" t="s">
        <v>3017</v>
      </c>
      <c r="E1307" s="2">
        <v>45972</v>
      </c>
      <c r="F1307" s="1" t="s">
        <v>604</v>
      </c>
      <c r="G1307" s="1" t="s">
        <v>3018</v>
      </c>
      <c r="H1307" s="1" t="s">
        <v>4915</v>
      </c>
      <c r="I1307" s="1">
        <v>1</v>
      </c>
      <c r="J1307" s="3">
        <v>19000</v>
      </c>
      <c r="K1307" s="3">
        <v>9980</v>
      </c>
      <c r="L1307" s="3">
        <v>1254</v>
      </c>
      <c r="M1307" s="4">
        <v>6.6000000000000003E-2</v>
      </c>
      <c r="N1307" s="3">
        <v>7766</v>
      </c>
      <c r="O1307" s="4">
        <v>0.40899999999999997</v>
      </c>
      <c r="P1307" s="1" t="s">
        <v>2721</v>
      </c>
    </row>
    <row r="1308" spans="1:16">
      <c r="A1308" s="1" t="s">
        <v>630</v>
      </c>
      <c r="B1308" s="1">
        <v>11</v>
      </c>
      <c r="C1308" s="1">
        <v>1117015292457280</v>
      </c>
      <c r="D1308" s="1" t="s">
        <v>627</v>
      </c>
      <c r="E1308" s="2">
        <v>45972</v>
      </c>
      <c r="F1308" s="1" t="s">
        <v>604</v>
      </c>
      <c r="G1308" s="1" t="s">
        <v>628</v>
      </c>
      <c r="H1308" s="1" t="s">
        <v>1848</v>
      </c>
      <c r="I1308" s="1">
        <v>1</v>
      </c>
      <c r="J1308" s="3">
        <v>7500</v>
      </c>
      <c r="K1308" s="3">
        <v>4300</v>
      </c>
      <c r="L1308" s="1">
        <v>495</v>
      </c>
      <c r="M1308" s="4">
        <v>6.6000000000000003E-2</v>
      </c>
      <c r="N1308" s="3">
        <v>2705</v>
      </c>
      <c r="O1308" s="4">
        <v>0.36099999999999999</v>
      </c>
      <c r="P1308" s="1" t="s">
        <v>2721</v>
      </c>
    </row>
    <row r="1309" spans="1:16">
      <c r="A1309" s="1" t="s">
        <v>630</v>
      </c>
      <c r="B1309" s="1">
        <v>11</v>
      </c>
      <c r="C1309" s="1">
        <v>1117065804717280</v>
      </c>
      <c r="D1309" s="1" t="s">
        <v>627</v>
      </c>
      <c r="E1309" s="2">
        <v>45972</v>
      </c>
      <c r="F1309" s="1" t="s">
        <v>604</v>
      </c>
      <c r="G1309" s="1" t="s">
        <v>628</v>
      </c>
      <c r="H1309" s="1" t="s">
        <v>1848</v>
      </c>
      <c r="I1309" s="1">
        <v>2</v>
      </c>
      <c r="J1309" s="3">
        <v>15000</v>
      </c>
      <c r="K1309" s="3">
        <v>6100</v>
      </c>
      <c r="L1309" s="1">
        <v>990</v>
      </c>
      <c r="M1309" s="4">
        <v>6.6000000000000003E-2</v>
      </c>
      <c r="N1309" s="3">
        <v>7910</v>
      </c>
      <c r="O1309" s="4">
        <v>0.52700000000000002</v>
      </c>
      <c r="P1309" s="1" t="s">
        <v>2721</v>
      </c>
    </row>
    <row r="1310" spans="1:16">
      <c r="A1310" s="1" t="s">
        <v>630</v>
      </c>
      <c r="B1310" s="1">
        <v>11</v>
      </c>
      <c r="C1310" s="1">
        <v>1117072103896430</v>
      </c>
      <c r="D1310" s="1" t="s">
        <v>627</v>
      </c>
      <c r="E1310" s="2">
        <v>45972</v>
      </c>
      <c r="F1310" s="1" t="s">
        <v>604</v>
      </c>
      <c r="G1310" s="1" t="s">
        <v>628</v>
      </c>
      <c r="H1310" s="1" t="s">
        <v>1848</v>
      </c>
      <c r="I1310" s="1">
        <v>1</v>
      </c>
      <c r="J1310" s="3">
        <v>7500</v>
      </c>
      <c r="K1310" s="3">
        <v>4300</v>
      </c>
      <c r="L1310" s="1">
        <v>495</v>
      </c>
      <c r="M1310" s="4">
        <v>6.6000000000000003E-2</v>
      </c>
      <c r="N1310" s="3">
        <v>2705</v>
      </c>
      <c r="O1310" s="4">
        <v>0.36099999999999999</v>
      </c>
      <c r="P1310" s="1" t="s">
        <v>2721</v>
      </c>
    </row>
    <row r="1311" spans="1:16">
      <c r="A1311" s="1" t="s">
        <v>707</v>
      </c>
      <c r="B1311" s="1">
        <v>11</v>
      </c>
      <c r="C1311" s="1">
        <v>2.02511101414528E+17</v>
      </c>
      <c r="D1311" s="1" t="s">
        <v>1850</v>
      </c>
      <c r="E1311" s="2">
        <v>45972</v>
      </c>
      <c r="F1311" s="1" t="s">
        <v>604</v>
      </c>
      <c r="G1311" s="1" t="s">
        <v>1851</v>
      </c>
      <c r="H1311" s="1" t="s">
        <v>4916</v>
      </c>
      <c r="I1311" s="1">
        <v>3</v>
      </c>
      <c r="J1311" s="3">
        <v>13800</v>
      </c>
      <c r="K1311" s="3">
        <v>8275</v>
      </c>
      <c r="L1311" s="3">
        <v>2070</v>
      </c>
      <c r="M1311" s="4">
        <v>0.15</v>
      </c>
      <c r="N1311" s="3">
        <v>3455</v>
      </c>
      <c r="O1311" s="4">
        <v>0.25</v>
      </c>
      <c r="P1311" s="1" t="s">
        <v>2721</v>
      </c>
    </row>
    <row r="1312" spans="1:16">
      <c r="A1312" s="1" t="s">
        <v>739</v>
      </c>
      <c r="B1312" s="1">
        <v>11</v>
      </c>
      <c r="C1312" s="1">
        <v>31405929</v>
      </c>
      <c r="D1312" s="1" t="s">
        <v>4917</v>
      </c>
      <c r="E1312" s="2">
        <v>45972</v>
      </c>
      <c r="F1312" s="1" t="s">
        <v>604</v>
      </c>
      <c r="G1312" s="1" t="s">
        <v>4918</v>
      </c>
      <c r="H1312" s="1" t="s">
        <v>4919</v>
      </c>
      <c r="I1312" s="1">
        <v>5</v>
      </c>
      <c r="J1312" s="3">
        <v>44500</v>
      </c>
      <c r="K1312" s="3">
        <v>15130</v>
      </c>
      <c r="L1312" s="3">
        <v>5874</v>
      </c>
      <c r="M1312" s="4">
        <v>0.13200000000000001</v>
      </c>
      <c r="N1312" s="3">
        <v>23496</v>
      </c>
      <c r="O1312" s="4">
        <v>0.52800000000000002</v>
      </c>
      <c r="P1312" s="1" t="s">
        <v>2721</v>
      </c>
    </row>
    <row r="1313" spans="1:16">
      <c r="A1313" s="1" t="s">
        <v>649</v>
      </c>
      <c r="B1313" s="1">
        <v>11</v>
      </c>
      <c r="C1313" s="1">
        <v>25111106565423</v>
      </c>
      <c r="D1313" s="1" t="s">
        <v>2635</v>
      </c>
      <c r="E1313" s="2">
        <v>45972</v>
      </c>
      <c r="F1313" s="1" t="s">
        <v>2636</v>
      </c>
      <c r="G1313" s="1" t="s">
        <v>2637</v>
      </c>
      <c r="H1313" s="1" t="s">
        <v>2638</v>
      </c>
      <c r="I1313" s="1">
        <v>1</v>
      </c>
      <c r="J1313" s="3">
        <v>10472</v>
      </c>
      <c r="K1313" s="3">
        <v>8911</v>
      </c>
      <c r="L1313" s="1">
        <v>0</v>
      </c>
      <c r="M1313" s="4">
        <v>0</v>
      </c>
      <c r="N1313" s="3">
        <v>1561</v>
      </c>
      <c r="O1313" s="4">
        <v>0.14899999999999999</v>
      </c>
      <c r="P1313" s="1" t="s">
        <v>2721</v>
      </c>
    </row>
    <row r="1314" spans="1:16">
      <c r="A1314" s="1" t="s">
        <v>649</v>
      </c>
      <c r="B1314" s="1">
        <v>11</v>
      </c>
      <c r="C1314" s="1">
        <v>25111020315204</v>
      </c>
      <c r="D1314" s="1" t="s">
        <v>3429</v>
      </c>
      <c r="E1314" s="2">
        <v>45972</v>
      </c>
      <c r="F1314" s="1" t="s">
        <v>48</v>
      </c>
      <c r="G1314" s="1" t="s">
        <v>3430</v>
      </c>
      <c r="H1314" s="1" t="s">
        <v>3431</v>
      </c>
      <c r="I1314" s="1">
        <v>1</v>
      </c>
      <c r="J1314" s="3">
        <v>12997</v>
      </c>
      <c r="K1314" s="3">
        <v>11068</v>
      </c>
      <c r="L1314" s="1">
        <v>0</v>
      </c>
      <c r="M1314" s="4">
        <v>0</v>
      </c>
      <c r="N1314" s="3">
        <v>1929</v>
      </c>
      <c r="O1314" s="4">
        <v>0.14799999999999999</v>
      </c>
      <c r="P1314" s="1" t="s">
        <v>2721</v>
      </c>
    </row>
    <row r="1315" spans="1:16">
      <c r="A1315" s="1" t="s">
        <v>649</v>
      </c>
      <c r="B1315" s="1">
        <v>11</v>
      </c>
      <c r="C1315" s="1">
        <v>25111020315204</v>
      </c>
      <c r="D1315" s="1" t="s">
        <v>4920</v>
      </c>
      <c r="E1315" s="2">
        <v>45972</v>
      </c>
      <c r="F1315" s="1" t="s">
        <v>235</v>
      </c>
      <c r="G1315" s="1" t="s">
        <v>4921</v>
      </c>
      <c r="H1315" s="1" t="s">
        <v>4922</v>
      </c>
      <c r="I1315" s="1">
        <v>1</v>
      </c>
      <c r="J1315" s="3">
        <v>11985</v>
      </c>
      <c r="K1315" s="3">
        <v>11209</v>
      </c>
      <c r="L1315" s="1">
        <v>0</v>
      </c>
      <c r="M1315" s="4">
        <v>0</v>
      </c>
      <c r="N1315" s="1">
        <v>776</v>
      </c>
      <c r="O1315" s="4">
        <v>6.5000000000000002E-2</v>
      </c>
      <c r="P1315" s="1" t="s">
        <v>2721</v>
      </c>
    </row>
    <row r="1316" spans="1:16">
      <c r="A1316" s="1" t="s">
        <v>649</v>
      </c>
      <c r="B1316" s="1">
        <v>11</v>
      </c>
      <c r="C1316" s="1">
        <v>25111020003030</v>
      </c>
      <c r="D1316" s="1" t="s">
        <v>4384</v>
      </c>
      <c r="E1316" s="2">
        <v>45972</v>
      </c>
      <c r="F1316" s="1" t="s">
        <v>48</v>
      </c>
      <c r="G1316" s="1" t="s">
        <v>4385</v>
      </c>
      <c r="H1316" s="1" t="s">
        <v>4386</v>
      </c>
      <c r="I1316" s="1">
        <v>1</v>
      </c>
      <c r="J1316" s="3">
        <v>18700</v>
      </c>
      <c r="K1316" s="3">
        <v>15899</v>
      </c>
      <c r="L1316" s="1">
        <v>0</v>
      </c>
      <c r="M1316" s="4">
        <v>0</v>
      </c>
      <c r="N1316" s="3">
        <v>2801</v>
      </c>
      <c r="O1316" s="4">
        <v>0.15</v>
      </c>
      <c r="P1316" s="1" t="s">
        <v>2721</v>
      </c>
    </row>
    <row r="1317" spans="1:16">
      <c r="A1317" s="1" t="s">
        <v>649</v>
      </c>
      <c r="B1317" s="1">
        <v>11</v>
      </c>
      <c r="C1317" s="1">
        <v>25111013212581</v>
      </c>
      <c r="D1317" s="1" t="s">
        <v>2205</v>
      </c>
      <c r="E1317" s="2">
        <v>45972</v>
      </c>
      <c r="F1317" s="1" t="s">
        <v>2206</v>
      </c>
      <c r="G1317" s="1" t="s">
        <v>2207</v>
      </c>
      <c r="H1317" s="1" t="s">
        <v>4923</v>
      </c>
      <c r="I1317" s="1">
        <v>1</v>
      </c>
      <c r="J1317" s="3">
        <v>24030</v>
      </c>
      <c r="K1317" s="3">
        <v>20437</v>
      </c>
      <c r="L1317" s="1">
        <v>0</v>
      </c>
      <c r="M1317" s="4">
        <v>0</v>
      </c>
      <c r="N1317" s="3">
        <v>3593</v>
      </c>
      <c r="O1317" s="4">
        <v>0.15</v>
      </c>
      <c r="P1317" s="1" t="s">
        <v>2721</v>
      </c>
    </row>
    <row r="1318" spans="1:16">
      <c r="A1318" s="1" t="s">
        <v>649</v>
      </c>
      <c r="B1318" s="1">
        <v>11</v>
      </c>
      <c r="C1318" s="1">
        <v>25111013192734</v>
      </c>
      <c r="D1318" s="1" t="s">
        <v>1901</v>
      </c>
      <c r="E1318" s="2">
        <v>45972</v>
      </c>
      <c r="F1318" s="1" t="s">
        <v>1513</v>
      </c>
      <c r="G1318" s="1" t="s">
        <v>1902</v>
      </c>
      <c r="H1318" s="1" t="s">
        <v>1903</v>
      </c>
      <c r="I1318" s="1">
        <v>1</v>
      </c>
      <c r="J1318" s="3">
        <v>9265</v>
      </c>
      <c r="K1318" s="3">
        <v>8600</v>
      </c>
      <c r="L1318" s="1">
        <v>0</v>
      </c>
      <c r="M1318" s="4">
        <v>0</v>
      </c>
      <c r="N1318" s="1">
        <v>665</v>
      </c>
      <c r="O1318" s="4">
        <v>7.1999999999999995E-2</v>
      </c>
      <c r="P1318" s="1" t="s">
        <v>2721</v>
      </c>
    </row>
    <row r="1319" spans="1:16">
      <c r="A1319" s="1" t="s">
        <v>649</v>
      </c>
      <c r="B1319" s="1">
        <v>11</v>
      </c>
      <c r="C1319" s="1">
        <v>25111013083304</v>
      </c>
      <c r="D1319" s="1" t="s">
        <v>4924</v>
      </c>
      <c r="E1319" s="2">
        <v>45972</v>
      </c>
      <c r="F1319" s="1" t="s">
        <v>1665</v>
      </c>
      <c r="G1319" s="1" t="s">
        <v>4925</v>
      </c>
      <c r="H1319" s="1" t="s">
        <v>4926</v>
      </c>
      <c r="I1319" s="1">
        <v>1</v>
      </c>
      <c r="J1319" s="3">
        <v>15555</v>
      </c>
      <c r="K1319" s="3">
        <v>10504</v>
      </c>
      <c r="L1319" s="1">
        <v>0</v>
      </c>
      <c r="M1319" s="4">
        <v>0</v>
      </c>
      <c r="N1319" s="3">
        <v>5051</v>
      </c>
      <c r="O1319" s="4">
        <v>0.32500000000000001</v>
      </c>
      <c r="P1319" s="1" t="s">
        <v>2721</v>
      </c>
    </row>
    <row r="1320" spans="1:16">
      <c r="A1320" s="1" t="s">
        <v>632</v>
      </c>
      <c r="B1320" s="1">
        <v>11</v>
      </c>
      <c r="C1320" s="1">
        <v>162062483</v>
      </c>
      <c r="D1320" s="1" t="s">
        <v>4396</v>
      </c>
      <c r="E1320" s="2">
        <v>45972</v>
      </c>
      <c r="F1320" s="1" t="s">
        <v>48</v>
      </c>
      <c r="G1320" s="1" t="s">
        <v>4397</v>
      </c>
      <c r="I1320" s="1">
        <v>1</v>
      </c>
      <c r="J1320" s="3">
        <v>11900</v>
      </c>
      <c r="K1320" s="3">
        <v>8112</v>
      </c>
      <c r="L1320" s="3">
        <v>1261</v>
      </c>
      <c r="M1320" s="4">
        <v>0.106</v>
      </c>
      <c r="N1320" s="3">
        <v>2527</v>
      </c>
      <c r="O1320" s="4">
        <v>0.21199999999999999</v>
      </c>
      <c r="P1320" s="1" t="s">
        <v>2721</v>
      </c>
    </row>
    <row r="1321" spans="1:16">
      <c r="A1321" s="1" t="s">
        <v>632</v>
      </c>
      <c r="B1321" s="1">
        <v>11</v>
      </c>
      <c r="C1321" s="1">
        <v>161937853</v>
      </c>
      <c r="D1321" s="1" t="s">
        <v>4927</v>
      </c>
      <c r="E1321" s="2">
        <v>45972</v>
      </c>
      <c r="F1321" s="1" t="s">
        <v>524</v>
      </c>
      <c r="G1321" s="1" t="s">
        <v>4928</v>
      </c>
      <c r="I1321" s="1">
        <v>1</v>
      </c>
      <c r="J1321" s="3">
        <v>68900</v>
      </c>
      <c r="K1321" s="3">
        <v>54780</v>
      </c>
      <c r="L1321" s="3">
        <v>7303</v>
      </c>
      <c r="M1321" s="4">
        <v>0.106</v>
      </c>
      <c r="N1321" s="3">
        <v>6816</v>
      </c>
      <c r="O1321" s="4">
        <v>9.9000000000000005E-2</v>
      </c>
      <c r="P1321" s="1" t="s">
        <v>2721</v>
      </c>
    </row>
    <row r="1322" spans="1:16">
      <c r="A1322" s="1" t="s">
        <v>632</v>
      </c>
      <c r="B1322" s="1">
        <v>11</v>
      </c>
      <c r="C1322" s="1">
        <v>161918555</v>
      </c>
      <c r="D1322" s="1" t="s">
        <v>4929</v>
      </c>
      <c r="E1322" s="2">
        <v>45972</v>
      </c>
      <c r="F1322" s="1" t="s">
        <v>235</v>
      </c>
      <c r="G1322" s="1" t="s">
        <v>4930</v>
      </c>
      <c r="I1322" s="1">
        <v>1</v>
      </c>
      <c r="J1322" s="3">
        <v>22900</v>
      </c>
      <c r="K1322" s="3">
        <v>13789</v>
      </c>
      <c r="L1322" s="3">
        <v>2427</v>
      </c>
      <c r="M1322" s="4">
        <v>0.106</v>
      </c>
      <c r="N1322" s="3">
        <v>6684</v>
      </c>
      <c r="O1322" s="4">
        <v>0.29199999999999998</v>
      </c>
      <c r="P1322" s="1" t="s">
        <v>2721</v>
      </c>
    </row>
    <row r="1323" spans="1:16">
      <c r="A1323" s="1" t="s">
        <v>1917</v>
      </c>
      <c r="B1323" s="1">
        <v>11</v>
      </c>
      <c r="C1323" s="1">
        <v>1.16291762771055E+20</v>
      </c>
      <c r="D1323" s="1" t="s">
        <v>4931</v>
      </c>
      <c r="E1323" s="2">
        <v>45972</v>
      </c>
      <c r="F1323" s="1" t="s">
        <v>53</v>
      </c>
      <c r="G1323" s="1" t="s">
        <v>4932</v>
      </c>
      <c r="H1323" s="1" t="s">
        <v>1066</v>
      </c>
      <c r="I1323" s="1">
        <v>1</v>
      </c>
      <c r="J1323" s="3">
        <v>9810</v>
      </c>
      <c r="K1323" s="3">
        <v>7225</v>
      </c>
      <c r="L1323" s="1">
        <v>0</v>
      </c>
      <c r="M1323" s="4">
        <v>0</v>
      </c>
      <c r="N1323" s="3">
        <v>2585</v>
      </c>
      <c r="O1323" s="4">
        <v>0.26400000000000001</v>
      </c>
      <c r="P1323" s="1" t="s">
        <v>2721</v>
      </c>
    </row>
    <row r="1324" spans="1:16">
      <c r="A1324" s="1" t="s">
        <v>1917</v>
      </c>
      <c r="B1324" s="1">
        <v>11</v>
      </c>
      <c r="C1324" s="1">
        <v>1.16281762763289E+20</v>
      </c>
      <c r="D1324" s="1" t="s">
        <v>4933</v>
      </c>
      <c r="E1324" s="2">
        <v>45972</v>
      </c>
      <c r="F1324" s="1" t="s">
        <v>256</v>
      </c>
      <c r="G1324" s="1" t="s">
        <v>4934</v>
      </c>
      <c r="H1324" s="1" t="s">
        <v>4935</v>
      </c>
      <c r="I1324" s="1">
        <v>1</v>
      </c>
      <c r="J1324" s="3">
        <v>13064</v>
      </c>
      <c r="K1324" s="3">
        <v>11256</v>
      </c>
      <c r="L1324" s="1">
        <v>0</v>
      </c>
      <c r="M1324" s="4">
        <v>0</v>
      </c>
      <c r="N1324" s="3">
        <v>1808</v>
      </c>
      <c r="O1324" s="4">
        <v>0.13800000000000001</v>
      </c>
      <c r="P1324" s="1" t="s">
        <v>2721</v>
      </c>
    </row>
    <row r="1325" spans="1:16">
      <c r="A1325" s="1" t="s">
        <v>1917</v>
      </c>
      <c r="B1325" s="1">
        <v>11</v>
      </c>
      <c r="C1325" s="1">
        <v>1.16241762741617E+20</v>
      </c>
      <c r="D1325" s="1" t="s">
        <v>4936</v>
      </c>
      <c r="E1325" s="2">
        <v>45972</v>
      </c>
      <c r="F1325" s="1" t="s">
        <v>96</v>
      </c>
      <c r="G1325" s="1" t="s">
        <v>4937</v>
      </c>
      <c r="H1325" s="1" t="s">
        <v>4938</v>
      </c>
      <c r="I1325" s="1">
        <v>1</v>
      </c>
      <c r="J1325" s="3">
        <v>10028</v>
      </c>
      <c r="K1325" s="3">
        <v>8975</v>
      </c>
      <c r="L1325" s="1">
        <v>0</v>
      </c>
      <c r="M1325" s="4">
        <v>0</v>
      </c>
      <c r="N1325" s="3">
        <v>1053</v>
      </c>
      <c r="O1325" s="4">
        <v>0.105</v>
      </c>
      <c r="P1325" s="1" t="s">
        <v>2721</v>
      </c>
    </row>
    <row r="1326" spans="1:16">
      <c r="A1326" s="1" t="s">
        <v>1849</v>
      </c>
      <c r="B1326" s="1">
        <v>11</v>
      </c>
      <c r="C1326" s="1">
        <v>261336</v>
      </c>
      <c r="D1326" s="1" t="s">
        <v>3032</v>
      </c>
      <c r="E1326" s="2">
        <v>45972</v>
      </c>
      <c r="F1326" s="1" t="s">
        <v>3033</v>
      </c>
      <c r="G1326" s="1" t="s">
        <v>3034</v>
      </c>
      <c r="H1326" s="1" t="s">
        <v>3035</v>
      </c>
      <c r="I1326" s="1">
        <v>1</v>
      </c>
      <c r="J1326" s="3">
        <v>41900</v>
      </c>
      <c r="K1326" s="3">
        <v>32192</v>
      </c>
      <c r="L1326" s="3">
        <v>6285</v>
      </c>
      <c r="M1326" s="4">
        <v>0.15</v>
      </c>
      <c r="N1326" s="3">
        <v>3423</v>
      </c>
      <c r="O1326" s="4">
        <v>8.2000000000000003E-2</v>
      </c>
      <c r="P1326" s="1" t="s">
        <v>2721</v>
      </c>
    </row>
    <row r="1327" spans="1:16">
      <c r="A1327" s="1" t="s">
        <v>692</v>
      </c>
      <c r="B1327" s="1">
        <v>11</v>
      </c>
      <c r="C1327" s="1" t="s">
        <v>4939</v>
      </c>
      <c r="D1327" s="1" t="s">
        <v>4940</v>
      </c>
      <c r="E1327" s="2">
        <v>45972</v>
      </c>
      <c r="F1327" s="1" t="s">
        <v>96</v>
      </c>
      <c r="G1327" s="1" t="s">
        <v>4941</v>
      </c>
      <c r="H1327" s="1" t="s">
        <v>4942</v>
      </c>
      <c r="I1327" s="1">
        <v>1</v>
      </c>
      <c r="J1327" s="3">
        <v>10115</v>
      </c>
      <c r="K1327" s="3">
        <v>8690</v>
      </c>
      <c r="L1327" s="1">
        <v>0</v>
      </c>
      <c r="M1327" s="4">
        <v>0</v>
      </c>
      <c r="N1327" s="3">
        <v>1425</v>
      </c>
      <c r="O1327" s="4">
        <v>0.14099999999999999</v>
      </c>
      <c r="P1327" s="1" t="s">
        <v>2721</v>
      </c>
    </row>
    <row r="1328" spans="1:16">
      <c r="A1328" s="1" t="s">
        <v>692</v>
      </c>
      <c r="B1328" s="1">
        <v>11</v>
      </c>
      <c r="C1328" s="1" t="s">
        <v>4943</v>
      </c>
      <c r="D1328" s="1" t="s">
        <v>694</v>
      </c>
      <c r="E1328" s="2">
        <v>45972</v>
      </c>
      <c r="F1328" s="1" t="s">
        <v>96</v>
      </c>
      <c r="G1328" s="1" t="s">
        <v>695</v>
      </c>
      <c r="H1328" s="1" t="s">
        <v>696</v>
      </c>
      <c r="I1328" s="1">
        <v>1</v>
      </c>
      <c r="J1328" s="3">
        <v>16065</v>
      </c>
      <c r="K1328" s="3">
        <v>14584</v>
      </c>
      <c r="L1328" s="1">
        <v>0</v>
      </c>
      <c r="M1328" s="4">
        <v>0</v>
      </c>
      <c r="N1328" s="3">
        <v>1481</v>
      </c>
      <c r="O1328" s="4">
        <v>9.1999999999999998E-2</v>
      </c>
      <c r="P1328" s="1" t="s">
        <v>2721</v>
      </c>
    </row>
    <row r="1329" spans="1:16">
      <c r="A1329" s="1" t="s">
        <v>692</v>
      </c>
      <c r="B1329" s="1">
        <v>11</v>
      </c>
      <c r="C1329" s="1" t="s">
        <v>4944</v>
      </c>
      <c r="D1329" s="1" t="s">
        <v>4945</v>
      </c>
      <c r="E1329" s="2">
        <v>45972</v>
      </c>
      <c r="F1329" s="1" t="s">
        <v>96</v>
      </c>
      <c r="G1329" s="1" t="s">
        <v>4946</v>
      </c>
      <c r="H1329" s="1" t="s">
        <v>4947</v>
      </c>
      <c r="I1329" s="1">
        <v>1</v>
      </c>
      <c r="J1329" s="3">
        <v>10880</v>
      </c>
      <c r="K1329" s="3">
        <v>10269</v>
      </c>
      <c r="L1329" s="1">
        <v>0</v>
      </c>
      <c r="M1329" s="4">
        <v>0</v>
      </c>
      <c r="N1329" s="1">
        <v>611</v>
      </c>
      <c r="O1329" s="4">
        <v>5.6000000000000001E-2</v>
      </c>
      <c r="P1329" s="1" t="s">
        <v>2721</v>
      </c>
    </row>
    <row r="1330" spans="1:16">
      <c r="A1330" s="1" t="s">
        <v>692</v>
      </c>
      <c r="B1330" s="1">
        <v>11</v>
      </c>
      <c r="C1330" s="1" t="s">
        <v>4948</v>
      </c>
      <c r="D1330" s="1" t="s">
        <v>4949</v>
      </c>
      <c r="E1330" s="2">
        <v>45972</v>
      </c>
      <c r="F1330" s="1" t="s">
        <v>96</v>
      </c>
      <c r="G1330" s="1" t="s">
        <v>4950</v>
      </c>
      <c r="H1330" s="1" t="s">
        <v>597</v>
      </c>
      <c r="I1330" s="1">
        <v>1</v>
      </c>
      <c r="J1330" s="3">
        <v>11730</v>
      </c>
      <c r="K1330" s="3">
        <v>11132</v>
      </c>
      <c r="L1330" s="1">
        <v>0</v>
      </c>
      <c r="M1330" s="4">
        <v>0</v>
      </c>
      <c r="N1330" s="1">
        <v>598</v>
      </c>
      <c r="O1330" s="4">
        <v>5.0999999999999997E-2</v>
      </c>
      <c r="P1330" s="1" t="s">
        <v>2721</v>
      </c>
    </row>
    <row r="1331" spans="1:16">
      <c r="A1331" s="1" t="s">
        <v>692</v>
      </c>
      <c r="B1331" s="1">
        <v>11</v>
      </c>
      <c r="C1331" s="1" t="s">
        <v>4951</v>
      </c>
      <c r="D1331" s="1" t="s">
        <v>3048</v>
      </c>
      <c r="E1331" s="2">
        <v>45972</v>
      </c>
      <c r="F1331" s="1" t="s">
        <v>96</v>
      </c>
      <c r="G1331" s="1" t="s">
        <v>3049</v>
      </c>
      <c r="H1331" s="1" t="s">
        <v>3050</v>
      </c>
      <c r="I1331" s="1">
        <v>1</v>
      </c>
      <c r="J1331" s="3">
        <v>13464</v>
      </c>
      <c r="K1331" s="3">
        <v>12427</v>
      </c>
      <c r="L1331" s="1">
        <v>0</v>
      </c>
      <c r="M1331" s="4">
        <v>0</v>
      </c>
      <c r="N1331" s="3">
        <v>1037</v>
      </c>
      <c r="O1331" s="4">
        <v>7.6999999999999999E-2</v>
      </c>
      <c r="P1331" s="1" t="s">
        <v>2721</v>
      </c>
    </row>
    <row r="1332" spans="1:16">
      <c r="A1332" s="1" t="s">
        <v>692</v>
      </c>
      <c r="B1332" s="1">
        <v>11</v>
      </c>
      <c r="C1332" s="1" t="s">
        <v>4952</v>
      </c>
      <c r="D1332" s="1" t="s">
        <v>4953</v>
      </c>
      <c r="E1332" s="2">
        <v>45972</v>
      </c>
      <c r="F1332" s="1" t="s">
        <v>33</v>
      </c>
      <c r="G1332" s="1" t="s">
        <v>4954</v>
      </c>
      <c r="H1332" s="1" t="s">
        <v>4955</v>
      </c>
      <c r="I1332" s="1">
        <v>1</v>
      </c>
      <c r="J1332" s="3">
        <v>123930</v>
      </c>
      <c r="K1332" s="3">
        <v>97740</v>
      </c>
      <c r="L1332" s="1">
        <v>0</v>
      </c>
      <c r="M1332" s="4">
        <v>0</v>
      </c>
      <c r="N1332" s="3">
        <v>26190</v>
      </c>
      <c r="O1332" s="4">
        <v>0.21099999999999999</v>
      </c>
      <c r="P1332" s="1" t="s">
        <v>2721</v>
      </c>
    </row>
    <row r="1333" spans="1:16">
      <c r="A1333" s="1" t="s">
        <v>707</v>
      </c>
      <c r="B1333" s="1">
        <v>11</v>
      </c>
      <c r="C1333" s="1">
        <v>2.02511110727284E+17</v>
      </c>
      <c r="D1333" s="1" t="s">
        <v>4956</v>
      </c>
      <c r="E1333" s="2">
        <v>45972</v>
      </c>
      <c r="F1333" s="1" t="s">
        <v>347</v>
      </c>
      <c r="G1333" s="1" t="s">
        <v>4957</v>
      </c>
      <c r="H1333" s="1" t="s">
        <v>4958</v>
      </c>
      <c r="I1333" s="1">
        <v>1</v>
      </c>
      <c r="J1333" s="3">
        <v>28800</v>
      </c>
      <c r="K1333" s="3">
        <v>22231</v>
      </c>
      <c r="L1333" s="3">
        <v>4320</v>
      </c>
      <c r="M1333" s="4">
        <v>0.15</v>
      </c>
      <c r="N1333" s="3">
        <v>2249</v>
      </c>
      <c r="O1333" s="4">
        <v>7.8E-2</v>
      </c>
      <c r="P1333" s="1" t="s">
        <v>2721</v>
      </c>
    </row>
    <row r="1334" spans="1:16">
      <c r="A1334" s="1" t="s">
        <v>707</v>
      </c>
      <c r="B1334" s="1">
        <v>11</v>
      </c>
      <c r="C1334" s="1">
        <v>2.02511110803444E+17</v>
      </c>
      <c r="D1334" s="1" t="s">
        <v>2071</v>
      </c>
      <c r="E1334" s="2">
        <v>45972</v>
      </c>
      <c r="F1334" s="1" t="s">
        <v>235</v>
      </c>
      <c r="G1334" s="1" t="s">
        <v>2072</v>
      </c>
      <c r="H1334" s="1" t="s">
        <v>2073</v>
      </c>
      <c r="I1334" s="1">
        <v>1</v>
      </c>
      <c r="J1334" s="3">
        <v>9800</v>
      </c>
      <c r="K1334" s="3">
        <v>7739</v>
      </c>
      <c r="L1334" s="3">
        <v>1470</v>
      </c>
      <c r="M1334" s="4">
        <v>0.15</v>
      </c>
      <c r="N1334" s="1">
        <v>591</v>
      </c>
      <c r="O1334" s="4">
        <v>0.06</v>
      </c>
      <c r="P1334" s="1" t="s">
        <v>2721</v>
      </c>
    </row>
    <row r="1335" spans="1:16">
      <c r="A1335" s="1" t="s">
        <v>707</v>
      </c>
      <c r="B1335" s="1">
        <v>11</v>
      </c>
      <c r="C1335" s="1">
        <v>2.0251111080455398E+17</v>
      </c>
      <c r="D1335" s="1" t="s">
        <v>2071</v>
      </c>
      <c r="E1335" s="2">
        <v>45972</v>
      </c>
      <c r="F1335" s="1" t="s">
        <v>235</v>
      </c>
      <c r="G1335" s="1" t="s">
        <v>2072</v>
      </c>
      <c r="H1335" s="1" t="s">
        <v>2073</v>
      </c>
      <c r="I1335" s="1">
        <v>1</v>
      </c>
      <c r="J1335" s="3">
        <v>9800</v>
      </c>
      <c r="K1335" s="3">
        <v>7739</v>
      </c>
      <c r="L1335" s="3">
        <v>1470</v>
      </c>
      <c r="M1335" s="4">
        <v>0.15</v>
      </c>
      <c r="N1335" s="1">
        <v>591</v>
      </c>
      <c r="O1335" s="4">
        <v>0.06</v>
      </c>
      <c r="P1335" s="1" t="s">
        <v>2721</v>
      </c>
    </row>
    <row r="1336" spans="1:16">
      <c r="A1336" s="1" t="s">
        <v>711</v>
      </c>
      <c r="B1336" s="1">
        <v>11</v>
      </c>
      <c r="C1336" s="1">
        <v>2.0251110225351699E+17</v>
      </c>
      <c r="D1336" s="1" t="s">
        <v>3023</v>
      </c>
      <c r="E1336" s="2">
        <v>45972</v>
      </c>
      <c r="F1336" s="1" t="s">
        <v>235</v>
      </c>
      <c r="G1336" s="1" t="s">
        <v>3024</v>
      </c>
      <c r="H1336" s="1" t="s">
        <v>4959</v>
      </c>
      <c r="I1336" s="1">
        <v>1</v>
      </c>
      <c r="J1336" s="3">
        <v>26400</v>
      </c>
      <c r="K1336" s="3">
        <v>21340</v>
      </c>
      <c r="L1336" s="3">
        <v>3960</v>
      </c>
      <c r="M1336" s="4">
        <v>0.15</v>
      </c>
      <c r="N1336" s="3">
        <v>1100</v>
      </c>
      <c r="O1336" s="4">
        <v>4.2000000000000003E-2</v>
      </c>
      <c r="P1336" s="1" t="s">
        <v>2721</v>
      </c>
    </row>
    <row r="1337" spans="1:16">
      <c r="A1337" s="1" t="s">
        <v>718</v>
      </c>
      <c r="B1337" s="1">
        <v>11</v>
      </c>
      <c r="C1337" s="1">
        <v>2.0251110131241101E+17</v>
      </c>
      <c r="D1337" s="1" t="s">
        <v>4960</v>
      </c>
      <c r="E1337" s="2">
        <v>45972</v>
      </c>
      <c r="F1337" s="1" t="s">
        <v>517</v>
      </c>
      <c r="G1337" s="1" t="s">
        <v>4961</v>
      </c>
      <c r="H1337" s="1" t="s">
        <v>4962</v>
      </c>
      <c r="I1337" s="1">
        <v>1</v>
      </c>
      <c r="J1337" s="3">
        <v>29000</v>
      </c>
      <c r="K1337" s="3">
        <v>20542</v>
      </c>
      <c r="L1337" s="3">
        <v>2900</v>
      </c>
      <c r="M1337" s="4">
        <v>0.1</v>
      </c>
      <c r="N1337" s="3">
        <v>5558</v>
      </c>
      <c r="O1337" s="4">
        <v>0.192</v>
      </c>
      <c r="P1337" s="1" t="s">
        <v>2721</v>
      </c>
    </row>
    <row r="1338" spans="1:16">
      <c r="A1338" s="1" t="s">
        <v>722</v>
      </c>
      <c r="B1338" s="1">
        <v>11</v>
      </c>
      <c r="C1338" s="1" t="s">
        <v>4963</v>
      </c>
      <c r="D1338" s="1" t="s">
        <v>4964</v>
      </c>
      <c r="E1338" s="2">
        <v>45972</v>
      </c>
      <c r="F1338" s="1" t="s">
        <v>421</v>
      </c>
      <c r="G1338" s="1" t="s">
        <v>4965</v>
      </c>
      <c r="H1338" s="1" t="s">
        <v>4966</v>
      </c>
      <c r="I1338" s="1">
        <v>1</v>
      </c>
      <c r="J1338" s="3">
        <v>21825</v>
      </c>
      <c r="K1338" s="3">
        <v>19698</v>
      </c>
      <c r="L1338" s="1">
        <v>0</v>
      </c>
      <c r="M1338" s="4">
        <v>0</v>
      </c>
      <c r="N1338" s="3">
        <v>2127</v>
      </c>
      <c r="O1338" s="4">
        <v>9.7000000000000003E-2</v>
      </c>
      <c r="P1338" s="1" t="s">
        <v>2721</v>
      </c>
    </row>
    <row r="1339" spans="1:16">
      <c r="A1339" s="1" t="s">
        <v>722</v>
      </c>
      <c r="B1339" s="1">
        <v>11</v>
      </c>
      <c r="C1339" s="1" t="s">
        <v>4967</v>
      </c>
      <c r="D1339" s="1" t="s">
        <v>4968</v>
      </c>
      <c r="E1339" s="2">
        <v>45972</v>
      </c>
      <c r="F1339" s="1" t="s">
        <v>347</v>
      </c>
      <c r="G1339" s="1" t="s">
        <v>4969</v>
      </c>
      <c r="H1339" s="1" t="s">
        <v>4970</v>
      </c>
      <c r="I1339" s="1">
        <v>1</v>
      </c>
      <c r="J1339" s="3">
        <v>21440</v>
      </c>
      <c r="K1339" s="3">
        <v>20092</v>
      </c>
      <c r="L1339" s="1">
        <v>0</v>
      </c>
      <c r="M1339" s="4">
        <v>0</v>
      </c>
      <c r="N1339" s="3">
        <v>1348</v>
      </c>
      <c r="O1339" s="4">
        <v>6.3E-2</v>
      </c>
      <c r="P1339" s="1" t="s">
        <v>2721</v>
      </c>
    </row>
    <row r="1340" spans="1:16">
      <c r="A1340" s="1" t="s">
        <v>722</v>
      </c>
      <c r="B1340" s="1">
        <v>11</v>
      </c>
      <c r="C1340" s="1" t="s">
        <v>4971</v>
      </c>
      <c r="D1340" s="1" t="s">
        <v>4972</v>
      </c>
      <c r="E1340" s="2">
        <v>45972</v>
      </c>
      <c r="F1340" s="1" t="s">
        <v>347</v>
      </c>
      <c r="G1340" s="1" t="s">
        <v>4973</v>
      </c>
      <c r="H1340" s="1" t="s">
        <v>4974</v>
      </c>
      <c r="I1340" s="1">
        <v>1</v>
      </c>
      <c r="J1340" s="3">
        <v>19360</v>
      </c>
      <c r="K1340" s="3">
        <v>17841</v>
      </c>
      <c r="L1340" s="1">
        <v>0</v>
      </c>
      <c r="M1340" s="4">
        <v>0</v>
      </c>
      <c r="N1340" s="3">
        <v>1519</v>
      </c>
      <c r="O1340" s="4">
        <v>7.8E-2</v>
      </c>
      <c r="P1340" s="1" t="s">
        <v>2721</v>
      </c>
    </row>
    <row r="1341" spans="1:16">
      <c r="A1341" s="1" t="s">
        <v>739</v>
      </c>
      <c r="B1341" s="1">
        <v>11</v>
      </c>
      <c r="C1341" s="1">
        <v>31401251</v>
      </c>
      <c r="D1341" s="1" t="s">
        <v>4975</v>
      </c>
      <c r="E1341" s="2">
        <v>45972</v>
      </c>
      <c r="F1341" s="1" t="s">
        <v>407</v>
      </c>
      <c r="G1341" s="1" t="s">
        <v>1474</v>
      </c>
      <c r="H1341" s="1" t="s">
        <v>1474</v>
      </c>
      <c r="I1341" s="1">
        <v>1</v>
      </c>
      <c r="J1341" s="3">
        <v>13900</v>
      </c>
      <c r="K1341" s="3">
        <v>10787</v>
      </c>
      <c r="L1341" s="3">
        <v>1835</v>
      </c>
      <c r="M1341" s="4">
        <v>0.13200000000000001</v>
      </c>
      <c r="N1341" s="3">
        <v>1278</v>
      </c>
      <c r="O1341" s="4">
        <v>9.1999999999999998E-2</v>
      </c>
      <c r="P1341" s="1" t="s">
        <v>2721</v>
      </c>
    </row>
    <row r="1342" spans="1:16">
      <c r="A1342" s="1" t="s">
        <v>739</v>
      </c>
      <c r="B1342" s="1">
        <v>11</v>
      </c>
      <c r="C1342" s="1">
        <v>31401497</v>
      </c>
      <c r="D1342" s="1" t="s">
        <v>4976</v>
      </c>
      <c r="E1342" s="2">
        <v>45972</v>
      </c>
      <c r="F1342" s="1" t="s">
        <v>4309</v>
      </c>
      <c r="G1342" s="1" t="s">
        <v>4977</v>
      </c>
      <c r="H1342" s="1" t="s">
        <v>4978</v>
      </c>
      <c r="I1342" s="1">
        <v>1</v>
      </c>
      <c r="J1342" s="3">
        <v>36000</v>
      </c>
      <c r="K1342" s="3">
        <v>29828</v>
      </c>
      <c r="L1342" s="3">
        <v>4752</v>
      </c>
      <c r="M1342" s="4">
        <v>0.13200000000000001</v>
      </c>
      <c r="N1342" s="3">
        <v>1420</v>
      </c>
      <c r="O1342" s="4">
        <v>3.9E-2</v>
      </c>
      <c r="P1342" s="1" t="s">
        <v>2721</v>
      </c>
    </row>
    <row r="1343" spans="1:16">
      <c r="A1343" s="1" t="s">
        <v>739</v>
      </c>
      <c r="B1343" s="1">
        <v>11</v>
      </c>
      <c r="C1343" s="1">
        <v>31401763</v>
      </c>
      <c r="D1343" s="1" t="s">
        <v>4979</v>
      </c>
      <c r="E1343" s="2">
        <v>45972</v>
      </c>
      <c r="F1343" s="1" t="s">
        <v>407</v>
      </c>
      <c r="G1343" s="1" t="s">
        <v>1004</v>
      </c>
      <c r="H1343" s="1" t="s">
        <v>1004</v>
      </c>
      <c r="I1343" s="1">
        <v>1</v>
      </c>
      <c r="J1343" s="3">
        <v>11900</v>
      </c>
      <c r="K1343" s="3">
        <v>8911</v>
      </c>
      <c r="L1343" s="3">
        <v>1571</v>
      </c>
      <c r="M1343" s="4">
        <v>0.13200000000000001</v>
      </c>
      <c r="N1343" s="3">
        <v>1418</v>
      </c>
      <c r="O1343" s="4">
        <v>0.11899999999999999</v>
      </c>
      <c r="P1343" s="1" t="s">
        <v>2721</v>
      </c>
    </row>
    <row r="1344" spans="1:16">
      <c r="A1344" s="1" t="s">
        <v>739</v>
      </c>
      <c r="B1344" s="1">
        <v>11</v>
      </c>
      <c r="C1344" s="1">
        <v>31402813</v>
      </c>
      <c r="D1344" s="1" t="s">
        <v>2691</v>
      </c>
      <c r="E1344" s="2">
        <v>45972</v>
      </c>
      <c r="F1344" s="1" t="s">
        <v>400</v>
      </c>
      <c r="G1344" s="1" t="s">
        <v>2692</v>
      </c>
      <c r="H1344" s="1" t="s">
        <v>2693</v>
      </c>
      <c r="I1344" s="1">
        <v>1</v>
      </c>
      <c r="J1344" s="3">
        <v>35100</v>
      </c>
      <c r="K1344" s="3">
        <v>28656</v>
      </c>
      <c r="L1344" s="3">
        <v>4633</v>
      </c>
      <c r="M1344" s="4">
        <v>0.13200000000000001</v>
      </c>
      <c r="N1344" s="3">
        <v>1811</v>
      </c>
      <c r="O1344" s="4">
        <v>5.1999999999999998E-2</v>
      </c>
      <c r="P1344" s="1" t="s">
        <v>2721</v>
      </c>
    </row>
    <row r="1345" spans="1:16">
      <c r="A1345" s="1" t="s">
        <v>739</v>
      </c>
      <c r="B1345" s="1">
        <v>11</v>
      </c>
      <c r="C1345" s="1">
        <v>31403853</v>
      </c>
      <c r="D1345" s="1" t="s">
        <v>4980</v>
      </c>
      <c r="E1345" s="2">
        <v>45972</v>
      </c>
      <c r="F1345" s="1" t="s">
        <v>1798</v>
      </c>
      <c r="G1345" s="1" t="s">
        <v>4981</v>
      </c>
      <c r="H1345" s="1" t="s">
        <v>4982</v>
      </c>
      <c r="I1345" s="1">
        <v>1</v>
      </c>
      <c r="J1345" s="3">
        <v>48900</v>
      </c>
      <c r="K1345" s="3">
        <v>38458</v>
      </c>
      <c r="L1345" s="3">
        <v>6455</v>
      </c>
      <c r="M1345" s="4">
        <v>0.13200000000000001</v>
      </c>
      <c r="N1345" s="3">
        <v>3987</v>
      </c>
      <c r="O1345" s="4">
        <v>8.2000000000000003E-2</v>
      </c>
      <c r="P1345" s="1" t="s">
        <v>2721</v>
      </c>
    </row>
    <row r="1346" spans="1:16">
      <c r="A1346" s="1" t="s">
        <v>756</v>
      </c>
      <c r="B1346" s="1">
        <v>11</v>
      </c>
      <c r="C1346" s="1" t="s">
        <v>4983</v>
      </c>
      <c r="D1346" s="1" t="s">
        <v>758</v>
      </c>
      <c r="E1346" s="2">
        <v>45972</v>
      </c>
      <c r="F1346" s="1" t="s">
        <v>28</v>
      </c>
      <c r="G1346" s="1" t="s">
        <v>759</v>
      </c>
      <c r="H1346" s="1" t="s">
        <v>760</v>
      </c>
      <c r="I1346" s="1">
        <v>1</v>
      </c>
      <c r="J1346" s="3">
        <v>28950</v>
      </c>
      <c r="K1346" s="3">
        <v>25795</v>
      </c>
      <c r="L1346" s="1">
        <v>0</v>
      </c>
      <c r="M1346" s="4">
        <v>0</v>
      </c>
      <c r="N1346" s="3">
        <v>3155</v>
      </c>
      <c r="O1346" s="4">
        <v>0.109</v>
      </c>
      <c r="P1346" s="1" t="s">
        <v>2723</v>
      </c>
    </row>
    <row r="1347" spans="1:16">
      <c r="A1347" s="1" t="s">
        <v>756</v>
      </c>
      <c r="B1347" s="1">
        <v>11</v>
      </c>
      <c r="C1347" s="1" t="s">
        <v>4984</v>
      </c>
      <c r="D1347" s="1" t="s">
        <v>758</v>
      </c>
      <c r="E1347" s="2">
        <v>45972</v>
      </c>
      <c r="F1347" s="1" t="s">
        <v>28</v>
      </c>
      <c r="G1347" s="1" t="s">
        <v>759</v>
      </c>
      <c r="H1347" s="1" t="s">
        <v>760</v>
      </c>
      <c r="I1347" s="1">
        <v>1</v>
      </c>
      <c r="J1347" s="3">
        <v>28950</v>
      </c>
      <c r="K1347" s="3">
        <v>25795</v>
      </c>
      <c r="L1347" s="1">
        <v>0</v>
      </c>
      <c r="M1347" s="4">
        <v>0</v>
      </c>
      <c r="N1347" s="3">
        <v>3155</v>
      </c>
      <c r="O1347" s="4">
        <v>0.109</v>
      </c>
      <c r="P1347" s="1" t="s">
        <v>2723</v>
      </c>
    </row>
    <row r="1348" spans="1:16">
      <c r="A1348" s="1" t="s">
        <v>761</v>
      </c>
      <c r="B1348" s="1">
        <v>11</v>
      </c>
      <c r="C1348" s="1" t="s">
        <v>4985</v>
      </c>
      <c r="D1348" s="1" t="s">
        <v>4986</v>
      </c>
      <c r="E1348" s="2">
        <v>45972</v>
      </c>
      <c r="F1348" s="1" t="s">
        <v>256</v>
      </c>
      <c r="G1348" s="1" t="s">
        <v>4987</v>
      </c>
      <c r="H1348" s="1" t="s">
        <v>4988</v>
      </c>
      <c r="I1348" s="1">
        <v>1</v>
      </c>
      <c r="J1348" s="3">
        <v>13500</v>
      </c>
      <c r="K1348" s="3">
        <v>10834</v>
      </c>
      <c r="L1348" s="1">
        <v>0</v>
      </c>
      <c r="M1348" s="4">
        <v>0</v>
      </c>
      <c r="N1348" s="3">
        <v>2666</v>
      </c>
      <c r="O1348" s="4">
        <v>0.19700000000000001</v>
      </c>
      <c r="P1348" s="1" t="s">
        <v>2723</v>
      </c>
    </row>
    <row r="1349" spans="1:16">
      <c r="A1349" s="1" t="s">
        <v>2738</v>
      </c>
      <c r="B1349" s="1">
        <v>11</v>
      </c>
      <c r="C1349" s="1" t="s">
        <v>4989</v>
      </c>
      <c r="D1349" s="1" t="s">
        <v>4990</v>
      </c>
      <c r="E1349" s="2">
        <v>45972</v>
      </c>
      <c r="F1349" s="1" t="s">
        <v>4991</v>
      </c>
      <c r="G1349" s="1" t="s">
        <v>4992</v>
      </c>
      <c r="H1349" s="1" t="s">
        <v>4993</v>
      </c>
      <c r="I1349" s="1">
        <v>1</v>
      </c>
      <c r="J1349" s="3">
        <v>27600</v>
      </c>
      <c r="K1349" s="3">
        <v>25889</v>
      </c>
      <c r="L1349" s="1">
        <v>0</v>
      </c>
      <c r="M1349" s="4">
        <v>0</v>
      </c>
      <c r="N1349" s="3">
        <v>1711</v>
      </c>
      <c r="O1349" s="4">
        <v>6.2E-2</v>
      </c>
      <c r="P1349" s="1" t="s">
        <v>2723</v>
      </c>
    </row>
    <row r="1350" spans="1:16">
      <c r="A1350" s="1" t="s">
        <v>2193</v>
      </c>
      <c r="B1350" s="1">
        <v>11</v>
      </c>
      <c r="C1350" s="1">
        <v>30254502</v>
      </c>
      <c r="D1350" s="1" t="s">
        <v>4994</v>
      </c>
      <c r="E1350" s="2">
        <v>45972</v>
      </c>
      <c r="F1350" s="1" t="s">
        <v>2156</v>
      </c>
      <c r="G1350" s="1" t="s">
        <v>4995</v>
      </c>
      <c r="H1350" s="1" t="s">
        <v>4996</v>
      </c>
      <c r="I1350" s="1">
        <v>1</v>
      </c>
      <c r="J1350" s="3">
        <v>15531</v>
      </c>
      <c r="K1350" s="3">
        <v>13807</v>
      </c>
      <c r="L1350" s="1">
        <v>0</v>
      </c>
      <c r="M1350" s="4">
        <v>0</v>
      </c>
      <c r="N1350" s="3">
        <v>1724</v>
      </c>
      <c r="O1350" s="4">
        <v>0.111</v>
      </c>
      <c r="P1350" s="1" t="s">
        <v>2723</v>
      </c>
    </row>
    <row r="1351" spans="1:16">
      <c r="A1351" s="1" t="s">
        <v>2193</v>
      </c>
      <c r="B1351" s="1">
        <v>11</v>
      </c>
      <c r="C1351" s="1">
        <v>30241861</v>
      </c>
      <c r="D1351" s="1" t="s">
        <v>3108</v>
      </c>
      <c r="E1351" s="2">
        <v>45972</v>
      </c>
      <c r="F1351" s="1" t="s">
        <v>187</v>
      </c>
      <c r="G1351" s="1" t="s">
        <v>3109</v>
      </c>
      <c r="H1351" s="1" t="s">
        <v>3110</v>
      </c>
      <c r="I1351" s="1">
        <v>2</v>
      </c>
      <c r="J1351" s="3">
        <v>51436</v>
      </c>
      <c r="K1351" s="3">
        <v>45024</v>
      </c>
      <c r="L1351" s="1">
        <v>0</v>
      </c>
      <c r="M1351" s="4">
        <v>0</v>
      </c>
      <c r="N1351" s="3">
        <v>6412</v>
      </c>
      <c r="O1351" s="4">
        <v>0.125</v>
      </c>
      <c r="P1351" s="1" t="s">
        <v>2723</v>
      </c>
    </row>
    <row r="1352" spans="1:16">
      <c r="A1352" s="1" t="s">
        <v>2200</v>
      </c>
      <c r="B1352" s="1">
        <v>11</v>
      </c>
      <c r="C1352" s="1">
        <v>249242227</v>
      </c>
      <c r="D1352" s="1" t="s">
        <v>4997</v>
      </c>
      <c r="E1352" s="2">
        <v>45972</v>
      </c>
      <c r="F1352" s="1" t="s">
        <v>256</v>
      </c>
      <c r="G1352" s="1" t="s">
        <v>4998</v>
      </c>
      <c r="H1352" s="1" t="s">
        <v>779</v>
      </c>
      <c r="I1352" s="1">
        <v>1</v>
      </c>
      <c r="J1352" s="3">
        <v>11300</v>
      </c>
      <c r="K1352" s="3">
        <v>10506</v>
      </c>
      <c r="L1352" s="1">
        <v>0</v>
      </c>
      <c r="M1352" s="4">
        <v>0</v>
      </c>
      <c r="N1352" s="1">
        <v>794</v>
      </c>
      <c r="O1352" s="4">
        <v>7.0000000000000007E-2</v>
      </c>
      <c r="P1352" s="1" t="s">
        <v>2723</v>
      </c>
    </row>
    <row r="1353" spans="1:16">
      <c r="A1353" s="1" t="s">
        <v>763</v>
      </c>
      <c r="B1353" s="1">
        <v>11</v>
      </c>
      <c r="C1353" s="1" t="s">
        <v>4999</v>
      </c>
      <c r="D1353" s="1" t="s">
        <v>5000</v>
      </c>
      <c r="E1353" s="2">
        <v>45972</v>
      </c>
      <c r="F1353" s="1" t="s">
        <v>2188</v>
      </c>
      <c r="G1353" s="1" t="s">
        <v>5001</v>
      </c>
      <c r="H1353" s="1" t="s">
        <v>5002</v>
      </c>
      <c r="I1353" s="1">
        <v>1</v>
      </c>
      <c r="J1353" s="3">
        <v>11000</v>
      </c>
      <c r="K1353" s="3">
        <v>9800</v>
      </c>
      <c r="L1353" s="1">
        <v>0</v>
      </c>
      <c r="M1353" s="4">
        <v>0</v>
      </c>
      <c r="N1353" s="3">
        <v>1200</v>
      </c>
      <c r="O1353" s="4">
        <v>0.109</v>
      </c>
      <c r="P1353" s="1" t="s">
        <v>2723</v>
      </c>
    </row>
    <row r="1354" spans="1:16">
      <c r="A1354" s="1" t="s">
        <v>763</v>
      </c>
      <c r="B1354" s="1">
        <v>11</v>
      </c>
      <c r="C1354" s="1" t="s">
        <v>5003</v>
      </c>
      <c r="D1354" s="1" t="s">
        <v>2257</v>
      </c>
      <c r="E1354" s="2">
        <v>45972</v>
      </c>
      <c r="F1354" s="1" t="s">
        <v>2206</v>
      </c>
      <c r="G1354" s="1" t="s">
        <v>2258</v>
      </c>
      <c r="H1354" s="1" t="s">
        <v>2259</v>
      </c>
      <c r="I1354" s="1">
        <v>2</v>
      </c>
      <c r="J1354" s="3">
        <v>74640</v>
      </c>
      <c r="K1354" s="3">
        <v>67600</v>
      </c>
      <c r="L1354" s="1">
        <v>0</v>
      </c>
      <c r="M1354" s="4">
        <v>0</v>
      </c>
      <c r="N1354" s="3">
        <v>7040</v>
      </c>
      <c r="O1354" s="4">
        <v>9.4E-2</v>
      </c>
      <c r="P1354" s="1" t="s">
        <v>2723</v>
      </c>
    </row>
    <row r="1355" spans="1:16">
      <c r="A1355" s="1" t="s">
        <v>763</v>
      </c>
      <c r="B1355" s="1">
        <v>11</v>
      </c>
      <c r="C1355" s="1" t="s">
        <v>5004</v>
      </c>
      <c r="D1355" s="1" t="s">
        <v>2205</v>
      </c>
      <c r="E1355" s="2">
        <v>45972</v>
      </c>
      <c r="F1355" s="1" t="s">
        <v>2206</v>
      </c>
      <c r="G1355" s="1" t="s">
        <v>2207</v>
      </c>
      <c r="H1355" s="1" t="s">
        <v>2208</v>
      </c>
      <c r="I1355" s="1">
        <v>1</v>
      </c>
      <c r="J1355" s="3">
        <v>22610</v>
      </c>
      <c r="K1355" s="3">
        <v>20437</v>
      </c>
      <c r="L1355" s="1">
        <v>0</v>
      </c>
      <c r="M1355" s="4">
        <v>0</v>
      </c>
      <c r="N1355" s="3">
        <v>2173</v>
      </c>
      <c r="O1355" s="4">
        <v>9.6000000000000002E-2</v>
      </c>
      <c r="P1355" s="1" t="s">
        <v>2723</v>
      </c>
    </row>
    <row r="1356" spans="1:16">
      <c r="A1356" s="1" t="s">
        <v>763</v>
      </c>
      <c r="B1356" s="1">
        <v>11</v>
      </c>
      <c r="C1356" s="1" t="s">
        <v>5005</v>
      </c>
      <c r="D1356" s="1" t="s">
        <v>2248</v>
      </c>
      <c r="E1356" s="2">
        <v>45972</v>
      </c>
      <c r="F1356" s="1" t="s">
        <v>2206</v>
      </c>
      <c r="G1356" s="1" t="s">
        <v>2249</v>
      </c>
      <c r="H1356" s="1" t="s">
        <v>2250</v>
      </c>
      <c r="I1356" s="1">
        <v>1</v>
      </c>
      <c r="J1356" s="3">
        <v>15640</v>
      </c>
      <c r="K1356" s="3">
        <v>14149</v>
      </c>
      <c r="L1356" s="1">
        <v>0</v>
      </c>
      <c r="M1356" s="4">
        <v>0</v>
      </c>
      <c r="N1356" s="3">
        <v>1491</v>
      </c>
      <c r="O1356" s="4">
        <v>9.5000000000000001E-2</v>
      </c>
      <c r="P1356" s="1" t="s">
        <v>2723</v>
      </c>
    </row>
    <row r="1357" spans="1:16">
      <c r="A1357" s="1" t="s">
        <v>763</v>
      </c>
      <c r="B1357" s="1">
        <v>11</v>
      </c>
      <c r="C1357" s="1" t="s">
        <v>5006</v>
      </c>
      <c r="D1357" s="1" t="s">
        <v>2218</v>
      </c>
      <c r="E1357" s="2">
        <v>45972</v>
      </c>
      <c r="F1357" s="1" t="s">
        <v>53</v>
      </c>
      <c r="G1357" s="1" t="s">
        <v>2219</v>
      </c>
      <c r="H1357" s="1" t="s">
        <v>5007</v>
      </c>
      <c r="I1357" s="1">
        <v>1</v>
      </c>
      <c r="J1357" s="3">
        <v>15050</v>
      </c>
      <c r="K1357" s="3">
        <v>13676</v>
      </c>
      <c r="L1357" s="1">
        <v>0</v>
      </c>
      <c r="M1357" s="4">
        <v>0</v>
      </c>
      <c r="N1357" s="3">
        <v>1374</v>
      </c>
      <c r="O1357" s="4">
        <v>9.0999999999999998E-2</v>
      </c>
      <c r="P1357" s="1" t="s">
        <v>2723</v>
      </c>
    </row>
    <row r="1358" spans="1:16">
      <c r="A1358" s="1" t="s">
        <v>626</v>
      </c>
      <c r="B1358" s="1">
        <v>11</v>
      </c>
      <c r="C1358" s="1">
        <v>69066347</v>
      </c>
      <c r="D1358" s="1" t="s">
        <v>627</v>
      </c>
      <c r="E1358" s="2">
        <v>45972</v>
      </c>
      <c r="F1358" s="1" t="s">
        <v>604</v>
      </c>
      <c r="G1358" s="1" t="s">
        <v>628</v>
      </c>
      <c r="H1358" s="1" t="s">
        <v>629</v>
      </c>
      <c r="I1358" s="1">
        <v>1</v>
      </c>
      <c r="J1358" s="3">
        <v>8000</v>
      </c>
      <c r="K1358" s="3">
        <v>1800</v>
      </c>
      <c r="L1358" s="1">
        <v>880</v>
      </c>
      <c r="M1358" s="4">
        <v>0.11</v>
      </c>
      <c r="N1358" s="3">
        <v>5320</v>
      </c>
      <c r="O1358" s="4">
        <v>0.66500000000000004</v>
      </c>
      <c r="P1358" s="1" t="s">
        <v>2721</v>
      </c>
    </row>
    <row r="1359" spans="1:16">
      <c r="A1359" s="1" t="s">
        <v>15</v>
      </c>
      <c r="B1359" s="1">
        <v>11</v>
      </c>
      <c r="C1359" s="1" t="s">
        <v>5008</v>
      </c>
      <c r="D1359" s="1" t="s">
        <v>212</v>
      </c>
      <c r="E1359" s="2">
        <v>45973</v>
      </c>
      <c r="F1359" s="1" t="s">
        <v>213</v>
      </c>
      <c r="G1359" s="1" t="s">
        <v>214</v>
      </c>
      <c r="H1359" s="1" t="s">
        <v>215</v>
      </c>
      <c r="I1359" s="1">
        <v>1</v>
      </c>
      <c r="J1359" s="3">
        <v>16220</v>
      </c>
      <c r="K1359" s="3">
        <v>15477</v>
      </c>
      <c r="L1359" s="1">
        <v>0</v>
      </c>
      <c r="M1359" s="4">
        <v>0</v>
      </c>
      <c r="N1359" s="1">
        <v>743</v>
      </c>
      <c r="O1359" s="4">
        <v>4.5999999999999999E-2</v>
      </c>
      <c r="P1359" s="1" t="s">
        <v>2721</v>
      </c>
    </row>
    <row r="1360" spans="1:16">
      <c r="A1360" s="1" t="s">
        <v>15</v>
      </c>
      <c r="B1360" s="1">
        <v>11</v>
      </c>
      <c r="C1360" s="1" t="s">
        <v>5009</v>
      </c>
      <c r="D1360" s="1" t="s">
        <v>255</v>
      </c>
      <c r="E1360" s="2">
        <v>45973</v>
      </c>
      <c r="F1360" s="1" t="s">
        <v>256</v>
      </c>
      <c r="G1360" s="1" t="s">
        <v>257</v>
      </c>
      <c r="H1360" s="1" t="s">
        <v>258</v>
      </c>
      <c r="I1360" s="1">
        <v>1</v>
      </c>
      <c r="J1360" s="3">
        <v>13860</v>
      </c>
      <c r="K1360" s="3">
        <v>13226</v>
      </c>
      <c r="L1360" s="1">
        <v>0</v>
      </c>
      <c r="M1360" s="4">
        <v>0</v>
      </c>
      <c r="N1360" s="1">
        <v>634</v>
      </c>
      <c r="O1360" s="4">
        <v>4.5999999999999999E-2</v>
      </c>
      <c r="P1360" s="1" t="s">
        <v>2721</v>
      </c>
    </row>
    <row r="1361" spans="1:16">
      <c r="A1361" s="1" t="s">
        <v>15</v>
      </c>
      <c r="B1361" s="1">
        <v>11</v>
      </c>
      <c r="C1361" s="1" t="s">
        <v>5010</v>
      </c>
      <c r="D1361" s="1" t="s">
        <v>1147</v>
      </c>
      <c r="E1361" s="2">
        <v>45973</v>
      </c>
      <c r="F1361" s="1" t="s">
        <v>126</v>
      </c>
      <c r="G1361" s="1" t="s">
        <v>1148</v>
      </c>
      <c r="H1361" s="1" t="s">
        <v>1149</v>
      </c>
      <c r="I1361" s="1">
        <v>1</v>
      </c>
      <c r="J1361" s="3">
        <v>13762</v>
      </c>
      <c r="K1361" s="3">
        <v>13132</v>
      </c>
      <c r="L1361" s="1">
        <v>0</v>
      </c>
      <c r="M1361" s="4">
        <v>0</v>
      </c>
      <c r="N1361" s="1">
        <v>630</v>
      </c>
      <c r="O1361" s="4">
        <v>4.5999999999999999E-2</v>
      </c>
      <c r="P1361" s="1" t="s">
        <v>2721</v>
      </c>
    </row>
    <row r="1362" spans="1:16">
      <c r="A1362" s="1" t="s">
        <v>15</v>
      </c>
      <c r="B1362" s="1">
        <v>11</v>
      </c>
      <c r="C1362" s="1" t="s">
        <v>5011</v>
      </c>
      <c r="D1362" s="1" t="s">
        <v>169</v>
      </c>
      <c r="E1362" s="2">
        <v>45973</v>
      </c>
      <c r="F1362" s="1" t="s">
        <v>53</v>
      </c>
      <c r="G1362" s="1" t="s">
        <v>170</v>
      </c>
      <c r="H1362" s="1" t="s">
        <v>171</v>
      </c>
      <c r="I1362" s="1">
        <v>1</v>
      </c>
      <c r="J1362" s="3">
        <v>14332</v>
      </c>
      <c r="K1362" s="3">
        <v>13676</v>
      </c>
      <c r="L1362" s="1">
        <v>0</v>
      </c>
      <c r="M1362" s="4">
        <v>0</v>
      </c>
      <c r="N1362" s="1">
        <v>656</v>
      </c>
      <c r="O1362" s="4">
        <v>4.5999999999999999E-2</v>
      </c>
      <c r="P1362" s="1" t="s">
        <v>2721</v>
      </c>
    </row>
    <row r="1363" spans="1:16">
      <c r="A1363" s="1" t="s">
        <v>15</v>
      </c>
      <c r="B1363" s="1">
        <v>11</v>
      </c>
      <c r="C1363" s="1" t="s">
        <v>5012</v>
      </c>
      <c r="D1363" s="1" t="s">
        <v>169</v>
      </c>
      <c r="E1363" s="2">
        <v>45973</v>
      </c>
      <c r="F1363" s="1" t="s">
        <v>53</v>
      </c>
      <c r="G1363" s="1" t="s">
        <v>170</v>
      </c>
      <c r="H1363" s="1" t="s">
        <v>171</v>
      </c>
      <c r="I1363" s="1">
        <v>1</v>
      </c>
      <c r="J1363" s="3">
        <v>14332</v>
      </c>
      <c r="K1363" s="3">
        <v>13676</v>
      </c>
      <c r="L1363" s="1">
        <v>0</v>
      </c>
      <c r="M1363" s="4">
        <v>0</v>
      </c>
      <c r="N1363" s="1">
        <v>656</v>
      </c>
      <c r="O1363" s="4">
        <v>4.5999999999999999E-2</v>
      </c>
      <c r="P1363" s="1" t="s">
        <v>2721</v>
      </c>
    </row>
    <row r="1364" spans="1:16">
      <c r="A1364" s="1" t="s">
        <v>15</v>
      </c>
      <c r="B1364" s="1">
        <v>11</v>
      </c>
      <c r="C1364" s="1" t="s">
        <v>5013</v>
      </c>
      <c r="D1364" s="1" t="s">
        <v>27</v>
      </c>
      <c r="E1364" s="2">
        <v>45973</v>
      </c>
      <c r="F1364" s="1" t="s">
        <v>28</v>
      </c>
      <c r="G1364" s="1" t="s">
        <v>29</v>
      </c>
      <c r="H1364" s="1" t="s">
        <v>352</v>
      </c>
      <c r="I1364" s="1">
        <v>1</v>
      </c>
      <c r="J1364" s="3">
        <v>27033</v>
      </c>
      <c r="K1364" s="3">
        <v>25795</v>
      </c>
      <c r="L1364" s="1">
        <v>0</v>
      </c>
      <c r="M1364" s="4">
        <v>0</v>
      </c>
      <c r="N1364" s="3">
        <v>1238</v>
      </c>
      <c r="O1364" s="4">
        <v>4.5999999999999999E-2</v>
      </c>
      <c r="P1364" s="1" t="s">
        <v>2721</v>
      </c>
    </row>
    <row r="1365" spans="1:16">
      <c r="A1365" s="1" t="s">
        <v>15</v>
      </c>
      <c r="B1365" s="1">
        <v>11</v>
      </c>
      <c r="C1365" s="1" t="s">
        <v>5014</v>
      </c>
      <c r="D1365" s="1" t="s">
        <v>95</v>
      </c>
      <c r="E1365" s="2">
        <v>45973</v>
      </c>
      <c r="F1365" s="1" t="s">
        <v>96</v>
      </c>
      <c r="G1365" s="1" t="s">
        <v>97</v>
      </c>
      <c r="H1365" s="1" t="s">
        <v>97</v>
      </c>
      <c r="I1365" s="1">
        <v>1</v>
      </c>
      <c r="J1365" s="3">
        <v>12571</v>
      </c>
      <c r="K1365" s="3">
        <v>11995</v>
      </c>
      <c r="L1365" s="1">
        <v>0</v>
      </c>
      <c r="M1365" s="4">
        <v>0</v>
      </c>
      <c r="N1365" s="1">
        <v>576</v>
      </c>
      <c r="O1365" s="4">
        <v>4.5999999999999999E-2</v>
      </c>
      <c r="P1365" s="1" t="s">
        <v>2721</v>
      </c>
    </row>
    <row r="1366" spans="1:16">
      <c r="A1366" s="1" t="s">
        <v>15</v>
      </c>
      <c r="B1366" s="1">
        <v>11</v>
      </c>
      <c r="C1366" s="1" t="s">
        <v>5015</v>
      </c>
      <c r="D1366" s="1" t="s">
        <v>1191</v>
      </c>
      <c r="E1366" s="2">
        <v>45973</v>
      </c>
      <c r="F1366" s="1" t="s">
        <v>570</v>
      </c>
      <c r="G1366" s="1" t="s">
        <v>1192</v>
      </c>
      <c r="H1366" s="1" t="s">
        <v>1193</v>
      </c>
      <c r="I1366" s="1">
        <v>1</v>
      </c>
      <c r="J1366" s="3">
        <v>16514</v>
      </c>
      <c r="K1366" s="3">
        <v>15758</v>
      </c>
      <c r="L1366" s="1">
        <v>0</v>
      </c>
      <c r="M1366" s="4">
        <v>0</v>
      </c>
      <c r="N1366" s="1">
        <v>756</v>
      </c>
      <c r="O1366" s="4">
        <v>4.5999999999999999E-2</v>
      </c>
      <c r="P1366" s="1" t="s">
        <v>2721</v>
      </c>
    </row>
    <row r="1367" spans="1:16">
      <c r="A1367" s="1" t="s">
        <v>15</v>
      </c>
      <c r="B1367" s="1">
        <v>11</v>
      </c>
      <c r="C1367" s="1" t="s">
        <v>5016</v>
      </c>
      <c r="D1367" s="1" t="s">
        <v>922</v>
      </c>
      <c r="E1367" s="2">
        <v>45973</v>
      </c>
      <c r="F1367" s="1" t="s">
        <v>126</v>
      </c>
      <c r="G1367" s="1" t="s">
        <v>923</v>
      </c>
      <c r="H1367" s="1" t="s">
        <v>5017</v>
      </c>
      <c r="I1367" s="1">
        <v>1</v>
      </c>
      <c r="J1367" s="3">
        <v>29687</v>
      </c>
      <c r="K1367" s="3">
        <v>28328</v>
      </c>
      <c r="L1367" s="1">
        <v>0</v>
      </c>
      <c r="M1367" s="4">
        <v>0</v>
      </c>
      <c r="N1367" s="3">
        <v>1359</v>
      </c>
      <c r="O1367" s="4">
        <v>4.5999999999999999E-2</v>
      </c>
      <c r="P1367" s="1" t="s">
        <v>2721</v>
      </c>
    </row>
    <row r="1368" spans="1:16">
      <c r="A1368" s="1" t="s">
        <v>15</v>
      </c>
      <c r="B1368" s="1">
        <v>11</v>
      </c>
      <c r="C1368" s="1" t="s">
        <v>5018</v>
      </c>
      <c r="D1368" s="1" t="s">
        <v>325</v>
      </c>
      <c r="E1368" s="2">
        <v>45973</v>
      </c>
      <c r="F1368" s="1" t="s">
        <v>256</v>
      </c>
      <c r="G1368" s="1" t="s">
        <v>326</v>
      </c>
      <c r="H1368" s="1" t="s">
        <v>910</v>
      </c>
      <c r="I1368" s="1">
        <v>1</v>
      </c>
      <c r="J1368" s="3">
        <v>14204</v>
      </c>
      <c r="K1368" s="3">
        <v>13554</v>
      </c>
      <c r="L1368" s="1">
        <v>0</v>
      </c>
      <c r="M1368" s="4">
        <v>0</v>
      </c>
      <c r="N1368" s="1">
        <v>650</v>
      </c>
      <c r="O1368" s="4">
        <v>4.5999999999999999E-2</v>
      </c>
      <c r="P1368" s="1" t="s">
        <v>2721</v>
      </c>
    </row>
    <row r="1369" spans="1:16">
      <c r="A1369" s="1" t="s">
        <v>15</v>
      </c>
      <c r="B1369" s="1">
        <v>11</v>
      </c>
      <c r="C1369" s="1" t="s">
        <v>5019</v>
      </c>
      <c r="D1369" s="1" t="s">
        <v>311</v>
      </c>
      <c r="E1369" s="2">
        <v>45973</v>
      </c>
      <c r="F1369" s="1" t="s">
        <v>312</v>
      </c>
      <c r="G1369" s="1" t="s">
        <v>313</v>
      </c>
      <c r="H1369" s="1" t="s">
        <v>4834</v>
      </c>
      <c r="I1369" s="1">
        <v>1</v>
      </c>
      <c r="J1369" s="3">
        <v>28310</v>
      </c>
      <c r="K1369" s="3">
        <v>27014</v>
      </c>
      <c r="L1369" s="1">
        <v>0</v>
      </c>
      <c r="M1369" s="4">
        <v>0</v>
      </c>
      <c r="N1369" s="3">
        <v>1296</v>
      </c>
      <c r="O1369" s="4">
        <v>4.5999999999999999E-2</v>
      </c>
      <c r="P1369" s="1" t="s">
        <v>2721</v>
      </c>
    </row>
    <row r="1370" spans="1:16">
      <c r="A1370" s="1" t="s">
        <v>15</v>
      </c>
      <c r="B1370" s="1">
        <v>11</v>
      </c>
      <c r="C1370" s="1" t="s">
        <v>5020</v>
      </c>
      <c r="D1370" s="1" t="s">
        <v>874</v>
      </c>
      <c r="E1370" s="2">
        <v>45973</v>
      </c>
      <c r="F1370" s="1" t="s">
        <v>96</v>
      </c>
      <c r="G1370" s="1" t="s">
        <v>875</v>
      </c>
      <c r="H1370" s="1" t="s">
        <v>876</v>
      </c>
      <c r="I1370" s="1">
        <v>1</v>
      </c>
      <c r="J1370" s="3">
        <v>17092</v>
      </c>
      <c r="K1370" s="3">
        <v>16310</v>
      </c>
      <c r="L1370" s="1">
        <v>0</v>
      </c>
      <c r="M1370" s="4">
        <v>0</v>
      </c>
      <c r="N1370" s="1">
        <v>782</v>
      </c>
      <c r="O1370" s="4">
        <v>4.5999999999999999E-2</v>
      </c>
      <c r="P1370" s="1" t="s">
        <v>2721</v>
      </c>
    </row>
    <row r="1371" spans="1:16">
      <c r="A1371" s="1" t="s">
        <v>15</v>
      </c>
      <c r="B1371" s="1">
        <v>11</v>
      </c>
      <c r="C1371" s="1" t="s">
        <v>5021</v>
      </c>
      <c r="D1371" s="1" t="s">
        <v>1261</v>
      </c>
      <c r="E1371" s="2">
        <v>45973</v>
      </c>
      <c r="F1371" s="1" t="s">
        <v>33</v>
      </c>
      <c r="G1371" s="1" t="s">
        <v>1262</v>
      </c>
      <c r="H1371" s="1" t="s">
        <v>5022</v>
      </c>
      <c r="I1371" s="1">
        <v>1</v>
      </c>
      <c r="J1371" s="3">
        <v>91518</v>
      </c>
      <c r="K1371" s="3">
        <v>87329</v>
      </c>
      <c r="L1371" s="1">
        <v>0</v>
      </c>
      <c r="M1371" s="4">
        <v>0</v>
      </c>
      <c r="N1371" s="3">
        <v>4189</v>
      </c>
      <c r="O1371" s="4">
        <v>4.5999999999999999E-2</v>
      </c>
      <c r="P1371" s="1" t="s">
        <v>2721</v>
      </c>
    </row>
    <row r="1372" spans="1:16">
      <c r="A1372" s="1" t="s">
        <v>15</v>
      </c>
      <c r="B1372" s="1">
        <v>11</v>
      </c>
      <c r="C1372" s="1" t="s">
        <v>5023</v>
      </c>
      <c r="D1372" s="1" t="s">
        <v>341</v>
      </c>
      <c r="E1372" s="2">
        <v>45973</v>
      </c>
      <c r="F1372" s="1" t="s">
        <v>53</v>
      </c>
      <c r="G1372" s="1" t="s">
        <v>342</v>
      </c>
      <c r="H1372" s="1" t="s">
        <v>343</v>
      </c>
      <c r="I1372" s="1">
        <v>1</v>
      </c>
      <c r="J1372" s="3">
        <v>16135</v>
      </c>
      <c r="K1372" s="3">
        <v>15396</v>
      </c>
      <c r="L1372" s="1">
        <v>0</v>
      </c>
      <c r="M1372" s="4">
        <v>0</v>
      </c>
      <c r="N1372" s="1">
        <v>739</v>
      </c>
      <c r="O1372" s="4">
        <v>4.5999999999999999E-2</v>
      </c>
      <c r="P1372" s="1" t="s">
        <v>2721</v>
      </c>
    </row>
    <row r="1373" spans="1:16">
      <c r="A1373" s="1" t="s">
        <v>15</v>
      </c>
      <c r="B1373" s="1">
        <v>11</v>
      </c>
      <c r="C1373" s="1" t="s">
        <v>5024</v>
      </c>
      <c r="D1373" s="1" t="s">
        <v>478</v>
      </c>
      <c r="E1373" s="2">
        <v>45973</v>
      </c>
      <c r="F1373" s="1" t="s">
        <v>368</v>
      </c>
      <c r="G1373" s="1" t="s">
        <v>479</v>
      </c>
      <c r="H1373" s="1" t="s">
        <v>480</v>
      </c>
      <c r="I1373" s="1">
        <v>1</v>
      </c>
      <c r="J1373" s="3">
        <v>19805</v>
      </c>
      <c r="K1373" s="3">
        <v>18899</v>
      </c>
      <c r="L1373" s="1">
        <v>0</v>
      </c>
      <c r="M1373" s="4">
        <v>0</v>
      </c>
      <c r="N1373" s="1">
        <v>906</v>
      </c>
      <c r="O1373" s="4">
        <v>4.5999999999999999E-2</v>
      </c>
      <c r="P1373" s="1" t="s">
        <v>2721</v>
      </c>
    </row>
    <row r="1374" spans="1:16">
      <c r="A1374" s="1" t="s">
        <v>15</v>
      </c>
      <c r="B1374" s="1">
        <v>11</v>
      </c>
      <c r="C1374" s="1" t="s">
        <v>5025</v>
      </c>
      <c r="D1374" s="1" t="s">
        <v>86</v>
      </c>
      <c r="E1374" s="2">
        <v>45973</v>
      </c>
      <c r="F1374" s="1" t="s">
        <v>53</v>
      </c>
      <c r="G1374" s="1" t="s">
        <v>87</v>
      </c>
      <c r="H1374" s="1" t="s">
        <v>88</v>
      </c>
      <c r="I1374" s="1">
        <v>1</v>
      </c>
      <c r="J1374" s="3">
        <v>14956</v>
      </c>
      <c r="K1374" s="3">
        <v>14272</v>
      </c>
      <c r="L1374" s="1">
        <v>0</v>
      </c>
      <c r="M1374" s="4">
        <v>0</v>
      </c>
      <c r="N1374" s="1">
        <v>684</v>
      </c>
      <c r="O1374" s="4">
        <v>4.5999999999999999E-2</v>
      </c>
      <c r="P1374" s="1" t="s">
        <v>2721</v>
      </c>
    </row>
    <row r="1375" spans="1:16">
      <c r="A1375" s="1" t="s">
        <v>15</v>
      </c>
      <c r="B1375" s="1">
        <v>11</v>
      </c>
      <c r="C1375" s="1" t="s">
        <v>5026</v>
      </c>
      <c r="D1375" s="1" t="s">
        <v>178</v>
      </c>
      <c r="E1375" s="2">
        <v>45973</v>
      </c>
      <c r="F1375" s="1" t="s">
        <v>96</v>
      </c>
      <c r="G1375" s="1" t="s">
        <v>179</v>
      </c>
      <c r="H1375" s="1" t="s">
        <v>180</v>
      </c>
      <c r="I1375" s="1">
        <v>1</v>
      </c>
      <c r="J1375" s="3">
        <v>15284</v>
      </c>
      <c r="K1375" s="3">
        <v>14584</v>
      </c>
      <c r="L1375" s="1">
        <v>0</v>
      </c>
      <c r="M1375" s="4">
        <v>0</v>
      </c>
      <c r="N1375" s="1">
        <v>700</v>
      </c>
      <c r="O1375" s="4">
        <v>4.5999999999999999E-2</v>
      </c>
      <c r="P1375" s="1" t="s">
        <v>2721</v>
      </c>
    </row>
    <row r="1376" spans="1:16">
      <c r="A1376" s="1" t="s">
        <v>15</v>
      </c>
      <c r="B1376" s="1">
        <v>11</v>
      </c>
      <c r="C1376" s="1" t="s">
        <v>5027</v>
      </c>
      <c r="D1376" s="1" t="s">
        <v>558</v>
      </c>
      <c r="E1376" s="2">
        <v>45973</v>
      </c>
      <c r="F1376" s="1" t="s">
        <v>256</v>
      </c>
      <c r="G1376" s="1" t="s">
        <v>559</v>
      </c>
      <c r="H1376" s="1" t="s">
        <v>560</v>
      </c>
      <c r="I1376" s="1">
        <v>1</v>
      </c>
      <c r="J1376" s="3">
        <v>9339</v>
      </c>
      <c r="K1376" s="3">
        <v>8911</v>
      </c>
      <c r="L1376" s="1">
        <v>0</v>
      </c>
      <c r="M1376" s="4">
        <v>0</v>
      </c>
      <c r="N1376" s="1">
        <v>428</v>
      </c>
      <c r="O1376" s="4">
        <v>4.5999999999999999E-2</v>
      </c>
      <c r="P1376" s="1" t="s">
        <v>2721</v>
      </c>
    </row>
    <row r="1377" spans="1:16">
      <c r="A1377" s="1" t="s">
        <v>15</v>
      </c>
      <c r="B1377" s="1">
        <v>11</v>
      </c>
      <c r="C1377" s="1" t="s">
        <v>5028</v>
      </c>
      <c r="D1377" s="1" t="s">
        <v>777</v>
      </c>
      <c r="E1377" s="2">
        <v>45973</v>
      </c>
      <c r="F1377" s="1" t="s">
        <v>256</v>
      </c>
      <c r="G1377" s="1" t="s">
        <v>778</v>
      </c>
      <c r="H1377" s="1" t="s">
        <v>1571</v>
      </c>
      <c r="I1377" s="1">
        <v>1</v>
      </c>
      <c r="J1377" s="3">
        <v>19857</v>
      </c>
      <c r="K1377" s="3">
        <v>18948</v>
      </c>
      <c r="L1377" s="1">
        <v>0</v>
      </c>
      <c r="M1377" s="4">
        <v>0</v>
      </c>
      <c r="N1377" s="1">
        <v>909</v>
      </c>
      <c r="O1377" s="4">
        <v>4.5999999999999999E-2</v>
      </c>
      <c r="P1377" s="1" t="s">
        <v>2721</v>
      </c>
    </row>
    <row r="1378" spans="1:16">
      <c r="A1378" s="1" t="s">
        <v>15</v>
      </c>
      <c r="B1378" s="1">
        <v>11</v>
      </c>
      <c r="C1378" s="1" t="s">
        <v>5029</v>
      </c>
      <c r="D1378" s="1" t="s">
        <v>482</v>
      </c>
      <c r="E1378" s="2">
        <v>45973</v>
      </c>
      <c r="F1378" s="1" t="s">
        <v>483</v>
      </c>
      <c r="G1378" s="1" t="s">
        <v>484</v>
      </c>
      <c r="H1378" s="1" t="s">
        <v>1039</v>
      </c>
      <c r="I1378" s="1">
        <v>1</v>
      </c>
      <c r="J1378" s="3">
        <v>27426</v>
      </c>
      <c r="K1378" s="3">
        <v>26170</v>
      </c>
      <c r="L1378" s="1">
        <v>0</v>
      </c>
      <c r="M1378" s="4">
        <v>0</v>
      </c>
      <c r="N1378" s="3">
        <v>1256</v>
      </c>
      <c r="O1378" s="4">
        <v>4.5999999999999999E-2</v>
      </c>
      <c r="P1378" s="1" t="s">
        <v>2721</v>
      </c>
    </row>
    <row r="1379" spans="1:16">
      <c r="A1379" s="1" t="s">
        <v>15</v>
      </c>
      <c r="B1379" s="1">
        <v>11</v>
      </c>
      <c r="C1379" s="1" t="s">
        <v>5030</v>
      </c>
      <c r="D1379" s="1" t="s">
        <v>238</v>
      </c>
      <c r="E1379" s="2">
        <v>45973</v>
      </c>
      <c r="F1379" s="1" t="s">
        <v>239</v>
      </c>
      <c r="G1379" s="1" t="s">
        <v>240</v>
      </c>
      <c r="H1379" s="1" t="s">
        <v>241</v>
      </c>
      <c r="I1379" s="1">
        <v>1</v>
      </c>
      <c r="J1379" s="3">
        <v>11305</v>
      </c>
      <c r="K1379" s="3">
        <v>10787</v>
      </c>
      <c r="L1379" s="1">
        <v>0</v>
      </c>
      <c r="M1379" s="4">
        <v>0</v>
      </c>
      <c r="N1379" s="1">
        <v>518</v>
      </c>
      <c r="O1379" s="4">
        <v>4.5999999999999999E-2</v>
      </c>
      <c r="P1379" s="1" t="s">
        <v>2721</v>
      </c>
    </row>
    <row r="1380" spans="1:16">
      <c r="A1380" s="1" t="s">
        <v>15</v>
      </c>
      <c r="B1380" s="1">
        <v>11</v>
      </c>
      <c r="C1380" s="1" t="s">
        <v>5030</v>
      </c>
      <c r="D1380" s="1" t="s">
        <v>238</v>
      </c>
      <c r="E1380" s="2">
        <v>45973</v>
      </c>
      <c r="F1380" s="1" t="s">
        <v>239</v>
      </c>
      <c r="G1380" s="1" t="s">
        <v>240</v>
      </c>
      <c r="H1380" s="1" t="s">
        <v>242</v>
      </c>
      <c r="I1380" s="1">
        <v>1</v>
      </c>
      <c r="J1380" s="3">
        <v>11305</v>
      </c>
      <c r="K1380" s="3">
        <v>10787</v>
      </c>
      <c r="L1380" s="1">
        <v>0</v>
      </c>
      <c r="M1380" s="4">
        <v>0</v>
      </c>
      <c r="N1380" s="1">
        <v>518</v>
      </c>
      <c r="O1380" s="4">
        <v>4.5999999999999999E-2</v>
      </c>
      <c r="P1380" s="1" t="s">
        <v>2721</v>
      </c>
    </row>
    <row r="1381" spans="1:16">
      <c r="A1381" s="1" t="s">
        <v>15</v>
      </c>
      <c r="B1381" s="1">
        <v>11</v>
      </c>
      <c r="C1381" s="1" t="s">
        <v>5031</v>
      </c>
      <c r="D1381" s="1" t="s">
        <v>499</v>
      </c>
      <c r="E1381" s="2">
        <v>45973</v>
      </c>
      <c r="F1381" s="1" t="s">
        <v>500</v>
      </c>
      <c r="G1381" s="1" t="s">
        <v>501</v>
      </c>
      <c r="H1381" s="1" t="s">
        <v>502</v>
      </c>
      <c r="I1381" s="1">
        <v>1</v>
      </c>
      <c r="J1381" s="3">
        <v>227073</v>
      </c>
      <c r="K1381" s="3">
        <v>216678</v>
      </c>
      <c r="L1381" s="1">
        <v>0</v>
      </c>
      <c r="M1381" s="4">
        <v>0</v>
      </c>
      <c r="N1381" s="3">
        <v>10395</v>
      </c>
      <c r="O1381" s="4">
        <v>4.5999999999999999E-2</v>
      </c>
      <c r="P1381" s="1" t="s">
        <v>2721</v>
      </c>
    </row>
    <row r="1382" spans="1:16">
      <c r="A1382" s="1" t="s">
        <v>15</v>
      </c>
      <c r="B1382" s="1">
        <v>11</v>
      </c>
      <c r="C1382" s="1" t="s">
        <v>5032</v>
      </c>
      <c r="D1382" s="1" t="s">
        <v>5033</v>
      </c>
      <c r="E1382" s="2">
        <v>45973</v>
      </c>
      <c r="F1382" s="1" t="s">
        <v>5034</v>
      </c>
      <c r="G1382" s="1" t="s">
        <v>5035</v>
      </c>
      <c r="H1382" s="1" t="s">
        <v>5036</v>
      </c>
      <c r="I1382" s="1">
        <v>1</v>
      </c>
      <c r="J1382" s="3">
        <v>18677</v>
      </c>
      <c r="K1382" s="3">
        <v>17822</v>
      </c>
      <c r="L1382" s="1">
        <v>0</v>
      </c>
      <c r="M1382" s="4">
        <v>0</v>
      </c>
      <c r="N1382" s="1">
        <v>855</v>
      </c>
      <c r="O1382" s="4">
        <v>4.5999999999999999E-2</v>
      </c>
      <c r="P1382" s="1" t="s">
        <v>2721</v>
      </c>
    </row>
    <row r="1383" spans="1:16">
      <c r="A1383" s="1" t="s">
        <v>15</v>
      </c>
      <c r="B1383" s="1">
        <v>11</v>
      </c>
      <c r="C1383" s="1" t="s">
        <v>5037</v>
      </c>
      <c r="D1383" s="1" t="s">
        <v>1375</v>
      </c>
      <c r="E1383" s="2">
        <v>45973</v>
      </c>
      <c r="F1383" s="1" t="s">
        <v>256</v>
      </c>
      <c r="G1383" s="1" t="s">
        <v>1376</v>
      </c>
      <c r="H1383" s="1" t="s">
        <v>1377</v>
      </c>
      <c r="I1383" s="1">
        <v>1</v>
      </c>
      <c r="J1383" s="3">
        <v>8208</v>
      </c>
      <c r="K1383" s="3">
        <v>7832</v>
      </c>
      <c r="L1383" s="1">
        <v>0</v>
      </c>
      <c r="M1383" s="4">
        <v>0</v>
      </c>
      <c r="N1383" s="1">
        <v>376</v>
      </c>
      <c r="O1383" s="4">
        <v>4.5999999999999999E-2</v>
      </c>
      <c r="P1383" s="1" t="s">
        <v>2721</v>
      </c>
    </row>
    <row r="1384" spans="1:16">
      <c r="A1384" s="1" t="s">
        <v>15</v>
      </c>
      <c r="B1384" s="1">
        <v>11</v>
      </c>
      <c r="C1384" s="1" t="s">
        <v>5038</v>
      </c>
      <c r="D1384" s="1" t="s">
        <v>169</v>
      </c>
      <c r="E1384" s="2">
        <v>45973</v>
      </c>
      <c r="F1384" s="1" t="s">
        <v>53</v>
      </c>
      <c r="G1384" s="1" t="s">
        <v>170</v>
      </c>
      <c r="H1384" s="1" t="s">
        <v>171</v>
      </c>
      <c r="I1384" s="1">
        <v>1</v>
      </c>
      <c r="J1384" s="3">
        <v>14332</v>
      </c>
      <c r="K1384" s="3">
        <v>13676</v>
      </c>
      <c r="L1384" s="1">
        <v>0</v>
      </c>
      <c r="M1384" s="4">
        <v>0</v>
      </c>
      <c r="N1384" s="1">
        <v>656</v>
      </c>
      <c r="O1384" s="4">
        <v>4.5999999999999999E-2</v>
      </c>
      <c r="P1384" s="1" t="s">
        <v>2721</v>
      </c>
    </row>
    <row r="1385" spans="1:16">
      <c r="A1385" s="1" t="s">
        <v>15</v>
      </c>
      <c r="B1385" s="1">
        <v>11</v>
      </c>
      <c r="C1385" s="1" t="s">
        <v>5038</v>
      </c>
      <c r="D1385" s="1" t="s">
        <v>440</v>
      </c>
      <c r="E1385" s="2">
        <v>45973</v>
      </c>
      <c r="F1385" s="1" t="s">
        <v>441</v>
      </c>
      <c r="G1385" s="1" t="s">
        <v>442</v>
      </c>
      <c r="H1385" s="1" t="s">
        <v>443</v>
      </c>
      <c r="I1385" s="1">
        <v>1</v>
      </c>
      <c r="J1385" s="3">
        <v>27524</v>
      </c>
      <c r="K1385" s="3">
        <v>26264</v>
      </c>
      <c r="L1385" s="1">
        <v>0</v>
      </c>
      <c r="M1385" s="4">
        <v>0</v>
      </c>
      <c r="N1385" s="3">
        <v>1260</v>
      </c>
      <c r="O1385" s="4">
        <v>4.5999999999999999E-2</v>
      </c>
      <c r="P1385" s="1" t="s">
        <v>2721</v>
      </c>
    </row>
    <row r="1386" spans="1:16">
      <c r="A1386" s="1" t="s">
        <v>15</v>
      </c>
      <c r="B1386" s="1">
        <v>11</v>
      </c>
      <c r="C1386" s="1" t="s">
        <v>5038</v>
      </c>
      <c r="D1386" s="1" t="s">
        <v>238</v>
      </c>
      <c r="E1386" s="2">
        <v>45973</v>
      </c>
      <c r="F1386" s="1" t="s">
        <v>239</v>
      </c>
      <c r="G1386" s="1" t="s">
        <v>240</v>
      </c>
      <c r="H1386" s="1" t="s">
        <v>241</v>
      </c>
      <c r="I1386" s="1">
        <v>1</v>
      </c>
      <c r="J1386" s="3">
        <v>11305</v>
      </c>
      <c r="K1386" s="3">
        <v>10787</v>
      </c>
      <c r="L1386" s="1">
        <v>0</v>
      </c>
      <c r="M1386" s="4">
        <v>0</v>
      </c>
      <c r="N1386" s="1">
        <v>518</v>
      </c>
      <c r="O1386" s="4">
        <v>4.5999999999999999E-2</v>
      </c>
      <c r="P1386" s="1" t="s">
        <v>2721</v>
      </c>
    </row>
    <row r="1387" spans="1:16">
      <c r="A1387" s="1" t="s">
        <v>15</v>
      </c>
      <c r="B1387" s="1">
        <v>11</v>
      </c>
      <c r="C1387" s="1" t="s">
        <v>5039</v>
      </c>
      <c r="D1387" s="1" t="s">
        <v>5040</v>
      </c>
      <c r="E1387" s="2">
        <v>45973</v>
      </c>
      <c r="F1387" s="1" t="s">
        <v>783</v>
      </c>
      <c r="G1387" s="1" t="s">
        <v>5041</v>
      </c>
      <c r="H1387" s="1" t="s">
        <v>5042</v>
      </c>
      <c r="I1387" s="1">
        <v>1</v>
      </c>
      <c r="J1387" s="3">
        <v>39615</v>
      </c>
      <c r="K1387" s="3">
        <v>37801</v>
      </c>
      <c r="L1387" s="1">
        <v>0</v>
      </c>
      <c r="M1387" s="4">
        <v>0</v>
      </c>
      <c r="N1387" s="3">
        <v>1814</v>
      </c>
      <c r="O1387" s="4">
        <v>4.5999999999999999E-2</v>
      </c>
      <c r="P1387" s="1" t="s">
        <v>2721</v>
      </c>
    </row>
    <row r="1388" spans="1:16">
      <c r="A1388" s="1" t="s">
        <v>15</v>
      </c>
      <c r="B1388" s="1">
        <v>11</v>
      </c>
      <c r="C1388" s="1" t="s">
        <v>5043</v>
      </c>
      <c r="D1388" s="1" t="s">
        <v>32</v>
      </c>
      <c r="E1388" s="2">
        <v>45973</v>
      </c>
      <c r="F1388" s="1" t="s">
        <v>33</v>
      </c>
      <c r="G1388" s="1" t="s">
        <v>34</v>
      </c>
      <c r="H1388" s="1" t="s">
        <v>5044</v>
      </c>
      <c r="I1388" s="1">
        <v>2</v>
      </c>
      <c r="J1388" s="3">
        <v>137022</v>
      </c>
      <c r="K1388" s="3">
        <v>130750</v>
      </c>
      <c r="L1388" s="1">
        <v>0</v>
      </c>
      <c r="M1388" s="4">
        <v>0</v>
      </c>
      <c r="N1388" s="3">
        <v>6272</v>
      </c>
      <c r="O1388" s="4">
        <v>4.5999999999999999E-2</v>
      </c>
      <c r="P1388" s="1" t="s">
        <v>2721</v>
      </c>
    </row>
    <row r="1389" spans="1:16">
      <c r="A1389" s="1" t="s">
        <v>15</v>
      </c>
      <c r="B1389" s="1">
        <v>11</v>
      </c>
      <c r="C1389" s="1" t="s">
        <v>5045</v>
      </c>
      <c r="D1389" s="1" t="s">
        <v>2398</v>
      </c>
      <c r="E1389" s="2">
        <v>45973</v>
      </c>
      <c r="F1389" s="1" t="s">
        <v>63</v>
      </c>
      <c r="G1389" s="1" t="s">
        <v>2399</v>
      </c>
      <c r="H1389" s="1" t="s">
        <v>2400</v>
      </c>
      <c r="I1389" s="1">
        <v>1</v>
      </c>
      <c r="J1389" s="3">
        <v>32001</v>
      </c>
      <c r="K1389" s="3">
        <v>30536</v>
      </c>
      <c r="L1389" s="1">
        <v>0</v>
      </c>
      <c r="M1389" s="4">
        <v>0</v>
      </c>
      <c r="N1389" s="3">
        <v>1465</v>
      </c>
      <c r="O1389" s="4">
        <v>4.5999999999999999E-2</v>
      </c>
      <c r="P1389" s="1" t="s">
        <v>2721</v>
      </c>
    </row>
    <row r="1390" spans="1:16">
      <c r="A1390" s="1" t="s">
        <v>15</v>
      </c>
      <c r="B1390" s="1">
        <v>11</v>
      </c>
      <c r="C1390" s="1" t="s">
        <v>5046</v>
      </c>
      <c r="D1390" s="1" t="s">
        <v>468</v>
      </c>
      <c r="E1390" s="2">
        <v>45973</v>
      </c>
      <c r="F1390" s="1" t="s">
        <v>469</v>
      </c>
      <c r="G1390" s="1" t="s">
        <v>470</v>
      </c>
      <c r="H1390" s="1" t="s">
        <v>471</v>
      </c>
      <c r="I1390" s="1">
        <v>1</v>
      </c>
      <c r="J1390" s="3">
        <v>24477</v>
      </c>
      <c r="K1390" s="3">
        <v>23356</v>
      </c>
      <c r="L1390" s="1">
        <v>0</v>
      </c>
      <c r="M1390" s="4">
        <v>0</v>
      </c>
      <c r="N1390" s="3">
        <v>1121</v>
      </c>
      <c r="O1390" s="4">
        <v>4.5999999999999999E-2</v>
      </c>
      <c r="P1390" s="1" t="s">
        <v>2721</v>
      </c>
    </row>
    <row r="1391" spans="1:16">
      <c r="A1391" s="1" t="s">
        <v>15</v>
      </c>
      <c r="B1391" s="1">
        <v>11</v>
      </c>
      <c r="C1391" s="1" t="s">
        <v>5047</v>
      </c>
      <c r="D1391" s="1" t="s">
        <v>132</v>
      </c>
      <c r="E1391" s="2">
        <v>45973</v>
      </c>
      <c r="F1391" s="1" t="s">
        <v>53</v>
      </c>
      <c r="G1391" s="1" t="s">
        <v>133</v>
      </c>
      <c r="H1391" s="1" t="s">
        <v>88</v>
      </c>
      <c r="I1391" s="1">
        <v>12</v>
      </c>
      <c r="J1391" s="3">
        <v>204436</v>
      </c>
      <c r="K1391" s="3">
        <v>195078</v>
      </c>
      <c r="L1391" s="1">
        <v>0</v>
      </c>
      <c r="M1391" s="4">
        <v>0</v>
      </c>
      <c r="N1391" s="3">
        <v>9358</v>
      </c>
      <c r="O1391" s="4">
        <v>4.5999999999999999E-2</v>
      </c>
      <c r="P1391" s="1" t="s">
        <v>2721</v>
      </c>
    </row>
    <row r="1392" spans="1:16">
      <c r="A1392" s="1" t="s">
        <v>15</v>
      </c>
      <c r="B1392" s="1">
        <v>11</v>
      </c>
      <c r="C1392" s="1" t="s">
        <v>5048</v>
      </c>
      <c r="D1392" s="1" t="s">
        <v>5049</v>
      </c>
      <c r="E1392" s="2">
        <v>45973</v>
      </c>
      <c r="F1392" s="1" t="s">
        <v>251</v>
      </c>
      <c r="G1392" s="1" t="s">
        <v>600</v>
      </c>
      <c r="H1392" s="1" t="s">
        <v>601</v>
      </c>
      <c r="I1392" s="1">
        <v>1</v>
      </c>
      <c r="J1392" s="3">
        <v>11599</v>
      </c>
      <c r="K1392" s="3">
        <v>11068</v>
      </c>
      <c r="L1392" s="1">
        <v>0</v>
      </c>
      <c r="M1392" s="4">
        <v>0</v>
      </c>
      <c r="N1392" s="1">
        <v>531</v>
      </c>
      <c r="O1392" s="4">
        <v>4.5999999999999999E-2</v>
      </c>
      <c r="P1392" s="1" t="s">
        <v>2721</v>
      </c>
    </row>
    <row r="1393" spans="1:16">
      <c r="A1393" s="1" t="s">
        <v>15</v>
      </c>
      <c r="B1393" s="1">
        <v>11</v>
      </c>
      <c r="C1393" s="1" t="s">
        <v>5050</v>
      </c>
      <c r="D1393" s="1" t="s">
        <v>72</v>
      </c>
      <c r="E1393" s="2">
        <v>45973</v>
      </c>
      <c r="F1393" s="1" t="s">
        <v>63</v>
      </c>
      <c r="G1393" s="1" t="s">
        <v>73</v>
      </c>
      <c r="H1393" s="1" t="s">
        <v>74</v>
      </c>
      <c r="I1393" s="1">
        <v>1</v>
      </c>
      <c r="J1393" s="3">
        <v>10456</v>
      </c>
      <c r="K1393" s="3">
        <v>9978</v>
      </c>
      <c r="L1393" s="1">
        <v>0</v>
      </c>
      <c r="M1393" s="4">
        <v>0</v>
      </c>
      <c r="N1393" s="1">
        <v>478</v>
      </c>
      <c r="O1393" s="4">
        <v>4.5999999999999999E-2</v>
      </c>
      <c r="P1393" s="1" t="s">
        <v>2721</v>
      </c>
    </row>
    <row r="1394" spans="1:16">
      <c r="A1394" s="1" t="s">
        <v>15</v>
      </c>
      <c r="B1394" s="1">
        <v>11</v>
      </c>
      <c r="C1394" s="1" t="s">
        <v>5051</v>
      </c>
      <c r="D1394" s="1" t="s">
        <v>3322</v>
      </c>
      <c r="E1394" s="2">
        <v>45973</v>
      </c>
      <c r="F1394" s="1" t="s">
        <v>798</v>
      </c>
      <c r="G1394" s="1" t="s">
        <v>3323</v>
      </c>
      <c r="H1394" s="1" t="s">
        <v>5052</v>
      </c>
      <c r="I1394" s="1">
        <v>1</v>
      </c>
      <c r="J1394" s="3">
        <v>17203</v>
      </c>
      <c r="K1394" s="3">
        <v>16415</v>
      </c>
      <c r="L1394" s="1">
        <v>0</v>
      </c>
      <c r="M1394" s="4">
        <v>0</v>
      </c>
      <c r="N1394" s="1">
        <v>788</v>
      </c>
      <c r="O1394" s="4">
        <v>4.5999999999999999E-2</v>
      </c>
      <c r="P1394" s="1" t="s">
        <v>2721</v>
      </c>
    </row>
    <row r="1395" spans="1:16">
      <c r="A1395" s="1" t="s">
        <v>15</v>
      </c>
      <c r="B1395" s="1">
        <v>11</v>
      </c>
      <c r="C1395" s="1" t="s">
        <v>5053</v>
      </c>
      <c r="D1395" s="1" t="s">
        <v>3607</v>
      </c>
      <c r="E1395" s="2">
        <v>45973</v>
      </c>
      <c r="F1395" s="1" t="s">
        <v>58</v>
      </c>
      <c r="G1395" s="1" t="s">
        <v>3608</v>
      </c>
      <c r="H1395" s="1" t="s">
        <v>3609</v>
      </c>
      <c r="I1395" s="1">
        <v>2</v>
      </c>
      <c r="J1395" s="3">
        <v>43685</v>
      </c>
      <c r="K1395" s="3">
        <v>41685</v>
      </c>
      <c r="L1395" s="1">
        <v>0</v>
      </c>
      <c r="M1395" s="4">
        <v>0</v>
      </c>
      <c r="N1395" s="3">
        <v>2000</v>
      </c>
      <c r="O1395" s="4">
        <v>4.5999999999999999E-2</v>
      </c>
      <c r="P1395" s="1" t="s">
        <v>2721</v>
      </c>
    </row>
    <row r="1396" spans="1:16">
      <c r="A1396" s="1" t="s">
        <v>15</v>
      </c>
      <c r="B1396" s="1">
        <v>11</v>
      </c>
      <c r="C1396" s="1" t="s">
        <v>5054</v>
      </c>
      <c r="D1396" s="1" t="s">
        <v>52</v>
      </c>
      <c r="E1396" s="2">
        <v>45973</v>
      </c>
      <c r="F1396" s="1" t="s">
        <v>53</v>
      </c>
      <c r="G1396" s="1" t="s">
        <v>54</v>
      </c>
      <c r="H1396" s="1" t="s">
        <v>55</v>
      </c>
      <c r="I1396" s="1">
        <v>1</v>
      </c>
      <c r="J1396" s="3">
        <v>16135</v>
      </c>
      <c r="K1396" s="3">
        <v>15396</v>
      </c>
      <c r="L1396" s="1">
        <v>0</v>
      </c>
      <c r="M1396" s="4">
        <v>0</v>
      </c>
      <c r="N1396" s="1">
        <v>739</v>
      </c>
      <c r="O1396" s="4">
        <v>4.5999999999999999E-2</v>
      </c>
      <c r="P1396" s="1" t="s">
        <v>2721</v>
      </c>
    </row>
    <row r="1397" spans="1:16">
      <c r="A1397" s="1" t="s">
        <v>15</v>
      </c>
      <c r="B1397" s="1">
        <v>11</v>
      </c>
      <c r="C1397" s="1" t="s">
        <v>5054</v>
      </c>
      <c r="D1397" s="1" t="s">
        <v>5055</v>
      </c>
      <c r="E1397" s="2">
        <v>45973</v>
      </c>
      <c r="F1397" s="1" t="s">
        <v>53</v>
      </c>
      <c r="G1397" s="1" t="s">
        <v>5056</v>
      </c>
      <c r="H1397" s="1" t="s">
        <v>5057</v>
      </c>
      <c r="I1397" s="1">
        <v>1</v>
      </c>
      <c r="J1397" s="3">
        <v>16135</v>
      </c>
      <c r="K1397" s="3">
        <v>15396</v>
      </c>
      <c r="L1397" s="1">
        <v>0</v>
      </c>
      <c r="M1397" s="4">
        <v>0</v>
      </c>
      <c r="N1397" s="1">
        <v>739</v>
      </c>
      <c r="O1397" s="4">
        <v>4.5999999999999999E-2</v>
      </c>
      <c r="P1397" s="1" t="s">
        <v>2721</v>
      </c>
    </row>
    <row r="1398" spans="1:16">
      <c r="A1398" s="1" t="s">
        <v>15</v>
      </c>
      <c r="B1398" s="1">
        <v>11</v>
      </c>
      <c r="C1398" s="1" t="s">
        <v>5054</v>
      </c>
      <c r="D1398" s="1" t="s">
        <v>5058</v>
      </c>
      <c r="E1398" s="2">
        <v>45973</v>
      </c>
      <c r="F1398" s="1" t="s">
        <v>53</v>
      </c>
      <c r="G1398" s="1" t="s">
        <v>5059</v>
      </c>
      <c r="H1398" s="1" t="s">
        <v>5060</v>
      </c>
      <c r="I1398" s="1">
        <v>1</v>
      </c>
      <c r="J1398" s="3">
        <v>16135</v>
      </c>
      <c r="K1398" s="3">
        <v>15396</v>
      </c>
      <c r="L1398" s="1">
        <v>0</v>
      </c>
      <c r="M1398" s="4">
        <v>0</v>
      </c>
      <c r="N1398" s="1">
        <v>739</v>
      </c>
      <c r="O1398" s="4">
        <v>4.5999999999999999E-2</v>
      </c>
      <c r="P1398" s="1" t="s">
        <v>2721</v>
      </c>
    </row>
    <row r="1399" spans="1:16">
      <c r="A1399" s="1" t="s">
        <v>15</v>
      </c>
      <c r="B1399" s="1">
        <v>11</v>
      </c>
      <c r="C1399" s="1" t="s">
        <v>5061</v>
      </c>
      <c r="D1399" s="1" t="s">
        <v>777</v>
      </c>
      <c r="E1399" s="2">
        <v>45973</v>
      </c>
      <c r="F1399" s="1" t="s">
        <v>256</v>
      </c>
      <c r="G1399" s="1" t="s">
        <v>778</v>
      </c>
      <c r="H1399" s="1" t="s">
        <v>1571</v>
      </c>
      <c r="I1399" s="1">
        <v>1</v>
      </c>
      <c r="J1399" s="3">
        <v>19857</v>
      </c>
      <c r="K1399" s="3">
        <v>18948</v>
      </c>
      <c r="L1399" s="1">
        <v>0</v>
      </c>
      <c r="M1399" s="4">
        <v>0</v>
      </c>
      <c r="N1399" s="1">
        <v>909</v>
      </c>
      <c r="O1399" s="4">
        <v>4.5999999999999999E-2</v>
      </c>
      <c r="P1399" s="1" t="s">
        <v>2721</v>
      </c>
    </row>
    <row r="1400" spans="1:16">
      <c r="A1400" s="1" t="s">
        <v>15</v>
      </c>
      <c r="B1400" s="1">
        <v>11</v>
      </c>
      <c r="C1400" s="1" t="s">
        <v>5062</v>
      </c>
      <c r="D1400" s="1" t="s">
        <v>3939</v>
      </c>
      <c r="E1400" s="2">
        <v>45973</v>
      </c>
      <c r="F1400" s="1" t="s">
        <v>355</v>
      </c>
      <c r="G1400" s="1" t="s">
        <v>3940</v>
      </c>
      <c r="H1400" s="1" t="s">
        <v>5063</v>
      </c>
      <c r="I1400" s="1">
        <v>1</v>
      </c>
      <c r="J1400" s="3">
        <v>574072</v>
      </c>
      <c r="K1400" s="3">
        <v>547792</v>
      </c>
      <c r="L1400" s="1">
        <v>0</v>
      </c>
      <c r="M1400" s="4">
        <v>0</v>
      </c>
      <c r="N1400" s="3">
        <v>26280</v>
      </c>
      <c r="O1400" s="4">
        <v>4.5999999999999999E-2</v>
      </c>
      <c r="P1400" s="1" t="s">
        <v>2721</v>
      </c>
    </row>
    <row r="1401" spans="1:16">
      <c r="A1401" s="1" t="s">
        <v>15</v>
      </c>
      <c r="B1401" s="1">
        <v>11</v>
      </c>
      <c r="C1401" s="1" t="s">
        <v>5064</v>
      </c>
      <c r="D1401" s="1" t="s">
        <v>2799</v>
      </c>
      <c r="E1401" s="2">
        <v>45973</v>
      </c>
      <c r="F1401" s="1" t="s">
        <v>58</v>
      </c>
      <c r="G1401" s="1" t="s">
        <v>2800</v>
      </c>
      <c r="H1401" s="1" t="s">
        <v>2801</v>
      </c>
      <c r="I1401" s="1">
        <v>1</v>
      </c>
      <c r="J1401" s="3">
        <v>27524</v>
      </c>
      <c r="K1401" s="3">
        <v>26264</v>
      </c>
      <c r="L1401" s="1">
        <v>0</v>
      </c>
      <c r="M1401" s="4">
        <v>0</v>
      </c>
      <c r="N1401" s="3">
        <v>1260</v>
      </c>
      <c r="O1401" s="4">
        <v>4.5999999999999999E-2</v>
      </c>
      <c r="P1401" s="1" t="s">
        <v>2721</v>
      </c>
    </row>
    <row r="1402" spans="1:16">
      <c r="A1402" s="1" t="s">
        <v>15</v>
      </c>
      <c r="B1402" s="1">
        <v>11</v>
      </c>
      <c r="C1402" s="1" t="s">
        <v>5065</v>
      </c>
      <c r="D1402" s="1" t="s">
        <v>2876</v>
      </c>
      <c r="E1402" s="2">
        <v>45973</v>
      </c>
      <c r="F1402" s="1" t="s">
        <v>441</v>
      </c>
      <c r="G1402" s="1" t="s">
        <v>2877</v>
      </c>
      <c r="H1402" s="1" t="s">
        <v>2878</v>
      </c>
      <c r="I1402" s="1">
        <v>1</v>
      </c>
      <c r="J1402" s="3">
        <v>49150</v>
      </c>
      <c r="K1402" s="3">
        <v>46900</v>
      </c>
      <c r="L1402" s="1">
        <v>0</v>
      </c>
      <c r="M1402" s="4">
        <v>0</v>
      </c>
      <c r="N1402" s="3">
        <v>2250</v>
      </c>
      <c r="O1402" s="4">
        <v>4.5999999999999999E-2</v>
      </c>
      <c r="P1402" s="1" t="s">
        <v>2721</v>
      </c>
    </row>
    <row r="1403" spans="1:16">
      <c r="A1403" s="1" t="s">
        <v>15</v>
      </c>
      <c r="B1403" s="1">
        <v>11</v>
      </c>
      <c r="C1403" s="1" t="s">
        <v>5066</v>
      </c>
      <c r="D1403" s="1" t="s">
        <v>504</v>
      </c>
      <c r="E1403" s="2">
        <v>45973</v>
      </c>
      <c r="F1403" s="1" t="s">
        <v>407</v>
      </c>
      <c r="G1403" s="1" t="s">
        <v>505</v>
      </c>
      <c r="H1403" s="1" t="s">
        <v>1004</v>
      </c>
      <c r="I1403" s="1">
        <v>1</v>
      </c>
      <c r="J1403" s="3">
        <v>9339</v>
      </c>
      <c r="K1403" s="3">
        <v>8911</v>
      </c>
      <c r="L1403" s="1">
        <v>0</v>
      </c>
      <c r="M1403" s="4">
        <v>0</v>
      </c>
      <c r="N1403" s="1">
        <v>428</v>
      </c>
      <c r="O1403" s="4">
        <v>4.5999999999999999E-2</v>
      </c>
      <c r="P1403" s="1" t="s">
        <v>2721</v>
      </c>
    </row>
    <row r="1404" spans="1:16">
      <c r="A1404" s="1" t="s">
        <v>15</v>
      </c>
      <c r="B1404" s="1">
        <v>11</v>
      </c>
      <c r="C1404" s="1" t="s">
        <v>5067</v>
      </c>
      <c r="D1404" s="1" t="s">
        <v>132</v>
      </c>
      <c r="E1404" s="2">
        <v>45973</v>
      </c>
      <c r="F1404" s="1" t="s">
        <v>53</v>
      </c>
      <c r="G1404" s="1" t="s">
        <v>133</v>
      </c>
      <c r="H1404" s="1" t="s">
        <v>88</v>
      </c>
      <c r="I1404" s="1">
        <v>2</v>
      </c>
      <c r="J1404" s="3">
        <v>34073</v>
      </c>
      <c r="K1404" s="3">
        <v>32513</v>
      </c>
      <c r="L1404" s="1">
        <v>0</v>
      </c>
      <c r="M1404" s="4">
        <v>0</v>
      </c>
      <c r="N1404" s="3">
        <v>1560</v>
      </c>
      <c r="O1404" s="4">
        <v>4.5999999999999999E-2</v>
      </c>
      <c r="P1404" s="1" t="s">
        <v>2721</v>
      </c>
    </row>
    <row r="1405" spans="1:16">
      <c r="A1405" s="1" t="s">
        <v>15</v>
      </c>
      <c r="B1405" s="1">
        <v>11</v>
      </c>
      <c r="C1405" s="1" t="s">
        <v>5068</v>
      </c>
      <c r="D1405" s="1" t="s">
        <v>1346</v>
      </c>
      <c r="E1405" s="2">
        <v>45973</v>
      </c>
      <c r="F1405" s="1" t="s">
        <v>317</v>
      </c>
      <c r="G1405" s="1" t="s">
        <v>1347</v>
      </c>
      <c r="H1405" s="1" t="s">
        <v>1348</v>
      </c>
      <c r="I1405" s="1">
        <v>1</v>
      </c>
      <c r="J1405" s="3">
        <v>32439</v>
      </c>
      <c r="K1405" s="3">
        <v>30954</v>
      </c>
      <c r="L1405" s="1">
        <v>0</v>
      </c>
      <c r="M1405" s="4">
        <v>0</v>
      </c>
      <c r="N1405" s="3">
        <v>1485</v>
      </c>
      <c r="O1405" s="4">
        <v>4.5999999999999999E-2</v>
      </c>
      <c r="P1405" s="1" t="s">
        <v>2721</v>
      </c>
    </row>
    <row r="1406" spans="1:16">
      <c r="A1406" s="1" t="s">
        <v>15</v>
      </c>
      <c r="B1406" s="1">
        <v>11</v>
      </c>
      <c r="C1406" s="1" t="s">
        <v>5069</v>
      </c>
      <c r="D1406" s="1" t="s">
        <v>52</v>
      </c>
      <c r="E1406" s="2">
        <v>45973</v>
      </c>
      <c r="F1406" s="1" t="s">
        <v>53</v>
      </c>
      <c r="G1406" s="1" t="s">
        <v>54</v>
      </c>
      <c r="H1406" s="1" t="s">
        <v>55</v>
      </c>
      <c r="I1406" s="1">
        <v>1</v>
      </c>
      <c r="J1406" s="3">
        <v>16135</v>
      </c>
      <c r="K1406" s="3">
        <v>15396</v>
      </c>
      <c r="L1406" s="1">
        <v>0</v>
      </c>
      <c r="M1406" s="4">
        <v>0</v>
      </c>
      <c r="N1406" s="1">
        <v>739</v>
      </c>
      <c r="O1406" s="4">
        <v>4.5999999999999999E-2</v>
      </c>
      <c r="P1406" s="1" t="s">
        <v>2721</v>
      </c>
    </row>
    <row r="1407" spans="1:16">
      <c r="A1407" s="1" t="s">
        <v>15</v>
      </c>
      <c r="B1407" s="1">
        <v>11</v>
      </c>
      <c r="C1407" s="1" t="s">
        <v>5070</v>
      </c>
      <c r="D1407" s="1" t="s">
        <v>52</v>
      </c>
      <c r="E1407" s="2">
        <v>45973</v>
      </c>
      <c r="F1407" s="1" t="s">
        <v>53</v>
      </c>
      <c r="G1407" s="1" t="s">
        <v>54</v>
      </c>
      <c r="H1407" s="1" t="s">
        <v>248</v>
      </c>
      <c r="I1407" s="1">
        <v>1</v>
      </c>
      <c r="J1407" s="3">
        <v>16135</v>
      </c>
      <c r="K1407" s="3">
        <v>15396</v>
      </c>
      <c r="L1407" s="1">
        <v>0</v>
      </c>
      <c r="M1407" s="4">
        <v>0</v>
      </c>
      <c r="N1407" s="1">
        <v>739</v>
      </c>
      <c r="O1407" s="4">
        <v>4.5999999999999999E-2</v>
      </c>
      <c r="P1407" s="1" t="s">
        <v>2721</v>
      </c>
    </row>
    <row r="1408" spans="1:16">
      <c r="A1408" s="1" t="s">
        <v>15</v>
      </c>
      <c r="B1408" s="1">
        <v>11</v>
      </c>
      <c r="C1408" s="1" t="s">
        <v>5071</v>
      </c>
      <c r="D1408" s="1" t="s">
        <v>112</v>
      </c>
      <c r="E1408" s="2">
        <v>45973</v>
      </c>
      <c r="F1408" s="1" t="s">
        <v>63</v>
      </c>
      <c r="G1408" s="1" t="s">
        <v>113</v>
      </c>
      <c r="H1408" s="1" t="s">
        <v>1655</v>
      </c>
      <c r="I1408" s="1">
        <v>1</v>
      </c>
      <c r="J1408" s="3">
        <v>6009</v>
      </c>
      <c r="K1408" s="3">
        <v>5734</v>
      </c>
      <c r="L1408" s="1">
        <v>0</v>
      </c>
      <c r="M1408" s="4">
        <v>0</v>
      </c>
      <c r="N1408" s="1">
        <v>275</v>
      </c>
      <c r="O1408" s="4">
        <v>4.5999999999999999E-2</v>
      </c>
      <c r="P1408" s="1" t="s">
        <v>2721</v>
      </c>
    </row>
    <row r="1409" spans="1:16">
      <c r="A1409" s="1" t="s">
        <v>15</v>
      </c>
      <c r="B1409" s="1">
        <v>11</v>
      </c>
      <c r="C1409" s="1" t="s">
        <v>5072</v>
      </c>
      <c r="D1409" s="1" t="s">
        <v>27</v>
      </c>
      <c r="E1409" s="2">
        <v>45973</v>
      </c>
      <c r="F1409" s="1" t="s">
        <v>28</v>
      </c>
      <c r="G1409" s="1" t="s">
        <v>29</v>
      </c>
      <c r="H1409" s="1" t="s">
        <v>352</v>
      </c>
      <c r="I1409" s="1">
        <v>1</v>
      </c>
      <c r="J1409" s="3">
        <v>27033</v>
      </c>
      <c r="K1409" s="3">
        <v>25795</v>
      </c>
      <c r="L1409" s="1">
        <v>0</v>
      </c>
      <c r="M1409" s="4">
        <v>0</v>
      </c>
      <c r="N1409" s="3">
        <v>1238</v>
      </c>
      <c r="O1409" s="4">
        <v>4.5999999999999999E-2</v>
      </c>
      <c r="P1409" s="1" t="s">
        <v>2721</v>
      </c>
    </row>
    <row r="1410" spans="1:16">
      <c r="A1410" s="1" t="s">
        <v>15</v>
      </c>
      <c r="B1410" s="1">
        <v>11</v>
      </c>
      <c r="C1410" s="1" t="s">
        <v>5073</v>
      </c>
      <c r="D1410" s="1" t="s">
        <v>5074</v>
      </c>
      <c r="E1410" s="2">
        <v>45973</v>
      </c>
      <c r="F1410" s="1" t="s">
        <v>524</v>
      </c>
      <c r="G1410" s="1" t="s">
        <v>5075</v>
      </c>
      <c r="H1410" s="1" t="s">
        <v>5076</v>
      </c>
      <c r="I1410" s="1">
        <v>1</v>
      </c>
      <c r="J1410" s="3">
        <v>10480</v>
      </c>
      <c r="K1410" s="3">
        <v>10000</v>
      </c>
      <c r="L1410" s="1">
        <v>0</v>
      </c>
      <c r="M1410" s="4">
        <v>0</v>
      </c>
      <c r="N1410" s="1">
        <v>480</v>
      </c>
      <c r="O1410" s="4">
        <v>4.5999999999999999E-2</v>
      </c>
      <c r="P1410" s="1" t="s">
        <v>2721</v>
      </c>
    </row>
    <row r="1411" spans="1:16">
      <c r="A1411" s="1" t="s">
        <v>15</v>
      </c>
      <c r="B1411" s="1">
        <v>11</v>
      </c>
      <c r="C1411" s="1" t="s">
        <v>5077</v>
      </c>
      <c r="D1411" s="1" t="s">
        <v>1561</v>
      </c>
      <c r="E1411" s="2">
        <v>45973</v>
      </c>
      <c r="F1411" s="1" t="s">
        <v>1562</v>
      </c>
      <c r="G1411" s="1" t="s">
        <v>1563</v>
      </c>
      <c r="H1411" s="1" t="s">
        <v>1564</v>
      </c>
      <c r="I1411" s="1">
        <v>1</v>
      </c>
      <c r="J1411" s="3">
        <v>108130</v>
      </c>
      <c r="K1411" s="3">
        <v>103180</v>
      </c>
      <c r="L1411" s="1">
        <v>0</v>
      </c>
      <c r="M1411" s="4">
        <v>0</v>
      </c>
      <c r="N1411" s="3">
        <v>4950</v>
      </c>
      <c r="O1411" s="4">
        <v>4.5999999999999999E-2</v>
      </c>
      <c r="P1411" s="1" t="s">
        <v>2721</v>
      </c>
    </row>
    <row r="1412" spans="1:16">
      <c r="A1412" s="1" t="s">
        <v>15</v>
      </c>
      <c r="B1412" s="1">
        <v>11</v>
      </c>
      <c r="C1412" s="1" t="s">
        <v>5078</v>
      </c>
      <c r="D1412" s="1" t="s">
        <v>178</v>
      </c>
      <c r="E1412" s="2">
        <v>45973</v>
      </c>
      <c r="F1412" s="1" t="s">
        <v>96</v>
      </c>
      <c r="G1412" s="1" t="s">
        <v>179</v>
      </c>
      <c r="H1412" s="1" t="s">
        <v>180</v>
      </c>
      <c r="I1412" s="1">
        <v>1</v>
      </c>
      <c r="J1412" s="3">
        <v>15284</v>
      </c>
      <c r="K1412" s="3">
        <v>14584</v>
      </c>
      <c r="L1412" s="1">
        <v>0</v>
      </c>
      <c r="M1412" s="4">
        <v>0</v>
      </c>
      <c r="N1412" s="1">
        <v>700</v>
      </c>
      <c r="O1412" s="4">
        <v>4.5999999999999999E-2</v>
      </c>
      <c r="P1412" s="1" t="s">
        <v>2721</v>
      </c>
    </row>
    <row r="1413" spans="1:16">
      <c r="A1413" s="1" t="s">
        <v>15</v>
      </c>
      <c r="B1413" s="1">
        <v>11</v>
      </c>
      <c r="C1413" s="1" t="s">
        <v>5079</v>
      </c>
      <c r="D1413" s="1" t="s">
        <v>169</v>
      </c>
      <c r="E1413" s="2">
        <v>45973</v>
      </c>
      <c r="F1413" s="1" t="s">
        <v>53</v>
      </c>
      <c r="G1413" s="1" t="s">
        <v>170</v>
      </c>
      <c r="H1413" s="1" t="s">
        <v>171</v>
      </c>
      <c r="I1413" s="1">
        <v>1</v>
      </c>
      <c r="J1413" s="3">
        <v>14332</v>
      </c>
      <c r="K1413" s="3">
        <v>13676</v>
      </c>
      <c r="L1413" s="1">
        <v>0</v>
      </c>
      <c r="M1413" s="4">
        <v>0</v>
      </c>
      <c r="N1413" s="1">
        <v>656</v>
      </c>
      <c r="O1413" s="4">
        <v>4.5999999999999999E-2</v>
      </c>
      <c r="P1413" s="1" t="s">
        <v>2721</v>
      </c>
    </row>
    <row r="1414" spans="1:16">
      <c r="A1414" s="1" t="s">
        <v>15</v>
      </c>
      <c r="B1414" s="1">
        <v>11</v>
      </c>
      <c r="C1414" s="1" t="s">
        <v>5080</v>
      </c>
      <c r="D1414" s="1" t="s">
        <v>212</v>
      </c>
      <c r="E1414" s="2">
        <v>45973</v>
      </c>
      <c r="F1414" s="1" t="s">
        <v>213</v>
      </c>
      <c r="G1414" s="1" t="s">
        <v>214</v>
      </c>
      <c r="H1414" s="1" t="s">
        <v>215</v>
      </c>
      <c r="I1414" s="1">
        <v>1</v>
      </c>
      <c r="J1414" s="3">
        <v>16220</v>
      </c>
      <c r="K1414" s="3">
        <v>15477</v>
      </c>
      <c r="L1414" s="1">
        <v>0</v>
      </c>
      <c r="M1414" s="4">
        <v>0</v>
      </c>
      <c r="N1414" s="1">
        <v>743</v>
      </c>
      <c r="O1414" s="4">
        <v>4.5999999999999999E-2</v>
      </c>
      <c r="P1414" s="1" t="s">
        <v>2721</v>
      </c>
    </row>
    <row r="1415" spans="1:16">
      <c r="A1415" s="1" t="s">
        <v>15</v>
      </c>
      <c r="B1415" s="1">
        <v>11</v>
      </c>
      <c r="C1415" s="1" t="s">
        <v>5081</v>
      </c>
      <c r="D1415" s="1" t="s">
        <v>3541</v>
      </c>
      <c r="E1415" s="2">
        <v>45973</v>
      </c>
      <c r="F1415" s="1" t="s">
        <v>500</v>
      </c>
      <c r="G1415" s="1" t="s">
        <v>1827</v>
      </c>
      <c r="H1415" s="1" t="s">
        <v>1828</v>
      </c>
      <c r="I1415" s="1">
        <v>1</v>
      </c>
      <c r="J1415" s="3">
        <v>141099</v>
      </c>
      <c r="K1415" s="3">
        <v>134640</v>
      </c>
      <c r="L1415" s="1">
        <v>0</v>
      </c>
      <c r="M1415" s="4">
        <v>0</v>
      </c>
      <c r="N1415" s="3">
        <v>6459</v>
      </c>
      <c r="O1415" s="4">
        <v>4.5999999999999999E-2</v>
      </c>
      <c r="P1415" s="1" t="s">
        <v>2721</v>
      </c>
    </row>
    <row r="1416" spans="1:16">
      <c r="A1416" s="1" t="s">
        <v>15</v>
      </c>
      <c r="B1416" s="1">
        <v>11</v>
      </c>
      <c r="C1416" s="1" t="s">
        <v>5082</v>
      </c>
      <c r="D1416" s="1" t="s">
        <v>3592</v>
      </c>
      <c r="E1416" s="2">
        <v>45973</v>
      </c>
      <c r="F1416" s="1" t="s">
        <v>261</v>
      </c>
      <c r="G1416" s="1" t="s">
        <v>3593</v>
      </c>
      <c r="H1416" s="1" t="s">
        <v>3593</v>
      </c>
      <c r="I1416" s="1">
        <v>1</v>
      </c>
      <c r="J1416" s="3">
        <v>70776</v>
      </c>
      <c r="K1416" s="3">
        <v>67536</v>
      </c>
      <c r="L1416" s="1">
        <v>0</v>
      </c>
      <c r="M1416" s="4">
        <v>0</v>
      </c>
      <c r="N1416" s="3">
        <v>3240</v>
      </c>
      <c r="O1416" s="4">
        <v>4.5999999999999999E-2</v>
      </c>
      <c r="P1416" s="1" t="s">
        <v>2721</v>
      </c>
    </row>
    <row r="1417" spans="1:16">
      <c r="A1417" s="1" t="s">
        <v>15</v>
      </c>
      <c r="B1417" s="1">
        <v>11</v>
      </c>
      <c r="C1417" s="1" t="s">
        <v>5083</v>
      </c>
      <c r="D1417" s="1" t="s">
        <v>238</v>
      </c>
      <c r="E1417" s="2">
        <v>45973</v>
      </c>
      <c r="F1417" s="1" t="s">
        <v>239</v>
      </c>
      <c r="G1417" s="1" t="s">
        <v>240</v>
      </c>
      <c r="H1417" s="1" t="s">
        <v>242</v>
      </c>
      <c r="I1417" s="1">
        <v>1</v>
      </c>
      <c r="J1417" s="3">
        <v>11305</v>
      </c>
      <c r="K1417" s="3">
        <v>10787</v>
      </c>
      <c r="L1417" s="1">
        <v>0</v>
      </c>
      <c r="M1417" s="4">
        <v>0</v>
      </c>
      <c r="N1417" s="1">
        <v>518</v>
      </c>
      <c r="O1417" s="4">
        <v>4.5999999999999999E-2</v>
      </c>
      <c r="P1417" s="1" t="s">
        <v>2721</v>
      </c>
    </row>
    <row r="1418" spans="1:16">
      <c r="A1418" s="1" t="s">
        <v>15</v>
      </c>
      <c r="B1418" s="1">
        <v>11</v>
      </c>
      <c r="C1418" s="1" t="s">
        <v>5084</v>
      </c>
      <c r="D1418" s="1" t="s">
        <v>260</v>
      </c>
      <c r="E1418" s="2">
        <v>45973</v>
      </c>
      <c r="F1418" s="1" t="s">
        <v>261</v>
      </c>
      <c r="G1418" s="1" t="s">
        <v>262</v>
      </c>
      <c r="H1418" s="1" t="s">
        <v>263</v>
      </c>
      <c r="I1418" s="1">
        <v>1</v>
      </c>
      <c r="J1418" s="3">
        <v>44235</v>
      </c>
      <c r="K1418" s="3">
        <v>42210</v>
      </c>
      <c r="L1418" s="1">
        <v>0</v>
      </c>
      <c r="M1418" s="4">
        <v>0</v>
      </c>
      <c r="N1418" s="3">
        <v>2025</v>
      </c>
      <c r="O1418" s="4">
        <v>4.5999999999999999E-2</v>
      </c>
      <c r="P1418" s="1" t="s">
        <v>2721</v>
      </c>
    </row>
    <row r="1419" spans="1:16">
      <c r="A1419" s="1" t="s">
        <v>15</v>
      </c>
      <c r="B1419" s="1">
        <v>11</v>
      </c>
      <c r="C1419" s="1" t="s">
        <v>5085</v>
      </c>
      <c r="D1419" s="1" t="s">
        <v>5086</v>
      </c>
      <c r="E1419" s="2">
        <v>45973</v>
      </c>
      <c r="F1419" s="1" t="s">
        <v>151</v>
      </c>
      <c r="G1419" s="1" t="s">
        <v>5087</v>
      </c>
      <c r="H1419" s="1" t="s">
        <v>5088</v>
      </c>
      <c r="I1419" s="1">
        <v>2</v>
      </c>
      <c r="J1419" s="3">
        <v>39320</v>
      </c>
      <c r="K1419" s="3">
        <v>37520</v>
      </c>
      <c r="L1419" s="1">
        <v>0</v>
      </c>
      <c r="M1419" s="4">
        <v>0</v>
      </c>
      <c r="N1419" s="3">
        <v>1800</v>
      </c>
      <c r="O1419" s="4">
        <v>4.5999999999999999E-2</v>
      </c>
      <c r="P1419" s="1" t="s">
        <v>2721</v>
      </c>
    </row>
    <row r="1420" spans="1:16">
      <c r="A1420" s="1" t="s">
        <v>15</v>
      </c>
      <c r="B1420" s="1">
        <v>11</v>
      </c>
      <c r="C1420" s="1" t="s">
        <v>5089</v>
      </c>
      <c r="D1420" s="1" t="s">
        <v>169</v>
      </c>
      <c r="E1420" s="2">
        <v>45973</v>
      </c>
      <c r="F1420" s="1" t="s">
        <v>53</v>
      </c>
      <c r="G1420" s="1" t="s">
        <v>170</v>
      </c>
      <c r="H1420" s="1" t="s">
        <v>171</v>
      </c>
      <c r="I1420" s="1">
        <v>1</v>
      </c>
      <c r="J1420" s="3">
        <v>14332</v>
      </c>
      <c r="K1420" s="3">
        <v>13676</v>
      </c>
      <c r="L1420" s="1">
        <v>0</v>
      </c>
      <c r="M1420" s="4">
        <v>0</v>
      </c>
      <c r="N1420" s="1">
        <v>656</v>
      </c>
      <c r="O1420" s="4">
        <v>4.5999999999999999E-2</v>
      </c>
      <c r="P1420" s="1" t="s">
        <v>2721</v>
      </c>
    </row>
    <row r="1421" spans="1:16">
      <c r="A1421" s="1" t="s">
        <v>15</v>
      </c>
      <c r="B1421" s="1">
        <v>11</v>
      </c>
      <c r="C1421" s="1" t="s">
        <v>5090</v>
      </c>
      <c r="D1421" s="1" t="s">
        <v>250</v>
      </c>
      <c r="E1421" s="2">
        <v>45973</v>
      </c>
      <c r="F1421" s="1" t="s">
        <v>251</v>
      </c>
      <c r="G1421" s="1" t="s">
        <v>252</v>
      </c>
      <c r="H1421" s="1" t="s">
        <v>3569</v>
      </c>
      <c r="I1421" s="1">
        <v>1</v>
      </c>
      <c r="J1421" s="3">
        <v>29392</v>
      </c>
      <c r="K1421" s="3">
        <v>28046</v>
      </c>
      <c r="L1421" s="1">
        <v>0</v>
      </c>
      <c r="M1421" s="4">
        <v>0</v>
      </c>
      <c r="N1421" s="3">
        <v>1346</v>
      </c>
      <c r="O1421" s="4">
        <v>4.5999999999999999E-2</v>
      </c>
      <c r="P1421" s="1" t="s">
        <v>2721</v>
      </c>
    </row>
    <row r="1422" spans="1:16">
      <c r="A1422" s="1" t="s">
        <v>15</v>
      </c>
      <c r="B1422" s="1">
        <v>11</v>
      </c>
      <c r="C1422" s="1" t="s">
        <v>5091</v>
      </c>
      <c r="D1422" s="1" t="s">
        <v>5092</v>
      </c>
      <c r="E1422" s="2">
        <v>45973</v>
      </c>
      <c r="F1422" s="1" t="s">
        <v>347</v>
      </c>
      <c r="G1422" s="1" t="s">
        <v>5093</v>
      </c>
      <c r="H1422" s="1" t="s">
        <v>5094</v>
      </c>
      <c r="I1422" s="1">
        <v>1</v>
      </c>
      <c r="J1422" s="3">
        <v>20790</v>
      </c>
      <c r="K1422" s="3">
        <v>19839</v>
      </c>
      <c r="L1422" s="1">
        <v>0</v>
      </c>
      <c r="M1422" s="4">
        <v>0</v>
      </c>
      <c r="N1422" s="1">
        <v>951</v>
      </c>
      <c r="O1422" s="4">
        <v>4.5999999999999999E-2</v>
      </c>
      <c r="P1422" s="1" t="s">
        <v>2721</v>
      </c>
    </row>
    <row r="1423" spans="1:16">
      <c r="A1423" s="1" t="s">
        <v>15</v>
      </c>
      <c r="B1423" s="1">
        <v>11</v>
      </c>
      <c r="C1423" s="1" t="s">
        <v>5095</v>
      </c>
      <c r="D1423" s="1" t="s">
        <v>104</v>
      </c>
      <c r="E1423" s="2">
        <v>45973</v>
      </c>
      <c r="F1423" s="1" t="s">
        <v>96</v>
      </c>
      <c r="G1423" s="1" t="s">
        <v>105</v>
      </c>
      <c r="H1423" s="1" t="s">
        <v>106</v>
      </c>
      <c r="I1423" s="1">
        <v>1</v>
      </c>
      <c r="J1423" s="3">
        <v>21614</v>
      </c>
      <c r="K1423" s="3">
        <v>20625</v>
      </c>
      <c r="L1423" s="1">
        <v>0</v>
      </c>
      <c r="M1423" s="4">
        <v>0</v>
      </c>
      <c r="N1423" s="1">
        <v>989</v>
      </c>
      <c r="O1423" s="4">
        <v>4.5999999999999999E-2</v>
      </c>
      <c r="P1423" s="1" t="s">
        <v>2721</v>
      </c>
    </row>
    <row r="1424" spans="1:16">
      <c r="A1424" s="1" t="s">
        <v>15</v>
      </c>
      <c r="B1424" s="1">
        <v>11</v>
      </c>
      <c r="C1424" s="1" t="s">
        <v>5096</v>
      </c>
      <c r="D1424" s="1" t="s">
        <v>333</v>
      </c>
      <c r="E1424" s="2">
        <v>45973</v>
      </c>
      <c r="F1424" s="1" t="s">
        <v>334</v>
      </c>
      <c r="G1424" s="1" t="s">
        <v>335</v>
      </c>
      <c r="H1424" s="1" t="s">
        <v>3664</v>
      </c>
      <c r="I1424" s="1">
        <v>2</v>
      </c>
      <c r="J1424" s="3">
        <v>10223</v>
      </c>
      <c r="K1424" s="3">
        <v>9755</v>
      </c>
      <c r="L1424" s="1">
        <v>0</v>
      </c>
      <c r="M1424" s="4">
        <v>0</v>
      </c>
      <c r="N1424" s="1">
        <v>468</v>
      </c>
      <c r="O1424" s="4">
        <v>4.5999999999999999E-2</v>
      </c>
      <c r="P1424" s="1" t="s">
        <v>2721</v>
      </c>
    </row>
    <row r="1425" spans="1:16">
      <c r="A1425" s="1" t="s">
        <v>15</v>
      </c>
      <c r="B1425" s="1">
        <v>11</v>
      </c>
      <c r="C1425" s="1" t="s">
        <v>5097</v>
      </c>
      <c r="D1425" s="1" t="s">
        <v>141</v>
      </c>
      <c r="E1425" s="2">
        <v>45973</v>
      </c>
      <c r="F1425" s="1" t="s">
        <v>142</v>
      </c>
      <c r="G1425" s="1" t="s">
        <v>143</v>
      </c>
      <c r="H1425" s="1" t="s">
        <v>566</v>
      </c>
      <c r="I1425" s="1">
        <v>1</v>
      </c>
      <c r="J1425" s="3">
        <v>22314</v>
      </c>
      <c r="K1425" s="3">
        <v>21293</v>
      </c>
      <c r="L1425" s="1">
        <v>0</v>
      </c>
      <c r="M1425" s="4">
        <v>0</v>
      </c>
      <c r="N1425" s="3">
        <v>1021</v>
      </c>
      <c r="O1425" s="4">
        <v>4.5999999999999999E-2</v>
      </c>
      <c r="P1425" s="1" t="s">
        <v>2721</v>
      </c>
    </row>
    <row r="1426" spans="1:16">
      <c r="A1426" s="1" t="s">
        <v>15</v>
      </c>
      <c r="B1426" s="1">
        <v>11</v>
      </c>
      <c r="C1426" s="1" t="s">
        <v>5098</v>
      </c>
      <c r="D1426" s="1" t="s">
        <v>5099</v>
      </c>
      <c r="E1426" s="2">
        <v>45973</v>
      </c>
      <c r="F1426" s="1" t="s">
        <v>1271</v>
      </c>
      <c r="G1426" s="1" t="s">
        <v>5100</v>
      </c>
      <c r="H1426" s="1" t="s">
        <v>5101</v>
      </c>
      <c r="I1426" s="1">
        <v>1</v>
      </c>
      <c r="J1426" s="3">
        <v>36371</v>
      </c>
      <c r="K1426" s="3">
        <v>34706</v>
      </c>
      <c r="L1426" s="1">
        <v>0</v>
      </c>
      <c r="M1426" s="4">
        <v>0</v>
      </c>
      <c r="N1426" s="3">
        <v>1665</v>
      </c>
      <c r="O1426" s="4">
        <v>4.5999999999999999E-2</v>
      </c>
      <c r="P1426" s="1" t="s">
        <v>2721</v>
      </c>
    </row>
    <row r="1427" spans="1:16">
      <c r="A1427" s="1" t="s">
        <v>15</v>
      </c>
      <c r="B1427" s="1">
        <v>11</v>
      </c>
      <c r="C1427" s="1" t="s">
        <v>5098</v>
      </c>
      <c r="D1427" s="1" t="s">
        <v>5099</v>
      </c>
      <c r="E1427" s="2">
        <v>45973</v>
      </c>
      <c r="F1427" s="1" t="s">
        <v>1271</v>
      </c>
      <c r="G1427" s="1" t="s">
        <v>5100</v>
      </c>
      <c r="H1427" s="1" t="s">
        <v>5102</v>
      </c>
      <c r="I1427" s="1">
        <v>1</v>
      </c>
      <c r="J1427" s="3">
        <v>36371</v>
      </c>
      <c r="K1427" s="3">
        <v>34706</v>
      </c>
      <c r="L1427" s="1">
        <v>0</v>
      </c>
      <c r="M1427" s="4">
        <v>0</v>
      </c>
      <c r="N1427" s="3">
        <v>1665</v>
      </c>
      <c r="O1427" s="4">
        <v>4.5999999999999999E-2</v>
      </c>
      <c r="P1427" s="1" t="s">
        <v>2721</v>
      </c>
    </row>
    <row r="1428" spans="1:16">
      <c r="A1428" s="1" t="s">
        <v>15</v>
      </c>
      <c r="B1428" s="1">
        <v>11</v>
      </c>
      <c r="C1428" s="1" t="s">
        <v>5103</v>
      </c>
      <c r="D1428" s="1" t="s">
        <v>903</v>
      </c>
      <c r="E1428" s="2">
        <v>45973</v>
      </c>
      <c r="F1428" s="1" t="s">
        <v>23</v>
      </c>
      <c r="G1428" s="1" t="s">
        <v>587</v>
      </c>
      <c r="H1428" s="1" t="s">
        <v>904</v>
      </c>
      <c r="I1428" s="1">
        <v>2</v>
      </c>
      <c r="J1428" s="3">
        <v>27524</v>
      </c>
      <c r="K1428" s="3">
        <v>26264</v>
      </c>
      <c r="L1428" s="1">
        <v>0</v>
      </c>
      <c r="M1428" s="4">
        <v>0</v>
      </c>
      <c r="N1428" s="3">
        <v>1260</v>
      </c>
      <c r="O1428" s="4">
        <v>4.5999999999999999E-2</v>
      </c>
      <c r="P1428" s="1" t="s">
        <v>2721</v>
      </c>
    </row>
    <row r="1429" spans="1:16">
      <c r="A1429" s="1" t="s">
        <v>15</v>
      </c>
      <c r="B1429" s="1">
        <v>11</v>
      </c>
      <c r="C1429" s="1" t="s">
        <v>5104</v>
      </c>
      <c r="D1429" s="1" t="s">
        <v>228</v>
      </c>
      <c r="E1429" s="2">
        <v>45973</v>
      </c>
      <c r="F1429" s="1" t="s">
        <v>53</v>
      </c>
      <c r="G1429" s="1" t="s">
        <v>229</v>
      </c>
      <c r="H1429" s="1" t="s">
        <v>230</v>
      </c>
      <c r="I1429" s="1">
        <v>1</v>
      </c>
      <c r="J1429" s="3">
        <v>9825</v>
      </c>
      <c r="K1429" s="3">
        <v>9375</v>
      </c>
      <c r="L1429" s="1">
        <v>0</v>
      </c>
      <c r="M1429" s="4">
        <v>0</v>
      </c>
      <c r="N1429" s="1">
        <v>450</v>
      </c>
      <c r="O1429" s="4">
        <v>4.5999999999999999E-2</v>
      </c>
      <c r="P1429" s="1" t="s">
        <v>2721</v>
      </c>
    </row>
    <row r="1430" spans="1:16">
      <c r="A1430" s="1" t="s">
        <v>15</v>
      </c>
      <c r="B1430" s="1">
        <v>11</v>
      </c>
      <c r="C1430" s="1" t="s">
        <v>5105</v>
      </c>
      <c r="D1430" s="1" t="s">
        <v>1302</v>
      </c>
      <c r="E1430" s="2">
        <v>45973</v>
      </c>
      <c r="F1430" s="1" t="s">
        <v>256</v>
      </c>
      <c r="G1430" s="1" t="s">
        <v>1303</v>
      </c>
      <c r="H1430" s="1" t="s">
        <v>5106</v>
      </c>
      <c r="I1430" s="1">
        <v>1</v>
      </c>
      <c r="J1430" s="3">
        <v>11354</v>
      </c>
      <c r="K1430" s="3">
        <v>10834</v>
      </c>
      <c r="L1430" s="1">
        <v>0</v>
      </c>
      <c r="M1430" s="4">
        <v>0</v>
      </c>
      <c r="N1430" s="1">
        <v>520</v>
      </c>
      <c r="O1430" s="4">
        <v>4.5999999999999999E-2</v>
      </c>
      <c r="P1430" s="1" t="s">
        <v>2721</v>
      </c>
    </row>
    <row r="1431" spans="1:16">
      <c r="A1431" s="1" t="s">
        <v>15</v>
      </c>
      <c r="B1431" s="1">
        <v>11</v>
      </c>
      <c r="C1431" s="1" t="s">
        <v>5107</v>
      </c>
      <c r="D1431" s="1" t="s">
        <v>3644</v>
      </c>
      <c r="E1431" s="2">
        <v>45973</v>
      </c>
      <c r="F1431" s="1" t="s">
        <v>725</v>
      </c>
      <c r="G1431" s="1" t="s">
        <v>3645</v>
      </c>
      <c r="H1431" s="1" t="s">
        <v>3646</v>
      </c>
      <c r="I1431" s="1">
        <v>1</v>
      </c>
      <c r="J1431" s="3">
        <v>120024</v>
      </c>
      <c r="K1431" s="3">
        <v>114530</v>
      </c>
      <c r="L1431" s="1">
        <v>0</v>
      </c>
      <c r="M1431" s="4">
        <v>0</v>
      </c>
      <c r="N1431" s="3">
        <v>5494</v>
      </c>
      <c r="O1431" s="4">
        <v>4.5999999999999999E-2</v>
      </c>
      <c r="P1431" s="1" t="s">
        <v>2721</v>
      </c>
    </row>
    <row r="1432" spans="1:16">
      <c r="A1432" s="1" t="s">
        <v>15</v>
      </c>
      <c r="B1432" s="1">
        <v>11</v>
      </c>
      <c r="C1432" s="1" t="s">
        <v>5108</v>
      </c>
      <c r="D1432" s="1" t="s">
        <v>903</v>
      </c>
      <c r="E1432" s="2">
        <v>45973</v>
      </c>
      <c r="F1432" s="1" t="s">
        <v>23</v>
      </c>
      <c r="G1432" s="1" t="s">
        <v>587</v>
      </c>
      <c r="H1432" s="1" t="s">
        <v>588</v>
      </c>
      <c r="I1432" s="1">
        <v>1</v>
      </c>
      <c r="J1432" s="3">
        <v>13762</v>
      </c>
      <c r="K1432" s="3">
        <v>13132</v>
      </c>
      <c r="L1432" s="1">
        <v>0</v>
      </c>
      <c r="M1432" s="4">
        <v>0</v>
      </c>
      <c r="N1432" s="1">
        <v>630</v>
      </c>
      <c r="O1432" s="4">
        <v>4.5999999999999999E-2</v>
      </c>
      <c r="P1432" s="1" t="s">
        <v>2721</v>
      </c>
    </row>
    <row r="1433" spans="1:16">
      <c r="A1433" s="1" t="s">
        <v>15</v>
      </c>
      <c r="B1433" s="1">
        <v>11</v>
      </c>
      <c r="C1433" s="1" t="s">
        <v>5109</v>
      </c>
      <c r="D1433" s="1" t="s">
        <v>169</v>
      </c>
      <c r="E1433" s="2">
        <v>45973</v>
      </c>
      <c r="F1433" s="1" t="s">
        <v>53</v>
      </c>
      <c r="G1433" s="1" t="s">
        <v>170</v>
      </c>
      <c r="H1433" s="1" t="s">
        <v>171</v>
      </c>
      <c r="I1433" s="1">
        <v>1</v>
      </c>
      <c r="J1433" s="3">
        <v>14332</v>
      </c>
      <c r="K1433" s="3">
        <v>13676</v>
      </c>
      <c r="L1433" s="1">
        <v>0</v>
      </c>
      <c r="M1433" s="4">
        <v>0</v>
      </c>
      <c r="N1433" s="1">
        <v>656</v>
      </c>
      <c r="O1433" s="4">
        <v>4.5999999999999999E-2</v>
      </c>
      <c r="P1433" s="1" t="s">
        <v>2721</v>
      </c>
    </row>
    <row r="1434" spans="1:16">
      <c r="A1434" s="1" t="s">
        <v>15</v>
      </c>
      <c r="B1434" s="1">
        <v>11</v>
      </c>
      <c r="C1434" s="1" t="s">
        <v>5110</v>
      </c>
      <c r="D1434" s="1" t="s">
        <v>5111</v>
      </c>
      <c r="E1434" s="2">
        <v>45973</v>
      </c>
      <c r="F1434" s="1" t="s">
        <v>883</v>
      </c>
      <c r="G1434" s="1" t="s">
        <v>5112</v>
      </c>
      <c r="H1434" s="1" t="s">
        <v>5113</v>
      </c>
      <c r="I1434" s="1">
        <v>1</v>
      </c>
      <c r="J1434" s="3">
        <v>36174</v>
      </c>
      <c r="K1434" s="3">
        <v>34518</v>
      </c>
      <c r="L1434" s="1">
        <v>0</v>
      </c>
      <c r="M1434" s="4">
        <v>0</v>
      </c>
      <c r="N1434" s="3">
        <v>1656</v>
      </c>
      <c r="O1434" s="4">
        <v>4.5999999999999999E-2</v>
      </c>
      <c r="P1434" s="1" t="s">
        <v>2721</v>
      </c>
    </row>
    <row r="1435" spans="1:16">
      <c r="A1435" s="1" t="s">
        <v>15</v>
      </c>
      <c r="B1435" s="1">
        <v>11</v>
      </c>
      <c r="C1435" s="1" t="s">
        <v>5114</v>
      </c>
      <c r="D1435" s="1" t="s">
        <v>4669</v>
      </c>
      <c r="E1435" s="2">
        <v>45973</v>
      </c>
      <c r="F1435" s="1" t="s">
        <v>63</v>
      </c>
      <c r="G1435" s="1" t="s">
        <v>4670</v>
      </c>
      <c r="H1435" s="1" t="s">
        <v>118</v>
      </c>
      <c r="I1435" s="1">
        <v>1</v>
      </c>
      <c r="J1435" s="3">
        <v>18627</v>
      </c>
      <c r="K1435" s="3">
        <v>17774</v>
      </c>
      <c r="L1435" s="1">
        <v>0</v>
      </c>
      <c r="M1435" s="4">
        <v>0</v>
      </c>
      <c r="N1435" s="1">
        <v>853</v>
      </c>
      <c r="O1435" s="4">
        <v>4.5999999999999999E-2</v>
      </c>
      <c r="P1435" s="1" t="s">
        <v>2721</v>
      </c>
    </row>
    <row r="1436" spans="1:16">
      <c r="A1436" s="1" t="s">
        <v>15</v>
      </c>
      <c r="B1436" s="1">
        <v>11</v>
      </c>
      <c r="C1436" s="1" t="s">
        <v>5115</v>
      </c>
      <c r="D1436" s="1" t="s">
        <v>965</v>
      </c>
      <c r="E1436" s="2">
        <v>45973</v>
      </c>
      <c r="F1436" s="1" t="s">
        <v>53</v>
      </c>
      <c r="G1436" s="1" t="s">
        <v>966</v>
      </c>
      <c r="H1436" s="1" t="s">
        <v>967</v>
      </c>
      <c r="I1436" s="1">
        <v>1</v>
      </c>
      <c r="J1436" s="3">
        <v>16586</v>
      </c>
      <c r="K1436" s="3">
        <v>15827</v>
      </c>
      <c r="L1436" s="1">
        <v>0</v>
      </c>
      <c r="M1436" s="4">
        <v>0</v>
      </c>
      <c r="N1436" s="1">
        <v>759</v>
      </c>
      <c r="O1436" s="4">
        <v>4.5999999999999999E-2</v>
      </c>
      <c r="P1436" s="1" t="s">
        <v>2721</v>
      </c>
    </row>
    <row r="1437" spans="1:16">
      <c r="A1437" s="1" t="s">
        <v>15</v>
      </c>
      <c r="B1437" s="1">
        <v>11</v>
      </c>
      <c r="C1437" s="1" t="s">
        <v>5116</v>
      </c>
      <c r="D1437" s="1" t="s">
        <v>228</v>
      </c>
      <c r="E1437" s="2">
        <v>45973</v>
      </c>
      <c r="F1437" s="1" t="s">
        <v>53</v>
      </c>
      <c r="G1437" s="1" t="s">
        <v>229</v>
      </c>
      <c r="H1437" s="1" t="s">
        <v>230</v>
      </c>
      <c r="I1437" s="1">
        <v>1</v>
      </c>
      <c r="J1437" s="3">
        <v>9825</v>
      </c>
      <c r="K1437" s="3">
        <v>9375</v>
      </c>
      <c r="L1437" s="1">
        <v>0</v>
      </c>
      <c r="M1437" s="4">
        <v>0</v>
      </c>
      <c r="N1437" s="1">
        <v>450</v>
      </c>
      <c r="O1437" s="4">
        <v>4.5999999999999999E-2</v>
      </c>
      <c r="P1437" s="1" t="s">
        <v>2721</v>
      </c>
    </row>
    <row r="1438" spans="1:16">
      <c r="A1438" s="1" t="s">
        <v>15</v>
      </c>
      <c r="B1438" s="1">
        <v>11</v>
      </c>
      <c r="C1438" s="1" t="s">
        <v>5117</v>
      </c>
      <c r="D1438" s="1" t="s">
        <v>5118</v>
      </c>
      <c r="E1438" s="2">
        <v>45973</v>
      </c>
      <c r="F1438" s="1" t="s">
        <v>235</v>
      </c>
      <c r="G1438" s="1" t="s">
        <v>5119</v>
      </c>
      <c r="H1438" s="1" t="s">
        <v>5119</v>
      </c>
      <c r="I1438" s="1">
        <v>1</v>
      </c>
      <c r="J1438" s="3">
        <v>14450</v>
      </c>
      <c r="K1438" s="3">
        <v>13789</v>
      </c>
      <c r="L1438" s="1">
        <v>0</v>
      </c>
      <c r="M1438" s="4">
        <v>0</v>
      </c>
      <c r="N1438" s="1">
        <v>661</v>
      </c>
      <c r="O1438" s="4">
        <v>4.5999999999999999E-2</v>
      </c>
      <c r="P1438" s="1" t="s">
        <v>2721</v>
      </c>
    </row>
    <row r="1439" spans="1:16">
      <c r="A1439" s="1" t="s">
        <v>15</v>
      </c>
      <c r="B1439" s="1">
        <v>11</v>
      </c>
      <c r="C1439" s="1" t="s">
        <v>5120</v>
      </c>
      <c r="D1439" s="1" t="s">
        <v>169</v>
      </c>
      <c r="E1439" s="2">
        <v>45973</v>
      </c>
      <c r="F1439" s="1" t="s">
        <v>53</v>
      </c>
      <c r="G1439" s="1" t="s">
        <v>170</v>
      </c>
      <c r="H1439" s="1" t="s">
        <v>171</v>
      </c>
      <c r="I1439" s="1">
        <v>1</v>
      </c>
      <c r="J1439" s="3">
        <v>14332</v>
      </c>
      <c r="K1439" s="3">
        <v>13676</v>
      </c>
      <c r="L1439" s="1">
        <v>0</v>
      </c>
      <c r="M1439" s="4">
        <v>0</v>
      </c>
      <c r="N1439" s="1">
        <v>656</v>
      </c>
      <c r="O1439" s="4">
        <v>4.5999999999999999E-2</v>
      </c>
      <c r="P1439" s="1" t="s">
        <v>2721</v>
      </c>
    </row>
    <row r="1440" spans="1:16">
      <c r="A1440" s="1" t="s">
        <v>15</v>
      </c>
      <c r="B1440" s="1">
        <v>11</v>
      </c>
      <c r="C1440" s="1" t="s">
        <v>5121</v>
      </c>
      <c r="D1440" s="1" t="s">
        <v>1191</v>
      </c>
      <c r="E1440" s="2">
        <v>45973</v>
      </c>
      <c r="F1440" s="1" t="s">
        <v>570</v>
      </c>
      <c r="G1440" s="1" t="s">
        <v>1192</v>
      </c>
      <c r="H1440" s="1" t="s">
        <v>1193</v>
      </c>
      <c r="I1440" s="1">
        <v>1</v>
      </c>
      <c r="J1440" s="3">
        <v>16514</v>
      </c>
      <c r="K1440" s="3">
        <v>15758</v>
      </c>
      <c r="L1440" s="1">
        <v>0</v>
      </c>
      <c r="M1440" s="4">
        <v>0</v>
      </c>
      <c r="N1440" s="1">
        <v>756</v>
      </c>
      <c r="O1440" s="4">
        <v>4.5999999999999999E-2</v>
      </c>
      <c r="P1440" s="1" t="s">
        <v>2721</v>
      </c>
    </row>
    <row r="1441" spans="1:16">
      <c r="A1441" s="1" t="s">
        <v>15</v>
      </c>
      <c r="B1441" s="1">
        <v>11</v>
      </c>
      <c r="C1441" s="1" t="s">
        <v>5122</v>
      </c>
      <c r="D1441" s="1" t="s">
        <v>27</v>
      </c>
      <c r="E1441" s="2">
        <v>45973</v>
      </c>
      <c r="F1441" s="1" t="s">
        <v>28</v>
      </c>
      <c r="G1441" s="1" t="s">
        <v>29</v>
      </c>
      <c r="H1441" s="1" t="s">
        <v>352</v>
      </c>
      <c r="I1441" s="1">
        <v>1</v>
      </c>
      <c r="J1441" s="3">
        <v>27033</v>
      </c>
      <c r="K1441" s="3">
        <v>25795</v>
      </c>
      <c r="L1441" s="1">
        <v>0</v>
      </c>
      <c r="M1441" s="4">
        <v>0</v>
      </c>
      <c r="N1441" s="3">
        <v>1238</v>
      </c>
      <c r="O1441" s="4">
        <v>4.5999999999999999E-2</v>
      </c>
      <c r="P1441" s="1" t="s">
        <v>2721</v>
      </c>
    </row>
    <row r="1442" spans="1:16">
      <c r="A1442" s="1" t="s">
        <v>15</v>
      </c>
      <c r="B1442" s="1">
        <v>11</v>
      </c>
      <c r="C1442" s="1" t="s">
        <v>5123</v>
      </c>
      <c r="D1442" s="1" t="s">
        <v>482</v>
      </c>
      <c r="E1442" s="2">
        <v>45973</v>
      </c>
      <c r="F1442" s="1" t="s">
        <v>483</v>
      </c>
      <c r="G1442" s="1" t="s">
        <v>484</v>
      </c>
      <c r="H1442" s="1" t="s">
        <v>485</v>
      </c>
      <c r="I1442" s="1">
        <v>1</v>
      </c>
      <c r="J1442" s="3">
        <v>16501</v>
      </c>
      <c r="K1442" s="3">
        <v>15745</v>
      </c>
      <c r="L1442" s="1">
        <v>0</v>
      </c>
      <c r="M1442" s="4">
        <v>0</v>
      </c>
      <c r="N1442" s="1">
        <v>756</v>
      </c>
      <c r="O1442" s="4">
        <v>4.5999999999999999E-2</v>
      </c>
      <c r="P1442" s="1" t="s">
        <v>2721</v>
      </c>
    </row>
    <row r="1443" spans="1:16">
      <c r="A1443" s="1" t="s">
        <v>15</v>
      </c>
      <c r="B1443" s="1">
        <v>11</v>
      </c>
      <c r="C1443" s="1" t="s">
        <v>5124</v>
      </c>
      <c r="D1443" s="1" t="s">
        <v>1088</v>
      </c>
      <c r="E1443" s="2">
        <v>45973</v>
      </c>
      <c r="F1443" s="1" t="s">
        <v>317</v>
      </c>
      <c r="G1443" s="1" t="s">
        <v>1089</v>
      </c>
      <c r="H1443" s="1" t="s">
        <v>1090</v>
      </c>
      <c r="I1443" s="1">
        <v>1</v>
      </c>
      <c r="J1443" s="3">
        <v>39615</v>
      </c>
      <c r="K1443" s="3">
        <v>37801</v>
      </c>
      <c r="L1443" s="1">
        <v>0</v>
      </c>
      <c r="M1443" s="4">
        <v>0</v>
      </c>
      <c r="N1443" s="3">
        <v>1814</v>
      </c>
      <c r="O1443" s="4">
        <v>4.5999999999999999E-2</v>
      </c>
      <c r="P1443" s="1" t="s">
        <v>2721</v>
      </c>
    </row>
    <row r="1444" spans="1:16">
      <c r="A1444" s="1" t="s">
        <v>15</v>
      </c>
      <c r="B1444" s="1">
        <v>11</v>
      </c>
      <c r="C1444" s="1" t="s">
        <v>5125</v>
      </c>
      <c r="D1444" s="1" t="s">
        <v>504</v>
      </c>
      <c r="E1444" s="2">
        <v>45973</v>
      </c>
      <c r="F1444" s="1" t="s">
        <v>407</v>
      </c>
      <c r="G1444" s="1" t="s">
        <v>505</v>
      </c>
      <c r="H1444" s="1" t="s">
        <v>1131</v>
      </c>
      <c r="I1444" s="1">
        <v>1</v>
      </c>
      <c r="J1444" s="3">
        <v>54065</v>
      </c>
      <c r="K1444" s="3">
        <v>51590</v>
      </c>
      <c r="L1444" s="1">
        <v>0</v>
      </c>
      <c r="M1444" s="4">
        <v>0</v>
      </c>
      <c r="N1444" s="3">
        <v>2475</v>
      </c>
      <c r="O1444" s="4">
        <v>4.5999999999999999E-2</v>
      </c>
      <c r="P1444" s="1" t="s">
        <v>2721</v>
      </c>
    </row>
    <row r="1445" spans="1:16">
      <c r="A1445" s="1" t="s">
        <v>15</v>
      </c>
      <c r="B1445" s="1">
        <v>11</v>
      </c>
      <c r="C1445" s="1" t="s">
        <v>5126</v>
      </c>
      <c r="D1445" s="1" t="s">
        <v>178</v>
      </c>
      <c r="E1445" s="2">
        <v>45973</v>
      </c>
      <c r="F1445" s="1" t="s">
        <v>96</v>
      </c>
      <c r="G1445" s="1" t="s">
        <v>179</v>
      </c>
      <c r="H1445" s="1" t="s">
        <v>180</v>
      </c>
      <c r="I1445" s="1">
        <v>1</v>
      </c>
      <c r="J1445" s="3">
        <v>15284</v>
      </c>
      <c r="K1445" s="3">
        <v>14584</v>
      </c>
      <c r="L1445" s="1">
        <v>0</v>
      </c>
      <c r="M1445" s="4">
        <v>0</v>
      </c>
      <c r="N1445" s="1">
        <v>700</v>
      </c>
      <c r="O1445" s="4">
        <v>4.5999999999999999E-2</v>
      </c>
      <c r="P1445" s="1" t="s">
        <v>2721</v>
      </c>
    </row>
    <row r="1446" spans="1:16">
      <c r="A1446" s="1" t="s">
        <v>15</v>
      </c>
      <c r="B1446" s="1">
        <v>11</v>
      </c>
      <c r="C1446" s="1" t="s">
        <v>5127</v>
      </c>
      <c r="D1446" s="1" t="s">
        <v>463</v>
      </c>
      <c r="E1446" s="2">
        <v>45973</v>
      </c>
      <c r="F1446" s="1" t="s">
        <v>464</v>
      </c>
      <c r="G1446" s="1" t="s">
        <v>465</v>
      </c>
      <c r="H1446" s="1" t="s">
        <v>466</v>
      </c>
      <c r="I1446" s="1">
        <v>1</v>
      </c>
      <c r="J1446" s="3">
        <v>11624</v>
      </c>
      <c r="K1446" s="3">
        <v>11092</v>
      </c>
      <c r="L1446" s="1">
        <v>0</v>
      </c>
      <c r="M1446" s="4">
        <v>0</v>
      </c>
      <c r="N1446" s="1">
        <v>532</v>
      </c>
      <c r="O1446" s="4">
        <v>4.5999999999999999E-2</v>
      </c>
      <c r="P1446" s="1" t="s">
        <v>2721</v>
      </c>
    </row>
    <row r="1447" spans="1:16">
      <c r="A1447" s="1" t="s">
        <v>15</v>
      </c>
      <c r="B1447" s="1">
        <v>11</v>
      </c>
      <c r="C1447" s="1" t="s">
        <v>5128</v>
      </c>
      <c r="D1447" s="1" t="s">
        <v>3709</v>
      </c>
      <c r="E1447" s="2">
        <v>45973</v>
      </c>
      <c r="F1447" s="1" t="s">
        <v>3710</v>
      </c>
      <c r="G1447" s="1" t="s">
        <v>3711</v>
      </c>
      <c r="H1447" s="1" t="s">
        <v>5129</v>
      </c>
      <c r="I1447" s="1">
        <v>1</v>
      </c>
      <c r="J1447" s="3">
        <v>31456</v>
      </c>
      <c r="K1447" s="3">
        <v>30016</v>
      </c>
      <c r="L1447" s="1">
        <v>0</v>
      </c>
      <c r="M1447" s="4">
        <v>0</v>
      </c>
      <c r="N1447" s="3">
        <v>1440</v>
      </c>
      <c r="O1447" s="4">
        <v>4.5999999999999999E-2</v>
      </c>
      <c r="P1447" s="1" t="s">
        <v>2721</v>
      </c>
    </row>
    <row r="1448" spans="1:16">
      <c r="A1448" s="1" t="s">
        <v>15</v>
      </c>
      <c r="B1448" s="1">
        <v>11</v>
      </c>
      <c r="C1448" s="1" t="s">
        <v>5130</v>
      </c>
      <c r="D1448" s="1" t="s">
        <v>931</v>
      </c>
      <c r="E1448" s="2">
        <v>45973</v>
      </c>
      <c r="F1448" s="1" t="s">
        <v>932</v>
      </c>
      <c r="G1448" s="1" t="s">
        <v>933</v>
      </c>
      <c r="H1448" s="1" t="s">
        <v>1618</v>
      </c>
      <c r="I1448" s="1">
        <v>1</v>
      </c>
      <c r="J1448" s="3">
        <v>19660</v>
      </c>
      <c r="K1448" s="3">
        <v>18760</v>
      </c>
      <c r="L1448" s="1">
        <v>0</v>
      </c>
      <c r="M1448" s="4">
        <v>0</v>
      </c>
      <c r="N1448" s="1">
        <v>900</v>
      </c>
      <c r="O1448" s="4">
        <v>4.5999999999999999E-2</v>
      </c>
      <c r="P1448" s="1" t="s">
        <v>2721</v>
      </c>
    </row>
    <row r="1449" spans="1:16">
      <c r="A1449" s="1" t="s">
        <v>15</v>
      </c>
      <c r="B1449" s="1">
        <v>11</v>
      </c>
      <c r="C1449" s="1" t="s">
        <v>5131</v>
      </c>
      <c r="D1449" s="1" t="s">
        <v>5132</v>
      </c>
      <c r="E1449" s="2">
        <v>45973</v>
      </c>
      <c r="F1449" s="1" t="s">
        <v>53</v>
      </c>
      <c r="G1449" s="1" t="s">
        <v>5133</v>
      </c>
      <c r="H1449" s="1" t="s">
        <v>5134</v>
      </c>
      <c r="I1449" s="1">
        <v>1</v>
      </c>
      <c r="J1449" s="3">
        <v>12529</v>
      </c>
      <c r="K1449" s="3">
        <v>11956</v>
      </c>
      <c r="L1449" s="1">
        <v>0</v>
      </c>
      <c r="M1449" s="4">
        <v>0</v>
      </c>
      <c r="N1449" s="1">
        <v>573</v>
      </c>
      <c r="O1449" s="4">
        <v>4.5999999999999999E-2</v>
      </c>
      <c r="P1449" s="1" t="s">
        <v>2721</v>
      </c>
    </row>
    <row r="1450" spans="1:16">
      <c r="A1450" s="1" t="s">
        <v>15</v>
      </c>
      <c r="B1450" s="1">
        <v>11</v>
      </c>
      <c r="C1450" s="1" t="s">
        <v>5135</v>
      </c>
      <c r="D1450" s="1" t="s">
        <v>5136</v>
      </c>
      <c r="E1450" s="2">
        <v>45973</v>
      </c>
      <c r="F1450" s="1" t="s">
        <v>256</v>
      </c>
      <c r="G1450" s="1" t="s">
        <v>5137</v>
      </c>
      <c r="H1450" s="1" t="s">
        <v>5138</v>
      </c>
      <c r="I1450" s="1">
        <v>1</v>
      </c>
      <c r="J1450" s="3">
        <v>14401</v>
      </c>
      <c r="K1450" s="3">
        <v>13742</v>
      </c>
      <c r="L1450" s="1">
        <v>0</v>
      </c>
      <c r="M1450" s="4">
        <v>0</v>
      </c>
      <c r="N1450" s="1">
        <v>659</v>
      </c>
      <c r="O1450" s="4">
        <v>4.5999999999999999E-2</v>
      </c>
      <c r="P1450" s="1" t="s">
        <v>2721</v>
      </c>
    </row>
    <row r="1451" spans="1:16">
      <c r="A1451" s="1" t="s">
        <v>15</v>
      </c>
      <c r="B1451" s="1">
        <v>11</v>
      </c>
      <c r="C1451" s="1" t="s">
        <v>5139</v>
      </c>
      <c r="D1451" s="1" t="s">
        <v>2398</v>
      </c>
      <c r="E1451" s="2">
        <v>45973</v>
      </c>
      <c r="F1451" s="1" t="s">
        <v>63</v>
      </c>
      <c r="G1451" s="1" t="s">
        <v>2399</v>
      </c>
      <c r="H1451" s="1" t="s">
        <v>2400</v>
      </c>
      <c r="I1451" s="1">
        <v>1</v>
      </c>
      <c r="J1451" s="3">
        <v>32001</v>
      </c>
      <c r="K1451" s="3">
        <v>30536</v>
      </c>
      <c r="L1451" s="1">
        <v>0</v>
      </c>
      <c r="M1451" s="4">
        <v>0</v>
      </c>
      <c r="N1451" s="3">
        <v>1465</v>
      </c>
      <c r="O1451" s="4">
        <v>4.5999999999999999E-2</v>
      </c>
      <c r="P1451" s="1" t="s">
        <v>2721</v>
      </c>
    </row>
    <row r="1452" spans="1:16">
      <c r="A1452" s="1" t="s">
        <v>15</v>
      </c>
      <c r="B1452" s="1">
        <v>11</v>
      </c>
      <c r="C1452" s="1" t="s">
        <v>5140</v>
      </c>
      <c r="D1452" s="1" t="s">
        <v>132</v>
      </c>
      <c r="E1452" s="2">
        <v>45973</v>
      </c>
      <c r="F1452" s="1" t="s">
        <v>53</v>
      </c>
      <c r="G1452" s="1" t="s">
        <v>133</v>
      </c>
      <c r="H1452" s="1" t="s">
        <v>88</v>
      </c>
      <c r="I1452" s="1">
        <v>2</v>
      </c>
      <c r="J1452" s="3">
        <v>34073</v>
      </c>
      <c r="K1452" s="3">
        <v>32513</v>
      </c>
      <c r="L1452" s="1">
        <v>0</v>
      </c>
      <c r="M1452" s="4">
        <v>0</v>
      </c>
      <c r="N1452" s="3">
        <v>1560</v>
      </c>
      <c r="O1452" s="4">
        <v>4.5999999999999999E-2</v>
      </c>
      <c r="P1452" s="1" t="s">
        <v>2721</v>
      </c>
    </row>
    <row r="1453" spans="1:16">
      <c r="A1453" s="1" t="s">
        <v>15</v>
      </c>
      <c r="B1453" s="1">
        <v>11</v>
      </c>
      <c r="C1453" s="1" t="s">
        <v>5141</v>
      </c>
      <c r="D1453" s="1" t="s">
        <v>27</v>
      </c>
      <c r="E1453" s="2">
        <v>45973</v>
      </c>
      <c r="F1453" s="1" t="s">
        <v>28</v>
      </c>
      <c r="G1453" s="1" t="s">
        <v>29</v>
      </c>
      <c r="H1453" s="1" t="s">
        <v>352</v>
      </c>
      <c r="I1453" s="1">
        <v>1</v>
      </c>
      <c r="J1453" s="3">
        <v>27033</v>
      </c>
      <c r="K1453" s="3">
        <v>25795</v>
      </c>
      <c r="L1453" s="1">
        <v>0</v>
      </c>
      <c r="M1453" s="4">
        <v>0</v>
      </c>
      <c r="N1453" s="3">
        <v>1238</v>
      </c>
      <c r="O1453" s="4">
        <v>4.5999999999999999E-2</v>
      </c>
      <c r="P1453" s="1" t="s">
        <v>2721</v>
      </c>
    </row>
    <row r="1454" spans="1:16">
      <c r="A1454" s="1" t="s">
        <v>15</v>
      </c>
      <c r="B1454" s="1">
        <v>11</v>
      </c>
      <c r="C1454" s="1" t="s">
        <v>5142</v>
      </c>
      <c r="D1454" s="1" t="s">
        <v>1137</v>
      </c>
      <c r="E1454" s="2">
        <v>45973</v>
      </c>
      <c r="F1454" s="1" t="s">
        <v>58</v>
      </c>
      <c r="G1454" s="1" t="s">
        <v>1138</v>
      </c>
      <c r="H1454" s="1" t="s">
        <v>2298</v>
      </c>
      <c r="I1454" s="1">
        <v>1</v>
      </c>
      <c r="J1454" s="3">
        <v>14450</v>
      </c>
      <c r="K1454" s="3">
        <v>13789</v>
      </c>
      <c r="L1454" s="1">
        <v>0</v>
      </c>
      <c r="M1454" s="4">
        <v>0</v>
      </c>
      <c r="N1454" s="1">
        <v>661</v>
      </c>
      <c r="O1454" s="4">
        <v>4.5999999999999999E-2</v>
      </c>
      <c r="P1454" s="1" t="s">
        <v>2721</v>
      </c>
    </row>
    <row r="1455" spans="1:16">
      <c r="A1455" s="1" t="s">
        <v>15</v>
      </c>
      <c r="B1455" s="1">
        <v>11</v>
      </c>
      <c r="C1455" s="1" t="s">
        <v>5143</v>
      </c>
      <c r="D1455" s="1" t="s">
        <v>32</v>
      </c>
      <c r="E1455" s="2">
        <v>45973</v>
      </c>
      <c r="F1455" s="1" t="s">
        <v>33</v>
      </c>
      <c r="G1455" s="1" t="s">
        <v>34</v>
      </c>
      <c r="H1455" s="1" t="s">
        <v>5144</v>
      </c>
      <c r="I1455" s="1">
        <v>2</v>
      </c>
      <c r="J1455" s="3">
        <v>205557</v>
      </c>
      <c r="K1455" s="3">
        <v>196147</v>
      </c>
      <c r="L1455" s="1">
        <v>0</v>
      </c>
      <c r="M1455" s="4">
        <v>0</v>
      </c>
      <c r="N1455" s="3">
        <v>9410</v>
      </c>
      <c r="O1455" s="4">
        <v>4.5999999999999999E-2</v>
      </c>
      <c r="P1455" s="1" t="s">
        <v>2721</v>
      </c>
    </row>
    <row r="1456" spans="1:16">
      <c r="A1456" s="1" t="s">
        <v>15</v>
      </c>
      <c r="B1456" s="1">
        <v>11</v>
      </c>
      <c r="C1456" s="1" t="s">
        <v>5145</v>
      </c>
      <c r="D1456" s="1" t="s">
        <v>1283</v>
      </c>
      <c r="E1456" s="2">
        <v>45973</v>
      </c>
      <c r="F1456" s="1" t="s">
        <v>1255</v>
      </c>
      <c r="G1456" s="1" t="s">
        <v>1284</v>
      </c>
      <c r="H1456" s="1" t="s">
        <v>4722</v>
      </c>
      <c r="I1456" s="1">
        <v>1</v>
      </c>
      <c r="J1456" s="3">
        <v>15826</v>
      </c>
      <c r="K1456" s="3">
        <v>15102</v>
      </c>
      <c r="L1456" s="1">
        <v>0</v>
      </c>
      <c r="M1456" s="4">
        <v>0</v>
      </c>
      <c r="N1456" s="1">
        <v>724</v>
      </c>
      <c r="O1456" s="4">
        <v>4.5999999999999999E-2</v>
      </c>
      <c r="P1456" s="1" t="s">
        <v>2721</v>
      </c>
    </row>
    <row r="1457" spans="1:16">
      <c r="A1457" s="1" t="s">
        <v>15</v>
      </c>
      <c r="B1457" s="1">
        <v>11</v>
      </c>
      <c r="C1457" s="1" t="s">
        <v>5146</v>
      </c>
      <c r="D1457" s="1" t="s">
        <v>52</v>
      </c>
      <c r="E1457" s="2">
        <v>45973</v>
      </c>
      <c r="F1457" s="1" t="s">
        <v>53</v>
      </c>
      <c r="G1457" s="1" t="s">
        <v>54</v>
      </c>
      <c r="H1457" s="1" t="s">
        <v>248</v>
      </c>
      <c r="I1457" s="1">
        <v>1</v>
      </c>
      <c r="J1457" s="3">
        <v>16135</v>
      </c>
      <c r="K1457" s="3">
        <v>15396</v>
      </c>
      <c r="L1457" s="1">
        <v>0</v>
      </c>
      <c r="M1457" s="4">
        <v>0</v>
      </c>
      <c r="N1457" s="1">
        <v>739</v>
      </c>
      <c r="O1457" s="4">
        <v>4.5999999999999999E-2</v>
      </c>
      <c r="P1457" s="1" t="s">
        <v>2721</v>
      </c>
    </row>
    <row r="1458" spans="1:16">
      <c r="A1458" s="1" t="s">
        <v>15</v>
      </c>
      <c r="B1458" s="1">
        <v>11</v>
      </c>
      <c r="C1458" s="1" t="s">
        <v>5147</v>
      </c>
      <c r="D1458" s="1" t="s">
        <v>1457</v>
      </c>
      <c r="E1458" s="2">
        <v>45973</v>
      </c>
      <c r="F1458" s="1" t="s">
        <v>347</v>
      </c>
      <c r="G1458" s="1" t="s">
        <v>1458</v>
      </c>
      <c r="H1458" s="1" t="s">
        <v>5148</v>
      </c>
      <c r="I1458" s="1">
        <v>1</v>
      </c>
      <c r="J1458" s="3">
        <v>24418</v>
      </c>
      <c r="K1458" s="3">
        <v>23300</v>
      </c>
      <c r="L1458" s="1">
        <v>0</v>
      </c>
      <c r="M1458" s="4">
        <v>0</v>
      </c>
      <c r="N1458" s="3">
        <v>1118</v>
      </c>
      <c r="O1458" s="4">
        <v>4.5999999999999999E-2</v>
      </c>
      <c r="P1458" s="1" t="s">
        <v>2721</v>
      </c>
    </row>
    <row r="1459" spans="1:16">
      <c r="A1459" s="1" t="s">
        <v>15</v>
      </c>
      <c r="B1459" s="1">
        <v>11</v>
      </c>
      <c r="C1459" s="1" t="s">
        <v>5149</v>
      </c>
      <c r="D1459" s="1" t="s">
        <v>1064</v>
      </c>
      <c r="E1459" s="2">
        <v>45973</v>
      </c>
      <c r="F1459" s="1" t="s">
        <v>53</v>
      </c>
      <c r="G1459" s="1" t="s">
        <v>1065</v>
      </c>
      <c r="H1459" s="1" t="s">
        <v>1066</v>
      </c>
      <c r="I1459" s="1">
        <v>1</v>
      </c>
      <c r="J1459" s="3">
        <v>7572</v>
      </c>
      <c r="K1459" s="3">
        <v>7225</v>
      </c>
      <c r="L1459" s="1">
        <v>0</v>
      </c>
      <c r="M1459" s="4">
        <v>0</v>
      </c>
      <c r="N1459" s="1">
        <v>347</v>
      </c>
      <c r="O1459" s="4">
        <v>4.5999999999999999E-2</v>
      </c>
      <c r="P1459" s="1" t="s">
        <v>2721</v>
      </c>
    </row>
    <row r="1460" spans="1:16">
      <c r="A1460" s="1" t="s">
        <v>15</v>
      </c>
      <c r="B1460" s="1">
        <v>11</v>
      </c>
      <c r="C1460" s="1" t="s">
        <v>5150</v>
      </c>
      <c r="D1460" s="1" t="s">
        <v>2963</v>
      </c>
      <c r="E1460" s="2">
        <v>45973</v>
      </c>
      <c r="F1460" s="1" t="s">
        <v>660</v>
      </c>
      <c r="G1460" s="1" t="s">
        <v>2964</v>
      </c>
      <c r="H1460" s="1" t="s">
        <v>5151</v>
      </c>
      <c r="I1460" s="1">
        <v>1</v>
      </c>
      <c r="J1460" s="3">
        <v>13074</v>
      </c>
      <c r="K1460" s="3">
        <v>12475</v>
      </c>
      <c r="L1460" s="1">
        <v>0</v>
      </c>
      <c r="M1460" s="4">
        <v>0</v>
      </c>
      <c r="N1460" s="1">
        <v>599</v>
      </c>
      <c r="O1460" s="4">
        <v>4.5999999999999999E-2</v>
      </c>
      <c r="P1460" s="1" t="s">
        <v>2721</v>
      </c>
    </row>
    <row r="1461" spans="1:16">
      <c r="A1461" s="1" t="s">
        <v>15</v>
      </c>
      <c r="B1461" s="1">
        <v>11</v>
      </c>
      <c r="C1461" s="1" t="s">
        <v>5152</v>
      </c>
      <c r="D1461" s="1" t="s">
        <v>1184</v>
      </c>
      <c r="E1461" s="2">
        <v>45973</v>
      </c>
      <c r="F1461" s="1" t="s">
        <v>524</v>
      </c>
      <c r="G1461" s="1" t="s">
        <v>1185</v>
      </c>
      <c r="H1461" s="1" t="s">
        <v>3391</v>
      </c>
      <c r="I1461" s="1">
        <v>1</v>
      </c>
      <c r="J1461" s="3">
        <v>17396</v>
      </c>
      <c r="K1461" s="3">
        <v>16600</v>
      </c>
      <c r="L1461" s="1">
        <v>0</v>
      </c>
      <c r="M1461" s="4">
        <v>0</v>
      </c>
      <c r="N1461" s="1">
        <v>796</v>
      </c>
      <c r="O1461" s="4">
        <v>4.5999999999999999E-2</v>
      </c>
      <c r="P1461" s="1" t="s">
        <v>2721</v>
      </c>
    </row>
    <row r="1462" spans="1:16">
      <c r="A1462" s="1" t="s">
        <v>15</v>
      </c>
      <c r="B1462" s="1">
        <v>11</v>
      </c>
      <c r="C1462" s="1" t="s">
        <v>5153</v>
      </c>
      <c r="D1462" s="1" t="s">
        <v>2520</v>
      </c>
      <c r="E1462" s="2">
        <v>45973</v>
      </c>
      <c r="F1462" s="1" t="s">
        <v>488</v>
      </c>
      <c r="G1462" s="1" t="s">
        <v>2521</v>
      </c>
      <c r="H1462" s="1" t="s">
        <v>2522</v>
      </c>
      <c r="I1462" s="1">
        <v>1</v>
      </c>
      <c r="J1462" s="3">
        <v>31358</v>
      </c>
      <c r="K1462" s="3">
        <v>29922</v>
      </c>
      <c r="L1462" s="1">
        <v>0</v>
      </c>
      <c r="M1462" s="4">
        <v>0</v>
      </c>
      <c r="N1462" s="3">
        <v>1436</v>
      </c>
      <c r="O1462" s="4">
        <v>4.5999999999999999E-2</v>
      </c>
      <c r="P1462" s="1" t="s">
        <v>2721</v>
      </c>
    </row>
    <row r="1463" spans="1:16">
      <c r="A1463" s="1" t="s">
        <v>15</v>
      </c>
      <c r="B1463" s="1">
        <v>11</v>
      </c>
      <c r="C1463" s="1" t="s">
        <v>5154</v>
      </c>
      <c r="D1463" s="1" t="s">
        <v>5155</v>
      </c>
      <c r="E1463" s="2">
        <v>45973</v>
      </c>
      <c r="F1463" s="1" t="s">
        <v>1798</v>
      </c>
      <c r="G1463" s="1" t="s">
        <v>5156</v>
      </c>
      <c r="H1463" s="1" t="s">
        <v>5157</v>
      </c>
      <c r="I1463" s="1">
        <v>2</v>
      </c>
      <c r="J1463" s="3">
        <v>63895</v>
      </c>
      <c r="K1463" s="3">
        <v>60970</v>
      </c>
      <c r="L1463" s="1">
        <v>0</v>
      </c>
      <c r="M1463" s="4">
        <v>0</v>
      </c>
      <c r="N1463" s="3">
        <v>2925</v>
      </c>
      <c r="O1463" s="4">
        <v>4.5999999999999999E-2</v>
      </c>
      <c r="P1463" s="1" t="s">
        <v>2721</v>
      </c>
    </row>
    <row r="1464" spans="1:16">
      <c r="A1464" s="1" t="s">
        <v>15</v>
      </c>
      <c r="B1464" s="1">
        <v>11</v>
      </c>
      <c r="C1464" s="1" t="s">
        <v>5158</v>
      </c>
      <c r="D1464" s="1" t="s">
        <v>125</v>
      </c>
      <c r="E1464" s="2">
        <v>45973</v>
      </c>
      <c r="F1464" s="1" t="s">
        <v>126</v>
      </c>
      <c r="G1464" s="1" t="s">
        <v>127</v>
      </c>
      <c r="H1464" s="1" t="s">
        <v>128</v>
      </c>
      <c r="I1464" s="1">
        <v>1</v>
      </c>
      <c r="J1464" s="3">
        <v>13959</v>
      </c>
      <c r="K1464" s="3">
        <v>13320</v>
      </c>
      <c r="L1464" s="1">
        <v>0</v>
      </c>
      <c r="M1464" s="4">
        <v>0</v>
      </c>
      <c r="N1464" s="1">
        <v>639</v>
      </c>
      <c r="O1464" s="4">
        <v>4.5999999999999999E-2</v>
      </c>
      <c r="P1464" s="1" t="s">
        <v>2721</v>
      </c>
    </row>
    <row r="1465" spans="1:16">
      <c r="A1465" s="1" t="s">
        <v>15</v>
      </c>
      <c r="B1465" s="1">
        <v>11</v>
      </c>
      <c r="C1465" s="1" t="s">
        <v>5159</v>
      </c>
      <c r="D1465" s="1" t="s">
        <v>5160</v>
      </c>
      <c r="E1465" s="2">
        <v>45973</v>
      </c>
      <c r="F1465" s="1" t="s">
        <v>58</v>
      </c>
      <c r="G1465" s="1" t="s">
        <v>5161</v>
      </c>
      <c r="H1465" s="1" t="s">
        <v>5162</v>
      </c>
      <c r="I1465" s="1">
        <v>4</v>
      </c>
      <c r="J1465" s="3">
        <v>17694</v>
      </c>
      <c r="K1465" s="3">
        <v>16884</v>
      </c>
      <c r="L1465" s="1">
        <v>0</v>
      </c>
      <c r="M1465" s="4">
        <v>0</v>
      </c>
      <c r="N1465" s="1">
        <v>810</v>
      </c>
      <c r="O1465" s="4">
        <v>4.5999999999999999E-2</v>
      </c>
      <c r="P1465" s="1" t="s">
        <v>2721</v>
      </c>
    </row>
    <row r="1466" spans="1:16">
      <c r="A1466" s="1" t="s">
        <v>15</v>
      </c>
      <c r="B1466" s="1">
        <v>11</v>
      </c>
      <c r="C1466" s="1" t="s">
        <v>5163</v>
      </c>
      <c r="D1466" s="1" t="s">
        <v>32</v>
      </c>
      <c r="E1466" s="2">
        <v>45973</v>
      </c>
      <c r="F1466" s="1" t="s">
        <v>33</v>
      </c>
      <c r="G1466" s="1" t="s">
        <v>34</v>
      </c>
      <c r="H1466" s="1" t="s">
        <v>5164</v>
      </c>
      <c r="I1466" s="1">
        <v>1</v>
      </c>
      <c r="J1466" s="3">
        <v>95134</v>
      </c>
      <c r="K1466" s="3">
        <v>90779</v>
      </c>
      <c r="L1466" s="1">
        <v>0</v>
      </c>
      <c r="M1466" s="4">
        <v>0</v>
      </c>
      <c r="N1466" s="3">
        <v>4355</v>
      </c>
      <c r="O1466" s="4">
        <v>4.5999999999999999E-2</v>
      </c>
      <c r="P1466" s="1" t="s">
        <v>2721</v>
      </c>
    </row>
    <row r="1467" spans="1:16">
      <c r="A1467" s="1" t="s">
        <v>15</v>
      </c>
      <c r="B1467" s="1">
        <v>11</v>
      </c>
      <c r="C1467" s="1" t="s">
        <v>5165</v>
      </c>
      <c r="D1467" s="1" t="s">
        <v>504</v>
      </c>
      <c r="E1467" s="2">
        <v>45973</v>
      </c>
      <c r="F1467" s="1" t="s">
        <v>407</v>
      </c>
      <c r="G1467" s="1" t="s">
        <v>505</v>
      </c>
      <c r="H1467" s="1" t="s">
        <v>1004</v>
      </c>
      <c r="I1467" s="1">
        <v>1</v>
      </c>
      <c r="J1467" s="3">
        <v>9339</v>
      </c>
      <c r="K1467" s="3">
        <v>8911</v>
      </c>
      <c r="L1467" s="1">
        <v>0</v>
      </c>
      <c r="M1467" s="4">
        <v>0</v>
      </c>
      <c r="N1467" s="1">
        <v>428</v>
      </c>
      <c r="O1467" s="4">
        <v>4.5999999999999999E-2</v>
      </c>
      <c r="P1467" s="1" t="s">
        <v>2721</v>
      </c>
    </row>
    <row r="1468" spans="1:16">
      <c r="A1468" s="1" t="s">
        <v>15</v>
      </c>
      <c r="B1468" s="1">
        <v>11</v>
      </c>
      <c r="C1468" s="1" t="s">
        <v>5166</v>
      </c>
      <c r="D1468" s="1" t="s">
        <v>482</v>
      </c>
      <c r="E1468" s="2">
        <v>45973</v>
      </c>
      <c r="F1468" s="1" t="s">
        <v>483</v>
      </c>
      <c r="G1468" s="1" t="s">
        <v>484</v>
      </c>
      <c r="H1468" s="1" t="s">
        <v>1777</v>
      </c>
      <c r="I1468" s="1">
        <v>1</v>
      </c>
      <c r="J1468" s="3">
        <v>27426</v>
      </c>
      <c r="K1468" s="3">
        <v>26170</v>
      </c>
      <c r="L1468" s="1">
        <v>0</v>
      </c>
      <c r="M1468" s="4">
        <v>0</v>
      </c>
      <c r="N1468" s="3">
        <v>1256</v>
      </c>
      <c r="O1468" s="4">
        <v>4.5999999999999999E-2</v>
      </c>
      <c r="P1468" s="1" t="s">
        <v>2721</v>
      </c>
    </row>
    <row r="1469" spans="1:16">
      <c r="A1469" s="1" t="s">
        <v>15</v>
      </c>
      <c r="B1469" s="1">
        <v>11</v>
      </c>
      <c r="C1469" s="1" t="s">
        <v>5166</v>
      </c>
      <c r="D1469" s="1" t="s">
        <v>482</v>
      </c>
      <c r="E1469" s="2">
        <v>45973</v>
      </c>
      <c r="F1469" s="1" t="s">
        <v>483</v>
      </c>
      <c r="G1469" s="1" t="s">
        <v>484</v>
      </c>
      <c r="H1469" s="1" t="s">
        <v>5167</v>
      </c>
      <c r="I1469" s="1">
        <v>1</v>
      </c>
      <c r="J1469" s="3">
        <v>27426</v>
      </c>
      <c r="K1469" s="3">
        <v>26170</v>
      </c>
      <c r="L1469" s="1">
        <v>0</v>
      </c>
      <c r="M1469" s="4">
        <v>0</v>
      </c>
      <c r="N1469" s="3">
        <v>1256</v>
      </c>
      <c r="O1469" s="4">
        <v>4.5999999999999999E-2</v>
      </c>
      <c r="P1469" s="1" t="s">
        <v>2721</v>
      </c>
    </row>
    <row r="1470" spans="1:16">
      <c r="A1470" s="1" t="s">
        <v>15</v>
      </c>
      <c r="B1470" s="1">
        <v>11</v>
      </c>
      <c r="C1470" s="1" t="s">
        <v>5166</v>
      </c>
      <c r="D1470" s="1" t="s">
        <v>482</v>
      </c>
      <c r="E1470" s="2">
        <v>45973</v>
      </c>
      <c r="F1470" s="1" t="s">
        <v>483</v>
      </c>
      <c r="G1470" s="1" t="s">
        <v>484</v>
      </c>
      <c r="H1470" s="1" t="s">
        <v>1039</v>
      </c>
      <c r="I1470" s="1">
        <v>1</v>
      </c>
      <c r="J1470" s="3">
        <v>27426</v>
      </c>
      <c r="K1470" s="3">
        <v>26170</v>
      </c>
      <c r="L1470" s="1">
        <v>0</v>
      </c>
      <c r="M1470" s="4">
        <v>0</v>
      </c>
      <c r="N1470" s="3">
        <v>1256</v>
      </c>
      <c r="O1470" s="4">
        <v>4.5999999999999999E-2</v>
      </c>
      <c r="P1470" s="1" t="s">
        <v>2721</v>
      </c>
    </row>
    <row r="1471" spans="1:16">
      <c r="A1471" s="1" t="s">
        <v>15</v>
      </c>
      <c r="B1471" s="1">
        <v>11</v>
      </c>
      <c r="C1471" s="1" t="s">
        <v>5168</v>
      </c>
      <c r="D1471" s="1" t="s">
        <v>4642</v>
      </c>
      <c r="E1471" s="2">
        <v>45973</v>
      </c>
      <c r="F1471" s="1" t="s">
        <v>96</v>
      </c>
      <c r="G1471" s="1" t="s">
        <v>4643</v>
      </c>
      <c r="H1471" s="1" t="s">
        <v>1947</v>
      </c>
      <c r="I1471" s="1">
        <v>2</v>
      </c>
      <c r="J1471" s="3">
        <v>34012</v>
      </c>
      <c r="K1471" s="3">
        <v>32455</v>
      </c>
      <c r="L1471" s="1">
        <v>0</v>
      </c>
      <c r="M1471" s="4">
        <v>0</v>
      </c>
      <c r="N1471" s="3">
        <v>1557</v>
      </c>
      <c r="O1471" s="4">
        <v>4.5999999999999999E-2</v>
      </c>
      <c r="P1471" s="1" t="s">
        <v>2721</v>
      </c>
    </row>
    <row r="1472" spans="1:16">
      <c r="A1472" s="1" t="s">
        <v>15</v>
      </c>
      <c r="B1472" s="1">
        <v>11</v>
      </c>
      <c r="C1472" s="1" t="s">
        <v>5169</v>
      </c>
      <c r="D1472" s="1" t="s">
        <v>47</v>
      </c>
      <c r="E1472" s="2">
        <v>45973</v>
      </c>
      <c r="F1472" s="1" t="s">
        <v>48</v>
      </c>
      <c r="G1472" s="1" t="s">
        <v>49</v>
      </c>
      <c r="H1472" s="1" t="s">
        <v>50</v>
      </c>
      <c r="I1472" s="1">
        <v>1</v>
      </c>
      <c r="J1472" s="3">
        <v>18901</v>
      </c>
      <c r="K1472" s="3">
        <v>18036</v>
      </c>
      <c r="L1472" s="1">
        <v>0</v>
      </c>
      <c r="M1472" s="4">
        <v>0</v>
      </c>
      <c r="N1472" s="1">
        <v>865</v>
      </c>
      <c r="O1472" s="4">
        <v>4.5999999999999999E-2</v>
      </c>
      <c r="P1472" s="1" t="s">
        <v>2721</v>
      </c>
    </row>
    <row r="1473" spans="1:16">
      <c r="A1473" s="1" t="s">
        <v>15</v>
      </c>
      <c r="B1473" s="1">
        <v>11</v>
      </c>
      <c r="C1473" s="1" t="s">
        <v>5170</v>
      </c>
      <c r="D1473" s="1" t="s">
        <v>116</v>
      </c>
      <c r="E1473" s="2">
        <v>45973</v>
      </c>
      <c r="F1473" s="1" t="s">
        <v>63</v>
      </c>
      <c r="G1473" s="1" t="s">
        <v>117</v>
      </c>
      <c r="H1473" s="1" t="s">
        <v>118</v>
      </c>
      <c r="I1473" s="1">
        <v>2</v>
      </c>
      <c r="J1473" s="3">
        <v>37254</v>
      </c>
      <c r="K1473" s="3">
        <v>35548</v>
      </c>
      <c r="L1473" s="1">
        <v>0</v>
      </c>
      <c r="M1473" s="4">
        <v>0</v>
      </c>
      <c r="N1473" s="3">
        <v>1706</v>
      </c>
      <c r="O1473" s="4">
        <v>4.5999999999999999E-2</v>
      </c>
      <c r="P1473" s="1" t="s">
        <v>2721</v>
      </c>
    </row>
    <row r="1474" spans="1:16">
      <c r="A1474" s="1" t="s">
        <v>15</v>
      </c>
      <c r="B1474" s="1">
        <v>11</v>
      </c>
      <c r="C1474" s="1" t="s">
        <v>5170</v>
      </c>
      <c r="D1474" s="1" t="s">
        <v>116</v>
      </c>
      <c r="E1474" s="2">
        <v>45973</v>
      </c>
      <c r="F1474" s="1" t="s">
        <v>63</v>
      </c>
      <c r="G1474" s="1" t="s">
        <v>117</v>
      </c>
      <c r="H1474" s="1" t="s">
        <v>580</v>
      </c>
      <c r="I1474" s="1">
        <v>1</v>
      </c>
      <c r="J1474" s="3">
        <v>27764</v>
      </c>
      <c r="K1474" s="3">
        <v>26493</v>
      </c>
      <c r="L1474" s="1">
        <v>0</v>
      </c>
      <c r="M1474" s="4">
        <v>0</v>
      </c>
      <c r="N1474" s="3">
        <v>1271</v>
      </c>
      <c r="O1474" s="4">
        <v>4.5999999999999999E-2</v>
      </c>
      <c r="P1474" s="1" t="s">
        <v>2721</v>
      </c>
    </row>
    <row r="1475" spans="1:16">
      <c r="A1475" s="1" t="s">
        <v>15</v>
      </c>
      <c r="B1475" s="1">
        <v>11</v>
      </c>
      <c r="C1475" s="1" t="s">
        <v>5171</v>
      </c>
      <c r="D1475" s="1" t="s">
        <v>482</v>
      </c>
      <c r="E1475" s="2">
        <v>45973</v>
      </c>
      <c r="F1475" s="1" t="s">
        <v>483</v>
      </c>
      <c r="G1475" s="1" t="s">
        <v>484</v>
      </c>
      <c r="H1475" s="1" t="s">
        <v>1777</v>
      </c>
      <c r="I1475" s="1">
        <v>1</v>
      </c>
      <c r="J1475" s="3">
        <v>27426</v>
      </c>
      <c r="K1475" s="3">
        <v>26170</v>
      </c>
      <c r="L1475" s="1">
        <v>0</v>
      </c>
      <c r="M1475" s="4">
        <v>0</v>
      </c>
      <c r="N1475" s="3">
        <v>1256</v>
      </c>
      <c r="O1475" s="4">
        <v>4.5999999999999999E-2</v>
      </c>
      <c r="P1475" s="1" t="s">
        <v>2721</v>
      </c>
    </row>
    <row r="1476" spans="1:16">
      <c r="A1476" s="1" t="s">
        <v>15</v>
      </c>
      <c r="B1476" s="1">
        <v>11</v>
      </c>
      <c r="C1476" s="1" t="s">
        <v>5172</v>
      </c>
      <c r="D1476" s="1" t="s">
        <v>32</v>
      </c>
      <c r="E1476" s="2">
        <v>45973</v>
      </c>
      <c r="F1476" s="1" t="s">
        <v>33</v>
      </c>
      <c r="G1476" s="1" t="s">
        <v>34</v>
      </c>
      <c r="H1476" s="1" t="s">
        <v>5173</v>
      </c>
      <c r="I1476" s="1">
        <v>1</v>
      </c>
      <c r="J1476" s="3">
        <v>66327</v>
      </c>
      <c r="K1476" s="3">
        <v>63291</v>
      </c>
      <c r="L1476" s="1">
        <v>0</v>
      </c>
      <c r="M1476" s="4">
        <v>0</v>
      </c>
      <c r="N1476" s="3">
        <v>3036</v>
      </c>
      <c r="O1476" s="4">
        <v>4.5999999999999999E-2</v>
      </c>
      <c r="P1476" s="1" t="s">
        <v>2721</v>
      </c>
    </row>
    <row r="1477" spans="1:16">
      <c r="A1477" s="1" t="s">
        <v>15</v>
      </c>
      <c r="B1477" s="1">
        <v>11</v>
      </c>
      <c r="C1477" s="1" t="s">
        <v>5174</v>
      </c>
      <c r="D1477" s="1" t="s">
        <v>2791</v>
      </c>
      <c r="E1477" s="2">
        <v>45973</v>
      </c>
      <c r="F1477" s="1" t="s">
        <v>1310</v>
      </c>
      <c r="G1477" s="1" t="s">
        <v>2792</v>
      </c>
      <c r="H1477" s="1" t="s">
        <v>2793</v>
      </c>
      <c r="I1477" s="1">
        <v>1</v>
      </c>
      <c r="J1477" s="3">
        <v>6213</v>
      </c>
      <c r="K1477" s="3">
        <v>5928</v>
      </c>
      <c r="L1477" s="1">
        <v>0</v>
      </c>
      <c r="M1477" s="4">
        <v>0</v>
      </c>
      <c r="N1477" s="1">
        <v>285</v>
      </c>
      <c r="O1477" s="4">
        <v>4.5999999999999999E-2</v>
      </c>
      <c r="P1477" s="1" t="s">
        <v>2721</v>
      </c>
    </row>
    <row r="1478" spans="1:16">
      <c r="A1478" s="1" t="s">
        <v>15</v>
      </c>
      <c r="B1478" s="1">
        <v>11</v>
      </c>
      <c r="C1478" s="1" t="s">
        <v>5175</v>
      </c>
      <c r="D1478" s="1" t="s">
        <v>1375</v>
      </c>
      <c r="E1478" s="2">
        <v>45973</v>
      </c>
      <c r="F1478" s="1" t="s">
        <v>256</v>
      </c>
      <c r="G1478" s="1" t="s">
        <v>1376</v>
      </c>
      <c r="H1478" s="1" t="s">
        <v>1377</v>
      </c>
      <c r="I1478" s="1">
        <v>1</v>
      </c>
      <c r="J1478" s="3">
        <v>8208</v>
      </c>
      <c r="K1478" s="3">
        <v>7832</v>
      </c>
      <c r="L1478" s="1">
        <v>0</v>
      </c>
      <c r="M1478" s="4">
        <v>0</v>
      </c>
      <c r="N1478" s="1">
        <v>376</v>
      </c>
      <c r="O1478" s="4">
        <v>4.5999999999999999E-2</v>
      </c>
      <c r="P1478" s="1" t="s">
        <v>2721</v>
      </c>
    </row>
    <row r="1479" spans="1:16">
      <c r="A1479" s="1" t="s">
        <v>15</v>
      </c>
      <c r="B1479" s="1">
        <v>11</v>
      </c>
      <c r="C1479" s="1" t="s">
        <v>5175</v>
      </c>
      <c r="D1479" s="1" t="s">
        <v>2506</v>
      </c>
      <c r="E1479" s="2">
        <v>45973</v>
      </c>
      <c r="F1479" s="1" t="s">
        <v>96</v>
      </c>
      <c r="G1479" s="1" t="s">
        <v>2507</v>
      </c>
      <c r="H1479" s="1" t="s">
        <v>2508</v>
      </c>
      <c r="I1479" s="1">
        <v>1</v>
      </c>
      <c r="J1479" s="3">
        <v>8863</v>
      </c>
      <c r="K1479" s="3">
        <v>8457</v>
      </c>
      <c r="L1479" s="1">
        <v>0</v>
      </c>
      <c r="M1479" s="4">
        <v>0</v>
      </c>
      <c r="N1479" s="1">
        <v>406</v>
      </c>
      <c r="O1479" s="4">
        <v>4.5999999999999999E-2</v>
      </c>
      <c r="P1479" s="1" t="s">
        <v>2721</v>
      </c>
    </row>
    <row r="1480" spans="1:16">
      <c r="A1480" s="1" t="s">
        <v>15</v>
      </c>
      <c r="B1480" s="1">
        <v>11</v>
      </c>
      <c r="C1480" s="1" t="s">
        <v>5176</v>
      </c>
      <c r="D1480" s="1" t="s">
        <v>169</v>
      </c>
      <c r="E1480" s="2">
        <v>45973</v>
      </c>
      <c r="F1480" s="1" t="s">
        <v>53</v>
      </c>
      <c r="G1480" s="1" t="s">
        <v>170</v>
      </c>
      <c r="H1480" s="1" t="s">
        <v>171</v>
      </c>
      <c r="I1480" s="1">
        <v>1</v>
      </c>
      <c r="J1480" s="3">
        <v>14332</v>
      </c>
      <c r="K1480" s="3">
        <v>13676</v>
      </c>
      <c r="L1480" s="1">
        <v>0</v>
      </c>
      <c r="M1480" s="4">
        <v>0</v>
      </c>
      <c r="N1480" s="1">
        <v>656</v>
      </c>
      <c r="O1480" s="4">
        <v>4.5999999999999999E-2</v>
      </c>
      <c r="P1480" s="1" t="s">
        <v>2721</v>
      </c>
    </row>
    <row r="1481" spans="1:16">
      <c r="A1481" s="1" t="s">
        <v>15</v>
      </c>
      <c r="B1481" s="1">
        <v>11</v>
      </c>
      <c r="C1481" s="1" t="s">
        <v>5177</v>
      </c>
      <c r="D1481" s="1" t="s">
        <v>27</v>
      </c>
      <c r="E1481" s="2">
        <v>45973</v>
      </c>
      <c r="F1481" s="1" t="s">
        <v>28</v>
      </c>
      <c r="G1481" s="1" t="s">
        <v>29</v>
      </c>
      <c r="H1481" s="1" t="s">
        <v>352</v>
      </c>
      <c r="I1481" s="1">
        <v>1</v>
      </c>
      <c r="J1481" s="3">
        <v>27033</v>
      </c>
      <c r="K1481" s="3">
        <v>25795</v>
      </c>
      <c r="L1481" s="1">
        <v>0</v>
      </c>
      <c r="M1481" s="4">
        <v>0</v>
      </c>
      <c r="N1481" s="3">
        <v>1238</v>
      </c>
      <c r="O1481" s="4">
        <v>4.5999999999999999E-2</v>
      </c>
      <c r="P1481" s="1" t="s">
        <v>2721</v>
      </c>
    </row>
    <row r="1482" spans="1:16">
      <c r="A1482" s="1" t="s">
        <v>15</v>
      </c>
      <c r="B1482" s="1">
        <v>11</v>
      </c>
      <c r="C1482" s="1" t="s">
        <v>5178</v>
      </c>
      <c r="D1482" s="1" t="s">
        <v>463</v>
      </c>
      <c r="E1482" s="2">
        <v>45973</v>
      </c>
      <c r="F1482" s="1" t="s">
        <v>464</v>
      </c>
      <c r="G1482" s="1" t="s">
        <v>465</v>
      </c>
      <c r="H1482" s="1" t="s">
        <v>466</v>
      </c>
      <c r="I1482" s="1">
        <v>2</v>
      </c>
      <c r="J1482" s="3">
        <v>23248</v>
      </c>
      <c r="K1482" s="3">
        <v>22184</v>
      </c>
      <c r="L1482" s="1">
        <v>0</v>
      </c>
      <c r="M1482" s="4">
        <v>0</v>
      </c>
      <c r="N1482" s="3">
        <v>1064</v>
      </c>
      <c r="O1482" s="4">
        <v>4.5999999999999999E-2</v>
      </c>
      <c r="P1482" s="1" t="s">
        <v>2721</v>
      </c>
    </row>
    <row r="1483" spans="1:16">
      <c r="A1483" s="1" t="s">
        <v>15</v>
      </c>
      <c r="B1483" s="1">
        <v>11</v>
      </c>
      <c r="C1483" s="1" t="s">
        <v>5179</v>
      </c>
      <c r="D1483" s="1" t="s">
        <v>406</v>
      </c>
      <c r="E1483" s="2">
        <v>45973</v>
      </c>
      <c r="F1483" s="1" t="s">
        <v>407</v>
      </c>
      <c r="G1483" s="1" t="s">
        <v>408</v>
      </c>
      <c r="H1483" s="1" t="s">
        <v>1160</v>
      </c>
      <c r="I1483" s="1">
        <v>2</v>
      </c>
      <c r="J1483" s="3">
        <v>24378</v>
      </c>
      <c r="K1483" s="3">
        <v>23262</v>
      </c>
      <c r="L1483" s="1">
        <v>0</v>
      </c>
      <c r="M1483" s="4">
        <v>0</v>
      </c>
      <c r="N1483" s="3">
        <v>1116</v>
      </c>
      <c r="O1483" s="4">
        <v>4.5999999999999999E-2</v>
      </c>
      <c r="P1483" s="1" t="s">
        <v>2721</v>
      </c>
    </row>
    <row r="1484" spans="1:16">
      <c r="A1484" s="1" t="s">
        <v>15</v>
      </c>
      <c r="B1484" s="1">
        <v>11</v>
      </c>
      <c r="C1484" s="1" t="s">
        <v>5179</v>
      </c>
      <c r="D1484" s="1" t="s">
        <v>960</v>
      </c>
      <c r="E1484" s="2">
        <v>45973</v>
      </c>
      <c r="F1484" s="1" t="s">
        <v>407</v>
      </c>
      <c r="G1484" s="1" t="s">
        <v>961</v>
      </c>
      <c r="H1484" s="1" t="s">
        <v>2830</v>
      </c>
      <c r="I1484" s="1">
        <v>1</v>
      </c>
      <c r="J1484" s="3">
        <v>16711</v>
      </c>
      <c r="K1484" s="3">
        <v>15946</v>
      </c>
      <c r="L1484" s="1">
        <v>0</v>
      </c>
      <c r="M1484" s="4">
        <v>0</v>
      </c>
      <c r="N1484" s="1">
        <v>765</v>
      </c>
      <c r="O1484" s="4">
        <v>4.5999999999999999E-2</v>
      </c>
      <c r="P1484" s="1" t="s">
        <v>2721</v>
      </c>
    </row>
    <row r="1485" spans="1:16">
      <c r="A1485" s="1" t="s">
        <v>15</v>
      </c>
      <c r="B1485" s="1">
        <v>11</v>
      </c>
      <c r="C1485" s="1" t="s">
        <v>5180</v>
      </c>
      <c r="D1485" s="1" t="s">
        <v>1410</v>
      </c>
      <c r="E1485" s="2">
        <v>45973</v>
      </c>
      <c r="F1485" s="1" t="s">
        <v>1411</v>
      </c>
      <c r="G1485" s="1" t="s">
        <v>1412</v>
      </c>
      <c r="H1485" s="1" t="s">
        <v>3011</v>
      </c>
      <c r="I1485" s="1">
        <v>1</v>
      </c>
      <c r="J1485" s="3">
        <v>26186</v>
      </c>
      <c r="K1485" s="3">
        <v>24987</v>
      </c>
      <c r="L1485" s="1">
        <v>0</v>
      </c>
      <c r="M1485" s="4">
        <v>0</v>
      </c>
      <c r="N1485" s="3">
        <v>1199</v>
      </c>
      <c r="O1485" s="4">
        <v>4.5999999999999999E-2</v>
      </c>
      <c r="P1485" s="1" t="s">
        <v>2721</v>
      </c>
    </row>
    <row r="1486" spans="1:16">
      <c r="A1486" s="1" t="s">
        <v>15</v>
      </c>
      <c r="B1486" s="1">
        <v>11</v>
      </c>
      <c r="C1486" s="1" t="s">
        <v>5181</v>
      </c>
      <c r="D1486" s="1" t="s">
        <v>504</v>
      </c>
      <c r="E1486" s="2">
        <v>45973</v>
      </c>
      <c r="F1486" s="1" t="s">
        <v>407</v>
      </c>
      <c r="G1486" s="1" t="s">
        <v>505</v>
      </c>
      <c r="H1486" s="1" t="s">
        <v>506</v>
      </c>
      <c r="I1486" s="1">
        <v>1</v>
      </c>
      <c r="J1486" s="3">
        <v>40303</v>
      </c>
      <c r="K1486" s="3">
        <v>38458</v>
      </c>
      <c r="L1486" s="1">
        <v>0</v>
      </c>
      <c r="M1486" s="4">
        <v>0</v>
      </c>
      <c r="N1486" s="3">
        <v>1845</v>
      </c>
      <c r="O1486" s="4">
        <v>4.5999999999999999E-2</v>
      </c>
      <c r="P1486" s="1" t="s">
        <v>2721</v>
      </c>
    </row>
    <row r="1487" spans="1:16">
      <c r="A1487" s="1" t="s">
        <v>15</v>
      </c>
      <c r="B1487" s="1">
        <v>11</v>
      </c>
      <c r="C1487" s="1" t="s">
        <v>5182</v>
      </c>
      <c r="D1487" s="1" t="s">
        <v>1355</v>
      </c>
      <c r="E1487" s="2">
        <v>45973</v>
      </c>
      <c r="F1487" s="1" t="s">
        <v>256</v>
      </c>
      <c r="G1487" s="1" t="s">
        <v>1356</v>
      </c>
      <c r="H1487" s="1" t="s">
        <v>4639</v>
      </c>
      <c r="I1487" s="1">
        <v>1</v>
      </c>
      <c r="J1487" s="3">
        <v>13676</v>
      </c>
      <c r="K1487" s="3">
        <v>13050</v>
      </c>
      <c r="L1487" s="1">
        <v>0</v>
      </c>
      <c r="M1487" s="4">
        <v>0</v>
      </c>
      <c r="N1487" s="1">
        <v>626</v>
      </c>
      <c r="O1487" s="4">
        <v>4.5999999999999999E-2</v>
      </c>
      <c r="P1487" s="1" t="s">
        <v>2721</v>
      </c>
    </row>
    <row r="1488" spans="1:16">
      <c r="A1488" s="1" t="s">
        <v>15</v>
      </c>
      <c r="B1488" s="1">
        <v>11</v>
      </c>
      <c r="C1488" s="1" t="s">
        <v>5183</v>
      </c>
      <c r="D1488" s="1" t="s">
        <v>132</v>
      </c>
      <c r="E1488" s="2">
        <v>45973</v>
      </c>
      <c r="F1488" s="1" t="s">
        <v>53</v>
      </c>
      <c r="G1488" s="1" t="s">
        <v>133</v>
      </c>
      <c r="H1488" s="1" t="s">
        <v>88</v>
      </c>
      <c r="I1488" s="1">
        <v>1</v>
      </c>
      <c r="J1488" s="3">
        <v>17036</v>
      </c>
      <c r="K1488" s="3">
        <v>16256</v>
      </c>
      <c r="L1488" s="1">
        <v>0</v>
      </c>
      <c r="M1488" s="4">
        <v>0</v>
      </c>
      <c r="N1488" s="1">
        <v>780</v>
      </c>
      <c r="O1488" s="4">
        <v>4.5999999999999999E-2</v>
      </c>
      <c r="P1488" s="1" t="s">
        <v>2721</v>
      </c>
    </row>
    <row r="1489" spans="1:16">
      <c r="A1489" s="1" t="s">
        <v>15</v>
      </c>
      <c r="B1489" s="1">
        <v>11</v>
      </c>
      <c r="C1489" s="1" t="s">
        <v>5184</v>
      </c>
      <c r="D1489" s="1" t="s">
        <v>17</v>
      </c>
      <c r="E1489" s="2">
        <v>45973</v>
      </c>
      <c r="F1489" s="1" t="s">
        <v>18</v>
      </c>
      <c r="G1489" s="1" t="s">
        <v>19</v>
      </c>
      <c r="H1489" s="1" t="s">
        <v>2787</v>
      </c>
      <c r="I1489" s="1">
        <v>1</v>
      </c>
      <c r="J1489" s="3">
        <v>7166</v>
      </c>
      <c r="K1489" s="3">
        <v>6838</v>
      </c>
      <c r="L1489" s="1">
        <v>0</v>
      </c>
      <c r="M1489" s="4">
        <v>0</v>
      </c>
      <c r="N1489" s="1">
        <v>328</v>
      </c>
      <c r="O1489" s="4">
        <v>4.5999999999999999E-2</v>
      </c>
      <c r="P1489" s="1" t="s">
        <v>2721</v>
      </c>
    </row>
    <row r="1490" spans="1:16">
      <c r="A1490" s="1" t="s">
        <v>15</v>
      </c>
      <c r="B1490" s="1">
        <v>11</v>
      </c>
      <c r="C1490" s="1" t="s">
        <v>5185</v>
      </c>
      <c r="D1490" s="1" t="s">
        <v>125</v>
      </c>
      <c r="E1490" s="2">
        <v>45973</v>
      </c>
      <c r="F1490" s="1" t="s">
        <v>126</v>
      </c>
      <c r="G1490" s="1" t="s">
        <v>127</v>
      </c>
      <c r="H1490" s="1" t="s">
        <v>128</v>
      </c>
      <c r="I1490" s="1">
        <v>1</v>
      </c>
      <c r="J1490" s="3">
        <v>13959</v>
      </c>
      <c r="K1490" s="3">
        <v>13320</v>
      </c>
      <c r="L1490" s="1">
        <v>0</v>
      </c>
      <c r="M1490" s="4">
        <v>0</v>
      </c>
      <c r="N1490" s="1">
        <v>639</v>
      </c>
      <c r="O1490" s="4">
        <v>4.5999999999999999E-2</v>
      </c>
      <c r="P1490" s="1" t="s">
        <v>2721</v>
      </c>
    </row>
    <row r="1491" spans="1:16">
      <c r="A1491" s="1" t="s">
        <v>15</v>
      </c>
      <c r="B1491" s="1">
        <v>11</v>
      </c>
      <c r="C1491" s="1" t="s">
        <v>5186</v>
      </c>
      <c r="D1491" s="1" t="s">
        <v>5187</v>
      </c>
      <c r="E1491" s="2">
        <v>45973</v>
      </c>
      <c r="F1491" s="1" t="s">
        <v>151</v>
      </c>
      <c r="G1491" s="1" t="s">
        <v>5188</v>
      </c>
      <c r="H1491" s="1" t="s">
        <v>5188</v>
      </c>
      <c r="I1491" s="1">
        <v>1</v>
      </c>
      <c r="J1491" s="3">
        <v>24575</v>
      </c>
      <c r="K1491" s="3">
        <v>23450</v>
      </c>
      <c r="L1491" s="1">
        <v>0</v>
      </c>
      <c r="M1491" s="4">
        <v>0</v>
      </c>
      <c r="N1491" s="3">
        <v>1125</v>
      </c>
      <c r="O1491" s="4">
        <v>4.5999999999999999E-2</v>
      </c>
      <c r="P1491" s="1" t="s">
        <v>2721</v>
      </c>
    </row>
    <row r="1492" spans="1:16">
      <c r="A1492" s="1" t="s">
        <v>15</v>
      </c>
      <c r="B1492" s="1">
        <v>11</v>
      </c>
      <c r="C1492" s="1" t="s">
        <v>5189</v>
      </c>
      <c r="D1492" s="1" t="s">
        <v>1250</v>
      </c>
      <c r="E1492" s="2">
        <v>45973</v>
      </c>
      <c r="F1492" s="1" t="s">
        <v>18</v>
      </c>
      <c r="G1492" s="1" t="s">
        <v>1251</v>
      </c>
      <c r="H1492" s="1" t="s">
        <v>5190</v>
      </c>
      <c r="I1492" s="1">
        <v>1</v>
      </c>
      <c r="J1492" s="3">
        <v>8395</v>
      </c>
      <c r="K1492" s="3">
        <v>8011</v>
      </c>
      <c r="L1492" s="1">
        <v>0</v>
      </c>
      <c r="M1492" s="4">
        <v>0</v>
      </c>
      <c r="N1492" s="1">
        <v>384</v>
      </c>
      <c r="O1492" s="4">
        <v>4.5999999999999999E-2</v>
      </c>
      <c r="P1492" s="1" t="s">
        <v>2721</v>
      </c>
    </row>
    <row r="1493" spans="1:16">
      <c r="A1493" s="1" t="s">
        <v>15</v>
      </c>
      <c r="B1493" s="1">
        <v>11</v>
      </c>
      <c r="C1493" s="1" t="s">
        <v>5191</v>
      </c>
      <c r="D1493" s="1" t="s">
        <v>52</v>
      </c>
      <c r="E1493" s="2">
        <v>45973</v>
      </c>
      <c r="F1493" s="1" t="s">
        <v>53</v>
      </c>
      <c r="G1493" s="1" t="s">
        <v>54</v>
      </c>
      <c r="H1493" s="1" t="s">
        <v>55</v>
      </c>
      <c r="I1493" s="1">
        <v>1</v>
      </c>
      <c r="J1493" s="3">
        <v>16135</v>
      </c>
      <c r="K1493" s="3">
        <v>15396</v>
      </c>
      <c r="L1493" s="1">
        <v>0</v>
      </c>
      <c r="M1493" s="4">
        <v>0</v>
      </c>
      <c r="N1493" s="1">
        <v>739</v>
      </c>
      <c r="O1493" s="4">
        <v>4.5999999999999999E-2</v>
      </c>
      <c r="P1493" s="1" t="s">
        <v>2721</v>
      </c>
    </row>
    <row r="1494" spans="1:16">
      <c r="A1494" s="1" t="s">
        <v>15</v>
      </c>
      <c r="B1494" s="1">
        <v>11</v>
      </c>
      <c r="C1494" s="1" t="s">
        <v>5191</v>
      </c>
      <c r="D1494" s="1" t="s">
        <v>341</v>
      </c>
      <c r="E1494" s="2">
        <v>45973</v>
      </c>
      <c r="F1494" s="1" t="s">
        <v>53</v>
      </c>
      <c r="G1494" s="1" t="s">
        <v>342</v>
      </c>
      <c r="H1494" s="1" t="s">
        <v>343</v>
      </c>
      <c r="I1494" s="1">
        <v>1</v>
      </c>
      <c r="J1494" s="3">
        <v>16135</v>
      </c>
      <c r="K1494" s="3">
        <v>15396</v>
      </c>
      <c r="L1494" s="1">
        <v>0</v>
      </c>
      <c r="M1494" s="4">
        <v>0</v>
      </c>
      <c r="N1494" s="1">
        <v>739</v>
      </c>
      <c r="O1494" s="4">
        <v>4.5999999999999999E-2</v>
      </c>
      <c r="P1494" s="1" t="s">
        <v>2721</v>
      </c>
    </row>
    <row r="1495" spans="1:16">
      <c r="A1495" s="1" t="s">
        <v>15</v>
      </c>
      <c r="B1495" s="1">
        <v>11</v>
      </c>
      <c r="C1495" s="1" t="s">
        <v>5192</v>
      </c>
      <c r="D1495" s="1" t="s">
        <v>296</v>
      </c>
      <c r="E1495" s="2">
        <v>45973</v>
      </c>
      <c r="F1495" s="1" t="s">
        <v>297</v>
      </c>
      <c r="G1495" s="1" t="s">
        <v>298</v>
      </c>
      <c r="H1495" s="1" t="s">
        <v>5193</v>
      </c>
      <c r="I1495" s="1">
        <v>1</v>
      </c>
      <c r="J1495" s="3">
        <v>30748</v>
      </c>
      <c r="K1495" s="3">
        <v>29341</v>
      </c>
      <c r="L1495" s="1">
        <v>0</v>
      </c>
      <c r="M1495" s="4">
        <v>0</v>
      </c>
      <c r="N1495" s="3">
        <v>1407</v>
      </c>
      <c r="O1495" s="4">
        <v>4.5999999999999999E-2</v>
      </c>
      <c r="P1495" s="1" t="s">
        <v>2721</v>
      </c>
    </row>
    <row r="1496" spans="1:16">
      <c r="A1496" s="1" t="s">
        <v>15</v>
      </c>
      <c r="B1496" s="1">
        <v>11</v>
      </c>
      <c r="C1496" s="1" t="s">
        <v>5194</v>
      </c>
      <c r="D1496" s="1" t="s">
        <v>411</v>
      </c>
      <c r="E1496" s="2">
        <v>45973</v>
      </c>
      <c r="F1496" s="1" t="s">
        <v>312</v>
      </c>
      <c r="G1496" s="1" t="s">
        <v>412</v>
      </c>
      <c r="H1496" s="1" t="s">
        <v>5195</v>
      </c>
      <c r="I1496" s="1">
        <v>1</v>
      </c>
      <c r="J1496" s="3">
        <v>27524</v>
      </c>
      <c r="K1496" s="3">
        <v>26264</v>
      </c>
      <c r="L1496" s="1">
        <v>0</v>
      </c>
      <c r="M1496" s="4">
        <v>0</v>
      </c>
      <c r="N1496" s="3">
        <v>1260</v>
      </c>
      <c r="O1496" s="4">
        <v>4.5999999999999999E-2</v>
      </c>
      <c r="P1496" s="1" t="s">
        <v>2721</v>
      </c>
    </row>
    <row r="1497" spans="1:16">
      <c r="A1497" s="1" t="s">
        <v>15</v>
      </c>
      <c r="B1497" s="1">
        <v>11</v>
      </c>
      <c r="C1497" s="1" t="s">
        <v>5196</v>
      </c>
      <c r="D1497" s="1" t="s">
        <v>270</v>
      </c>
      <c r="E1497" s="2">
        <v>45973</v>
      </c>
      <c r="F1497" s="1" t="s">
        <v>271</v>
      </c>
      <c r="G1497" s="1" t="s">
        <v>272</v>
      </c>
      <c r="H1497" s="1" t="s">
        <v>273</v>
      </c>
      <c r="I1497" s="1">
        <v>1</v>
      </c>
      <c r="J1497" s="3">
        <v>25067</v>
      </c>
      <c r="K1497" s="3">
        <v>23919</v>
      </c>
      <c r="L1497" s="1">
        <v>0</v>
      </c>
      <c r="M1497" s="4">
        <v>0</v>
      </c>
      <c r="N1497" s="3">
        <v>1148</v>
      </c>
      <c r="O1497" s="4">
        <v>4.5999999999999999E-2</v>
      </c>
      <c r="P1497" s="1" t="s">
        <v>2721</v>
      </c>
    </row>
    <row r="1498" spans="1:16">
      <c r="A1498" s="1" t="s">
        <v>15</v>
      </c>
      <c r="B1498" s="1">
        <v>11</v>
      </c>
      <c r="C1498" s="1" t="s">
        <v>5197</v>
      </c>
      <c r="D1498" s="1" t="s">
        <v>528</v>
      </c>
      <c r="E1498" s="2">
        <v>45973</v>
      </c>
      <c r="F1498" s="1" t="s">
        <v>297</v>
      </c>
      <c r="G1498" s="1" t="s">
        <v>529</v>
      </c>
      <c r="H1498" s="1" t="s">
        <v>5198</v>
      </c>
      <c r="I1498" s="1">
        <v>1</v>
      </c>
      <c r="J1498" s="3">
        <v>25232</v>
      </c>
      <c r="K1498" s="3">
        <v>24077</v>
      </c>
      <c r="L1498" s="1">
        <v>0</v>
      </c>
      <c r="M1498" s="4">
        <v>0</v>
      </c>
      <c r="N1498" s="3">
        <v>1155</v>
      </c>
      <c r="O1498" s="4">
        <v>4.5999999999999999E-2</v>
      </c>
      <c r="P1498" s="1" t="s">
        <v>2721</v>
      </c>
    </row>
    <row r="1499" spans="1:16">
      <c r="A1499" s="1" t="s">
        <v>15</v>
      </c>
      <c r="B1499" s="1">
        <v>11</v>
      </c>
      <c r="C1499" s="1" t="s">
        <v>5197</v>
      </c>
      <c r="D1499" s="1" t="s">
        <v>528</v>
      </c>
      <c r="E1499" s="2">
        <v>45973</v>
      </c>
      <c r="F1499" s="1" t="s">
        <v>297</v>
      </c>
      <c r="G1499" s="1" t="s">
        <v>529</v>
      </c>
      <c r="H1499" s="1" t="s">
        <v>5199</v>
      </c>
      <c r="I1499" s="1">
        <v>1</v>
      </c>
      <c r="J1499" s="3">
        <v>13475</v>
      </c>
      <c r="K1499" s="3">
        <v>12858</v>
      </c>
      <c r="L1499" s="1">
        <v>0</v>
      </c>
      <c r="M1499" s="4">
        <v>0</v>
      </c>
      <c r="N1499" s="1">
        <v>617</v>
      </c>
      <c r="O1499" s="4">
        <v>4.5999999999999999E-2</v>
      </c>
      <c r="P1499" s="1" t="s">
        <v>2721</v>
      </c>
    </row>
    <row r="1500" spans="1:16">
      <c r="A1500" s="1" t="s">
        <v>15</v>
      </c>
      <c r="B1500" s="1">
        <v>11</v>
      </c>
      <c r="C1500" s="1" t="s">
        <v>5200</v>
      </c>
      <c r="D1500" s="1" t="s">
        <v>504</v>
      </c>
      <c r="E1500" s="2">
        <v>45973</v>
      </c>
      <c r="F1500" s="1" t="s">
        <v>407</v>
      </c>
      <c r="G1500" s="1" t="s">
        <v>505</v>
      </c>
      <c r="H1500" s="1" t="s">
        <v>1131</v>
      </c>
      <c r="I1500" s="1">
        <v>1</v>
      </c>
      <c r="J1500" s="3">
        <v>54065</v>
      </c>
      <c r="K1500" s="3">
        <v>51590</v>
      </c>
      <c r="L1500" s="1">
        <v>0</v>
      </c>
      <c r="M1500" s="4">
        <v>0</v>
      </c>
      <c r="N1500" s="3">
        <v>2475</v>
      </c>
      <c r="O1500" s="4">
        <v>4.5999999999999999E-2</v>
      </c>
      <c r="P1500" s="1" t="s">
        <v>2721</v>
      </c>
    </row>
    <row r="1501" spans="1:16">
      <c r="A1501" s="1" t="s">
        <v>15</v>
      </c>
      <c r="B1501" s="1">
        <v>11</v>
      </c>
      <c r="C1501" s="1" t="s">
        <v>5201</v>
      </c>
      <c r="D1501" s="1" t="s">
        <v>5202</v>
      </c>
      <c r="E1501" s="2">
        <v>45973</v>
      </c>
      <c r="F1501" s="1" t="s">
        <v>660</v>
      </c>
      <c r="G1501" s="1" t="s">
        <v>5203</v>
      </c>
      <c r="H1501" s="1" t="s">
        <v>5204</v>
      </c>
      <c r="I1501" s="1">
        <v>1</v>
      </c>
      <c r="J1501" s="3">
        <v>39320</v>
      </c>
      <c r="K1501" s="3">
        <v>37520</v>
      </c>
      <c r="L1501" s="1">
        <v>0</v>
      </c>
      <c r="M1501" s="4">
        <v>0</v>
      </c>
      <c r="N1501" s="3">
        <v>1800</v>
      </c>
      <c r="O1501" s="4">
        <v>4.5999999999999999E-2</v>
      </c>
      <c r="P1501" s="1" t="s">
        <v>2721</v>
      </c>
    </row>
    <row r="1502" spans="1:16">
      <c r="A1502" s="1" t="s">
        <v>15</v>
      </c>
      <c r="B1502" s="1">
        <v>11</v>
      </c>
      <c r="C1502" s="1" t="s">
        <v>5205</v>
      </c>
      <c r="D1502" s="1" t="s">
        <v>5206</v>
      </c>
      <c r="E1502" s="2">
        <v>45973</v>
      </c>
      <c r="F1502" s="1" t="s">
        <v>2173</v>
      </c>
      <c r="G1502" s="1" t="s">
        <v>5207</v>
      </c>
      <c r="H1502" s="1" t="s">
        <v>5208</v>
      </c>
      <c r="I1502" s="1">
        <v>1</v>
      </c>
      <c r="J1502" s="3">
        <v>20348</v>
      </c>
      <c r="K1502" s="3">
        <v>19417</v>
      </c>
      <c r="L1502" s="1">
        <v>0</v>
      </c>
      <c r="M1502" s="4">
        <v>0</v>
      </c>
      <c r="N1502" s="1">
        <v>931</v>
      </c>
      <c r="O1502" s="4">
        <v>4.5999999999999999E-2</v>
      </c>
      <c r="P1502" s="1" t="s">
        <v>2721</v>
      </c>
    </row>
    <row r="1503" spans="1:16">
      <c r="A1503" s="1" t="s">
        <v>15</v>
      </c>
      <c r="B1503" s="1">
        <v>11</v>
      </c>
      <c r="C1503" s="1" t="s">
        <v>5209</v>
      </c>
      <c r="D1503" s="1" t="s">
        <v>224</v>
      </c>
      <c r="E1503" s="2">
        <v>45973</v>
      </c>
      <c r="F1503" s="1" t="s">
        <v>96</v>
      </c>
      <c r="G1503" s="1" t="s">
        <v>225</v>
      </c>
      <c r="H1503" s="1" t="s">
        <v>896</v>
      </c>
      <c r="I1503" s="1">
        <v>1</v>
      </c>
      <c r="J1503" s="3">
        <v>12571</v>
      </c>
      <c r="K1503" s="3">
        <v>11995</v>
      </c>
      <c r="L1503" s="1">
        <v>0</v>
      </c>
      <c r="M1503" s="4">
        <v>0</v>
      </c>
      <c r="N1503" s="1">
        <v>576</v>
      </c>
      <c r="O1503" s="4">
        <v>4.5999999999999999E-2</v>
      </c>
      <c r="P1503" s="1" t="s">
        <v>2721</v>
      </c>
    </row>
    <row r="1504" spans="1:16">
      <c r="A1504" s="1" t="s">
        <v>15</v>
      </c>
      <c r="B1504" s="1">
        <v>11</v>
      </c>
      <c r="C1504" s="1" t="s">
        <v>5210</v>
      </c>
      <c r="D1504" s="1" t="s">
        <v>5211</v>
      </c>
      <c r="E1504" s="2">
        <v>45973</v>
      </c>
      <c r="F1504" s="1" t="s">
        <v>1665</v>
      </c>
      <c r="G1504" s="1" t="s">
        <v>5212</v>
      </c>
      <c r="H1504" s="1" t="s">
        <v>5213</v>
      </c>
      <c r="I1504" s="1">
        <v>1</v>
      </c>
      <c r="J1504" s="3">
        <v>22874</v>
      </c>
      <c r="K1504" s="3">
        <v>21827</v>
      </c>
      <c r="L1504" s="1">
        <v>0</v>
      </c>
      <c r="M1504" s="4">
        <v>0</v>
      </c>
      <c r="N1504" s="3">
        <v>1047</v>
      </c>
      <c r="O1504" s="4">
        <v>4.5999999999999999E-2</v>
      </c>
      <c r="P1504" s="1" t="s">
        <v>2721</v>
      </c>
    </row>
    <row r="1505" spans="1:16">
      <c r="A1505" s="1" t="s">
        <v>15</v>
      </c>
      <c r="B1505" s="1">
        <v>11</v>
      </c>
      <c r="C1505" s="1" t="s">
        <v>5214</v>
      </c>
      <c r="D1505" s="1" t="s">
        <v>828</v>
      </c>
      <c r="E1505" s="2">
        <v>45973</v>
      </c>
      <c r="F1505" s="1" t="s">
        <v>689</v>
      </c>
      <c r="G1505" s="1" t="s">
        <v>829</v>
      </c>
      <c r="H1505" s="1" t="s">
        <v>5215</v>
      </c>
      <c r="I1505" s="1">
        <v>1</v>
      </c>
      <c r="J1505" s="3">
        <v>31456</v>
      </c>
      <c r="K1505" s="3">
        <v>30016</v>
      </c>
      <c r="L1505" s="1">
        <v>0</v>
      </c>
      <c r="M1505" s="4">
        <v>0</v>
      </c>
      <c r="N1505" s="3">
        <v>1440</v>
      </c>
      <c r="O1505" s="4">
        <v>4.5999999999999999E-2</v>
      </c>
      <c r="P1505" s="1" t="s">
        <v>2721</v>
      </c>
    </row>
    <row r="1506" spans="1:16">
      <c r="A1506" s="1" t="s">
        <v>15</v>
      </c>
      <c r="B1506" s="1">
        <v>11</v>
      </c>
      <c r="C1506" s="1" t="s">
        <v>5216</v>
      </c>
      <c r="D1506" s="1" t="s">
        <v>169</v>
      </c>
      <c r="E1506" s="2">
        <v>45973</v>
      </c>
      <c r="F1506" s="1" t="s">
        <v>53</v>
      </c>
      <c r="G1506" s="1" t="s">
        <v>170</v>
      </c>
      <c r="H1506" s="1" t="s">
        <v>171</v>
      </c>
      <c r="I1506" s="1">
        <v>1</v>
      </c>
      <c r="J1506" s="3">
        <v>14332</v>
      </c>
      <c r="K1506" s="3">
        <v>13676</v>
      </c>
      <c r="L1506" s="1">
        <v>0</v>
      </c>
      <c r="M1506" s="4">
        <v>0</v>
      </c>
      <c r="N1506" s="1">
        <v>656</v>
      </c>
      <c r="O1506" s="4">
        <v>4.5999999999999999E-2</v>
      </c>
      <c r="P1506" s="1" t="s">
        <v>2721</v>
      </c>
    </row>
    <row r="1507" spans="1:16">
      <c r="A1507" s="1" t="s">
        <v>15</v>
      </c>
      <c r="B1507" s="1">
        <v>11</v>
      </c>
      <c r="C1507" s="1" t="s">
        <v>5217</v>
      </c>
      <c r="D1507" s="1" t="s">
        <v>1546</v>
      </c>
      <c r="E1507" s="2">
        <v>45973</v>
      </c>
      <c r="F1507" s="1" t="s">
        <v>261</v>
      </c>
      <c r="G1507" s="1" t="s">
        <v>706</v>
      </c>
      <c r="H1507" s="1" t="s">
        <v>706</v>
      </c>
      <c r="I1507" s="1">
        <v>2</v>
      </c>
      <c r="J1507" s="3">
        <v>64878</v>
      </c>
      <c r="K1507" s="3">
        <v>61908</v>
      </c>
      <c r="L1507" s="1">
        <v>0</v>
      </c>
      <c r="M1507" s="4">
        <v>0</v>
      </c>
      <c r="N1507" s="3">
        <v>2970</v>
      </c>
      <c r="O1507" s="4">
        <v>4.5999999999999999E-2</v>
      </c>
      <c r="P1507" s="1" t="s">
        <v>2721</v>
      </c>
    </row>
    <row r="1508" spans="1:16">
      <c r="A1508" s="1" t="s">
        <v>15</v>
      </c>
      <c r="B1508" s="1">
        <v>11</v>
      </c>
      <c r="C1508" s="1" t="s">
        <v>5218</v>
      </c>
      <c r="D1508" s="1" t="s">
        <v>862</v>
      </c>
      <c r="E1508" s="2">
        <v>45973</v>
      </c>
      <c r="F1508" s="1" t="s">
        <v>334</v>
      </c>
      <c r="G1508" s="1" t="s">
        <v>863</v>
      </c>
      <c r="H1508" s="1" t="s">
        <v>3206</v>
      </c>
      <c r="I1508" s="1">
        <v>1</v>
      </c>
      <c r="J1508" s="3">
        <v>16220</v>
      </c>
      <c r="K1508" s="3">
        <v>15477</v>
      </c>
      <c r="L1508" s="1">
        <v>0</v>
      </c>
      <c r="M1508" s="4">
        <v>0</v>
      </c>
      <c r="N1508" s="1">
        <v>743</v>
      </c>
      <c r="O1508" s="4">
        <v>4.5999999999999999E-2</v>
      </c>
      <c r="P1508" s="1" t="s">
        <v>2721</v>
      </c>
    </row>
    <row r="1509" spans="1:16">
      <c r="A1509" s="1" t="s">
        <v>15</v>
      </c>
      <c r="B1509" s="1">
        <v>11</v>
      </c>
      <c r="C1509" s="1" t="s">
        <v>5219</v>
      </c>
      <c r="D1509" s="1" t="s">
        <v>17</v>
      </c>
      <c r="E1509" s="2">
        <v>45973</v>
      </c>
      <c r="F1509" s="1" t="s">
        <v>18</v>
      </c>
      <c r="G1509" s="1" t="s">
        <v>19</v>
      </c>
      <c r="H1509" s="1" t="s">
        <v>1428</v>
      </c>
      <c r="I1509" s="1">
        <v>1</v>
      </c>
      <c r="J1509" s="3">
        <v>7166</v>
      </c>
      <c r="K1509" s="3">
        <v>6838</v>
      </c>
      <c r="L1509" s="1">
        <v>0</v>
      </c>
      <c r="M1509" s="4">
        <v>0</v>
      </c>
      <c r="N1509" s="1">
        <v>328</v>
      </c>
      <c r="O1509" s="4">
        <v>4.5999999999999999E-2</v>
      </c>
      <c r="P1509" s="1" t="s">
        <v>2721</v>
      </c>
    </row>
    <row r="1510" spans="1:16">
      <c r="A1510" s="1" t="s">
        <v>15</v>
      </c>
      <c r="B1510" s="1">
        <v>11</v>
      </c>
      <c r="C1510" s="1" t="s">
        <v>5219</v>
      </c>
      <c r="D1510" s="1" t="s">
        <v>17</v>
      </c>
      <c r="E1510" s="2">
        <v>45973</v>
      </c>
      <c r="F1510" s="1" t="s">
        <v>18</v>
      </c>
      <c r="G1510" s="1" t="s">
        <v>19</v>
      </c>
      <c r="H1510" s="1" t="s">
        <v>5190</v>
      </c>
      <c r="I1510" s="1">
        <v>2</v>
      </c>
      <c r="J1510" s="3">
        <v>14332</v>
      </c>
      <c r="K1510" s="3">
        <v>13676</v>
      </c>
      <c r="L1510" s="1">
        <v>0</v>
      </c>
      <c r="M1510" s="4">
        <v>0</v>
      </c>
      <c r="N1510" s="1">
        <v>656</v>
      </c>
      <c r="O1510" s="4">
        <v>4.5999999999999999E-2</v>
      </c>
      <c r="P1510" s="1" t="s">
        <v>2721</v>
      </c>
    </row>
    <row r="1511" spans="1:16">
      <c r="A1511" s="1" t="s">
        <v>15</v>
      </c>
      <c r="B1511" s="1">
        <v>11</v>
      </c>
      <c r="C1511" s="1" t="s">
        <v>5220</v>
      </c>
      <c r="D1511" s="1" t="s">
        <v>865</v>
      </c>
      <c r="E1511" s="2">
        <v>45973</v>
      </c>
      <c r="F1511" s="1" t="s">
        <v>334</v>
      </c>
      <c r="G1511" s="1" t="s">
        <v>866</v>
      </c>
      <c r="H1511" s="1" t="s">
        <v>1085</v>
      </c>
      <c r="I1511" s="1">
        <v>1</v>
      </c>
      <c r="J1511" s="3">
        <v>9044</v>
      </c>
      <c r="K1511" s="3">
        <v>8630</v>
      </c>
      <c r="L1511" s="1">
        <v>0</v>
      </c>
      <c r="M1511" s="4">
        <v>0</v>
      </c>
      <c r="N1511" s="1">
        <v>414</v>
      </c>
      <c r="O1511" s="4">
        <v>4.5999999999999999E-2</v>
      </c>
      <c r="P1511" s="1" t="s">
        <v>2721</v>
      </c>
    </row>
    <row r="1512" spans="1:16">
      <c r="A1512" s="1" t="s">
        <v>15</v>
      </c>
      <c r="B1512" s="1">
        <v>11</v>
      </c>
      <c r="C1512" s="1" t="s">
        <v>5221</v>
      </c>
      <c r="D1512" s="1" t="s">
        <v>5222</v>
      </c>
      <c r="E1512" s="2">
        <v>45973</v>
      </c>
      <c r="F1512" s="1" t="s">
        <v>1562</v>
      </c>
      <c r="G1512" s="1" t="s">
        <v>5223</v>
      </c>
      <c r="H1512" s="1" t="s">
        <v>5224</v>
      </c>
      <c r="I1512" s="1">
        <v>1</v>
      </c>
      <c r="J1512" s="3">
        <v>373540</v>
      </c>
      <c r="K1512" s="3">
        <v>356440</v>
      </c>
      <c r="L1512" s="1">
        <v>0</v>
      </c>
      <c r="M1512" s="4">
        <v>0</v>
      </c>
      <c r="N1512" s="3">
        <v>17100</v>
      </c>
      <c r="O1512" s="4">
        <v>4.5999999999999999E-2</v>
      </c>
      <c r="P1512" s="1" t="s">
        <v>2721</v>
      </c>
    </row>
    <row r="1513" spans="1:16">
      <c r="A1513" s="1" t="s">
        <v>15</v>
      </c>
      <c r="B1513" s="1">
        <v>11</v>
      </c>
      <c r="C1513" s="1" t="s">
        <v>5225</v>
      </c>
      <c r="D1513" s="1" t="s">
        <v>5226</v>
      </c>
      <c r="E1513" s="2">
        <v>45973</v>
      </c>
      <c r="F1513" s="1" t="s">
        <v>1888</v>
      </c>
      <c r="G1513" s="1" t="s">
        <v>5227</v>
      </c>
      <c r="H1513" s="1" t="s">
        <v>5228</v>
      </c>
      <c r="I1513" s="1">
        <v>1</v>
      </c>
      <c r="J1513" s="3">
        <v>9732</v>
      </c>
      <c r="K1513" s="3">
        <v>9286</v>
      </c>
      <c r="L1513" s="1">
        <v>0</v>
      </c>
      <c r="M1513" s="4">
        <v>0</v>
      </c>
      <c r="N1513" s="1">
        <v>446</v>
      </c>
      <c r="O1513" s="4">
        <v>4.5999999999999999E-2</v>
      </c>
      <c r="P1513" s="1" t="s">
        <v>2721</v>
      </c>
    </row>
    <row r="1514" spans="1:16">
      <c r="A1514" s="1" t="s">
        <v>15</v>
      </c>
      <c r="B1514" s="1">
        <v>11</v>
      </c>
      <c r="C1514" s="1" t="s">
        <v>5229</v>
      </c>
      <c r="D1514" s="1" t="s">
        <v>845</v>
      </c>
      <c r="E1514" s="2">
        <v>45973</v>
      </c>
      <c r="F1514" s="1" t="s">
        <v>846</v>
      </c>
      <c r="G1514" s="1" t="s">
        <v>847</v>
      </c>
      <c r="H1514" s="1" t="s">
        <v>848</v>
      </c>
      <c r="I1514" s="1">
        <v>1</v>
      </c>
      <c r="J1514" s="3">
        <v>112554</v>
      </c>
      <c r="K1514" s="3">
        <v>107401</v>
      </c>
      <c r="L1514" s="1">
        <v>0</v>
      </c>
      <c r="M1514" s="4">
        <v>0</v>
      </c>
      <c r="N1514" s="3">
        <v>5153</v>
      </c>
      <c r="O1514" s="4">
        <v>4.5999999999999999E-2</v>
      </c>
      <c r="P1514" s="1" t="s">
        <v>2721</v>
      </c>
    </row>
    <row r="1515" spans="1:16">
      <c r="A1515" s="1" t="s">
        <v>15</v>
      </c>
      <c r="B1515" s="1">
        <v>11</v>
      </c>
      <c r="C1515" s="1" t="s">
        <v>5230</v>
      </c>
      <c r="D1515" s="1" t="s">
        <v>845</v>
      </c>
      <c r="E1515" s="2">
        <v>45973</v>
      </c>
      <c r="F1515" s="1" t="s">
        <v>846</v>
      </c>
      <c r="G1515" s="1" t="s">
        <v>847</v>
      </c>
      <c r="H1515" s="1" t="s">
        <v>848</v>
      </c>
      <c r="I1515" s="1">
        <v>1</v>
      </c>
      <c r="J1515" s="3">
        <v>112554</v>
      </c>
      <c r="K1515" s="3">
        <v>107401</v>
      </c>
      <c r="L1515" s="1">
        <v>0</v>
      </c>
      <c r="M1515" s="4">
        <v>0</v>
      </c>
      <c r="N1515" s="3">
        <v>5153</v>
      </c>
      <c r="O1515" s="4">
        <v>4.5999999999999999E-2</v>
      </c>
      <c r="P1515" s="1" t="s">
        <v>2721</v>
      </c>
    </row>
    <row r="1516" spans="1:16">
      <c r="A1516" s="1" t="s">
        <v>15</v>
      </c>
      <c r="B1516" s="1">
        <v>11</v>
      </c>
      <c r="C1516" s="1" t="s">
        <v>5231</v>
      </c>
      <c r="D1516" s="1" t="s">
        <v>52</v>
      </c>
      <c r="E1516" s="2">
        <v>45973</v>
      </c>
      <c r="F1516" s="1" t="s">
        <v>53</v>
      </c>
      <c r="G1516" s="1" t="s">
        <v>54</v>
      </c>
      <c r="H1516" s="1" t="s">
        <v>55</v>
      </c>
      <c r="I1516" s="1">
        <v>1</v>
      </c>
      <c r="J1516" s="3">
        <v>16135</v>
      </c>
      <c r="K1516" s="3">
        <v>15396</v>
      </c>
      <c r="L1516" s="1">
        <v>0</v>
      </c>
      <c r="M1516" s="4">
        <v>0</v>
      </c>
      <c r="N1516" s="1">
        <v>739</v>
      </c>
      <c r="O1516" s="4">
        <v>4.5999999999999999E-2</v>
      </c>
      <c r="P1516" s="1" t="s">
        <v>2721</v>
      </c>
    </row>
    <row r="1517" spans="1:16">
      <c r="A1517" s="1" t="s">
        <v>15</v>
      </c>
      <c r="B1517" s="1">
        <v>11</v>
      </c>
      <c r="C1517" s="1" t="s">
        <v>5232</v>
      </c>
      <c r="D1517" s="1" t="s">
        <v>238</v>
      </c>
      <c r="E1517" s="2">
        <v>45973</v>
      </c>
      <c r="F1517" s="1" t="s">
        <v>239</v>
      </c>
      <c r="G1517" s="1" t="s">
        <v>240</v>
      </c>
      <c r="H1517" s="1" t="s">
        <v>241</v>
      </c>
      <c r="I1517" s="1">
        <v>2</v>
      </c>
      <c r="J1517" s="3">
        <v>22609</v>
      </c>
      <c r="K1517" s="3">
        <v>21574</v>
      </c>
      <c r="L1517" s="1">
        <v>0</v>
      </c>
      <c r="M1517" s="4">
        <v>0</v>
      </c>
      <c r="N1517" s="3">
        <v>1035</v>
      </c>
      <c r="O1517" s="4">
        <v>4.5999999999999999E-2</v>
      </c>
      <c r="P1517" s="1" t="s">
        <v>2721</v>
      </c>
    </row>
    <row r="1518" spans="1:16">
      <c r="A1518" s="1" t="s">
        <v>15</v>
      </c>
      <c r="B1518" s="1">
        <v>11</v>
      </c>
      <c r="C1518" s="1" t="s">
        <v>5233</v>
      </c>
      <c r="D1518" s="1" t="s">
        <v>169</v>
      </c>
      <c r="E1518" s="2">
        <v>45973</v>
      </c>
      <c r="F1518" s="1" t="s">
        <v>53</v>
      </c>
      <c r="G1518" s="1" t="s">
        <v>170</v>
      </c>
      <c r="H1518" s="1" t="s">
        <v>171</v>
      </c>
      <c r="I1518" s="1">
        <v>2</v>
      </c>
      <c r="J1518" s="3">
        <v>28664</v>
      </c>
      <c r="K1518" s="3">
        <v>27352</v>
      </c>
      <c r="L1518" s="1">
        <v>0</v>
      </c>
      <c r="M1518" s="4">
        <v>0</v>
      </c>
      <c r="N1518" s="3">
        <v>1312</v>
      </c>
      <c r="O1518" s="4">
        <v>4.5999999999999999E-2</v>
      </c>
      <c r="P1518" s="1" t="s">
        <v>2721</v>
      </c>
    </row>
    <row r="1519" spans="1:16">
      <c r="A1519" s="1" t="s">
        <v>15</v>
      </c>
      <c r="B1519" s="1">
        <v>11</v>
      </c>
      <c r="C1519" s="1" t="s">
        <v>5234</v>
      </c>
      <c r="D1519" s="1" t="s">
        <v>27</v>
      </c>
      <c r="E1519" s="2">
        <v>45973</v>
      </c>
      <c r="F1519" s="1" t="s">
        <v>28</v>
      </c>
      <c r="G1519" s="1" t="s">
        <v>29</v>
      </c>
      <c r="H1519" s="1" t="s">
        <v>352</v>
      </c>
      <c r="I1519" s="1">
        <v>1</v>
      </c>
      <c r="J1519" s="3">
        <v>27033</v>
      </c>
      <c r="K1519" s="3">
        <v>25795</v>
      </c>
      <c r="L1519" s="1">
        <v>0</v>
      </c>
      <c r="M1519" s="4">
        <v>0</v>
      </c>
      <c r="N1519" s="3">
        <v>1238</v>
      </c>
      <c r="O1519" s="4">
        <v>4.5999999999999999E-2</v>
      </c>
      <c r="P1519" s="1" t="s">
        <v>2721</v>
      </c>
    </row>
    <row r="1520" spans="1:16">
      <c r="A1520" s="1" t="s">
        <v>15</v>
      </c>
      <c r="B1520" s="1">
        <v>11</v>
      </c>
      <c r="C1520" s="1" t="s">
        <v>5235</v>
      </c>
      <c r="D1520" s="1" t="s">
        <v>169</v>
      </c>
      <c r="E1520" s="2">
        <v>45973</v>
      </c>
      <c r="F1520" s="1" t="s">
        <v>53</v>
      </c>
      <c r="G1520" s="1" t="s">
        <v>170</v>
      </c>
      <c r="H1520" s="1" t="s">
        <v>171</v>
      </c>
      <c r="I1520" s="1">
        <v>1</v>
      </c>
      <c r="J1520" s="3">
        <v>14332</v>
      </c>
      <c r="K1520" s="3">
        <v>13676</v>
      </c>
      <c r="L1520" s="1">
        <v>0</v>
      </c>
      <c r="M1520" s="4">
        <v>0</v>
      </c>
      <c r="N1520" s="1">
        <v>656</v>
      </c>
      <c r="O1520" s="4">
        <v>4.5999999999999999E-2</v>
      </c>
      <c r="P1520" s="1" t="s">
        <v>2721</v>
      </c>
    </row>
    <row r="1521" spans="1:16">
      <c r="A1521" s="1" t="s">
        <v>15</v>
      </c>
      <c r="B1521" s="1">
        <v>11</v>
      </c>
      <c r="C1521" s="1" t="s">
        <v>5236</v>
      </c>
      <c r="D1521" s="1" t="s">
        <v>1359</v>
      </c>
      <c r="E1521" s="2">
        <v>45973</v>
      </c>
      <c r="F1521" s="1" t="s">
        <v>63</v>
      </c>
      <c r="G1521" s="1" t="s">
        <v>1360</v>
      </c>
      <c r="H1521" s="1" t="s">
        <v>1361</v>
      </c>
      <c r="I1521" s="1">
        <v>1</v>
      </c>
      <c r="J1521" s="3">
        <v>30765</v>
      </c>
      <c r="K1521" s="3">
        <v>29357</v>
      </c>
      <c r="L1521" s="1">
        <v>0</v>
      </c>
      <c r="M1521" s="4">
        <v>0</v>
      </c>
      <c r="N1521" s="3">
        <v>1408</v>
      </c>
      <c r="O1521" s="4">
        <v>4.5999999999999999E-2</v>
      </c>
      <c r="P1521" s="1" t="s">
        <v>2721</v>
      </c>
    </row>
    <row r="1522" spans="1:16">
      <c r="A1522" s="1" t="s">
        <v>15</v>
      </c>
      <c r="B1522" s="1">
        <v>11</v>
      </c>
      <c r="C1522" s="1" t="s">
        <v>5237</v>
      </c>
      <c r="D1522" s="1" t="s">
        <v>5238</v>
      </c>
      <c r="E1522" s="2">
        <v>45973</v>
      </c>
      <c r="F1522" s="1" t="s">
        <v>1075</v>
      </c>
      <c r="G1522" s="1" t="s">
        <v>5239</v>
      </c>
      <c r="H1522" s="1" t="s">
        <v>5240</v>
      </c>
      <c r="I1522" s="1">
        <v>1</v>
      </c>
      <c r="J1522" s="3">
        <v>15237</v>
      </c>
      <c r="K1522" s="3">
        <v>14539</v>
      </c>
      <c r="L1522" s="1">
        <v>0</v>
      </c>
      <c r="M1522" s="4">
        <v>0</v>
      </c>
      <c r="N1522" s="1">
        <v>698</v>
      </c>
      <c r="O1522" s="4">
        <v>4.5999999999999999E-2</v>
      </c>
      <c r="P1522" s="1" t="s">
        <v>2721</v>
      </c>
    </row>
    <row r="1523" spans="1:16">
      <c r="A1523" s="1" t="s">
        <v>15</v>
      </c>
      <c r="B1523" s="1">
        <v>11</v>
      </c>
      <c r="C1523" s="1" t="s">
        <v>5241</v>
      </c>
      <c r="D1523" s="1" t="s">
        <v>4868</v>
      </c>
      <c r="E1523" s="2">
        <v>45973</v>
      </c>
      <c r="F1523" s="1" t="s">
        <v>18</v>
      </c>
      <c r="G1523" s="1" t="s">
        <v>4293</v>
      </c>
      <c r="H1523" s="1" t="s">
        <v>4294</v>
      </c>
      <c r="I1523" s="1">
        <v>1</v>
      </c>
      <c r="J1523" s="3">
        <v>5898</v>
      </c>
      <c r="K1523" s="3">
        <v>5628</v>
      </c>
      <c r="L1523" s="1">
        <v>0</v>
      </c>
      <c r="M1523" s="4">
        <v>0</v>
      </c>
      <c r="N1523" s="1">
        <v>270</v>
      </c>
      <c r="O1523" s="4">
        <v>4.5999999999999999E-2</v>
      </c>
      <c r="P1523" s="1" t="s">
        <v>2721</v>
      </c>
    </row>
    <row r="1524" spans="1:16">
      <c r="A1524" s="1" t="s">
        <v>15</v>
      </c>
      <c r="B1524" s="1">
        <v>11</v>
      </c>
      <c r="C1524" s="1" t="s">
        <v>5241</v>
      </c>
      <c r="D1524" s="1" t="s">
        <v>5242</v>
      </c>
      <c r="E1524" s="2">
        <v>45973</v>
      </c>
      <c r="F1524" s="1" t="s">
        <v>18</v>
      </c>
      <c r="G1524" s="1" t="s">
        <v>5243</v>
      </c>
      <c r="H1524" s="1" t="s">
        <v>5243</v>
      </c>
      <c r="I1524" s="1">
        <v>1</v>
      </c>
      <c r="J1524" s="3">
        <v>13959</v>
      </c>
      <c r="K1524" s="3">
        <v>13320</v>
      </c>
      <c r="L1524" s="1">
        <v>0</v>
      </c>
      <c r="M1524" s="4">
        <v>0</v>
      </c>
      <c r="N1524" s="1">
        <v>639</v>
      </c>
      <c r="O1524" s="4">
        <v>4.5999999999999999E-2</v>
      </c>
      <c r="P1524" s="1" t="s">
        <v>2721</v>
      </c>
    </row>
    <row r="1525" spans="1:16">
      <c r="A1525" s="1" t="s">
        <v>15</v>
      </c>
      <c r="B1525" s="1">
        <v>11</v>
      </c>
      <c r="C1525" s="1" t="s">
        <v>5244</v>
      </c>
      <c r="D1525" s="1" t="s">
        <v>4242</v>
      </c>
      <c r="E1525" s="2">
        <v>45973</v>
      </c>
      <c r="F1525" s="1" t="s">
        <v>846</v>
      </c>
      <c r="G1525" s="1" t="s">
        <v>4243</v>
      </c>
      <c r="H1525" s="1" t="s">
        <v>5245</v>
      </c>
      <c r="I1525" s="1">
        <v>1</v>
      </c>
      <c r="J1525" s="3">
        <v>99283</v>
      </c>
      <c r="K1525" s="3">
        <v>94738</v>
      </c>
      <c r="L1525" s="1">
        <v>0</v>
      </c>
      <c r="M1525" s="4">
        <v>0</v>
      </c>
      <c r="N1525" s="3">
        <v>4545</v>
      </c>
      <c r="O1525" s="4">
        <v>4.5999999999999999E-2</v>
      </c>
      <c r="P1525" s="1" t="s">
        <v>2721</v>
      </c>
    </row>
    <row r="1526" spans="1:16">
      <c r="A1526" s="1" t="s">
        <v>15</v>
      </c>
      <c r="B1526" s="1">
        <v>11</v>
      </c>
      <c r="C1526" s="1" t="s">
        <v>5246</v>
      </c>
      <c r="D1526" s="1" t="s">
        <v>874</v>
      </c>
      <c r="E1526" s="2">
        <v>45973</v>
      </c>
      <c r="F1526" s="1" t="s">
        <v>96</v>
      </c>
      <c r="G1526" s="1" t="s">
        <v>875</v>
      </c>
      <c r="H1526" s="1" t="s">
        <v>876</v>
      </c>
      <c r="I1526" s="1">
        <v>1</v>
      </c>
      <c r="J1526" s="3">
        <v>17092</v>
      </c>
      <c r="K1526" s="3">
        <v>16310</v>
      </c>
      <c r="L1526" s="1">
        <v>0</v>
      </c>
      <c r="M1526" s="4">
        <v>0</v>
      </c>
      <c r="N1526" s="1">
        <v>782</v>
      </c>
      <c r="O1526" s="4">
        <v>4.5999999999999999E-2</v>
      </c>
      <c r="P1526" s="1" t="s">
        <v>2721</v>
      </c>
    </row>
    <row r="1527" spans="1:16">
      <c r="A1527" s="1" t="s">
        <v>15</v>
      </c>
      <c r="B1527" s="1">
        <v>11</v>
      </c>
      <c r="C1527" s="1" t="s">
        <v>5246</v>
      </c>
      <c r="D1527" s="1" t="s">
        <v>104</v>
      </c>
      <c r="E1527" s="2">
        <v>45973</v>
      </c>
      <c r="F1527" s="1" t="s">
        <v>96</v>
      </c>
      <c r="G1527" s="1" t="s">
        <v>105</v>
      </c>
      <c r="H1527" s="1" t="s">
        <v>106</v>
      </c>
      <c r="I1527" s="1">
        <v>1</v>
      </c>
      <c r="J1527" s="3">
        <v>21614</v>
      </c>
      <c r="K1527" s="3">
        <v>20625</v>
      </c>
      <c r="L1527" s="1">
        <v>0</v>
      </c>
      <c r="M1527" s="4">
        <v>0</v>
      </c>
      <c r="N1527" s="1">
        <v>989</v>
      </c>
      <c r="O1527" s="4">
        <v>4.5999999999999999E-2</v>
      </c>
      <c r="P1527" s="1" t="s">
        <v>2721</v>
      </c>
    </row>
    <row r="1528" spans="1:16">
      <c r="A1528" s="1" t="s">
        <v>15</v>
      </c>
      <c r="B1528" s="1">
        <v>11</v>
      </c>
      <c r="C1528" s="1" t="s">
        <v>5247</v>
      </c>
      <c r="D1528" s="1" t="s">
        <v>2310</v>
      </c>
      <c r="E1528" s="2">
        <v>45973</v>
      </c>
      <c r="F1528" s="1" t="s">
        <v>488</v>
      </c>
      <c r="G1528" s="1" t="s">
        <v>1726</v>
      </c>
      <c r="H1528" s="1" t="s">
        <v>1727</v>
      </c>
      <c r="I1528" s="1">
        <v>1</v>
      </c>
      <c r="J1528" s="3">
        <v>16711</v>
      </c>
      <c r="K1528" s="3">
        <v>15946</v>
      </c>
      <c r="L1528" s="1">
        <v>0</v>
      </c>
      <c r="M1528" s="4">
        <v>0</v>
      </c>
      <c r="N1528" s="1">
        <v>765</v>
      </c>
      <c r="O1528" s="4">
        <v>4.5999999999999999E-2</v>
      </c>
      <c r="P1528" s="1" t="s">
        <v>2721</v>
      </c>
    </row>
    <row r="1529" spans="1:16">
      <c r="A1529" s="1" t="s">
        <v>577</v>
      </c>
      <c r="B1529" s="1">
        <v>11</v>
      </c>
      <c r="C1529" s="1" t="s">
        <v>5248</v>
      </c>
      <c r="D1529" s="1" t="s">
        <v>2616</v>
      </c>
      <c r="E1529" s="2">
        <v>45973</v>
      </c>
      <c r="F1529" s="1" t="s">
        <v>407</v>
      </c>
      <c r="G1529" s="1" t="s">
        <v>961</v>
      </c>
      <c r="H1529" s="1" t="s">
        <v>2830</v>
      </c>
      <c r="I1529" s="1">
        <v>1</v>
      </c>
      <c r="J1529" s="3">
        <v>16711</v>
      </c>
      <c r="K1529" s="3">
        <v>15946</v>
      </c>
      <c r="L1529" s="1">
        <v>0</v>
      </c>
      <c r="M1529" s="4">
        <v>0</v>
      </c>
      <c r="N1529" s="1">
        <v>765</v>
      </c>
      <c r="O1529" s="4">
        <v>4.5999999999999999E-2</v>
      </c>
      <c r="P1529" s="1" t="s">
        <v>2721</v>
      </c>
    </row>
    <row r="1530" spans="1:16">
      <c r="A1530" s="1" t="s">
        <v>577</v>
      </c>
      <c r="B1530" s="1">
        <v>11</v>
      </c>
      <c r="C1530" s="1" t="s">
        <v>5249</v>
      </c>
      <c r="D1530" s="1" t="s">
        <v>3145</v>
      </c>
      <c r="E1530" s="2">
        <v>45973</v>
      </c>
      <c r="F1530" s="1" t="s">
        <v>846</v>
      </c>
      <c r="G1530" s="1" t="s">
        <v>847</v>
      </c>
      <c r="H1530" s="1" t="s">
        <v>848</v>
      </c>
      <c r="I1530" s="1">
        <v>1</v>
      </c>
      <c r="J1530" s="3">
        <v>112554</v>
      </c>
      <c r="K1530" s="3">
        <v>107401</v>
      </c>
      <c r="L1530" s="1">
        <v>0</v>
      </c>
      <c r="M1530" s="4">
        <v>0</v>
      </c>
      <c r="N1530" s="3">
        <v>5153</v>
      </c>
      <c r="O1530" s="4">
        <v>4.5999999999999999E-2</v>
      </c>
      <c r="P1530" s="1" t="s">
        <v>2721</v>
      </c>
    </row>
    <row r="1531" spans="1:16">
      <c r="A1531" s="1" t="s">
        <v>577</v>
      </c>
      <c r="B1531" s="1">
        <v>11</v>
      </c>
      <c r="C1531" s="1" t="s">
        <v>5250</v>
      </c>
      <c r="D1531" s="1" t="s">
        <v>1812</v>
      </c>
      <c r="E1531" s="2">
        <v>45973</v>
      </c>
      <c r="F1531" s="1" t="s">
        <v>256</v>
      </c>
      <c r="G1531" s="1" t="s">
        <v>1376</v>
      </c>
      <c r="H1531" s="1" t="s">
        <v>1377</v>
      </c>
      <c r="I1531" s="1">
        <v>1</v>
      </c>
      <c r="J1531" s="3">
        <v>8208</v>
      </c>
      <c r="K1531" s="3">
        <v>7832</v>
      </c>
      <c r="L1531" s="1">
        <v>0</v>
      </c>
      <c r="M1531" s="4">
        <v>0</v>
      </c>
      <c r="N1531" s="1">
        <v>376</v>
      </c>
      <c r="O1531" s="4">
        <v>4.5999999999999999E-2</v>
      </c>
      <c r="P1531" s="1" t="s">
        <v>2721</v>
      </c>
    </row>
    <row r="1532" spans="1:16">
      <c r="A1532" s="1" t="s">
        <v>577</v>
      </c>
      <c r="B1532" s="1">
        <v>11</v>
      </c>
      <c r="C1532" s="1" t="s">
        <v>5251</v>
      </c>
      <c r="D1532" s="1" t="s">
        <v>1700</v>
      </c>
      <c r="E1532" s="2">
        <v>45973</v>
      </c>
      <c r="F1532" s="1" t="s">
        <v>395</v>
      </c>
      <c r="G1532" s="1" t="s">
        <v>2803</v>
      </c>
      <c r="H1532" s="1" t="s">
        <v>2804</v>
      </c>
      <c r="I1532" s="1">
        <v>1</v>
      </c>
      <c r="J1532" s="3">
        <v>18874</v>
      </c>
      <c r="K1532" s="3">
        <v>18010</v>
      </c>
      <c r="L1532" s="1">
        <v>0</v>
      </c>
      <c r="M1532" s="4">
        <v>0</v>
      </c>
      <c r="N1532" s="1">
        <v>864</v>
      </c>
      <c r="O1532" s="4">
        <v>4.5999999999999999E-2</v>
      </c>
      <c r="P1532" s="1" t="s">
        <v>2721</v>
      </c>
    </row>
    <row r="1533" spans="1:16">
      <c r="A1533" s="1" t="s">
        <v>577</v>
      </c>
      <c r="B1533" s="1">
        <v>11</v>
      </c>
      <c r="C1533" s="1" t="s">
        <v>5252</v>
      </c>
      <c r="D1533" s="1" t="s">
        <v>5253</v>
      </c>
      <c r="E1533" s="2">
        <v>45973</v>
      </c>
      <c r="F1533" s="1" t="s">
        <v>524</v>
      </c>
      <c r="G1533" s="1" t="s">
        <v>1185</v>
      </c>
      <c r="H1533" s="1" t="s">
        <v>5254</v>
      </c>
      <c r="I1533" s="1">
        <v>1</v>
      </c>
      <c r="J1533" s="3">
        <v>18654</v>
      </c>
      <c r="K1533" s="3">
        <v>17800</v>
      </c>
      <c r="L1533" s="1">
        <v>0</v>
      </c>
      <c r="M1533" s="4">
        <v>0</v>
      </c>
      <c r="N1533" s="1">
        <v>854</v>
      </c>
      <c r="O1533" s="4">
        <v>4.5999999999999999E-2</v>
      </c>
      <c r="P1533" s="1" t="s">
        <v>2721</v>
      </c>
    </row>
    <row r="1534" spans="1:16">
      <c r="A1534" s="1" t="s">
        <v>577</v>
      </c>
      <c r="B1534" s="1">
        <v>11</v>
      </c>
      <c r="C1534" s="1" t="s">
        <v>5255</v>
      </c>
      <c r="D1534" s="1" t="s">
        <v>5256</v>
      </c>
      <c r="E1534" s="2">
        <v>45973</v>
      </c>
      <c r="F1534" s="1" t="s">
        <v>96</v>
      </c>
      <c r="G1534" s="1" t="s">
        <v>5257</v>
      </c>
      <c r="H1534" s="1" t="s">
        <v>5258</v>
      </c>
      <c r="I1534" s="1">
        <v>1</v>
      </c>
      <c r="J1534" s="3">
        <v>10310</v>
      </c>
      <c r="K1534" s="3">
        <v>9838</v>
      </c>
      <c r="L1534" s="1">
        <v>0</v>
      </c>
      <c r="M1534" s="4">
        <v>0</v>
      </c>
      <c r="N1534" s="1">
        <v>472</v>
      </c>
      <c r="O1534" s="4">
        <v>4.5999999999999999E-2</v>
      </c>
      <c r="P1534" s="1" t="s">
        <v>2721</v>
      </c>
    </row>
    <row r="1535" spans="1:16">
      <c r="A1535" s="1" t="s">
        <v>577</v>
      </c>
      <c r="B1535" s="1">
        <v>11</v>
      </c>
      <c r="C1535" s="1" t="s">
        <v>5259</v>
      </c>
      <c r="D1535" s="1" t="s">
        <v>5260</v>
      </c>
      <c r="E1535" s="2">
        <v>45973</v>
      </c>
      <c r="F1535" s="1" t="s">
        <v>5261</v>
      </c>
      <c r="G1535" s="1" t="s">
        <v>5262</v>
      </c>
      <c r="H1535" s="1" t="s">
        <v>5263</v>
      </c>
      <c r="I1535" s="1">
        <v>1</v>
      </c>
      <c r="J1535" s="3">
        <v>28999</v>
      </c>
      <c r="K1535" s="3">
        <v>27671</v>
      </c>
      <c r="L1535" s="1">
        <v>0</v>
      </c>
      <c r="M1535" s="4">
        <v>0</v>
      </c>
      <c r="N1535" s="3">
        <v>1328</v>
      </c>
      <c r="O1535" s="4">
        <v>4.5999999999999999E-2</v>
      </c>
      <c r="P1535" s="1" t="s">
        <v>2721</v>
      </c>
    </row>
    <row r="1536" spans="1:16">
      <c r="A1536" s="1" t="s">
        <v>577</v>
      </c>
      <c r="B1536" s="1">
        <v>11</v>
      </c>
      <c r="C1536" s="1" t="s">
        <v>5259</v>
      </c>
      <c r="D1536" s="1" t="s">
        <v>5260</v>
      </c>
      <c r="E1536" s="2">
        <v>45973</v>
      </c>
      <c r="F1536" s="1" t="s">
        <v>5261</v>
      </c>
      <c r="G1536" s="1" t="s">
        <v>5262</v>
      </c>
      <c r="H1536" s="1" t="s">
        <v>5264</v>
      </c>
      <c r="I1536" s="1">
        <v>1</v>
      </c>
      <c r="J1536" s="3">
        <v>47676</v>
      </c>
      <c r="K1536" s="3">
        <v>45493</v>
      </c>
      <c r="L1536" s="1">
        <v>0</v>
      </c>
      <c r="M1536" s="4">
        <v>0</v>
      </c>
      <c r="N1536" s="3">
        <v>2183</v>
      </c>
      <c r="O1536" s="4">
        <v>4.5999999999999999E-2</v>
      </c>
      <c r="P1536" s="1" t="s">
        <v>2721</v>
      </c>
    </row>
    <row r="1537" spans="1:16">
      <c r="A1537" s="1" t="s">
        <v>577</v>
      </c>
      <c r="B1537" s="1">
        <v>11</v>
      </c>
      <c r="C1537" s="1" t="s">
        <v>5265</v>
      </c>
      <c r="D1537" s="1" t="s">
        <v>5266</v>
      </c>
      <c r="E1537" s="2">
        <v>45973</v>
      </c>
      <c r="F1537" s="1" t="s">
        <v>725</v>
      </c>
      <c r="G1537" s="1" t="s">
        <v>5267</v>
      </c>
      <c r="H1537" s="1" t="s">
        <v>5268</v>
      </c>
      <c r="I1537" s="1">
        <v>1</v>
      </c>
      <c r="J1537" s="3">
        <v>162195</v>
      </c>
      <c r="K1537" s="3">
        <v>154770</v>
      </c>
      <c r="L1537" s="1">
        <v>0</v>
      </c>
      <c r="M1537" s="4">
        <v>0</v>
      </c>
      <c r="N1537" s="3">
        <v>7425</v>
      </c>
      <c r="O1537" s="4">
        <v>4.5999999999999999E-2</v>
      </c>
      <c r="P1537" s="1" t="s">
        <v>2721</v>
      </c>
    </row>
    <row r="1538" spans="1:16">
      <c r="A1538" s="1" t="s">
        <v>577</v>
      </c>
      <c r="B1538" s="1">
        <v>11</v>
      </c>
      <c r="C1538" s="1" t="s">
        <v>5269</v>
      </c>
      <c r="D1538" s="1" t="s">
        <v>5260</v>
      </c>
      <c r="E1538" s="2">
        <v>45973</v>
      </c>
      <c r="F1538" s="1" t="s">
        <v>5261</v>
      </c>
      <c r="G1538" s="1" t="s">
        <v>5262</v>
      </c>
      <c r="H1538" s="1" t="s">
        <v>5270</v>
      </c>
      <c r="I1538" s="1">
        <v>1</v>
      </c>
      <c r="J1538" s="3">
        <v>47676</v>
      </c>
      <c r="K1538" s="3">
        <v>45493</v>
      </c>
      <c r="L1538" s="1">
        <v>0</v>
      </c>
      <c r="M1538" s="4">
        <v>0</v>
      </c>
      <c r="N1538" s="3">
        <v>2183</v>
      </c>
      <c r="O1538" s="4">
        <v>4.5999999999999999E-2</v>
      </c>
      <c r="P1538" s="1" t="s">
        <v>2721</v>
      </c>
    </row>
    <row r="1539" spans="1:16">
      <c r="A1539" s="1" t="s">
        <v>577</v>
      </c>
      <c r="B1539" s="1">
        <v>11</v>
      </c>
      <c r="C1539" s="1" t="s">
        <v>5271</v>
      </c>
      <c r="D1539" s="1" t="s">
        <v>1784</v>
      </c>
      <c r="E1539" s="2">
        <v>45973</v>
      </c>
      <c r="F1539" s="1" t="s">
        <v>256</v>
      </c>
      <c r="G1539" s="1" t="s">
        <v>778</v>
      </c>
      <c r="H1539" s="1" t="s">
        <v>1571</v>
      </c>
      <c r="I1539" s="1">
        <v>1</v>
      </c>
      <c r="J1539" s="3">
        <v>19857</v>
      </c>
      <c r="K1539" s="3">
        <v>18948</v>
      </c>
      <c r="L1539" s="1">
        <v>0</v>
      </c>
      <c r="M1539" s="4">
        <v>0</v>
      </c>
      <c r="N1539" s="1">
        <v>909</v>
      </c>
      <c r="O1539" s="4">
        <v>4.5999999999999999E-2</v>
      </c>
      <c r="P1539" s="1" t="s">
        <v>2721</v>
      </c>
    </row>
    <row r="1540" spans="1:16">
      <c r="A1540" s="1" t="s">
        <v>577</v>
      </c>
      <c r="B1540" s="1">
        <v>11</v>
      </c>
      <c r="C1540" s="1" t="s">
        <v>5272</v>
      </c>
      <c r="D1540" s="1" t="s">
        <v>5273</v>
      </c>
      <c r="E1540" s="2">
        <v>45973</v>
      </c>
      <c r="F1540" s="1" t="s">
        <v>297</v>
      </c>
      <c r="G1540" s="1" t="s">
        <v>3995</v>
      </c>
      <c r="H1540" s="1" t="s">
        <v>3996</v>
      </c>
      <c r="I1540" s="1">
        <v>1</v>
      </c>
      <c r="J1540" s="3">
        <v>189719</v>
      </c>
      <c r="K1540" s="3">
        <v>181034</v>
      </c>
      <c r="L1540" s="1">
        <v>0</v>
      </c>
      <c r="M1540" s="4">
        <v>0</v>
      </c>
      <c r="N1540" s="3">
        <v>8685</v>
      </c>
      <c r="O1540" s="4">
        <v>4.5999999999999999E-2</v>
      </c>
      <c r="P1540" s="1" t="s">
        <v>2721</v>
      </c>
    </row>
    <row r="1541" spans="1:16">
      <c r="A1541" s="1" t="s">
        <v>577</v>
      </c>
      <c r="B1541" s="1">
        <v>11</v>
      </c>
      <c r="C1541" s="1" t="s">
        <v>5274</v>
      </c>
      <c r="D1541" s="1" t="s">
        <v>1839</v>
      </c>
      <c r="E1541" s="2">
        <v>45973</v>
      </c>
      <c r="F1541" s="1" t="s">
        <v>256</v>
      </c>
      <c r="G1541" s="1" t="s">
        <v>1303</v>
      </c>
      <c r="H1541" s="1" t="s">
        <v>5275</v>
      </c>
      <c r="I1541" s="1">
        <v>1</v>
      </c>
      <c r="J1541" s="3">
        <v>8159</v>
      </c>
      <c r="K1541" s="3">
        <v>7785</v>
      </c>
      <c r="L1541" s="1">
        <v>0</v>
      </c>
      <c r="M1541" s="4">
        <v>0</v>
      </c>
      <c r="N1541" s="1">
        <v>374</v>
      </c>
      <c r="O1541" s="4">
        <v>4.5999999999999999E-2</v>
      </c>
      <c r="P1541" s="1" t="s">
        <v>2721</v>
      </c>
    </row>
    <row r="1542" spans="1:16">
      <c r="A1542" s="1" t="s">
        <v>577</v>
      </c>
      <c r="B1542" s="1">
        <v>11</v>
      </c>
      <c r="C1542" s="1" t="s">
        <v>5276</v>
      </c>
      <c r="D1542" s="1" t="s">
        <v>5277</v>
      </c>
      <c r="E1542" s="2">
        <v>45973</v>
      </c>
      <c r="F1542" s="1" t="s">
        <v>347</v>
      </c>
      <c r="G1542" s="1" t="s">
        <v>5093</v>
      </c>
      <c r="H1542" s="1" t="s">
        <v>5278</v>
      </c>
      <c r="I1542" s="1">
        <v>1</v>
      </c>
      <c r="J1542" s="3">
        <v>22118</v>
      </c>
      <c r="K1542" s="3">
        <v>21105</v>
      </c>
      <c r="L1542" s="1">
        <v>0</v>
      </c>
      <c r="M1542" s="4">
        <v>0</v>
      </c>
      <c r="N1542" s="3">
        <v>1013</v>
      </c>
      <c r="O1542" s="4">
        <v>4.5999999999999999E-2</v>
      </c>
      <c r="P1542" s="1" t="s">
        <v>2721</v>
      </c>
    </row>
    <row r="1543" spans="1:16">
      <c r="A1543" s="1" t="s">
        <v>577</v>
      </c>
      <c r="B1543" s="1">
        <v>11</v>
      </c>
      <c r="C1543" s="1" t="s">
        <v>5279</v>
      </c>
      <c r="D1543" s="1" t="s">
        <v>5280</v>
      </c>
      <c r="E1543" s="2">
        <v>45973</v>
      </c>
      <c r="F1543" s="1" t="s">
        <v>524</v>
      </c>
      <c r="G1543" s="1" t="s">
        <v>1182</v>
      </c>
      <c r="H1543" s="1" t="s">
        <v>1183</v>
      </c>
      <c r="I1543" s="1">
        <v>1</v>
      </c>
      <c r="J1543" s="3">
        <v>20121</v>
      </c>
      <c r="K1543" s="3">
        <v>19200</v>
      </c>
      <c r="L1543" s="1">
        <v>0</v>
      </c>
      <c r="M1543" s="4">
        <v>0</v>
      </c>
      <c r="N1543" s="1">
        <v>921</v>
      </c>
      <c r="O1543" s="4">
        <v>4.5999999999999999E-2</v>
      </c>
      <c r="P1543" s="1" t="s">
        <v>2721</v>
      </c>
    </row>
    <row r="1544" spans="1:16">
      <c r="A1544" s="1" t="s">
        <v>602</v>
      </c>
      <c r="B1544" s="1">
        <v>11</v>
      </c>
      <c r="C1544" s="1">
        <v>3100152596836</v>
      </c>
      <c r="D1544" s="1" t="s">
        <v>2629</v>
      </c>
      <c r="E1544" s="2">
        <v>45973</v>
      </c>
      <c r="F1544" s="1" t="s">
        <v>604</v>
      </c>
      <c r="G1544" s="1" t="s">
        <v>2630</v>
      </c>
      <c r="H1544" s="1" t="s">
        <v>5281</v>
      </c>
      <c r="I1544" s="1">
        <v>3</v>
      </c>
      <c r="J1544" s="3">
        <v>42800</v>
      </c>
      <c r="K1544" s="3">
        <v>32200</v>
      </c>
      <c r="L1544" s="3">
        <v>4965</v>
      </c>
      <c r="M1544" s="4">
        <v>0.11600000000000001</v>
      </c>
      <c r="N1544" s="3">
        <v>5635</v>
      </c>
      <c r="O1544" s="4">
        <v>0.13200000000000001</v>
      </c>
      <c r="P1544" s="1" t="s">
        <v>2721</v>
      </c>
    </row>
    <row r="1545" spans="1:16">
      <c r="A1545" s="1" t="s">
        <v>602</v>
      </c>
      <c r="B1545" s="1">
        <v>11</v>
      </c>
      <c r="C1545" s="1">
        <v>11100152251189</v>
      </c>
      <c r="D1545" s="1" t="s">
        <v>2629</v>
      </c>
      <c r="E1545" s="2">
        <v>45973</v>
      </c>
      <c r="F1545" s="1" t="s">
        <v>604</v>
      </c>
      <c r="G1545" s="1" t="s">
        <v>2630</v>
      </c>
      <c r="H1545" s="1" t="s">
        <v>5281</v>
      </c>
      <c r="I1545" s="1">
        <v>6</v>
      </c>
      <c r="J1545" s="3">
        <v>85600</v>
      </c>
      <c r="K1545" s="3">
        <v>61900</v>
      </c>
      <c r="L1545" s="3">
        <v>9930</v>
      </c>
      <c r="M1545" s="4">
        <v>0.11600000000000001</v>
      </c>
      <c r="N1545" s="3">
        <v>13770</v>
      </c>
      <c r="O1545" s="4">
        <v>0.161</v>
      </c>
      <c r="P1545" s="1" t="s">
        <v>2721</v>
      </c>
    </row>
    <row r="1546" spans="1:16">
      <c r="A1546" s="1" t="s">
        <v>626</v>
      </c>
      <c r="B1546" s="1">
        <v>11</v>
      </c>
      <c r="C1546" s="1">
        <v>69091430</v>
      </c>
      <c r="D1546" s="1" t="s">
        <v>627</v>
      </c>
      <c r="E1546" s="2">
        <v>45973</v>
      </c>
      <c r="F1546" s="1" t="s">
        <v>604</v>
      </c>
      <c r="G1546" s="1" t="s">
        <v>628</v>
      </c>
      <c r="H1546" s="1" t="s">
        <v>5282</v>
      </c>
      <c r="I1546" s="1">
        <v>3</v>
      </c>
      <c r="J1546" s="3">
        <v>17700</v>
      </c>
      <c r="K1546" s="3">
        <v>5400</v>
      </c>
      <c r="L1546" s="3">
        <v>1947</v>
      </c>
      <c r="M1546" s="4">
        <v>0.11</v>
      </c>
      <c r="N1546" s="3">
        <v>10353</v>
      </c>
      <c r="O1546" s="4">
        <v>0.58499999999999996</v>
      </c>
      <c r="P1546" s="1" t="s">
        <v>2721</v>
      </c>
    </row>
    <row r="1547" spans="1:16">
      <c r="A1547" s="1" t="s">
        <v>626</v>
      </c>
      <c r="B1547" s="1">
        <v>11</v>
      </c>
      <c r="C1547" s="1">
        <v>69089808</v>
      </c>
      <c r="D1547" s="1" t="s">
        <v>627</v>
      </c>
      <c r="E1547" s="2">
        <v>45973</v>
      </c>
      <c r="F1547" s="1" t="s">
        <v>604</v>
      </c>
      <c r="G1547" s="1" t="s">
        <v>628</v>
      </c>
      <c r="H1547" s="1" t="s">
        <v>629</v>
      </c>
      <c r="I1547" s="1">
        <v>1</v>
      </c>
      <c r="J1547" s="3">
        <v>8000</v>
      </c>
      <c r="K1547" s="3">
        <v>1800</v>
      </c>
      <c r="L1547" s="1">
        <v>880</v>
      </c>
      <c r="M1547" s="4">
        <v>0.11</v>
      </c>
      <c r="N1547" s="3">
        <v>5320</v>
      </c>
      <c r="O1547" s="4">
        <v>0.66500000000000004</v>
      </c>
      <c r="P1547" s="1" t="s">
        <v>2721</v>
      </c>
    </row>
    <row r="1548" spans="1:16">
      <c r="A1548" s="1" t="s">
        <v>626</v>
      </c>
      <c r="B1548" s="1">
        <v>11</v>
      </c>
      <c r="C1548" s="1">
        <v>69088213</v>
      </c>
      <c r="D1548" s="1" t="s">
        <v>627</v>
      </c>
      <c r="E1548" s="2">
        <v>45973</v>
      </c>
      <c r="F1548" s="1" t="s">
        <v>604</v>
      </c>
      <c r="G1548" s="1" t="s">
        <v>628</v>
      </c>
      <c r="H1548" s="1" t="s">
        <v>2271</v>
      </c>
      <c r="I1548" s="1">
        <v>2</v>
      </c>
      <c r="J1548" s="3">
        <v>12800</v>
      </c>
      <c r="K1548" s="3">
        <v>3600</v>
      </c>
      <c r="L1548" s="3">
        <v>1408</v>
      </c>
      <c r="M1548" s="4">
        <v>0.11</v>
      </c>
      <c r="N1548" s="3">
        <v>7792</v>
      </c>
      <c r="O1548" s="4">
        <v>0.60899999999999999</v>
      </c>
      <c r="P1548" s="1" t="s">
        <v>2721</v>
      </c>
    </row>
    <row r="1549" spans="1:16">
      <c r="A1549" s="1" t="s">
        <v>630</v>
      </c>
      <c r="B1549" s="1">
        <v>11</v>
      </c>
      <c r="C1549" s="1">
        <v>1117144683915910</v>
      </c>
      <c r="D1549" s="1" t="s">
        <v>627</v>
      </c>
      <c r="E1549" s="2">
        <v>45973</v>
      </c>
      <c r="F1549" s="1" t="s">
        <v>604</v>
      </c>
      <c r="G1549" s="1" t="s">
        <v>628</v>
      </c>
      <c r="H1549" s="1" t="s">
        <v>1848</v>
      </c>
      <c r="I1549" s="1">
        <v>1</v>
      </c>
      <c r="J1549" s="3">
        <v>6750</v>
      </c>
      <c r="K1549" s="3">
        <v>4300</v>
      </c>
      <c r="L1549" s="1">
        <v>446</v>
      </c>
      <c r="M1549" s="4">
        <v>6.6000000000000003E-2</v>
      </c>
      <c r="N1549" s="3">
        <v>2005</v>
      </c>
      <c r="O1549" s="4">
        <v>0.29699999999999999</v>
      </c>
      <c r="P1549" s="1" t="s">
        <v>2721</v>
      </c>
    </row>
    <row r="1550" spans="1:16">
      <c r="A1550" s="1" t="s">
        <v>630</v>
      </c>
      <c r="B1550" s="1">
        <v>11</v>
      </c>
      <c r="C1550" s="1">
        <v>1117127335386600</v>
      </c>
      <c r="D1550" s="1" t="s">
        <v>627</v>
      </c>
      <c r="E1550" s="2">
        <v>45973</v>
      </c>
      <c r="F1550" s="1" t="s">
        <v>604</v>
      </c>
      <c r="G1550" s="1" t="s">
        <v>628</v>
      </c>
      <c r="H1550" s="1" t="s">
        <v>1848</v>
      </c>
      <c r="I1550" s="1">
        <v>1</v>
      </c>
      <c r="J1550" s="3">
        <v>6750</v>
      </c>
      <c r="K1550" s="3">
        <v>4300</v>
      </c>
      <c r="L1550" s="1">
        <v>446</v>
      </c>
      <c r="M1550" s="4">
        <v>6.6000000000000003E-2</v>
      </c>
      <c r="N1550" s="3">
        <v>2005</v>
      </c>
      <c r="O1550" s="4">
        <v>0.29699999999999999</v>
      </c>
      <c r="P1550" s="1" t="s">
        <v>2721</v>
      </c>
    </row>
    <row r="1551" spans="1:16">
      <c r="A1551" s="1" t="s">
        <v>630</v>
      </c>
      <c r="B1551" s="1">
        <v>11</v>
      </c>
      <c r="C1551" s="1">
        <v>1117123549475900</v>
      </c>
      <c r="D1551" s="1" t="s">
        <v>627</v>
      </c>
      <c r="E1551" s="2">
        <v>45973</v>
      </c>
      <c r="F1551" s="1" t="s">
        <v>604</v>
      </c>
      <c r="G1551" s="1" t="s">
        <v>628</v>
      </c>
      <c r="H1551" s="1" t="s">
        <v>631</v>
      </c>
      <c r="I1551" s="1">
        <v>6</v>
      </c>
      <c r="J1551" s="3">
        <v>37830</v>
      </c>
      <c r="K1551" s="3">
        <v>13300</v>
      </c>
      <c r="L1551" s="3">
        <v>2497</v>
      </c>
      <c r="M1551" s="4">
        <v>6.6000000000000003E-2</v>
      </c>
      <c r="N1551" s="3">
        <v>22033</v>
      </c>
      <c r="O1551" s="4">
        <v>0.58199999999999996</v>
      </c>
      <c r="P1551" s="1" t="s">
        <v>2721</v>
      </c>
    </row>
    <row r="1552" spans="1:16">
      <c r="A1552" s="1" t="s">
        <v>630</v>
      </c>
      <c r="B1552" s="1">
        <v>11</v>
      </c>
      <c r="C1552" s="1">
        <v>1117114453523550</v>
      </c>
      <c r="D1552" s="1" t="s">
        <v>627</v>
      </c>
      <c r="E1552" s="2">
        <v>45973</v>
      </c>
      <c r="F1552" s="1" t="s">
        <v>604</v>
      </c>
      <c r="G1552" s="1" t="s">
        <v>628</v>
      </c>
      <c r="H1552" s="1" t="s">
        <v>1848</v>
      </c>
      <c r="I1552" s="1">
        <v>1</v>
      </c>
      <c r="J1552" s="3">
        <v>6750</v>
      </c>
      <c r="K1552" s="3">
        <v>4300</v>
      </c>
      <c r="L1552" s="1">
        <v>446</v>
      </c>
      <c r="M1552" s="4">
        <v>6.6000000000000003E-2</v>
      </c>
      <c r="N1552" s="3">
        <v>2005</v>
      </c>
      <c r="O1552" s="4">
        <v>0.29699999999999999</v>
      </c>
      <c r="P1552" s="1" t="s">
        <v>2721</v>
      </c>
    </row>
    <row r="1553" spans="1:16">
      <c r="A1553" s="1" t="s">
        <v>649</v>
      </c>
      <c r="B1553" s="1">
        <v>11</v>
      </c>
      <c r="C1553" s="1">
        <v>25111122575461</v>
      </c>
      <c r="D1553" s="1" t="s">
        <v>4390</v>
      </c>
      <c r="E1553" s="2">
        <v>45973</v>
      </c>
      <c r="F1553" s="1" t="s">
        <v>48</v>
      </c>
      <c r="G1553" s="1" t="s">
        <v>4391</v>
      </c>
      <c r="H1553" s="1" t="s">
        <v>4392</v>
      </c>
      <c r="I1553" s="1">
        <v>1</v>
      </c>
      <c r="J1553" s="3">
        <v>21225</v>
      </c>
      <c r="K1553" s="3">
        <v>18036</v>
      </c>
      <c r="L1553" s="1">
        <v>0</v>
      </c>
      <c r="M1553" s="4">
        <v>0</v>
      </c>
      <c r="N1553" s="3">
        <v>3189</v>
      </c>
      <c r="O1553" s="4">
        <v>0.15</v>
      </c>
      <c r="P1553" s="1" t="s">
        <v>2721</v>
      </c>
    </row>
    <row r="1554" spans="1:16">
      <c r="A1554" s="1" t="s">
        <v>649</v>
      </c>
      <c r="B1554" s="1">
        <v>11</v>
      </c>
      <c r="C1554" s="1">
        <v>25111115444313</v>
      </c>
      <c r="D1554" s="1" t="s">
        <v>4390</v>
      </c>
      <c r="E1554" s="2">
        <v>45973</v>
      </c>
      <c r="F1554" s="1" t="s">
        <v>48</v>
      </c>
      <c r="G1554" s="1" t="s">
        <v>4391</v>
      </c>
      <c r="H1554" s="1" t="s">
        <v>5283</v>
      </c>
      <c r="I1554" s="1">
        <v>2</v>
      </c>
      <c r="J1554" s="3">
        <v>42449</v>
      </c>
      <c r="K1554" s="3">
        <v>36072</v>
      </c>
      <c r="L1554" s="1">
        <v>0</v>
      </c>
      <c r="M1554" s="4">
        <v>0</v>
      </c>
      <c r="N1554" s="3">
        <v>6377</v>
      </c>
      <c r="O1554" s="4">
        <v>0.15</v>
      </c>
      <c r="P1554" s="1" t="s">
        <v>2721</v>
      </c>
    </row>
    <row r="1555" spans="1:16">
      <c r="A1555" s="1" t="s">
        <v>649</v>
      </c>
      <c r="B1555" s="1">
        <v>11</v>
      </c>
      <c r="C1555" s="1">
        <v>25111114332088</v>
      </c>
      <c r="D1555" s="1" t="s">
        <v>5284</v>
      </c>
      <c r="E1555" s="2">
        <v>45973</v>
      </c>
      <c r="F1555" s="1" t="s">
        <v>1513</v>
      </c>
      <c r="G1555" s="1" t="s">
        <v>5285</v>
      </c>
      <c r="H1555" s="1" t="s">
        <v>5286</v>
      </c>
      <c r="I1555" s="1">
        <v>1</v>
      </c>
      <c r="J1555" s="3">
        <v>16745</v>
      </c>
      <c r="K1555" s="3">
        <v>15150</v>
      </c>
      <c r="L1555" s="1">
        <v>0</v>
      </c>
      <c r="M1555" s="4">
        <v>0</v>
      </c>
      <c r="N1555" s="3">
        <v>1595</v>
      </c>
      <c r="O1555" s="4">
        <v>9.5000000000000001E-2</v>
      </c>
      <c r="P1555" s="1" t="s">
        <v>2721</v>
      </c>
    </row>
    <row r="1556" spans="1:16">
      <c r="A1556" s="1" t="s">
        <v>649</v>
      </c>
      <c r="B1556" s="1">
        <v>11</v>
      </c>
      <c r="C1556" s="1">
        <v>25111109322490</v>
      </c>
      <c r="D1556" s="1" t="s">
        <v>4390</v>
      </c>
      <c r="E1556" s="2">
        <v>45973</v>
      </c>
      <c r="F1556" s="1" t="s">
        <v>48</v>
      </c>
      <c r="G1556" s="1" t="s">
        <v>4391</v>
      </c>
      <c r="H1556" s="1" t="s">
        <v>4392</v>
      </c>
      <c r="I1556" s="1">
        <v>1</v>
      </c>
      <c r="J1556" s="3">
        <v>21225</v>
      </c>
      <c r="K1556" s="3">
        <v>18036</v>
      </c>
      <c r="L1556" s="1">
        <v>0</v>
      </c>
      <c r="M1556" s="4">
        <v>0</v>
      </c>
      <c r="N1556" s="3">
        <v>3189</v>
      </c>
      <c r="O1556" s="4">
        <v>0.15</v>
      </c>
      <c r="P1556" s="1" t="s">
        <v>2721</v>
      </c>
    </row>
    <row r="1557" spans="1:16">
      <c r="A1557" s="1" t="s">
        <v>2730</v>
      </c>
      <c r="B1557" s="1">
        <v>11</v>
      </c>
      <c r="C1557" s="1">
        <v>2025111165102500</v>
      </c>
      <c r="D1557" s="1" t="s">
        <v>5287</v>
      </c>
      <c r="E1557" s="2">
        <v>45973</v>
      </c>
      <c r="F1557" s="1" t="s">
        <v>407</v>
      </c>
      <c r="G1557" s="1" t="s">
        <v>1739</v>
      </c>
      <c r="H1557" s="1" t="s">
        <v>1739</v>
      </c>
      <c r="I1557" s="1">
        <v>1</v>
      </c>
      <c r="J1557" s="3">
        <v>25860</v>
      </c>
      <c r="K1557" s="3">
        <v>24857</v>
      </c>
      <c r="L1557" s="3">
        <v>1034</v>
      </c>
      <c r="M1557" s="4">
        <v>0.04</v>
      </c>
      <c r="N1557" s="1">
        <v>-31</v>
      </c>
      <c r="O1557" s="4">
        <v>-1E-3</v>
      </c>
      <c r="P1557" s="1" t="s">
        <v>2721</v>
      </c>
    </row>
    <row r="1558" spans="1:16">
      <c r="A1558" s="1" t="s">
        <v>620</v>
      </c>
      <c r="B1558" s="1">
        <v>11</v>
      </c>
      <c r="C1558" s="1">
        <v>4367855337</v>
      </c>
      <c r="D1558" s="1" t="s">
        <v>5288</v>
      </c>
      <c r="E1558" s="2">
        <v>45973</v>
      </c>
      <c r="F1558" s="1" t="s">
        <v>798</v>
      </c>
      <c r="G1558" s="1" t="s">
        <v>5289</v>
      </c>
      <c r="H1558" s="1" t="s">
        <v>5290</v>
      </c>
      <c r="I1558" s="1">
        <v>1</v>
      </c>
      <c r="J1558" s="3">
        <v>79000</v>
      </c>
      <c r="K1558" s="3">
        <v>61908</v>
      </c>
      <c r="L1558" s="3">
        <v>10270</v>
      </c>
      <c r="M1558" s="4">
        <v>0.13</v>
      </c>
      <c r="N1558" s="3">
        <v>6822</v>
      </c>
      <c r="O1558" s="4">
        <v>8.5999999999999993E-2</v>
      </c>
      <c r="P1558" s="1" t="s">
        <v>2721</v>
      </c>
    </row>
    <row r="1559" spans="1:16">
      <c r="A1559" s="1" t="s">
        <v>632</v>
      </c>
      <c r="B1559" s="1">
        <v>11</v>
      </c>
      <c r="C1559" s="1">
        <v>162170841</v>
      </c>
      <c r="D1559" s="1" t="s">
        <v>3023</v>
      </c>
      <c r="E1559" s="2">
        <v>45973</v>
      </c>
      <c r="F1559" s="1" t="s">
        <v>235</v>
      </c>
      <c r="G1559" s="1" t="s">
        <v>3024</v>
      </c>
      <c r="I1559" s="1">
        <v>1</v>
      </c>
      <c r="J1559" s="3">
        <v>29900</v>
      </c>
      <c r="K1559" s="3">
        <v>21340</v>
      </c>
      <c r="L1559" s="3">
        <v>3169</v>
      </c>
      <c r="M1559" s="4">
        <v>0.106</v>
      </c>
      <c r="N1559" s="3">
        <v>5391</v>
      </c>
      <c r="O1559" s="4">
        <v>0.18</v>
      </c>
      <c r="P1559" s="1" t="s">
        <v>2721</v>
      </c>
    </row>
    <row r="1560" spans="1:16">
      <c r="A1560" s="1" t="s">
        <v>632</v>
      </c>
      <c r="B1560" s="1">
        <v>11</v>
      </c>
      <c r="C1560" s="1">
        <v>162170375</v>
      </c>
      <c r="D1560" s="1" t="s">
        <v>5291</v>
      </c>
      <c r="E1560" s="2">
        <v>45973</v>
      </c>
      <c r="F1560" s="1" t="s">
        <v>200</v>
      </c>
      <c r="G1560" s="1" t="s">
        <v>5292</v>
      </c>
      <c r="I1560" s="1">
        <v>1</v>
      </c>
      <c r="J1560" s="3">
        <v>37100</v>
      </c>
      <c r="K1560" s="3">
        <v>30016</v>
      </c>
      <c r="L1560" s="3">
        <v>3933</v>
      </c>
      <c r="M1560" s="4">
        <v>0.106</v>
      </c>
      <c r="N1560" s="3">
        <v>3151</v>
      </c>
      <c r="O1560" s="4">
        <v>8.5000000000000006E-2</v>
      </c>
      <c r="P1560" s="1" t="s">
        <v>2721</v>
      </c>
    </row>
    <row r="1561" spans="1:16">
      <c r="A1561" s="1" t="s">
        <v>632</v>
      </c>
      <c r="B1561" s="1">
        <v>11</v>
      </c>
      <c r="C1561" s="1">
        <v>162143185</v>
      </c>
      <c r="D1561" s="1" t="s">
        <v>682</v>
      </c>
      <c r="E1561" s="2">
        <v>45973</v>
      </c>
      <c r="F1561" s="1" t="s">
        <v>500</v>
      </c>
      <c r="G1561" s="1" t="s">
        <v>683</v>
      </c>
      <c r="I1561" s="1">
        <v>1</v>
      </c>
      <c r="J1561" s="3">
        <v>134900</v>
      </c>
      <c r="K1561" s="3">
        <v>107500</v>
      </c>
      <c r="L1561" s="3">
        <v>14299</v>
      </c>
      <c r="M1561" s="4">
        <v>0.106</v>
      </c>
      <c r="N1561" s="3">
        <v>13100</v>
      </c>
      <c r="O1561" s="4">
        <v>9.7000000000000003E-2</v>
      </c>
      <c r="P1561" s="1" t="s">
        <v>2721</v>
      </c>
    </row>
    <row r="1562" spans="1:16">
      <c r="A1562" s="1" t="s">
        <v>632</v>
      </c>
      <c r="B1562" s="1">
        <v>11</v>
      </c>
      <c r="C1562" s="1">
        <v>162133883</v>
      </c>
      <c r="D1562" s="1" t="s">
        <v>682</v>
      </c>
      <c r="E1562" s="2">
        <v>45973</v>
      </c>
      <c r="F1562" s="1" t="s">
        <v>500</v>
      </c>
      <c r="G1562" s="1" t="s">
        <v>683</v>
      </c>
      <c r="I1562" s="1">
        <v>1</v>
      </c>
      <c r="J1562" s="3">
        <v>134900</v>
      </c>
      <c r="K1562" s="3">
        <v>107500</v>
      </c>
      <c r="L1562" s="3">
        <v>14299</v>
      </c>
      <c r="M1562" s="4">
        <v>0.106</v>
      </c>
      <c r="N1562" s="3">
        <v>13100</v>
      </c>
      <c r="O1562" s="4">
        <v>9.7000000000000003E-2</v>
      </c>
      <c r="P1562" s="1" t="s">
        <v>2721</v>
      </c>
    </row>
    <row r="1563" spans="1:16">
      <c r="A1563" s="1" t="s">
        <v>1917</v>
      </c>
      <c r="B1563" s="1">
        <v>11</v>
      </c>
      <c r="C1563" s="1">
        <v>1.16391762867946E+20</v>
      </c>
      <c r="D1563" s="1" t="s">
        <v>694</v>
      </c>
      <c r="E1563" s="2">
        <v>45973</v>
      </c>
      <c r="F1563" s="1" t="s">
        <v>96</v>
      </c>
      <c r="G1563" s="1" t="s">
        <v>695</v>
      </c>
      <c r="H1563" s="1" t="s">
        <v>696</v>
      </c>
      <c r="I1563" s="1">
        <v>1</v>
      </c>
      <c r="J1563" s="3">
        <v>16468</v>
      </c>
      <c r="K1563" s="3">
        <v>14584</v>
      </c>
      <c r="L1563" s="1">
        <v>0</v>
      </c>
      <c r="M1563" s="4">
        <v>0</v>
      </c>
      <c r="N1563" s="3">
        <v>1884</v>
      </c>
      <c r="O1563" s="4">
        <v>0.114</v>
      </c>
      <c r="P1563" s="1" t="s">
        <v>2721</v>
      </c>
    </row>
    <row r="1564" spans="1:16">
      <c r="A1564" s="1" t="s">
        <v>1917</v>
      </c>
      <c r="B1564" s="1">
        <v>11</v>
      </c>
      <c r="C1564" s="1">
        <v>1.16381762867736E+20</v>
      </c>
      <c r="D1564" s="1" t="s">
        <v>4931</v>
      </c>
      <c r="E1564" s="2">
        <v>45973</v>
      </c>
      <c r="F1564" s="1" t="s">
        <v>53</v>
      </c>
      <c r="G1564" s="1" t="s">
        <v>4932</v>
      </c>
      <c r="H1564" s="1" t="s">
        <v>1066</v>
      </c>
      <c r="I1564" s="1">
        <v>1</v>
      </c>
      <c r="J1564" s="3">
        <v>9810</v>
      </c>
      <c r="K1564" s="3">
        <v>7225</v>
      </c>
      <c r="L1564" s="1">
        <v>0</v>
      </c>
      <c r="M1564" s="4">
        <v>0</v>
      </c>
      <c r="N1564" s="3">
        <v>2585</v>
      </c>
      <c r="O1564" s="4">
        <v>0.26400000000000001</v>
      </c>
      <c r="P1564" s="1" t="s">
        <v>2721</v>
      </c>
    </row>
    <row r="1565" spans="1:16">
      <c r="A1565" s="1" t="s">
        <v>1917</v>
      </c>
      <c r="B1565" s="1">
        <v>11</v>
      </c>
      <c r="C1565" s="1">
        <v>1.16351762844282E+20</v>
      </c>
      <c r="D1565" s="1" t="s">
        <v>5293</v>
      </c>
      <c r="E1565" s="2">
        <v>45973</v>
      </c>
      <c r="F1565" s="1" t="s">
        <v>524</v>
      </c>
      <c r="G1565" s="1" t="s">
        <v>5294</v>
      </c>
      <c r="H1565" s="1" t="s">
        <v>5295</v>
      </c>
      <c r="I1565" s="1">
        <v>1</v>
      </c>
      <c r="J1565" s="3">
        <v>28710</v>
      </c>
      <c r="K1565" s="3">
        <v>23200</v>
      </c>
      <c r="L1565" s="1">
        <v>0</v>
      </c>
      <c r="M1565" s="4">
        <v>0</v>
      </c>
      <c r="N1565" s="3">
        <v>5510</v>
      </c>
      <c r="O1565" s="4">
        <v>0.192</v>
      </c>
      <c r="P1565" s="1" t="s">
        <v>2721</v>
      </c>
    </row>
    <row r="1566" spans="1:16">
      <c r="A1566" s="1" t="s">
        <v>686</v>
      </c>
      <c r="B1566" s="1">
        <v>11</v>
      </c>
      <c r="C1566" s="1" t="s">
        <v>5296</v>
      </c>
      <c r="D1566" s="1" t="s">
        <v>5297</v>
      </c>
      <c r="E1566" s="2">
        <v>45973</v>
      </c>
      <c r="F1566" s="1" t="s">
        <v>58</v>
      </c>
      <c r="G1566" s="1" t="s">
        <v>1072</v>
      </c>
      <c r="H1566" s="1" t="s">
        <v>5298</v>
      </c>
      <c r="I1566" s="1">
        <v>2</v>
      </c>
      <c r="J1566" s="3">
        <v>29880</v>
      </c>
      <c r="K1566" s="3">
        <v>20748</v>
      </c>
      <c r="L1566" s="3">
        <v>1165</v>
      </c>
      <c r="M1566" s="4">
        <v>3.9E-2</v>
      </c>
      <c r="N1566" s="3">
        <v>7967</v>
      </c>
      <c r="O1566" s="4">
        <v>0.26700000000000002</v>
      </c>
      <c r="P1566" s="1" t="s">
        <v>2721</v>
      </c>
    </row>
    <row r="1567" spans="1:16">
      <c r="A1567" s="1" t="s">
        <v>1849</v>
      </c>
      <c r="B1567" s="1">
        <v>11</v>
      </c>
      <c r="C1567" s="1">
        <v>6936844</v>
      </c>
      <c r="D1567" s="1" t="s">
        <v>5299</v>
      </c>
      <c r="E1567" s="2">
        <v>45973</v>
      </c>
      <c r="F1567" s="1" t="s">
        <v>256</v>
      </c>
      <c r="G1567" s="1" t="s">
        <v>5300</v>
      </c>
      <c r="H1567" s="1" t="s">
        <v>5301</v>
      </c>
      <c r="I1567" s="1">
        <v>1</v>
      </c>
      <c r="J1567" s="3">
        <v>15900</v>
      </c>
      <c r="K1567" s="3">
        <v>7785</v>
      </c>
      <c r="L1567" s="3">
        <v>2385</v>
      </c>
      <c r="M1567" s="4">
        <v>0.15</v>
      </c>
      <c r="N1567" s="3">
        <v>5730</v>
      </c>
      <c r="O1567" s="4">
        <v>0.36</v>
      </c>
      <c r="P1567" s="1" t="s">
        <v>2721</v>
      </c>
    </row>
    <row r="1568" spans="1:16">
      <c r="A1568" s="1" t="s">
        <v>1849</v>
      </c>
      <c r="B1568" s="1">
        <v>11</v>
      </c>
      <c r="C1568" s="1">
        <v>261961</v>
      </c>
      <c r="D1568" s="1" t="s">
        <v>5302</v>
      </c>
      <c r="E1568" s="2">
        <v>45973</v>
      </c>
      <c r="F1568" s="1" t="s">
        <v>256</v>
      </c>
      <c r="G1568" s="1" t="s">
        <v>5303</v>
      </c>
      <c r="H1568" s="1" t="s">
        <v>5304</v>
      </c>
      <c r="I1568" s="1">
        <v>1</v>
      </c>
      <c r="J1568" s="3">
        <v>9900</v>
      </c>
      <c r="K1568" s="3">
        <v>4718</v>
      </c>
      <c r="L1568" s="3">
        <v>1485</v>
      </c>
      <c r="M1568" s="4">
        <v>0.15</v>
      </c>
      <c r="N1568" s="3">
        <v>3697</v>
      </c>
      <c r="O1568" s="4">
        <v>0.373</v>
      </c>
      <c r="P1568" s="1" t="s">
        <v>2721</v>
      </c>
    </row>
    <row r="1569" spans="1:16">
      <c r="A1569" s="1" t="s">
        <v>1849</v>
      </c>
      <c r="B1569" s="1">
        <v>11</v>
      </c>
      <c r="C1569" s="1">
        <v>261884</v>
      </c>
      <c r="D1569" s="1" t="s">
        <v>5305</v>
      </c>
      <c r="E1569" s="2">
        <v>45973</v>
      </c>
      <c r="F1569" s="1" t="s">
        <v>846</v>
      </c>
      <c r="G1569" s="1" t="s">
        <v>5306</v>
      </c>
      <c r="H1569" s="1" t="s">
        <v>5307</v>
      </c>
      <c r="I1569" s="1">
        <v>1</v>
      </c>
      <c r="J1569" s="3">
        <v>216700</v>
      </c>
      <c r="K1569" s="3">
        <v>107401</v>
      </c>
      <c r="L1569" s="3">
        <v>32505</v>
      </c>
      <c r="M1569" s="4">
        <v>0.15</v>
      </c>
      <c r="N1569" s="3">
        <v>76794</v>
      </c>
      <c r="O1569" s="4">
        <v>0.35399999999999998</v>
      </c>
      <c r="P1569" s="1" t="s">
        <v>2721</v>
      </c>
    </row>
    <row r="1570" spans="1:16">
      <c r="A1570" s="1" t="s">
        <v>1849</v>
      </c>
      <c r="B1570" s="1">
        <v>11</v>
      </c>
      <c r="C1570" s="1">
        <v>261748</v>
      </c>
      <c r="D1570" s="1" t="s">
        <v>5308</v>
      </c>
      <c r="E1570" s="2">
        <v>45973</v>
      </c>
      <c r="F1570" s="1" t="s">
        <v>416</v>
      </c>
      <c r="G1570" s="1" t="s">
        <v>5309</v>
      </c>
      <c r="H1570" s="1" t="s">
        <v>5310</v>
      </c>
      <c r="I1570" s="1">
        <v>1</v>
      </c>
      <c r="J1570" s="3">
        <v>18300</v>
      </c>
      <c r="K1570" s="3">
        <v>12194</v>
      </c>
      <c r="L1570" s="3">
        <v>2745</v>
      </c>
      <c r="M1570" s="4">
        <v>0.15</v>
      </c>
      <c r="N1570" s="3">
        <v>3361</v>
      </c>
      <c r="O1570" s="4">
        <v>0.184</v>
      </c>
      <c r="P1570" s="1" t="s">
        <v>2721</v>
      </c>
    </row>
    <row r="1571" spans="1:16">
      <c r="A1571" s="1" t="s">
        <v>692</v>
      </c>
      <c r="B1571" s="1">
        <v>11</v>
      </c>
      <c r="C1571" s="1" t="s">
        <v>5311</v>
      </c>
      <c r="D1571" s="1" t="s">
        <v>5312</v>
      </c>
      <c r="E1571" s="2">
        <v>45973</v>
      </c>
      <c r="F1571" s="1" t="s">
        <v>96</v>
      </c>
      <c r="G1571" s="1" t="s">
        <v>5313</v>
      </c>
      <c r="H1571" s="1" t="s">
        <v>5314</v>
      </c>
      <c r="I1571" s="1">
        <v>1</v>
      </c>
      <c r="J1571" s="3">
        <v>8585</v>
      </c>
      <c r="K1571" s="3">
        <v>7574</v>
      </c>
      <c r="L1571" s="1">
        <v>0</v>
      </c>
      <c r="M1571" s="4">
        <v>0</v>
      </c>
      <c r="N1571" s="3">
        <v>1011</v>
      </c>
      <c r="O1571" s="4">
        <v>0.11799999999999999</v>
      </c>
      <c r="P1571" s="1" t="s">
        <v>2721</v>
      </c>
    </row>
    <row r="1572" spans="1:16">
      <c r="A1572" s="1" t="s">
        <v>692</v>
      </c>
      <c r="B1572" s="1">
        <v>11</v>
      </c>
      <c r="C1572" s="1" t="s">
        <v>5315</v>
      </c>
      <c r="D1572" s="1" t="s">
        <v>2028</v>
      </c>
      <c r="E1572" s="2">
        <v>45973</v>
      </c>
      <c r="F1572" s="1" t="s">
        <v>96</v>
      </c>
      <c r="G1572" s="1" t="s">
        <v>2029</v>
      </c>
      <c r="H1572" s="1" t="s">
        <v>1145</v>
      </c>
      <c r="I1572" s="1">
        <v>1</v>
      </c>
      <c r="J1572" s="3">
        <v>14790</v>
      </c>
      <c r="K1572" s="3">
        <v>13721</v>
      </c>
      <c r="L1572" s="1">
        <v>0</v>
      </c>
      <c r="M1572" s="4">
        <v>0</v>
      </c>
      <c r="N1572" s="3">
        <v>1069</v>
      </c>
      <c r="O1572" s="4">
        <v>7.1999999999999995E-2</v>
      </c>
      <c r="P1572" s="1" t="s">
        <v>2721</v>
      </c>
    </row>
    <row r="1573" spans="1:16">
      <c r="A1573" s="1" t="s">
        <v>692</v>
      </c>
      <c r="B1573" s="1">
        <v>11</v>
      </c>
      <c r="C1573" s="1" t="s">
        <v>5316</v>
      </c>
      <c r="D1573" s="1" t="s">
        <v>694</v>
      </c>
      <c r="E1573" s="2">
        <v>45973</v>
      </c>
      <c r="F1573" s="1" t="s">
        <v>96</v>
      </c>
      <c r="G1573" s="1" t="s">
        <v>695</v>
      </c>
      <c r="H1573" s="1" t="s">
        <v>696</v>
      </c>
      <c r="I1573" s="1">
        <v>1</v>
      </c>
      <c r="J1573" s="3">
        <v>16065</v>
      </c>
      <c r="K1573" s="3">
        <v>14584</v>
      </c>
      <c r="L1573" s="1">
        <v>0</v>
      </c>
      <c r="M1573" s="4">
        <v>0</v>
      </c>
      <c r="N1573" s="3">
        <v>1481</v>
      </c>
      <c r="O1573" s="4">
        <v>9.1999999999999998E-2</v>
      </c>
      <c r="P1573" s="1" t="s">
        <v>2721</v>
      </c>
    </row>
    <row r="1574" spans="1:16">
      <c r="A1574" s="1" t="s">
        <v>707</v>
      </c>
      <c r="B1574" s="1">
        <v>11</v>
      </c>
      <c r="C1574" s="1">
        <v>2.0251111105228198E+17</v>
      </c>
      <c r="D1574" s="1" t="s">
        <v>5317</v>
      </c>
      <c r="E1574" s="2">
        <v>45973</v>
      </c>
      <c r="F1574" s="1" t="s">
        <v>235</v>
      </c>
      <c r="G1574" s="1" t="s">
        <v>5318</v>
      </c>
      <c r="H1574" s="1" t="s">
        <v>5319</v>
      </c>
      <c r="I1574" s="1">
        <v>1</v>
      </c>
      <c r="J1574" s="3">
        <v>14600</v>
      </c>
      <c r="K1574" s="3">
        <v>10010</v>
      </c>
      <c r="L1574" s="3">
        <v>2190</v>
      </c>
      <c r="M1574" s="4">
        <v>0.15</v>
      </c>
      <c r="N1574" s="3">
        <v>2400</v>
      </c>
      <c r="O1574" s="4">
        <v>0.16400000000000001</v>
      </c>
      <c r="P1574" s="1" t="s">
        <v>2721</v>
      </c>
    </row>
    <row r="1575" spans="1:16">
      <c r="A1575" s="1" t="s">
        <v>707</v>
      </c>
      <c r="B1575" s="1">
        <v>11</v>
      </c>
      <c r="C1575" s="1">
        <v>2.0251111192802202E+17</v>
      </c>
      <c r="D1575" s="1" t="s">
        <v>3088</v>
      </c>
      <c r="E1575" s="2">
        <v>45973</v>
      </c>
      <c r="F1575" s="1" t="s">
        <v>235</v>
      </c>
      <c r="G1575" s="1" t="s">
        <v>3089</v>
      </c>
      <c r="H1575" s="1" t="s">
        <v>5320</v>
      </c>
      <c r="I1575" s="1">
        <v>1</v>
      </c>
      <c r="J1575" s="3">
        <v>17800</v>
      </c>
      <c r="K1575" s="3">
        <v>13601</v>
      </c>
      <c r="L1575" s="3">
        <v>2670</v>
      </c>
      <c r="M1575" s="4">
        <v>0.15</v>
      </c>
      <c r="N1575" s="3">
        <v>1529</v>
      </c>
      <c r="O1575" s="4">
        <v>8.5999999999999993E-2</v>
      </c>
      <c r="P1575" s="1" t="s">
        <v>2721</v>
      </c>
    </row>
    <row r="1576" spans="1:16">
      <c r="A1576" s="1" t="s">
        <v>707</v>
      </c>
      <c r="B1576" s="1">
        <v>11</v>
      </c>
      <c r="C1576" s="1">
        <v>2.02511120720276E+17</v>
      </c>
      <c r="D1576" s="1" t="s">
        <v>2071</v>
      </c>
      <c r="E1576" s="2">
        <v>45973</v>
      </c>
      <c r="F1576" s="1" t="s">
        <v>235</v>
      </c>
      <c r="G1576" s="1" t="s">
        <v>2072</v>
      </c>
      <c r="H1576" s="1" t="s">
        <v>2073</v>
      </c>
      <c r="I1576" s="1">
        <v>1</v>
      </c>
      <c r="J1576" s="3">
        <v>9800</v>
      </c>
      <c r="K1576" s="3">
        <v>7739</v>
      </c>
      <c r="L1576" s="3">
        <v>1470</v>
      </c>
      <c r="M1576" s="4">
        <v>0.15</v>
      </c>
      <c r="N1576" s="1">
        <v>591</v>
      </c>
      <c r="O1576" s="4">
        <v>0.06</v>
      </c>
      <c r="P1576" s="1" t="s">
        <v>2721</v>
      </c>
    </row>
    <row r="1577" spans="1:16">
      <c r="A1577" s="1" t="s">
        <v>707</v>
      </c>
      <c r="B1577" s="1">
        <v>11</v>
      </c>
      <c r="C1577" s="1">
        <v>2.02511120721356E+17</v>
      </c>
      <c r="D1577" s="1" t="s">
        <v>2071</v>
      </c>
      <c r="E1577" s="2">
        <v>45973</v>
      </c>
      <c r="F1577" s="1" t="s">
        <v>235</v>
      </c>
      <c r="G1577" s="1" t="s">
        <v>2072</v>
      </c>
      <c r="H1577" s="1" t="s">
        <v>2073</v>
      </c>
      <c r="I1577" s="1">
        <v>1</v>
      </c>
      <c r="J1577" s="3">
        <v>9800</v>
      </c>
      <c r="K1577" s="3">
        <v>7739</v>
      </c>
      <c r="L1577" s="3">
        <v>1470</v>
      </c>
      <c r="M1577" s="4">
        <v>0.15</v>
      </c>
      <c r="N1577" s="1">
        <v>591</v>
      </c>
      <c r="O1577" s="4">
        <v>0.06</v>
      </c>
      <c r="P1577" s="1" t="s">
        <v>2721</v>
      </c>
    </row>
    <row r="1578" spans="1:16">
      <c r="A1578" s="1" t="s">
        <v>707</v>
      </c>
      <c r="B1578" s="1">
        <v>11</v>
      </c>
      <c r="C1578" s="1">
        <v>2.0251112080925699E+17</v>
      </c>
      <c r="D1578" s="1" t="s">
        <v>4458</v>
      </c>
      <c r="E1578" s="2">
        <v>45973</v>
      </c>
      <c r="F1578" s="1" t="s">
        <v>3033</v>
      </c>
      <c r="G1578" s="1" t="s">
        <v>4459</v>
      </c>
      <c r="H1578" s="1" t="s">
        <v>5321</v>
      </c>
      <c r="I1578" s="1">
        <v>1</v>
      </c>
      <c r="J1578" s="3">
        <v>32900</v>
      </c>
      <c r="K1578" s="3">
        <v>24688</v>
      </c>
      <c r="L1578" s="3">
        <v>4935</v>
      </c>
      <c r="M1578" s="4">
        <v>0.15</v>
      </c>
      <c r="N1578" s="3">
        <v>3277</v>
      </c>
      <c r="O1578" s="4">
        <v>0.1</v>
      </c>
      <c r="P1578" s="1" t="s">
        <v>2721</v>
      </c>
    </row>
    <row r="1579" spans="1:16">
      <c r="A1579" s="1" t="s">
        <v>707</v>
      </c>
      <c r="B1579" s="1">
        <v>11</v>
      </c>
      <c r="C1579" s="1">
        <v>2.0251112084703802E+17</v>
      </c>
      <c r="D1579" s="1" t="s">
        <v>2071</v>
      </c>
      <c r="E1579" s="2">
        <v>45973</v>
      </c>
      <c r="F1579" s="1" t="s">
        <v>235</v>
      </c>
      <c r="G1579" s="1" t="s">
        <v>2072</v>
      </c>
      <c r="H1579" s="1" t="s">
        <v>2073</v>
      </c>
      <c r="I1579" s="1">
        <v>1</v>
      </c>
      <c r="J1579" s="3">
        <v>9800</v>
      </c>
      <c r="K1579" s="3">
        <v>7739</v>
      </c>
      <c r="L1579" s="3">
        <v>1470</v>
      </c>
      <c r="M1579" s="4">
        <v>0.15</v>
      </c>
      <c r="N1579" s="1">
        <v>591</v>
      </c>
      <c r="O1579" s="4">
        <v>0.06</v>
      </c>
      <c r="P1579" s="1" t="s">
        <v>2721</v>
      </c>
    </row>
    <row r="1580" spans="1:16">
      <c r="A1580" s="1" t="s">
        <v>707</v>
      </c>
      <c r="B1580" s="1">
        <v>11</v>
      </c>
      <c r="C1580" s="1">
        <v>2.02511120848448E+17</v>
      </c>
      <c r="D1580" s="1" t="s">
        <v>3460</v>
      </c>
      <c r="E1580" s="2">
        <v>45973</v>
      </c>
      <c r="F1580" s="1" t="s">
        <v>235</v>
      </c>
      <c r="G1580" s="1" t="s">
        <v>3461</v>
      </c>
      <c r="H1580" s="1" t="s">
        <v>3462</v>
      </c>
      <c r="I1580" s="1">
        <v>1</v>
      </c>
      <c r="J1580" s="3">
        <v>14600</v>
      </c>
      <c r="K1580" s="3">
        <v>10010</v>
      </c>
      <c r="L1580" s="3">
        <v>2190</v>
      </c>
      <c r="M1580" s="4">
        <v>0.15</v>
      </c>
      <c r="N1580" s="3">
        <v>2400</v>
      </c>
      <c r="O1580" s="4">
        <v>0.16400000000000001</v>
      </c>
      <c r="P1580" s="1" t="s">
        <v>2721</v>
      </c>
    </row>
    <row r="1581" spans="1:16">
      <c r="A1581" s="1" t="s">
        <v>2082</v>
      </c>
      <c r="B1581" s="1">
        <v>11</v>
      </c>
      <c r="C1581" s="1">
        <v>2.02511111709548E+17</v>
      </c>
      <c r="D1581" s="1" t="s">
        <v>5322</v>
      </c>
      <c r="E1581" s="2">
        <v>45973</v>
      </c>
      <c r="F1581" s="1" t="s">
        <v>256</v>
      </c>
      <c r="G1581" s="1" t="s">
        <v>5323</v>
      </c>
      <c r="H1581" s="1" t="s">
        <v>5324</v>
      </c>
      <c r="I1581" s="1">
        <v>1</v>
      </c>
      <c r="J1581" s="3">
        <v>35600</v>
      </c>
      <c r="K1581" s="3">
        <v>24669</v>
      </c>
      <c r="L1581" s="3">
        <v>5340</v>
      </c>
      <c r="M1581" s="4">
        <v>0.15</v>
      </c>
      <c r="N1581" s="3">
        <v>5591</v>
      </c>
      <c r="O1581" s="4">
        <v>0.157</v>
      </c>
      <c r="P1581" s="1" t="s">
        <v>2721</v>
      </c>
    </row>
    <row r="1582" spans="1:16">
      <c r="A1582" s="1" t="s">
        <v>2082</v>
      </c>
      <c r="B1582" s="1">
        <v>11</v>
      </c>
      <c r="C1582" s="1">
        <v>2.02511112217308E+17</v>
      </c>
      <c r="D1582" s="1" t="s">
        <v>5325</v>
      </c>
      <c r="E1582" s="2">
        <v>45973</v>
      </c>
      <c r="F1582" s="1" t="s">
        <v>500</v>
      </c>
      <c r="G1582" s="1" t="s">
        <v>5326</v>
      </c>
      <c r="H1582" s="1" t="s">
        <v>5327</v>
      </c>
      <c r="I1582" s="1">
        <v>1</v>
      </c>
      <c r="J1582" s="3">
        <v>179000</v>
      </c>
      <c r="K1582" s="3">
        <v>111200</v>
      </c>
      <c r="L1582" s="3">
        <v>26850</v>
      </c>
      <c r="M1582" s="4">
        <v>0.15</v>
      </c>
      <c r="N1582" s="3">
        <v>40950</v>
      </c>
      <c r="O1582" s="4">
        <v>0.22900000000000001</v>
      </c>
      <c r="P1582" s="1" t="s">
        <v>2721</v>
      </c>
    </row>
    <row r="1583" spans="1:16">
      <c r="A1583" s="1" t="s">
        <v>711</v>
      </c>
      <c r="B1583" s="1">
        <v>11</v>
      </c>
      <c r="C1583" s="1">
        <v>2.0251111115228499E+17</v>
      </c>
      <c r="D1583" s="1" t="s">
        <v>5328</v>
      </c>
      <c r="E1583" s="2">
        <v>45973</v>
      </c>
      <c r="F1583" s="1" t="s">
        <v>646</v>
      </c>
      <c r="G1583" s="1" t="s">
        <v>5329</v>
      </c>
      <c r="H1583" s="1" t="s">
        <v>5330</v>
      </c>
      <c r="I1583" s="1">
        <v>1</v>
      </c>
      <c r="J1583" s="3">
        <v>307900</v>
      </c>
      <c r="K1583" s="3">
        <v>251384</v>
      </c>
      <c r="L1583" s="3">
        <v>46185</v>
      </c>
      <c r="M1583" s="4">
        <v>0.15</v>
      </c>
      <c r="N1583" s="3">
        <v>10331</v>
      </c>
      <c r="O1583" s="4">
        <v>3.4000000000000002E-2</v>
      </c>
      <c r="P1583" s="1" t="s">
        <v>2721</v>
      </c>
    </row>
    <row r="1584" spans="1:16">
      <c r="A1584" s="1" t="s">
        <v>711</v>
      </c>
      <c r="B1584" s="1">
        <v>11</v>
      </c>
      <c r="C1584" s="1">
        <v>2.0251111125242701E+17</v>
      </c>
      <c r="D1584" s="1" t="s">
        <v>5331</v>
      </c>
      <c r="E1584" s="2">
        <v>45973</v>
      </c>
      <c r="F1584" s="1" t="s">
        <v>96</v>
      </c>
      <c r="G1584" s="1" t="s">
        <v>5332</v>
      </c>
      <c r="H1584" s="1" t="s">
        <v>5333</v>
      </c>
      <c r="I1584" s="1">
        <v>1</v>
      </c>
      <c r="J1584" s="3">
        <v>13500</v>
      </c>
      <c r="K1584" s="3">
        <v>10285</v>
      </c>
      <c r="L1584" s="3">
        <v>2025</v>
      </c>
      <c r="M1584" s="4">
        <v>0.15</v>
      </c>
      <c r="N1584" s="3">
        <v>1190</v>
      </c>
      <c r="O1584" s="4">
        <v>8.7999999999999995E-2</v>
      </c>
      <c r="P1584" s="1" t="s">
        <v>2721</v>
      </c>
    </row>
    <row r="1585" spans="1:16">
      <c r="A1585" s="1" t="s">
        <v>711</v>
      </c>
      <c r="B1585" s="1">
        <v>11</v>
      </c>
      <c r="C1585" s="1">
        <v>2.0251111144550202E+17</v>
      </c>
      <c r="D1585" s="1" t="s">
        <v>2086</v>
      </c>
      <c r="E1585" s="2">
        <v>45973</v>
      </c>
      <c r="F1585" s="1" t="s">
        <v>58</v>
      </c>
      <c r="G1585" s="1" t="s">
        <v>2087</v>
      </c>
      <c r="H1585" s="1" t="s">
        <v>2088</v>
      </c>
      <c r="I1585" s="1">
        <v>1</v>
      </c>
      <c r="J1585" s="3">
        <v>28000</v>
      </c>
      <c r="K1585" s="3">
        <v>20167</v>
      </c>
      <c r="L1585" s="3">
        <v>4200</v>
      </c>
      <c r="M1585" s="4">
        <v>0.15</v>
      </c>
      <c r="N1585" s="3">
        <v>3633</v>
      </c>
      <c r="O1585" s="4">
        <v>0.13</v>
      </c>
      <c r="P1585" s="1" t="s">
        <v>2721</v>
      </c>
    </row>
    <row r="1586" spans="1:16">
      <c r="A1586" s="1" t="s">
        <v>711</v>
      </c>
      <c r="B1586" s="1">
        <v>11</v>
      </c>
      <c r="C1586" s="1">
        <v>2.0251111213126701E+17</v>
      </c>
      <c r="D1586" s="1" t="s">
        <v>5334</v>
      </c>
      <c r="E1586" s="2">
        <v>45973</v>
      </c>
      <c r="F1586" s="1" t="s">
        <v>798</v>
      </c>
      <c r="G1586" s="1" t="s">
        <v>5335</v>
      </c>
      <c r="H1586" s="1" t="s">
        <v>5336</v>
      </c>
      <c r="I1586" s="1">
        <v>1</v>
      </c>
      <c r="J1586" s="3">
        <v>18600</v>
      </c>
      <c r="K1586" s="3">
        <v>14258</v>
      </c>
      <c r="L1586" s="3">
        <v>2790</v>
      </c>
      <c r="M1586" s="4">
        <v>0.15</v>
      </c>
      <c r="N1586" s="3">
        <v>1552</v>
      </c>
      <c r="O1586" s="4">
        <v>8.3000000000000004E-2</v>
      </c>
      <c r="P1586" s="1" t="s">
        <v>2721</v>
      </c>
    </row>
    <row r="1587" spans="1:16">
      <c r="A1587" s="1" t="s">
        <v>718</v>
      </c>
      <c r="B1587" s="1">
        <v>11</v>
      </c>
      <c r="C1587" s="1">
        <v>2.0251112000132301E+17</v>
      </c>
      <c r="D1587" s="1" t="s">
        <v>5337</v>
      </c>
      <c r="E1587" s="2">
        <v>45973</v>
      </c>
      <c r="F1587" s="1" t="s">
        <v>839</v>
      </c>
      <c r="G1587" s="1" t="s">
        <v>5338</v>
      </c>
      <c r="H1587" s="1" t="s">
        <v>5339</v>
      </c>
      <c r="I1587" s="1">
        <v>1</v>
      </c>
      <c r="J1587" s="3">
        <v>23500</v>
      </c>
      <c r="K1587" s="3">
        <v>18291</v>
      </c>
      <c r="L1587" s="3">
        <v>2350</v>
      </c>
      <c r="M1587" s="4">
        <v>0.1</v>
      </c>
      <c r="N1587" s="3">
        <v>2859</v>
      </c>
      <c r="O1587" s="4">
        <v>0.122</v>
      </c>
      <c r="P1587" s="1" t="s">
        <v>2721</v>
      </c>
    </row>
    <row r="1588" spans="1:16">
      <c r="A1588" s="1" t="s">
        <v>718</v>
      </c>
      <c r="B1588" s="1">
        <v>11</v>
      </c>
      <c r="C1588" s="1">
        <v>2.0251111235317101E+17</v>
      </c>
      <c r="D1588" s="1" t="s">
        <v>719</v>
      </c>
      <c r="E1588" s="2">
        <v>45973</v>
      </c>
      <c r="F1588" s="1" t="s">
        <v>239</v>
      </c>
      <c r="G1588" s="1" t="s">
        <v>720</v>
      </c>
      <c r="H1588" s="1" t="s">
        <v>721</v>
      </c>
      <c r="I1588" s="1">
        <v>1</v>
      </c>
      <c r="J1588" s="3">
        <v>16000</v>
      </c>
      <c r="K1588" s="3">
        <v>10787</v>
      </c>
      <c r="L1588" s="3">
        <v>1600</v>
      </c>
      <c r="M1588" s="4">
        <v>0.1</v>
      </c>
      <c r="N1588" s="3">
        <v>3613</v>
      </c>
      <c r="O1588" s="4">
        <v>0.22600000000000001</v>
      </c>
      <c r="P1588" s="1" t="s">
        <v>2721</v>
      </c>
    </row>
    <row r="1589" spans="1:16">
      <c r="A1589" s="1" t="s">
        <v>718</v>
      </c>
      <c r="B1589" s="1">
        <v>11</v>
      </c>
      <c r="C1589" s="1">
        <v>2.0251111165944602E+17</v>
      </c>
      <c r="D1589" s="1" t="s">
        <v>5340</v>
      </c>
      <c r="E1589" s="2">
        <v>45973</v>
      </c>
      <c r="F1589" s="1" t="s">
        <v>235</v>
      </c>
      <c r="G1589" s="1" t="s">
        <v>5341</v>
      </c>
      <c r="H1589" s="1" t="s">
        <v>5342</v>
      </c>
      <c r="I1589" s="1">
        <v>1</v>
      </c>
      <c r="J1589" s="3">
        <v>16000</v>
      </c>
      <c r="K1589" s="3">
        <v>10881</v>
      </c>
      <c r="L1589" s="3">
        <v>1600</v>
      </c>
      <c r="M1589" s="4">
        <v>0.1</v>
      </c>
      <c r="N1589" s="3">
        <v>3519</v>
      </c>
      <c r="O1589" s="4">
        <v>0.22</v>
      </c>
      <c r="P1589" s="1" t="s">
        <v>2721</v>
      </c>
    </row>
    <row r="1590" spans="1:16">
      <c r="A1590" s="1" t="s">
        <v>722</v>
      </c>
      <c r="B1590" s="1">
        <v>11</v>
      </c>
      <c r="C1590" s="1" t="s">
        <v>5343</v>
      </c>
      <c r="D1590" s="1" t="s">
        <v>5344</v>
      </c>
      <c r="E1590" s="2">
        <v>45973</v>
      </c>
      <c r="F1590" s="1" t="s">
        <v>347</v>
      </c>
      <c r="G1590" s="1" t="s">
        <v>5345</v>
      </c>
      <c r="H1590" s="1" t="s">
        <v>5346</v>
      </c>
      <c r="I1590" s="1">
        <v>1</v>
      </c>
      <c r="J1590" s="3">
        <v>24720</v>
      </c>
      <c r="K1590" s="3">
        <v>23638</v>
      </c>
      <c r="L1590" s="1">
        <v>0</v>
      </c>
      <c r="M1590" s="4">
        <v>0</v>
      </c>
      <c r="N1590" s="3">
        <v>1082</v>
      </c>
      <c r="O1590" s="4">
        <v>4.3999999999999997E-2</v>
      </c>
      <c r="P1590" s="1" t="s">
        <v>2721</v>
      </c>
    </row>
    <row r="1591" spans="1:16">
      <c r="A1591" s="1" t="s">
        <v>722</v>
      </c>
      <c r="B1591" s="1">
        <v>11</v>
      </c>
      <c r="C1591" s="1" t="s">
        <v>5347</v>
      </c>
      <c r="D1591" s="1" t="s">
        <v>5348</v>
      </c>
      <c r="E1591" s="2">
        <v>45973</v>
      </c>
      <c r="F1591" s="1" t="s">
        <v>554</v>
      </c>
      <c r="G1591" s="1" t="s">
        <v>5349</v>
      </c>
      <c r="H1591" s="1" t="s">
        <v>3875</v>
      </c>
      <c r="I1591" s="1">
        <v>1</v>
      </c>
      <c r="J1591" s="3">
        <v>13520</v>
      </c>
      <c r="K1591" s="3">
        <v>12944</v>
      </c>
      <c r="L1591" s="1">
        <v>0</v>
      </c>
      <c r="M1591" s="4">
        <v>0</v>
      </c>
      <c r="N1591" s="1">
        <v>576</v>
      </c>
      <c r="O1591" s="4">
        <v>4.2999999999999997E-2</v>
      </c>
      <c r="P1591" s="1" t="s">
        <v>2721</v>
      </c>
    </row>
    <row r="1592" spans="1:16">
      <c r="A1592" s="1" t="s">
        <v>722</v>
      </c>
      <c r="B1592" s="1">
        <v>11</v>
      </c>
      <c r="C1592" s="1" t="s">
        <v>5350</v>
      </c>
      <c r="D1592" s="1" t="s">
        <v>5351</v>
      </c>
      <c r="E1592" s="2">
        <v>45973</v>
      </c>
      <c r="F1592" s="1" t="s">
        <v>347</v>
      </c>
      <c r="G1592" s="1" t="s">
        <v>5352</v>
      </c>
      <c r="H1592" s="1" t="s">
        <v>5353</v>
      </c>
      <c r="I1592" s="1">
        <v>1</v>
      </c>
      <c r="J1592" s="3">
        <v>19680</v>
      </c>
      <c r="K1592" s="3">
        <v>18178</v>
      </c>
      <c r="L1592" s="1">
        <v>0</v>
      </c>
      <c r="M1592" s="4">
        <v>0</v>
      </c>
      <c r="N1592" s="3">
        <v>1502</v>
      </c>
      <c r="O1592" s="4">
        <v>7.5999999999999998E-2</v>
      </c>
      <c r="P1592" s="1" t="s">
        <v>2721</v>
      </c>
    </row>
    <row r="1593" spans="1:16">
      <c r="A1593" s="1" t="s">
        <v>722</v>
      </c>
      <c r="B1593" s="1">
        <v>11</v>
      </c>
      <c r="C1593" s="1" t="s">
        <v>5350</v>
      </c>
      <c r="D1593" s="1" t="s">
        <v>5354</v>
      </c>
      <c r="E1593" s="2">
        <v>45973</v>
      </c>
      <c r="F1593" s="1" t="s">
        <v>347</v>
      </c>
      <c r="G1593" s="1" t="s">
        <v>5355</v>
      </c>
      <c r="H1593" s="1" t="s">
        <v>5356</v>
      </c>
      <c r="I1593" s="1">
        <v>1</v>
      </c>
      <c r="J1593" s="3">
        <v>23600</v>
      </c>
      <c r="K1593" s="3">
        <v>22399</v>
      </c>
      <c r="L1593" s="1">
        <v>0</v>
      </c>
      <c r="M1593" s="4">
        <v>0</v>
      </c>
      <c r="N1593" s="3">
        <v>1201</v>
      </c>
      <c r="O1593" s="4">
        <v>5.0999999999999997E-2</v>
      </c>
      <c r="P1593" s="1" t="s">
        <v>2721</v>
      </c>
    </row>
    <row r="1594" spans="1:16">
      <c r="A1594" s="1" t="s">
        <v>739</v>
      </c>
      <c r="B1594" s="1">
        <v>11</v>
      </c>
      <c r="C1594" s="1">
        <v>31408287</v>
      </c>
      <c r="D1594" s="1" t="s">
        <v>5357</v>
      </c>
      <c r="E1594" s="2">
        <v>45973</v>
      </c>
      <c r="F1594" s="1" t="s">
        <v>2683</v>
      </c>
      <c r="G1594" s="1" t="s">
        <v>5358</v>
      </c>
      <c r="H1594" s="1" t="s">
        <v>5359</v>
      </c>
      <c r="I1594" s="1">
        <v>1</v>
      </c>
      <c r="J1594" s="3">
        <v>186000</v>
      </c>
      <c r="K1594" s="3">
        <v>154770</v>
      </c>
      <c r="L1594" s="3">
        <v>24552</v>
      </c>
      <c r="M1594" s="4">
        <v>0.13200000000000001</v>
      </c>
      <c r="N1594" s="3">
        <v>6678</v>
      </c>
      <c r="O1594" s="4">
        <v>3.5999999999999997E-2</v>
      </c>
      <c r="P1594" s="1" t="s">
        <v>2721</v>
      </c>
    </row>
    <row r="1595" spans="1:16">
      <c r="A1595" s="1" t="s">
        <v>739</v>
      </c>
      <c r="B1595" s="1">
        <v>11</v>
      </c>
      <c r="C1595" s="1">
        <v>31412698</v>
      </c>
      <c r="D1595" s="1" t="s">
        <v>3086</v>
      </c>
      <c r="E1595" s="2">
        <v>45973</v>
      </c>
      <c r="F1595" s="1" t="s">
        <v>317</v>
      </c>
      <c r="G1595" s="1" t="s">
        <v>3087</v>
      </c>
      <c r="H1595" s="1" t="s">
        <v>1268</v>
      </c>
      <c r="I1595" s="1">
        <v>1</v>
      </c>
      <c r="J1595" s="3">
        <v>31900</v>
      </c>
      <c r="K1595" s="3">
        <v>26264</v>
      </c>
      <c r="L1595" s="3">
        <v>4211</v>
      </c>
      <c r="M1595" s="4">
        <v>0.13200000000000001</v>
      </c>
      <c r="N1595" s="3">
        <v>1425</v>
      </c>
      <c r="O1595" s="4">
        <v>4.4999999999999998E-2</v>
      </c>
      <c r="P1595" s="1" t="s">
        <v>2721</v>
      </c>
    </row>
    <row r="1596" spans="1:16">
      <c r="A1596" s="1" t="s">
        <v>739</v>
      </c>
      <c r="B1596" s="1">
        <v>11</v>
      </c>
      <c r="C1596" s="1">
        <v>31412907</v>
      </c>
      <c r="D1596" s="1" t="s">
        <v>5360</v>
      </c>
      <c r="E1596" s="2">
        <v>45973</v>
      </c>
      <c r="F1596" s="1" t="s">
        <v>58</v>
      </c>
      <c r="G1596" s="1" t="s">
        <v>5361</v>
      </c>
      <c r="H1596" s="1" t="s">
        <v>5362</v>
      </c>
      <c r="I1596" s="1">
        <v>1</v>
      </c>
      <c r="J1596" s="3">
        <v>13900</v>
      </c>
      <c r="K1596" s="3">
        <v>10318</v>
      </c>
      <c r="L1596" s="3">
        <v>1835</v>
      </c>
      <c r="M1596" s="4">
        <v>0.13200000000000001</v>
      </c>
      <c r="N1596" s="3">
        <v>1747</v>
      </c>
      <c r="O1596" s="4">
        <v>0.126</v>
      </c>
      <c r="P1596" s="1" t="s">
        <v>2721</v>
      </c>
    </row>
    <row r="1597" spans="1:16">
      <c r="A1597" s="1" t="s">
        <v>756</v>
      </c>
      <c r="B1597" s="1">
        <v>11</v>
      </c>
      <c r="C1597" s="1" t="s">
        <v>5363</v>
      </c>
      <c r="D1597" s="1" t="s">
        <v>5364</v>
      </c>
      <c r="E1597" s="2">
        <v>45973</v>
      </c>
      <c r="F1597" s="1" t="s">
        <v>187</v>
      </c>
      <c r="G1597" s="1" t="s">
        <v>5365</v>
      </c>
      <c r="H1597" s="1" t="s">
        <v>5366</v>
      </c>
      <c r="I1597" s="1">
        <v>1</v>
      </c>
      <c r="J1597" s="3">
        <v>27900</v>
      </c>
      <c r="K1597" s="3">
        <v>23733</v>
      </c>
      <c r="L1597" s="1">
        <v>0</v>
      </c>
      <c r="M1597" s="4">
        <v>0</v>
      </c>
      <c r="N1597" s="3">
        <v>4167</v>
      </c>
      <c r="O1597" s="4">
        <v>0.14899999999999999</v>
      </c>
      <c r="P1597" s="1" t="s">
        <v>2723</v>
      </c>
    </row>
    <row r="1598" spans="1:16">
      <c r="A1598" s="1" t="s">
        <v>756</v>
      </c>
      <c r="B1598" s="1">
        <v>11</v>
      </c>
      <c r="C1598" s="1" t="s">
        <v>5367</v>
      </c>
      <c r="D1598" s="1" t="s">
        <v>758</v>
      </c>
      <c r="E1598" s="2">
        <v>45973</v>
      </c>
      <c r="F1598" s="1" t="s">
        <v>28</v>
      </c>
      <c r="G1598" s="1" t="s">
        <v>759</v>
      </c>
      <c r="H1598" s="1" t="s">
        <v>760</v>
      </c>
      <c r="I1598" s="1">
        <v>1</v>
      </c>
      <c r="J1598" s="3">
        <v>28950</v>
      </c>
      <c r="K1598" s="3">
        <v>25795</v>
      </c>
      <c r="L1598" s="1">
        <v>0</v>
      </c>
      <c r="M1598" s="4">
        <v>0</v>
      </c>
      <c r="N1598" s="3">
        <v>3155</v>
      </c>
      <c r="O1598" s="4">
        <v>0.109</v>
      </c>
      <c r="P1598" s="1" t="s">
        <v>2723</v>
      </c>
    </row>
    <row r="1599" spans="1:16">
      <c r="A1599" s="1" t="s">
        <v>756</v>
      </c>
      <c r="B1599" s="1">
        <v>11</v>
      </c>
      <c r="C1599" s="1" t="s">
        <v>5368</v>
      </c>
      <c r="D1599" s="1" t="s">
        <v>758</v>
      </c>
      <c r="E1599" s="2">
        <v>45973</v>
      </c>
      <c r="F1599" s="1" t="s">
        <v>28</v>
      </c>
      <c r="G1599" s="1" t="s">
        <v>759</v>
      </c>
      <c r="H1599" s="1" t="s">
        <v>760</v>
      </c>
      <c r="I1599" s="1">
        <v>1</v>
      </c>
      <c r="J1599" s="3">
        <v>28950</v>
      </c>
      <c r="K1599" s="3">
        <v>25795</v>
      </c>
      <c r="L1599" s="1">
        <v>0</v>
      </c>
      <c r="M1599" s="4">
        <v>0</v>
      </c>
      <c r="N1599" s="3">
        <v>3155</v>
      </c>
      <c r="O1599" s="4">
        <v>0.109</v>
      </c>
      <c r="P1599" s="1" t="s">
        <v>2723</v>
      </c>
    </row>
    <row r="1600" spans="1:16">
      <c r="A1600" s="1" t="s">
        <v>756</v>
      </c>
      <c r="B1600" s="1">
        <v>11</v>
      </c>
      <c r="C1600" s="1" t="s">
        <v>5369</v>
      </c>
      <c r="D1600" s="1" t="s">
        <v>5370</v>
      </c>
      <c r="E1600" s="2">
        <v>45973</v>
      </c>
      <c r="F1600" s="1" t="s">
        <v>725</v>
      </c>
      <c r="G1600" s="1" t="s">
        <v>5371</v>
      </c>
      <c r="H1600" s="1" t="s">
        <v>5372</v>
      </c>
      <c r="I1600" s="1">
        <v>1</v>
      </c>
      <c r="J1600" s="3">
        <v>168640</v>
      </c>
      <c r="K1600" s="3">
        <v>156177</v>
      </c>
      <c r="L1600" s="1">
        <v>0</v>
      </c>
      <c r="M1600" s="4">
        <v>0</v>
      </c>
      <c r="N1600" s="3">
        <v>12463</v>
      </c>
      <c r="O1600" s="4">
        <v>7.3999999999999996E-2</v>
      </c>
      <c r="P1600" s="1" t="s">
        <v>2723</v>
      </c>
    </row>
    <row r="1601" spans="1:16">
      <c r="A1601" s="1" t="s">
        <v>2179</v>
      </c>
      <c r="B1601" s="1">
        <v>11</v>
      </c>
      <c r="C1601" s="1">
        <v>2.0251111205114099E+18</v>
      </c>
      <c r="D1601" s="1" t="s">
        <v>719</v>
      </c>
      <c r="E1601" s="2">
        <v>45973</v>
      </c>
      <c r="F1601" s="1" t="s">
        <v>239</v>
      </c>
      <c r="G1601" s="1" t="s">
        <v>720</v>
      </c>
      <c r="H1601" s="1" t="s">
        <v>3294</v>
      </c>
      <c r="I1601" s="1">
        <v>1</v>
      </c>
      <c r="J1601" s="3">
        <v>11600</v>
      </c>
      <c r="K1601" s="3">
        <v>10787</v>
      </c>
      <c r="L1601" s="1">
        <v>0</v>
      </c>
      <c r="M1601" s="4">
        <v>0</v>
      </c>
      <c r="N1601" s="1">
        <v>813</v>
      </c>
      <c r="O1601" s="4">
        <v>7.0000000000000007E-2</v>
      </c>
      <c r="P1601" s="1" t="s">
        <v>2723</v>
      </c>
    </row>
    <row r="1602" spans="1:16">
      <c r="A1602" s="1" t="s">
        <v>2179</v>
      </c>
      <c r="B1602" s="1">
        <v>11</v>
      </c>
      <c r="C1602" s="1">
        <v>2.0251111205114099E+18</v>
      </c>
      <c r="D1602" s="1" t="s">
        <v>5373</v>
      </c>
      <c r="E1602" s="2">
        <v>45973</v>
      </c>
      <c r="F1602" s="1" t="s">
        <v>239</v>
      </c>
      <c r="G1602" s="1" t="s">
        <v>5374</v>
      </c>
      <c r="H1602" s="1" t="s">
        <v>5375</v>
      </c>
      <c r="I1602" s="1">
        <v>1</v>
      </c>
      <c r="J1602" s="3">
        <v>11600</v>
      </c>
      <c r="K1602" s="3">
        <v>10787</v>
      </c>
      <c r="L1602" s="1">
        <v>0</v>
      </c>
      <c r="M1602" s="4">
        <v>0</v>
      </c>
      <c r="N1602" s="1">
        <v>813</v>
      </c>
      <c r="O1602" s="4">
        <v>7.0000000000000007E-2</v>
      </c>
      <c r="P1602" s="1" t="s">
        <v>2723</v>
      </c>
    </row>
    <row r="1603" spans="1:16">
      <c r="A1603" s="1" t="s">
        <v>2179</v>
      </c>
      <c r="B1603" s="1">
        <v>11</v>
      </c>
      <c r="C1603" s="1">
        <v>2.0251111205114099E+18</v>
      </c>
      <c r="D1603" s="1" t="s">
        <v>2673</v>
      </c>
      <c r="E1603" s="2">
        <v>45973</v>
      </c>
      <c r="F1603" s="1" t="s">
        <v>239</v>
      </c>
      <c r="G1603" s="1" t="s">
        <v>2674</v>
      </c>
      <c r="H1603" s="1" t="s">
        <v>3368</v>
      </c>
      <c r="I1603" s="1">
        <v>1</v>
      </c>
      <c r="J1603" s="3">
        <v>11600</v>
      </c>
      <c r="K1603" s="3">
        <v>10787</v>
      </c>
      <c r="L1603" s="1">
        <v>0</v>
      </c>
      <c r="M1603" s="4">
        <v>0</v>
      </c>
      <c r="N1603" s="1">
        <v>813</v>
      </c>
      <c r="O1603" s="4">
        <v>7.0000000000000007E-2</v>
      </c>
      <c r="P1603" s="1" t="s">
        <v>2723</v>
      </c>
    </row>
    <row r="1604" spans="1:16">
      <c r="A1604" s="1" t="s">
        <v>2179</v>
      </c>
      <c r="B1604" s="1">
        <v>11</v>
      </c>
      <c r="C1604" s="1">
        <v>2.0251111103722099E+18</v>
      </c>
      <c r="D1604" s="1" t="s">
        <v>5376</v>
      </c>
      <c r="E1604" s="2">
        <v>45973</v>
      </c>
      <c r="F1604" s="1" t="s">
        <v>1403</v>
      </c>
      <c r="G1604" s="1" t="s">
        <v>5377</v>
      </c>
      <c r="I1604" s="1">
        <v>1</v>
      </c>
      <c r="J1604" s="3">
        <v>14200</v>
      </c>
      <c r="K1604" s="3">
        <v>13038</v>
      </c>
      <c r="L1604" s="1">
        <v>0</v>
      </c>
      <c r="M1604" s="4">
        <v>0</v>
      </c>
      <c r="N1604" s="3">
        <v>1162</v>
      </c>
      <c r="O1604" s="4">
        <v>8.2000000000000003E-2</v>
      </c>
      <c r="P1604" s="1" t="s">
        <v>2723</v>
      </c>
    </row>
    <row r="1605" spans="1:16">
      <c r="A1605" s="1" t="s">
        <v>761</v>
      </c>
      <c r="B1605" s="1">
        <v>11</v>
      </c>
      <c r="C1605" s="1" t="s">
        <v>5378</v>
      </c>
      <c r="D1605" s="1" t="s">
        <v>5379</v>
      </c>
      <c r="E1605" s="2">
        <v>45973</v>
      </c>
      <c r="F1605" s="1" t="s">
        <v>2188</v>
      </c>
      <c r="G1605" s="1" t="s">
        <v>5380</v>
      </c>
      <c r="I1605" s="1">
        <v>1</v>
      </c>
      <c r="J1605" s="3">
        <v>31730</v>
      </c>
      <c r="K1605" s="3">
        <v>29500</v>
      </c>
      <c r="L1605" s="1">
        <v>0</v>
      </c>
      <c r="M1605" s="4">
        <v>0</v>
      </c>
      <c r="N1605" s="3">
        <v>2230</v>
      </c>
      <c r="O1605" s="4">
        <v>7.0000000000000007E-2</v>
      </c>
      <c r="P1605" s="1" t="s">
        <v>2723</v>
      </c>
    </row>
    <row r="1606" spans="1:16">
      <c r="A1606" s="1" t="s">
        <v>2193</v>
      </c>
      <c r="B1606" s="1">
        <v>11</v>
      </c>
      <c r="C1606" s="1">
        <v>30260969</v>
      </c>
      <c r="D1606" s="1" t="s">
        <v>5381</v>
      </c>
      <c r="E1606" s="2">
        <v>45973</v>
      </c>
      <c r="F1606" s="1" t="s">
        <v>96</v>
      </c>
      <c r="G1606" s="1" t="s">
        <v>5382</v>
      </c>
      <c r="H1606" s="1" t="s">
        <v>5383</v>
      </c>
      <c r="I1606" s="1">
        <v>1</v>
      </c>
      <c r="J1606" s="3">
        <v>12024</v>
      </c>
      <c r="K1606" s="3">
        <v>11132</v>
      </c>
      <c r="L1606" s="1">
        <v>0</v>
      </c>
      <c r="M1606" s="4">
        <v>0</v>
      </c>
      <c r="N1606" s="1">
        <v>892</v>
      </c>
      <c r="O1606" s="4">
        <v>7.3999999999999996E-2</v>
      </c>
      <c r="P1606" s="1" t="s">
        <v>2723</v>
      </c>
    </row>
    <row r="1607" spans="1:16">
      <c r="A1607" s="1" t="s">
        <v>763</v>
      </c>
      <c r="B1607" s="1">
        <v>11</v>
      </c>
      <c r="C1607" s="1" t="s">
        <v>5384</v>
      </c>
      <c r="D1607" s="1" t="s">
        <v>5385</v>
      </c>
      <c r="E1607" s="2">
        <v>45973</v>
      </c>
      <c r="F1607" s="1" t="s">
        <v>2188</v>
      </c>
      <c r="G1607" s="1" t="s">
        <v>5386</v>
      </c>
      <c r="I1607" s="1">
        <v>2</v>
      </c>
      <c r="J1607" s="3">
        <v>22800</v>
      </c>
      <c r="K1607" s="3">
        <v>20800</v>
      </c>
      <c r="L1607" s="1">
        <v>0</v>
      </c>
      <c r="M1607" s="4">
        <v>0</v>
      </c>
      <c r="N1607" s="3">
        <v>2000</v>
      </c>
      <c r="O1607" s="4">
        <v>8.7999999999999995E-2</v>
      </c>
      <c r="P1607" s="1" t="s">
        <v>2723</v>
      </c>
    </row>
    <row r="1608" spans="1:16">
      <c r="A1608" s="1" t="s">
        <v>763</v>
      </c>
      <c r="B1608" s="1">
        <v>11</v>
      </c>
      <c r="C1608" s="1" t="s">
        <v>5387</v>
      </c>
      <c r="D1608" s="1" t="s">
        <v>2107</v>
      </c>
      <c r="E1608" s="2">
        <v>45973</v>
      </c>
      <c r="F1608" s="1" t="s">
        <v>554</v>
      </c>
      <c r="G1608" s="1" t="s">
        <v>2108</v>
      </c>
      <c r="H1608" s="1" t="s">
        <v>5388</v>
      </c>
      <c r="I1608" s="1">
        <v>1</v>
      </c>
      <c r="J1608" s="3">
        <v>22270</v>
      </c>
      <c r="K1608" s="3">
        <v>20214</v>
      </c>
      <c r="L1608" s="1">
        <v>0</v>
      </c>
      <c r="M1608" s="4">
        <v>0</v>
      </c>
      <c r="N1608" s="3">
        <v>2056</v>
      </c>
      <c r="O1608" s="4">
        <v>9.1999999999999998E-2</v>
      </c>
      <c r="P1608" s="1" t="s">
        <v>2723</v>
      </c>
    </row>
    <row r="1609" spans="1:16">
      <c r="A1609" s="1" t="s">
        <v>763</v>
      </c>
      <c r="B1609" s="1">
        <v>11</v>
      </c>
      <c r="C1609" s="1" t="s">
        <v>5389</v>
      </c>
      <c r="D1609" s="1" t="s">
        <v>4574</v>
      </c>
      <c r="E1609" s="2">
        <v>45973</v>
      </c>
      <c r="F1609" s="1" t="s">
        <v>2188</v>
      </c>
      <c r="G1609" s="1" t="s">
        <v>4575</v>
      </c>
      <c r="H1609" s="1" t="s">
        <v>4576</v>
      </c>
      <c r="I1609" s="1">
        <v>1</v>
      </c>
      <c r="J1609" s="3">
        <v>15500</v>
      </c>
      <c r="K1609" s="3">
        <v>14000</v>
      </c>
      <c r="L1609" s="1">
        <v>0</v>
      </c>
      <c r="M1609" s="4">
        <v>0</v>
      </c>
      <c r="N1609" s="3">
        <v>1500</v>
      </c>
      <c r="O1609" s="4">
        <v>9.7000000000000003E-2</v>
      </c>
      <c r="P1609" s="1" t="s">
        <v>2723</v>
      </c>
    </row>
    <row r="1610" spans="1:16">
      <c r="A1610" s="1" t="s">
        <v>763</v>
      </c>
      <c r="B1610" s="1">
        <v>11</v>
      </c>
      <c r="C1610" s="1" t="s">
        <v>5390</v>
      </c>
      <c r="D1610" s="1" t="s">
        <v>715</v>
      </c>
      <c r="E1610" s="2">
        <v>45973</v>
      </c>
      <c r="F1610" s="1" t="s">
        <v>500</v>
      </c>
      <c r="G1610" s="1" t="s">
        <v>716</v>
      </c>
      <c r="I1610" s="1">
        <v>1</v>
      </c>
      <c r="J1610" s="3">
        <v>121380</v>
      </c>
      <c r="K1610" s="3">
        <v>111200</v>
      </c>
      <c r="L1610" s="1">
        <v>0</v>
      </c>
      <c r="M1610" s="4">
        <v>0</v>
      </c>
      <c r="N1610" s="3">
        <v>10180</v>
      </c>
      <c r="O1610" s="4">
        <v>8.4000000000000005E-2</v>
      </c>
      <c r="P1610" s="1" t="s">
        <v>2723</v>
      </c>
    </row>
    <row r="1611" spans="1:16">
      <c r="A1611" s="1" t="s">
        <v>763</v>
      </c>
      <c r="B1611" s="1">
        <v>11</v>
      </c>
      <c r="C1611" s="1" t="s">
        <v>5391</v>
      </c>
      <c r="D1611" s="1" t="s">
        <v>2205</v>
      </c>
      <c r="E1611" s="2">
        <v>45973</v>
      </c>
      <c r="F1611" s="1" t="s">
        <v>2206</v>
      </c>
      <c r="G1611" s="1" t="s">
        <v>2207</v>
      </c>
      <c r="H1611" s="1" t="s">
        <v>2208</v>
      </c>
      <c r="I1611" s="1">
        <v>1</v>
      </c>
      <c r="J1611" s="3">
        <v>22610</v>
      </c>
      <c r="K1611" s="3">
        <v>20437</v>
      </c>
      <c r="L1611" s="1">
        <v>0</v>
      </c>
      <c r="M1611" s="4">
        <v>0</v>
      </c>
      <c r="N1611" s="3">
        <v>2173</v>
      </c>
      <c r="O1611" s="4">
        <v>9.6000000000000002E-2</v>
      </c>
      <c r="P1611" s="1" t="s">
        <v>2723</v>
      </c>
    </row>
    <row r="1612" spans="1:16">
      <c r="A1612" s="1" t="s">
        <v>602</v>
      </c>
      <c r="B1612" s="1">
        <v>11</v>
      </c>
      <c r="C1612" s="1">
        <v>23100152433537</v>
      </c>
      <c r="D1612" s="1" t="s">
        <v>4364</v>
      </c>
      <c r="E1612" s="2">
        <v>45973</v>
      </c>
      <c r="F1612" s="1" t="s">
        <v>604</v>
      </c>
      <c r="G1612" s="1" t="s">
        <v>4365</v>
      </c>
      <c r="H1612" s="1" t="s">
        <v>5392</v>
      </c>
      <c r="I1612" s="1">
        <v>3</v>
      </c>
      <c r="J1612" s="3">
        <v>42800</v>
      </c>
      <c r="K1612" s="3">
        <v>32200</v>
      </c>
      <c r="L1612" s="3">
        <v>4965</v>
      </c>
      <c r="M1612" s="4">
        <v>0.11600000000000001</v>
      </c>
      <c r="N1612" s="3">
        <v>5635</v>
      </c>
      <c r="O1612" s="4">
        <v>0.13200000000000001</v>
      </c>
      <c r="P1612" s="1" t="s">
        <v>2721</v>
      </c>
    </row>
    <row r="1613" spans="1:16">
      <c r="A1613" s="1" t="s">
        <v>630</v>
      </c>
      <c r="B1613" s="1">
        <v>11</v>
      </c>
      <c r="C1613" s="1">
        <v>1117157092758090</v>
      </c>
      <c r="D1613" s="1" t="s">
        <v>627</v>
      </c>
      <c r="E1613" s="2">
        <v>45973</v>
      </c>
      <c r="F1613" s="1" t="s">
        <v>604</v>
      </c>
      <c r="G1613" s="1" t="s">
        <v>628</v>
      </c>
      <c r="H1613" s="1" t="s">
        <v>631</v>
      </c>
      <c r="I1613" s="1">
        <v>6</v>
      </c>
      <c r="J1613" s="3">
        <v>37830</v>
      </c>
      <c r="K1613" s="3">
        <v>13300</v>
      </c>
      <c r="L1613" s="3">
        <v>2497</v>
      </c>
      <c r="M1613" s="4">
        <v>6.6000000000000003E-2</v>
      </c>
      <c r="N1613" s="3">
        <v>22033</v>
      </c>
      <c r="O1613" s="4">
        <v>0.58199999999999996</v>
      </c>
      <c r="P1613" s="1" t="s">
        <v>2721</v>
      </c>
    </row>
    <row r="1614" spans="1:16">
      <c r="A1614" s="1" t="s">
        <v>630</v>
      </c>
      <c r="B1614" s="1">
        <v>11</v>
      </c>
      <c r="C1614" s="1">
        <v>1117159945831290</v>
      </c>
      <c r="D1614" s="1" t="s">
        <v>627</v>
      </c>
      <c r="E1614" s="2">
        <v>45973</v>
      </c>
      <c r="F1614" s="1" t="s">
        <v>604</v>
      </c>
      <c r="G1614" s="1" t="s">
        <v>628</v>
      </c>
      <c r="H1614" s="1" t="s">
        <v>1848</v>
      </c>
      <c r="I1614" s="1">
        <v>2</v>
      </c>
      <c r="J1614" s="3">
        <v>13500</v>
      </c>
      <c r="K1614" s="3">
        <v>6100</v>
      </c>
      <c r="L1614" s="1">
        <v>891</v>
      </c>
      <c r="M1614" s="4">
        <v>6.6000000000000003E-2</v>
      </c>
      <c r="N1614" s="3">
        <v>6509</v>
      </c>
      <c r="O1614" s="4">
        <v>0.48199999999999998</v>
      </c>
      <c r="P1614" s="1" t="s">
        <v>2721</v>
      </c>
    </row>
    <row r="1615" spans="1:16">
      <c r="A1615" s="1" t="s">
        <v>626</v>
      </c>
      <c r="B1615" s="1">
        <v>11</v>
      </c>
      <c r="C1615" s="1">
        <v>69099608</v>
      </c>
      <c r="D1615" s="1" t="s">
        <v>627</v>
      </c>
      <c r="E1615" s="2">
        <v>45973</v>
      </c>
      <c r="F1615" s="1" t="s">
        <v>604</v>
      </c>
      <c r="G1615" s="1" t="s">
        <v>628</v>
      </c>
      <c r="H1615" s="1" t="s">
        <v>2271</v>
      </c>
      <c r="I1615" s="1">
        <v>2</v>
      </c>
      <c r="J1615" s="3">
        <v>12800</v>
      </c>
      <c r="K1615" s="3">
        <v>3600</v>
      </c>
      <c r="L1615" s="3">
        <v>1408</v>
      </c>
      <c r="M1615" s="4">
        <v>0.11</v>
      </c>
      <c r="N1615" s="3">
        <v>7792</v>
      </c>
      <c r="O1615" s="4">
        <v>0.60899999999999999</v>
      </c>
      <c r="P1615" s="1" t="s">
        <v>2721</v>
      </c>
    </row>
    <row r="1616" spans="1:16">
      <c r="A1616" s="1" t="s">
        <v>15</v>
      </c>
      <c r="B1616" s="1">
        <v>11</v>
      </c>
      <c r="C1616" s="1" t="s">
        <v>5393</v>
      </c>
      <c r="D1616" s="1" t="s">
        <v>1359</v>
      </c>
      <c r="E1616" s="2">
        <v>45974</v>
      </c>
      <c r="F1616" s="1" t="s">
        <v>63</v>
      </c>
      <c r="G1616" s="1" t="s">
        <v>1360</v>
      </c>
      <c r="H1616" s="1" t="s">
        <v>1361</v>
      </c>
      <c r="I1616" s="1">
        <v>1</v>
      </c>
      <c r="J1616" s="3">
        <v>30765</v>
      </c>
      <c r="K1616" s="3">
        <v>29357</v>
      </c>
      <c r="L1616" s="1">
        <v>0</v>
      </c>
      <c r="M1616" s="4">
        <v>0</v>
      </c>
      <c r="N1616" s="3">
        <v>1408</v>
      </c>
      <c r="O1616" s="4">
        <v>4.5999999999999999E-2</v>
      </c>
      <c r="P1616" s="1" t="s">
        <v>2721</v>
      </c>
    </row>
    <row r="1617" spans="1:16">
      <c r="A1617" s="1" t="s">
        <v>15</v>
      </c>
      <c r="B1617" s="1">
        <v>11</v>
      </c>
      <c r="C1617" s="1" t="s">
        <v>5393</v>
      </c>
      <c r="D1617" s="1" t="s">
        <v>5394</v>
      </c>
      <c r="E1617" s="2">
        <v>45974</v>
      </c>
      <c r="F1617" s="1" t="s">
        <v>63</v>
      </c>
      <c r="G1617" s="1" t="s">
        <v>5395</v>
      </c>
      <c r="H1617" s="1" t="s">
        <v>5396</v>
      </c>
      <c r="I1617" s="1">
        <v>1</v>
      </c>
      <c r="J1617" s="3">
        <v>53937</v>
      </c>
      <c r="K1617" s="3">
        <v>51468</v>
      </c>
      <c r="L1617" s="1">
        <v>0</v>
      </c>
      <c r="M1617" s="4">
        <v>0</v>
      </c>
      <c r="N1617" s="3">
        <v>2469</v>
      </c>
      <c r="O1617" s="4">
        <v>4.5999999999999999E-2</v>
      </c>
      <c r="P1617" s="1" t="s">
        <v>2721</v>
      </c>
    </row>
    <row r="1618" spans="1:16">
      <c r="A1618" s="1" t="s">
        <v>15</v>
      </c>
      <c r="B1618" s="1">
        <v>11</v>
      </c>
      <c r="C1618" s="1" t="s">
        <v>5393</v>
      </c>
      <c r="D1618" s="1" t="s">
        <v>116</v>
      </c>
      <c r="E1618" s="2">
        <v>45974</v>
      </c>
      <c r="F1618" s="1" t="s">
        <v>63</v>
      </c>
      <c r="G1618" s="1" t="s">
        <v>117</v>
      </c>
      <c r="H1618" s="1" t="s">
        <v>2400</v>
      </c>
      <c r="I1618" s="1">
        <v>1</v>
      </c>
      <c r="J1618" s="3">
        <v>32001</v>
      </c>
      <c r="K1618" s="3">
        <v>30536</v>
      </c>
      <c r="L1618" s="1">
        <v>0</v>
      </c>
      <c r="M1618" s="4">
        <v>0</v>
      </c>
      <c r="N1618" s="3">
        <v>1465</v>
      </c>
      <c r="O1618" s="4">
        <v>4.5999999999999999E-2</v>
      </c>
      <c r="P1618" s="1" t="s">
        <v>2721</v>
      </c>
    </row>
    <row r="1619" spans="1:16">
      <c r="A1619" s="1" t="s">
        <v>15</v>
      </c>
      <c r="B1619" s="1">
        <v>11</v>
      </c>
      <c r="C1619" s="1" t="s">
        <v>5397</v>
      </c>
      <c r="D1619" s="1" t="s">
        <v>939</v>
      </c>
      <c r="E1619" s="2">
        <v>45974</v>
      </c>
      <c r="F1619" s="1" t="s">
        <v>96</v>
      </c>
      <c r="G1619" s="1" t="s">
        <v>940</v>
      </c>
      <c r="H1619" s="1" t="s">
        <v>941</v>
      </c>
      <c r="I1619" s="1">
        <v>1</v>
      </c>
      <c r="J1619" s="3">
        <v>13475</v>
      </c>
      <c r="K1619" s="3">
        <v>12858</v>
      </c>
      <c r="L1619" s="1">
        <v>0</v>
      </c>
      <c r="M1619" s="4">
        <v>0</v>
      </c>
      <c r="N1619" s="1">
        <v>617</v>
      </c>
      <c r="O1619" s="4">
        <v>4.5999999999999999E-2</v>
      </c>
      <c r="P1619" s="1" t="s">
        <v>2721</v>
      </c>
    </row>
    <row r="1620" spans="1:16">
      <c r="A1620" s="1" t="s">
        <v>15</v>
      </c>
      <c r="B1620" s="1">
        <v>11</v>
      </c>
      <c r="C1620" s="1" t="s">
        <v>5398</v>
      </c>
      <c r="D1620" s="1" t="s">
        <v>132</v>
      </c>
      <c r="E1620" s="2">
        <v>45974</v>
      </c>
      <c r="F1620" s="1" t="s">
        <v>53</v>
      </c>
      <c r="G1620" s="1" t="s">
        <v>133</v>
      </c>
      <c r="H1620" s="1" t="s">
        <v>88</v>
      </c>
      <c r="I1620" s="1">
        <v>1</v>
      </c>
      <c r="J1620" s="3">
        <v>17036</v>
      </c>
      <c r="K1620" s="3">
        <v>16256</v>
      </c>
      <c r="L1620" s="1">
        <v>0</v>
      </c>
      <c r="M1620" s="4">
        <v>0</v>
      </c>
      <c r="N1620" s="1">
        <v>780</v>
      </c>
      <c r="O1620" s="4">
        <v>4.5999999999999999E-2</v>
      </c>
      <c r="P1620" s="1" t="s">
        <v>2721</v>
      </c>
    </row>
    <row r="1621" spans="1:16">
      <c r="A1621" s="1" t="s">
        <v>15</v>
      </c>
      <c r="B1621" s="1">
        <v>11</v>
      </c>
      <c r="C1621" s="1" t="s">
        <v>5399</v>
      </c>
      <c r="D1621" s="1" t="s">
        <v>3762</v>
      </c>
      <c r="E1621" s="2">
        <v>45974</v>
      </c>
      <c r="F1621" s="1" t="s">
        <v>96</v>
      </c>
      <c r="G1621" s="1" t="s">
        <v>596</v>
      </c>
      <c r="H1621" s="1" t="s">
        <v>597</v>
      </c>
      <c r="I1621" s="1">
        <v>1</v>
      </c>
      <c r="J1621" s="3">
        <v>11666</v>
      </c>
      <c r="K1621" s="3">
        <v>11132</v>
      </c>
      <c r="L1621" s="1">
        <v>0</v>
      </c>
      <c r="M1621" s="4">
        <v>0</v>
      </c>
      <c r="N1621" s="1">
        <v>534</v>
      </c>
      <c r="O1621" s="4">
        <v>4.5999999999999999E-2</v>
      </c>
      <c r="P1621" s="1" t="s">
        <v>2721</v>
      </c>
    </row>
    <row r="1622" spans="1:16">
      <c r="A1622" s="1" t="s">
        <v>15</v>
      </c>
      <c r="B1622" s="1">
        <v>11</v>
      </c>
      <c r="C1622" s="1" t="s">
        <v>5399</v>
      </c>
      <c r="D1622" s="1" t="s">
        <v>244</v>
      </c>
      <c r="E1622" s="2">
        <v>45974</v>
      </c>
      <c r="F1622" s="1" t="s">
        <v>53</v>
      </c>
      <c r="G1622" s="1" t="s">
        <v>245</v>
      </c>
      <c r="H1622" s="1" t="s">
        <v>1166</v>
      </c>
      <c r="I1622" s="1">
        <v>1</v>
      </c>
      <c r="J1622" s="3">
        <v>8272</v>
      </c>
      <c r="K1622" s="3">
        <v>7893</v>
      </c>
      <c r="L1622" s="1">
        <v>0</v>
      </c>
      <c r="M1622" s="4">
        <v>0</v>
      </c>
      <c r="N1622" s="1">
        <v>379</v>
      </c>
      <c r="O1622" s="4">
        <v>4.5999999999999999E-2</v>
      </c>
      <c r="P1622" s="1" t="s">
        <v>2721</v>
      </c>
    </row>
    <row r="1623" spans="1:16">
      <c r="A1623" s="1" t="s">
        <v>15</v>
      </c>
      <c r="B1623" s="1">
        <v>11</v>
      </c>
      <c r="C1623" s="1" t="s">
        <v>5400</v>
      </c>
      <c r="D1623" s="1" t="s">
        <v>5401</v>
      </c>
      <c r="E1623" s="2">
        <v>45974</v>
      </c>
      <c r="F1623" s="1" t="s">
        <v>355</v>
      </c>
      <c r="G1623" s="1" t="s">
        <v>5402</v>
      </c>
      <c r="H1623" s="1" t="s">
        <v>5403</v>
      </c>
      <c r="I1623" s="1">
        <v>1</v>
      </c>
      <c r="J1623" s="3">
        <v>686134</v>
      </c>
      <c r="K1623" s="3">
        <v>654724</v>
      </c>
      <c r="L1623" s="1">
        <v>0</v>
      </c>
      <c r="M1623" s="4">
        <v>0</v>
      </c>
      <c r="N1623" s="3">
        <v>31410</v>
      </c>
      <c r="O1623" s="4">
        <v>4.5999999999999999E-2</v>
      </c>
      <c r="P1623" s="1" t="s">
        <v>2721</v>
      </c>
    </row>
    <row r="1624" spans="1:16">
      <c r="A1624" s="1" t="s">
        <v>15</v>
      </c>
      <c r="B1624" s="1">
        <v>11</v>
      </c>
      <c r="C1624" s="1" t="s">
        <v>5404</v>
      </c>
      <c r="D1624" s="1" t="s">
        <v>5405</v>
      </c>
      <c r="E1624" s="2">
        <v>45974</v>
      </c>
      <c r="F1624" s="1" t="s">
        <v>646</v>
      </c>
      <c r="G1624" s="1" t="s">
        <v>5406</v>
      </c>
      <c r="H1624" s="1" t="s">
        <v>1921</v>
      </c>
      <c r="I1624" s="1">
        <v>1</v>
      </c>
      <c r="J1624" s="3">
        <v>137915</v>
      </c>
      <c r="K1624" s="3">
        <v>131601</v>
      </c>
      <c r="L1624" s="1">
        <v>0</v>
      </c>
      <c r="M1624" s="4">
        <v>0</v>
      </c>
      <c r="N1624" s="3">
        <v>6314</v>
      </c>
      <c r="O1624" s="4">
        <v>4.5999999999999999E-2</v>
      </c>
      <c r="P1624" s="1" t="s">
        <v>2721</v>
      </c>
    </row>
    <row r="1625" spans="1:16">
      <c r="A1625" s="1" t="s">
        <v>15</v>
      </c>
      <c r="B1625" s="1">
        <v>11</v>
      </c>
      <c r="C1625" s="1" t="s">
        <v>5407</v>
      </c>
      <c r="D1625" s="1" t="s">
        <v>4770</v>
      </c>
      <c r="E1625" s="2">
        <v>45974</v>
      </c>
      <c r="F1625" s="1" t="s">
        <v>355</v>
      </c>
      <c r="G1625" s="1" t="s">
        <v>4771</v>
      </c>
      <c r="H1625" s="1" t="s">
        <v>5408</v>
      </c>
      <c r="I1625" s="1">
        <v>1</v>
      </c>
      <c r="J1625" s="3">
        <v>520990</v>
      </c>
      <c r="K1625" s="3">
        <v>497140</v>
      </c>
      <c r="L1625" s="1">
        <v>0</v>
      </c>
      <c r="M1625" s="4">
        <v>0</v>
      </c>
      <c r="N1625" s="3">
        <v>23850</v>
      </c>
      <c r="O1625" s="4">
        <v>4.5999999999999999E-2</v>
      </c>
      <c r="P1625" s="1" t="s">
        <v>2721</v>
      </c>
    </row>
    <row r="1626" spans="1:16">
      <c r="A1626" s="1" t="s">
        <v>15</v>
      </c>
      <c r="B1626" s="1">
        <v>11</v>
      </c>
      <c r="C1626" s="1" t="s">
        <v>5409</v>
      </c>
      <c r="D1626" s="1" t="s">
        <v>782</v>
      </c>
      <c r="E1626" s="2">
        <v>45974</v>
      </c>
      <c r="F1626" s="1" t="s">
        <v>783</v>
      </c>
      <c r="G1626" s="1" t="s">
        <v>784</v>
      </c>
      <c r="H1626" s="1" t="s">
        <v>785</v>
      </c>
      <c r="I1626" s="1">
        <v>1</v>
      </c>
      <c r="J1626" s="3">
        <v>15925</v>
      </c>
      <c r="K1626" s="3">
        <v>15196</v>
      </c>
      <c r="L1626" s="1">
        <v>0</v>
      </c>
      <c r="M1626" s="4">
        <v>0</v>
      </c>
      <c r="N1626" s="1">
        <v>729</v>
      </c>
      <c r="O1626" s="4">
        <v>4.5999999999999999E-2</v>
      </c>
      <c r="P1626" s="1" t="s">
        <v>2721</v>
      </c>
    </row>
    <row r="1627" spans="1:16">
      <c r="A1627" s="1" t="s">
        <v>15</v>
      </c>
      <c r="B1627" s="1">
        <v>11</v>
      </c>
      <c r="C1627" s="1" t="s">
        <v>5410</v>
      </c>
      <c r="D1627" s="1" t="s">
        <v>878</v>
      </c>
      <c r="E1627" s="2">
        <v>45974</v>
      </c>
      <c r="F1627" s="1" t="s">
        <v>856</v>
      </c>
      <c r="G1627" s="1" t="s">
        <v>879</v>
      </c>
      <c r="H1627" s="1" t="s">
        <v>880</v>
      </c>
      <c r="I1627" s="1">
        <v>1</v>
      </c>
      <c r="J1627" s="3">
        <v>89453</v>
      </c>
      <c r="K1627" s="3">
        <v>85358</v>
      </c>
      <c r="L1627" s="1">
        <v>0</v>
      </c>
      <c r="M1627" s="4">
        <v>0</v>
      </c>
      <c r="N1627" s="3">
        <v>4095</v>
      </c>
      <c r="O1627" s="4">
        <v>4.5999999999999999E-2</v>
      </c>
      <c r="P1627" s="1" t="s">
        <v>2721</v>
      </c>
    </row>
    <row r="1628" spans="1:16">
      <c r="A1628" s="1" t="s">
        <v>15</v>
      </c>
      <c r="B1628" s="1">
        <v>11</v>
      </c>
      <c r="C1628" s="1" t="s">
        <v>5411</v>
      </c>
      <c r="D1628" s="1" t="s">
        <v>178</v>
      </c>
      <c r="E1628" s="2">
        <v>45974</v>
      </c>
      <c r="F1628" s="1" t="s">
        <v>96</v>
      </c>
      <c r="G1628" s="1" t="s">
        <v>179</v>
      </c>
      <c r="H1628" s="1" t="s">
        <v>180</v>
      </c>
      <c r="I1628" s="1">
        <v>1</v>
      </c>
      <c r="J1628" s="3">
        <v>15284</v>
      </c>
      <c r="K1628" s="3">
        <v>14584</v>
      </c>
      <c r="L1628" s="1">
        <v>0</v>
      </c>
      <c r="M1628" s="4">
        <v>0</v>
      </c>
      <c r="N1628" s="1">
        <v>700</v>
      </c>
      <c r="O1628" s="4">
        <v>4.5999999999999999E-2</v>
      </c>
      <c r="P1628" s="1" t="s">
        <v>2721</v>
      </c>
    </row>
    <row r="1629" spans="1:16">
      <c r="A1629" s="1" t="s">
        <v>15</v>
      </c>
      <c r="B1629" s="1">
        <v>11</v>
      </c>
      <c r="C1629" s="1" t="s">
        <v>5412</v>
      </c>
      <c r="D1629" s="1" t="s">
        <v>311</v>
      </c>
      <c r="E1629" s="2">
        <v>45974</v>
      </c>
      <c r="F1629" s="1" t="s">
        <v>312</v>
      </c>
      <c r="G1629" s="1" t="s">
        <v>313</v>
      </c>
      <c r="H1629" s="1" t="s">
        <v>4802</v>
      </c>
      <c r="I1629" s="1">
        <v>1</v>
      </c>
      <c r="J1629" s="3">
        <v>28310</v>
      </c>
      <c r="K1629" s="3">
        <v>27014</v>
      </c>
      <c r="L1629" s="1">
        <v>0</v>
      </c>
      <c r="M1629" s="4">
        <v>0</v>
      </c>
      <c r="N1629" s="3">
        <v>1296</v>
      </c>
      <c r="O1629" s="4">
        <v>4.5999999999999999E-2</v>
      </c>
      <c r="P1629" s="1" t="s">
        <v>2721</v>
      </c>
    </row>
    <row r="1630" spans="1:16">
      <c r="A1630" s="1" t="s">
        <v>15</v>
      </c>
      <c r="B1630" s="1">
        <v>11</v>
      </c>
      <c r="C1630" s="1" t="s">
        <v>5413</v>
      </c>
      <c r="D1630" s="1" t="s">
        <v>32</v>
      </c>
      <c r="E1630" s="2">
        <v>45974</v>
      </c>
      <c r="F1630" s="1" t="s">
        <v>33</v>
      </c>
      <c r="G1630" s="1" t="s">
        <v>34</v>
      </c>
      <c r="H1630" s="1" t="s">
        <v>5414</v>
      </c>
      <c r="I1630" s="1">
        <v>1</v>
      </c>
      <c r="J1630" s="3">
        <v>100655</v>
      </c>
      <c r="K1630" s="3">
        <v>96047</v>
      </c>
      <c r="L1630" s="1">
        <v>0</v>
      </c>
      <c r="M1630" s="4">
        <v>0</v>
      </c>
      <c r="N1630" s="3">
        <v>4608</v>
      </c>
      <c r="O1630" s="4">
        <v>4.5999999999999999E-2</v>
      </c>
      <c r="P1630" s="1" t="s">
        <v>2721</v>
      </c>
    </row>
    <row r="1631" spans="1:16">
      <c r="A1631" s="1" t="s">
        <v>15</v>
      </c>
      <c r="B1631" s="1">
        <v>11</v>
      </c>
      <c r="C1631" s="1" t="s">
        <v>5415</v>
      </c>
      <c r="D1631" s="1" t="s">
        <v>1467</v>
      </c>
      <c r="E1631" s="2">
        <v>45974</v>
      </c>
      <c r="F1631" s="1" t="s">
        <v>126</v>
      </c>
      <c r="G1631" s="1" t="s">
        <v>1468</v>
      </c>
      <c r="H1631" s="1" t="s">
        <v>1469</v>
      </c>
      <c r="I1631" s="1">
        <v>1</v>
      </c>
      <c r="J1631" s="3">
        <v>17989</v>
      </c>
      <c r="K1631" s="3">
        <v>17165</v>
      </c>
      <c r="L1631" s="1">
        <v>0</v>
      </c>
      <c r="M1631" s="4">
        <v>0</v>
      </c>
      <c r="N1631" s="1">
        <v>824</v>
      </c>
      <c r="O1631" s="4">
        <v>4.5999999999999999E-2</v>
      </c>
      <c r="P1631" s="1" t="s">
        <v>2721</v>
      </c>
    </row>
    <row r="1632" spans="1:16">
      <c r="A1632" s="1" t="s">
        <v>15</v>
      </c>
      <c r="B1632" s="1">
        <v>11</v>
      </c>
      <c r="C1632" s="1" t="s">
        <v>5416</v>
      </c>
      <c r="D1632" s="1" t="s">
        <v>169</v>
      </c>
      <c r="E1632" s="2">
        <v>45974</v>
      </c>
      <c r="F1632" s="1" t="s">
        <v>53</v>
      </c>
      <c r="G1632" s="1" t="s">
        <v>170</v>
      </c>
      <c r="H1632" s="1" t="s">
        <v>171</v>
      </c>
      <c r="I1632" s="1">
        <v>1</v>
      </c>
      <c r="J1632" s="3">
        <v>14332</v>
      </c>
      <c r="K1632" s="3">
        <v>13676</v>
      </c>
      <c r="L1632" s="1">
        <v>0</v>
      </c>
      <c r="M1632" s="4">
        <v>0</v>
      </c>
      <c r="N1632" s="1">
        <v>656</v>
      </c>
      <c r="O1632" s="4">
        <v>4.5999999999999999E-2</v>
      </c>
      <c r="P1632" s="1" t="s">
        <v>2721</v>
      </c>
    </row>
    <row r="1633" spans="1:16">
      <c r="A1633" s="1" t="s">
        <v>15</v>
      </c>
      <c r="B1633" s="1">
        <v>11</v>
      </c>
      <c r="C1633" s="1" t="s">
        <v>5417</v>
      </c>
      <c r="D1633" s="1" t="s">
        <v>3653</v>
      </c>
      <c r="E1633" s="2">
        <v>45974</v>
      </c>
      <c r="F1633" s="1" t="s">
        <v>725</v>
      </c>
      <c r="G1633" s="1" t="s">
        <v>3654</v>
      </c>
      <c r="H1633" s="1" t="s">
        <v>3655</v>
      </c>
      <c r="I1633" s="1">
        <v>1</v>
      </c>
      <c r="J1633" s="3">
        <v>131919</v>
      </c>
      <c r="K1633" s="3">
        <v>125880</v>
      </c>
      <c r="L1633" s="1">
        <v>0</v>
      </c>
      <c r="M1633" s="4">
        <v>0</v>
      </c>
      <c r="N1633" s="3">
        <v>6039</v>
      </c>
      <c r="O1633" s="4">
        <v>4.5999999999999999E-2</v>
      </c>
      <c r="P1633" s="1" t="s">
        <v>2721</v>
      </c>
    </row>
    <row r="1634" spans="1:16">
      <c r="A1634" s="1" t="s">
        <v>15</v>
      </c>
      <c r="B1634" s="1">
        <v>11</v>
      </c>
      <c r="C1634" s="1" t="s">
        <v>5418</v>
      </c>
      <c r="D1634" s="1" t="s">
        <v>797</v>
      </c>
      <c r="E1634" s="2">
        <v>45974</v>
      </c>
      <c r="F1634" s="1" t="s">
        <v>798</v>
      </c>
      <c r="G1634" s="1" t="s">
        <v>799</v>
      </c>
      <c r="H1634" s="1" t="s">
        <v>1331</v>
      </c>
      <c r="I1634" s="1">
        <v>1</v>
      </c>
      <c r="J1634" s="3">
        <v>13271</v>
      </c>
      <c r="K1634" s="3">
        <v>12663</v>
      </c>
      <c r="L1634" s="1">
        <v>0</v>
      </c>
      <c r="M1634" s="4">
        <v>0</v>
      </c>
      <c r="N1634" s="1">
        <v>608</v>
      </c>
      <c r="O1634" s="4">
        <v>4.5999999999999999E-2</v>
      </c>
      <c r="P1634" s="1" t="s">
        <v>2721</v>
      </c>
    </row>
    <row r="1635" spans="1:16">
      <c r="A1635" s="1" t="s">
        <v>15</v>
      </c>
      <c r="B1635" s="1">
        <v>11</v>
      </c>
      <c r="C1635" s="1" t="s">
        <v>5418</v>
      </c>
      <c r="D1635" s="1" t="s">
        <v>797</v>
      </c>
      <c r="E1635" s="2">
        <v>45974</v>
      </c>
      <c r="F1635" s="1" t="s">
        <v>798</v>
      </c>
      <c r="G1635" s="1" t="s">
        <v>799</v>
      </c>
      <c r="H1635" s="1" t="s">
        <v>5419</v>
      </c>
      <c r="I1635" s="1">
        <v>1</v>
      </c>
      <c r="J1635" s="3">
        <v>13271</v>
      </c>
      <c r="K1635" s="3">
        <v>12663</v>
      </c>
      <c r="L1635" s="1">
        <v>0</v>
      </c>
      <c r="M1635" s="4">
        <v>0</v>
      </c>
      <c r="N1635" s="1">
        <v>608</v>
      </c>
      <c r="O1635" s="4">
        <v>4.5999999999999999E-2</v>
      </c>
      <c r="P1635" s="1" t="s">
        <v>2721</v>
      </c>
    </row>
    <row r="1636" spans="1:16">
      <c r="A1636" s="1" t="s">
        <v>15</v>
      </c>
      <c r="B1636" s="1">
        <v>11</v>
      </c>
      <c r="C1636" s="1" t="s">
        <v>5420</v>
      </c>
      <c r="D1636" s="1" t="s">
        <v>1302</v>
      </c>
      <c r="E1636" s="2">
        <v>45974</v>
      </c>
      <c r="F1636" s="1" t="s">
        <v>256</v>
      </c>
      <c r="G1636" s="1" t="s">
        <v>1303</v>
      </c>
      <c r="H1636" s="1" t="s">
        <v>5421</v>
      </c>
      <c r="I1636" s="1">
        <v>1</v>
      </c>
      <c r="J1636" s="3">
        <v>13959</v>
      </c>
      <c r="K1636" s="3">
        <v>13320</v>
      </c>
      <c r="L1636" s="1">
        <v>0</v>
      </c>
      <c r="M1636" s="4">
        <v>0</v>
      </c>
      <c r="N1636" s="1">
        <v>639</v>
      </c>
      <c r="O1636" s="4">
        <v>4.5999999999999999E-2</v>
      </c>
      <c r="P1636" s="1" t="s">
        <v>2721</v>
      </c>
    </row>
    <row r="1637" spans="1:16">
      <c r="A1637" s="1" t="s">
        <v>15</v>
      </c>
      <c r="B1637" s="1">
        <v>11</v>
      </c>
      <c r="C1637" s="1" t="s">
        <v>5422</v>
      </c>
      <c r="D1637" s="1" t="s">
        <v>95</v>
      </c>
      <c r="E1637" s="2">
        <v>45974</v>
      </c>
      <c r="F1637" s="1" t="s">
        <v>96</v>
      </c>
      <c r="G1637" s="1" t="s">
        <v>97</v>
      </c>
      <c r="H1637" s="1" t="s">
        <v>97</v>
      </c>
      <c r="I1637" s="1">
        <v>1</v>
      </c>
      <c r="J1637" s="3">
        <v>12571</v>
      </c>
      <c r="K1637" s="3">
        <v>11995</v>
      </c>
      <c r="L1637" s="1">
        <v>0</v>
      </c>
      <c r="M1637" s="4">
        <v>0</v>
      </c>
      <c r="N1637" s="1">
        <v>576</v>
      </c>
      <c r="O1637" s="4">
        <v>4.5999999999999999E-2</v>
      </c>
      <c r="P1637" s="1" t="s">
        <v>2721</v>
      </c>
    </row>
    <row r="1638" spans="1:16">
      <c r="A1638" s="1" t="s">
        <v>15</v>
      </c>
      <c r="B1638" s="1">
        <v>11</v>
      </c>
      <c r="C1638" s="1" t="s">
        <v>5423</v>
      </c>
      <c r="D1638" s="1" t="s">
        <v>482</v>
      </c>
      <c r="E1638" s="2">
        <v>45974</v>
      </c>
      <c r="F1638" s="1" t="s">
        <v>483</v>
      </c>
      <c r="G1638" s="1" t="s">
        <v>484</v>
      </c>
      <c r="H1638" s="1" t="s">
        <v>2644</v>
      </c>
      <c r="I1638" s="1">
        <v>1</v>
      </c>
      <c r="J1638" s="3">
        <v>27426</v>
      </c>
      <c r="K1638" s="3">
        <v>26170</v>
      </c>
      <c r="L1638" s="1">
        <v>0</v>
      </c>
      <c r="M1638" s="4">
        <v>0</v>
      </c>
      <c r="N1638" s="3">
        <v>1256</v>
      </c>
      <c r="O1638" s="4">
        <v>4.5999999999999999E-2</v>
      </c>
      <c r="P1638" s="1" t="s">
        <v>2721</v>
      </c>
    </row>
    <row r="1639" spans="1:16">
      <c r="A1639" s="1" t="s">
        <v>15</v>
      </c>
      <c r="B1639" s="1">
        <v>11</v>
      </c>
      <c r="C1639" s="1" t="s">
        <v>5424</v>
      </c>
      <c r="D1639" s="1" t="s">
        <v>150</v>
      </c>
      <c r="E1639" s="2">
        <v>45974</v>
      </c>
      <c r="F1639" s="1" t="s">
        <v>151</v>
      </c>
      <c r="G1639" s="1" t="s">
        <v>152</v>
      </c>
      <c r="H1639" s="1" t="s">
        <v>152</v>
      </c>
      <c r="I1639" s="1">
        <v>1</v>
      </c>
      <c r="J1639" s="3">
        <v>36371</v>
      </c>
      <c r="K1639" s="3">
        <v>34706</v>
      </c>
      <c r="L1639" s="1">
        <v>0</v>
      </c>
      <c r="M1639" s="4">
        <v>0</v>
      </c>
      <c r="N1639" s="3">
        <v>1665</v>
      </c>
      <c r="O1639" s="4">
        <v>4.5999999999999999E-2</v>
      </c>
      <c r="P1639" s="1" t="s">
        <v>2721</v>
      </c>
    </row>
    <row r="1640" spans="1:16">
      <c r="A1640" s="1" t="s">
        <v>15</v>
      </c>
      <c r="B1640" s="1">
        <v>11</v>
      </c>
      <c r="C1640" s="1" t="s">
        <v>5425</v>
      </c>
      <c r="D1640" s="1" t="s">
        <v>5426</v>
      </c>
      <c r="E1640" s="2">
        <v>45974</v>
      </c>
      <c r="F1640" s="1" t="s">
        <v>5427</v>
      </c>
      <c r="G1640" s="1" t="s">
        <v>5428</v>
      </c>
      <c r="H1640" s="1" t="s">
        <v>5429</v>
      </c>
      <c r="I1640" s="1">
        <v>1</v>
      </c>
      <c r="J1640" s="3">
        <v>58783</v>
      </c>
      <c r="K1640" s="3">
        <v>56092</v>
      </c>
      <c r="L1640" s="1">
        <v>0</v>
      </c>
      <c r="M1640" s="4">
        <v>0</v>
      </c>
      <c r="N1640" s="3">
        <v>2691</v>
      </c>
      <c r="O1640" s="4">
        <v>4.5999999999999999E-2</v>
      </c>
      <c r="P1640" s="1" t="s">
        <v>2721</v>
      </c>
    </row>
    <row r="1641" spans="1:16">
      <c r="A1641" s="1" t="s">
        <v>15</v>
      </c>
      <c r="B1641" s="1">
        <v>11</v>
      </c>
      <c r="C1641" s="1" t="s">
        <v>5430</v>
      </c>
      <c r="D1641" s="1" t="s">
        <v>5431</v>
      </c>
      <c r="E1641" s="2">
        <v>45974</v>
      </c>
      <c r="F1641" s="1" t="s">
        <v>1403</v>
      </c>
      <c r="G1641" s="1" t="s">
        <v>5432</v>
      </c>
      <c r="H1641" s="1" t="s">
        <v>5433</v>
      </c>
      <c r="I1641" s="1">
        <v>2</v>
      </c>
      <c r="J1641" s="3">
        <v>18284</v>
      </c>
      <c r="K1641" s="3">
        <v>17447</v>
      </c>
      <c r="L1641" s="1">
        <v>0</v>
      </c>
      <c r="M1641" s="4">
        <v>0</v>
      </c>
      <c r="N1641" s="1">
        <v>837</v>
      </c>
      <c r="O1641" s="4">
        <v>4.5999999999999999E-2</v>
      </c>
      <c r="P1641" s="1" t="s">
        <v>2721</v>
      </c>
    </row>
    <row r="1642" spans="1:16">
      <c r="A1642" s="1" t="s">
        <v>15</v>
      </c>
      <c r="B1642" s="1">
        <v>11</v>
      </c>
      <c r="C1642" s="1" t="s">
        <v>5434</v>
      </c>
      <c r="D1642" s="1" t="s">
        <v>5435</v>
      </c>
      <c r="E1642" s="2">
        <v>45974</v>
      </c>
      <c r="F1642" s="1" t="s">
        <v>63</v>
      </c>
      <c r="G1642" s="1" t="s">
        <v>5436</v>
      </c>
      <c r="H1642" s="1" t="s">
        <v>139</v>
      </c>
      <c r="I1642" s="1">
        <v>1</v>
      </c>
      <c r="J1642" s="3">
        <v>15422</v>
      </c>
      <c r="K1642" s="3">
        <v>14716</v>
      </c>
      <c r="L1642" s="1">
        <v>0</v>
      </c>
      <c r="M1642" s="4">
        <v>0</v>
      </c>
      <c r="N1642" s="1">
        <v>706</v>
      </c>
      <c r="O1642" s="4">
        <v>4.5999999999999999E-2</v>
      </c>
      <c r="P1642" s="1" t="s">
        <v>2721</v>
      </c>
    </row>
    <row r="1643" spans="1:16">
      <c r="A1643" s="1" t="s">
        <v>15</v>
      </c>
      <c r="B1643" s="1">
        <v>11</v>
      </c>
      <c r="C1643" s="1" t="s">
        <v>5437</v>
      </c>
      <c r="D1643" s="1" t="s">
        <v>2799</v>
      </c>
      <c r="E1643" s="2">
        <v>45974</v>
      </c>
      <c r="F1643" s="1" t="s">
        <v>58</v>
      </c>
      <c r="G1643" s="1" t="s">
        <v>2800</v>
      </c>
      <c r="H1643" s="1" t="s">
        <v>5438</v>
      </c>
      <c r="I1643" s="1">
        <v>1</v>
      </c>
      <c r="J1643" s="3">
        <v>27524</v>
      </c>
      <c r="K1643" s="3">
        <v>26264</v>
      </c>
      <c r="L1643" s="1">
        <v>0</v>
      </c>
      <c r="M1643" s="4">
        <v>0</v>
      </c>
      <c r="N1643" s="3">
        <v>1260</v>
      </c>
      <c r="O1643" s="4">
        <v>4.5999999999999999E-2</v>
      </c>
      <c r="P1643" s="1" t="s">
        <v>2721</v>
      </c>
    </row>
    <row r="1644" spans="1:16">
      <c r="A1644" s="1" t="s">
        <v>15</v>
      </c>
      <c r="B1644" s="1">
        <v>11</v>
      </c>
      <c r="C1644" s="1" t="s">
        <v>5439</v>
      </c>
      <c r="D1644" s="1" t="s">
        <v>27</v>
      </c>
      <c r="E1644" s="2">
        <v>45974</v>
      </c>
      <c r="F1644" s="1" t="s">
        <v>28</v>
      </c>
      <c r="G1644" s="1" t="s">
        <v>29</v>
      </c>
      <c r="H1644" s="1" t="s">
        <v>352</v>
      </c>
      <c r="I1644" s="1">
        <v>1</v>
      </c>
      <c r="J1644" s="3">
        <v>27033</v>
      </c>
      <c r="K1644" s="3">
        <v>25795</v>
      </c>
      <c r="L1644" s="1">
        <v>0</v>
      </c>
      <c r="M1644" s="4">
        <v>0</v>
      </c>
      <c r="N1644" s="3">
        <v>1238</v>
      </c>
      <c r="O1644" s="4">
        <v>4.5999999999999999E-2</v>
      </c>
      <c r="P1644" s="1" t="s">
        <v>2721</v>
      </c>
    </row>
    <row r="1645" spans="1:16">
      <c r="A1645" s="1" t="s">
        <v>15</v>
      </c>
      <c r="B1645" s="1">
        <v>11</v>
      </c>
      <c r="C1645" s="1" t="s">
        <v>5440</v>
      </c>
      <c r="D1645" s="1" t="s">
        <v>1208</v>
      </c>
      <c r="E1645" s="2">
        <v>45974</v>
      </c>
      <c r="F1645" s="1" t="s">
        <v>646</v>
      </c>
      <c r="G1645" s="1" t="s">
        <v>1209</v>
      </c>
      <c r="H1645" s="1" t="s">
        <v>5441</v>
      </c>
      <c r="I1645" s="1">
        <v>1</v>
      </c>
      <c r="J1645" s="3">
        <v>247716</v>
      </c>
      <c r="K1645" s="3">
        <v>236376</v>
      </c>
      <c r="L1645" s="1">
        <v>0</v>
      </c>
      <c r="M1645" s="4">
        <v>0</v>
      </c>
      <c r="N1645" s="3">
        <v>11340</v>
      </c>
      <c r="O1645" s="4">
        <v>4.5999999999999999E-2</v>
      </c>
      <c r="P1645" s="1" t="s">
        <v>2721</v>
      </c>
    </row>
    <row r="1646" spans="1:16">
      <c r="A1646" s="1" t="s">
        <v>15</v>
      </c>
      <c r="B1646" s="1">
        <v>11</v>
      </c>
      <c r="C1646" s="1" t="s">
        <v>5442</v>
      </c>
      <c r="D1646" s="1" t="s">
        <v>5443</v>
      </c>
      <c r="E1646" s="2">
        <v>45974</v>
      </c>
      <c r="F1646" s="1" t="s">
        <v>63</v>
      </c>
      <c r="G1646" s="1" t="s">
        <v>5444</v>
      </c>
      <c r="H1646" s="1" t="s">
        <v>580</v>
      </c>
      <c r="I1646" s="1">
        <v>1</v>
      </c>
      <c r="J1646" s="3">
        <v>27764</v>
      </c>
      <c r="K1646" s="3">
        <v>26493</v>
      </c>
      <c r="L1646" s="1">
        <v>0</v>
      </c>
      <c r="M1646" s="4">
        <v>0</v>
      </c>
      <c r="N1646" s="3">
        <v>1271</v>
      </c>
      <c r="O1646" s="4">
        <v>4.5999999999999999E-2</v>
      </c>
      <c r="P1646" s="1" t="s">
        <v>2721</v>
      </c>
    </row>
    <row r="1647" spans="1:16">
      <c r="A1647" s="1" t="s">
        <v>15</v>
      </c>
      <c r="B1647" s="1">
        <v>11</v>
      </c>
      <c r="C1647" s="1" t="s">
        <v>5445</v>
      </c>
      <c r="D1647" s="1" t="s">
        <v>52</v>
      </c>
      <c r="E1647" s="2">
        <v>45974</v>
      </c>
      <c r="F1647" s="1" t="s">
        <v>53</v>
      </c>
      <c r="G1647" s="1" t="s">
        <v>54</v>
      </c>
      <c r="H1647" s="1" t="s">
        <v>55</v>
      </c>
      <c r="I1647" s="1">
        <v>1</v>
      </c>
      <c r="J1647" s="3">
        <v>16135</v>
      </c>
      <c r="K1647" s="3">
        <v>15396</v>
      </c>
      <c r="L1647" s="1">
        <v>0</v>
      </c>
      <c r="M1647" s="4">
        <v>0</v>
      </c>
      <c r="N1647" s="1">
        <v>739</v>
      </c>
      <c r="O1647" s="4">
        <v>4.5999999999999999E-2</v>
      </c>
      <c r="P1647" s="1" t="s">
        <v>2721</v>
      </c>
    </row>
    <row r="1648" spans="1:16">
      <c r="A1648" s="1" t="s">
        <v>15</v>
      </c>
      <c r="B1648" s="1">
        <v>11</v>
      </c>
      <c r="C1648" s="1" t="s">
        <v>5446</v>
      </c>
      <c r="D1648" s="1" t="s">
        <v>86</v>
      </c>
      <c r="E1648" s="2">
        <v>45974</v>
      </c>
      <c r="F1648" s="1" t="s">
        <v>53</v>
      </c>
      <c r="G1648" s="1" t="s">
        <v>87</v>
      </c>
      <c r="H1648" s="1" t="s">
        <v>88</v>
      </c>
      <c r="I1648" s="1">
        <v>1</v>
      </c>
      <c r="J1648" s="3">
        <v>14956</v>
      </c>
      <c r="K1648" s="3">
        <v>14272</v>
      </c>
      <c r="L1648" s="1">
        <v>0</v>
      </c>
      <c r="M1648" s="4">
        <v>0</v>
      </c>
      <c r="N1648" s="1">
        <v>684</v>
      </c>
      <c r="O1648" s="4">
        <v>4.5999999999999999E-2</v>
      </c>
      <c r="P1648" s="1" t="s">
        <v>2721</v>
      </c>
    </row>
    <row r="1649" spans="1:16">
      <c r="A1649" s="1" t="s">
        <v>15</v>
      </c>
      <c r="B1649" s="1">
        <v>11</v>
      </c>
      <c r="C1649" s="1" t="s">
        <v>5447</v>
      </c>
      <c r="D1649" s="1" t="s">
        <v>86</v>
      </c>
      <c r="E1649" s="2">
        <v>45974</v>
      </c>
      <c r="F1649" s="1" t="s">
        <v>53</v>
      </c>
      <c r="G1649" s="1" t="s">
        <v>87</v>
      </c>
      <c r="H1649" s="1" t="s">
        <v>88</v>
      </c>
      <c r="I1649" s="1">
        <v>1</v>
      </c>
      <c r="J1649" s="3">
        <v>14956</v>
      </c>
      <c r="K1649" s="3">
        <v>14272</v>
      </c>
      <c r="L1649" s="1">
        <v>0</v>
      </c>
      <c r="M1649" s="4">
        <v>0</v>
      </c>
      <c r="N1649" s="1">
        <v>684</v>
      </c>
      <c r="O1649" s="4">
        <v>4.5999999999999999E-2</v>
      </c>
      <c r="P1649" s="1" t="s">
        <v>2721</v>
      </c>
    </row>
    <row r="1650" spans="1:16">
      <c r="A1650" s="1" t="s">
        <v>15</v>
      </c>
      <c r="B1650" s="1">
        <v>11</v>
      </c>
      <c r="C1650" s="1" t="s">
        <v>5448</v>
      </c>
      <c r="D1650" s="1" t="s">
        <v>394</v>
      </c>
      <c r="E1650" s="2">
        <v>45974</v>
      </c>
      <c r="F1650" s="1" t="s">
        <v>395</v>
      </c>
      <c r="G1650" s="1" t="s">
        <v>2803</v>
      </c>
      <c r="H1650" s="1" t="s">
        <v>2804</v>
      </c>
      <c r="I1650" s="1">
        <v>2</v>
      </c>
      <c r="J1650" s="3">
        <v>37747</v>
      </c>
      <c r="K1650" s="3">
        <v>36019</v>
      </c>
      <c r="L1650" s="1">
        <v>0</v>
      </c>
      <c r="M1650" s="4">
        <v>0</v>
      </c>
      <c r="N1650" s="3">
        <v>1728</v>
      </c>
      <c r="O1650" s="4">
        <v>4.5999999999999999E-2</v>
      </c>
      <c r="P1650" s="1" t="s">
        <v>2721</v>
      </c>
    </row>
    <row r="1651" spans="1:16">
      <c r="A1651" s="1" t="s">
        <v>15</v>
      </c>
      <c r="B1651" s="1">
        <v>11</v>
      </c>
      <c r="C1651" s="1" t="s">
        <v>5449</v>
      </c>
      <c r="D1651" s="1" t="s">
        <v>504</v>
      </c>
      <c r="E1651" s="2">
        <v>45974</v>
      </c>
      <c r="F1651" s="1" t="s">
        <v>407</v>
      </c>
      <c r="G1651" s="1" t="s">
        <v>505</v>
      </c>
      <c r="H1651" s="1" t="s">
        <v>1322</v>
      </c>
      <c r="I1651" s="1">
        <v>1</v>
      </c>
      <c r="J1651" s="3">
        <v>23592</v>
      </c>
      <c r="K1651" s="3">
        <v>22512</v>
      </c>
      <c r="L1651" s="1">
        <v>0</v>
      </c>
      <c r="M1651" s="4">
        <v>0</v>
      </c>
      <c r="N1651" s="3">
        <v>1080</v>
      </c>
      <c r="O1651" s="4">
        <v>4.5999999999999999E-2</v>
      </c>
      <c r="P1651" s="1" t="s">
        <v>2721</v>
      </c>
    </row>
    <row r="1652" spans="1:16">
      <c r="A1652" s="1" t="s">
        <v>15</v>
      </c>
      <c r="B1652" s="1">
        <v>11</v>
      </c>
      <c r="C1652" s="1" t="s">
        <v>5450</v>
      </c>
      <c r="D1652" s="1" t="s">
        <v>3342</v>
      </c>
      <c r="E1652" s="2">
        <v>45974</v>
      </c>
      <c r="F1652" s="1" t="s">
        <v>3343</v>
      </c>
      <c r="G1652" s="1" t="s">
        <v>3344</v>
      </c>
      <c r="H1652" s="1" t="s">
        <v>3345</v>
      </c>
      <c r="I1652" s="1">
        <v>1</v>
      </c>
      <c r="J1652" s="3">
        <v>31751</v>
      </c>
      <c r="K1652" s="3">
        <v>30297</v>
      </c>
      <c r="L1652" s="1">
        <v>0</v>
      </c>
      <c r="M1652" s="4">
        <v>0</v>
      </c>
      <c r="N1652" s="3">
        <v>1454</v>
      </c>
      <c r="O1652" s="4">
        <v>4.5999999999999999E-2</v>
      </c>
      <c r="P1652" s="1" t="s">
        <v>2721</v>
      </c>
    </row>
    <row r="1653" spans="1:16">
      <c r="A1653" s="1" t="s">
        <v>15</v>
      </c>
      <c r="B1653" s="1">
        <v>11</v>
      </c>
      <c r="C1653" s="1" t="s">
        <v>5451</v>
      </c>
      <c r="D1653" s="1" t="s">
        <v>1049</v>
      </c>
      <c r="E1653" s="2">
        <v>45974</v>
      </c>
      <c r="F1653" s="1" t="s">
        <v>469</v>
      </c>
      <c r="G1653" s="1" t="s">
        <v>1050</v>
      </c>
      <c r="H1653" s="1" t="s">
        <v>1117</v>
      </c>
      <c r="I1653" s="1">
        <v>1</v>
      </c>
      <c r="J1653" s="3">
        <v>15728</v>
      </c>
      <c r="K1653" s="3">
        <v>15008</v>
      </c>
      <c r="L1653" s="1">
        <v>0</v>
      </c>
      <c r="M1653" s="4">
        <v>0</v>
      </c>
      <c r="N1653" s="1">
        <v>720</v>
      </c>
      <c r="O1653" s="4">
        <v>4.5999999999999999E-2</v>
      </c>
      <c r="P1653" s="1" t="s">
        <v>2721</v>
      </c>
    </row>
    <row r="1654" spans="1:16">
      <c r="A1654" s="1" t="s">
        <v>15</v>
      </c>
      <c r="B1654" s="1">
        <v>11</v>
      </c>
      <c r="C1654" s="1" t="s">
        <v>5452</v>
      </c>
      <c r="D1654" s="1" t="s">
        <v>132</v>
      </c>
      <c r="E1654" s="2">
        <v>45974</v>
      </c>
      <c r="F1654" s="1" t="s">
        <v>53</v>
      </c>
      <c r="G1654" s="1" t="s">
        <v>133</v>
      </c>
      <c r="H1654" s="1" t="s">
        <v>88</v>
      </c>
      <c r="I1654" s="1">
        <v>2</v>
      </c>
      <c r="J1654" s="3">
        <v>34073</v>
      </c>
      <c r="K1654" s="3">
        <v>32513</v>
      </c>
      <c r="L1654" s="1">
        <v>0</v>
      </c>
      <c r="M1654" s="4">
        <v>0</v>
      </c>
      <c r="N1654" s="3">
        <v>1560</v>
      </c>
      <c r="O1654" s="4">
        <v>4.5999999999999999E-2</v>
      </c>
      <c r="P1654" s="1" t="s">
        <v>2721</v>
      </c>
    </row>
    <row r="1655" spans="1:16">
      <c r="A1655" s="1" t="s">
        <v>15</v>
      </c>
      <c r="B1655" s="1">
        <v>11</v>
      </c>
      <c r="C1655" s="1" t="s">
        <v>5453</v>
      </c>
      <c r="D1655" s="1" t="s">
        <v>777</v>
      </c>
      <c r="E1655" s="2">
        <v>45974</v>
      </c>
      <c r="F1655" s="1" t="s">
        <v>256</v>
      </c>
      <c r="G1655" s="1" t="s">
        <v>778</v>
      </c>
      <c r="H1655" s="1" t="s">
        <v>1571</v>
      </c>
      <c r="I1655" s="1">
        <v>1</v>
      </c>
      <c r="J1655" s="3">
        <v>19857</v>
      </c>
      <c r="K1655" s="3">
        <v>18948</v>
      </c>
      <c r="L1655" s="1">
        <v>0</v>
      </c>
      <c r="M1655" s="4">
        <v>0</v>
      </c>
      <c r="N1655" s="1">
        <v>909</v>
      </c>
      <c r="O1655" s="4">
        <v>4.5999999999999999E-2</v>
      </c>
      <c r="P1655" s="1" t="s">
        <v>2721</v>
      </c>
    </row>
    <row r="1656" spans="1:16">
      <c r="A1656" s="1" t="s">
        <v>15</v>
      </c>
      <c r="B1656" s="1">
        <v>11</v>
      </c>
      <c r="C1656" s="1" t="s">
        <v>5454</v>
      </c>
      <c r="D1656" s="1" t="s">
        <v>178</v>
      </c>
      <c r="E1656" s="2">
        <v>45974</v>
      </c>
      <c r="F1656" s="1" t="s">
        <v>96</v>
      </c>
      <c r="G1656" s="1" t="s">
        <v>179</v>
      </c>
      <c r="H1656" s="1" t="s">
        <v>180</v>
      </c>
      <c r="I1656" s="1">
        <v>1</v>
      </c>
      <c r="J1656" s="3">
        <v>15284</v>
      </c>
      <c r="K1656" s="3">
        <v>14584</v>
      </c>
      <c r="L1656" s="1">
        <v>0</v>
      </c>
      <c r="M1656" s="4">
        <v>0</v>
      </c>
      <c r="N1656" s="1">
        <v>700</v>
      </c>
      <c r="O1656" s="4">
        <v>4.5999999999999999E-2</v>
      </c>
      <c r="P1656" s="1" t="s">
        <v>2721</v>
      </c>
    </row>
    <row r="1657" spans="1:16">
      <c r="A1657" s="1" t="s">
        <v>15</v>
      </c>
      <c r="B1657" s="1">
        <v>11</v>
      </c>
      <c r="C1657" s="1" t="s">
        <v>5455</v>
      </c>
      <c r="D1657" s="1" t="s">
        <v>903</v>
      </c>
      <c r="E1657" s="2">
        <v>45974</v>
      </c>
      <c r="F1657" s="1" t="s">
        <v>23</v>
      </c>
      <c r="G1657" s="1" t="s">
        <v>587</v>
      </c>
      <c r="H1657" s="1" t="s">
        <v>588</v>
      </c>
      <c r="I1657" s="1">
        <v>1</v>
      </c>
      <c r="J1657" s="3">
        <v>13762</v>
      </c>
      <c r="K1657" s="3">
        <v>13132</v>
      </c>
      <c r="L1657" s="1">
        <v>0</v>
      </c>
      <c r="M1657" s="4">
        <v>0</v>
      </c>
      <c r="N1657" s="1">
        <v>630</v>
      </c>
      <c r="O1657" s="4">
        <v>4.5999999999999999E-2</v>
      </c>
      <c r="P1657" s="1" t="s">
        <v>2721</v>
      </c>
    </row>
    <row r="1658" spans="1:16">
      <c r="A1658" s="1" t="s">
        <v>15</v>
      </c>
      <c r="B1658" s="1">
        <v>11</v>
      </c>
      <c r="C1658" s="1" t="s">
        <v>5456</v>
      </c>
      <c r="D1658" s="1" t="s">
        <v>132</v>
      </c>
      <c r="E1658" s="2">
        <v>45974</v>
      </c>
      <c r="F1658" s="1" t="s">
        <v>53</v>
      </c>
      <c r="G1658" s="1" t="s">
        <v>133</v>
      </c>
      <c r="H1658" s="1" t="s">
        <v>88</v>
      </c>
      <c r="I1658" s="1">
        <v>1</v>
      </c>
      <c r="J1658" s="3">
        <v>17036</v>
      </c>
      <c r="K1658" s="3">
        <v>16256</v>
      </c>
      <c r="L1658" s="1">
        <v>0</v>
      </c>
      <c r="M1658" s="4">
        <v>0</v>
      </c>
      <c r="N1658" s="1">
        <v>780</v>
      </c>
      <c r="O1658" s="4">
        <v>4.5999999999999999E-2</v>
      </c>
      <c r="P1658" s="1" t="s">
        <v>2721</v>
      </c>
    </row>
    <row r="1659" spans="1:16">
      <c r="A1659" s="1" t="s">
        <v>15</v>
      </c>
      <c r="B1659" s="1">
        <v>11</v>
      </c>
      <c r="C1659" s="1" t="s">
        <v>5457</v>
      </c>
      <c r="D1659" s="1" t="s">
        <v>390</v>
      </c>
      <c r="E1659" s="2">
        <v>45974</v>
      </c>
      <c r="F1659" s="1" t="s">
        <v>256</v>
      </c>
      <c r="G1659" s="1" t="s">
        <v>391</v>
      </c>
      <c r="H1659" s="1" t="s">
        <v>392</v>
      </c>
      <c r="I1659" s="1">
        <v>1</v>
      </c>
      <c r="J1659" s="3">
        <v>12799</v>
      </c>
      <c r="K1659" s="3">
        <v>12213</v>
      </c>
      <c r="L1659" s="1">
        <v>0</v>
      </c>
      <c r="M1659" s="4">
        <v>0</v>
      </c>
      <c r="N1659" s="1">
        <v>586</v>
      </c>
      <c r="O1659" s="4">
        <v>4.5999999999999999E-2</v>
      </c>
      <c r="P1659" s="1" t="s">
        <v>2721</v>
      </c>
    </row>
    <row r="1660" spans="1:16">
      <c r="A1660" s="1" t="s">
        <v>15</v>
      </c>
      <c r="B1660" s="1">
        <v>11</v>
      </c>
      <c r="C1660" s="1" t="s">
        <v>5458</v>
      </c>
      <c r="D1660" s="1" t="s">
        <v>777</v>
      </c>
      <c r="E1660" s="2">
        <v>45974</v>
      </c>
      <c r="F1660" s="1" t="s">
        <v>256</v>
      </c>
      <c r="G1660" s="1" t="s">
        <v>778</v>
      </c>
      <c r="H1660" s="1" t="s">
        <v>779</v>
      </c>
      <c r="I1660" s="1">
        <v>1</v>
      </c>
      <c r="J1660" s="3">
        <v>11010</v>
      </c>
      <c r="K1660" s="3">
        <v>10506</v>
      </c>
      <c r="L1660" s="1">
        <v>0</v>
      </c>
      <c r="M1660" s="4">
        <v>0</v>
      </c>
      <c r="N1660" s="1">
        <v>504</v>
      </c>
      <c r="O1660" s="4">
        <v>4.5999999999999999E-2</v>
      </c>
      <c r="P1660" s="1" t="s">
        <v>2721</v>
      </c>
    </row>
    <row r="1661" spans="1:16">
      <c r="A1661" s="1" t="s">
        <v>15</v>
      </c>
      <c r="B1661" s="1">
        <v>11</v>
      </c>
      <c r="C1661" s="1" t="s">
        <v>5459</v>
      </c>
      <c r="D1661" s="1" t="s">
        <v>903</v>
      </c>
      <c r="E1661" s="2">
        <v>45974</v>
      </c>
      <c r="F1661" s="1" t="s">
        <v>23</v>
      </c>
      <c r="G1661" s="1" t="s">
        <v>587</v>
      </c>
      <c r="H1661" s="1" t="s">
        <v>588</v>
      </c>
      <c r="I1661" s="1">
        <v>1</v>
      </c>
      <c r="J1661" s="3">
        <v>13762</v>
      </c>
      <c r="K1661" s="3">
        <v>13132</v>
      </c>
      <c r="L1661" s="1">
        <v>0</v>
      </c>
      <c r="M1661" s="4">
        <v>0</v>
      </c>
      <c r="N1661" s="1">
        <v>630</v>
      </c>
      <c r="O1661" s="4">
        <v>4.5999999999999999E-2</v>
      </c>
      <c r="P1661" s="1" t="s">
        <v>2721</v>
      </c>
    </row>
    <row r="1662" spans="1:16">
      <c r="A1662" s="1" t="s">
        <v>15</v>
      </c>
      <c r="B1662" s="1">
        <v>11</v>
      </c>
      <c r="C1662" s="1" t="s">
        <v>5460</v>
      </c>
      <c r="D1662" s="1" t="s">
        <v>80</v>
      </c>
      <c r="E1662" s="2">
        <v>45974</v>
      </c>
      <c r="F1662" s="1" t="s">
        <v>58</v>
      </c>
      <c r="G1662" s="1" t="s">
        <v>81</v>
      </c>
      <c r="H1662" s="1" t="s">
        <v>745</v>
      </c>
      <c r="I1662" s="1">
        <v>1</v>
      </c>
      <c r="J1662" s="3">
        <v>17301</v>
      </c>
      <c r="K1662" s="3">
        <v>16509</v>
      </c>
      <c r="L1662" s="1">
        <v>0</v>
      </c>
      <c r="M1662" s="4">
        <v>0</v>
      </c>
      <c r="N1662" s="1">
        <v>792</v>
      </c>
      <c r="O1662" s="4">
        <v>4.5999999999999999E-2</v>
      </c>
      <c r="P1662" s="1" t="s">
        <v>2721</v>
      </c>
    </row>
    <row r="1663" spans="1:16">
      <c r="A1663" s="1" t="s">
        <v>15</v>
      </c>
      <c r="B1663" s="1">
        <v>11</v>
      </c>
      <c r="C1663" s="1" t="s">
        <v>5461</v>
      </c>
      <c r="D1663" s="1" t="s">
        <v>169</v>
      </c>
      <c r="E1663" s="2">
        <v>45974</v>
      </c>
      <c r="F1663" s="1" t="s">
        <v>53</v>
      </c>
      <c r="G1663" s="1" t="s">
        <v>170</v>
      </c>
      <c r="H1663" s="1" t="s">
        <v>171</v>
      </c>
      <c r="I1663" s="1">
        <v>1</v>
      </c>
      <c r="J1663" s="3">
        <v>14332</v>
      </c>
      <c r="K1663" s="3">
        <v>13676</v>
      </c>
      <c r="L1663" s="1">
        <v>0</v>
      </c>
      <c r="M1663" s="4">
        <v>0</v>
      </c>
      <c r="N1663" s="1">
        <v>656</v>
      </c>
      <c r="O1663" s="4">
        <v>4.5999999999999999E-2</v>
      </c>
      <c r="P1663" s="1" t="s">
        <v>2721</v>
      </c>
    </row>
    <row r="1664" spans="1:16">
      <c r="A1664" s="1" t="s">
        <v>15</v>
      </c>
      <c r="B1664" s="1">
        <v>11</v>
      </c>
      <c r="C1664" s="1" t="s">
        <v>5462</v>
      </c>
      <c r="D1664" s="1" t="s">
        <v>1088</v>
      </c>
      <c r="E1664" s="2">
        <v>45974</v>
      </c>
      <c r="F1664" s="1" t="s">
        <v>317</v>
      </c>
      <c r="G1664" s="1" t="s">
        <v>1089</v>
      </c>
      <c r="H1664" s="1" t="s">
        <v>1090</v>
      </c>
      <c r="I1664" s="1">
        <v>1</v>
      </c>
      <c r="J1664" s="3">
        <v>39615</v>
      </c>
      <c r="K1664" s="3">
        <v>37801</v>
      </c>
      <c r="L1664" s="1">
        <v>0</v>
      </c>
      <c r="M1664" s="4">
        <v>0</v>
      </c>
      <c r="N1664" s="3">
        <v>1814</v>
      </c>
      <c r="O1664" s="4">
        <v>4.5999999999999999E-2</v>
      </c>
      <c r="P1664" s="1" t="s">
        <v>2721</v>
      </c>
    </row>
    <row r="1665" spans="1:16">
      <c r="A1665" s="1" t="s">
        <v>15</v>
      </c>
      <c r="B1665" s="1">
        <v>11</v>
      </c>
      <c r="C1665" s="1" t="s">
        <v>5463</v>
      </c>
      <c r="D1665" s="1" t="s">
        <v>533</v>
      </c>
      <c r="E1665" s="2">
        <v>45974</v>
      </c>
      <c r="F1665" s="1" t="s">
        <v>534</v>
      </c>
      <c r="G1665" s="1" t="s">
        <v>535</v>
      </c>
      <c r="H1665" s="1" t="s">
        <v>536</v>
      </c>
      <c r="I1665" s="1">
        <v>1</v>
      </c>
      <c r="J1665" s="3">
        <v>19552</v>
      </c>
      <c r="K1665" s="3">
        <v>18657</v>
      </c>
      <c r="L1665" s="1">
        <v>0</v>
      </c>
      <c r="M1665" s="4">
        <v>0</v>
      </c>
      <c r="N1665" s="1">
        <v>895</v>
      </c>
      <c r="O1665" s="4">
        <v>4.5999999999999999E-2</v>
      </c>
      <c r="P1665" s="1" t="s">
        <v>2721</v>
      </c>
    </row>
    <row r="1666" spans="1:16">
      <c r="A1666" s="1" t="s">
        <v>15</v>
      </c>
      <c r="B1666" s="1">
        <v>11</v>
      </c>
      <c r="C1666" s="1" t="s">
        <v>5464</v>
      </c>
      <c r="D1666" s="1" t="s">
        <v>5465</v>
      </c>
      <c r="E1666" s="2">
        <v>45974</v>
      </c>
      <c r="F1666" s="1" t="s">
        <v>5466</v>
      </c>
      <c r="G1666" s="1" t="s">
        <v>5467</v>
      </c>
      <c r="H1666" s="1" t="s">
        <v>5468</v>
      </c>
      <c r="I1666" s="1">
        <v>1</v>
      </c>
      <c r="J1666" s="3">
        <v>120614</v>
      </c>
      <c r="K1666" s="3">
        <v>115093</v>
      </c>
      <c r="L1666" s="1">
        <v>0</v>
      </c>
      <c r="M1666" s="4">
        <v>0</v>
      </c>
      <c r="N1666" s="3">
        <v>5521</v>
      </c>
      <c r="O1666" s="4">
        <v>4.5999999999999999E-2</v>
      </c>
      <c r="P1666" s="1" t="s">
        <v>2721</v>
      </c>
    </row>
    <row r="1667" spans="1:16">
      <c r="A1667" s="1" t="s">
        <v>15</v>
      </c>
      <c r="B1667" s="1">
        <v>11</v>
      </c>
      <c r="C1667" s="1" t="s">
        <v>5469</v>
      </c>
      <c r="D1667" s="1" t="s">
        <v>3592</v>
      </c>
      <c r="E1667" s="2">
        <v>45974</v>
      </c>
      <c r="F1667" s="1" t="s">
        <v>261</v>
      </c>
      <c r="G1667" s="1" t="s">
        <v>3593</v>
      </c>
      <c r="H1667" s="1" t="s">
        <v>3593</v>
      </c>
      <c r="I1667" s="1">
        <v>1</v>
      </c>
      <c r="J1667" s="3">
        <v>70776</v>
      </c>
      <c r="K1667" s="3">
        <v>67536</v>
      </c>
      <c r="L1667" s="1">
        <v>0</v>
      </c>
      <c r="M1667" s="4">
        <v>0</v>
      </c>
      <c r="N1667" s="3">
        <v>3240</v>
      </c>
      <c r="O1667" s="4">
        <v>4.5999999999999999E-2</v>
      </c>
      <c r="P1667" s="1" t="s">
        <v>2721</v>
      </c>
    </row>
    <row r="1668" spans="1:16">
      <c r="A1668" s="1" t="s">
        <v>15</v>
      </c>
      <c r="B1668" s="1">
        <v>11</v>
      </c>
      <c r="C1668" s="1" t="s">
        <v>5470</v>
      </c>
      <c r="D1668" s="1" t="s">
        <v>169</v>
      </c>
      <c r="E1668" s="2">
        <v>45974</v>
      </c>
      <c r="F1668" s="1" t="s">
        <v>53</v>
      </c>
      <c r="G1668" s="1" t="s">
        <v>170</v>
      </c>
      <c r="H1668" s="1" t="s">
        <v>171</v>
      </c>
      <c r="I1668" s="1">
        <v>1</v>
      </c>
      <c r="J1668" s="3">
        <v>14332</v>
      </c>
      <c r="K1668" s="3">
        <v>13676</v>
      </c>
      <c r="L1668" s="1">
        <v>0</v>
      </c>
      <c r="M1668" s="4">
        <v>0</v>
      </c>
      <c r="N1668" s="1">
        <v>656</v>
      </c>
      <c r="O1668" s="4">
        <v>4.5999999999999999E-2</v>
      </c>
      <c r="P1668" s="1" t="s">
        <v>2721</v>
      </c>
    </row>
    <row r="1669" spans="1:16">
      <c r="A1669" s="1" t="s">
        <v>15</v>
      </c>
      <c r="B1669" s="1">
        <v>11</v>
      </c>
      <c r="C1669" s="1" t="s">
        <v>5471</v>
      </c>
      <c r="D1669" s="1" t="s">
        <v>1346</v>
      </c>
      <c r="E1669" s="2">
        <v>45974</v>
      </c>
      <c r="F1669" s="1" t="s">
        <v>317</v>
      </c>
      <c r="G1669" s="1" t="s">
        <v>1347</v>
      </c>
      <c r="H1669" s="1" t="s">
        <v>5472</v>
      </c>
      <c r="I1669" s="1">
        <v>1</v>
      </c>
      <c r="J1669" s="3">
        <v>29982</v>
      </c>
      <c r="K1669" s="3">
        <v>28609</v>
      </c>
      <c r="L1669" s="1">
        <v>0</v>
      </c>
      <c r="M1669" s="4">
        <v>0</v>
      </c>
      <c r="N1669" s="3">
        <v>1373</v>
      </c>
      <c r="O1669" s="4">
        <v>4.5999999999999999E-2</v>
      </c>
      <c r="P1669" s="1" t="s">
        <v>2721</v>
      </c>
    </row>
    <row r="1670" spans="1:16">
      <c r="A1670" s="1" t="s">
        <v>15</v>
      </c>
      <c r="B1670" s="1">
        <v>11</v>
      </c>
      <c r="C1670" s="1" t="s">
        <v>5473</v>
      </c>
      <c r="D1670" s="1" t="s">
        <v>4031</v>
      </c>
      <c r="E1670" s="2">
        <v>45974</v>
      </c>
      <c r="F1670" s="1" t="s">
        <v>68</v>
      </c>
      <c r="G1670" s="1" t="s">
        <v>4032</v>
      </c>
      <c r="H1670" s="1" t="s">
        <v>5474</v>
      </c>
      <c r="I1670" s="1">
        <v>1</v>
      </c>
      <c r="J1670" s="3">
        <v>15998</v>
      </c>
      <c r="K1670" s="3">
        <v>15266</v>
      </c>
      <c r="L1670" s="1">
        <v>0</v>
      </c>
      <c r="M1670" s="4">
        <v>0</v>
      </c>
      <c r="N1670" s="1">
        <v>732</v>
      </c>
      <c r="O1670" s="4">
        <v>4.5999999999999999E-2</v>
      </c>
      <c r="P1670" s="1" t="s">
        <v>2721</v>
      </c>
    </row>
    <row r="1671" spans="1:16">
      <c r="A1671" s="1" t="s">
        <v>15</v>
      </c>
      <c r="B1671" s="1">
        <v>11</v>
      </c>
      <c r="C1671" s="1" t="s">
        <v>5475</v>
      </c>
      <c r="D1671" s="1" t="s">
        <v>390</v>
      </c>
      <c r="E1671" s="2">
        <v>45974</v>
      </c>
      <c r="F1671" s="1" t="s">
        <v>256</v>
      </c>
      <c r="G1671" s="1" t="s">
        <v>391</v>
      </c>
      <c r="H1671" s="1" t="s">
        <v>392</v>
      </c>
      <c r="I1671" s="1">
        <v>1</v>
      </c>
      <c r="J1671" s="3">
        <v>12799</v>
      </c>
      <c r="K1671" s="3">
        <v>12213</v>
      </c>
      <c r="L1671" s="1">
        <v>0</v>
      </c>
      <c r="M1671" s="4">
        <v>0</v>
      </c>
      <c r="N1671" s="1">
        <v>586</v>
      </c>
      <c r="O1671" s="4">
        <v>4.5999999999999999E-2</v>
      </c>
      <c r="P1671" s="1" t="s">
        <v>2721</v>
      </c>
    </row>
    <row r="1672" spans="1:16">
      <c r="A1672" s="1" t="s">
        <v>15</v>
      </c>
      <c r="B1672" s="1">
        <v>11</v>
      </c>
      <c r="C1672" s="1" t="s">
        <v>5476</v>
      </c>
      <c r="D1672" s="1" t="s">
        <v>903</v>
      </c>
      <c r="E1672" s="2">
        <v>45974</v>
      </c>
      <c r="F1672" s="1" t="s">
        <v>23</v>
      </c>
      <c r="G1672" s="1" t="s">
        <v>587</v>
      </c>
      <c r="H1672" s="1" t="s">
        <v>588</v>
      </c>
      <c r="I1672" s="1">
        <v>1</v>
      </c>
      <c r="J1672" s="3">
        <v>13762</v>
      </c>
      <c r="K1672" s="3">
        <v>13132</v>
      </c>
      <c r="L1672" s="1">
        <v>0</v>
      </c>
      <c r="M1672" s="4">
        <v>0</v>
      </c>
      <c r="N1672" s="1">
        <v>630</v>
      </c>
      <c r="O1672" s="4">
        <v>4.5999999999999999E-2</v>
      </c>
      <c r="P1672" s="1" t="s">
        <v>2721</v>
      </c>
    </row>
    <row r="1673" spans="1:16">
      <c r="A1673" s="1" t="s">
        <v>15</v>
      </c>
      <c r="B1673" s="1">
        <v>11</v>
      </c>
      <c r="C1673" s="1" t="s">
        <v>5477</v>
      </c>
      <c r="D1673" s="1" t="s">
        <v>1208</v>
      </c>
      <c r="E1673" s="2">
        <v>45974</v>
      </c>
      <c r="F1673" s="1" t="s">
        <v>646</v>
      </c>
      <c r="G1673" s="1" t="s">
        <v>1209</v>
      </c>
      <c r="H1673" s="1" t="s">
        <v>5478</v>
      </c>
      <c r="I1673" s="1">
        <v>1</v>
      </c>
      <c r="J1673" s="3">
        <v>160229</v>
      </c>
      <c r="K1673" s="3">
        <v>152894</v>
      </c>
      <c r="L1673" s="1">
        <v>0</v>
      </c>
      <c r="M1673" s="4">
        <v>0</v>
      </c>
      <c r="N1673" s="3">
        <v>7335</v>
      </c>
      <c r="O1673" s="4">
        <v>4.5999999999999999E-2</v>
      </c>
      <c r="P1673" s="1" t="s">
        <v>2721</v>
      </c>
    </row>
    <row r="1674" spans="1:16">
      <c r="A1674" s="1" t="s">
        <v>15</v>
      </c>
      <c r="B1674" s="1">
        <v>11</v>
      </c>
      <c r="C1674" s="1" t="s">
        <v>5479</v>
      </c>
      <c r="D1674" s="1" t="s">
        <v>828</v>
      </c>
      <c r="E1674" s="2">
        <v>45974</v>
      </c>
      <c r="F1674" s="1" t="s">
        <v>689</v>
      </c>
      <c r="G1674" s="1" t="s">
        <v>829</v>
      </c>
      <c r="H1674" s="1" t="s">
        <v>830</v>
      </c>
      <c r="I1674" s="1">
        <v>2</v>
      </c>
      <c r="J1674" s="3">
        <v>25558</v>
      </c>
      <c r="K1674" s="3">
        <v>24388</v>
      </c>
      <c r="L1674" s="1">
        <v>0</v>
      </c>
      <c r="M1674" s="4">
        <v>0</v>
      </c>
      <c r="N1674" s="3">
        <v>1170</v>
      </c>
      <c r="O1674" s="4">
        <v>4.5999999999999999E-2</v>
      </c>
      <c r="P1674" s="1" t="s">
        <v>2721</v>
      </c>
    </row>
    <row r="1675" spans="1:16">
      <c r="A1675" s="1" t="s">
        <v>15</v>
      </c>
      <c r="B1675" s="1">
        <v>11</v>
      </c>
      <c r="C1675" s="1" t="s">
        <v>5480</v>
      </c>
      <c r="D1675" s="1" t="s">
        <v>86</v>
      </c>
      <c r="E1675" s="2">
        <v>45974</v>
      </c>
      <c r="F1675" s="1" t="s">
        <v>53</v>
      </c>
      <c r="G1675" s="1" t="s">
        <v>87</v>
      </c>
      <c r="H1675" s="1" t="s">
        <v>88</v>
      </c>
      <c r="I1675" s="1">
        <v>1</v>
      </c>
      <c r="J1675" s="3">
        <v>14956</v>
      </c>
      <c r="K1675" s="3">
        <v>14272</v>
      </c>
      <c r="L1675" s="1">
        <v>0</v>
      </c>
      <c r="M1675" s="4">
        <v>0</v>
      </c>
      <c r="N1675" s="1">
        <v>684</v>
      </c>
      <c r="O1675" s="4">
        <v>4.5999999999999999E-2</v>
      </c>
      <c r="P1675" s="1" t="s">
        <v>2721</v>
      </c>
    </row>
    <row r="1676" spans="1:16">
      <c r="A1676" s="1" t="s">
        <v>15</v>
      </c>
      <c r="B1676" s="1">
        <v>11</v>
      </c>
      <c r="C1676" s="1" t="s">
        <v>5481</v>
      </c>
      <c r="D1676" s="1" t="s">
        <v>178</v>
      </c>
      <c r="E1676" s="2">
        <v>45974</v>
      </c>
      <c r="F1676" s="1" t="s">
        <v>96</v>
      </c>
      <c r="G1676" s="1" t="s">
        <v>179</v>
      </c>
      <c r="H1676" s="1" t="s">
        <v>180</v>
      </c>
      <c r="I1676" s="1">
        <v>1</v>
      </c>
      <c r="J1676" s="3">
        <v>15284</v>
      </c>
      <c r="K1676" s="3">
        <v>14584</v>
      </c>
      <c r="L1676" s="1">
        <v>0</v>
      </c>
      <c r="M1676" s="4">
        <v>0</v>
      </c>
      <c r="N1676" s="1">
        <v>700</v>
      </c>
      <c r="O1676" s="4">
        <v>4.5999999999999999E-2</v>
      </c>
      <c r="P1676" s="1" t="s">
        <v>2721</v>
      </c>
    </row>
    <row r="1677" spans="1:16">
      <c r="A1677" s="1" t="s">
        <v>15</v>
      </c>
      <c r="B1677" s="1">
        <v>11</v>
      </c>
      <c r="C1677" s="1" t="s">
        <v>5482</v>
      </c>
      <c r="D1677" s="1" t="s">
        <v>2799</v>
      </c>
      <c r="E1677" s="2">
        <v>45974</v>
      </c>
      <c r="F1677" s="1" t="s">
        <v>58</v>
      </c>
      <c r="G1677" s="1" t="s">
        <v>2800</v>
      </c>
      <c r="H1677" s="1" t="s">
        <v>5483</v>
      </c>
      <c r="I1677" s="1">
        <v>1</v>
      </c>
      <c r="J1677" s="3">
        <v>27524</v>
      </c>
      <c r="K1677" s="3">
        <v>26264</v>
      </c>
      <c r="L1677" s="1">
        <v>0</v>
      </c>
      <c r="M1677" s="4">
        <v>0</v>
      </c>
      <c r="N1677" s="3">
        <v>1260</v>
      </c>
      <c r="O1677" s="4">
        <v>4.5999999999999999E-2</v>
      </c>
      <c r="P1677" s="1" t="s">
        <v>2721</v>
      </c>
    </row>
    <row r="1678" spans="1:16">
      <c r="A1678" s="1" t="s">
        <v>15</v>
      </c>
      <c r="B1678" s="1">
        <v>11</v>
      </c>
      <c r="C1678" s="1" t="s">
        <v>5484</v>
      </c>
      <c r="D1678" s="1" t="s">
        <v>5485</v>
      </c>
      <c r="E1678" s="2">
        <v>45974</v>
      </c>
      <c r="F1678" s="1" t="s">
        <v>96</v>
      </c>
      <c r="G1678" s="1" t="s">
        <v>5486</v>
      </c>
      <c r="H1678" s="1" t="s">
        <v>5487</v>
      </c>
      <c r="I1678" s="1">
        <v>1</v>
      </c>
      <c r="J1678" s="3">
        <v>7958</v>
      </c>
      <c r="K1678" s="3">
        <v>7594</v>
      </c>
      <c r="L1678" s="1">
        <v>0</v>
      </c>
      <c r="M1678" s="4">
        <v>0</v>
      </c>
      <c r="N1678" s="1">
        <v>364</v>
      </c>
      <c r="O1678" s="4">
        <v>4.5999999999999999E-2</v>
      </c>
      <c r="P1678" s="1" t="s">
        <v>2721</v>
      </c>
    </row>
    <row r="1679" spans="1:16">
      <c r="A1679" s="1" t="s">
        <v>15</v>
      </c>
      <c r="B1679" s="1">
        <v>11</v>
      </c>
      <c r="C1679" s="1" t="s">
        <v>5488</v>
      </c>
      <c r="D1679" s="1" t="s">
        <v>3592</v>
      </c>
      <c r="E1679" s="2">
        <v>45974</v>
      </c>
      <c r="F1679" s="1" t="s">
        <v>261</v>
      </c>
      <c r="G1679" s="1" t="s">
        <v>3593</v>
      </c>
      <c r="H1679" s="1" t="s">
        <v>3593</v>
      </c>
      <c r="I1679" s="1">
        <v>1</v>
      </c>
      <c r="J1679" s="3">
        <v>70776</v>
      </c>
      <c r="K1679" s="3">
        <v>67536</v>
      </c>
      <c r="L1679" s="1">
        <v>0</v>
      </c>
      <c r="M1679" s="4">
        <v>0</v>
      </c>
      <c r="N1679" s="3">
        <v>3240</v>
      </c>
      <c r="O1679" s="4">
        <v>4.5999999999999999E-2</v>
      </c>
      <c r="P1679" s="1" t="s">
        <v>2721</v>
      </c>
    </row>
    <row r="1680" spans="1:16">
      <c r="A1680" s="1" t="s">
        <v>15</v>
      </c>
      <c r="B1680" s="1">
        <v>11</v>
      </c>
      <c r="C1680" s="1" t="s">
        <v>5489</v>
      </c>
      <c r="D1680" s="1" t="s">
        <v>899</v>
      </c>
      <c r="E1680" s="2">
        <v>45974</v>
      </c>
      <c r="F1680" s="1" t="s">
        <v>500</v>
      </c>
      <c r="G1680" s="1" t="s">
        <v>900</v>
      </c>
      <c r="H1680" s="1" t="s">
        <v>901</v>
      </c>
      <c r="I1680" s="1">
        <v>1</v>
      </c>
      <c r="J1680" s="3">
        <v>105846</v>
      </c>
      <c r="K1680" s="3">
        <v>101000</v>
      </c>
      <c r="L1680" s="1">
        <v>0</v>
      </c>
      <c r="M1680" s="4">
        <v>0</v>
      </c>
      <c r="N1680" s="3">
        <v>4846</v>
      </c>
      <c r="O1680" s="4">
        <v>4.5999999999999999E-2</v>
      </c>
      <c r="P1680" s="1" t="s">
        <v>2721</v>
      </c>
    </row>
    <row r="1681" spans="1:16">
      <c r="A1681" s="1" t="s">
        <v>15</v>
      </c>
      <c r="B1681" s="1">
        <v>11</v>
      </c>
      <c r="C1681" s="1" t="s">
        <v>5490</v>
      </c>
      <c r="D1681" s="1" t="s">
        <v>5491</v>
      </c>
      <c r="E1681" s="2">
        <v>45974</v>
      </c>
      <c r="F1681" s="1" t="s">
        <v>96</v>
      </c>
      <c r="G1681" s="1" t="s">
        <v>5492</v>
      </c>
      <c r="H1681" s="1" t="s">
        <v>5493</v>
      </c>
      <c r="I1681" s="1">
        <v>1</v>
      </c>
      <c r="J1681" s="3">
        <v>11666</v>
      </c>
      <c r="K1681" s="3">
        <v>11132</v>
      </c>
      <c r="L1681" s="1">
        <v>0</v>
      </c>
      <c r="M1681" s="4">
        <v>0</v>
      </c>
      <c r="N1681" s="1">
        <v>534</v>
      </c>
      <c r="O1681" s="4">
        <v>4.5999999999999999E-2</v>
      </c>
      <c r="P1681" s="1" t="s">
        <v>2721</v>
      </c>
    </row>
    <row r="1682" spans="1:16">
      <c r="A1682" s="1" t="s">
        <v>15</v>
      </c>
      <c r="B1682" s="1">
        <v>11</v>
      </c>
      <c r="C1682" s="1" t="s">
        <v>5490</v>
      </c>
      <c r="D1682" s="1" t="s">
        <v>5494</v>
      </c>
      <c r="E1682" s="2">
        <v>45974</v>
      </c>
      <c r="F1682" s="1" t="s">
        <v>96</v>
      </c>
      <c r="G1682" s="1" t="s">
        <v>5257</v>
      </c>
      <c r="H1682" s="1" t="s">
        <v>5258</v>
      </c>
      <c r="I1682" s="1">
        <v>1</v>
      </c>
      <c r="J1682" s="3">
        <v>10310</v>
      </c>
      <c r="K1682" s="3">
        <v>9838</v>
      </c>
      <c r="L1682" s="1">
        <v>0</v>
      </c>
      <c r="M1682" s="4">
        <v>0</v>
      </c>
      <c r="N1682" s="1">
        <v>472</v>
      </c>
      <c r="O1682" s="4">
        <v>4.5999999999999999E-2</v>
      </c>
      <c r="P1682" s="1" t="s">
        <v>2721</v>
      </c>
    </row>
    <row r="1683" spans="1:16">
      <c r="A1683" s="1" t="s">
        <v>15</v>
      </c>
      <c r="B1683" s="1">
        <v>11</v>
      </c>
      <c r="C1683" s="1" t="s">
        <v>5495</v>
      </c>
      <c r="D1683" s="1" t="s">
        <v>504</v>
      </c>
      <c r="E1683" s="2">
        <v>45974</v>
      </c>
      <c r="F1683" s="1" t="s">
        <v>407</v>
      </c>
      <c r="G1683" s="1" t="s">
        <v>505</v>
      </c>
      <c r="H1683" s="1" t="s">
        <v>1322</v>
      </c>
      <c r="I1683" s="1">
        <v>1</v>
      </c>
      <c r="J1683" s="3">
        <v>23592</v>
      </c>
      <c r="K1683" s="3">
        <v>22512</v>
      </c>
      <c r="L1683" s="1">
        <v>0</v>
      </c>
      <c r="M1683" s="4">
        <v>0</v>
      </c>
      <c r="N1683" s="3">
        <v>1080</v>
      </c>
      <c r="O1683" s="4">
        <v>4.5999999999999999E-2</v>
      </c>
      <c r="P1683" s="1" t="s">
        <v>2721</v>
      </c>
    </row>
    <row r="1684" spans="1:16">
      <c r="A1684" s="1" t="s">
        <v>15</v>
      </c>
      <c r="B1684" s="1">
        <v>11</v>
      </c>
      <c r="C1684" s="1" t="s">
        <v>5496</v>
      </c>
      <c r="D1684" s="1" t="s">
        <v>504</v>
      </c>
      <c r="E1684" s="2">
        <v>45974</v>
      </c>
      <c r="F1684" s="1" t="s">
        <v>407</v>
      </c>
      <c r="G1684" s="1" t="s">
        <v>505</v>
      </c>
      <c r="H1684" s="1" t="s">
        <v>1004</v>
      </c>
      <c r="I1684" s="1">
        <v>1</v>
      </c>
      <c r="J1684" s="3">
        <v>9339</v>
      </c>
      <c r="K1684" s="3">
        <v>8911</v>
      </c>
      <c r="L1684" s="1">
        <v>0</v>
      </c>
      <c r="M1684" s="4">
        <v>0</v>
      </c>
      <c r="N1684" s="1">
        <v>428</v>
      </c>
      <c r="O1684" s="4">
        <v>4.5999999999999999E-2</v>
      </c>
      <c r="P1684" s="1" t="s">
        <v>2721</v>
      </c>
    </row>
    <row r="1685" spans="1:16">
      <c r="A1685" s="1" t="s">
        <v>15</v>
      </c>
      <c r="B1685" s="1">
        <v>11</v>
      </c>
      <c r="C1685" s="1" t="s">
        <v>5497</v>
      </c>
      <c r="D1685" s="1" t="s">
        <v>238</v>
      </c>
      <c r="E1685" s="2">
        <v>45974</v>
      </c>
      <c r="F1685" s="1" t="s">
        <v>239</v>
      </c>
      <c r="G1685" s="1" t="s">
        <v>240</v>
      </c>
      <c r="H1685" s="1" t="s">
        <v>241</v>
      </c>
      <c r="I1685" s="1">
        <v>1</v>
      </c>
      <c r="J1685" s="3">
        <v>11305</v>
      </c>
      <c r="K1685" s="3">
        <v>10787</v>
      </c>
      <c r="L1685" s="1">
        <v>0</v>
      </c>
      <c r="M1685" s="4">
        <v>0</v>
      </c>
      <c r="N1685" s="1">
        <v>518</v>
      </c>
      <c r="O1685" s="4">
        <v>4.5999999999999999E-2</v>
      </c>
      <c r="P1685" s="1" t="s">
        <v>2721</v>
      </c>
    </row>
    <row r="1686" spans="1:16">
      <c r="A1686" s="1" t="s">
        <v>15</v>
      </c>
      <c r="B1686" s="1">
        <v>11</v>
      </c>
      <c r="C1686" s="1" t="s">
        <v>5498</v>
      </c>
      <c r="D1686" s="1" t="s">
        <v>17</v>
      </c>
      <c r="E1686" s="2">
        <v>45974</v>
      </c>
      <c r="F1686" s="1" t="s">
        <v>18</v>
      </c>
      <c r="G1686" s="1" t="s">
        <v>19</v>
      </c>
      <c r="H1686" s="1" t="s">
        <v>1252</v>
      </c>
      <c r="I1686" s="1">
        <v>2</v>
      </c>
      <c r="J1686" s="3">
        <v>14332</v>
      </c>
      <c r="K1686" s="3">
        <v>13676</v>
      </c>
      <c r="L1686" s="1">
        <v>0</v>
      </c>
      <c r="M1686" s="4">
        <v>0</v>
      </c>
      <c r="N1686" s="1">
        <v>656</v>
      </c>
      <c r="O1686" s="4">
        <v>4.5999999999999999E-2</v>
      </c>
      <c r="P1686" s="1" t="s">
        <v>2721</v>
      </c>
    </row>
    <row r="1687" spans="1:16">
      <c r="A1687" s="1" t="s">
        <v>15</v>
      </c>
      <c r="B1687" s="1">
        <v>11</v>
      </c>
      <c r="C1687" s="1" t="s">
        <v>5499</v>
      </c>
      <c r="D1687" s="1" t="s">
        <v>955</v>
      </c>
      <c r="E1687" s="2">
        <v>45974</v>
      </c>
      <c r="F1687" s="1" t="s">
        <v>554</v>
      </c>
      <c r="G1687" s="1" t="s">
        <v>956</v>
      </c>
      <c r="H1687" s="1" t="s">
        <v>2654</v>
      </c>
      <c r="I1687" s="1">
        <v>1</v>
      </c>
      <c r="J1687" s="3">
        <v>31653</v>
      </c>
      <c r="K1687" s="3">
        <v>30204</v>
      </c>
      <c r="L1687" s="1">
        <v>0</v>
      </c>
      <c r="M1687" s="4">
        <v>0</v>
      </c>
      <c r="N1687" s="3">
        <v>1449</v>
      </c>
      <c r="O1687" s="4">
        <v>4.5999999999999999E-2</v>
      </c>
      <c r="P1687" s="1" t="s">
        <v>2721</v>
      </c>
    </row>
    <row r="1688" spans="1:16">
      <c r="A1688" s="1" t="s">
        <v>15</v>
      </c>
      <c r="B1688" s="1">
        <v>11</v>
      </c>
      <c r="C1688" s="1" t="s">
        <v>5500</v>
      </c>
      <c r="D1688" s="1" t="s">
        <v>504</v>
      </c>
      <c r="E1688" s="2">
        <v>45974</v>
      </c>
      <c r="F1688" s="1" t="s">
        <v>407</v>
      </c>
      <c r="G1688" s="1" t="s">
        <v>505</v>
      </c>
      <c r="H1688" s="1" t="s">
        <v>1004</v>
      </c>
      <c r="I1688" s="1">
        <v>1</v>
      </c>
      <c r="J1688" s="3">
        <v>9339</v>
      </c>
      <c r="K1688" s="3">
        <v>8911</v>
      </c>
      <c r="L1688" s="1">
        <v>0</v>
      </c>
      <c r="M1688" s="4">
        <v>0</v>
      </c>
      <c r="N1688" s="1">
        <v>428</v>
      </c>
      <c r="O1688" s="4">
        <v>4.5999999999999999E-2</v>
      </c>
      <c r="P1688" s="1" t="s">
        <v>2721</v>
      </c>
    </row>
    <row r="1689" spans="1:16">
      <c r="A1689" s="1" t="s">
        <v>15</v>
      </c>
      <c r="B1689" s="1">
        <v>11</v>
      </c>
      <c r="C1689" s="1" t="s">
        <v>5501</v>
      </c>
      <c r="D1689" s="1" t="s">
        <v>777</v>
      </c>
      <c r="E1689" s="2">
        <v>45974</v>
      </c>
      <c r="F1689" s="1" t="s">
        <v>256</v>
      </c>
      <c r="G1689" s="1" t="s">
        <v>778</v>
      </c>
      <c r="H1689" s="1" t="s">
        <v>779</v>
      </c>
      <c r="I1689" s="1">
        <v>1</v>
      </c>
      <c r="J1689" s="3">
        <v>11010</v>
      </c>
      <c r="K1689" s="3">
        <v>10506</v>
      </c>
      <c r="L1689" s="1">
        <v>0</v>
      </c>
      <c r="M1689" s="4">
        <v>0</v>
      </c>
      <c r="N1689" s="1">
        <v>504</v>
      </c>
      <c r="O1689" s="4">
        <v>4.5999999999999999E-2</v>
      </c>
      <c r="P1689" s="1" t="s">
        <v>2721</v>
      </c>
    </row>
    <row r="1690" spans="1:16">
      <c r="A1690" s="1" t="s">
        <v>15</v>
      </c>
      <c r="B1690" s="1">
        <v>11</v>
      </c>
      <c r="C1690" s="1" t="s">
        <v>5502</v>
      </c>
      <c r="D1690" s="1" t="s">
        <v>2312</v>
      </c>
      <c r="E1690" s="2">
        <v>45974</v>
      </c>
      <c r="F1690" s="1" t="s">
        <v>1772</v>
      </c>
      <c r="G1690" s="1" t="s">
        <v>1773</v>
      </c>
      <c r="H1690" s="1" t="s">
        <v>2313</v>
      </c>
      <c r="I1690" s="1">
        <v>1</v>
      </c>
      <c r="J1690" s="3">
        <v>23395</v>
      </c>
      <c r="K1690" s="3">
        <v>22324</v>
      </c>
      <c r="L1690" s="1">
        <v>0</v>
      </c>
      <c r="M1690" s="4">
        <v>0</v>
      </c>
      <c r="N1690" s="3">
        <v>1071</v>
      </c>
      <c r="O1690" s="4">
        <v>4.5999999999999999E-2</v>
      </c>
      <c r="P1690" s="1" t="s">
        <v>2721</v>
      </c>
    </row>
    <row r="1691" spans="1:16">
      <c r="A1691" s="1" t="s">
        <v>15</v>
      </c>
      <c r="B1691" s="1">
        <v>11</v>
      </c>
      <c r="C1691" s="1" t="s">
        <v>5503</v>
      </c>
      <c r="D1691" s="1" t="s">
        <v>504</v>
      </c>
      <c r="E1691" s="2">
        <v>45974</v>
      </c>
      <c r="F1691" s="1" t="s">
        <v>407</v>
      </c>
      <c r="G1691" s="1" t="s">
        <v>505</v>
      </c>
      <c r="H1691" s="1" t="s">
        <v>1322</v>
      </c>
      <c r="I1691" s="1">
        <v>1</v>
      </c>
      <c r="J1691" s="3">
        <v>23592</v>
      </c>
      <c r="K1691" s="3">
        <v>22512</v>
      </c>
      <c r="L1691" s="1">
        <v>0</v>
      </c>
      <c r="M1691" s="4">
        <v>0</v>
      </c>
      <c r="N1691" s="3">
        <v>1080</v>
      </c>
      <c r="O1691" s="4">
        <v>4.5999999999999999E-2</v>
      </c>
      <c r="P1691" s="1" t="s">
        <v>2721</v>
      </c>
    </row>
    <row r="1692" spans="1:16">
      <c r="A1692" s="1" t="s">
        <v>15</v>
      </c>
      <c r="B1692" s="1">
        <v>11</v>
      </c>
      <c r="C1692" s="1" t="s">
        <v>5504</v>
      </c>
      <c r="D1692" s="1" t="s">
        <v>504</v>
      </c>
      <c r="E1692" s="2">
        <v>45974</v>
      </c>
      <c r="F1692" s="1" t="s">
        <v>407</v>
      </c>
      <c r="G1692" s="1" t="s">
        <v>505</v>
      </c>
      <c r="H1692" s="1" t="s">
        <v>1322</v>
      </c>
      <c r="I1692" s="1">
        <v>1</v>
      </c>
      <c r="J1692" s="3">
        <v>23592</v>
      </c>
      <c r="K1692" s="3">
        <v>22512</v>
      </c>
      <c r="L1692" s="1">
        <v>0</v>
      </c>
      <c r="M1692" s="4">
        <v>0</v>
      </c>
      <c r="N1692" s="3">
        <v>1080</v>
      </c>
      <c r="O1692" s="4">
        <v>4.5999999999999999E-2</v>
      </c>
      <c r="P1692" s="1" t="s">
        <v>2721</v>
      </c>
    </row>
    <row r="1693" spans="1:16">
      <c r="A1693" s="1" t="s">
        <v>15</v>
      </c>
      <c r="B1693" s="1">
        <v>11</v>
      </c>
      <c r="C1693" s="1" t="s">
        <v>5505</v>
      </c>
      <c r="D1693" s="1" t="s">
        <v>5506</v>
      </c>
      <c r="E1693" s="2">
        <v>45974</v>
      </c>
      <c r="F1693" s="1" t="s">
        <v>641</v>
      </c>
      <c r="G1693" s="1" t="s">
        <v>5507</v>
      </c>
      <c r="H1693" s="1" t="s">
        <v>5508</v>
      </c>
      <c r="I1693" s="1">
        <v>1</v>
      </c>
      <c r="J1693" s="3">
        <v>67827</v>
      </c>
      <c r="K1693" s="3">
        <v>64722</v>
      </c>
      <c r="L1693" s="1">
        <v>0</v>
      </c>
      <c r="M1693" s="4">
        <v>0</v>
      </c>
      <c r="N1693" s="3">
        <v>3105</v>
      </c>
      <c r="O1693" s="4">
        <v>4.5999999999999999E-2</v>
      </c>
      <c r="P1693" s="1" t="s">
        <v>2721</v>
      </c>
    </row>
    <row r="1694" spans="1:16">
      <c r="A1694" s="1" t="s">
        <v>15</v>
      </c>
      <c r="B1694" s="1">
        <v>11</v>
      </c>
      <c r="C1694" s="1" t="s">
        <v>5509</v>
      </c>
      <c r="D1694" s="1" t="s">
        <v>221</v>
      </c>
      <c r="E1694" s="2">
        <v>45974</v>
      </c>
      <c r="F1694" s="1" t="s">
        <v>96</v>
      </c>
      <c r="G1694" s="1" t="s">
        <v>222</v>
      </c>
      <c r="H1694" s="1" t="s">
        <v>509</v>
      </c>
      <c r="I1694" s="1">
        <v>1</v>
      </c>
      <c r="J1694" s="3">
        <v>12571</v>
      </c>
      <c r="K1694" s="3">
        <v>11995</v>
      </c>
      <c r="L1694" s="1">
        <v>0</v>
      </c>
      <c r="M1694" s="4">
        <v>0</v>
      </c>
      <c r="N1694" s="1">
        <v>576</v>
      </c>
      <c r="O1694" s="4">
        <v>4.5999999999999999E-2</v>
      </c>
      <c r="P1694" s="1" t="s">
        <v>2721</v>
      </c>
    </row>
    <row r="1695" spans="1:16">
      <c r="A1695" s="1" t="s">
        <v>15</v>
      </c>
      <c r="B1695" s="1">
        <v>11</v>
      </c>
      <c r="C1695" s="1" t="s">
        <v>5510</v>
      </c>
      <c r="D1695" s="1" t="s">
        <v>3754</v>
      </c>
      <c r="E1695" s="2">
        <v>45974</v>
      </c>
      <c r="F1695" s="1" t="s">
        <v>63</v>
      </c>
      <c r="G1695" s="1" t="s">
        <v>3755</v>
      </c>
      <c r="H1695" s="1" t="s">
        <v>3756</v>
      </c>
      <c r="I1695" s="1">
        <v>2</v>
      </c>
      <c r="J1695" s="3">
        <v>10276</v>
      </c>
      <c r="K1695" s="3">
        <v>9806</v>
      </c>
      <c r="L1695" s="1">
        <v>0</v>
      </c>
      <c r="M1695" s="4">
        <v>0</v>
      </c>
      <c r="N1695" s="1">
        <v>470</v>
      </c>
      <c r="O1695" s="4">
        <v>4.5999999999999999E-2</v>
      </c>
      <c r="P1695" s="1" t="s">
        <v>2721</v>
      </c>
    </row>
    <row r="1696" spans="1:16">
      <c r="A1696" s="1" t="s">
        <v>15</v>
      </c>
      <c r="B1696" s="1">
        <v>11</v>
      </c>
      <c r="C1696" s="1" t="s">
        <v>5511</v>
      </c>
      <c r="D1696" s="1" t="s">
        <v>390</v>
      </c>
      <c r="E1696" s="2">
        <v>45974</v>
      </c>
      <c r="F1696" s="1" t="s">
        <v>256</v>
      </c>
      <c r="G1696" s="1" t="s">
        <v>391</v>
      </c>
      <c r="H1696" s="1" t="s">
        <v>392</v>
      </c>
      <c r="I1696" s="1">
        <v>1</v>
      </c>
      <c r="J1696" s="3">
        <v>12799</v>
      </c>
      <c r="K1696" s="3">
        <v>12213</v>
      </c>
      <c r="L1696" s="1">
        <v>0</v>
      </c>
      <c r="M1696" s="4">
        <v>0</v>
      </c>
      <c r="N1696" s="1">
        <v>586</v>
      </c>
      <c r="O1696" s="4">
        <v>4.5999999999999999E-2</v>
      </c>
      <c r="P1696" s="1" t="s">
        <v>2721</v>
      </c>
    </row>
    <row r="1697" spans="1:16">
      <c r="A1697" s="1" t="s">
        <v>15</v>
      </c>
      <c r="B1697" s="1">
        <v>11</v>
      </c>
      <c r="C1697" s="1" t="s">
        <v>5512</v>
      </c>
      <c r="D1697" s="1" t="s">
        <v>27</v>
      </c>
      <c r="E1697" s="2">
        <v>45974</v>
      </c>
      <c r="F1697" s="1" t="s">
        <v>28</v>
      </c>
      <c r="G1697" s="1" t="s">
        <v>29</v>
      </c>
      <c r="H1697" s="1" t="s">
        <v>352</v>
      </c>
      <c r="I1697" s="1">
        <v>2</v>
      </c>
      <c r="J1697" s="3">
        <v>54065</v>
      </c>
      <c r="K1697" s="3">
        <v>51590</v>
      </c>
      <c r="L1697" s="1">
        <v>0</v>
      </c>
      <c r="M1697" s="4">
        <v>0</v>
      </c>
      <c r="N1697" s="3">
        <v>2475</v>
      </c>
      <c r="O1697" s="4">
        <v>4.5999999999999999E-2</v>
      </c>
      <c r="P1697" s="1" t="s">
        <v>2721</v>
      </c>
    </row>
    <row r="1698" spans="1:16">
      <c r="A1698" s="1" t="s">
        <v>15</v>
      </c>
      <c r="B1698" s="1">
        <v>11</v>
      </c>
      <c r="C1698" s="1" t="s">
        <v>5513</v>
      </c>
      <c r="D1698" s="1" t="s">
        <v>116</v>
      </c>
      <c r="E1698" s="2">
        <v>45974</v>
      </c>
      <c r="F1698" s="1" t="s">
        <v>63</v>
      </c>
      <c r="G1698" s="1" t="s">
        <v>117</v>
      </c>
      <c r="H1698" s="1" t="s">
        <v>580</v>
      </c>
      <c r="I1698" s="1">
        <v>1</v>
      </c>
      <c r="J1698" s="3">
        <v>27764</v>
      </c>
      <c r="K1698" s="3">
        <v>26493</v>
      </c>
      <c r="L1698" s="1">
        <v>0</v>
      </c>
      <c r="M1698" s="4">
        <v>0</v>
      </c>
      <c r="N1698" s="3">
        <v>1271</v>
      </c>
      <c r="O1698" s="4">
        <v>4.5999999999999999E-2</v>
      </c>
      <c r="P1698" s="1" t="s">
        <v>2721</v>
      </c>
    </row>
    <row r="1699" spans="1:16">
      <c r="A1699" s="1" t="s">
        <v>15</v>
      </c>
      <c r="B1699" s="1">
        <v>11</v>
      </c>
      <c r="C1699" s="1" t="s">
        <v>5514</v>
      </c>
      <c r="D1699" s="1" t="s">
        <v>478</v>
      </c>
      <c r="E1699" s="2">
        <v>45974</v>
      </c>
      <c r="F1699" s="1" t="s">
        <v>368</v>
      </c>
      <c r="G1699" s="1" t="s">
        <v>479</v>
      </c>
      <c r="H1699" s="1" t="s">
        <v>480</v>
      </c>
      <c r="I1699" s="1">
        <v>1</v>
      </c>
      <c r="J1699" s="3">
        <v>19805</v>
      </c>
      <c r="K1699" s="3">
        <v>18899</v>
      </c>
      <c r="L1699" s="1">
        <v>0</v>
      </c>
      <c r="M1699" s="4">
        <v>0</v>
      </c>
      <c r="N1699" s="1">
        <v>906</v>
      </c>
      <c r="O1699" s="4">
        <v>4.5999999999999999E-2</v>
      </c>
      <c r="P1699" s="1" t="s">
        <v>2721</v>
      </c>
    </row>
    <row r="1700" spans="1:16">
      <c r="A1700" s="1" t="s">
        <v>15</v>
      </c>
      <c r="B1700" s="1">
        <v>11</v>
      </c>
      <c r="C1700" s="1" t="s">
        <v>5515</v>
      </c>
      <c r="D1700" s="1" t="s">
        <v>425</v>
      </c>
      <c r="E1700" s="2">
        <v>45974</v>
      </c>
      <c r="F1700" s="1" t="s">
        <v>426</v>
      </c>
      <c r="G1700" s="1" t="s">
        <v>427</v>
      </c>
      <c r="H1700" s="1" t="s">
        <v>2137</v>
      </c>
      <c r="I1700" s="1">
        <v>1</v>
      </c>
      <c r="J1700" s="3">
        <v>21626</v>
      </c>
      <c r="K1700" s="3">
        <v>20636</v>
      </c>
      <c r="L1700" s="1">
        <v>0</v>
      </c>
      <c r="M1700" s="4">
        <v>0</v>
      </c>
      <c r="N1700" s="1">
        <v>990</v>
      </c>
      <c r="O1700" s="4">
        <v>4.5999999999999999E-2</v>
      </c>
      <c r="P1700" s="1" t="s">
        <v>2721</v>
      </c>
    </row>
    <row r="1701" spans="1:16">
      <c r="A1701" s="1" t="s">
        <v>15</v>
      </c>
      <c r="B1701" s="1">
        <v>11</v>
      </c>
      <c r="C1701" s="1" t="s">
        <v>5515</v>
      </c>
      <c r="D1701" s="1" t="s">
        <v>425</v>
      </c>
      <c r="E1701" s="2">
        <v>45974</v>
      </c>
      <c r="F1701" s="1" t="s">
        <v>426</v>
      </c>
      <c r="G1701" s="1" t="s">
        <v>427</v>
      </c>
      <c r="H1701" s="1" t="s">
        <v>1568</v>
      </c>
      <c r="I1701" s="1">
        <v>1</v>
      </c>
      <c r="J1701" s="3">
        <v>24575</v>
      </c>
      <c r="K1701" s="3">
        <v>23450</v>
      </c>
      <c r="L1701" s="1">
        <v>0</v>
      </c>
      <c r="M1701" s="4">
        <v>0</v>
      </c>
      <c r="N1701" s="3">
        <v>1125</v>
      </c>
      <c r="O1701" s="4">
        <v>4.5999999999999999E-2</v>
      </c>
      <c r="P1701" s="1" t="s">
        <v>2721</v>
      </c>
    </row>
    <row r="1702" spans="1:16">
      <c r="A1702" s="1" t="s">
        <v>15</v>
      </c>
      <c r="B1702" s="1">
        <v>11</v>
      </c>
      <c r="C1702" s="1" t="s">
        <v>5516</v>
      </c>
      <c r="D1702" s="1" t="s">
        <v>960</v>
      </c>
      <c r="E1702" s="2">
        <v>45974</v>
      </c>
      <c r="F1702" s="1" t="s">
        <v>407</v>
      </c>
      <c r="G1702" s="1" t="s">
        <v>961</v>
      </c>
      <c r="H1702" s="1" t="s">
        <v>2830</v>
      </c>
      <c r="I1702" s="1">
        <v>1</v>
      </c>
      <c r="J1702" s="3">
        <v>16711</v>
      </c>
      <c r="K1702" s="3">
        <v>15946</v>
      </c>
      <c r="L1702" s="1">
        <v>0</v>
      </c>
      <c r="M1702" s="4">
        <v>0</v>
      </c>
      <c r="N1702" s="1">
        <v>765</v>
      </c>
      <c r="O1702" s="4">
        <v>4.5999999999999999E-2</v>
      </c>
      <c r="P1702" s="1" t="s">
        <v>2721</v>
      </c>
    </row>
    <row r="1703" spans="1:16">
      <c r="A1703" s="1" t="s">
        <v>15</v>
      </c>
      <c r="B1703" s="1">
        <v>11</v>
      </c>
      <c r="C1703" s="1" t="s">
        <v>5517</v>
      </c>
      <c r="D1703" s="1" t="s">
        <v>5518</v>
      </c>
      <c r="E1703" s="2">
        <v>45974</v>
      </c>
      <c r="F1703" s="1" t="s">
        <v>48</v>
      </c>
      <c r="G1703" s="1" t="s">
        <v>5519</v>
      </c>
      <c r="H1703" s="1" t="s">
        <v>5519</v>
      </c>
      <c r="I1703" s="1">
        <v>1</v>
      </c>
      <c r="J1703" s="3">
        <v>8501</v>
      </c>
      <c r="K1703" s="3">
        <v>8112</v>
      </c>
      <c r="L1703" s="1">
        <v>0</v>
      </c>
      <c r="M1703" s="4">
        <v>0</v>
      </c>
      <c r="N1703" s="1">
        <v>389</v>
      </c>
      <c r="O1703" s="4">
        <v>4.5999999999999999E-2</v>
      </c>
      <c r="P1703" s="1" t="s">
        <v>2721</v>
      </c>
    </row>
    <row r="1704" spans="1:16">
      <c r="A1704" s="1" t="s">
        <v>15</v>
      </c>
      <c r="B1704" s="1">
        <v>11</v>
      </c>
      <c r="C1704" s="1" t="s">
        <v>5520</v>
      </c>
      <c r="D1704" s="1" t="s">
        <v>777</v>
      </c>
      <c r="E1704" s="2">
        <v>45974</v>
      </c>
      <c r="F1704" s="1" t="s">
        <v>256</v>
      </c>
      <c r="G1704" s="1" t="s">
        <v>778</v>
      </c>
      <c r="H1704" s="1" t="s">
        <v>779</v>
      </c>
      <c r="I1704" s="1">
        <v>1</v>
      </c>
      <c r="J1704" s="3">
        <v>11010</v>
      </c>
      <c r="K1704" s="3">
        <v>10506</v>
      </c>
      <c r="L1704" s="1">
        <v>0</v>
      </c>
      <c r="M1704" s="4">
        <v>0</v>
      </c>
      <c r="N1704" s="1">
        <v>504</v>
      </c>
      <c r="O1704" s="4">
        <v>4.5999999999999999E-2</v>
      </c>
      <c r="P1704" s="1" t="s">
        <v>2721</v>
      </c>
    </row>
    <row r="1705" spans="1:16">
      <c r="A1705" s="1" t="s">
        <v>15</v>
      </c>
      <c r="B1705" s="1">
        <v>11</v>
      </c>
      <c r="C1705" s="1" t="s">
        <v>5521</v>
      </c>
      <c r="D1705" s="1" t="s">
        <v>3754</v>
      </c>
      <c r="E1705" s="2">
        <v>45974</v>
      </c>
      <c r="F1705" s="1" t="s">
        <v>63</v>
      </c>
      <c r="G1705" s="1" t="s">
        <v>3755</v>
      </c>
      <c r="H1705" s="1" t="s">
        <v>5522</v>
      </c>
      <c r="I1705" s="1">
        <v>2</v>
      </c>
      <c r="J1705" s="3">
        <v>13160</v>
      </c>
      <c r="K1705" s="3">
        <v>12558</v>
      </c>
      <c r="L1705" s="1">
        <v>0</v>
      </c>
      <c r="M1705" s="4">
        <v>0</v>
      </c>
      <c r="N1705" s="1">
        <v>602</v>
      </c>
      <c r="O1705" s="4">
        <v>4.5999999999999999E-2</v>
      </c>
      <c r="P1705" s="1" t="s">
        <v>2721</v>
      </c>
    </row>
    <row r="1706" spans="1:16">
      <c r="A1706" s="1" t="s">
        <v>15</v>
      </c>
      <c r="B1706" s="1">
        <v>11</v>
      </c>
      <c r="C1706" s="1" t="s">
        <v>5521</v>
      </c>
      <c r="D1706" s="1" t="s">
        <v>3754</v>
      </c>
      <c r="E1706" s="2">
        <v>45974</v>
      </c>
      <c r="F1706" s="1" t="s">
        <v>63</v>
      </c>
      <c r="G1706" s="1" t="s">
        <v>3755</v>
      </c>
      <c r="H1706" s="1" t="s">
        <v>3756</v>
      </c>
      <c r="I1706" s="1">
        <v>2</v>
      </c>
      <c r="J1706" s="3">
        <v>10276</v>
      </c>
      <c r="K1706" s="3">
        <v>9806</v>
      </c>
      <c r="L1706" s="1">
        <v>0</v>
      </c>
      <c r="M1706" s="4">
        <v>0</v>
      </c>
      <c r="N1706" s="1">
        <v>470</v>
      </c>
      <c r="O1706" s="4">
        <v>4.5999999999999999E-2</v>
      </c>
      <c r="P1706" s="1" t="s">
        <v>2721</v>
      </c>
    </row>
    <row r="1707" spans="1:16">
      <c r="A1707" s="1" t="s">
        <v>15</v>
      </c>
      <c r="B1707" s="1">
        <v>11</v>
      </c>
      <c r="C1707" s="1" t="s">
        <v>5521</v>
      </c>
      <c r="D1707" s="1" t="s">
        <v>5435</v>
      </c>
      <c r="E1707" s="2">
        <v>45974</v>
      </c>
      <c r="F1707" s="1" t="s">
        <v>63</v>
      </c>
      <c r="G1707" s="1" t="s">
        <v>5436</v>
      </c>
      <c r="H1707" s="1" t="s">
        <v>139</v>
      </c>
      <c r="I1707" s="1">
        <v>1</v>
      </c>
      <c r="J1707" s="3">
        <v>15422</v>
      </c>
      <c r="K1707" s="3">
        <v>14716</v>
      </c>
      <c r="L1707" s="1">
        <v>0</v>
      </c>
      <c r="M1707" s="4">
        <v>0</v>
      </c>
      <c r="N1707" s="1">
        <v>706</v>
      </c>
      <c r="O1707" s="4">
        <v>4.5999999999999999E-2</v>
      </c>
      <c r="P1707" s="1" t="s">
        <v>2721</v>
      </c>
    </row>
    <row r="1708" spans="1:16">
      <c r="A1708" s="1" t="s">
        <v>15</v>
      </c>
      <c r="B1708" s="1">
        <v>11</v>
      </c>
      <c r="C1708" s="1" t="s">
        <v>5523</v>
      </c>
      <c r="D1708" s="1" t="s">
        <v>5524</v>
      </c>
      <c r="E1708" s="2">
        <v>45974</v>
      </c>
      <c r="F1708" s="1" t="s">
        <v>100</v>
      </c>
      <c r="G1708" s="1" t="s">
        <v>5525</v>
      </c>
      <c r="H1708" s="1" t="s">
        <v>5526</v>
      </c>
      <c r="I1708" s="1">
        <v>1</v>
      </c>
      <c r="J1708" s="3">
        <v>45611</v>
      </c>
      <c r="K1708" s="3">
        <v>43523</v>
      </c>
      <c r="L1708" s="1">
        <v>0</v>
      </c>
      <c r="M1708" s="4">
        <v>0</v>
      </c>
      <c r="N1708" s="3">
        <v>2088</v>
      </c>
      <c r="O1708" s="4">
        <v>4.5999999999999999E-2</v>
      </c>
      <c r="P1708" s="1" t="s">
        <v>2721</v>
      </c>
    </row>
    <row r="1709" spans="1:16">
      <c r="A1709" s="1" t="s">
        <v>15</v>
      </c>
      <c r="B1709" s="1">
        <v>11</v>
      </c>
      <c r="C1709" s="1" t="s">
        <v>5527</v>
      </c>
      <c r="D1709" s="1" t="s">
        <v>5443</v>
      </c>
      <c r="E1709" s="2">
        <v>45974</v>
      </c>
      <c r="F1709" s="1" t="s">
        <v>63</v>
      </c>
      <c r="G1709" s="1" t="s">
        <v>5444</v>
      </c>
      <c r="H1709" s="1" t="s">
        <v>580</v>
      </c>
      <c r="I1709" s="1">
        <v>2</v>
      </c>
      <c r="J1709" s="3">
        <v>55528</v>
      </c>
      <c r="K1709" s="3">
        <v>52986</v>
      </c>
      <c r="L1709" s="1">
        <v>0</v>
      </c>
      <c r="M1709" s="4">
        <v>0</v>
      </c>
      <c r="N1709" s="3">
        <v>2542</v>
      </c>
      <c r="O1709" s="4">
        <v>4.5999999999999999E-2</v>
      </c>
      <c r="P1709" s="1" t="s">
        <v>2721</v>
      </c>
    </row>
    <row r="1710" spans="1:16">
      <c r="A1710" s="1" t="s">
        <v>15</v>
      </c>
      <c r="B1710" s="1">
        <v>11</v>
      </c>
      <c r="C1710" s="1" t="s">
        <v>5528</v>
      </c>
      <c r="D1710" s="1" t="s">
        <v>777</v>
      </c>
      <c r="E1710" s="2">
        <v>45974</v>
      </c>
      <c r="F1710" s="1" t="s">
        <v>256</v>
      </c>
      <c r="G1710" s="1" t="s">
        <v>778</v>
      </c>
      <c r="H1710" s="1" t="s">
        <v>1571</v>
      </c>
      <c r="I1710" s="1">
        <v>1</v>
      </c>
      <c r="J1710" s="3">
        <v>19857</v>
      </c>
      <c r="K1710" s="3">
        <v>18948</v>
      </c>
      <c r="L1710" s="1">
        <v>0</v>
      </c>
      <c r="M1710" s="4">
        <v>0</v>
      </c>
      <c r="N1710" s="1">
        <v>909</v>
      </c>
      <c r="O1710" s="4">
        <v>4.5999999999999999E-2</v>
      </c>
      <c r="P1710" s="1" t="s">
        <v>2721</v>
      </c>
    </row>
    <row r="1711" spans="1:16">
      <c r="A1711" s="1" t="s">
        <v>15</v>
      </c>
      <c r="B1711" s="1">
        <v>11</v>
      </c>
      <c r="C1711" s="1" t="s">
        <v>5529</v>
      </c>
      <c r="D1711" s="1" t="s">
        <v>72</v>
      </c>
      <c r="E1711" s="2">
        <v>45974</v>
      </c>
      <c r="F1711" s="1" t="s">
        <v>63</v>
      </c>
      <c r="G1711" s="1" t="s">
        <v>73</v>
      </c>
      <c r="H1711" s="1" t="s">
        <v>74</v>
      </c>
      <c r="I1711" s="1">
        <v>2</v>
      </c>
      <c r="J1711" s="3">
        <v>20912</v>
      </c>
      <c r="K1711" s="3">
        <v>19955</v>
      </c>
      <c r="L1711" s="1">
        <v>0</v>
      </c>
      <c r="M1711" s="4">
        <v>0</v>
      </c>
      <c r="N1711" s="1">
        <v>957</v>
      </c>
      <c r="O1711" s="4">
        <v>4.5999999999999999E-2</v>
      </c>
      <c r="P1711" s="1" t="s">
        <v>2721</v>
      </c>
    </row>
    <row r="1712" spans="1:16">
      <c r="A1712" s="1" t="s">
        <v>15</v>
      </c>
      <c r="B1712" s="1">
        <v>11</v>
      </c>
      <c r="C1712" s="1" t="s">
        <v>5530</v>
      </c>
      <c r="D1712" s="1" t="s">
        <v>238</v>
      </c>
      <c r="E1712" s="2">
        <v>45974</v>
      </c>
      <c r="F1712" s="1" t="s">
        <v>239</v>
      </c>
      <c r="G1712" s="1" t="s">
        <v>240</v>
      </c>
      <c r="H1712" s="1" t="s">
        <v>241</v>
      </c>
      <c r="I1712" s="1">
        <v>1</v>
      </c>
      <c r="J1712" s="3">
        <v>11305</v>
      </c>
      <c r="K1712" s="3">
        <v>10787</v>
      </c>
      <c r="L1712" s="1">
        <v>0</v>
      </c>
      <c r="M1712" s="4">
        <v>0</v>
      </c>
      <c r="N1712" s="1">
        <v>518</v>
      </c>
      <c r="O1712" s="4">
        <v>4.5999999999999999E-2</v>
      </c>
      <c r="P1712" s="1" t="s">
        <v>2721</v>
      </c>
    </row>
    <row r="1713" spans="1:16">
      <c r="A1713" s="1" t="s">
        <v>15</v>
      </c>
      <c r="B1713" s="1">
        <v>11</v>
      </c>
      <c r="C1713" s="1" t="s">
        <v>5531</v>
      </c>
      <c r="D1713" s="1" t="s">
        <v>5532</v>
      </c>
      <c r="E1713" s="2">
        <v>45974</v>
      </c>
      <c r="F1713" s="1" t="s">
        <v>426</v>
      </c>
      <c r="G1713" s="1" t="s">
        <v>5533</v>
      </c>
      <c r="H1713" s="1" t="s">
        <v>5534</v>
      </c>
      <c r="I1713" s="1">
        <v>1</v>
      </c>
      <c r="J1713" s="3">
        <v>40303</v>
      </c>
      <c r="K1713" s="3">
        <v>38458</v>
      </c>
      <c r="L1713" s="1">
        <v>0</v>
      </c>
      <c r="M1713" s="4">
        <v>0</v>
      </c>
      <c r="N1713" s="3">
        <v>1845</v>
      </c>
      <c r="O1713" s="4">
        <v>4.5999999999999999E-2</v>
      </c>
      <c r="P1713" s="1" t="s">
        <v>2721</v>
      </c>
    </row>
    <row r="1714" spans="1:16">
      <c r="A1714" s="1" t="s">
        <v>15</v>
      </c>
      <c r="B1714" s="1">
        <v>11</v>
      </c>
      <c r="C1714" s="1" t="s">
        <v>5535</v>
      </c>
      <c r="D1714" s="1" t="s">
        <v>3644</v>
      </c>
      <c r="E1714" s="2">
        <v>45974</v>
      </c>
      <c r="F1714" s="1" t="s">
        <v>725</v>
      </c>
      <c r="G1714" s="1" t="s">
        <v>3645</v>
      </c>
      <c r="H1714" s="1" t="s">
        <v>3646</v>
      </c>
      <c r="I1714" s="1">
        <v>1</v>
      </c>
      <c r="J1714" s="3">
        <v>120024</v>
      </c>
      <c r="K1714" s="3">
        <v>114530</v>
      </c>
      <c r="L1714" s="1">
        <v>0</v>
      </c>
      <c r="M1714" s="4">
        <v>0</v>
      </c>
      <c r="N1714" s="3">
        <v>5494</v>
      </c>
      <c r="O1714" s="4">
        <v>4.5999999999999999E-2</v>
      </c>
      <c r="P1714" s="1" t="s">
        <v>2721</v>
      </c>
    </row>
    <row r="1715" spans="1:16">
      <c r="A1715" s="1" t="s">
        <v>15</v>
      </c>
      <c r="B1715" s="1">
        <v>11</v>
      </c>
      <c r="C1715" s="1" t="s">
        <v>5536</v>
      </c>
      <c r="D1715" s="1" t="s">
        <v>3603</v>
      </c>
      <c r="E1715" s="2">
        <v>45974</v>
      </c>
      <c r="F1715" s="1" t="s">
        <v>276</v>
      </c>
      <c r="G1715" s="1" t="s">
        <v>3604</v>
      </c>
      <c r="H1715" s="1" t="s">
        <v>3605</v>
      </c>
      <c r="I1715" s="1">
        <v>1</v>
      </c>
      <c r="J1715" s="3">
        <v>20446</v>
      </c>
      <c r="K1715" s="3">
        <v>19510</v>
      </c>
      <c r="L1715" s="1">
        <v>0</v>
      </c>
      <c r="M1715" s="4">
        <v>0</v>
      </c>
      <c r="N1715" s="1">
        <v>936</v>
      </c>
      <c r="O1715" s="4">
        <v>4.5999999999999999E-2</v>
      </c>
      <c r="P1715" s="1" t="s">
        <v>2721</v>
      </c>
    </row>
    <row r="1716" spans="1:16">
      <c r="A1716" s="1" t="s">
        <v>15</v>
      </c>
      <c r="B1716" s="1">
        <v>11</v>
      </c>
      <c r="C1716" s="1" t="s">
        <v>5537</v>
      </c>
      <c r="D1716" s="1" t="s">
        <v>296</v>
      </c>
      <c r="E1716" s="2">
        <v>45974</v>
      </c>
      <c r="F1716" s="1" t="s">
        <v>297</v>
      </c>
      <c r="G1716" s="1" t="s">
        <v>298</v>
      </c>
      <c r="H1716" s="1" t="s">
        <v>5193</v>
      </c>
      <c r="I1716" s="1">
        <v>1</v>
      </c>
      <c r="J1716" s="3">
        <v>30748</v>
      </c>
      <c r="K1716" s="3">
        <v>29341</v>
      </c>
      <c r="L1716" s="1">
        <v>0</v>
      </c>
      <c r="M1716" s="4">
        <v>0</v>
      </c>
      <c r="N1716" s="3">
        <v>1407</v>
      </c>
      <c r="O1716" s="4">
        <v>4.5999999999999999E-2</v>
      </c>
      <c r="P1716" s="1" t="s">
        <v>2721</v>
      </c>
    </row>
    <row r="1717" spans="1:16">
      <c r="A1717" s="1" t="s">
        <v>15</v>
      </c>
      <c r="B1717" s="1">
        <v>11</v>
      </c>
      <c r="C1717" s="1" t="s">
        <v>5538</v>
      </c>
      <c r="D1717" s="1" t="s">
        <v>390</v>
      </c>
      <c r="E1717" s="2">
        <v>45974</v>
      </c>
      <c r="F1717" s="1" t="s">
        <v>256</v>
      </c>
      <c r="G1717" s="1" t="s">
        <v>391</v>
      </c>
      <c r="H1717" s="1" t="s">
        <v>5539</v>
      </c>
      <c r="I1717" s="1">
        <v>1</v>
      </c>
      <c r="J1717" s="3">
        <v>34897</v>
      </c>
      <c r="K1717" s="3">
        <v>33299</v>
      </c>
      <c r="L1717" s="1">
        <v>0</v>
      </c>
      <c r="M1717" s="4">
        <v>0</v>
      </c>
      <c r="N1717" s="3">
        <v>1598</v>
      </c>
      <c r="O1717" s="4">
        <v>4.5999999999999999E-2</v>
      </c>
      <c r="P1717" s="1" t="s">
        <v>2721</v>
      </c>
    </row>
    <row r="1718" spans="1:16">
      <c r="A1718" s="1" t="s">
        <v>15</v>
      </c>
      <c r="B1718" s="1">
        <v>11</v>
      </c>
      <c r="C1718" s="1" t="s">
        <v>5540</v>
      </c>
      <c r="D1718" s="1" t="s">
        <v>17</v>
      </c>
      <c r="E1718" s="2">
        <v>45974</v>
      </c>
      <c r="F1718" s="1" t="s">
        <v>18</v>
      </c>
      <c r="G1718" s="1" t="s">
        <v>19</v>
      </c>
      <c r="H1718" s="1" t="s">
        <v>1252</v>
      </c>
      <c r="I1718" s="1">
        <v>1</v>
      </c>
      <c r="J1718" s="3">
        <v>7166</v>
      </c>
      <c r="K1718" s="3">
        <v>6838</v>
      </c>
      <c r="L1718" s="1">
        <v>0</v>
      </c>
      <c r="M1718" s="4">
        <v>0</v>
      </c>
      <c r="N1718" s="1">
        <v>328</v>
      </c>
      <c r="O1718" s="4">
        <v>4.5999999999999999E-2</v>
      </c>
      <c r="P1718" s="1" t="s">
        <v>2721</v>
      </c>
    </row>
    <row r="1719" spans="1:16">
      <c r="A1719" s="1" t="s">
        <v>15</v>
      </c>
      <c r="B1719" s="1">
        <v>11</v>
      </c>
      <c r="C1719" s="1" t="s">
        <v>5541</v>
      </c>
      <c r="D1719" s="1" t="s">
        <v>777</v>
      </c>
      <c r="E1719" s="2">
        <v>45974</v>
      </c>
      <c r="F1719" s="1" t="s">
        <v>256</v>
      </c>
      <c r="G1719" s="1" t="s">
        <v>778</v>
      </c>
      <c r="H1719" s="1" t="s">
        <v>779</v>
      </c>
      <c r="I1719" s="1">
        <v>1</v>
      </c>
      <c r="J1719" s="3">
        <v>11010</v>
      </c>
      <c r="K1719" s="3">
        <v>10506</v>
      </c>
      <c r="L1719" s="1">
        <v>0</v>
      </c>
      <c r="M1719" s="4">
        <v>0</v>
      </c>
      <c r="N1719" s="1">
        <v>504</v>
      </c>
      <c r="O1719" s="4">
        <v>4.5999999999999999E-2</v>
      </c>
      <c r="P1719" s="1" t="s">
        <v>2721</v>
      </c>
    </row>
    <row r="1720" spans="1:16">
      <c r="A1720" s="1" t="s">
        <v>15</v>
      </c>
      <c r="B1720" s="1">
        <v>11</v>
      </c>
      <c r="C1720" s="1" t="s">
        <v>5542</v>
      </c>
      <c r="D1720" s="1" t="s">
        <v>72</v>
      </c>
      <c r="E1720" s="2">
        <v>45974</v>
      </c>
      <c r="F1720" s="1" t="s">
        <v>63</v>
      </c>
      <c r="G1720" s="1" t="s">
        <v>73</v>
      </c>
      <c r="H1720" s="1" t="s">
        <v>74</v>
      </c>
      <c r="I1720" s="1">
        <v>2</v>
      </c>
      <c r="J1720" s="3">
        <v>20912</v>
      </c>
      <c r="K1720" s="3">
        <v>19955</v>
      </c>
      <c r="L1720" s="1">
        <v>0</v>
      </c>
      <c r="M1720" s="4">
        <v>0</v>
      </c>
      <c r="N1720" s="1">
        <v>957</v>
      </c>
      <c r="O1720" s="4">
        <v>4.5999999999999999E-2</v>
      </c>
      <c r="P1720" s="1" t="s">
        <v>2721</v>
      </c>
    </row>
    <row r="1721" spans="1:16">
      <c r="A1721" s="1" t="s">
        <v>15</v>
      </c>
      <c r="B1721" s="1">
        <v>11</v>
      </c>
      <c r="C1721" s="1" t="s">
        <v>5543</v>
      </c>
      <c r="D1721" s="1" t="s">
        <v>116</v>
      </c>
      <c r="E1721" s="2">
        <v>45974</v>
      </c>
      <c r="F1721" s="1" t="s">
        <v>63</v>
      </c>
      <c r="G1721" s="1" t="s">
        <v>117</v>
      </c>
      <c r="H1721" s="1" t="s">
        <v>580</v>
      </c>
      <c r="I1721" s="1">
        <v>1</v>
      </c>
      <c r="J1721" s="3">
        <v>27764</v>
      </c>
      <c r="K1721" s="3">
        <v>26493</v>
      </c>
      <c r="L1721" s="1">
        <v>0</v>
      </c>
      <c r="M1721" s="4">
        <v>0</v>
      </c>
      <c r="N1721" s="3">
        <v>1271</v>
      </c>
      <c r="O1721" s="4">
        <v>4.5999999999999999E-2</v>
      </c>
      <c r="P1721" s="1" t="s">
        <v>2721</v>
      </c>
    </row>
    <row r="1722" spans="1:16">
      <c r="A1722" s="1" t="s">
        <v>15</v>
      </c>
      <c r="B1722" s="1">
        <v>11</v>
      </c>
      <c r="C1722" s="1" t="s">
        <v>5544</v>
      </c>
      <c r="D1722" s="1" t="s">
        <v>5545</v>
      </c>
      <c r="E1722" s="2">
        <v>45974</v>
      </c>
      <c r="F1722" s="1" t="s">
        <v>235</v>
      </c>
      <c r="G1722" s="1" t="s">
        <v>5546</v>
      </c>
      <c r="H1722" s="1" t="s">
        <v>5547</v>
      </c>
      <c r="I1722" s="1">
        <v>2</v>
      </c>
      <c r="J1722" s="3">
        <v>20981</v>
      </c>
      <c r="K1722" s="3">
        <v>20021</v>
      </c>
      <c r="L1722" s="1">
        <v>0</v>
      </c>
      <c r="M1722" s="4">
        <v>0</v>
      </c>
      <c r="N1722" s="1">
        <v>960</v>
      </c>
      <c r="O1722" s="4">
        <v>4.5999999999999999E-2</v>
      </c>
      <c r="P1722" s="1" t="s">
        <v>2721</v>
      </c>
    </row>
    <row r="1723" spans="1:16">
      <c r="A1723" s="1" t="s">
        <v>15</v>
      </c>
      <c r="B1723" s="1">
        <v>11</v>
      </c>
      <c r="C1723" s="1" t="s">
        <v>5544</v>
      </c>
      <c r="D1723" s="1" t="s">
        <v>5545</v>
      </c>
      <c r="E1723" s="2">
        <v>45974</v>
      </c>
      <c r="F1723" s="1" t="s">
        <v>235</v>
      </c>
      <c r="G1723" s="1" t="s">
        <v>5546</v>
      </c>
      <c r="H1723" s="1" t="s">
        <v>5548</v>
      </c>
      <c r="I1723" s="1">
        <v>1</v>
      </c>
      <c r="J1723" s="3">
        <v>10491</v>
      </c>
      <c r="K1723" s="3">
        <v>10010</v>
      </c>
      <c r="L1723" s="1">
        <v>0</v>
      </c>
      <c r="M1723" s="4">
        <v>0</v>
      </c>
      <c r="N1723" s="1">
        <v>481</v>
      </c>
      <c r="O1723" s="4">
        <v>4.5999999999999999E-2</v>
      </c>
      <c r="P1723" s="1" t="s">
        <v>2721</v>
      </c>
    </row>
    <row r="1724" spans="1:16">
      <c r="A1724" s="1" t="s">
        <v>15</v>
      </c>
      <c r="B1724" s="1">
        <v>11</v>
      </c>
      <c r="C1724" s="1" t="s">
        <v>5544</v>
      </c>
      <c r="D1724" s="1" t="s">
        <v>5545</v>
      </c>
      <c r="E1724" s="2">
        <v>45974</v>
      </c>
      <c r="F1724" s="1" t="s">
        <v>235</v>
      </c>
      <c r="G1724" s="1" t="s">
        <v>5546</v>
      </c>
      <c r="H1724" s="1" t="s">
        <v>5549</v>
      </c>
      <c r="I1724" s="1">
        <v>1</v>
      </c>
      <c r="J1724" s="3">
        <v>10491</v>
      </c>
      <c r="K1724" s="3">
        <v>10010</v>
      </c>
      <c r="L1724" s="1">
        <v>0</v>
      </c>
      <c r="M1724" s="4">
        <v>0</v>
      </c>
      <c r="N1724" s="1">
        <v>481</v>
      </c>
      <c r="O1724" s="4">
        <v>4.5999999999999999E-2</v>
      </c>
      <c r="P1724" s="1" t="s">
        <v>2721</v>
      </c>
    </row>
    <row r="1725" spans="1:16">
      <c r="A1725" s="1" t="s">
        <v>15</v>
      </c>
      <c r="B1725" s="1">
        <v>11</v>
      </c>
      <c r="C1725" s="1" t="s">
        <v>5550</v>
      </c>
      <c r="D1725" s="1" t="s">
        <v>86</v>
      </c>
      <c r="E1725" s="2">
        <v>45974</v>
      </c>
      <c r="F1725" s="1" t="s">
        <v>53</v>
      </c>
      <c r="G1725" s="1" t="s">
        <v>87</v>
      </c>
      <c r="H1725" s="1" t="s">
        <v>88</v>
      </c>
      <c r="I1725" s="1">
        <v>1</v>
      </c>
      <c r="J1725" s="3">
        <v>14956</v>
      </c>
      <c r="K1725" s="3">
        <v>14272</v>
      </c>
      <c r="L1725" s="1">
        <v>0</v>
      </c>
      <c r="M1725" s="4">
        <v>0</v>
      </c>
      <c r="N1725" s="1">
        <v>684</v>
      </c>
      <c r="O1725" s="4">
        <v>4.5999999999999999E-2</v>
      </c>
      <c r="P1725" s="1" t="s">
        <v>2721</v>
      </c>
    </row>
    <row r="1726" spans="1:16">
      <c r="A1726" s="1" t="s">
        <v>15</v>
      </c>
      <c r="B1726" s="1">
        <v>11</v>
      </c>
      <c r="C1726" s="1" t="s">
        <v>5551</v>
      </c>
      <c r="D1726" s="1" t="s">
        <v>4694</v>
      </c>
      <c r="E1726" s="2">
        <v>45974</v>
      </c>
      <c r="F1726" s="1" t="s">
        <v>53</v>
      </c>
      <c r="G1726" s="1" t="s">
        <v>4695</v>
      </c>
      <c r="H1726" s="1" t="s">
        <v>4696</v>
      </c>
      <c r="I1726" s="1">
        <v>1</v>
      </c>
      <c r="J1726" s="3">
        <v>12529</v>
      </c>
      <c r="K1726" s="3">
        <v>11956</v>
      </c>
      <c r="L1726" s="1">
        <v>0</v>
      </c>
      <c r="M1726" s="4">
        <v>0</v>
      </c>
      <c r="N1726" s="1">
        <v>573</v>
      </c>
      <c r="O1726" s="4">
        <v>4.5999999999999999E-2</v>
      </c>
      <c r="P1726" s="1" t="s">
        <v>2721</v>
      </c>
    </row>
    <row r="1727" spans="1:16">
      <c r="A1727" s="1" t="s">
        <v>15</v>
      </c>
      <c r="B1727" s="1">
        <v>11</v>
      </c>
      <c r="C1727" s="1" t="s">
        <v>5552</v>
      </c>
      <c r="D1727" s="1" t="s">
        <v>86</v>
      </c>
      <c r="E1727" s="2">
        <v>45974</v>
      </c>
      <c r="F1727" s="1" t="s">
        <v>53</v>
      </c>
      <c r="G1727" s="1" t="s">
        <v>87</v>
      </c>
      <c r="H1727" s="1" t="s">
        <v>88</v>
      </c>
      <c r="I1727" s="1">
        <v>1</v>
      </c>
      <c r="J1727" s="3">
        <v>14956</v>
      </c>
      <c r="K1727" s="3">
        <v>14272</v>
      </c>
      <c r="L1727" s="1">
        <v>0</v>
      </c>
      <c r="M1727" s="4">
        <v>0</v>
      </c>
      <c r="N1727" s="1">
        <v>684</v>
      </c>
      <c r="O1727" s="4">
        <v>4.5999999999999999E-2</v>
      </c>
      <c r="P1727" s="1" t="s">
        <v>2721</v>
      </c>
    </row>
    <row r="1728" spans="1:16">
      <c r="A1728" s="1" t="s">
        <v>15</v>
      </c>
      <c r="B1728" s="1">
        <v>11</v>
      </c>
      <c r="C1728" s="1" t="s">
        <v>5553</v>
      </c>
      <c r="D1728" s="1" t="s">
        <v>482</v>
      </c>
      <c r="E1728" s="2">
        <v>45974</v>
      </c>
      <c r="F1728" s="1" t="s">
        <v>483</v>
      </c>
      <c r="G1728" s="1" t="s">
        <v>484</v>
      </c>
      <c r="H1728" s="1" t="s">
        <v>1777</v>
      </c>
      <c r="I1728" s="1">
        <v>1</v>
      </c>
      <c r="J1728" s="3">
        <v>27426</v>
      </c>
      <c r="K1728" s="3">
        <v>26170</v>
      </c>
      <c r="L1728" s="1">
        <v>0</v>
      </c>
      <c r="M1728" s="4">
        <v>0</v>
      </c>
      <c r="N1728" s="3">
        <v>1256</v>
      </c>
      <c r="O1728" s="4">
        <v>4.5999999999999999E-2</v>
      </c>
      <c r="P1728" s="1" t="s">
        <v>2721</v>
      </c>
    </row>
    <row r="1729" spans="1:16">
      <c r="A1729" s="1" t="s">
        <v>15</v>
      </c>
      <c r="B1729" s="1">
        <v>11</v>
      </c>
      <c r="C1729" s="1" t="s">
        <v>5554</v>
      </c>
      <c r="D1729" s="1" t="s">
        <v>1359</v>
      </c>
      <c r="E1729" s="2">
        <v>45974</v>
      </c>
      <c r="F1729" s="1" t="s">
        <v>63</v>
      </c>
      <c r="G1729" s="1" t="s">
        <v>1360</v>
      </c>
      <c r="H1729" s="1" t="s">
        <v>1361</v>
      </c>
      <c r="I1729" s="1">
        <v>1</v>
      </c>
      <c r="J1729" s="3">
        <v>30765</v>
      </c>
      <c r="K1729" s="3">
        <v>29357</v>
      </c>
      <c r="L1729" s="1">
        <v>0</v>
      </c>
      <c r="M1729" s="4">
        <v>0</v>
      </c>
      <c r="N1729" s="3">
        <v>1408</v>
      </c>
      <c r="O1729" s="4">
        <v>4.5999999999999999E-2</v>
      </c>
      <c r="P1729" s="1" t="s">
        <v>2721</v>
      </c>
    </row>
    <row r="1730" spans="1:16">
      <c r="A1730" s="1" t="s">
        <v>15</v>
      </c>
      <c r="B1730" s="1">
        <v>11</v>
      </c>
      <c r="C1730" s="1" t="s">
        <v>5555</v>
      </c>
      <c r="D1730" s="1" t="s">
        <v>3292</v>
      </c>
      <c r="E1730" s="2">
        <v>45974</v>
      </c>
      <c r="F1730" s="1" t="s">
        <v>239</v>
      </c>
      <c r="G1730" s="1" t="s">
        <v>3293</v>
      </c>
      <c r="H1730" s="1" t="s">
        <v>5375</v>
      </c>
      <c r="I1730" s="1">
        <v>3</v>
      </c>
      <c r="J1730" s="3">
        <v>33914</v>
      </c>
      <c r="K1730" s="3">
        <v>32361</v>
      </c>
      <c r="L1730" s="1">
        <v>0</v>
      </c>
      <c r="M1730" s="4">
        <v>0</v>
      </c>
      <c r="N1730" s="3">
        <v>1553</v>
      </c>
      <c r="O1730" s="4">
        <v>4.5999999999999999E-2</v>
      </c>
      <c r="P1730" s="1" t="s">
        <v>2721</v>
      </c>
    </row>
    <row r="1731" spans="1:16">
      <c r="A1731" s="1" t="s">
        <v>15</v>
      </c>
      <c r="B1731" s="1">
        <v>11</v>
      </c>
      <c r="C1731" s="1" t="s">
        <v>5556</v>
      </c>
      <c r="D1731" s="1" t="s">
        <v>903</v>
      </c>
      <c r="E1731" s="2">
        <v>45974</v>
      </c>
      <c r="F1731" s="1" t="s">
        <v>23</v>
      </c>
      <c r="G1731" s="1" t="s">
        <v>587</v>
      </c>
      <c r="H1731" s="1" t="s">
        <v>904</v>
      </c>
      <c r="I1731" s="1">
        <v>1</v>
      </c>
      <c r="J1731" s="3">
        <v>13762</v>
      </c>
      <c r="K1731" s="3">
        <v>13132</v>
      </c>
      <c r="L1731" s="1">
        <v>0</v>
      </c>
      <c r="M1731" s="4">
        <v>0</v>
      </c>
      <c r="N1731" s="1">
        <v>630</v>
      </c>
      <c r="O1731" s="4">
        <v>4.5999999999999999E-2</v>
      </c>
      <c r="P1731" s="1" t="s">
        <v>2721</v>
      </c>
    </row>
    <row r="1732" spans="1:16">
      <c r="A1732" s="1" t="s">
        <v>15</v>
      </c>
      <c r="B1732" s="1">
        <v>11</v>
      </c>
      <c r="C1732" s="1" t="s">
        <v>5557</v>
      </c>
      <c r="D1732" s="1" t="s">
        <v>238</v>
      </c>
      <c r="E1732" s="2">
        <v>45974</v>
      </c>
      <c r="F1732" s="1" t="s">
        <v>239</v>
      </c>
      <c r="G1732" s="1" t="s">
        <v>240</v>
      </c>
      <c r="H1732" s="1" t="s">
        <v>241</v>
      </c>
      <c r="I1732" s="1">
        <v>1</v>
      </c>
      <c r="J1732" s="3">
        <v>11305</v>
      </c>
      <c r="K1732" s="3">
        <v>10787</v>
      </c>
      <c r="L1732" s="1">
        <v>0</v>
      </c>
      <c r="M1732" s="4">
        <v>0</v>
      </c>
      <c r="N1732" s="1">
        <v>518</v>
      </c>
      <c r="O1732" s="4">
        <v>4.5999999999999999E-2</v>
      </c>
      <c r="P1732" s="1" t="s">
        <v>2721</v>
      </c>
    </row>
    <row r="1733" spans="1:16">
      <c r="A1733" s="1" t="s">
        <v>15</v>
      </c>
      <c r="B1733" s="1">
        <v>11</v>
      </c>
      <c r="C1733" s="1" t="s">
        <v>5558</v>
      </c>
      <c r="D1733" s="1" t="s">
        <v>482</v>
      </c>
      <c r="E1733" s="2">
        <v>45974</v>
      </c>
      <c r="F1733" s="1" t="s">
        <v>483</v>
      </c>
      <c r="G1733" s="1" t="s">
        <v>484</v>
      </c>
      <c r="H1733" s="1" t="s">
        <v>1777</v>
      </c>
      <c r="I1733" s="1">
        <v>1</v>
      </c>
      <c r="J1733" s="3">
        <v>27426</v>
      </c>
      <c r="K1733" s="3">
        <v>26170</v>
      </c>
      <c r="L1733" s="1">
        <v>0</v>
      </c>
      <c r="M1733" s="4">
        <v>0</v>
      </c>
      <c r="N1733" s="3">
        <v>1256</v>
      </c>
      <c r="O1733" s="4">
        <v>4.5999999999999999E-2</v>
      </c>
      <c r="P1733" s="1" t="s">
        <v>2721</v>
      </c>
    </row>
    <row r="1734" spans="1:16">
      <c r="A1734" s="1" t="s">
        <v>15</v>
      </c>
      <c r="B1734" s="1">
        <v>11</v>
      </c>
      <c r="C1734" s="1" t="s">
        <v>5559</v>
      </c>
      <c r="D1734" s="1" t="s">
        <v>2855</v>
      </c>
      <c r="E1734" s="2">
        <v>45974</v>
      </c>
      <c r="F1734" s="1" t="s">
        <v>58</v>
      </c>
      <c r="G1734" s="1" t="s">
        <v>2856</v>
      </c>
      <c r="H1734" s="1" t="s">
        <v>2857</v>
      </c>
      <c r="I1734" s="1">
        <v>1</v>
      </c>
      <c r="J1734" s="3">
        <v>21842</v>
      </c>
      <c r="K1734" s="3">
        <v>20842</v>
      </c>
      <c r="L1734" s="1">
        <v>0</v>
      </c>
      <c r="M1734" s="4">
        <v>0</v>
      </c>
      <c r="N1734" s="3">
        <v>1000</v>
      </c>
      <c r="O1734" s="4">
        <v>4.5999999999999999E-2</v>
      </c>
      <c r="P1734" s="1" t="s">
        <v>2721</v>
      </c>
    </row>
    <row r="1735" spans="1:16">
      <c r="A1735" s="1" t="s">
        <v>15</v>
      </c>
      <c r="B1735" s="1">
        <v>11</v>
      </c>
      <c r="C1735" s="1" t="s">
        <v>5559</v>
      </c>
      <c r="D1735" s="1" t="s">
        <v>4095</v>
      </c>
      <c r="E1735" s="2">
        <v>45974</v>
      </c>
      <c r="F1735" s="1" t="s">
        <v>58</v>
      </c>
      <c r="G1735" s="1" t="s">
        <v>4096</v>
      </c>
      <c r="H1735" s="1" t="s">
        <v>4097</v>
      </c>
      <c r="I1735" s="1">
        <v>2</v>
      </c>
      <c r="J1735" s="3">
        <v>43685</v>
      </c>
      <c r="K1735" s="3">
        <v>41685</v>
      </c>
      <c r="L1735" s="1">
        <v>0</v>
      </c>
      <c r="M1735" s="4">
        <v>0</v>
      </c>
      <c r="N1735" s="3">
        <v>2000</v>
      </c>
      <c r="O1735" s="4">
        <v>4.5999999999999999E-2</v>
      </c>
      <c r="P1735" s="1" t="s">
        <v>2721</v>
      </c>
    </row>
    <row r="1736" spans="1:16">
      <c r="A1736" s="1" t="s">
        <v>15</v>
      </c>
      <c r="B1736" s="1">
        <v>11</v>
      </c>
      <c r="C1736" s="1" t="s">
        <v>5559</v>
      </c>
      <c r="D1736" s="1" t="s">
        <v>4095</v>
      </c>
      <c r="E1736" s="2">
        <v>45974</v>
      </c>
      <c r="F1736" s="1" t="s">
        <v>58</v>
      </c>
      <c r="G1736" s="1" t="s">
        <v>4096</v>
      </c>
      <c r="H1736" s="1" t="s">
        <v>5560</v>
      </c>
      <c r="I1736" s="1">
        <v>1</v>
      </c>
      <c r="J1736" s="3">
        <v>21842</v>
      </c>
      <c r="K1736" s="3">
        <v>20842</v>
      </c>
      <c r="L1736" s="1">
        <v>0</v>
      </c>
      <c r="M1736" s="4">
        <v>0</v>
      </c>
      <c r="N1736" s="3">
        <v>1000</v>
      </c>
      <c r="O1736" s="4">
        <v>4.5999999999999999E-2</v>
      </c>
      <c r="P1736" s="1" t="s">
        <v>2721</v>
      </c>
    </row>
    <row r="1737" spans="1:16">
      <c r="A1737" s="1" t="s">
        <v>15</v>
      </c>
      <c r="B1737" s="1">
        <v>11</v>
      </c>
      <c r="C1737" s="1" t="s">
        <v>5561</v>
      </c>
      <c r="D1737" s="1" t="s">
        <v>3607</v>
      </c>
      <c r="E1737" s="2">
        <v>45974</v>
      </c>
      <c r="F1737" s="1" t="s">
        <v>58</v>
      </c>
      <c r="G1737" s="1" t="s">
        <v>3608</v>
      </c>
      <c r="H1737" s="1" t="s">
        <v>3609</v>
      </c>
      <c r="I1737" s="1">
        <v>1</v>
      </c>
      <c r="J1737" s="3">
        <v>21842</v>
      </c>
      <c r="K1737" s="3">
        <v>20842</v>
      </c>
      <c r="L1737" s="1">
        <v>0</v>
      </c>
      <c r="M1737" s="4">
        <v>0</v>
      </c>
      <c r="N1737" s="3">
        <v>1000</v>
      </c>
      <c r="O1737" s="4">
        <v>4.5999999999999999E-2</v>
      </c>
      <c r="P1737" s="1" t="s">
        <v>2721</v>
      </c>
    </row>
    <row r="1738" spans="1:16">
      <c r="A1738" s="1" t="s">
        <v>15</v>
      </c>
      <c r="B1738" s="1">
        <v>11</v>
      </c>
      <c r="C1738" s="1" t="s">
        <v>5562</v>
      </c>
      <c r="D1738" s="1" t="s">
        <v>244</v>
      </c>
      <c r="E1738" s="2">
        <v>45974</v>
      </c>
      <c r="F1738" s="1" t="s">
        <v>53</v>
      </c>
      <c r="G1738" s="1" t="s">
        <v>245</v>
      </c>
      <c r="H1738" s="1" t="s">
        <v>1166</v>
      </c>
      <c r="I1738" s="1">
        <v>1</v>
      </c>
      <c r="J1738" s="3">
        <v>8272</v>
      </c>
      <c r="K1738" s="3">
        <v>7893</v>
      </c>
      <c r="L1738" s="1">
        <v>0</v>
      </c>
      <c r="M1738" s="4">
        <v>0</v>
      </c>
      <c r="N1738" s="1">
        <v>379</v>
      </c>
      <c r="O1738" s="4">
        <v>4.5999999999999999E-2</v>
      </c>
      <c r="P1738" s="1" t="s">
        <v>2721</v>
      </c>
    </row>
    <row r="1739" spans="1:16">
      <c r="A1739" s="1" t="s">
        <v>15</v>
      </c>
      <c r="B1739" s="1">
        <v>11</v>
      </c>
      <c r="C1739" s="1" t="s">
        <v>5563</v>
      </c>
      <c r="D1739" s="1" t="s">
        <v>3381</v>
      </c>
      <c r="E1739" s="2">
        <v>45974</v>
      </c>
      <c r="F1739" s="1" t="s">
        <v>235</v>
      </c>
      <c r="G1739" s="1" t="s">
        <v>3382</v>
      </c>
      <c r="H1739" s="1" t="s">
        <v>3382</v>
      </c>
      <c r="I1739" s="1">
        <v>1</v>
      </c>
      <c r="J1739" s="3">
        <v>22363</v>
      </c>
      <c r="K1739" s="3">
        <v>21340</v>
      </c>
      <c r="L1739" s="1">
        <v>0</v>
      </c>
      <c r="M1739" s="4">
        <v>0</v>
      </c>
      <c r="N1739" s="3">
        <v>1023</v>
      </c>
      <c r="O1739" s="4">
        <v>4.5999999999999999E-2</v>
      </c>
      <c r="P1739" s="1" t="s">
        <v>2721</v>
      </c>
    </row>
    <row r="1740" spans="1:16">
      <c r="A1740" s="1" t="s">
        <v>15</v>
      </c>
      <c r="B1740" s="1">
        <v>11</v>
      </c>
      <c r="C1740" s="1" t="s">
        <v>5564</v>
      </c>
      <c r="D1740" s="1" t="s">
        <v>903</v>
      </c>
      <c r="E1740" s="2">
        <v>45974</v>
      </c>
      <c r="F1740" s="1" t="s">
        <v>23</v>
      </c>
      <c r="G1740" s="1" t="s">
        <v>587</v>
      </c>
      <c r="H1740" s="1" t="s">
        <v>588</v>
      </c>
      <c r="I1740" s="1">
        <v>1</v>
      </c>
      <c r="J1740" s="3">
        <v>13762</v>
      </c>
      <c r="K1740" s="3">
        <v>13132</v>
      </c>
      <c r="L1740" s="1">
        <v>0</v>
      </c>
      <c r="M1740" s="4">
        <v>0</v>
      </c>
      <c r="N1740" s="1">
        <v>630</v>
      </c>
      <c r="O1740" s="4">
        <v>4.5999999999999999E-2</v>
      </c>
      <c r="P1740" s="1" t="s">
        <v>2721</v>
      </c>
    </row>
    <row r="1741" spans="1:16">
      <c r="A1741" s="1" t="s">
        <v>15</v>
      </c>
      <c r="B1741" s="1">
        <v>11</v>
      </c>
      <c r="C1741" s="1" t="s">
        <v>5565</v>
      </c>
      <c r="D1741" s="1" t="s">
        <v>86</v>
      </c>
      <c r="E1741" s="2">
        <v>45974</v>
      </c>
      <c r="F1741" s="1" t="s">
        <v>53</v>
      </c>
      <c r="G1741" s="1" t="s">
        <v>87</v>
      </c>
      <c r="H1741" s="1" t="s">
        <v>88</v>
      </c>
      <c r="I1741" s="1">
        <v>1</v>
      </c>
      <c r="J1741" s="3">
        <v>14956</v>
      </c>
      <c r="K1741" s="3">
        <v>14272</v>
      </c>
      <c r="L1741" s="1">
        <v>0</v>
      </c>
      <c r="M1741" s="4">
        <v>0</v>
      </c>
      <c r="N1741" s="1">
        <v>684</v>
      </c>
      <c r="O1741" s="4">
        <v>4.5999999999999999E-2</v>
      </c>
      <c r="P1741" s="1" t="s">
        <v>2721</v>
      </c>
    </row>
    <row r="1742" spans="1:16">
      <c r="A1742" s="1" t="s">
        <v>15</v>
      </c>
      <c r="B1742" s="1">
        <v>11</v>
      </c>
      <c r="C1742" s="1" t="s">
        <v>5566</v>
      </c>
      <c r="D1742" s="1" t="s">
        <v>3900</v>
      </c>
      <c r="E1742" s="2">
        <v>45974</v>
      </c>
      <c r="F1742" s="1" t="s">
        <v>187</v>
      </c>
      <c r="G1742" s="1" t="s">
        <v>3901</v>
      </c>
      <c r="H1742" s="1" t="s">
        <v>3902</v>
      </c>
      <c r="I1742" s="1">
        <v>1</v>
      </c>
      <c r="J1742" s="3">
        <v>24872</v>
      </c>
      <c r="K1742" s="3">
        <v>23733</v>
      </c>
      <c r="L1742" s="1">
        <v>0</v>
      </c>
      <c r="M1742" s="4">
        <v>0</v>
      </c>
      <c r="N1742" s="3">
        <v>1139</v>
      </c>
      <c r="O1742" s="4">
        <v>4.5999999999999999E-2</v>
      </c>
      <c r="P1742" s="1" t="s">
        <v>2721</v>
      </c>
    </row>
    <row r="1743" spans="1:16">
      <c r="A1743" s="1" t="s">
        <v>15</v>
      </c>
      <c r="B1743" s="1">
        <v>11</v>
      </c>
      <c r="C1743" s="1" t="s">
        <v>5567</v>
      </c>
      <c r="D1743" s="1" t="s">
        <v>1452</v>
      </c>
      <c r="E1743" s="2">
        <v>45974</v>
      </c>
      <c r="F1743" s="1" t="s">
        <v>407</v>
      </c>
      <c r="G1743" s="1" t="s">
        <v>1453</v>
      </c>
      <c r="H1743" s="1" t="s">
        <v>1474</v>
      </c>
      <c r="I1743" s="1">
        <v>1</v>
      </c>
      <c r="J1743" s="3">
        <v>11305</v>
      </c>
      <c r="K1743" s="3">
        <v>10787</v>
      </c>
      <c r="L1743" s="1">
        <v>0</v>
      </c>
      <c r="M1743" s="4">
        <v>0</v>
      </c>
      <c r="N1743" s="1">
        <v>518</v>
      </c>
      <c r="O1743" s="4">
        <v>4.5999999999999999E-2</v>
      </c>
      <c r="P1743" s="1" t="s">
        <v>2721</v>
      </c>
    </row>
    <row r="1744" spans="1:16">
      <c r="A1744" s="1" t="s">
        <v>15</v>
      </c>
      <c r="B1744" s="1">
        <v>11</v>
      </c>
      <c r="C1744" s="1" t="s">
        <v>5567</v>
      </c>
      <c r="D1744" s="1" t="s">
        <v>406</v>
      </c>
      <c r="E1744" s="2">
        <v>45974</v>
      </c>
      <c r="F1744" s="1" t="s">
        <v>407</v>
      </c>
      <c r="G1744" s="1" t="s">
        <v>408</v>
      </c>
      <c r="H1744" s="1" t="s">
        <v>1160</v>
      </c>
      <c r="I1744" s="1">
        <v>1</v>
      </c>
      <c r="J1744" s="3">
        <v>12189</v>
      </c>
      <c r="K1744" s="3">
        <v>11631</v>
      </c>
      <c r="L1744" s="1">
        <v>0</v>
      </c>
      <c r="M1744" s="4">
        <v>0</v>
      </c>
      <c r="N1744" s="1">
        <v>558</v>
      </c>
      <c r="O1744" s="4">
        <v>4.5999999999999999E-2</v>
      </c>
      <c r="P1744" s="1" t="s">
        <v>2721</v>
      </c>
    </row>
    <row r="1745" spans="1:16">
      <c r="A1745" s="1" t="s">
        <v>15</v>
      </c>
      <c r="B1745" s="1">
        <v>11</v>
      </c>
      <c r="C1745" s="1" t="s">
        <v>5568</v>
      </c>
      <c r="D1745" s="1" t="s">
        <v>777</v>
      </c>
      <c r="E1745" s="2">
        <v>45974</v>
      </c>
      <c r="F1745" s="1" t="s">
        <v>256</v>
      </c>
      <c r="G1745" s="1" t="s">
        <v>778</v>
      </c>
      <c r="H1745" s="1" t="s">
        <v>1571</v>
      </c>
      <c r="I1745" s="1">
        <v>1</v>
      </c>
      <c r="J1745" s="3">
        <v>19857</v>
      </c>
      <c r="K1745" s="3">
        <v>18948</v>
      </c>
      <c r="L1745" s="1">
        <v>0</v>
      </c>
      <c r="M1745" s="4">
        <v>0</v>
      </c>
      <c r="N1745" s="1">
        <v>909</v>
      </c>
      <c r="O1745" s="4">
        <v>4.5999999999999999E-2</v>
      </c>
      <c r="P1745" s="1" t="s">
        <v>2721</v>
      </c>
    </row>
    <row r="1746" spans="1:16">
      <c r="A1746" s="1" t="s">
        <v>15</v>
      </c>
      <c r="B1746" s="1">
        <v>11</v>
      </c>
      <c r="C1746" s="1" t="s">
        <v>5569</v>
      </c>
      <c r="D1746" s="1" t="s">
        <v>1070</v>
      </c>
      <c r="E1746" s="2">
        <v>45974</v>
      </c>
      <c r="F1746" s="1" t="s">
        <v>58</v>
      </c>
      <c r="G1746" s="1" t="s">
        <v>1071</v>
      </c>
      <c r="H1746" s="1" t="s">
        <v>1072</v>
      </c>
      <c r="I1746" s="1">
        <v>2</v>
      </c>
      <c r="J1746" s="3">
        <v>21744</v>
      </c>
      <c r="K1746" s="3">
        <v>20749</v>
      </c>
      <c r="L1746" s="1">
        <v>0</v>
      </c>
      <c r="M1746" s="4">
        <v>0</v>
      </c>
      <c r="N1746" s="1">
        <v>995</v>
      </c>
      <c r="O1746" s="4">
        <v>4.5999999999999999E-2</v>
      </c>
      <c r="P1746" s="1" t="s">
        <v>2721</v>
      </c>
    </row>
    <row r="1747" spans="1:16">
      <c r="A1747" s="1" t="s">
        <v>15</v>
      </c>
      <c r="B1747" s="1">
        <v>11</v>
      </c>
      <c r="C1747" s="1" t="s">
        <v>5570</v>
      </c>
      <c r="D1747" s="1" t="s">
        <v>960</v>
      </c>
      <c r="E1747" s="2">
        <v>45974</v>
      </c>
      <c r="F1747" s="1" t="s">
        <v>407</v>
      </c>
      <c r="G1747" s="1" t="s">
        <v>961</v>
      </c>
      <c r="H1747" s="1" t="s">
        <v>2367</v>
      </c>
      <c r="I1747" s="1">
        <v>1</v>
      </c>
      <c r="J1747" s="3">
        <v>34405</v>
      </c>
      <c r="K1747" s="3">
        <v>32830</v>
      </c>
      <c r="L1747" s="1">
        <v>0</v>
      </c>
      <c r="M1747" s="4">
        <v>0</v>
      </c>
      <c r="N1747" s="3">
        <v>1575</v>
      </c>
      <c r="O1747" s="4">
        <v>4.5999999999999999E-2</v>
      </c>
      <c r="P1747" s="1" t="s">
        <v>2721</v>
      </c>
    </row>
    <row r="1748" spans="1:16">
      <c r="A1748" s="1" t="s">
        <v>15</v>
      </c>
      <c r="B1748" s="1">
        <v>11</v>
      </c>
      <c r="C1748" s="1" t="s">
        <v>5571</v>
      </c>
      <c r="D1748" s="1" t="s">
        <v>1687</v>
      </c>
      <c r="E1748" s="2">
        <v>45974</v>
      </c>
      <c r="F1748" s="1" t="s">
        <v>1688</v>
      </c>
      <c r="G1748" s="1" t="s">
        <v>1689</v>
      </c>
      <c r="H1748" s="1" t="s">
        <v>1690</v>
      </c>
      <c r="I1748" s="1">
        <v>1</v>
      </c>
      <c r="J1748" s="3">
        <v>30896</v>
      </c>
      <c r="K1748" s="3">
        <v>29481</v>
      </c>
      <c r="L1748" s="1">
        <v>0</v>
      </c>
      <c r="M1748" s="4">
        <v>0</v>
      </c>
      <c r="N1748" s="3">
        <v>1415</v>
      </c>
      <c r="O1748" s="4">
        <v>4.5999999999999999E-2</v>
      </c>
      <c r="P1748" s="1" t="s">
        <v>2721</v>
      </c>
    </row>
    <row r="1749" spans="1:16">
      <c r="A1749" s="1" t="s">
        <v>577</v>
      </c>
      <c r="B1749" s="1">
        <v>11</v>
      </c>
      <c r="C1749" s="1" t="s">
        <v>5572</v>
      </c>
      <c r="D1749" s="1" t="s">
        <v>5573</v>
      </c>
      <c r="E1749" s="2">
        <v>45974</v>
      </c>
      <c r="F1749" s="1" t="s">
        <v>441</v>
      </c>
      <c r="G1749" s="1" t="s">
        <v>5574</v>
      </c>
      <c r="H1749" s="1" t="s">
        <v>5575</v>
      </c>
      <c r="I1749" s="1">
        <v>1</v>
      </c>
      <c r="J1749" s="3">
        <v>24575</v>
      </c>
      <c r="K1749" s="3">
        <v>23450</v>
      </c>
      <c r="L1749" s="1">
        <v>0</v>
      </c>
      <c r="M1749" s="4">
        <v>0</v>
      </c>
      <c r="N1749" s="3">
        <v>1125</v>
      </c>
      <c r="O1749" s="4">
        <v>4.5999999999999999E-2</v>
      </c>
      <c r="P1749" s="1" t="s">
        <v>2721</v>
      </c>
    </row>
    <row r="1750" spans="1:16">
      <c r="A1750" s="1" t="s">
        <v>577</v>
      </c>
      <c r="B1750" s="1">
        <v>11</v>
      </c>
      <c r="C1750" s="1" t="s">
        <v>5576</v>
      </c>
      <c r="D1750" s="1" t="s">
        <v>1754</v>
      </c>
      <c r="E1750" s="2">
        <v>45974</v>
      </c>
      <c r="F1750" s="1" t="s">
        <v>251</v>
      </c>
      <c r="G1750" s="1" t="s">
        <v>252</v>
      </c>
      <c r="H1750" s="1" t="s">
        <v>365</v>
      </c>
      <c r="I1750" s="1">
        <v>1</v>
      </c>
      <c r="J1750" s="3">
        <v>16220</v>
      </c>
      <c r="K1750" s="3">
        <v>15477</v>
      </c>
      <c r="L1750" s="1">
        <v>0</v>
      </c>
      <c r="M1750" s="4">
        <v>0</v>
      </c>
      <c r="N1750" s="1">
        <v>743</v>
      </c>
      <c r="O1750" s="4">
        <v>4.5999999999999999E-2</v>
      </c>
      <c r="P1750" s="1" t="s">
        <v>2721</v>
      </c>
    </row>
    <row r="1751" spans="1:16">
      <c r="A1751" s="1" t="s">
        <v>577</v>
      </c>
      <c r="B1751" s="1">
        <v>11</v>
      </c>
      <c r="C1751" s="1" t="s">
        <v>5576</v>
      </c>
      <c r="D1751" s="1" t="s">
        <v>1754</v>
      </c>
      <c r="E1751" s="2">
        <v>45974</v>
      </c>
      <c r="F1751" s="1" t="s">
        <v>251</v>
      </c>
      <c r="G1751" s="1" t="s">
        <v>252</v>
      </c>
      <c r="H1751" s="1" t="s">
        <v>497</v>
      </c>
      <c r="I1751" s="1">
        <v>1</v>
      </c>
      <c r="J1751" s="3">
        <v>23494</v>
      </c>
      <c r="K1751" s="3">
        <v>22418</v>
      </c>
      <c r="L1751" s="1">
        <v>0</v>
      </c>
      <c r="M1751" s="4">
        <v>0</v>
      </c>
      <c r="N1751" s="3">
        <v>1076</v>
      </c>
      <c r="O1751" s="4">
        <v>4.5999999999999999E-2</v>
      </c>
      <c r="P1751" s="1" t="s">
        <v>2721</v>
      </c>
    </row>
    <row r="1752" spans="1:16">
      <c r="A1752" s="1" t="s">
        <v>577</v>
      </c>
      <c r="B1752" s="1">
        <v>11</v>
      </c>
      <c r="C1752" s="1" t="s">
        <v>5577</v>
      </c>
      <c r="D1752" s="1" t="s">
        <v>5578</v>
      </c>
      <c r="E1752" s="2">
        <v>45974</v>
      </c>
      <c r="F1752" s="1" t="s">
        <v>53</v>
      </c>
      <c r="G1752" s="1" t="s">
        <v>170</v>
      </c>
      <c r="H1752" s="1" t="s">
        <v>171</v>
      </c>
      <c r="I1752" s="1">
        <v>1</v>
      </c>
      <c r="J1752" s="3">
        <v>14332</v>
      </c>
      <c r="K1752" s="3">
        <v>13676</v>
      </c>
      <c r="L1752" s="1">
        <v>0</v>
      </c>
      <c r="M1752" s="4">
        <v>0</v>
      </c>
      <c r="N1752" s="1">
        <v>656</v>
      </c>
      <c r="O1752" s="4">
        <v>4.5999999999999999E-2</v>
      </c>
      <c r="P1752" s="1" t="s">
        <v>2721</v>
      </c>
    </row>
    <row r="1753" spans="1:16">
      <c r="A1753" s="1" t="s">
        <v>577</v>
      </c>
      <c r="B1753" s="1">
        <v>11</v>
      </c>
      <c r="C1753" s="1" t="s">
        <v>5579</v>
      </c>
      <c r="D1753" s="1" t="s">
        <v>4319</v>
      </c>
      <c r="E1753" s="2">
        <v>45974</v>
      </c>
      <c r="F1753" s="1" t="s">
        <v>53</v>
      </c>
      <c r="G1753" s="1" t="s">
        <v>133</v>
      </c>
      <c r="H1753" s="1" t="s">
        <v>88</v>
      </c>
      <c r="I1753" s="1">
        <v>1</v>
      </c>
      <c r="J1753" s="3">
        <v>17036</v>
      </c>
      <c r="K1753" s="3">
        <v>16256</v>
      </c>
      <c r="L1753" s="1">
        <v>0</v>
      </c>
      <c r="M1753" s="4">
        <v>0</v>
      </c>
      <c r="N1753" s="1">
        <v>780</v>
      </c>
      <c r="O1753" s="4">
        <v>4.5999999999999999E-2</v>
      </c>
      <c r="P1753" s="1" t="s">
        <v>2721</v>
      </c>
    </row>
    <row r="1754" spans="1:16">
      <c r="A1754" s="1" t="s">
        <v>577</v>
      </c>
      <c r="B1754" s="1">
        <v>11</v>
      </c>
      <c r="C1754" s="1" t="s">
        <v>5580</v>
      </c>
      <c r="D1754" s="1" t="s">
        <v>5581</v>
      </c>
      <c r="E1754" s="2">
        <v>45974</v>
      </c>
      <c r="F1754" s="1" t="s">
        <v>500</v>
      </c>
      <c r="G1754" s="1" t="s">
        <v>1234</v>
      </c>
      <c r="H1754" s="1" t="s">
        <v>1235</v>
      </c>
      <c r="I1754" s="1">
        <v>1</v>
      </c>
      <c r="J1754" s="3">
        <v>253565</v>
      </c>
      <c r="K1754" s="3">
        <v>241957</v>
      </c>
      <c r="L1754" s="1">
        <v>0</v>
      </c>
      <c r="M1754" s="4">
        <v>0</v>
      </c>
      <c r="N1754" s="3">
        <v>11608</v>
      </c>
      <c r="O1754" s="4">
        <v>4.5999999999999999E-2</v>
      </c>
      <c r="P1754" s="1" t="s">
        <v>2721</v>
      </c>
    </row>
    <row r="1755" spans="1:16">
      <c r="A1755" s="1" t="s">
        <v>577</v>
      </c>
      <c r="B1755" s="1">
        <v>11</v>
      </c>
      <c r="C1755" s="1" t="s">
        <v>5582</v>
      </c>
      <c r="D1755" s="1" t="s">
        <v>5583</v>
      </c>
      <c r="E1755" s="2">
        <v>45974</v>
      </c>
      <c r="F1755" s="1" t="s">
        <v>276</v>
      </c>
      <c r="G1755" s="1" t="s">
        <v>2487</v>
      </c>
      <c r="H1755" s="1" t="s">
        <v>2488</v>
      </c>
      <c r="I1755" s="1">
        <v>1</v>
      </c>
      <c r="J1755" s="3">
        <v>15772</v>
      </c>
      <c r="K1755" s="3">
        <v>15050</v>
      </c>
      <c r="L1755" s="1">
        <v>0</v>
      </c>
      <c r="M1755" s="4">
        <v>0</v>
      </c>
      <c r="N1755" s="1">
        <v>722</v>
      </c>
      <c r="O1755" s="4">
        <v>4.5999999999999999E-2</v>
      </c>
      <c r="P1755" s="1" t="s">
        <v>2721</v>
      </c>
    </row>
    <row r="1756" spans="1:16">
      <c r="A1756" s="1" t="s">
        <v>577</v>
      </c>
      <c r="B1756" s="1">
        <v>11</v>
      </c>
      <c r="C1756" s="1" t="s">
        <v>5584</v>
      </c>
      <c r="D1756" s="1" t="s">
        <v>5585</v>
      </c>
      <c r="E1756" s="2">
        <v>45974</v>
      </c>
      <c r="F1756" s="1" t="s">
        <v>1403</v>
      </c>
      <c r="G1756" s="1" t="s">
        <v>3800</v>
      </c>
      <c r="H1756" s="1" t="s">
        <v>3801</v>
      </c>
      <c r="I1756" s="1">
        <v>1</v>
      </c>
      <c r="J1756" s="3">
        <v>13664</v>
      </c>
      <c r="K1756" s="3">
        <v>13038</v>
      </c>
      <c r="L1756" s="1">
        <v>0</v>
      </c>
      <c r="M1756" s="4">
        <v>0</v>
      </c>
      <c r="N1756" s="1">
        <v>626</v>
      </c>
      <c r="O1756" s="4">
        <v>4.5999999999999999E-2</v>
      </c>
      <c r="P1756" s="1" t="s">
        <v>2721</v>
      </c>
    </row>
    <row r="1757" spans="1:16">
      <c r="A1757" s="1" t="s">
        <v>577</v>
      </c>
      <c r="B1757" s="1">
        <v>11</v>
      </c>
      <c r="C1757" s="1" t="s">
        <v>5586</v>
      </c>
      <c r="D1757" s="1" t="s">
        <v>5587</v>
      </c>
      <c r="E1757" s="2">
        <v>45974</v>
      </c>
      <c r="F1757" s="1" t="s">
        <v>1255</v>
      </c>
      <c r="G1757" s="1" t="s">
        <v>5588</v>
      </c>
      <c r="H1757" s="1" t="s">
        <v>5589</v>
      </c>
      <c r="I1757" s="1">
        <v>1</v>
      </c>
      <c r="J1757" s="3">
        <v>21528</v>
      </c>
      <c r="K1757" s="3">
        <v>20542</v>
      </c>
      <c r="L1757" s="1">
        <v>0</v>
      </c>
      <c r="M1757" s="4">
        <v>0</v>
      </c>
      <c r="N1757" s="1">
        <v>986</v>
      </c>
      <c r="O1757" s="4">
        <v>4.5999999999999999E-2</v>
      </c>
      <c r="P1757" s="1" t="s">
        <v>2721</v>
      </c>
    </row>
    <row r="1758" spans="1:16">
      <c r="A1758" s="1" t="s">
        <v>577</v>
      </c>
      <c r="B1758" s="1">
        <v>11</v>
      </c>
      <c r="C1758" s="1" t="s">
        <v>5590</v>
      </c>
      <c r="D1758" s="1" t="s">
        <v>5591</v>
      </c>
      <c r="E1758" s="2">
        <v>45974</v>
      </c>
      <c r="F1758" s="1" t="s">
        <v>1632</v>
      </c>
      <c r="G1758" s="1" t="s">
        <v>5592</v>
      </c>
      <c r="H1758" s="1" t="s">
        <v>5593</v>
      </c>
      <c r="I1758" s="1">
        <v>1</v>
      </c>
      <c r="J1758" s="3">
        <v>26443</v>
      </c>
      <c r="K1758" s="3">
        <v>25232</v>
      </c>
      <c r="L1758" s="1">
        <v>0</v>
      </c>
      <c r="M1758" s="4">
        <v>0</v>
      </c>
      <c r="N1758" s="3">
        <v>1211</v>
      </c>
      <c r="O1758" s="4">
        <v>4.5999999999999999E-2</v>
      </c>
      <c r="P1758" s="1" t="s">
        <v>2721</v>
      </c>
    </row>
    <row r="1759" spans="1:16">
      <c r="A1759" s="1" t="s">
        <v>577</v>
      </c>
      <c r="B1759" s="1">
        <v>11</v>
      </c>
      <c r="C1759" s="1" t="s">
        <v>5594</v>
      </c>
      <c r="D1759" s="1" t="s">
        <v>5595</v>
      </c>
      <c r="E1759" s="2">
        <v>45974</v>
      </c>
      <c r="F1759" s="1" t="s">
        <v>500</v>
      </c>
      <c r="G1759" s="1" t="s">
        <v>3395</v>
      </c>
      <c r="H1759" s="1" t="s">
        <v>4174</v>
      </c>
      <c r="I1759" s="1">
        <v>1</v>
      </c>
      <c r="J1759" s="3">
        <v>71587</v>
      </c>
      <c r="K1759" s="3">
        <v>68310</v>
      </c>
      <c r="L1759" s="1">
        <v>0</v>
      </c>
      <c r="M1759" s="4">
        <v>0</v>
      </c>
      <c r="N1759" s="3">
        <v>3277</v>
      </c>
      <c r="O1759" s="4">
        <v>4.5999999999999999E-2</v>
      </c>
      <c r="P1759" s="1" t="s">
        <v>2721</v>
      </c>
    </row>
    <row r="1760" spans="1:16">
      <c r="A1760" s="1" t="s">
        <v>577</v>
      </c>
      <c r="B1760" s="1">
        <v>11</v>
      </c>
      <c r="C1760" s="1" t="s">
        <v>5596</v>
      </c>
      <c r="D1760" s="1" t="s">
        <v>4330</v>
      </c>
      <c r="E1760" s="2">
        <v>45974</v>
      </c>
      <c r="F1760" s="1" t="s">
        <v>48</v>
      </c>
      <c r="G1760" s="1" t="s">
        <v>990</v>
      </c>
      <c r="H1760" s="1" t="s">
        <v>991</v>
      </c>
      <c r="I1760" s="1">
        <v>1</v>
      </c>
      <c r="J1760" s="3">
        <v>13113</v>
      </c>
      <c r="K1760" s="3">
        <v>12513</v>
      </c>
      <c r="L1760" s="1">
        <v>0</v>
      </c>
      <c r="M1760" s="4">
        <v>0</v>
      </c>
      <c r="N1760" s="1">
        <v>600</v>
      </c>
      <c r="O1760" s="4">
        <v>4.5999999999999999E-2</v>
      </c>
      <c r="P1760" s="1" t="s">
        <v>2721</v>
      </c>
    </row>
    <row r="1761" spans="1:16">
      <c r="A1761" s="1" t="s">
        <v>602</v>
      </c>
      <c r="B1761" s="1">
        <v>11</v>
      </c>
      <c r="C1761" s="1">
        <v>7100152796610</v>
      </c>
      <c r="D1761" s="1" t="s">
        <v>4364</v>
      </c>
      <c r="E1761" s="2">
        <v>45974</v>
      </c>
      <c r="F1761" s="1" t="s">
        <v>604</v>
      </c>
      <c r="G1761" s="1" t="s">
        <v>4365</v>
      </c>
      <c r="H1761" s="1" t="s">
        <v>5392</v>
      </c>
      <c r="I1761" s="1">
        <v>3</v>
      </c>
      <c r="J1761" s="3">
        <v>42800</v>
      </c>
      <c r="K1761" s="3">
        <v>32200</v>
      </c>
      <c r="L1761" s="3">
        <v>4965</v>
      </c>
      <c r="M1761" s="4">
        <v>0.11600000000000001</v>
      </c>
      <c r="N1761" s="3">
        <v>5635</v>
      </c>
      <c r="O1761" s="4">
        <v>0.13200000000000001</v>
      </c>
      <c r="P1761" s="1" t="s">
        <v>2721</v>
      </c>
    </row>
    <row r="1762" spans="1:16">
      <c r="A1762" s="1" t="s">
        <v>602</v>
      </c>
      <c r="B1762" s="1">
        <v>11</v>
      </c>
      <c r="C1762" s="1">
        <v>24100152640935</v>
      </c>
      <c r="D1762" s="1" t="s">
        <v>621</v>
      </c>
      <c r="E1762" s="2">
        <v>45974</v>
      </c>
      <c r="F1762" s="1" t="s">
        <v>604</v>
      </c>
      <c r="G1762" s="1" t="s">
        <v>622</v>
      </c>
      <c r="H1762" s="1" t="s">
        <v>5597</v>
      </c>
      <c r="I1762" s="1">
        <v>2</v>
      </c>
      <c r="J1762" s="3">
        <v>17200</v>
      </c>
      <c r="K1762" s="3">
        <v>4850</v>
      </c>
      <c r="L1762" s="3">
        <v>1995</v>
      </c>
      <c r="M1762" s="4">
        <v>0.11600000000000001</v>
      </c>
      <c r="N1762" s="3">
        <v>10355</v>
      </c>
      <c r="O1762" s="4">
        <v>0.60199999999999998</v>
      </c>
      <c r="P1762" s="1" t="s">
        <v>2721</v>
      </c>
    </row>
    <row r="1763" spans="1:16">
      <c r="A1763" s="1" t="s">
        <v>616</v>
      </c>
      <c r="B1763" s="1">
        <v>11</v>
      </c>
      <c r="C1763" s="1">
        <v>2025111213113950</v>
      </c>
      <c r="D1763" s="1" t="s">
        <v>3014</v>
      </c>
      <c r="E1763" s="2">
        <v>45974</v>
      </c>
      <c r="F1763" s="1" t="s">
        <v>604</v>
      </c>
      <c r="G1763" s="1" t="s">
        <v>3015</v>
      </c>
      <c r="H1763" s="1" t="s">
        <v>4367</v>
      </c>
      <c r="I1763" s="1">
        <v>2</v>
      </c>
      <c r="J1763" s="3">
        <v>17400</v>
      </c>
      <c r="K1763" s="3">
        <v>4850</v>
      </c>
      <c r="L1763" s="1">
        <v>696</v>
      </c>
      <c r="M1763" s="4">
        <v>0.04</v>
      </c>
      <c r="N1763" s="3">
        <v>11854</v>
      </c>
      <c r="O1763" s="4">
        <v>0.68100000000000005</v>
      </c>
      <c r="P1763" s="1" t="s">
        <v>2721</v>
      </c>
    </row>
    <row r="1764" spans="1:16">
      <c r="A1764" s="1" t="s">
        <v>626</v>
      </c>
      <c r="B1764" s="1">
        <v>11</v>
      </c>
      <c r="C1764" s="1">
        <v>69114799</v>
      </c>
      <c r="D1764" s="1" t="s">
        <v>627</v>
      </c>
      <c r="E1764" s="2">
        <v>45974</v>
      </c>
      <c r="F1764" s="1" t="s">
        <v>604</v>
      </c>
      <c r="G1764" s="1" t="s">
        <v>628</v>
      </c>
      <c r="H1764" s="1" t="s">
        <v>5282</v>
      </c>
      <c r="I1764" s="1">
        <v>3</v>
      </c>
      <c r="J1764" s="3">
        <v>17700</v>
      </c>
      <c r="K1764" s="3">
        <v>5400</v>
      </c>
      <c r="L1764" s="3">
        <v>1947</v>
      </c>
      <c r="M1764" s="4">
        <v>0.11</v>
      </c>
      <c r="N1764" s="3">
        <v>10353</v>
      </c>
      <c r="O1764" s="4">
        <v>0.58499999999999996</v>
      </c>
      <c r="P1764" s="1" t="s">
        <v>2721</v>
      </c>
    </row>
    <row r="1765" spans="1:16">
      <c r="A1765" s="1" t="s">
        <v>630</v>
      </c>
      <c r="B1765" s="1">
        <v>11</v>
      </c>
      <c r="C1765" s="1">
        <v>1117119539948400</v>
      </c>
      <c r="D1765" s="1" t="s">
        <v>627</v>
      </c>
      <c r="E1765" s="2">
        <v>45974</v>
      </c>
      <c r="F1765" s="1" t="s">
        <v>604</v>
      </c>
      <c r="G1765" s="1" t="s">
        <v>628</v>
      </c>
      <c r="H1765" s="1" t="s">
        <v>1848</v>
      </c>
      <c r="I1765" s="1">
        <v>1</v>
      </c>
      <c r="J1765" s="3">
        <v>6750</v>
      </c>
      <c r="K1765" s="3">
        <v>4300</v>
      </c>
      <c r="L1765" s="1">
        <v>446</v>
      </c>
      <c r="M1765" s="4">
        <v>6.6000000000000003E-2</v>
      </c>
      <c r="N1765" s="3">
        <v>2005</v>
      </c>
      <c r="O1765" s="4">
        <v>0.29699999999999999</v>
      </c>
      <c r="P1765" s="1" t="s">
        <v>2721</v>
      </c>
    </row>
    <row r="1766" spans="1:16">
      <c r="A1766" s="1" t="s">
        <v>2193</v>
      </c>
      <c r="B1766" s="1">
        <v>11</v>
      </c>
      <c r="C1766" s="1">
        <v>30314037</v>
      </c>
      <c r="D1766" s="1" t="s">
        <v>621</v>
      </c>
      <c r="E1766" s="2">
        <v>45974</v>
      </c>
      <c r="F1766" s="1" t="s">
        <v>604</v>
      </c>
      <c r="G1766" s="1" t="s">
        <v>622</v>
      </c>
      <c r="I1766" s="1">
        <v>8</v>
      </c>
      <c r="J1766" s="3">
        <v>43086</v>
      </c>
      <c r="K1766" s="3">
        <v>11900</v>
      </c>
      <c r="L1766" s="1">
        <v>0</v>
      </c>
      <c r="M1766" s="4">
        <v>0</v>
      </c>
      <c r="N1766" s="3">
        <v>31186</v>
      </c>
      <c r="O1766" s="4">
        <v>0.72399999999999998</v>
      </c>
      <c r="P1766" s="1" t="s">
        <v>2723</v>
      </c>
    </row>
    <row r="1767" spans="1:16">
      <c r="A1767" s="1" t="s">
        <v>602</v>
      </c>
      <c r="B1767" s="1">
        <v>11</v>
      </c>
      <c r="C1767" s="1">
        <v>14100152535992</v>
      </c>
      <c r="D1767" s="1" t="s">
        <v>1862</v>
      </c>
      <c r="E1767" s="2">
        <v>45974</v>
      </c>
      <c r="F1767" s="1" t="s">
        <v>235</v>
      </c>
      <c r="G1767" s="1" t="s">
        <v>1863</v>
      </c>
      <c r="H1767" s="1" t="s">
        <v>1864</v>
      </c>
      <c r="I1767" s="1">
        <v>1</v>
      </c>
      <c r="J1767" s="3">
        <v>14790</v>
      </c>
      <c r="K1767" s="3">
        <v>7739</v>
      </c>
      <c r="L1767" s="3">
        <v>1716</v>
      </c>
      <c r="M1767" s="4">
        <v>0.11600000000000001</v>
      </c>
      <c r="N1767" s="3">
        <v>5335</v>
      </c>
      <c r="O1767" s="4">
        <v>0.36099999999999999</v>
      </c>
      <c r="P1767" s="1" t="s">
        <v>2721</v>
      </c>
    </row>
    <row r="1768" spans="1:16">
      <c r="A1768" s="1" t="s">
        <v>649</v>
      </c>
      <c r="B1768" s="1">
        <v>11</v>
      </c>
      <c r="C1768" s="1">
        <v>25111308514002</v>
      </c>
      <c r="D1768" s="1" t="s">
        <v>4920</v>
      </c>
      <c r="E1768" s="2">
        <v>45974</v>
      </c>
      <c r="F1768" s="1" t="s">
        <v>235</v>
      </c>
      <c r="G1768" s="1" t="s">
        <v>4921</v>
      </c>
      <c r="H1768" s="1" t="s">
        <v>4922</v>
      </c>
      <c r="I1768" s="1">
        <v>1</v>
      </c>
      <c r="J1768" s="3">
        <v>11985</v>
      </c>
      <c r="K1768" s="3">
        <v>11209</v>
      </c>
      <c r="L1768" s="1">
        <v>0</v>
      </c>
      <c r="M1768" s="4">
        <v>0</v>
      </c>
      <c r="N1768" s="1">
        <v>776</v>
      </c>
      <c r="O1768" s="4">
        <v>6.5000000000000002E-2</v>
      </c>
      <c r="P1768" s="1" t="s">
        <v>2721</v>
      </c>
    </row>
    <row r="1769" spans="1:16">
      <c r="A1769" s="1" t="s">
        <v>649</v>
      </c>
      <c r="B1769" s="1">
        <v>11</v>
      </c>
      <c r="C1769" s="1">
        <v>25111307485178</v>
      </c>
      <c r="D1769" s="1" t="s">
        <v>5598</v>
      </c>
      <c r="E1769" s="2">
        <v>45974</v>
      </c>
      <c r="F1769" s="1" t="s">
        <v>5599</v>
      </c>
      <c r="G1769" s="1" t="s">
        <v>5600</v>
      </c>
      <c r="H1769" s="1" t="s">
        <v>5601</v>
      </c>
      <c r="I1769" s="1">
        <v>1</v>
      </c>
      <c r="J1769" s="3">
        <v>9521</v>
      </c>
      <c r="K1769" s="3">
        <v>8873</v>
      </c>
      <c r="L1769" s="1">
        <v>0</v>
      </c>
      <c r="M1769" s="4">
        <v>0</v>
      </c>
      <c r="N1769" s="1">
        <v>648</v>
      </c>
      <c r="O1769" s="4">
        <v>6.8000000000000005E-2</v>
      </c>
      <c r="P1769" s="1" t="s">
        <v>2721</v>
      </c>
    </row>
    <row r="1770" spans="1:16">
      <c r="A1770" s="1" t="s">
        <v>649</v>
      </c>
      <c r="B1770" s="1">
        <v>11</v>
      </c>
      <c r="C1770" s="1">
        <v>25111218073345</v>
      </c>
      <c r="D1770" s="1" t="s">
        <v>2639</v>
      </c>
      <c r="E1770" s="2">
        <v>45974</v>
      </c>
      <c r="F1770" s="1" t="s">
        <v>48</v>
      </c>
      <c r="G1770" s="1" t="s">
        <v>2640</v>
      </c>
      <c r="H1770" s="1" t="s">
        <v>2641</v>
      </c>
      <c r="I1770" s="1">
        <v>1</v>
      </c>
      <c r="J1770" s="3">
        <v>10472</v>
      </c>
      <c r="K1770" s="3">
        <v>8888</v>
      </c>
      <c r="L1770" s="1">
        <v>0</v>
      </c>
      <c r="M1770" s="4">
        <v>0</v>
      </c>
      <c r="N1770" s="3">
        <v>1584</v>
      </c>
      <c r="O1770" s="4">
        <v>0.151</v>
      </c>
      <c r="P1770" s="1" t="s">
        <v>2721</v>
      </c>
    </row>
    <row r="1771" spans="1:16">
      <c r="A1771" s="1" t="s">
        <v>649</v>
      </c>
      <c r="B1771" s="1">
        <v>11</v>
      </c>
      <c r="C1771" s="1">
        <v>25111218073345</v>
      </c>
      <c r="D1771" s="1" t="s">
        <v>773</v>
      </c>
      <c r="E1771" s="2">
        <v>45974</v>
      </c>
      <c r="F1771" s="1" t="s">
        <v>48</v>
      </c>
      <c r="G1771" s="1" t="s">
        <v>774</v>
      </c>
      <c r="H1771" s="1" t="s">
        <v>1891</v>
      </c>
      <c r="I1771" s="1">
        <v>1</v>
      </c>
      <c r="J1771" s="3">
        <v>10379</v>
      </c>
      <c r="K1771" s="3">
        <v>8802</v>
      </c>
      <c r="L1771" s="1">
        <v>0</v>
      </c>
      <c r="M1771" s="4">
        <v>0</v>
      </c>
      <c r="N1771" s="3">
        <v>1577</v>
      </c>
      <c r="O1771" s="4">
        <v>0.152</v>
      </c>
      <c r="P1771" s="1" t="s">
        <v>2721</v>
      </c>
    </row>
    <row r="1772" spans="1:16">
      <c r="A1772" s="1" t="s">
        <v>649</v>
      </c>
      <c r="B1772" s="1">
        <v>11</v>
      </c>
      <c r="C1772" s="1">
        <v>25111218004669</v>
      </c>
      <c r="D1772" s="1" t="s">
        <v>1887</v>
      </c>
      <c r="E1772" s="2">
        <v>45974</v>
      </c>
      <c r="F1772" s="1" t="s">
        <v>1888</v>
      </c>
      <c r="G1772" s="1" t="s">
        <v>1889</v>
      </c>
      <c r="H1772" s="1" t="s">
        <v>1890</v>
      </c>
      <c r="I1772" s="1">
        <v>1</v>
      </c>
      <c r="J1772" s="3">
        <v>15045</v>
      </c>
      <c r="K1772" s="3">
        <v>14070</v>
      </c>
      <c r="L1772" s="1">
        <v>0</v>
      </c>
      <c r="M1772" s="4">
        <v>0</v>
      </c>
      <c r="N1772" s="1">
        <v>975</v>
      </c>
      <c r="O1772" s="4">
        <v>6.5000000000000002E-2</v>
      </c>
      <c r="P1772" s="1" t="s">
        <v>2721</v>
      </c>
    </row>
    <row r="1773" spans="1:16">
      <c r="A1773" s="1" t="s">
        <v>649</v>
      </c>
      <c r="B1773" s="1">
        <v>11</v>
      </c>
      <c r="C1773" s="1">
        <v>25111216500079</v>
      </c>
      <c r="D1773" s="1" t="s">
        <v>5602</v>
      </c>
      <c r="E1773" s="2">
        <v>45974</v>
      </c>
      <c r="F1773" s="1" t="s">
        <v>347</v>
      </c>
      <c r="G1773" s="1" t="s">
        <v>5603</v>
      </c>
      <c r="H1773" s="1" t="s">
        <v>5604</v>
      </c>
      <c r="I1773" s="1">
        <v>1</v>
      </c>
      <c r="J1773" s="3">
        <v>19040</v>
      </c>
      <c r="K1773" s="3">
        <v>17822</v>
      </c>
      <c r="L1773" s="1">
        <v>0</v>
      </c>
      <c r="M1773" s="4">
        <v>0</v>
      </c>
      <c r="N1773" s="3">
        <v>1218</v>
      </c>
      <c r="O1773" s="4">
        <v>6.4000000000000001E-2</v>
      </c>
      <c r="P1773" s="1" t="s">
        <v>2721</v>
      </c>
    </row>
    <row r="1774" spans="1:16">
      <c r="A1774" s="1" t="s">
        <v>649</v>
      </c>
      <c r="B1774" s="1">
        <v>11</v>
      </c>
      <c r="C1774" s="1">
        <v>25111214522056</v>
      </c>
      <c r="D1774" s="1" t="s">
        <v>667</v>
      </c>
      <c r="E1774" s="2">
        <v>45974</v>
      </c>
      <c r="F1774" s="1" t="s">
        <v>48</v>
      </c>
      <c r="G1774" s="1" t="s">
        <v>668</v>
      </c>
      <c r="H1774" s="1" t="s">
        <v>669</v>
      </c>
      <c r="I1774" s="1">
        <v>1</v>
      </c>
      <c r="J1774" s="3">
        <v>9070</v>
      </c>
      <c r="K1774" s="3">
        <v>7680</v>
      </c>
      <c r="L1774" s="1">
        <v>0</v>
      </c>
      <c r="M1774" s="4">
        <v>0</v>
      </c>
      <c r="N1774" s="3">
        <v>1390</v>
      </c>
      <c r="O1774" s="4">
        <v>0.153</v>
      </c>
      <c r="P1774" s="1" t="s">
        <v>2721</v>
      </c>
    </row>
    <row r="1775" spans="1:16">
      <c r="A1775" s="1" t="s">
        <v>649</v>
      </c>
      <c r="B1775" s="1">
        <v>11</v>
      </c>
      <c r="C1775" s="1">
        <v>25111211193202</v>
      </c>
      <c r="D1775" s="1" t="s">
        <v>1907</v>
      </c>
      <c r="E1775" s="2">
        <v>45974</v>
      </c>
      <c r="F1775" s="1" t="s">
        <v>235</v>
      </c>
      <c r="G1775" s="1" t="s">
        <v>1908</v>
      </c>
      <c r="H1775" s="1" t="s">
        <v>1909</v>
      </c>
      <c r="I1775" s="1">
        <v>1</v>
      </c>
      <c r="J1775" s="3">
        <v>26435</v>
      </c>
      <c r="K1775" s="3">
        <v>24774</v>
      </c>
      <c r="L1775" s="1">
        <v>0</v>
      </c>
      <c r="M1775" s="4">
        <v>0</v>
      </c>
      <c r="N1775" s="3">
        <v>1661</v>
      </c>
      <c r="O1775" s="4">
        <v>6.3E-2</v>
      </c>
      <c r="P1775" s="1" t="s">
        <v>2721</v>
      </c>
    </row>
    <row r="1776" spans="1:16">
      <c r="A1776" s="1" t="s">
        <v>1917</v>
      </c>
      <c r="B1776" s="1">
        <v>11</v>
      </c>
      <c r="C1776" s="1">
        <v>1.16431762911291E+20</v>
      </c>
      <c r="D1776" s="1" t="s">
        <v>3032</v>
      </c>
      <c r="E1776" s="2">
        <v>45974</v>
      </c>
      <c r="F1776" s="1" t="s">
        <v>3033</v>
      </c>
      <c r="G1776" s="1" t="s">
        <v>3034</v>
      </c>
      <c r="H1776" s="1" t="s">
        <v>5605</v>
      </c>
      <c r="I1776" s="1">
        <v>1</v>
      </c>
      <c r="J1776" s="3">
        <v>38070</v>
      </c>
      <c r="K1776" s="3">
        <v>32192</v>
      </c>
      <c r="L1776" s="1">
        <v>0</v>
      </c>
      <c r="M1776" s="4">
        <v>0</v>
      </c>
      <c r="N1776" s="3">
        <v>5878</v>
      </c>
      <c r="O1776" s="4">
        <v>0.154</v>
      </c>
      <c r="P1776" s="1" t="s">
        <v>2721</v>
      </c>
    </row>
    <row r="1777" spans="1:16">
      <c r="A1777" s="1" t="s">
        <v>1849</v>
      </c>
      <c r="B1777" s="1">
        <v>11</v>
      </c>
      <c r="C1777" s="1">
        <v>285503</v>
      </c>
      <c r="D1777" s="1" t="s">
        <v>5606</v>
      </c>
      <c r="E1777" s="2">
        <v>45974</v>
      </c>
      <c r="F1777" s="1" t="s">
        <v>256</v>
      </c>
      <c r="G1777" s="1" t="s">
        <v>5607</v>
      </c>
      <c r="H1777" s="1" t="s">
        <v>5608</v>
      </c>
      <c r="I1777" s="1">
        <v>1</v>
      </c>
      <c r="J1777" s="3">
        <v>24900</v>
      </c>
      <c r="K1777" s="3">
        <v>13742</v>
      </c>
      <c r="L1777" s="3">
        <v>3735</v>
      </c>
      <c r="M1777" s="4">
        <v>0.15</v>
      </c>
      <c r="N1777" s="3">
        <v>7423</v>
      </c>
      <c r="O1777" s="4">
        <v>0.29799999999999999</v>
      </c>
      <c r="P1777" s="1" t="s">
        <v>2721</v>
      </c>
    </row>
    <row r="1778" spans="1:16">
      <c r="A1778" s="1" t="s">
        <v>1849</v>
      </c>
      <c r="B1778" s="1">
        <v>11</v>
      </c>
      <c r="C1778" s="1">
        <v>280202</v>
      </c>
      <c r="D1778" s="1" t="s">
        <v>1968</v>
      </c>
      <c r="E1778" s="2">
        <v>45974</v>
      </c>
      <c r="F1778" s="1" t="s">
        <v>239</v>
      </c>
      <c r="G1778" s="1" t="s">
        <v>1969</v>
      </c>
      <c r="H1778" s="1" t="s">
        <v>5609</v>
      </c>
      <c r="I1778" s="1">
        <v>3</v>
      </c>
      <c r="J1778" s="3">
        <v>47400</v>
      </c>
      <c r="K1778" s="3">
        <v>32361</v>
      </c>
      <c r="L1778" s="3">
        <v>7110</v>
      </c>
      <c r="M1778" s="4">
        <v>0.15</v>
      </c>
      <c r="N1778" s="3">
        <v>7929</v>
      </c>
      <c r="O1778" s="4">
        <v>0.16700000000000001</v>
      </c>
      <c r="P1778" s="1" t="s">
        <v>2721</v>
      </c>
    </row>
    <row r="1779" spans="1:16">
      <c r="A1779" s="1" t="s">
        <v>692</v>
      </c>
      <c r="B1779" s="1">
        <v>11</v>
      </c>
      <c r="C1779" s="1" t="s">
        <v>5610</v>
      </c>
      <c r="D1779" s="1" t="s">
        <v>5611</v>
      </c>
      <c r="E1779" s="2">
        <v>45974</v>
      </c>
      <c r="F1779" s="1" t="s">
        <v>1200</v>
      </c>
      <c r="G1779" s="1" t="s">
        <v>5612</v>
      </c>
      <c r="H1779" s="1" t="s">
        <v>5613</v>
      </c>
      <c r="I1779" s="1">
        <v>1</v>
      </c>
      <c r="J1779" s="3">
        <v>65450</v>
      </c>
      <c r="K1779" s="3">
        <v>48588</v>
      </c>
      <c r="L1779" s="1">
        <v>0</v>
      </c>
      <c r="M1779" s="4">
        <v>0</v>
      </c>
      <c r="N1779" s="3">
        <v>16862</v>
      </c>
      <c r="O1779" s="4">
        <v>0.25800000000000001</v>
      </c>
      <c r="P1779" s="1" t="s">
        <v>2721</v>
      </c>
    </row>
    <row r="1780" spans="1:16">
      <c r="A1780" s="1" t="s">
        <v>692</v>
      </c>
      <c r="B1780" s="1">
        <v>11</v>
      </c>
      <c r="C1780" s="1" t="s">
        <v>5614</v>
      </c>
      <c r="D1780" s="1" t="s">
        <v>4456</v>
      </c>
      <c r="E1780" s="2">
        <v>45974</v>
      </c>
      <c r="F1780" s="1" t="s">
        <v>96</v>
      </c>
      <c r="G1780" s="1" t="s">
        <v>4457</v>
      </c>
      <c r="H1780" s="1" t="s">
        <v>941</v>
      </c>
      <c r="I1780" s="1">
        <v>1</v>
      </c>
      <c r="J1780" s="3">
        <v>13940</v>
      </c>
      <c r="K1780" s="3">
        <v>12858</v>
      </c>
      <c r="L1780" s="1">
        <v>0</v>
      </c>
      <c r="M1780" s="4">
        <v>0</v>
      </c>
      <c r="N1780" s="3">
        <v>1082</v>
      </c>
      <c r="O1780" s="4">
        <v>7.8E-2</v>
      </c>
      <c r="P1780" s="1" t="s">
        <v>2721</v>
      </c>
    </row>
    <row r="1781" spans="1:16">
      <c r="A1781" s="1" t="s">
        <v>692</v>
      </c>
      <c r="B1781" s="1">
        <v>11</v>
      </c>
      <c r="C1781" s="1" t="s">
        <v>5615</v>
      </c>
      <c r="D1781" s="1" t="s">
        <v>5616</v>
      </c>
      <c r="E1781" s="2">
        <v>45974</v>
      </c>
      <c r="F1781" s="1" t="s">
        <v>33</v>
      </c>
      <c r="G1781" s="1" t="s">
        <v>5617</v>
      </c>
      <c r="H1781" s="1" t="s">
        <v>5618</v>
      </c>
      <c r="I1781" s="1">
        <v>1</v>
      </c>
      <c r="J1781" s="3">
        <v>76415</v>
      </c>
      <c r="K1781" s="3">
        <v>69168</v>
      </c>
      <c r="L1781" s="1">
        <v>0</v>
      </c>
      <c r="M1781" s="4">
        <v>0</v>
      </c>
      <c r="N1781" s="3">
        <v>7247</v>
      </c>
      <c r="O1781" s="4">
        <v>9.5000000000000001E-2</v>
      </c>
      <c r="P1781" s="1" t="s">
        <v>2721</v>
      </c>
    </row>
    <row r="1782" spans="1:16">
      <c r="A1782" s="1" t="s">
        <v>2033</v>
      </c>
      <c r="B1782" s="1">
        <v>11</v>
      </c>
      <c r="C1782" s="1">
        <v>2.02511121708531E+18</v>
      </c>
      <c r="D1782" s="1" t="s">
        <v>5619</v>
      </c>
      <c r="E1782" s="2">
        <v>45974</v>
      </c>
      <c r="F1782" s="1" t="s">
        <v>646</v>
      </c>
      <c r="G1782" s="1" t="s">
        <v>5620</v>
      </c>
      <c r="H1782" s="1" t="s">
        <v>5621</v>
      </c>
      <c r="I1782" s="1">
        <v>1</v>
      </c>
      <c r="J1782" s="3">
        <v>355215</v>
      </c>
      <c r="K1782" s="3">
        <v>272020</v>
      </c>
      <c r="L1782" s="1">
        <v>0</v>
      </c>
      <c r="M1782" s="4">
        <v>0</v>
      </c>
      <c r="N1782" s="3">
        <v>83195</v>
      </c>
      <c r="O1782" s="4">
        <v>0.23400000000000001</v>
      </c>
      <c r="P1782" s="1" t="s">
        <v>2721</v>
      </c>
    </row>
    <row r="1783" spans="1:16">
      <c r="A1783" s="1" t="s">
        <v>707</v>
      </c>
      <c r="B1783" s="1">
        <v>11</v>
      </c>
      <c r="C1783" s="1">
        <v>2.0251112090149798E+17</v>
      </c>
      <c r="D1783" s="1" t="s">
        <v>5622</v>
      </c>
      <c r="E1783" s="2">
        <v>45974</v>
      </c>
      <c r="F1783" s="1" t="s">
        <v>883</v>
      </c>
      <c r="G1783" s="1" t="s">
        <v>5623</v>
      </c>
      <c r="H1783" s="1" t="s">
        <v>5624</v>
      </c>
      <c r="I1783" s="1">
        <v>2</v>
      </c>
      <c r="J1783" s="3">
        <v>37800</v>
      </c>
      <c r="K1783" s="3">
        <v>29454</v>
      </c>
      <c r="L1783" s="3">
        <v>5670</v>
      </c>
      <c r="M1783" s="4">
        <v>0.15</v>
      </c>
      <c r="N1783" s="3">
        <v>2676</v>
      </c>
      <c r="O1783" s="4">
        <v>7.0999999999999994E-2</v>
      </c>
      <c r="P1783" s="1" t="s">
        <v>2721</v>
      </c>
    </row>
    <row r="1784" spans="1:16">
      <c r="A1784" s="1" t="s">
        <v>707</v>
      </c>
      <c r="B1784" s="1">
        <v>11</v>
      </c>
      <c r="C1784" s="1">
        <v>2.0251112124535699E+17</v>
      </c>
      <c r="D1784" s="1" t="s">
        <v>5625</v>
      </c>
      <c r="E1784" s="2">
        <v>45974</v>
      </c>
      <c r="F1784" s="1" t="s">
        <v>347</v>
      </c>
      <c r="G1784" s="1" t="s">
        <v>5626</v>
      </c>
      <c r="H1784" s="1" t="s">
        <v>5627</v>
      </c>
      <c r="I1784" s="1">
        <v>1</v>
      </c>
      <c r="J1784" s="3">
        <v>28400</v>
      </c>
      <c r="K1784" s="3">
        <v>21893</v>
      </c>
      <c r="L1784" s="3">
        <v>4260</v>
      </c>
      <c r="M1784" s="4">
        <v>0.15</v>
      </c>
      <c r="N1784" s="3">
        <v>2247</v>
      </c>
      <c r="O1784" s="4">
        <v>7.9000000000000001E-2</v>
      </c>
      <c r="P1784" s="1" t="s">
        <v>2721</v>
      </c>
    </row>
    <row r="1785" spans="1:16">
      <c r="A1785" s="1" t="s">
        <v>707</v>
      </c>
      <c r="B1785" s="1">
        <v>11</v>
      </c>
      <c r="C1785" s="1">
        <v>2.0251112134411901E+17</v>
      </c>
      <c r="D1785" s="1" t="s">
        <v>2657</v>
      </c>
      <c r="E1785" s="2">
        <v>45974</v>
      </c>
      <c r="F1785" s="1" t="s">
        <v>235</v>
      </c>
      <c r="G1785" s="1" t="s">
        <v>2658</v>
      </c>
      <c r="H1785" s="1" t="s">
        <v>2659</v>
      </c>
      <c r="I1785" s="1">
        <v>1</v>
      </c>
      <c r="J1785" s="3">
        <v>29000</v>
      </c>
      <c r="K1785" s="3">
        <v>21668</v>
      </c>
      <c r="L1785" s="3">
        <v>4350</v>
      </c>
      <c r="M1785" s="4">
        <v>0.15</v>
      </c>
      <c r="N1785" s="3">
        <v>2982</v>
      </c>
      <c r="O1785" s="4">
        <v>0.10299999999999999</v>
      </c>
      <c r="P1785" s="1" t="s">
        <v>2721</v>
      </c>
    </row>
    <row r="1786" spans="1:16">
      <c r="A1786" s="1" t="s">
        <v>707</v>
      </c>
      <c r="B1786" s="1">
        <v>11</v>
      </c>
      <c r="C1786" s="1">
        <v>2.02511130227252E+17</v>
      </c>
      <c r="D1786" s="1" t="s">
        <v>2657</v>
      </c>
      <c r="E1786" s="2">
        <v>45974</v>
      </c>
      <c r="F1786" s="1" t="s">
        <v>235</v>
      </c>
      <c r="G1786" s="1" t="s">
        <v>2658</v>
      </c>
      <c r="H1786" s="1" t="s">
        <v>2659</v>
      </c>
      <c r="I1786" s="1">
        <v>1</v>
      </c>
      <c r="J1786" s="3">
        <v>29000</v>
      </c>
      <c r="K1786" s="3">
        <v>21668</v>
      </c>
      <c r="L1786" s="3">
        <v>4350</v>
      </c>
      <c r="M1786" s="4">
        <v>0.15</v>
      </c>
      <c r="N1786" s="3">
        <v>2982</v>
      </c>
      <c r="O1786" s="4">
        <v>0.10299999999999999</v>
      </c>
      <c r="P1786" s="1" t="s">
        <v>2721</v>
      </c>
    </row>
    <row r="1787" spans="1:16">
      <c r="A1787" s="1" t="s">
        <v>707</v>
      </c>
      <c r="B1787" s="1">
        <v>11</v>
      </c>
      <c r="C1787" s="1">
        <v>2.02511130753164E+17</v>
      </c>
      <c r="D1787" s="1" t="s">
        <v>2071</v>
      </c>
      <c r="E1787" s="2">
        <v>45974</v>
      </c>
      <c r="F1787" s="1" t="s">
        <v>235</v>
      </c>
      <c r="G1787" s="1" t="s">
        <v>2072</v>
      </c>
      <c r="H1787" s="1" t="s">
        <v>2073</v>
      </c>
      <c r="I1787" s="1">
        <v>1</v>
      </c>
      <c r="J1787" s="3">
        <v>9800</v>
      </c>
      <c r="K1787" s="3">
        <v>7739</v>
      </c>
      <c r="L1787" s="3">
        <v>1470</v>
      </c>
      <c r="M1787" s="4">
        <v>0.15</v>
      </c>
      <c r="N1787" s="1">
        <v>591</v>
      </c>
      <c r="O1787" s="4">
        <v>0.06</v>
      </c>
      <c r="P1787" s="1" t="s">
        <v>2721</v>
      </c>
    </row>
    <row r="1788" spans="1:16">
      <c r="A1788" s="1" t="s">
        <v>2082</v>
      </c>
      <c r="B1788" s="1">
        <v>11</v>
      </c>
      <c r="C1788" s="1">
        <v>2.0251112092409901E+17</v>
      </c>
      <c r="D1788" s="1" t="s">
        <v>5628</v>
      </c>
      <c r="E1788" s="2">
        <v>45974</v>
      </c>
      <c r="F1788" s="1" t="s">
        <v>469</v>
      </c>
      <c r="G1788" s="1" t="s">
        <v>5629</v>
      </c>
      <c r="H1788" s="1" t="s">
        <v>5630</v>
      </c>
      <c r="I1788" s="1">
        <v>1</v>
      </c>
      <c r="J1788" s="3">
        <v>48100</v>
      </c>
      <c r="K1788" s="3">
        <v>36582</v>
      </c>
      <c r="L1788" s="3">
        <v>7215</v>
      </c>
      <c r="M1788" s="4">
        <v>0.15</v>
      </c>
      <c r="N1788" s="3">
        <v>4303</v>
      </c>
      <c r="O1788" s="4">
        <v>8.8999999999999996E-2</v>
      </c>
      <c r="P1788" s="1" t="s">
        <v>2721</v>
      </c>
    </row>
    <row r="1789" spans="1:16">
      <c r="A1789" s="1" t="s">
        <v>2082</v>
      </c>
      <c r="B1789" s="1">
        <v>11</v>
      </c>
      <c r="C1789" s="1">
        <v>2.0251112194025101E+17</v>
      </c>
      <c r="D1789" s="1" t="s">
        <v>5370</v>
      </c>
      <c r="E1789" s="2">
        <v>45974</v>
      </c>
      <c r="F1789" s="1" t="s">
        <v>725</v>
      </c>
      <c r="G1789" s="1" t="s">
        <v>5371</v>
      </c>
      <c r="H1789" s="1" t="s">
        <v>5631</v>
      </c>
      <c r="I1789" s="1">
        <v>1</v>
      </c>
      <c r="J1789" s="3">
        <v>210000</v>
      </c>
      <c r="K1789" s="3">
        <v>156177</v>
      </c>
      <c r="L1789" s="3">
        <v>31500</v>
      </c>
      <c r="M1789" s="4">
        <v>0.15</v>
      </c>
      <c r="N1789" s="3">
        <v>22323</v>
      </c>
      <c r="O1789" s="4">
        <v>0.106</v>
      </c>
      <c r="P1789" s="1" t="s">
        <v>2721</v>
      </c>
    </row>
    <row r="1790" spans="1:16">
      <c r="A1790" s="1" t="s">
        <v>2082</v>
      </c>
      <c r="B1790" s="1">
        <v>11</v>
      </c>
      <c r="C1790" s="1">
        <v>2.0251112224541699E+17</v>
      </c>
      <c r="D1790" s="1" t="s">
        <v>2666</v>
      </c>
      <c r="E1790" s="2">
        <v>45974</v>
      </c>
      <c r="F1790" s="1" t="s">
        <v>1200</v>
      </c>
      <c r="G1790" s="1" t="s">
        <v>2667</v>
      </c>
      <c r="H1790" s="1" t="s">
        <v>2668</v>
      </c>
      <c r="I1790" s="1">
        <v>1</v>
      </c>
      <c r="J1790" s="3">
        <v>31900</v>
      </c>
      <c r="K1790" s="3">
        <v>16978</v>
      </c>
      <c r="L1790" s="3">
        <v>4785</v>
      </c>
      <c r="M1790" s="4">
        <v>0.15</v>
      </c>
      <c r="N1790" s="3">
        <v>10137</v>
      </c>
      <c r="O1790" s="4">
        <v>0.318</v>
      </c>
      <c r="P1790" s="1" t="s">
        <v>2721</v>
      </c>
    </row>
    <row r="1791" spans="1:16">
      <c r="A1791" s="1" t="s">
        <v>2082</v>
      </c>
      <c r="B1791" s="1">
        <v>11</v>
      </c>
      <c r="C1791" s="1">
        <v>2.0251112233830899E+17</v>
      </c>
      <c r="D1791" s="1" t="s">
        <v>2083</v>
      </c>
      <c r="E1791" s="2">
        <v>45974</v>
      </c>
      <c r="F1791" s="1" t="s">
        <v>426</v>
      </c>
      <c r="G1791" s="1" t="s">
        <v>2084</v>
      </c>
      <c r="H1791" s="1" t="s">
        <v>2085</v>
      </c>
      <c r="I1791" s="1">
        <v>1</v>
      </c>
      <c r="J1791" s="3">
        <v>32000</v>
      </c>
      <c r="K1791" s="3">
        <v>23450</v>
      </c>
      <c r="L1791" s="3">
        <v>4800</v>
      </c>
      <c r="M1791" s="4">
        <v>0.15</v>
      </c>
      <c r="N1791" s="3">
        <v>3750</v>
      </c>
      <c r="O1791" s="4">
        <v>0.11700000000000001</v>
      </c>
      <c r="P1791" s="1" t="s">
        <v>2721</v>
      </c>
    </row>
    <row r="1792" spans="1:16">
      <c r="A1792" s="1" t="s">
        <v>718</v>
      </c>
      <c r="B1792" s="1">
        <v>11</v>
      </c>
      <c r="C1792" s="1">
        <v>2.0251112210735002E+17</v>
      </c>
      <c r="D1792" s="1" t="s">
        <v>719</v>
      </c>
      <c r="E1792" s="2">
        <v>45974</v>
      </c>
      <c r="F1792" s="1" t="s">
        <v>239</v>
      </c>
      <c r="G1792" s="1" t="s">
        <v>720</v>
      </c>
      <c r="H1792" s="1" t="s">
        <v>721</v>
      </c>
      <c r="I1792" s="1">
        <v>1</v>
      </c>
      <c r="J1792" s="3">
        <v>16000</v>
      </c>
      <c r="K1792" s="3">
        <v>10787</v>
      </c>
      <c r="L1792" s="3">
        <v>1600</v>
      </c>
      <c r="M1792" s="4">
        <v>0.1</v>
      </c>
      <c r="N1792" s="3">
        <v>3613</v>
      </c>
      <c r="O1792" s="4">
        <v>0.22600000000000001</v>
      </c>
      <c r="P1792" s="1" t="s">
        <v>2721</v>
      </c>
    </row>
    <row r="1793" spans="1:16">
      <c r="A1793" s="1" t="s">
        <v>718</v>
      </c>
      <c r="B1793" s="1">
        <v>11</v>
      </c>
      <c r="C1793" s="1">
        <v>2.0251112210735002E+17</v>
      </c>
      <c r="D1793" s="1" t="s">
        <v>5373</v>
      </c>
      <c r="E1793" s="2">
        <v>45974</v>
      </c>
      <c r="F1793" s="1" t="s">
        <v>239</v>
      </c>
      <c r="G1793" s="1" t="s">
        <v>5374</v>
      </c>
      <c r="H1793" s="1" t="s">
        <v>5632</v>
      </c>
      <c r="I1793" s="1">
        <v>1</v>
      </c>
      <c r="J1793" s="3">
        <v>16000</v>
      </c>
      <c r="K1793" s="3">
        <v>10787</v>
      </c>
      <c r="L1793" s="3">
        <v>1600</v>
      </c>
      <c r="M1793" s="4">
        <v>0.1</v>
      </c>
      <c r="N1793" s="3">
        <v>3613</v>
      </c>
      <c r="O1793" s="4">
        <v>0.22600000000000001</v>
      </c>
      <c r="P1793" s="1" t="s">
        <v>2721</v>
      </c>
    </row>
    <row r="1794" spans="1:16">
      <c r="A1794" s="1" t="s">
        <v>718</v>
      </c>
      <c r="B1794" s="1">
        <v>11</v>
      </c>
      <c r="C1794" s="1">
        <v>2.0251112113648E+17</v>
      </c>
      <c r="D1794" s="1" t="s">
        <v>5633</v>
      </c>
      <c r="E1794" s="2">
        <v>45974</v>
      </c>
      <c r="F1794" s="1" t="s">
        <v>534</v>
      </c>
      <c r="G1794" s="1" t="s">
        <v>5634</v>
      </c>
      <c r="H1794" s="1" t="s">
        <v>5635</v>
      </c>
      <c r="I1794" s="1">
        <v>1</v>
      </c>
      <c r="J1794" s="3">
        <v>18000</v>
      </c>
      <c r="K1794" s="3">
        <v>12438</v>
      </c>
      <c r="L1794" s="3">
        <v>1800</v>
      </c>
      <c r="M1794" s="4">
        <v>0.1</v>
      </c>
      <c r="N1794" s="3">
        <v>3762</v>
      </c>
      <c r="O1794" s="4">
        <v>0.20899999999999999</v>
      </c>
      <c r="P1794" s="1" t="s">
        <v>2721</v>
      </c>
    </row>
    <row r="1795" spans="1:16">
      <c r="A1795" s="1" t="s">
        <v>722</v>
      </c>
      <c r="B1795" s="1">
        <v>11</v>
      </c>
      <c r="C1795" s="1" t="s">
        <v>5636</v>
      </c>
      <c r="D1795" s="1" t="s">
        <v>5637</v>
      </c>
      <c r="E1795" s="2">
        <v>45974</v>
      </c>
      <c r="F1795" s="1" t="s">
        <v>856</v>
      </c>
      <c r="G1795" s="1" t="s">
        <v>5638</v>
      </c>
      <c r="H1795" s="1" t="s">
        <v>858</v>
      </c>
      <c r="I1795" s="1">
        <v>1</v>
      </c>
      <c r="J1795" s="3">
        <v>36000</v>
      </c>
      <c r="K1795" s="3">
        <v>33768</v>
      </c>
      <c r="L1795" s="1">
        <v>0</v>
      </c>
      <c r="M1795" s="4">
        <v>0</v>
      </c>
      <c r="N1795" s="3">
        <v>2232</v>
      </c>
      <c r="O1795" s="4">
        <v>6.2E-2</v>
      </c>
      <c r="P1795" s="1" t="s">
        <v>2721</v>
      </c>
    </row>
    <row r="1796" spans="1:16">
      <c r="A1796" s="1" t="s">
        <v>739</v>
      </c>
      <c r="B1796" s="1">
        <v>11</v>
      </c>
      <c r="C1796" s="1">
        <v>31415147</v>
      </c>
      <c r="D1796" s="1" t="s">
        <v>4539</v>
      </c>
      <c r="E1796" s="2">
        <v>45974</v>
      </c>
      <c r="F1796" s="1" t="s">
        <v>63</v>
      </c>
      <c r="G1796" s="1" t="s">
        <v>4540</v>
      </c>
      <c r="H1796" s="1" t="s">
        <v>139</v>
      </c>
      <c r="I1796" s="1">
        <v>1</v>
      </c>
      <c r="J1796" s="3">
        <v>18500</v>
      </c>
      <c r="K1796" s="3">
        <v>15690</v>
      </c>
      <c r="L1796" s="3">
        <v>2442</v>
      </c>
      <c r="M1796" s="4">
        <v>0.13200000000000001</v>
      </c>
      <c r="N1796" s="1">
        <v>368</v>
      </c>
      <c r="O1796" s="4">
        <v>0.02</v>
      </c>
      <c r="P1796" s="1" t="s">
        <v>2721</v>
      </c>
    </row>
    <row r="1797" spans="1:16">
      <c r="A1797" s="1" t="s">
        <v>739</v>
      </c>
      <c r="B1797" s="1">
        <v>11</v>
      </c>
      <c r="C1797" s="1">
        <v>31415683</v>
      </c>
      <c r="D1797" s="1" t="s">
        <v>5639</v>
      </c>
      <c r="E1797" s="2">
        <v>45974</v>
      </c>
      <c r="F1797" s="1" t="s">
        <v>524</v>
      </c>
      <c r="G1797" s="1" t="s">
        <v>5640</v>
      </c>
      <c r="H1797" s="1" t="s">
        <v>5641</v>
      </c>
      <c r="I1797" s="1">
        <v>1</v>
      </c>
      <c r="J1797" s="3">
        <v>66900</v>
      </c>
      <c r="K1797" s="3">
        <v>53950</v>
      </c>
      <c r="L1797" s="3">
        <v>8831</v>
      </c>
      <c r="M1797" s="4">
        <v>0.13200000000000001</v>
      </c>
      <c r="N1797" s="3">
        <v>4119</v>
      </c>
      <c r="O1797" s="4">
        <v>6.2E-2</v>
      </c>
      <c r="P1797" s="1" t="s">
        <v>2721</v>
      </c>
    </row>
    <row r="1798" spans="1:16">
      <c r="A1798" s="1" t="s">
        <v>739</v>
      </c>
      <c r="B1798" s="1">
        <v>11</v>
      </c>
      <c r="C1798" s="1">
        <v>31415868</v>
      </c>
      <c r="D1798" s="1" t="s">
        <v>5642</v>
      </c>
      <c r="E1798" s="2">
        <v>45974</v>
      </c>
      <c r="F1798" s="1" t="s">
        <v>317</v>
      </c>
      <c r="G1798" s="1" t="s">
        <v>5643</v>
      </c>
      <c r="H1798" s="1" t="s">
        <v>4100</v>
      </c>
      <c r="I1798" s="1">
        <v>1</v>
      </c>
      <c r="J1798" s="3">
        <v>36900</v>
      </c>
      <c r="K1798" s="3">
        <v>30954</v>
      </c>
      <c r="L1798" s="3">
        <v>4871</v>
      </c>
      <c r="M1798" s="4">
        <v>0.13200000000000001</v>
      </c>
      <c r="N1798" s="3">
        <v>1075</v>
      </c>
      <c r="O1798" s="4">
        <v>2.9000000000000001E-2</v>
      </c>
      <c r="P1798" s="1" t="s">
        <v>2721</v>
      </c>
    </row>
    <row r="1799" spans="1:16">
      <c r="A1799" s="1" t="s">
        <v>739</v>
      </c>
      <c r="B1799" s="1">
        <v>11</v>
      </c>
      <c r="C1799" s="1">
        <v>31417961</v>
      </c>
      <c r="D1799" s="1" t="s">
        <v>5644</v>
      </c>
      <c r="E1799" s="2">
        <v>45974</v>
      </c>
      <c r="F1799" s="1" t="s">
        <v>347</v>
      </c>
      <c r="G1799" s="1" t="s">
        <v>5645</v>
      </c>
      <c r="H1799" s="1" t="s">
        <v>5646</v>
      </c>
      <c r="I1799" s="1">
        <v>1</v>
      </c>
      <c r="J1799" s="3">
        <v>29700</v>
      </c>
      <c r="K1799" s="3">
        <v>22906</v>
      </c>
      <c r="L1799" s="3">
        <v>3920</v>
      </c>
      <c r="M1799" s="4">
        <v>0.13200000000000001</v>
      </c>
      <c r="N1799" s="3">
        <v>2874</v>
      </c>
      <c r="O1799" s="4">
        <v>9.7000000000000003E-2</v>
      </c>
      <c r="P1799" s="1" t="s">
        <v>2721</v>
      </c>
    </row>
    <row r="1800" spans="1:16">
      <c r="A1800" s="1" t="s">
        <v>739</v>
      </c>
      <c r="B1800" s="1">
        <v>11</v>
      </c>
      <c r="C1800" s="1">
        <v>31418959</v>
      </c>
      <c r="D1800" s="1" t="s">
        <v>5647</v>
      </c>
      <c r="E1800" s="2">
        <v>45974</v>
      </c>
      <c r="F1800" s="1" t="s">
        <v>4309</v>
      </c>
      <c r="G1800" s="1" t="s">
        <v>5648</v>
      </c>
      <c r="H1800" s="1" t="s">
        <v>5649</v>
      </c>
      <c r="I1800" s="1">
        <v>1</v>
      </c>
      <c r="J1800" s="3">
        <v>11500</v>
      </c>
      <c r="K1800" s="3">
        <v>8817</v>
      </c>
      <c r="L1800" s="3">
        <v>1518</v>
      </c>
      <c r="M1800" s="4">
        <v>0.13200000000000001</v>
      </c>
      <c r="N1800" s="3">
        <v>1165</v>
      </c>
      <c r="O1800" s="4">
        <v>0.10100000000000001</v>
      </c>
      <c r="P1800" s="1" t="s">
        <v>2721</v>
      </c>
    </row>
    <row r="1801" spans="1:16">
      <c r="A1801" s="1" t="s">
        <v>739</v>
      </c>
      <c r="B1801" s="1">
        <v>11</v>
      </c>
      <c r="C1801" s="1">
        <v>31420538</v>
      </c>
      <c r="D1801" s="1" t="s">
        <v>2119</v>
      </c>
      <c r="E1801" s="2">
        <v>45974</v>
      </c>
      <c r="F1801" s="1" t="s">
        <v>18</v>
      </c>
      <c r="G1801" s="1" t="s">
        <v>2120</v>
      </c>
      <c r="H1801" s="1" t="s">
        <v>1252</v>
      </c>
      <c r="I1801" s="1">
        <v>1</v>
      </c>
      <c r="J1801" s="3">
        <v>10500</v>
      </c>
      <c r="K1801" s="3">
        <v>8011</v>
      </c>
      <c r="L1801" s="3">
        <v>1386</v>
      </c>
      <c r="M1801" s="4">
        <v>0.13200000000000001</v>
      </c>
      <c r="N1801" s="3">
        <v>1103</v>
      </c>
      <c r="O1801" s="4">
        <v>0.105</v>
      </c>
      <c r="P1801" s="1" t="s">
        <v>2721</v>
      </c>
    </row>
    <row r="1802" spans="1:16">
      <c r="A1802" s="1" t="s">
        <v>756</v>
      </c>
      <c r="B1802" s="1">
        <v>11</v>
      </c>
      <c r="C1802" s="1" t="s">
        <v>5650</v>
      </c>
      <c r="D1802" s="1" t="s">
        <v>5651</v>
      </c>
      <c r="E1802" s="2">
        <v>45974</v>
      </c>
      <c r="F1802" s="1" t="s">
        <v>500</v>
      </c>
      <c r="G1802" s="1" t="s">
        <v>5652</v>
      </c>
      <c r="I1802" s="1">
        <v>1</v>
      </c>
      <c r="J1802" s="3">
        <v>149600</v>
      </c>
      <c r="K1802" s="3">
        <v>134700</v>
      </c>
      <c r="L1802" s="1">
        <v>0</v>
      </c>
      <c r="M1802" s="4">
        <v>0</v>
      </c>
      <c r="N1802" s="3">
        <v>14900</v>
      </c>
      <c r="O1802" s="4">
        <v>0.1</v>
      </c>
      <c r="P1802" s="1" t="s">
        <v>2723</v>
      </c>
    </row>
    <row r="1803" spans="1:16">
      <c r="A1803" s="1" t="s">
        <v>756</v>
      </c>
      <c r="B1803" s="1">
        <v>11</v>
      </c>
      <c r="C1803" s="1" t="s">
        <v>5653</v>
      </c>
      <c r="D1803" s="1" t="s">
        <v>4560</v>
      </c>
      <c r="E1803" s="2">
        <v>45974</v>
      </c>
      <c r="F1803" s="1" t="s">
        <v>28</v>
      </c>
      <c r="G1803" s="1" t="s">
        <v>4561</v>
      </c>
      <c r="H1803" s="1" t="s">
        <v>5654</v>
      </c>
      <c r="I1803" s="1">
        <v>2</v>
      </c>
      <c r="J1803" s="3">
        <v>191820</v>
      </c>
      <c r="K1803" s="3">
        <v>171654</v>
      </c>
      <c r="L1803" s="1">
        <v>0</v>
      </c>
      <c r="M1803" s="4">
        <v>0</v>
      </c>
      <c r="N1803" s="3">
        <v>20166</v>
      </c>
      <c r="O1803" s="4">
        <v>0.105</v>
      </c>
      <c r="P1803" s="1" t="s">
        <v>2723</v>
      </c>
    </row>
    <row r="1804" spans="1:16">
      <c r="A1804" s="1" t="s">
        <v>756</v>
      </c>
      <c r="B1804" s="1">
        <v>11</v>
      </c>
      <c r="C1804" s="1" t="s">
        <v>5653</v>
      </c>
      <c r="D1804" s="1" t="s">
        <v>2147</v>
      </c>
      <c r="E1804" s="2">
        <v>45974</v>
      </c>
      <c r="F1804" s="1" t="s">
        <v>28</v>
      </c>
      <c r="G1804" s="1" t="s">
        <v>2148</v>
      </c>
      <c r="H1804" s="1" t="s">
        <v>2149</v>
      </c>
      <c r="I1804" s="1">
        <v>2</v>
      </c>
      <c r="J1804" s="3">
        <v>57900</v>
      </c>
      <c r="K1804" s="3">
        <v>51590</v>
      </c>
      <c r="L1804" s="1">
        <v>0</v>
      </c>
      <c r="M1804" s="4">
        <v>0</v>
      </c>
      <c r="N1804" s="3">
        <v>6310</v>
      </c>
      <c r="O1804" s="4">
        <v>0.109</v>
      </c>
      <c r="P1804" s="1" t="s">
        <v>2723</v>
      </c>
    </row>
    <row r="1805" spans="1:16">
      <c r="A1805" s="1" t="s">
        <v>756</v>
      </c>
      <c r="B1805" s="1">
        <v>11</v>
      </c>
      <c r="C1805" s="1" t="s">
        <v>5653</v>
      </c>
      <c r="D1805" s="1" t="s">
        <v>758</v>
      </c>
      <c r="E1805" s="2">
        <v>45974</v>
      </c>
      <c r="F1805" s="1" t="s">
        <v>28</v>
      </c>
      <c r="G1805" s="1" t="s">
        <v>759</v>
      </c>
      <c r="H1805" s="1" t="s">
        <v>760</v>
      </c>
      <c r="I1805" s="1">
        <v>2</v>
      </c>
      <c r="J1805" s="3">
        <v>57900</v>
      </c>
      <c r="K1805" s="3">
        <v>51590</v>
      </c>
      <c r="L1805" s="1">
        <v>0</v>
      </c>
      <c r="M1805" s="4">
        <v>0</v>
      </c>
      <c r="N1805" s="3">
        <v>6310</v>
      </c>
      <c r="O1805" s="4">
        <v>0.109</v>
      </c>
      <c r="P1805" s="1" t="s">
        <v>2723</v>
      </c>
    </row>
    <row r="1806" spans="1:16">
      <c r="A1806" s="1" t="s">
        <v>2179</v>
      </c>
      <c r="B1806" s="1">
        <v>11</v>
      </c>
      <c r="C1806" s="1">
        <v>2.02511121723151E+18</v>
      </c>
      <c r="D1806" s="1" t="s">
        <v>4551</v>
      </c>
      <c r="E1806" s="2">
        <v>45974</v>
      </c>
      <c r="F1806" s="1" t="s">
        <v>43</v>
      </c>
      <c r="G1806" s="1" t="s">
        <v>4552</v>
      </c>
      <c r="H1806" s="1" t="s">
        <v>4553</v>
      </c>
      <c r="I1806" s="1">
        <v>1</v>
      </c>
      <c r="J1806" s="3">
        <v>21200</v>
      </c>
      <c r="K1806" s="3">
        <v>19417</v>
      </c>
      <c r="L1806" s="1">
        <v>0</v>
      </c>
      <c r="M1806" s="4">
        <v>0</v>
      </c>
      <c r="N1806" s="3">
        <v>1783</v>
      </c>
      <c r="O1806" s="4">
        <v>8.4000000000000005E-2</v>
      </c>
      <c r="P1806" s="1" t="s">
        <v>2723</v>
      </c>
    </row>
    <row r="1807" spans="1:16">
      <c r="A1807" s="1" t="s">
        <v>2179</v>
      </c>
      <c r="B1807" s="1">
        <v>11</v>
      </c>
      <c r="C1807" s="1">
        <v>2.02511121723151E+18</v>
      </c>
      <c r="D1807" s="1" t="s">
        <v>5655</v>
      </c>
      <c r="E1807" s="2">
        <v>45974</v>
      </c>
      <c r="F1807" s="1" t="s">
        <v>43</v>
      </c>
      <c r="G1807" s="1" t="s">
        <v>5656</v>
      </c>
      <c r="H1807" s="1" t="s">
        <v>5657</v>
      </c>
      <c r="I1807" s="1">
        <v>1</v>
      </c>
      <c r="J1807" s="3">
        <v>21200</v>
      </c>
      <c r="K1807" s="3">
        <v>19417</v>
      </c>
      <c r="L1807" s="1">
        <v>0</v>
      </c>
      <c r="M1807" s="4">
        <v>0</v>
      </c>
      <c r="N1807" s="3">
        <v>1783</v>
      </c>
      <c r="O1807" s="4">
        <v>8.4000000000000005E-2</v>
      </c>
      <c r="P1807" s="1" t="s">
        <v>2723</v>
      </c>
    </row>
    <row r="1808" spans="1:16">
      <c r="A1808" s="1" t="s">
        <v>761</v>
      </c>
      <c r="B1808" s="1">
        <v>11</v>
      </c>
      <c r="C1808" s="1" t="s">
        <v>5658</v>
      </c>
      <c r="D1808" s="1" t="s">
        <v>5659</v>
      </c>
      <c r="E1808" s="2">
        <v>45974</v>
      </c>
      <c r="F1808" s="1" t="s">
        <v>3509</v>
      </c>
      <c r="G1808" s="1" t="s">
        <v>5660</v>
      </c>
      <c r="H1808" s="1" t="s">
        <v>5661</v>
      </c>
      <c r="I1808" s="1">
        <v>4</v>
      </c>
      <c r="J1808" s="3">
        <v>64000</v>
      </c>
      <c r="K1808" s="3">
        <v>52152</v>
      </c>
      <c r="L1808" s="1">
        <v>0</v>
      </c>
      <c r="M1808" s="4">
        <v>0</v>
      </c>
      <c r="N1808" s="3">
        <v>11848</v>
      </c>
      <c r="O1808" s="4">
        <v>0.185</v>
      </c>
      <c r="P1808" s="1" t="s">
        <v>2723</v>
      </c>
    </row>
    <row r="1809" spans="1:16">
      <c r="A1809" s="1" t="s">
        <v>2193</v>
      </c>
      <c r="B1809" s="1">
        <v>11</v>
      </c>
      <c r="C1809" s="1">
        <v>30299326</v>
      </c>
      <c r="D1809" s="1" t="s">
        <v>5662</v>
      </c>
      <c r="E1809" s="2">
        <v>45974</v>
      </c>
      <c r="F1809" s="1" t="s">
        <v>235</v>
      </c>
      <c r="G1809" s="1" t="s">
        <v>5663</v>
      </c>
      <c r="H1809" s="1" t="s">
        <v>5664</v>
      </c>
      <c r="I1809" s="1">
        <v>1</v>
      </c>
      <c r="J1809" s="3">
        <v>23464</v>
      </c>
      <c r="K1809" s="3">
        <v>21668</v>
      </c>
      <c r="L1809" s="1">
        <v>0</v>
      </c>
      <c r="M1809" s="4">
        <v>0</v>
      </c>
      <c r="N1809" s="3">
        <v>1796</v>
      </c>
      <c r="O1809" s="4">
        <v>7.6999999999999999E-2</v>
      </c>
      <c r="P1809" s="1" t="s">
        <v>2723</v>
      </c>
    </row>
    <row r="1810" spans="1:16">
      <c r="A1810" s="1" t="s">
        <v>2200</v>
      </c>
      <c r="B1810" s="1">
        <v>11</v>
      </c>
      <c r="C1810" s="1">
        <v>249274212</v>
      </c>
      <c r="D1810" s="1" t="s">
        <v>5665</v>
      </c>
      <c r="E1810" s="2">
        <v>45974</v>
      </c>
      <c r="F1810" s="1" t="s">
        <v>256</v>
      </c>
      <c r="G1810" s="1" t="s">
        <v>5666</v>
      </c>
      <c r="H1810" s="1" t="s">
        <v>5667</v>
      </c>
      <c r="I1810" s="1">
        <v>1</v>
      </c>
      <c r="J1810" s="3">
        <v>11800</v>
      </c>
      <c r="K1810" s="3">
        <v>10928</v>
      </c>
      <c r="L1810" s="1">
        <v>0</v>
      </c>
      <c r="M1810" s="4">
        <v>0</v>
      </c>
      <c r="N1810" s="1">
        <v>872</v>
      </c>
      <c r="O1810" s="4">
        <v>7.3999999999999996E-2</v>
      </c>
      <c r="P1810" s="1" t="s">
        <v>2723</v>
      </c>
    </row>
    <row r="1811" spans="1:16">
      <c r="A1811" s="1" t="s">
        <v>763</v>
      </c>
      <c r="B1811" s="1">
        <v>11</v>
      </c>
      <c r="C1811" s="1" t="s">
        <v>5668</v>
      </c>
      <c r="D1811" s="1" t="s">
        <v>4595</v>
      </c>
      <c r="E1811" s="2">
        <v>45974</v>
      </c>
      <c r="F1811" s="1" t="s">
        <v>2188</v>
      </c>
      <c r="G1811" s="1" t="s">
        <v>4596</v>
      </c>
      <c r="I1811" s="1">
        <v>1</v>
      </c>
      <c r="J1811" s="3">
        <v>15000</v>
      </c>
      <c r="K1811" s="3">
        <v>12500</v>
      </c>
      <c r="L1811" s="1">
        <v>0</v>
      </c>
      <c r="M1811" s="4">
        <v>0</v>
      </c>
      <c r="N1811" s="3">
        <v>2500</v>
      </c>
      <c r="O1811" s="4">
        <v>0.16700000000000001</v>
      </c>
      <c r="P1811" s="1" t="s">
        <v>2723</v>
      </c>
    </row>
    <row r="1812" spans="1:16">
      <c r="A1812" s="1" t="s">
        <v>763</v>
      </c>
      <c r="B1812" s="1">
        <v>11</v>
      </c>
      <c r="C1812" s="1" t="s">
        <v>5669</v>
      </c>
      <c r="D1812" s="1" t="s">
        <v>2214</v>
      </c>
      <c r="E1812" s="2">
        <v>45974</v>
      </c>
      <c r="F1812" s="1" t="s">
        <v>2188</v>
      </c>
      <c r="G1812" s="1" t="s">
        <v>2215</v>
      </c>
      <c r="H1812" s="1" t="s">
        <v>4571</v>
      </c>
      <c r="I1812" s="1">
        <v>1</v>
      </c>
      <c r="J1812" s="3">
        <v>23500</v>
      </c>
      <c r="K1812" s="3">
        <v>21500</v>
      </c>
      <c r="L1812" s="1">
        <v>0</v>
      </c>
      <c r="M1812" s="4">
        <v>0</v>
      </c>
      <c r="N1812" s="3">
        <v>2000</v>
      </c>
      <c r="O1812" s="4">
        <v>8.5000000000000006E-2</v>
      </c>
      <c r="P1812" s="1" t="s">
        <v>2723</v>
      </c>
    </row>
    <row r="1813" spans="1:16">
      <c r="A1813" s="1" t="s">
        <v>763</v>
      </c>
      <c r="B1813" s="1">
        <v>11</v>
      </c>
      <c r="C1813" s="1" t="s">
        <v>5670</v>
      </c>
      <c r="D1813" s="1" t="s">
        <v>4574</v>
      </c>
      <c r="E1813" s="2">
        <v>45974</v>
      </c>
      <c r="F1813" s="1" t="s">
        <v>2188</v>
      </c>
      <c r="G1813" s="1" t="s">
        <v>4575</v>
      </c>
      <c r="H1813" s="1" t="s">
        <v>4576</v>
      </c>
      <c r="I1813" s="1">
        <v>1</v>
      </c>
      <c r="J1813" s="3">
        <v>15500</v>
      </c>
      <c r="K1813" s="3">
        <v>14000</v>
      </c>
      <c r="L1813" s="1">
        <v>0</v>
      </c>
      <c r="M1813" s="4">
        <v>0</v>
      </c>
      <c r="N1813" s="3">
        <v>1500</v>
      </c>
      <c r="O1813" s="4">
        <v>9.7000000000000003E-2</v>
      </c>
      <c r="P1813" s="1" t="s">
        <v>2723</v>
      </c>
    </row>
    <row r="1814" spans="1:16">
      <c r="A1814" s="1" t="s">
        <v>630</v>
      </c>
      <c r="B1814" s="1">
        <v>11</v>
      </c>
      <c r="C1814" s="1">
        <v>1117198771301880</v>
      </c>
      <c r="D1814" s="1" t="s">
        <v>627</v>
      </c>
      <c r="E1814" s="2">
        <v>45974</v>
      </c>
      <c r="F1814" s="1" t="s">
        <v>604</v>
      </c>
      <c r="G1814" s="1" t="s">
        <v>628</v>
      </c>
      <c r="H1814" s="1" t="s">
        <v>1848</v>
      </c>
      <c r="I1814" s="1">
        <v>1</v>
      </c>
      <c r="J1814" s="3">
        <v>6750</v>
      </c>
      <c r="K1814" s="3">
        <v>4300</v>
      </c>
      <c r="L1814" s="1">
        <v>446</v>
      </c>
      <c r="M1814" s="4">
        <v>6.6000000000000003E-2</v>
      </c>
      <c r="N1814" s="3">
        <v>2005</v>
      </c>
      <c r="O1814" s="4">
        <v>0.29699999999999999</v>
      </c>
      <c r="P1814" s="1" t="s">
        <v>2721</v>
      </c>
    </row>
    <row r="1815" spans="1:16">
      <c r="A1815" s="1" t="s">
        <v>602</v>
      </c>
      <c r="B1815" s="1">
        <v>11</v>
      </c>
      <c r="C1815" s="1">
        <v>26100152459473</v>
      </c>
      <c r="D1815" s="1" t="s">
        <v>621</v>
      </c>
      <c r="E1815" s="2">
        <v>45974</v>
      </c>
      <c r="F1815" s="1" t="s">
        <v>604</v>
      </c>
      <c r="G1815" s="1" t="s">
        <v>622</v>
      </c>
      <c r="H1815" s="1" t="s">
        <v>3012</v>
      </c>
      <c r="I1815" s="1">
        <v>1</v>
      </c>
      <c r="J1815" s="3">
        <v>8900</v>
      </c>
      <c r="K1815" s="3">
        <v>3675</v>
      </c>
      <c r="L1815" s="3">
        <v>1032</v>
      </c>
      <c r="M1815" s="4">
        <v>0.11600000000000001</v>
      </c>
      <c r="N1815" s="3">
        <v>4193</v>
      </c>
      <c r="O1815" s="4">
        <v>0.47099999999999997</v>
      </c>
      <c r="P1815" s="1" t="s">
        <v>2721</v>
      </c>
    </row>
    <row r="1816" spans="1:16">
      <c r="A1816" s="1" t="s">
        <v>577</v>
      </c>
      <c r="B1816" s="1">
        <v>11</v>
      </c>
      <c r="C1816" s="1" t="s">
        <v>5671</v>
      </c>
      <c r="D1816" s="1" t="s">
        <v>5672</v>
      </c>
      <c r="E1816" s="2">
        <v>45975</v>
      </c>
      <c r="F1816" s="1" t="s">
        <v>3037</v>
      </c>
      <c r="G1816" s="1" t="s">
        <v>5673</v>
      </c>
      <c r="H1816" s="1" t="s">
        <v>5674</v>
      </c>
      <c r="I1816" s="1">
        <v>2</v>
      </c>
      <c r="J1816" s="3">
        <v>23592</v>
      </c>
      <c r="K1816" s="3">
        <v>22512</v>
      </c>
      <c r="L1816" s="1">
        <v>0</v>
      </c>
      <c r="M1816" s="4">
        <v>0</v>
      </c>
      <c r="N1816" s="3">
        <v>1080</v>
      </c>
      <c r="O1816" s="4">
        <v>4.5999999999999999E-2</v>
      </c>
      <c r="P1816" s="1" t="s">
        <v>2721</v>
      </c>
    </row>
    <row r="1817" spans="1:16">
      <c r="A1817" s="1" t="s">
        <v>15</v>
      </c>
      <c r="B1817" s="1">
        <v>11</v>
      </c>
      <c r="C1817" s="1" t="s">
        <v>5675</v>
      </c>
      <c r="D1817" s="1" t="s">
        <v>1419</v>
      </c>
      <c r="E1817" s="2">
        <v>45975</v>
      </c>
      <c r="F1817" s="1" t="s">
        <v>96</v>
      </c>
      <c r="G1817" s="1" t="s">
        <v>1420</v>
      </c>
      <c r="H1817" s="1" t="s">
        <v>4184</v>
      </c>
      <c r="I1817" s="1">
        <v>1</v>
      </c>
      <c r="J1817" s="3">
        <v>11550</v>
      </c>
      <c r="K1817" s="3">
        <v>11022</v>
      </c>
      <c r="L1817" s="1">
        <v>0</v>
      </c>
      <c r="M1817" s="4">
        <v>0</v>
      </c>
      <c r="N1817" s="1">
        <v>528</v>
      </c>
      <c r="O1817" s="4">
        <v>4.5999999999999999E-2</v>
      </c>
      <c r="P1817" s="1" t="s">
        <v>2721</v>
      </c>
    </row>
    <row r="1818" spans="1:16">
      <c r="A1818" s="1" t="s">
        <v>15</v>
      </c>
      <c r="B1818" s="1">
        <v>11</v>
      </c>
      <c r="C1818" s="1" t="s">
        <v>5676</v>
      </c>
      <c r="D1818" s="1" t="s">
        <v>482</v>
      </c>
      <c r="E1818" s="2">
        <v>45975</v>
      </c>
      <c r="F1818" s="1" t="s">
        <v>483</v>
      </c>
      <c r="G1818" s="1" t="s">
        <v>484</v>
      </c>
      <c r="H1818" s="1" t="s">
        <v>485</v>
      </c>
      <c r="I1818" s="1">
        <v>1</v>
      </c>
      <c r="J1818" s="3">
        <v>16501</v>
      </c>
      <c r="K1818" s="3">
        <v>15745</v>
      </c>
      <c r="L1818" s="1">
        <v>0</v>
      </c>
      <c r="M1818" s="4">
        <v>0</v>
      </c>
      <c r="N1818" s="1">
        <v>756</v>
      </c>
      <c r="O1818" s="4">
        <v>4.5999999999999999E-2</v>
      </c>
      <c r="P1818" s="1" t="s">
        <v>2721</v>
      </c>
    </row>
    <row r="1819" spans="1:16">
      <c r="A1819" s="1" t="s">
        <v>15</v>
      </c>
      <c r="B1819" s="1">
        <v>11</v>
      </c>
      <c r="C1819" s="1" t="s">
        <v>5677</v>
      </c>
      <c r="D1819" s="1" t="s">
        <v>862</v>
      </c>
      <c r="E1819" s="2">
        <v>45975</v>
      </c>
      <c r="F1819" s="1" t="s">
        <v>334</v>
      </c>
      <c r="G1819" s="1" t="s">
        <v>863</v>
      </c>
      <c r="H1819" s="1" t="s">
        <v>3907</v>
      </c>
      <c r="I1819" s="1">
        <v>1</v>
      </c>
      <c r="J1819" s="3">
        <v>16220</v>
      </c>
      <c r="K1819" s="3">
        <v>15477</v>
      </c>
      <c r="L1819" s="1">
        <v>0</v>
      </c>
      <c r="M1819" s="4">
        <v>0</v>
      </c>
      <c r="N1819" s="1">
        <v>743</v>
      </c>
      <c r="O1819" s="4">
        <v>4.5999999999999999E-2</v>
      </c>
      <c r="P1819" s="1" t="s">
        <v>2721</v>
      </c>
    </row>
    <row r="1820" spans="1:16">
      <c r="A1820" s="1" t="s">
        <v>15</v>
      </c>
      <c r="B1820" s="1">
        <v>11</v>
      </c>
      <c r="C1820" s="1" t="s">
        <v>5678</v>
      </c>
      <c r="D1820" s="1" t="s">
        <v>5679</v>
      </c>
      <c r="E1820" s="2">
        <v>45975</v>
      </c>
      <c r="F1820" s="1" t="s">
        <v>96</v>
      </c>
      <c r="G1820" s="1" t="s">
        <v>5680</v>
      </c>
      <c r="H1820" s="1" t="s">
        <v>4938</v>
      </c>
      <c r="I1820" s="1">
        <v>1</v>
      </c>
      <c r="J1820" s="3">
        <v>9405</v>
      </c>
      <c r="K1820" s="3">
        <v>8975</v>
      </c>
      <c r="L1820" s="1">
        <v>0</v>
      </c>
      <c r="M1820" s="4">
        <v>0</v>
      </c>
      <c r="N1820" s="1">
        <v>430</v>
      </c>
      <c r="O1820" s="4">
        <v>4.5999999999999999E-2</v>
      </c>
      <c r="P1820" s="1" t="s">
        <v>2721</v>
      </c>
    </row>
    <row r="1821" spans="1:16">
      <c r="A1821" s="1" t="s">
        <v>15</v>
      </c>
      <c r="B1821" s="1">
        <v>11</v>
      </c>
      <c r="C1821" s="1" t="s">
        <v>5681</v>
      </c>
      <c r="D1821" s="1" t="s">
        <v>72</v>
      </c>
      <c r="E1821" s="2">
        <v>45975</v>
      </c>
      <c r="F1821" s="1" t="s">
        <v>63</v>
      </c>
      <c r="G1821" s="1" t="s">
        <v>73</v>
      </c>
      <c r="H1821" s="1" t="s">
        <v>74</v>
      </c>
      <c r="I1821" s="1">
        <v>1</v>
      </c>
      <c r="J1821" s="3">
        <v>10456</v>
      </c>
      <c r="K1821" s="3">
        <v>9978</v>
      </c>
      <c r="L1821" s="1">
        <v>0</v>
      </c>
      <c r="M1821" s="4">
        <v>0</v>
      </c>
      <c r="N1821" s="1">
        <v>478</v>
      </c>
      <c r="O1821" s="4">
        <v>4.5999999999999999E-2</v>
      </c>
      <c r="P1821" s="1" t="s">
        <v>2721</v>
      </c>
    </row>
    <row r="1822" spans="1:16">
      <c r="A1822" s="1" t="s">
        <v>15</v>
      </c>
      <c r="B1822" s="1">
        <v>11</v>
      </c>
      <c r="C1822" s="1" t="s">
        <v>5682</v>
      </c>
      <c r="D1822" s="1" t="s">
        <v>5683</v>
      </c>
      <c r="E1822" s="2">
        <v>45975</v>
      </c>
      <c r="F1822" s="1" t="s">
        <v>3843</v>
      </c>
      <c r="G1822" s="1" t="s">
        <v>5684</v>
      </c>
      <c r="H1822" s="1" t="s">
        <v>5685</v>
      </c>
      <c r="I1822" s="1">
        <v>1</v>
      </c>
      <c r="J1822" s="3">
        <v>51116</v>
      </c>
      <c r="K1822" s="3">
        <v>48776</v>
      </c>
      <c r="L1822" s="1">
        <v>0</v>
      </c>
      <c r="M1822" s="4">
        <v>0</v>
      </c>
      <c r="N1822" s="3">
        <v>2340</v>
      </c>
      <c r="O1822" s="4">
        <v>4.5999999999999999E-2</v>
      </c>
      <c r="P1822" s="1" t="s">
        <v>2721</v>
      </c>
    </row>
    <row r="1823" spans="1:16">
      <c r="A1823" s="1" t="s">
        <v>15</v>
      </c>
      <c r="B1823" s="1">
        <v>11</v>
      </c>
      <c r="C1823" s="1" t="s">
        <v>5686</v>
      </c>
      <c r="D1823" s="1" t="s">
        <v>797</v>
      </c>
      <c r="E1823" s="2">
        <v>45975</v>
      </c>
      <c r="F1823" s="1" t="s">
        <v>798</v>
      </c>
      <c r="G1823" s="1" t="s">
        <v>799</v>
      </c>
      <c r="H1823" s="1" t="s">
        <v>1331</v>
      </c>
      <c r="I1823" s="1">
        <v>1</v>
      </c>
      <c r="J1823" s="3">
        <v>13271</v>
      </c>
      <c r="K1823" s="3">
        <v>12663</v>
      </c>
      <c r="L1823" s="1">
        <v>0</v>
      </c>
      <c r="M1823" s="4">
        <v>0</v>
      </c>
      <c r="N1823" s="1">
        <v>608</v>
      </c>
      <c r="O1823" s="4">
        <v>4.5999999999999999E-2</v>
      </c>
      <c r="P1823" s="1" t="s">
        <v>2721</v>
      </c>
    </row>
    <row r="1824" spans="1:16">
      <c r="A1824" s="1" t="s">
        <v>15</v>
      </c>
      <c r="B1824" s="1">
        <v>11</v>
      </c>
      <c r="C1824" s="1" t="s">
        <v>5687</v>
      </c>
      <c r="D1824" s="1" t="s">
        <v>5688</v>
      </c>
      <c r="E1824" s="2">
        <v>45975</v>
      </c>
      <c r="F1824" s="1" t="s">
        <v>235</v>
      </c>
      <c r="G1824" s="1" t="s">
        <v>5689</v>
      </c>
      <c r="H1824" s="1" t="s">
        <v>5690</v>
      </c>
      <c r="I1824" s="1">
        <v>1</v>
      </c>
      <c r="J1824" s="3">
        <v>11747</v>
      </c>
      <c r="K1824" s="3">
        <v>11209</v>
      </c>
      <c r="L1824" s="1">
        <v>0</v>
      </c>
      <c r="M1824" s="4">
        <v>0</v>
      </c>
      <c r="N1824" s="1">
        <v>538</v>
      </c>
      <c r="O1824" s="4">
        <v>4.5999999999999999E-2</v>
      </c>
      <c r="P1824" s="1" t="s">
        <v>2721</v>
      </c>
    </row>
    <row r="1825" spans="1:16">
      <c r="A1825" s="1" t="s">
        <v>15</v>
      </c>
      <c r="B1825" s="1">
        <v>11</v>
      </c>
      <c r="C1825" s="1" t="s">
        <v>5691</v>
      </c>
      <c r="D1825" s="1" t="s">
        <v>5692</v>
      </c>
      <c r="E1825" s="2">
        <v>45975</v>
      </c>
      <c r="F1825" s="1" t="s">
        <v>1325</v>
      </c>
      <c r="G1825" s="1" t="s">
        <v>5693</v>
      </c>
      <c r="H1825" s="1" t="s">
        <v>5694</v>
      </c>
      <c r="I1825" s="1">
        <v>1</v>
      </c>
      <c r="J1825" s="3">
        <v>9339</v>
      </c>
      <c r="K1825" s="3">
        <v>8911</v>
      </c>
      <c r="L1825" s="1">
        <v>0</v>
      </c>
      <c r="M1825" s="4">
        <v>0</v>
      </c>
      <c r="N1825" s="1">
        <v>428</v>
      </c>
      <c r="O1825" s="4">
        <v>4.5999999999999999E-2</v>
      </c>
      <c r="P1825" s="1" t="s">
        <v>2721</v>
      </c>
    </row>
    <row r="1826" spans="1:16">
      <c r="A1826" s="1" t="s">
        <v>15</v>
      </c>
      <c r="B1826" s="1">
        <v>11</v>
      </c>
      <c r="C1826" s="1" t="s">
        <v>5691</v>
      </c>
      <c r="D1826" s="1" t="s">
        <v>411</v>
      </c>
      <c r="E1826" s="2">
        <v>45975</v>
      </c>
      <c r="F1826" s="1" t="s">
        <v>312</v>
      </c>
      <c r="G1826" s="1" t="s">
        <v>412</v>
      </c>
      <c r="H1826" s="1" t="s">
        <v>5695</v>
      </c>
      <c r="I1826" s="1">
        <v>1</v>
      </c>
      <c r="J1826" s="3">
        <v>27524</v>
      </c>
      <c r="K1826" s="3">
        <v>26264</v>
      </c>
      <c r="L1826" s="1">
        <v>0</v>
      </c>
      <c r="M1826" s="4">
        <v>0</v>
      </c>
      <c r="N1826" s="3">
        <v>1260</v>
      </c>
      <c r="O1826" s="4">
        <v>4.5999999999999999E-2</v>
      </c>
      <c r="P1826" s="1" t="s">
        <v>2721</v>
      </c>
    </row>
    <row r="1827" spans="1:16">
      <c r="A1827" s="1" t="s">
        <v>15</v>
      </c>
      <c r="B1827" s="1">
        <v>11</v>
      </c>
      <c r="C1827" s="1" t="s">
        <v>5691</v>
      </c>
      <c r="D1827" s="1" t="s">
        <v>22</v>
      </c>
      <c r="E1827" s="2">
        <v>45975</v>
      </c>
      <c r="F1827" s="1" t="s">
        <v>23</v>
      </c>
      <c r="G1827" s="1" t="s">
        <v>24</v>
      </c>
      <c r="H1827" s="1" t="s">
        <v>25</v>
      </c>
      <c r="I1827" s="1">
        <v>1</v>
      </c>
      <c r="J1827" s="3">
        <v>11305</v>
      </c>
      <c r="K1827" s="3">
        <v>10787</v>
      </c>
      <c r="L1827" s="1">
        <v>0</v>
      </c>
      <c r="M1827" s="4">
        <v>0</v>
      </c>
      <c r="N1827" s="1">
        <v>518</v>
      </c>
      <c r="O1827" s="4">
        <v>4.5999999999999999E-2</v>
      </c>
      <c r="P1827" s="1" t="s">
        <v>2721</v>
      </c>
    </row>
    <row r="1828" spans="1:16">
      <c r="A1828" s="1" t="s">
        <v>15</v>
      </c>
      <c r="B1828" s="1">
        <v>11</v>
      </c>
      <c r="C1828" s="1" t="s">
        <v>5696</v>
      </c>
      <c r="D1828" s="1" t="s">
        <v>208</v>
      </c>
      <c r="E1828" s="2">
        <v>45975</v>
      </c>
      <c r="F1828" s="1" t="s">
        <v>126</v>
      </c>
      <c r="G1828" s="1" t="s">
        <v>209</v>
      </c>
      <c r="H1828" s="1" t="s">
        <v>210</v>
      </c>
      <c r="I1828" s="1">
        <v>1</v>
      </c>
      <c r="J1828" s="3">
        <v>19267</v>
      </c>
      <c r="K1828" s="3">
        <v>18385</v>
      </c>
      <c r="L1828" s="1">
        <v>0</v>
      </c>
      <c r="M1828" s="4">
        <v>0</v>
      </c>
      <c r="N1828" s="1">
        <v>882</v>
      </c>
      <c r="O1828" s="4">
        <v>4.5999999999999999E-2</v>
      </c>
      <c r="P1828" s="1" t="s">
        <v>2721</v>
      </c>
    </row>
    <row r="1829" spans="1:16">
      <c r="A1829" s="1" t="s">
        <v>15</v>
      </c>
      <c r="B1829" s="1">
        <v>11</v>
      </c>
      <c r="C1829" s="1" t="s">
        <v>5697</v>
      </c>
      <c r="D1829" s="1" t="s">
        <v>1219</v>
      </c>
      <c r="E1829" s="2">
        <v>45975</v>
      </c>
      <c r="F1829" s="1" t="s">
        <v>256</v>
      </c>
      <c r="G1829" s="1" t="s">
        <v>1220</v>
      </c>
      <c r="H1829" s="1" t="s">
        <v>1221</v>
      </c>
      <c r="I1829" s="1">
        <v>1</v>
      </c>
      <c r="J1829" s="3">
        <v>11452</v>
      </c>
      <c r="K1829" s="3">
        <v>10928</v>
      </c>
      <c r="L1829" s="1">
        <v>0</v>
      </c>
      <c r="M1829" s="4">
        <v>0</v>
      </c>
      <c r="N1829" s="1">
        <v>524</v>
      </c>
      <c r="O1829" s="4">
        <v>4.5999999999999999E-2</v>
      </c>
      <c r="P1829" s="1" t="s">
        <v>2721</v>
      </c>
    </row>
    <row r="1830" spans="1:16">
      <c r="A1830" s="1" t="s">
        <v>15</v>
      </c>
      <c r="B1830" s="1">
        <v>11</v>
      </c>
      <c r="C1830" s="1" t="s">
        <v>5698</v>
      </c>
      <c r="D1830" s="1" t="s">
        <v>341</v>
      </c>
      <c r="E1830" s="2">
        <v>45975</v>
      </c>
      <c r="F1830" s="1" t="s">
        <v>53</v>
      </c>
      <c r="G1830" s="1" t="s">
        <v>342</v>
      </c>
      <c r="H1830" s="1" t="s">
        <v>343</v>
      </c>
      <c r="I1830" s="1">
        <v>1</v>
      </c>
      <c r="J1830" s="3">
        <v>16135</v>
      </c>
      <c r="K1830" s="3">
        <v>15396</v>
      </c>
      <c r="L1830" s="1">
        <v>0</v>
      </c>
      <c r="M1830" s="4">
        <v>0</v>
      </c>
      <c r="N1830" s="1">
        <v>739</v>
      </c>
      <c r="O1830" s="4">
        <v>4.5999999999999999E-2</v>
      </c>
      <c r="P1830" s="1" t="s">
        <v>2721</v>
      </c>
    </row>
    <row r="1831" spans="1:16">
      <c r="A1831" s="1" t="s">
        <v>15</v>
      </c>
      <c r="B1831" s="1">
        <v>11</v>
      </c>
      <c r="C1831" s="1" t="s">
        <v>5699</v>
      </c>
      <c r="D1831" s="1" t="s">
        <v>2860</v>
      </c>
      <c r="E1831" s="2">
        <v>45975</v>
      </c>
      <c r="F1831" s="1" t="s">
        <v>235</v>
      </c>
      <c r="G1831" s="1" t="s">
        <v>2861</v>
      </c>
      <c r="H1831" s="1" t="s">
        <v>2862</v>
      </c>
      <c r="I1831" s="1">
        <v>2</v>
      </c>
      <c r="J1831" s="3">
        <v>38140</v>
      </c>
      <c r="K1831" s="3">
        <v>36394</v>
      </c>
      <c r="L1831" s="1">
        <v>0</v>
      </c>
      <c r="M1831" s="4">
        <v>0</v>
      </c>
      <c r="N1831" s="3">
        <v>1746</v>
      </c>
      <c r="O1831" s="4">
        <v>4.5999999999999999E-2</v>
      </c>
      <c r="P1831" s="1" t="s">
        <v>2721</v>
      </c>
    </row>
    <row r="1832" spans="1:16">
      <c r="A1832" s="1" t="s">
        <v>15</v>
      </c>
      <c r="B1832" s="1">
        <v>11</v>
      </c>
      <c r="C1832" s="1" t="s">
        <v>5700</v>
      </c>
      <c r="D1832" s="1" t="s">
        <v>57</v>
      </c>
      <c r="E1832" s="2">
        <v>45975</v>
      </c>
      <c r="F1832" s="1" t="s">
        <v>58</v>
      </c>
      <c r="G1832" s="1" t="s">
        <v>59</v>
      </c>
      <c r="H1832" s="1" t="s">
        <v>5701</v>
      </c>
      <c r="I1832" s="1">
        <v>1</v>
      </c>
      <c r="J1832" s="3">
        <v>17203</v>
      </c>
      <c r="K1832" s="3">
        <v>16415</v>
      </c>
      <c r="L1832" s="1">
        <v>0</v>
      </c>
      <c r="M1832" s="4">
        <v>0</v>
      </c>
      <c r="N1832" s="1">
        <v>788</v>
      </c>
      <c r="O1832" s="4">
        <v>4.5999999999999999E-2</v>
      </c>
      <c r="P1832" s="1" t="s">
        <v>2721</v>
      </c>
    </row>
    <row r="1833" spans="1:16">
      <c r="A1833" s="1" t="s">
        <v>15</v>
      </c>
      <c r="B1833" s="1">
        <v>11</v>
      </c>
      <c r="C1833" s="1" t="s">
        <v>5702</v>
      </c>
      <c r="D1833" s="1" t="s">
        <v>5703</v>
      </c>
      <c r="E1833" s="2">
        <v>45975</v>
      </c>
      <c r="F1833" s="1" t="s">
        <v>1255</v>
      </c>
      <c r="G1833" s="1" t="s">
        <v>5704</v>
      </c>
      <c r="H1833" s="1" t="s">
        <v>5705</v>
      </c>
      <c r="I1833" s="1">
        <v>1</v>
      </c>
      <c r="J1833" s="3">
        <v>29392</v>
      </c>
      <c r="K1833" s="3">
        <v>28046</v>
      </c>
      <c r="L1833" s="1">
        <v>0</v>
      </c>
      <c r="M1833" s="4">
        <v>0</v>
      </c>
      <c r="N1833" s="3">
        <v>1346</v>
      </c>
      <c r="O1833" s="4">
        <v>4.5999999999999999E-2</v>
      </c>
      <c r="P1833" s="1" t="s">
        <v>2721</v>
      </c>
    </row>
    <row r="1834" spans="1:16">
      <c r="A1834" s="1" t="s">
        <v>15</v>
      </c>
      <c r="B1834" s="1">
        <v>11</v>
      </c>
      <c r="C1834" s="1" t="s">
        <v>5706</v>
      </c>
      <c r="D1834" s="1" t="s">
        <v>182</v>
      </c>
      <c r="E1834" s="2">
        <v>45975</v>
      </c>
      <c r="F1834" s="1" t="s">
        <v>53</v>
      </c>
      <c r="G1834" s="1" t="s">
        <v>183</v>
      </c>
      <c r="H1834" s="1" t="s">
        <v>1224</v>
      </c>
      <c r="I1834" s="1">
        <v>1</v>
      </c>
      <c r="J1834" s="3">
        <v>6219</v>
      </c>
      <c r="K1834" s="3">
        <v>5935</v>
      </c>
      <c r="L1834" s="1">
        <v>0</v>
      </c>
      <c r="M1834" s="4">
        <v>0</v>
      </c>
      <c r="N1834" s="1">
        <v>284</v>
      </c>
      <c r="O1834" s="4">
        <v>4.5999999999999999E-2</v>
      </c>
      <c r="P1834" s="1" t="s">
        <v>2721</v>
      </c>
    </row>
    <row r="1835" spans="1:16">
      <c r="A1835" s="1" t="s">
        <v>15</v>
      </c>
      <c r="B1835" s="1">
        <v>11</v>
      </c>
      <c r="C1835" s="1" t="s">
        <v>5707</v>
      </c>
      <c r="D1835" s="1" t="s">
        <v>1457</v>
      </c>
      <c r="E1835" s="2">
        <v>45975</v>
      </c>
      <c r="F1835" s="1" t="s">
        <v>347</v>
      </c>
      <c r="G1835" s="1" t="s">
        <v>1458</v>
      </c>
      <c r="H1835" s="1" t="s">
        <v>5708</v>
      </c>
      <c r="I1835" s="1">
        <v>1</v>
      </c>
      <c r="J1835" s="3">
        <v>24418</v>
      </c>
      <c r="K1835" s="3">
        <v>23300</v>
      </c>
      <c r="L1835" s="1">
        <v>0</v>
      </c>
      <c r="M1835" s="4">
        <v>0</v>
      </c>
      <c r="N1835" s="3">
        <v>1118</v>
      </c>
      <c r="O1835" s="4">
        <v>4.5999999999999999E-2</v>
      </c>
      <c r="P1835" s="1" t="s">
        <v>2721</v>
      </c>
    </row>
    <row r="1836" spans="1:16">
      <c r="A1836" s="1" t="s">
        <v>15</v>
      </c>
      <c r="B1836" s="1">
        <v>11</v>
      </c>
      <c r="C1836" s="1" t="s">
        <v>5709</v>
      </c>
      <c r="D1836" s="1" t="s">
        <v>5710</v>
      </c>
      <c r="E1836" s="2">
        <v>45975</v>
      </c>
      <c r="F1836" s="1" t="s">
        <v>126</v>
      </c>
      <c r="G1836" s="1" t="s">
        <v>5711</v>
      </c>
      <c r="H1836" s="1" t="s">
        <v>5712</v>
      </c>
      <c r="I1836" s="1">
        <v>1</v>
      </c>
      <c r="J1836" s="3">
        <v>39320</v>
      </c>
      <c r="K1836" s="3">
        <v>37520</v>
      </c>
      <c r="L1836" s="1">
        <v>0</v>
      </c>
      <c r="M1836" s="4">
        <v>0</v>
      </c>
      <c r="N1836" s="3">
        <v>1800</v>
      </c>
      <c r="O1836" s="4">
        <v>4.5999999999999999E-2</v>
      </c>
      <c r="P1836" s="1" t="s">
        <v>2721</v>
      </c>
    </row>
    <row r="1837" spans="1:16">
      <c r="A1837" s="1" t="s">
        <v>15</v>
      </c>
      <c r="B1837" s="1">
        <v>11</v>
      </c>
      <c r="C1837" s="1" t="s">
        <v>5713</v>
      </c>
      <c r="D1837" s="1" t="s">
        <v>238</v>
      </c>
      <c r="E1837" s="2">
        <v>45975</v>
      </c>
      <c r="F1837" s="1" t="s">
        <v>239</v>
      </c>
      <c r="G1837" s="1" t="s">
        <v>240</v>
      </c>
      <c r="H1837" s="1" t="s">
        <v>242</v>
      </c>
      <c r="I1837" s="1">
        <v>1</v>
      </c>
      <c r="J1837" s="3">
        <v>11305</v>
      </c>
      <c r="K1837" s="3">
        <v>10787</v>
      </c>
      <c r="L1837" s="1">
        <v>0</v>
      </c>
      <c r="M1837" s="4">
        <v>0</v>
      </c>
      <c r="N1837" s="1">
        <v>518</v>
      </c>
      <c r="O1837" s="4">
        <v>4.5999999999999999E-2</v>
      </c>
      <c r="P1837" s="1" t="s">
        <v>2721</v>
      </c>
    </row>
    <row r="1838" spans="1:16">
      <c r="A1838" s="1" t="s">
        <v>15</v>
      </c>
      <c r="B1838" s="1">
        <v>11</v>
      </c>
      <c r="C1838" s="1" t="s">
        <v>5714</v>
      </c>
      <c r="D1838" s="1" t="s">
        <v>1261</v>
      </c>
      <c r="E1838" s="2">
        <v>45975</v>
      </c>
      <c r="F1838" s="1" t="s">
        <v>33</v>
      </c>
      <c r="G1838" s="1" t="s">
        <v>1262</v>
      </c>
      <c r="H1838" s="1" t="s">
        <v>5715</v>
      </c>
      <c r="I1838" s="1">
        <v>1</v>
      </c>
      <c r="J1838" s="3">
        <v>124948</v>
      </c>
      <c r="K1838" s="3">
        <v>119228</v>
      </c>
      <c r="L1838" s="1">
        <v>0</v>
      </c>
      <c r="M1838" s="4">
        <v>0</v>
      </c>
      <c r="N1838" s="3">
        <v>5720</v>
      </c>
      <c r="O1838" s="4">
        <v>4.5999999999999999E-2</v>
      </c>
      <c r="P1838" s="1" t="s">
        <v>2721</v>
      </c>
    </row>
    <row r="1839" spans="1:16">
      <c r="A1839" s="1" t="s">
        <v>15</v>
      </c>
      <c r="B1839" s="1">
        <v>11</v>
      </c>
      <c r="C1839" s="1" t="s">
        <v>5716</v>
      </c>
      <c r="D1839" s="1" t="s">
        <v>2441</v>
      </c>
      <c r="E1839" s="2">
        <v>45975</v>
      </c>
      <c r="F1839" s="1" t="s">
        <v>2442</v>
      </c>
      <c r="G1839" s="1" t="s">
        <v>2443</v>
      </c>
      <c r="H1839" s="1" t="s">
        <v>2444</v>
      </c>
      <c r="I1839" s="1">
        <v>1</v>
      </c>
      <c r="J1839" s="3">
        <v>14155</v>
      </c>
      <c r="K1839" s="3">
        <v>13507</v>
      </c>
      <c r="L1839" s="1">
        <v>0</v>
      </c>
      <c r="M1839" s="4">
        <v>0</v>
      </c>
      <c r="N1839" s="1">
        <v>648</v>
      </c>
      <c r="O1839" s="4">
        <v>4.5999999999999999E-2</v>
      </c>
      <c r="P1839" s="1" t="s">
        <v>2721</v>
      </c>
    </row>
    <row r="1840" spans="1:16">
      <c r="A1840" s="1" t="s">
        <v>15</v>
      </c>
      <c r="B1840" s="1">
        <v>11</v>
      </c>
      <c r="C1840" s="1" t="s">
        <v>5717</v>
      </c>
      <c r="D1840" s="1" t="s">
        <v>1521</v>
      </c>
      <c r="E1840" s="2">
        <v>45975</v>
      </c>
      <c r="F1840" s="1" t="s">
        <v>235</v>
      </c>
      <c r="G1840" s="1" t="s">
        <v>1522</v>
      </c>
      <c r="H1840" s="1" t="s">
        <v>3204</v>
      </c>
      <c r="I1840" s="1">
        <v>1</v>
      </c>
      <c r="J1840" s="3">
        <v>18555</v>
      </c>
      <c r="K1840" s="3">
        <v>17706</v>
      </c>
      <c r="L1840" s="1">
        <v>0</v>
      </c>
      <c r="M1840" s="4">
        <v>0</v>
      </c>
      <c r="N1840" s="1">
        <v>849</v>
      </c>
      <c r="O1840" s="4">
        <v>4.5999999999999999E-2</v>
      </c>
      <c r="P1840" s="1" t="s">
        <v>2721</v>
      </c>
    </row>
    <row r="1841" spans="1:16">
      <c r="A1841" s="1" t="s">
        <v>15</v>
      </c>
      <c r="B1841" s="1">
        <v>11</v>
      </c>
      <c r="C1841" s="1" t="s">
        <v>5718</v>
      </c>
      <c r="D1841" s="1" t="s">
        <v>482</v>
      </c>
      <c r="E1841" s="2">
        <v>45975</v>
      </c>
      <c r="F1841" s="1" t="s">
        <v>483</v>
      </c>
      <c r="G1841" s="1" t="s">
        <v>484</v>
      </c>
      <c r="H1841" s="1" t="s">
        <v>1610</v>
      </c>
      <c r="I1841" s="1">
        <v>1</v>
      </c>
      <c r="J1841" s="3">
        <v>81098</v>
      </c>
      <c r="K1841" s="3">
        <v>77385</v>
      </c>
      <c r="L1841" s="1">
        <v>0</v>
      </c>
      <c r="M1841" s="4">
        <v>0</v>
      </c>
      <c r="N1841" s="3">
        <v>3713</v>
      </c>
      <c r="O1841" s="4">
        <v>4.5999999999999999E-2</v>
      </c>
      <c r="P1841" s="1" t="s">
        <v>2721</v>
      </c>
    </row>
    <row r="1842" spans="1:16">
      <c r="A1842" s="1" t="s">
        <v>15</v>
      </c>
      <c r="B1842" s="1">
        <v>11</v>
      </c>
      <c r="C1842" s="1" t="s">
        <v>5719</v>
      </c>
      <c r="D1842" s="1" t="s">
        <v>1254</v>
      </c>
      <c r="E1842" s="2">
        <v>45975</v>
      </c>
      <c r="F1842" s="1" t="s">
        <v>1255</v>
      </c>
      <c r="G1842" s="1" t="s">
        <v>1256</v>
      </c>
      <c r="H1842" s="1" t="s">
        <v>4768</v>
      </c>
      <c r="I1842" s="1">
        <v>6</v>
      </c>
      <c r="J1842" s="3">
        <v>297849</v>
      </c>
      <c r="K1842" s="3">
        <v>284214</v>
      </c>
      <c r="L1842" s="1">
        <v>0</v>
      </c>
      <c r="M1842" s="4">
        <v>0</v>
      </c>
      <c r="N1842" s="3">
        <v>13635</v>
      </c>
      <c r="O1842" s="4">
        <v>4.5999999999999999E-2</v>
      </c>
      <c r="P1842" s="1" t="s">
        <v>2721</v>
      </c>
    </row>
    <row r="1843" spans="1:16">
      <c r="A1843" s="1" t="s">
        <v>15</v>
      </c>
      <c r="B1843" s="1">
        <v>11</v>
      </c>
      <c r="C1843" s="1" t="s">
        <v>5720</v>
      </c>
      <c r="D1843" s="1" t="s">
        <v>5721</v>
      </c>
      <c r="E1843" s="2">
        <v>45975</v>
      </c>
      <c r="F1843" s="1" t="s">
        <v>235</v>
      </c>
      <c r="G1843" s="1" t="s">
        <v>5722</v>
      </c>
      <c r="H1843" s="1" t="s">
        <v>5723</v>
      </c>
      <c r="I1843" s="1">
        <v>1</v>
      </c>
      <c r="J1843" s="3">
        <v>10491</v>
      </c>
      <c r="K1843" s="3">
        <v>10010</v>
      </c>
      <c r="L1843" s="1">
        <v>0</v>
      </c>
      <c r="M1843" s="4">
        <v>0</v>
      </c>
      <c r="N1843" s="1">
        <v>481</v>
      </c>
      <c r="O1843" s="4">
        <v>4.5999999999999999E-2</v>
      </c>
      <c r="P1843" s="1" t="s">
        <v>2721</v>
      </c>
    </row>
    <row r="1844" spans="1:16">
      <c r="A1844" s="1" t="s">
        <v>15</v>
      </c>
      <c r="B1844" s="1">
        <v>11</v>
      </c>
      <c r="C1844" s="1" t="s">
        <v>5720</v>
      </c>
      <c r="D1844" s="1" t="s">
        <v>2448</v>
      </c>
      <c r="E1844" s="2">
        <v>45975</v>
      </c>
      <c r="F1844" s="1" t="s">
        <v>235</v>
      </c>
      <c r="G1844" s="1" t="s">
        <v>2449</v>
      </c>
      <c r="H1844" s="1" t="s">
        <v>2450</v>
      </c>
      <c r="I1844" s="1">
        <v>1</v>
      </c>
      <c r="J1844" s="3">
        <v>22019</v>
      </c>
      <c r="K1844" s="3">
        <v>21011</v>
      </c>
      <c r="L1844" s="1">
        <v>0</v>
      </c>
      <c r="M1844" s="4">
        <v>0</v>
      </c>
      <c r="N1844" s="3">
        <v>1008</v>
      </c>
      <c r="O1844" s="4">
        <v>4.5999999999999999E-2</v>
      </c>
      <c r="P1844" s="1" t="s">
        <v>2721</v>
      </c>
    </row>
    <row r="1845" spans="1:16">
      <c r="A1845" s="1" t="s">
        <v>15</v>
      </c>
      <c r="B1845" s="1">
        <v>11</v>
      </c>
      <c r="C1845" s="1" t="s">
        <v>5724</v>
      </c>
      <c r="D1845" s="1" t="s">
        <v>169</v>
      </c>
      <c r="E1845" s="2">
        <v>45975</v>
      </c>
      <c r="F1845" s="1" t="s">
        <v>53</v>
      </c>
      <c r="G1845" s="1" t="s">
        <v>170</v>
      </c>
      <c r="H1845" s="1" t="s">
        <v>171</v>
      </c>
      <c r="I1845" s="1">
        <v>1</v>
      </c>
      <c r="J1845" s="3">
        <v>14332</v>
      </c>
      <c r="K1845" s="3">
        <v>13676</v>
      </c>
      <c r="L1845" s="1">
        <v>0</v>
      </c>
      <c r="M1845" s="4">
        <v>0</v>
      </c>
      <c r="N1845" s="1">
        <v>656</v>
      </c>
      <c r="O1845" s="4">
        <v>4.5999999999999999E-2</v>
      </c>
      <c r="P1845" s="1" t="s">
        <v>2721</v>
      </c>
    </row>
    <row r="1846" spans="1:16">
      <c r="A1846" s="1" t="s">
        <v>15</v>
      </c>
      <c r="B1846" s="1">
        <v>11</v>
      </c>
      <c r="C1846" s="1" t="s">
        <v>5725</v>
      </c>
      <c r="D1846" s="1" t="s">
        <v>224</v>
      </c>
      <c r="E1846" s="2">
        <v>45975</v>
      </c>
      <c r="F1846" s="1" t="s">
        <v>96</v>
      </c>
      <c r="G1846" s="1" t="s">
        <v>225</v>
      </c>
      <c r="H1846" s="1" t="s">
        <v>972</v>
      </c>
      <c r="I1846" s="1">
        <v>1</v>
      </c>
      <c r="J1846" s="3">
        <v>12571</v>
      </c>
      <c r="K1846" s="3">
        <v>11995</v>
      </c>
      <c r="L1846" s="1">
        <v>0</v>
      </c>
      <c r="M1846" s="4">
        <v>0</v>
      </c>
      <c r="N1846" s="1">
        <v>576</v>
      </c>
      <c r="O1846" s="4">
        <v>4.5999999999999999E-2</v>
      </c>
      <c r="P1846" s="1" t="s">
        <v>2721</v>
      </c>
    </row>
    <row r="1847" spans="1:16">
      <c r="A1847" s="1" t="s">
        <v>15</v>
      </c>
      <c r="B1847" s="1">
        <v>11</v>
      </c>
      <c r="C1847" s="1" t="s">
        <v>5726</v>
      </c>
      <c r="D1847" s="1" t="s">
        <v>3197</v>
      </c>
      <c r="E1847" s="2">
        <v>45975</v>
      </c>
      <c r="F1847" s="1" t="s">
        <v>1562</v>
      </c>
      <c r="G1847" s="1" t="s">
        <v>3198</v>
      </c>
      <c r="H1847" s="1" t="s">
        <v>3199</v>
      </c>
      <c r="I1847" s="1">
        <v>1</v>
      </c>
      <c r="J1847" s="3">
        <v>373540</v>
      </c>
      <c r="K1847" s="3">
        <v>356440</v>
      </c>
      <c r="L1847" s="1">
        <v>0</v>
      </c>
      <c r="M1847" s="4">
        <v>0</v>
      </c>
      <c r="N1847" s="3">
        <v>17100</v>
      </c>
      <c r="O1847" s="4">
        <v>4.5999999999999999E-2</v>
      </c>
      <c r="P1847" s="1" t="s">
        <v>2721</v>
      </c>
    </row>
    <row r="1848" spans="1:16">
      <c r="A1848" s="1" t="s">
        <v>15</v>
      </c>
      <c r="B1848" s="1">
        <v>11</v>
      </c>
      <c r="C1848" s="1" t="s">
        <v>5727</v>
      </c>
      <c r="D1848" s="1" t="s">
        <v>52</v>
      </c>
      <c r="E1848" s="2">
        <v>45975</v>
      </c>
      <c r="F1848" s="1" t="s">
        <v>53</v>
      </c>
      <c r="G1848" s="1" t="s">
        <v>54</v>
      </c>
      <c r="H1848" s="1" t="s">
        <v>55</v>
      </c>
      <c r="I1848" s="1">
        <v>1</v>
      </c>
      <c r="J1848" s="3">
        <v>16135</v>
      </c>
      <c r="K1848" s="3">
        <v>15396</v>
      </c>
      <c r="L1848" s="1">
        <v>0</v>
      </c>
      <c r="M1848" s="4">
        <v>0</v>
      </c>
      <c r="N1848" s="1">
        <v>739</v>
      </c>
      <c r="O1848" s="4">
        <v>4.5999999999999999E-2</v>
      </c>
      <c r="P1848" s="1" t="s">
        <v>2721</v>
      </c>
    </row>
    <row r="1849" spans="1:16">
      <c r="A1849" s="1" t="s">
        <v>15</v>
      </c>
      <c r="B1849" s="1">
        <v>11</v>
      </c>
      <c r="C1849" s="1" t="s">
        <v>5728</v>
      </c>
      <c r="D1849" s="1" t="s">
        <v>845</v>
      </c>
      <c r="E1849" s="2">
        <v>45975</v>
      </c>
      <c r="F1849" s="1" t="s">
        <v>846</v>
      </c>
      <c r="G1849" s="1" t="s">
        <v>847</v>
      </c>
      <c r="H1849" s="1" t="s">
        <v>848</v>
      </c>
      <c r="I1849" s="1">
        <v>1</v>
      </c>
      <c r="J1849" s="3">
        <v>112554</v>
      </c>
      <c r="K1849" s="3">
        <v>107401</v>
      </c>
      <c r="L1849" s="1">
        <v>0</v>
      </c>
      <c r="M1849" s="4">
        <v>0</v>
      </c>
      <c r="N1849" s="3">
        <v>5153</v>
      </c>
      <c r="O1849" s="4">
        <v>4.5999999999999999E-2</v>
      </c>
      <c r="P1849" s="1" t="s">
        <v>2721</v>
      </c>
    </row>
    <row r="1850" spans="1:16">
      <c r="A1850" s="1" t="s">
        <v>15</v>
      </c>
      <c r="B1850" s="1">
        <v>11</v>
      </c>
      <c r="C1850" s="1" t="s">
        <v>5729</v>
      </c>
      <c r="D1850" s="1" t="s">
        <v>1275</v>
      </c>
      <c r="E1850" s="2">
        <v>45975</v>
      </c>
      <c r="F1850" s="1" t="s">
        <v>945</v>
      </c>
      <c r="G1850" s="1" t="s">
        <v>1276</v>
      </c>
      <c r="H1850" s="1" t="s">
        <v>5730</v>
      </c>
      <c r="I1850" s="1">
        <v>1</v>
      </c>
      <c r="J1850" s="3">
        <v>16318</v>
      </c>
      <c r="K1850" s="3">
        <v>15571</v>
      </c>
      <c r="L1850" s="1">
        <v>0</v>
      </c>
      <c r="M1850" s="4">
        <v>0</v>
      </c>
      <c r="N1850" s="1">
        <v>747</v>
      </c>
      <c r="O1850" s="4">
        <v>4.5999999999999999E-2</v>
      </c>
      <c r="P1850" s="1" t="s">
        <v>2721</v>
      </c>
    </row>
    <row r="1851" spans="1:16">
      <c r="A1851" s="1" t="s">
        <v>15</v>
      </c>
      <c r="B1851" s="1">
        <v>11</v>
      </c>
      <c r="C1851" s="1" t="s">
        <v>5729</v>
      </c>
      <c r="D1851" s="1" t="s">
        <v>1275</v>
      </c>
      <c r="E1851" s="2">
        <v>45975</v>
      </c>
      <c r="F1851" s="1" t="s">
        <v>945</v>
      </c>
      <c r="G1851" s="1" t="s">
        <v>1276</v>
      </c>
      <c r="H1851" s="1" t="s">
        <v>1277</v>
      </c>
      <c r="I1851" s="1">
        <v>1</v>
      </c>
      <c r="J1851" s="3">
        <v>17203</v>
      </c>
      <c r="K1851" s="3">
        <v>16415</v>
      </c>
      <c r="L1851" s="1">
        <v>0</v>
      </c>
      <c r="M1851" s="4">
        <v>0</v>
      </c>
      <c r="N1851" s="1">
        <v>788</v>
      </c>
      <c r="O1851" s="4">
        <v>4.5999999999999999E-2</v>
      </c>
      <c r="P1851" s="1" t="s">
        <v>2721</v>
      </c>
    </row>
    <row r="1852" spans="1:16">
      <c r="A1852" s="1" t="s">
        <v>15</v>
      </c>
      <c r="B1852" s="1">
        <v>11</v>
      </c>
      <c r="C1852" s="1" t="s">
        <v>5731</v>
      </c>
      <c r="D1852" s="1" t="s">
        <v>1359</v>
      </c>
      <c r="E1852" s="2">
        <v>45975</v>
      </c>
      <c r="F1852" s="1" t="s">
        <v>63</v>
      </c>
      <c r="G1852" s="1" t="s">
        <v>1360</v>
      </c>
      <c r="H1852" s="1" t="s">
        <v>2352</v>
      </c>
      <c r="I1852" s="1">
        <v>1</v>
      </c>
      <c r="J1852" s="3">
        <v>30765</v>
      </c>
      <c r="K1852" s="3">
        <v>29357</v>
      </c>
      <c r="L1852" s="1">
        <v>0</v>
      </c>
      <c r="M1852" s="4">
        <v>0</v>
      </c>
      <c r="N1852" s="3">
        <v>1408</v>
      </c>
      <c r="O1852" s="4">
        <v>4.5999999999999999E-2</v>
      </c>
      <c r="P1852" s="1" t="s">
        <v>2721</v>
      </c>
    </row>
    <row r="1853" spans="1:16">
      <c r="A1853" s="1" t="s">
        <v>15</v>
      </c>
      <c r="B1853" s="1">
        <v>11</v>
      </c>
      <c r="C1853" s="1" t="s">
        <v>5732</v>
      </c>
      <c r="D1853" s="1" t="s">
        <v>5733</v>
      </c>
      <c r="E1853" s="2">
        <v>45975</v>
      </c>
      <c r="F1853" s="1" t="s">
        <v>5734</v>
      </c>
      <c r="G1853" s="1" t="s">
        <v>5735</v>
      </c>
      <c r="H1853" s="1" t="s">
        <v>5736</v>
      </c>
      <c r="I1853" s="1">
        <v>1</v>
      </c>
      <c r="J1853" s="3">
        <v>24772</v>
      </c>
      <c r="K1853" s="3">
        <v>23638</v>
      </c>
      <c r="L1853" s="1">
        <v>0</v>
      </c>
      <c r="M1853" s="4">
        <v>0</v>
      </c>
      <c r="N1853" s="3">
        <v>1134</v>
      </c>
      <c r="O1853" s="4">
        <v>4.5999999999999999E-2</v>
      </c>
      <c r="P1853" s="1" t="s">
        <v>2721</v>
      </c>
    </row>
    <row r="1854" spans="1:16">
      <c r="A1854" s="1" t="s">
        <v>15</v>
      </c>
      <c r="B1854" s="1">
        <v>11</v>
      </c>
      <c r="C1854" s="1" t="s">
        <v>5737</v>
      </c>
      <c r="D1854" s="1" t="s">
        <v>2512</v>
      </c>
      <c r="E1854" s="2">
        <v>45975</v>
      </c>
      <c r="F1854" s="1" t="s">
        <v>395</v>
      </c>
      <c r="G1854" s="1" t="s">
        <v>2513</v>
      </c>
      <c r="H1854" s="1" t="s">
        <v>2514</v>
      </c>
      <c r="I1854" s="1">
        <v>1</v>
      </c>
      <c r="J1854" s="3">
        <v>24575</v>
      </c>
      <c r="K1854" s="3">
        <v>23450</v>
      </c>
      <c r="L1854" s="1">
        <v>0</v>
      </c>
      <c r="M1854" s="4">
        <v>0</v>
      </c>
      <c r="N1854" s="3">
        <v>1125</v>
      </c>
      <c r="O1854" s="4">
        <v>4.5999999999999999E-2</v>
      </c>
      <c r="P1854" s="1" t="s">
        <v>2721</v>
      </c>
    </row>
    <row r="1855" spans="1:16">
      <c r="A1855" s="1" t="s">
        <v>15</v>
      </c>
      <c r="B1855" s="1">
        <v>11</v>
      </c>
      <c r="C1855" s="1" t="s">
        <v>5738</v>
      </c>
      <c r="D1855" s="1" t="s">
        <v>3754</v>
      </c>
      <c r="E1855" s="2">
        <v>45975</v>
      </c>
      <c r="F1855" s="1" t="s">
        <v>63</v>
      </c>
      <c r="G1855" s="1" t="s">
        <v>3755</v>
      </c>
      <c r="H1855" s="1" t="s">
        <v>5522</v>
      </c>
      <c r="I1855" s="1">
        <v>1</v>
      </c>
      <c r="J1855" s="3">
        <v>6580</v>
      </c>
      <c r="K1855" s="3">
        <v>6279</v>
      </c>
      <c r="L1855" s="1">
        <v>0</v>
      </c>
      <c r="M1855" s="4">
        <v>0</v>
      </c>
      <c r="N1855" s="1">
        <v>301</v>
      </c>
      <c r="O1855" s="4">
        <v>4.5999999999999999E-2</v>
      </c>
      <c r="P1855" s="1" t="s">
        <v>2721</v>
      </c>
    </row>
    <row r="1856" spans="1:16">
      <c r="A1856" s="1" t="s">
        <v>15</v>
      </c>
      <c r="B1856" s="1">
        <v>11</v>
      </c>
      <c r="C1856" s="1" t="s">
        <v>5738</v>
      </c>
      <c r="D1856" s="1" t="s">
        <v>2398</v>
      </c>
      <c r="E1856" s="2">
        <v>45975</v>
      </c>
      <c r="F1856" s="1" t="s">
        <v>63</v>
      </c>
      <c r="G1856" s="1" t="s">
        <v>2399</v>
      </c>
      <c r="H1856" s="1" t="s">
        <v>2400</v>
      </c>
      <c r="I1856" s="1">
        <v>1</v>
      </c>
      <c r="J1856" s="3">
        <v>32001</v>
      </c>
      <c r="K1856" s="3">
        <v>30536</v>
      </c>
      <c r="L1856" s="1">
        <v>0</v>
      </c>
      <c r="M1856" s="4">
        <v>0</v>
      </c>
      <c r="N1856" s="3">
        <v>1465</v>
      </c>
      <c r="O1856" s="4">
        <v>4.5999999999999999E-2</v>
      </c>
      <c r="P1856" s="1" t="s">
        <v>2721</v>
      </c>
    </row>
    <row r="1857" spans="1:16">
      <c r="A1857" s="1" t="s">
        <v>15</v>
      </c>
      <c r="B1857" s="1">
        <v>11</v>
      </c>
      <c r="C1857" s="1" t="s">
        <v>5739</v>
      </c>
      <c r="D1857" s="1" t="s">
        <v>32</v>
      </c>
      <c r="E1857" s="2">
        <v>45975</v>
      </c>
      <c r="F1857" s="1" t="s">
        <v>33</v>
      </c>
      <c r="G1857" s="1" t="s">
        <v>34</v>
      </c>
      <c r="H1857" s="1" t="s">
        <v>5740</v>
      </c>
      <c r="I1857" s="1">
        <v>2</v>
      </c>
      <c r="J1857" s="3">
        <v>125275</v>
      </c>
      <c r="K1857" s="3">
        <v>119541</v>
      </c>
      <c r="L1857" s="1">
        <v>0</v>
      </c>
      <c r="M1857" s="4">
        <v>0</v>
      </c>
      <c r="N1857" s="3">
        <v>5734</v>
      </c>
      <c r="O1857" s="4">
        <v>4.5999999999999999E-2</v>
      </c>
      <c r="P1857" s="1" t="s">
        <v>2721</v>
      </c>
    </row>
    <row r="1858" spans="1:16">
      <c r="A1858" s="1" t="s">
        <v>15</v>
      </c>
      <c r="B1858" s="1">
        <v>11</v>
      </c>
      <c r="C1858" s="1" t="s">
        <v>5741</v>
      </c>
      <c r="D1858" s="1" t="s">
        <v>32</v>
      </c>
      <c r="E1858" s="2">
        <v>45975</v>
      </c>
      <c r="F1858" s="1" t="s">
        <v>33</v>
      </c>
      <c r="G1858" s="1" t="s">
        <v>34</v>
      </c>
      <c r="H1858" s="1" t="s">
        <v>5742</v>
      </c>
      <c r="I1858" s="1">
        <v>1</v>
      </c>
      <c r="J1858" s="3">
        <v>94370</v>
      </c>
      <c r="K1858" s="3">
        <v>90050</v>
      </c>
      <c r="L1858" s="1">
        <v>0</v>
      </c>
      <c r="M1858" s="4">
        <v>0</v>
      </c>
      <c r="N1858" s="3">
        <v>4320</v>
      </c>
      <c r="O1858" s="4">
        <v>4.5999999999999999E-2</v>
      </c>
      <c r="P1858" s="1" t="s">
        <v>2721</v>
      </c>
    </row>
    <row r="1859" spans="1:16">
      <c r="A1859" s="1" t="s">
        <v>15</v>
      </c>
      <c r="B1859" s="1">
        <v>11</v>
      </c>
      <c r="C1859" s="1" t="s">
        <v>5743</v>
      </c>
      <c r="D1859" s="1" t="s">
        <v>238</v>
      </c>
      <c r="E1859" s="2">
        <v>45975</v>
      </c>
      <c r="F1859" s="1" t="s">
        <v>239</v>
      </c>
      <c r="G1859" s="1" t="s">
        <v>240</v>
      </c>
      <c r="H1859" s="1" t="s">
        <v>241</v>
      </c>
      <c r="I1859" s="1">
        <v>1</v>
      </c>
      <c r="J1859" s="3">
        <v>11305</v>
      </c>
      <c r="K1859" s="3">
        <v>10787</v>
      </c>
      <c r="L1859" s="1">
        <v>0</v>
      </c>
      <c r="M1859" s="4">
        <v>0</v>
      </c>
      <c r="N1859" s="1">
        <v>518</v>
      </c>
      <c r="O1859" s="4">
        <v>4.5999999999999999E-2</v>
      </c>
      <c r="P1859" s="1" t="s">
        <v>2721</v>
      </c>
    </row>
    <row r="1860" spans="1:16">
      <c r="A1860" s="1" t="s">
        <v>15</v>
      </c>
      <c r="B1860" s="1">
        <v>11</v>
      </c>
      <c r="C1860" s="1" t="s">
        <v>5743</v>
      </c>
      <c r="D1860" s="1" t="s">
        <v>238</v>
      </c>
      <c r="E1860" s="2">
        <v>45975</v>
      </c>
      <c r="F1860" s="1" t="s">
        <v>239</v>
      </c>
      <c r="G1860" s="1" t="s">
        <v>240</v>
      </c>
      <c r="H1860" s="1" t="s">
        <v>242</v>
      </c>
      <c r="I1860" s="1">
        <v>1</v>
      </c>
      <c r="J1860" s="3">
        <v>11305</v>
      </c>
      <c r="K1860" s="3">
        <v>10787</v>
      </c>
      <c r="L1860" s="1">
        <v>0</v>
      </c>
      <c r="M1860" s="4">
        <v>0</v>
      </c>
      <c r="N1860" s="1">
        <v>518</v>
      </c>
      <c r="O1860" s="4">
        <v>4.5999999999999999E-2</v>
      </c>
      <c r="P1860" s="1" t="s">
        <v>2721</v>
      </c>
    </row>
    <row r="1861" spans="1:16">
      <c r="A1861" s="1" t="s">
        <v>15</v>
      </c>
      <c r="B1861" s="1">
        <v>11</v>
      </c>
      <c r="C1861" s="1" t="s">
        <v>5744</v>
      </c>
      <c r="D1861" s="1" t="s">
        <v>4669</v>
      </c>
      <c r="E1861" s="2">
        <v>45975</v>
      </c>
      <c r="F1861" s="1" t="s">
        <v>63</v>
      </c>
      <c r="G1861" s="1" t="s">
        <v>4670</v>
      </c>
      <c r="H1861" s="1" t="s">
        <v>118</v>
      </c>
      <c r="I1861" s="1">
        <v>1</v>
      </c>
      <c r="J1861" s="3">
        <v>18627</v>
      </c>
      <c r="K1861" s="3">
        <v>17774</v>
      </c>
      <c r="L1861" s="1">
        <v>0</v>
      </c>
      <c r="M1861" s="4">
        <v>0</v>
      </c>
      <c r="N1861" s="1">
        <v>853</v>
      </c>
      <c r="O1861" s="4">
        <v>4.5999999999999999E-2</v>
      </c>
      <c r="P1861" s="1" t="s">
        <v>2721</v>
      </c>
    </row>
    <row r="1862" spans="1:16">
      <c r="A1862" s="1" t="s">
        <v>15</v>
      </c>
      <c r="B1862" s="1">
        <v>11</v>
      </c>
      <c r="C1862" s="1" t="s">
        <v>5745</v>
      </c>
      <c r="D1862" s="1" t="s">
        <v>169</v>
      </c>
      <c r="E1862" s="2">
        <v>45975</v>
      </c>
      <c r="F1862" s="1" t="s">
        <v>53</v>
      </c>
      <c r="G1862" s="1" t="s">
        <v>170</v>
      </c>
      <c r="H1862" s="1" t="s">
        <v>171</v>
      </c>
      <c r="I1862" s="1">
        <v>1</v>
      </c>
      <c r="J1862" s="3">
        <v>14332</v>
      </c>
      <c r="K1862" s="3">
        <v>13676</v>
      </c>
      <c r="L1862" s="1">
        <v>0</v>
      </c>
      <c r="M1862" s="4">
        <v>0</v>
      </c>
      <c r="N1862" s="1">
        <v>656</v>
      </c>
      <c r="O1862" s="4">
        <v>4.5999999999999999E-2</v>
      </c>
      <c r="P1862" s="1" t="s">
        <v>2721</v>
      </c>
    </row>
    <row r="1863" spans="1:16">
      <c r="A1863" s="1" t="s">
        <v>15</v>
      </c>
      <c r="B1863" s="1">
        <v>11</v>
      </c>
      <c r="C1863" s="1" t="s">
        <v>5746</v>
      </c>
      <c r="D1863" s="1" t="s">
        <v>5747</v>
      </c>
      <c r="E1863" s="2">
        <v>45975</v>
      </c>
      <c r="F1863" s="1" t="s">
        <v>174</v>
      </c>
      <c r="G1863" s="1" t="s">
        <v>5748</v>
      </c>
      <c r="H1863" s="1" t="s">
        <v>5749</v>
      </c>
      <c r="I1863" s="1">
        <v>1</v>
      </c>
      <c r="J1863" s="3">
        <v>136637</v>
      </c>
      <c r="K1863" s="3">
        <v>130382</v>
      </c>
      <c r="L1863" s="1">
        <v>0</v>
      </c>
      <c r="M1863" s="4">
        <v>0</v>
      </c>
      <c r="N1863" s="3">
        <v>6255</v>
      </c>
      <c r="O1863" s="4">
        <v>4.5999999999999999E-2</v>
      </c>
      <c r="P1863" s="1" t="s">
        <v>2721</v>
      </c>
    </row>
    <row r="1864" spans="1:16">
      <c r="A1864" s="1" t="s">
        <v>15</v>
      </c>
      <c r="B1864" s="1">
        <v>11</v>
      </c>
      <c r="C1864" s="1" t="s">
        <v>5750</v>
      </c>
      <c r="D1864" s="1" t="s">
        <v>5751</v>
      </c>
      <c r="E1864" s="2">
        <v>45975</v>
      </c>
      <c r="F1864" s="1" t="s">
        <v>58</v>
      </c>
      <c r="G1864" s="1" t="s">
        <v>5752</v>
      </c>
      <c r="H1864" s="1" t="s">
        <v>5753</v>
      </c>
      <c r="I1864" s="1">
        <v>1</v>
      </c>
      <c r="J1864" s="3">
        <v>33422</v>
      </c>
      <c r="K1864" s="3">
        <v>31892</v>
      </c>
      <c r="L1864" s="1">
        <v>0</v>
      </c>
      <c r="M1864" s="4">
        <v>0</v>
      </c>
      <c r="N1864" s="3">
        <v>1530</v>
      </c>
      <c r="O1864" s="4">
        <v>4.5999999999999999E-2</v>
      </c>
      <c r="P1864" s="1" t="s">
        <v>2721</v>
      </c>
    </row>
    <row r="1865" spans="1:16">
      <c r="A1865" s="1" t="s">
        <v>15</v>
      </c>
      <c r="B1865" s="1">
        <v>11</v>
      </c>
      <c r="C1865" s="1" t="s">
        <v>5754</v>
      </c>
      <c r="D1865" s="1" t="s">
        <v>5755</v>
      </c>
      <c r="E1865" s="2">
        <v>45975</v>
      </c>
      <c r="F1865" s="1" t="s">
        <v>43</v>
      </c>
      <c r="G1865" s="1" t="s">
        <v>5756</v>
      </c>
      <c r="H1865" s="1" t="s">
        <v>5757</v>
      </c>
      <c r="I1865" s="1">
        <v>1</v>
      </c>
      <c r="J1865" s="3">
        <v>18874</v>
      </c>
      <c r="K1865" s="3">
        <v>18010</v>
      </c>
      <c r="L1865" s="1">
        <v>0</v>
      </c>
      <c r="M1865" s="4">
        <v>0</v>
      </c>
      <c r="N1865" s="1">
        <v>864</v>
      </c>
      <c r="O1865" s="4">
        <v>4.5999999999999999E-2</v>
      </c>
      <c r="P1865" s="1" t="s">
        <v>2721</v>
      </c>
    </row>
    <row r="1866" spans="1:16">
      <c r="A1866" s="1" t="s">
        <v>15</v>
      </c>
      <c r="B1866" s="1">
        <v>11</v>
      </c>
      <c r="C1866" s="1" t="s">
        <v>5758</v>
      </c>
      <c r="D1866" s="1" t="s">
        <v>1177</v>
      </c>
      <c r="E1866" s="2">
        <v>45975</v>
      </c>
      <c r="F1866" s="1" t="s">
        <v>251</v>
      </c>
      <c r="G1866" s="1" t="s">
        <v>1178</v>
      </c>
      <c r="H1866" s="1" t="s">
        <v>1179</v>
      </c>
      <c r="I1866" s="1">
        <v>2</v>
      </c>
      <c r="J1866" s="3">
        <v>42859</v>
      </c>
      <c r="K1866" s="3">
        <v>40897</v>
      </c>
      <c r="L1866" s="1">
        <v>0</v>
      </c>
      <c r="M1866" s="4">
        <v>0</v>
      </c>
      <c r="N1866" s="3">
        <v>1962</v>
      </c>
      <c r="O1866" s="4">
        <v>4.5999999999999999E-2</v>
      </c>
      <c r="P1866" s="1" t="s">
        <v>2721</v>
      </c>
    </row>
    <row r="1867" spans="1:16">
      <c r="A1867" s="1" t="s">
        <v>15</v>
      </c>
      <c r="B1867" s="1">
        <v>11</v>
      </c>
      <c r="C1867" s="1" t="s">
        <v>5759</v>
      </c>
      <c r="D1867" s="1" t="s">
        <v>504</v>
      </c>
      <c r="E1867" s="2">
        <v>45975</v>
      </c>
      <c r="F1867" s="1" t="s">
        <v>407</v>
      </c>
      <c r="G1867" s="1" t="s">
        <v>505</v>
      </c>
      <c r="H1867" s="1" t="s">
        <v>1004</v>
      </c>
      <c r="I1867" s="1">
        <v>1</v>
      </c>
      <c r="J1867" s="3">
        <v>9339</v>
      </c>
      <c r="K1867" s="3">
        <v>8911</v>
      </c>
      <c r="L1867" s="1">
        <v>0</v>
      </c>
      <c r="M1867" s="4">
        <v>0</v>
      </c>
      <c r="N1867" s="1">
        <v>428</v>
      </c>
      <c r="O1867" s="4">
        <v>4.5999999999999999E-2</v>
      </c>
      <c r="P1867" s="1" t="s">
        <v>2721</v>
      </c>
    </row>
    <row r="1868" spans="1:16">
      <c r="A1868" s="1" t="s">
        <v>15</v>
      </c>
      <c r="B1868" s="1">
        <v>11</v>
      </c>
      <c r="C1868" s="1" t="s">
        <v>5760</v>
      </c>
      <c r="D1868" s="1" t="s">
        <v>2398</v>
      </c>
      <c r="E1868" s="2">
        <v>45975</v>
      </c>
      <c r="F1868" s="1" t="s">
        <v>63</v>
      </c>
      <c r="G1868" s="1" t="s">
        <v>2399</v>
      </c>
      <c r="H1868" s="1" t="s">
        <v>2400</v>
      </c>
      <c r="I1868" s="1">
        <v>1</v>
      </c>
      <c r="J1868" s="3">
        <v>32001</v>
      </c>
      <c r="K1868" s="3">
        <v>30536</v>
      </c>
      <c r="L1868" s="1">
        <v>0</v>
      </c>
      <c r="M1868" s="4">
        <v>0</v>
      </c>
      <c r="N1868" s="3">
        <v>1465</v>
      </c>
      <c r="O1868" s="4">
        <v>4.5999999999999999E-2</v>
      </c>
      <c r="P1868" s="1" t="s">
        <v>2721</v>
      </c>
    </row>
    <row r="1869" spans="1:16">
      <c r="A1869" s="1" t="s">
        <v>15</v>
      </c>
      <c r="B1869" s="1">
        <v>11</v>
      </c>
      <c r="C1869" s="1" t="s">
        <v>5761</v>
      </c>
      <c r="D1869" s="1" t="s">
        <v>22</v>
      </c>
      <c r="E1869" s="2">
        <v>45975</v>
      </c>
      <c r="F1869" s="1" t="s">
        <v>23</v>
      </c>
      <c r="G1869" s="1" t="s">
        <v>24</v>
      </c>
      <c r="H1869" s="1" t="s">
        <v>25</v>
      </c>
      <c r="I1869" s="1">
        <v>1</v>
      </c>
      <c r="J1869" s="3">
        <v>11305</v>
      </c>
      <c r="K1869" s="3">
        <v>10787</v>
      </c>
      <c r="L1869" s="1">
        <v>0</v>
      </c>
      <c r="M1869" s="4">
        <v>0</v>
      </c>
      <c r="N1869" s="1">
        <v>518</v>
      </c>
      <c r="O1869" s="4">
        <v>4.5999999999999999E-2</v>
      </c>
      <c r="P1869" s="1" t="s">
        <v>2721</v>
      </c>
    </row>
    <row r="1870" spans="1:16">
      <c r="A1870" s="1" t="s">
        <v>15</v>
      </c>
      <c r="B1870" s="1">
        <v>11</v>
      </c>
      <c r="C1870" s="1" t="s">
        <v>5762</v>
      </c>
      <c r="D1870" s="1" t="s">
        <v>5763</v>
      </c>
      <c r="E1870" s="2">
        <v>45975</v>
      </c>
      <c r="F1870" s="1" t="s">
        <v>251</v>
      </c>
      <c r="G1870" s="1" t="s">
        <v>5764</v>
      </c>
      <c r="H1870" s="1" t="s">
        <v>5765</v>
      </c>
      <c r="I1870" s="1">
        <v>1</v>
      </c>
      <c r="J1870" s="3">
        <v>25558</v>
      </c>
      <c r="K1870" s="3">
        <v>24388</v>
      </c>
      <c r="L1870" s="1">
        <v>0</v>
      </c>
      <c r="M1870" s="4">
        <v>0</v>
      </c>
      <c r="N1870" s="3">
        <v>1170</v>
      </c>
      <c r="O1870" s="4">
        <v>4.5999999999999999E-2</v>
      </c>
      <c r="P1870" s="1" t="s">
        <v>2721</v>
      </c>
    </row>
    <row r="1871" spans="1:16">
      <c r="A1871" s="1" t="s">
        <v>15</v>
      </c>
      <c r="B1871" s="1">
        <v>11</v>
      </c>
      <c r="C1871" s="1" t="s">
        <v>5766</v>
      </c>
      <c r="D1871" s="1" t="s">
        <v>3758</v>
      </c>
      <c r="E1871" s="2">
        <v>45975</v>
      </c>
      <c r="F1871" s="1" t="s">
        <v>68</v>
      </c>
      <c r="G1871" s="1" t="s">
        <v>3759</v>
      </c>
      <c r="H1871" s="1" t="s">
        <v>3760</v>
      </c>
      <c r="I1871" s="1">
        <v>2</v>
      </c>
      <c r="J1871" s="3">
        <v>40224</v>
      </c>
      <c r="K1871" s="3">
        <v>38383</v>
      </c>
      <c r="L1871" s="1">
        <v>0</v>
      </c>
      <c r="M1871" s="4">
        <v>0</v>
      </c>
      <c r="N1871" s="3">
        <v>1841</v>
      </c>
      <c r="O1871" s="4">
        <v>4.5999999999999999E-2</v>
      </c>
      <c r="P1871" s="1" t="s">
        <v>2721</v>
      </c>
    </row>
    <row r="1872" spans="1:16">
      <c r="A1872" s="1" t="s">
        <v>15</v>
      </c>
      <c r="B1872" s="1">
        <v>11</v>
      </c>
      <c r="C1872" s="1" t="s">
        <v>5767</v>
      </c>
      <c r="D1872" s="1" t="s">
        <v>104</v>
      </c>
      <c r="E1872" s="2">
        <v>45975</v>
      </c>
      <c r="F1872" s="1" t="s">
        <v>96</v>
      </c>
      <c r="G1872" s="1" t="s">
        <v>105</v>
      </c>
      <c r="H1872" s="1" t="s">
        <v>106</v>
      </c>
      <c r="I1872" s="1">
        <v>1</v>
      </c>
      <c r="J1872" s="3">
        <v>21614</v>
      </c>
      <c r="K1872" s="3">
        <v>20625</v>
      </c>
      <c r="L1872" s="1">
        <v>0</v>
      </c>
      <c r="M1872" s="4">
        <v>0</v>
      </c>
      <c r="N1872" s="1">
        <v>989</v>
      </c>
      <c r="O1872" s="4">
        <v>4.5999999999999999E-2</v>
      </c>
      <c r="P1872" s="1" t="s">
        <v>2721</v>
      </c>
    </row>
    <row r="1873" spans="1:16">
      <c r="A1873" s="1" t="s">
        <v>15</v>
      </c>
      <c r="B1873" s="1">
        <v>11</v>
      </c>
      <c r="C1873" s="1" t="s">
        <v>5768</v>
      </c>
      <c r="D1873" s="1" t="s">
        <v>132</v>
      </c>
      <c r="E1873" s="2">
        <v>45975</v>
      </c>
      <c r="F1873" s="1" t="s">
        <v>53</v>
      </c>
      <c r="G1873" s="1" t="s">
        <v>133</v>
      </c>
      <c r="H1873" s="1" t="s">
        <v>88</v>
      </c>
      <c r="I1873" s="1">
        <v>2</v>
      </c>
      <c r="J1873" s="3">
        <v>34073</v>
      </c>
      <c r="K1873" s="3">
        <v>32513</v>
      </c>
      <c r="L1873" s="1">
        <v>0</v>
      </c>
      <c r="M1873" s="4">
        <v>0</v>
      </c>
      <c r="N1873" s="3">
        <v>1560</v>
      </c>
      <c r="O1873" s="4">
        <v>4.5999999999999999E-2</v>
      </c>
      <c r="P1873" s="1" t="s">
        <v>2721</v>
      </c>
    </row>
    <row r="1874" spans="1:16">
      <c r="A1874" s="1" t="s">
        <v>15</v>
      </c>
      <c r="B1874" s="1">
        <v>11</v>
      </c>
      <c r="C1874" s="1" t="s">
        <v>5769</v>
      </c>
      <c r="D1874" s="1" t="s">
        <v>228</v>
      </c>
      <c r="E1874" s="2">
        <v>45975</v>
      </c>
      <c r="F1874" s="1" t="s">
        <v>53</v>
      </c>
      <c r="G1874" s="1" t="s">
        <v>229</v>
      </c>
      <c r="H1874" s="1" t="s">
        <v>230</v>
      </c>
      <c r="I1874" s="1">
        <v>1</v>
      </c>
      <c r="J1874" s="3">
        <v>9825</v>
      </c>
      <c r="K1874" s="3">
        <v>9375</v>
      </c>
      <c r="L1874" s="1">
        <v>0</v>
      </c>
      <c r="M1874" s="4">
        <v>0</v>
      </c>
      <c r="N1874" s="1">
        <v>450</v>
      </c>
      <c r="O1874" s="4">
        <v>4.5999999999999999E-2</v>
      </c>
      <c r="P1874" s="1" t="s">
        <v>2721</v>
      </c>
    </row>
    <row r="1875" spans="1:16">
      <c r="A1875" s="1" t="s">
        <v>15</v>
      </c>
      <c r="B1875" s="1">
        <v>11</v>
      </c>
      <c r="C1875" s="1" t="s">
        <v>5770</v>
      </c>
      <c r="D1875" s="1" t="s">
        <v>1088</v>
      </c>
      <c r="E1875" s="2">
        <v>45975</v>
      </c>
      <c r="F1875" s="1" t="s">
        <v>317</v>
      </c>
      <c r="G1875" s="1" t="s">
        <v>1089</v>
      </c>
      <c r="H1875" s="1" t="s">
        <v>1090</v>
      </c>
      <c r="I1875" s="1">
        <v>1</v>
      </c>
      <c r="J1875" s="3">
        <v>39615</v>
      </c>
      <c r="K1875" s="3">
        <v>37801</v>
      </c>
      <c r="L1875" s="1">
        <v>0</v>
      </c>
      <c r="M1875" s="4">
        <v>0</v>
      </c>
      <c r="N1875" s="3">
        <v>1814</v>
      </c>
      <c r="O1875" s="4">
        <v>4.5999999999999999E-2</v>
      </c>
      <c r="P1875" s="1" t="s">
        <v>2721</v>
      </c>
    </row>
    <row r="1876" spans="1:16">
      <c r="A1876" s="1" t="s">
        <v>15</v>
      </c>
      <c r="B1876" s="1">
        <v>11</v>
      </c>
      <c r="C1876" s="1" t="s">
        <v>5771</v>
      </c>
      <c r="D1876" s="1" t="s">
        <v>1226</v>
      </c>
      <c r="E1876" s="2">
        <v>45975</v>
      </c>
      <c r="F1876" s="1" t="s">
        <v>500</v>
      </c>
      <c r="G1876" s="1" t="s">
        <v>1227</v>
      </c>
      <c r="H1876" s="1" t="s">
        <v>1228</v>
      </c>
      <c r="I1876" s="1">
        <v>1</v>
      </c>
      <c r="J1876" s="3">
        <v>265138</v>
      </c>
      <c r="K1876" s="3">
        <v>253000</v>
      </c>
      <c r="L1876" s="1">
        <v>0</v>
      </c>
      <c r="M1876" s="4">
        <v>0</v>
      </c>
      <c r="N1876" s="3">
        <v>12138</v>
      </c>
      <c r="O1876" s="4">
        <v>4.5999999999999999E-2</v>
      </c>
      <c r="P1876" s="1" t="s">
        <v>2721</v>
      </c>
    </row>
    <row r="1877" spans="1:16">
      <c r="A1877" s="1" t="s">
        <v>15</v>
      </c>
      <c r="B1877" s="1">
        <v>11</v>
      </c>
      <c r="C1877" s="1" t="s">
        <v>5772</v>
      </c>
      <c r="D1877" s="1" t="s">
        <v>341</v>
      </c>
      <c r="E1877" s="2">
        <v>45975</v>
      </c>
      <c r="F1877" s="1" t="s">
        <v>53</v>
      </c>
      <c r="G1877" s="1" t="s">
        <v>342</v>
      </c>
      <c r="H1877" s="1" t="s">
        <v>2882</v>
      </c>
      <c r="I1877" s="1">
        <v>1</v>
      </c>
      <c r="J1877" s="3">
        <v>16135</v>
      </c>
      <c r="K1877" s="3">
        <v>15396</v>
      </c>
      <c r="L1877" s="1">
        <v>0</v>
      </c>
      <c r="M1877" s="4">
        <v>0</v>
      </c>
      <c r="N1877" s="1">
        <v>739</v>
      </c>
      <c r="O1877" s="4">
        <v>4.5999999999999999E-2</v>
      </c>
      <c r="P1877" s="1" t="s">
        <v>2721</v>
      </c>
    </row>
    <row r="1878" spans="1:16">
      <c r="A1878" s="1" t="s">
        <v>15</v>
      </c>
      <c r="B1878" s="1">
        <v>11</v>
      </c>
      <c r="C1878" s="1" t="s">
        <v>5773</v>
      </c>
      <c r="D1878" s="1" t="s">
        <v>1026</v>
      </c>
      <c r="E1878" s="2">
        <v>45975</v>
      </c>
      <c r="F1878" s="1" t="s">
        <v>256</v>
      </c>
      <c r="G1878" s="1" t="s">
        <v>1027</v>
      </c>
      <c r="H1878" s="1" t="s">
        <v>2374</v>
      </c>
      <c r="I1878" s="1">
        <v>1</v>
      </c>
      <c r="J1878" s="3">
        <v>12337</v>
      </c>
      <c r="K1878" s="3">
        <v>11772</v>
      </c>
      <c r="L1878" s="1">
        <v>0</v>
      </c>
      <c r="M1878" s="4">
        <v>0</v>
      </c>
      <c r="N1878" s="1">
        <v>565</v>
      </c>
      <c r="O1878" s="4">
        <v>4.5999999999999999E-2</v>
      </c>
      <c r="P1878" s="1" t="s">
        <v>2721</v>
      </c>
    </row>
    <row r="1879" spans="1:16">
      <c r="A1879" s="1" t="s">
        <v>15</v>
      </c>
      <c r="B1879" s="1">
        <v>11</v>
      </c>
      <c r="C1879" s="1" t="s">
        <v>5774</v>
      </c>
      <c r="D1879" s="1" t="s">
        <v>3709</v>
      </c>
      <c r="E1879" s="2">
        <v>45975</v>
      </c>
      <c r="F1879" s="1" t="s">
        <v>3710</v>
      </c>
      <c r="G1879" s="1" t="s">
        <v>3711</v>
      </c>
      <c r="H1879" s="1" t="s">
        <v>5129</v>
      </c>
      <c r="I1879" s="1">
        <v>1</v>
      </c>
      <c r="J1879" s="3">
        <v>31456</v>
      </c>
      <c r="K1879" s="3">
        <v>30016</v>
      </c>
      <c r="L1879" s="1">
        <v>0</v>
      </c>
      <c r="M1879" s="4">
        <v>0</v>
      </c>
      <c r="N1879" s="3">
        <v>1440</v>
      </c>
      <c r="O1879" s="4">
        <v>4.5999999999999999E-2</v>
      </c>
      <c r="P1879" s="1" t="s">
        <v>2721</v>
      </c>
    </row>
    <row r="1880" spans="1:16">
      <c r="A1880" s="1" t="s">
        <v>15</v>
      </c>
      <c r="B1880" s="1">
        <v>11</v>
      </c>
      <c r="C1880" s="1" t="s">
        <v>5775</v>
      </c>
      <c r="D1880" s="1" t="s">
        <v>504</v>
      </c>
      <c r="E1880" s="2">
        <v>45975</v>
      </c>
      <c r="F1880" s="1" t="s">
        <v>407</v>
      </c>
      <c r="G1880" s="1" t="s">
        <v>505</v>
      </c>
      <c r="H1880" s="1" t="s">
        <v>1131</v>
      </c>
      <c r="I1880" s="1">
        <v>1</v>
      </c>
      <c r="J1880" s="3">
        <v>54065</v>
      </c>
      <c r="K1880" s="3">
        <v>51590</v>
      </c>
      <c r="L1880" s="1">
        <v>0</v>
      </c>
      <c r="M1880" s="4">
        <v>0</v>
      </c>
      <c r="N1880" s="3">
        <v>2475</v>
      </c>
      <c r="O1880" s="4">
        <v>4.5999999999999999E-2</v>
      </c>
      <c r="P1880" s="1" t="s">
        <v>2721</v>
      </c>
    </row>
    <row r="1881" spans="1:16">
      <c r="A1881" s="1" t="s">
        <v>15</v>
      </c>
      <c r="B1881" s="1">
        <v>11</v>
      </c>
      <c r="C1881" s="1" t="s">
        <v>5776</v>
      </c>
      <c r="D1881" s="1" t="s">
        <v>5777</v>
      </c>
      <c r="E1881" s="2">
        <v>45975</v>
      </c>
      <c r="F1881" s="1" t="s">
        <v>1271</v>
      </c>
      <c r="G1881" s="1" t="s">
        <v>5778</v>
      </c>
      <c r="H1881" s="1" t="s">
        <v>5779</v>
      </c>
      <c r="I1881" s="1">
        <v>1</v>
      </c>
      <c r="J1881" s="3">
        <v>9830</v>
      </c>
      <c r="K1881" s="3">
        <v>9380</v>
      </c>
      <c r="L1881" s="1">
        <v>0</v>
      </c>
      <c r="M1881" s="4">
        <v>0</v>
      </c>
      <c r="N1881" s="1">
        <v>450</v>
      </c>
      <c r="O1881" s="4">
        <v>4.5999999999999999E-2</v>
      </c>
      <c r="P1881" s="1" t="s">
        <v>2721</v>
      </c>
    </row>
    <row r="1882" spans="1:16">
      <c r="A1882" s="1" t="s">
        <v>15</v>
      </c>
      <c r="B1882" s="1">
        <v>11</v>
      </c>
      <c r="C1882" s="1" t="s">
        <v>5780</v>
      </c>
      <c r="D1882" s="1" t="s">
        <v>238</v>
      </c>
      <c r="E1882" s="2">
        <v>45975</v>
      </c>
      <c r="F1882" s="1" t="s">
        <v>239</v>
      </c>
      <c r="G1882" s="1" t="s">
        <v>240</v>
      </c>
      <c r="H1882" s="1" t="s">
        <v>241</v>
      </c>
      <c r="I1882" s="1">
        <v>1</v>
      </c>
      <c r="J1882" s="3">
        <v>11305</v>
      </c>
      <c r="K1882" s="3">
        <v>10787</v>
      </c>
      <c r="L1882" s="1">
        <v>0</v>
      </c>
      <c r="M1882" s="4">
        <v>0</v>
      </c>
      <c r="N1882" s="1">
        <v>518</v>
      </c>
      <c r="O1882" s="4">
        <v>4.5999999999999999E-2</v>
      </c>
      <c r="P1882" s="1" t="s">
        <v>2721</v>
      </c>
    </row>
    <row r="1883" spans="1:16">
      <c r="A1883" s="1" t="s">
        <v>15</v>
      </c>
      <c r="B1883" s="1">
        <v>11</v>
      </c>
      <c r="C1883" s="1" t="s">
        <v>5781</v>
      </c>
      <c r="D1883" s="1" t="s">
        <v>411</v>
      </c>
      <c r="E1883" s="2">
        <v>45975</v>
      </c>
      <c r="F1883" s="1" t="s">
        <v>312</v>
      </c>
      <c r="G1883" s="1" t="s">
        <v>412</v>
      </c>
      <c r="H1883" s="1" t="s">
        <v>5782</v>
      </c>
      <c r="I1883" s="1">
        <v>1</v>
      </c>
      <c r="J1883" s="3">
        <v>27524</v>
      </c>
      <c r="K1883" s="3">
        <v>26264</v>
      </c>
      <c r="L1883" s="1">
        <v>0</v>
      </c>
      <c r="M1883" s="4">
        <v>0</v>
      </c>
      <c r="N1883" s="3">
        <v>1260</v>
      </c>
      <c r="O1883" s="4">
        <v>4.5999999999999999E-2</v>
      </c>
      <c r="P1883" s="1" t="s">
        <v>2721</v>
      </c>
    </row>
    <row r="1884" spans="1:16">
      <c r="A1884" s="1" t="s">
        <v>15</v>
      </c>
      <c r="B1884" s="1">
        <v>11</v>
      </c>
      <c r="C1884" s="1" t="s">
        <v>5783</v>
      </c>
      <c r="D1884" s="1" t="s">
        <v>2871</v>
      </c>
      <c r="E1884" s="2">
        <v>45975</v>
      </c>
      <c r="F1884" s="1" t="s">
        <v>441</v>
      </c>
      <c r="G1884" s="1" t="s">
        <v>2872</v>
      </c>
      <c r="H1884" s="1" t="s">
        <v>2873</v>
      </c>
      <c r="I1884" s="1">
        <v>1</v>
      </c>
      <c r="J1884" s="3">
        <v>31456</v>
      </c>
      <c r="K1884" s="3">
        <v>30016</v>
      </c>
      <c r="L1884" s="1">
        <v>0</v>
      </c>
      <c r="M1884" s="4">
        <v>0</v>
      </c>
      <c r="N1884" s="3">
        <v>1440</v>
      </c>
      <c r="O1884" s="4">
        <v>4.5999999999999999E-2</v>
      </c>
      <c r="P1884" s="1" t="s">
        <v>2721</v>
      </c>
    </row>
    <row r="1885" spans="1:16">
      <c r="A1885" s="1" t="s">
        <v>15</v>
      </c>
      <c r="B1885" s="1">
        <v>11</v>
      </c>
      <c r="C1885" s="1" t="s">
        <v>5784</v>
      </c>
      <c r="D1885" s="1" t="s">
        <v>4204</v>
      </c>
      <c r="E1885" s="2">
        <v>45975</v>
      </c>
      <c r="F1885" s="1" t="s">
        <v>96</v>
      </c>
      <c r="G1885" s="1" t="s">
        <v>3000</v>
      </c>
      <c r="H1885" s="1" t="s">
        <v>4205</v>
      </c>
      <c r="I1885" s="1">
        <v>1</v>
      </c>
      <c r="J1885" s="3">
        <v>8501</v>
      </c>
      <c r="K1885" s="3">
        <v>8112</v>
      </c>
      <c r="L1885" s="1">
        <v>0</v>
      </c>
      <c r="M1885" s="4">
        <v>0</v>
      </c>
      <c r="N1885" s="1">
        <v>389</v>
      </c>
      <c r="O1885" s="4">
        <v>4.5999999999999999E-2</v>
      </c>
      <c r="P1885" s="1" t="s">
        <v>2721</v>
      </c>
    </row>
    <row r="1886" spans="1:16">
      <c r="A1886" s="1" t="s">
        <v>15</v>
      </c>
      <c r="B1886" s="1">
        <v>11</v>
      </c>
      <c r="C1886" s="1" t="s">
        <v>5785</v>
      </c>
      <c r="D1886" s="1" t="s">
        <v>5786</v>
      </c>
      <c r="E1886" s="2">
        <v>45975</v>
      </c>
      <c r="F1886" s="1" t="s">
        <v>1411</v>
      </c>
      <c r="G1886" s="1" t="s">
        <v>5787</v>
      </c>
      <c r="H1886" s="1" t="s">
        <v>5788</v>
      </c>
      <c r="I1886" s="1">
        <v>1</v>
      </c>
      <c r="J1886" s="3">
        <v>16412</v>
      </c>
      <c r="K1886" s="3">
        <v>15661</v>
      </c>
      <c r="L1886" s="1">
        <v>0</v>
      </c>
      <c r="M1886" s="4">
        <v>0</v>
      </c>
      <c r="N1886" s="1">
        <v>751</v>
      </c>
      <c r="O1886" s="4">
        <v>4.5999999999999999E-2</v>
      </c>
      <c r="P1886" s="1" t="s">
        <v>2721</v>
      </c>
    </row>
    <row r="1887" spans="1:16">
      <c r="A1887" s="1" t="s">
        <v>15</v>
      </c>
      <c r="B1887" s="1">
        <v>11</v>
      </c>
      <c r="C1887" s="1" t="s">
        <v>5789</v>
      </c>
      <c r="D1887" s="1" t="s">
        <v>2392</v>
      </c>
      <c r="E1887" s="2">
        <v>45975</v>
      </c>
      <c r="F1887" s="1" t="s">
        <v>883</v>
      </c>
      <c r="G1887" s="1" t="s">
        <v>2393</v>
      </c>
      <c r="H1887" s="1" t="s">
        <v>2394</v>
      </c>
      <c r="I1887" s="1">
        <v>1</v>
      </c>
      <c r="J1887" s="3">
        <v>11757</v>
      </c>
      <c r="K1887" s="3">
        <v>11218</v>
      </c>
      <c r="L1887" s="1">
        <v>0</v>
      </c>
      <c r="M1887" s="4">
        <v>0</v>
      </c>
      <c r="N1887" s="1">
        <v>539</v>
      </c>
      <c r="O1887" s="4">
        <v>4.5999999999999999E-2</v>
      </c>
      <c r="P1887" s="1" t="s">
        <v>2721</v>
      </c>
    </row>
    <row r="1888" spans="1:16">
      <c r="A1888" s="1" t="s">
        <v>15</v>
      </c>
      <c r="B1888" s="1">
        <v>11</v>
      </c>
      <c r="C1888" s="1" t="s">
        <v>5790</v>
      </c>
      <c r="D1888" s="1" t="s">
        <v>845</v>
      </c>
      <c r="E1888" s="2">
        <v>45975</v>
      </c>
      <c r="F1888" s="1" t="s">
        <v>846</v>
      </c>
      <c r="G1888" s="1" t="s">
        <v>847</v>
      </c>
      <c r="H1888" s="1" t="s">
        <v>848</v>
      </c>
      <c r="I1888" s="1">
        <v>1</v>
      </c>
      <c r="J1888" s="3">
        <v>112554</v>
      </c>
      <c r="K1888" s="3">
        <v>107401</v>
      </c>
      <c r="L1888" s="1">
        <v>0</v>
      </c>
      <c r="M1888" s="4">
        <v>0</v>
      </c>
      <c r="N1888" s="3">
        <v>5153</v>
      </c>
      <c r="O1888" s="4">
        <v>4.5999999999999999E-2</v>
      </c>
      <c r="P1888" s="1" t="s">
        <v>2721</v>
      </c>
    </row>
    <row r="1889" spans="1:16">
      <c r="A1889" s="1" t="s">
        <v>15</v>
      </c>
      <c r="B1889" s="1">
        <v>11</v>
      </c>
      <c r="C1889" s="1" t="s">
        <v>5791</v>
      </c>
      <c r="D1889" s="1" t="s">
        <v>474</v>
      </c>
      <c r="E1889" s="2">
        <v>45975</v>
      </c>
      <c r="F1889" s="1" t="s">
        <v>53</v>
      </c>
      <c r="G1889" s="1" t="s">
        <v>475</v>
      </c>
      <c r="H1889" s="1" t="s">
        <v>476</v>
      </c>
      <c r="I1889" s="1">
        <v>2</v>
      </c>
      <c r="J1889" s="3">
        <v>21453</v>
      </c>
      <c r="K1889" s="3">
        <v>20471</v>
      </c>
      <c r="L1889" s="1">
        <v>0</v>
      </c>
      <c r="M1889" s="4">
        <v>0</v>
      </c>
      <c r="N1889" s="1">
        <v>982</v>
      </c>
      <c r="O1889" s="4">
        <v>4.5999999999999999E-2</v>
      </c>
      <c r="P1889" s="1" t="s">
        <v>2721</v>
      </c>
    </row>
    <row r="1890" spans="1:16">
      <c r="A1890" s="1" t="s">
        <v>15</v>
      </c>
      <c r="B1890" s="1">
        <v>11</v>
      </c>
      <c r="C1890" s="1" t="s">
        <v>5792</v>
      </c>
      <c r="D1890" s="1" t="s">
        <v>2757</v>
      </c>
      <c r="E1890" s="2">
        <v>45975</v>
      </c>
      <c r="F1890" s="1" t="s">
        <v>96</v>
      </c>
      <c r="G1890" s="1" t="s">
        <v>2758</v>
      </c>
      <c r="H1890" s="1" t="s">
        <v>2759</v>
      </c>
      <c r="I1890" s="1">
        <v>1</v>
      </c>
      <c r="J1890" s="3">
        <v>13285</v>
      </c>
      <c r="K1890" s="3">
        <v>12677</v>
      </c>
      <c r="L1890" s="1">
        <v>0</v>
      </c>
      <c r="M1890" s="4">
        <v>0</v>
      </c>
      <c r="N1890" s="1">
        <v>608</v>
      </c>
      <c r="O1890" s="4">
        <v>4.5999999999999999E-2</v>
      </c>
      <c r="P1890" s="1" t="s">
        <v>2721</v>
      </c>
    </row>
    <row r="1891" spans="1:16">
      <c r="A1891" s="1" t="s">
        <v>15</v>
      </c>
      <c r="B1891" s="1">
        <v>11</v>
      </c>
      <c r="C1891" s="1" t="s">
        <v>5792</v>
      </c>
      <c r="D1891" s="1" t="s">
        <v>221</v>
      </c>
      <c r="E1891" s="2">
        <v>45975</v>
      </c>
      <c r="F1891" s="1" t="s">
        <v>96</v>
      </c>
      <c r="G1891" s="1" t="s">
        <v>222</v>
      </c>
      <c r="H1891" s="1" t="s">
        <v>5793</v>
      </c>
      <c r="I1891" s="1">
        <v>1</v>
      </c>
      <c r="J1891" s="3">
        <v>12571</v>
      </c>
      <c r="K1891" s="3">
        <v>11995</v>
      </c>
      <c r="L1891" s="1">
        <v>0</v>
      </c>
      <c r="M1891" s="4">
        <v>0</v>
      </c>
      <c r="N1891" s="1">
        <v>576</v>
      </c>
      <c r="O1891" s="4">
        <v>4.5999999999999999E-2</v>
      </c>
      <c r="P1891" s="1" t="s">
        <v>2721</v>
      </c>
    </row>
    <row r="1892" spans="1:16">
      <c r="A1892" s="1" t="s">
        <v>15</v>
      </c>
      <c r="B1892" s="1">
        <v>11</v>
      </c>
      <c r="C1892" s="1" t="s">
        <v>5792</v>
      </c>
      <c r="D1892" s="1" t="s">
        <v>104</v>
      </c>
      <c r="E1892" s="2">
        <v>45975</v>
      </c>
      <c r="F1892" s="1" t="s">
        <v>96</v>
      </c>
      <c r="G1892" s="1" t="s">
        <v>105</v>
      </c>
      <c r="H1892" s="1" t="s">
        <v>106</v>
      </c>
      <c r="I1892" s="1">
        <v>1</v>
      </c>
      <c r="J1892" s="3">
        <v>21614</v>
      </c>
      <c r="K1892" s="3">
        <v>20625</v>
      </c>
      <c r="L1892" s="1">
        <v>0</v>
      </c>
      <c r="M1892" s="4">
        <v>0</v>
      </c>
      <c r="N1892" s="1">
        <v>989</v>
      </c>
      <c r="O1892" s="4">
        <v>4.5999999999999999E-2</v>
      </c>
      <c r="P1892" s="1" t="s">
        <v>2721</v>
      </c>
    </row>
    <row r="1893" spans="1:16">
      <c r="A1893" s="1" t="s">
        <v>15</v>
      </c>
      <c r="B1893" s="1">
        <v>11</v>
      </c>
      <c r="C1893" s="1" t="s">
        <v>5794</v>
      </c>
      <c r="D1893" s="1" t="s">
        <v>1410</v>
      </c>
      <c r="E1893" s="2">
        <v>45975</v>
      </c>
      <c r="F1893" s="1" t="s">
        <v>1411</v>
      </c>
      <c r="G1893" s="1" t="s">
        <v>1412</v>
      </c>
      <c r="H1893" s="1" t="s">
        <v>1413</v>
      </c>
      <c r="I1893" s="1">
        <v>1</v>
      </c>
      <c r="J1893" s="3">
        <v>15214</v>
      </c>
      <c r="K1893" s="3">
        <v>14517</v>
      </c>
      <c r="L1893" s="1">
        <v>0</v>
      </c>
      <c r="M1893" s="4">
        <v>0</v>
      </c>
      <c r="N1893" s="1">
        <v>697</v>
      </c>
      <c r="O1893" s="4">
        <v>4.5999999999999999E-2</v>
      </c>
      <c r="P1893" s="1" t="s">
        <v>2721</v>
      </c>
    </row>
    <row r="1894" spans="1:16">
      <c r="A1894" s="1" t="s">
        <v>15</v>
      </c>
      <c r="B1894" s="1">
        <v>11</v>
      </c>
      <c r="C1894" s="1" t="s">
        <v>5795</v>
      </c>
      <c r="D1894" s="1" t="s">
        <v>2871</v>
      </c>
      <c r="E1894" s="2">
        <v>45975</v>
      </c>
      <c r="F1894" s="1" t="s">
        <v>441</v>
      </c>
      <c r="G1894" s="1" t="s">
        <v>2872</v>
      </c>
      <c r="H1894" s="1" t="s">
        <v>2873</v>
      </c>
      <c r="I1894" s="1">
        <v>1</v>
      </c>
      <c r="J1894" s="3">
        <v>31456</v>
      </c>
      <c r="K1894" s="3">
        <v>30016</v>
      </c>
      <c r="L1894" s="1">
        <v>0</v>
      </c>
      <c r="M1894" s="4">
        <v>0</v>
      </c>
      <c r="N1894" s="3">
        <v>1440</v>
      </c>
      <c r="O1894" s="4">
        <v>4.5999999999999999E-2</v>
      </c>
      <c r="P1894" s="1" t="s">
        <v>2721</v>
      </c>
    </row>
    <row r="1895" spans="1:16">
      <c r="A1895" s="1" t="s">
        <v>15</v>
      </c>
      <c r="B1895" s="1">
        <v>11</v>
      </c>
      <c r="C1895" s="1" t="s">
        <v>5796</v>
      </c>
      <c r="D1895" s="1" t="s">
        <v>5797</v>
      </c>
      <c r="E1895" s="2">
        <v>45975</v>
      </c>
      <c r="F1895" s="1" t="s">
        <v>554</v>
      </c>
      <c r="G1895" s="1" t="s">
        <v>5798</v>
      </c>
      <c r="H1895" s="1" t="s">
        <v>5799</v>
      </c>
      <c r="I1895" s="1">
        <v>1</v>
      </c>
      <c r="J1895" s="3">
        <v>16269</v>
      </c>
      <c r="K1895" s="3">
        <v>15524</v>
      </c>
      <c r="L1895" s="1">
        <v>0</v>
      </c>
      <c r="M1895" s="4">
        <v>0</v>
      </c>
      <c r="N1895" s="1">
        <v>745</v>
      </c>
      <c r="O1895" s="4">
        <v>4.5999999999999999E-2</v>
      </c>
      <c r="P1895" s="1" t="s">
        <v>2721</v>
      </c>
    </row>
    <row r="1896" spans="1:16">
      <c r="A1896" s="1" t="s">
        <v>15</v>
      </c>
      <c r="B1896" s="1">
        <v>11</v>
      </c>
      <c r="C1896" s="1" t="s">
        <v>5796</v>
      </c>
      <c r="D1896" s="1" t="s">
        <v>5800</v>
      </c>
      <c r="E1896" s="2">
        <v>45975</v>
      </c>
      <c r="F1896" s="1" t="s">
        <v>554</v>
      </c>
      <c r="G1896" s="1" t="s">
        <v>5801</v>
      </c>
      <c r="H1896" s="1" t="s">
        <v>5802</v>
      </c>
      <c r="I1896" s="1">
        <v>1</v>
      </c>
      <c r="J1896" s="3">
        <v>15237</v>
      </c>
      <c r="K1896" s="3">
        <v>14539</v>
      </c>
      <c r="L1896" s="1">
        <v>0</v>
      </c>
      <c r="M1896" s="4">
        <v>0</v>
      </c>
      <c r="N1896" s="1">
        <v>698</v>
      </c>
      <c r="O1896" s="4">
        <v>4.5999999999999999E-2</v>
      </c>
      <c r="P1896" s="1" t="s">
        <v>2721</v>
      </c>
    </row>
    <row r="1897" spans="1:16">
      <c r="A1897" s="1" t="s">
        <v>15</v>
      </c>
      <c r="B1897" s="1">
        <v>11</v>
      </c>
      <c r="C1897" s="1" t="s">
        <v>5803</v>
      </c>
      <c r="D1897" s="1" t="s">
        <v>922</v>
      </c>
      <c r="E1897" s="2">
        <v>45975</v>
      </c>
      <c r="F1897" s="1" t="s">
        <v>126</v>
      </c>
      <c r="G1897" s="1" t="s">
        <v>923</v>
      </c>
      <c r="H1897" s="1" t="s">
        <v>1608</v>
      </c>
      <c r="I1897" s="1">
        <v>1</v>
      </c>
      <c r="J1897" s="3">
        <v>29687</v>
      </c>
      <c r="K1897" s="3">
        <v>28328</v>
      </c>
      <c r="L1897" s="1">
        <v>0</v>
      </c>
      <c r="M1897" s="4">
        <v>0</v>
      </c>
      <c r="N1897" s="3">
        <v>1359</v>
      </c>
      <c r="O1897" s="4">
        <v>4.5999999999999999E-2</v>
      </c>
      <c r="P1897" s="1" t="s">
        <v>2721</v>
      </c>
    </row>
    <row r="1898" spans="1:16">
      <c r="A1898" s="1" t="s">
        <v>15</v>
      </c>
      <c r="B1898" s="1">
        <v>11</v>
      </c>
      <c r="C1898" s="1" t="s">
        <v>5804</v>
      </c>
      <c r="D1898" s="1" t="s">
        <v>499</v>
      </c>
      <c r="E1898" s="2">
        <v>45975</v>
      </c>
      <c r="F1898" s="1" t="s">
        <v>500</v>
      </c>
      <c r="G1898" s="1" t="s">
        <v>501</v>
      </c>
      <c r="H1898" s="1" t="s">
        <v>502</v>
      </c>
      <c r="I1898" s="1">
        <v>1</v>
      </c>
      <c r="J1898" s="3">
        <v>227073</v>
      </c>
      <c r="K1898" s="3">
        <v>216678</v>
      </c>
      <c r="L1898" s="1">
        <v>0</v>
      </c>
      <c r="M1898" s="4">
        <v>0</v>
      </c>
      <c r="N1898" s="3">
        <v>10395</v>
      </c>
      <c r="O1898" s="4">
        <v>4.5999999999999999E-2</v>
      </c>
      <c r="P1898" s="1" t="s">
        <v>2721</v>
      </c>
    </row>
    <row r="1899" spans="1:16">
      <c r="A1899" s="1" t="s">
        <v>15</v>
      </c>
      <c r="B1899" s="1">
        <v>11</v>
      </c>
      <c r="C1899" s="1" t="s">
        <v>5805</v>
      </c>
      <c r="D1899" s="1" t="s">
        <v>1060</v>
      </c>
      <c r="E1899" s="2">
        <v>45975</v>
      </c>
      <c r="F1899" s="1" t="s">
        <v>48</v>
      </c>
      <c r="G1899" s="1" t="s">
        <v>1061</v>
      </c>
      <c r="H1899" s="1" t="s">
        <v>1062</v>
      </c>
      <c r="I1899" s="1">
        <v>2</v>
      </c>
      <c r="J1899" s="3">
        <v>16098</v>
      </c>
      <c r="K1899" s="3">
        <v>15361</v>
      </c>
      <c r="L1899" s="1">
        <v>0</v>
      </c>
      <c r="M1899" s="4">
        <v>0</v>
      </c>
      <c r="N1899" s="1">
        <v>737</v>
      </c>
      <c r="O1899" s="4">
        <v>4.5999999999999999E-2</v>
      </c>
      <c r="P1899" s="1" t="s">
        <v>2721</v>
      </c>
    </row>
    <row r="1900" spans="1:16">
      <c r="A1900" s="1" t="s">
        <v>15</v>
      </c>
      <c r="B1900" s="1">
        <v>11</v>
      </c>
      <c r="C1900" s="1" t="s">
        <v>5806</v>
      </c>
      <c r="D1900" s="1" t="s">
        <v>238</v>
      </c>
      <c r="E1900" s="2">
        <v>45975</v>
      </c>
      <c r="F1900" s="1" t="s">
        <v>239</v>
      </c>
      <c r="G1900" s="1" t="s">
        <v>240</v>
      </c>
      <c r="H1900" s="1" t="s">
        <v>241</v>
      </c>
      <c r="I1900" s="1">
        <v>1</v>
      </c>
      <c r="J1900" s="3">
        <v>11305</v>
      </c>
      <c r="K1900" s="3">
        <v>10787</v>
      </c>
      <c r="L1900" s="1">
        <v>0</v>
      </c>
      <c r="M1900" s="4">
        <v>0</v>
      </c>
      <c r="N1900" s="1">
        <v>518</v>
      </c>
      <c r="O1900" s="4">
        <v>4.5999999999999999E-2</v>
      </c>
      <c r="P1900" s="1" t="s">
        <v>2721</v>
      </c>
    </row>
    <row r="1901" spans="1:16">
      <c r="A1901" s="1" t="s">
        <v>15</v>
      </c>
      <c r="B1901" s="1">
        <v>11</v>
      </c>
      <c r="C1901" s="1" t="s">
        <v>5807</v>
      </c>
      <c r="D1901" s="1" t="s">
        <v>329</v>
      </c>
      <c r="E1901" s="2">
        <v>45975</v>
      </c>
      <c r="F1901" s="1" t="s">
        <v>174</v>
      </c>
      <c r="G1901" s="1" t="s">
        <v>330</v>
      </c>
      <c r="H1901" s="1" t="s">
        <v>331</v>
      </c>
      <c r="I1901" s="1">
        <v>1</v>
      </c>
      <c r="J1901" s="3">
        <v>16711</v>
      </c>
      <c r="K1901" s="3">
        <v>15946</v>
      </c>
      <c r="L1901" s="1">
        <v>0</v>
      </c>
      <c r="M1901" s="4">
        <v>0</v>
      </c>
      <c r="N1901" s="1">
        <v>765</v>
      </c>
      <c r="O1901" s="4">
        <v>4.5999999999999999E-2</v>
      </c>
      <c r="P1901" s="1" t="s">
        <v>2721</v>
      </c>
    </row>
    <row r="1902" spans="1:16">
      <c r="A1902" s="1" t="s">
        <v>15</v>
      </c>
      <c r="B1902" s="1">
        <v>11</v>
      </c>
      <c r="C1902" s="1" t="s">
        <v>5808</v>
      </c>
      <c r="D1902" s="1" t="s">
        <v>394</v>
      </c>
      <c r="E1902" s="2">
        <v>45975</v>
      </c>
      <c r="F1902" s="1" t="s">
        <v>395</v>
      </c>
      <c r="G1902" s="1" t="s">
        <v>396</v>
      </c>
      <c r="H1902" s="1" t="s">
        <v>397</v>
      </c>
      <c r="I1902" s="1">
        <v>1</v>
      </c>
      <c r="J1902" s="3">
        <v>18874</v>
      </c>
      <c r="K1902" s="3">
        <v>18010</v>
      </c>
      <c r="L1902" s="1">
        <v>0</v>
      </c>
      <c r="M1902" s="4">
        <v>0</v>
      </c>
      <c r="N1902" s="1">
        <v>864</v>
      </c>
      <c r="O1902" s="4">
        <v>4.5999999999999999E-2</v>
      </c>
      <c r="P1902" s="1" t="s">
        <v>2721</v>
      </c>
    </row>
    <row r="1903" spans="1:16">
      <c r="A1903" s="1" t="s">
        <v>15</v>
      </c>
      <c r="B1903" s="1">
        <v>11</v>
      </c>
      <c r="C1903" s="1" t="s">
        <v>5809</v>
      </c>
      <c r="D1903" s="1" t="s">
        <v>329</v>
      </c>
      <c r="E1903" s="2">
        <v>45975</v>
      </c>
      <c r="F1903" s="1" t="s">
        <v>174</v>
      </c>
      <c r="G1903" s="1" t="s">
        <v>330</v>
      </c>
      <c r="H1903" s="1" t="s">
        <v>331</v>
      </c>
      <c r="I1903" s="1">
        <v>1</v>
      </c>
      <c r="J1903" s="3">
        <v>16711</v>
      </c>
      <c r="K1903" s="3">
        <v>15946</v>
      </c>
      <c r="L1903" s="1">
        <v>0</v>
      </c>
      <c r="M1903" s="4">
        <v>0</v>
      </c>
      <c r="N1903" s="1">
        <v>765</v>
      </c>
      <c r="O1903" s="4">
        <v>4.5999999999999999E-2</v>
      </c>
      <c r="P1903" s="1" t="s">
        <v>2721</v>
      </c>
    </row>
    <row r="1904" spans="1:16">
      <c r="A1904" s="1" t="s">
        <v>15</v>
      </c>
      <c r="B1904" s="1">
        <v>11</v>
      </c>
      <c r="C1904" s="1" t="s">
        <v>5810</v>
      </c>
      <c r="D1904" s="1" t="s">
        <v>212</v>
      </c>
      <c r="E1904" s="2">
        <v>45975</v>
      </c>
      <c r="F1904" s="1" t="s">
        <v>213</v>
      </c>
      <c r="G1904" s="1" t="s">
        <v>214</v>
      </c>
      <c r="H1904" s="1" t="s">
        <v>3551</v>
      </c>
      <c r="I1904" s="1">
        <v>1</v>
      </c>
      <c r="J1904" s="3">
        <v>29490</v>
      </c>
      <c r="K1904" s="3">
        <v>28140</v>
      </c>
      <c r="L1904" s="1">
        <v>0</v>
      </c>
      <c r="M1904" s="4">
        <v>0</v>
      </c>
      <c r="N1904" s="3">
        <v>1350</v>
      </c>
      <c r="O1904" s="4">
        <v>4.5999999999999999E-2</v>
      </c>
      <c r="P1904" s="1" t="s">
        <v>2721</v>
      </c>
    </row>
    <row r="1905" spans="1:16">
      <c r="A1905" s="1" t="s">
        <v>15</v>
      </c>
      <c r="B1905" s="1">
        <v>11</v>
      </c>
      <c r="C1905" s="1" t="s">
        <v>5811</v>
      </c>
      <c r="D1905" s="1" t="s">
        <v>238</v>
      </c>
      <c r="E1905" s="2">
        <v>45975</v>
      </c>
      <c r="F1905" s="1" t="s">
        <v>239</v>
      </c>
      <c r="G1905" s="1" t="s">
        <v>240</v>
      </c>
      <c r="H1905" s="1" t="s">
        <v>241</v>
      </c>
      <c r="I1905" s="1">
        <v>1</v>
      </c>
      <c r="J1905" s="3">
        <v>11305</v>
      </c>
      <c r="K1905" s="3">
        <v>10787</v>
      </c>
      <c r="L1905" s="1">
        <v>0</v>
      </c>
      <c r="M1905" s="4">
        <v>0</v>
      </c>
      <c r="N1905" s="1">
        <v>518</v>
      </c>
      <c r="O1905" s="4">
        <v>4.5999999999999999E-2</v>
      </c>
      <c r="P1905" s="1" t="s">
        <v>2721</v>
      </c>
    </row>
    <row r="1906" spans="1:16">
      <c r="A1906" s="1" t="s">
        <v>15</v>
      </c>
      <c r="B1906" s="1">
        <v>11</v>
      </c>
      <c r="C1906" s="1" t="s">
        <v>5812</v>
      </c>
      <c r="D1906" s="1" t="s">
        <v>4269</v>
      </c>
      <c r="E1906" s="2">
        <v>45975</v>
      </c>
      <c r="F1906" s="1" t="s">
        <v>261</v>
      </c>
      <c r="G1906" s="1" t="s">
        <v>4270</v>
      </c>
      <c r="H1906" s="1" t="s">
        <v>4270</v>
      </c>
      <c r="I1906" s="1">
        <v>1</v>
      </c>
      <c r="J1906" s="3">
        <v>34405</v>
      </c>
      <c r="K1906" s="3">
        <v>32830</v>
      </c>
      <c r="L1906" s="1">
        <v>0</v>
      </c>
      <c r="M1906" s="4">
        <v>0</v>
      </c>
      <c r="N1906" s="3">
        <v>1575</v>
      </c>
      <c r="O1906" s="4">
        <v>4.5999999999999999E-2</v>
      </c>
      <c r="P1906" s="1" t="s">
        <v>2721</v>
      </c>
    </row>
    <row r="1907" spans="1:16">
      <c r="A1907" s="1" t="s">
        <v>15</v>
      </c>
      <c r="B1907" s="1">
        <v>11</v>
      </c>
      <c r="C1907" s="1" t="s">
        <v>5813</v>
      </c>
      <c r="D1907" s="1" t="s">
        <v>944</v>
      </c>
      <c r="E1907" s="2">
        <v>45975</v>
      </c>
      <c r="F1907" s="1" t="s">
        <v>945</v>
      </c>
      <c r="G1907" s="1" t="s">
        <v>946</v>
      </c>
      <c r="H1907" s="1" t="s">
        <v>4875</v>
      </c>
      <c r="I1907" s="1">
        <v>2</v>
      </c>
      <c r="J1907" s="3">
        <v>31448</v>
      </c>
      <c r="K1907" s="3">
        <v>30008</v>
      </c>
      <c r="L1907" s="1">
        <v>0</v>
      </c>
      <c r="M1907" s="4">
        <v>0</v>
      </c>
      <c r="N1907" s="3">
        <v>1440</v>
      </c>
      <c r="O1907" s="4">
        <v>4.5999999999999999E-2</v>
      </c>
      <c r="P1907" s="1" t="s">
        <v>2721</v>
      </c>
    </row>
    <row r="1908" spans="1:16">
      <c r="A1908" s="1" t="s">
        <v>15</v>
      </c>
      <c r="B1908" s="1">
        <v>11</v>
      </c>
      <c r="C1908" s="1" t="s">
        <v>5814</v>
      </c>
      <c r="D1908" s="1" t="s">
        <v>32</v>
      </c>
      <c r="E1908" s="2">
        <v>45975</v>
      </c>
      <c r="F1908" s="1" t="s">
        <v>33</v>
      </c>
      <c r="G1908" s="1" t="s">
        <v>34</v>
      </c>
      <c r="H1908" s="1" t="s">
        <v>5815</v>
      </c>
      <c r="I1908" s="1">
        <v>1</v>
      </c>
      <c r="J1908" s="3">
        <v>70598</v>
      </c>
      <c r="K1908" s="3">
        <v>67366</v>
      </c>
      <c r="L1908" s="1">
        <v>0</v>
      </c>
      <c r="M1908" s="4">
        <v>0</v>
      </c>
      <c r="N1908" s="3">
        <v>3232</v>
      </c>
      <c r="O1908" s="4">
        <v>4.5999999999999999E-2</v>
      </c>
      <c r="P1908" s="1" t="s">
        <v>2721</v>
      </c>
    </row>
    <row r="1909" spans="1:16">
      <c r="A1909" s="1" t="s">
        <v>15</v>
      </c>
      <c r="B1909" s="1">
        <v>11</v>
      </c>
      <c r="C1909" s="1" t="s">
        <v>5816</v>
      </c>
      <c r="D1909" s="1" t="s">
        <v>238</v>
      </c>
      <c r="E1909" s="2">
        <v>45975</v>
      </c>
      <c r="F1909" s="1" t="s">
        <v>239</v>
      </c>
      <c r="G1909" s="1" t="s">
        <v>240</v>
      </c>
      <c r="H1909" s="1" t="s">
        <v>241</v>
      </c>
      <c r="I1909" s="1">
        <v>1</v>
      </c>
      <c r="J1909" s="3">
        <v>11305</v>
      </c>
      <c r="K1909" s="3">
        <v>10787</v>
      </c>
      <c r="L1909" s="1">
        <v>0</v>
      </c>
      <c r="M1909" s="4">
        <v>0</v>
      </c>
      <c r="N1909" s="1">
        <v>518</v>
      </c>
      <c r="O1909" s="4">
        <v>4.5999999999999999E-2</v>
      </c>
      <c r="P1909" s="1" t="s">
        <v>2721</v>
      </c>
    </row>
    <row r="1910" spans="1:16">
      <c r="A1910" s="1" t="s">
        <v>15</v>
      </c>
      <c r="B1910" s="1">
        <v>11</v>
      </c>
      <c r="C1910" s="1" t="s">
        <v>5816</v>
      </c>
      <c r="D1910" s="1" t="s">
        <v>238</v>
      </c>
      <c r="E1910" s="2">
        <v>45975</v>
      </c>
      <c r="F1910" s="1" t="s">
        <v>239</v>
      </c>
      <c r="G1910" s="1" t="s">
        <v>240</v>
      </c>
      <c r="H1910" s="1" t="s">
        <v>242</v>
      </c>
      <c r="I1910" s="1">
        <v>1</v>
      </c>
      <c r="J1910" s="3">
        <v>11305</v>
      </c>
      <c r="K1910" s="3">
        <v>10787</v>
      </c>
      <c r="L1910" s="1">
        <v>0</v>
      </c>
      <c r="M1910" s="4">
        <v>0</v>
      </c>
      <c r="N1910" s="1">
        <v>518</v>
      </c>
      <c r="O1910" s="4">
        <v>4.5999999999999999E-2</v>
      </c>
      <c r="P1910" s="1" t="s">
        <v>2721</v>
      </c>
    </row>
    <row r="1911" spans="1:16">
      <c r="A1911" s="1" t="s">
        <v>15</v>
      </c>
      <c r="B1911" s="1">
        <v>11</v>
      </c>
      <c r="C1911" s="1" t="s">
        <v>5817</v>
      </c>
      <c r="D1911" s="1" t="s">
        <v>27</v>
      </c>
      <c r="E1911" s="2">
        <v>45975</v>
      </c>
      <c r="F1911" s="1" t="s">
        <v>28</v>
      </c>
      <c r="G1911" s="1" t="s">
        <v>29</v>
      </c>
      <c r="H1911" s="1" t="s">
        <v>352</v>
      </c>
      <c r="I1911" s="1">
        <v>1</v>
      </c>
      <c r="J1911" s="3">
        <v>27033</v>
      </c>
      <c r="K1911" s="3">
        <v>25795</v>
      </c>
      <c r="L1911" s="1">
        <v>0</v>
      </c>
      <c r="M1911" s="4">
        <v>0</v>
      </c>
      <c r="N1911" s="3">
        <v>1238</v>
      </c>
      <c r="O1911" s="4">
        <v>4.5999999999999999E-2</v>
      </c>
      <c r="P1911" s="1" t="s">
        <v>2721</v>
      </c>
    </row>
    <row r="1912" spans="1:16">
      <c r="A1912" s="1" t="s">
        <v>15</v>
      </c>
      <c r="B1912" s="1">
        <v>11</v>
      </c>
      <c r="C1912" s="1" t="s">
        <v>5818</v>
      </c>
      <c r="D1912" s="1" t="s">
        <v>72</v>
      </c>
      <c r="E1912" s="2">
        <v>45975</v>
      </c>
      <c r="F1912" s="1" t="s">
        <v>63</v>
      </c>
      <c r="G1912" s="1" t="s">
        <v>73</v>
      </c>
      <c r="H1912" s="1" t="s">
        <v>74</v>
      </c>
      <c r="I1912" s="1">
        <v>1</v>
      </c>
      <c r="J1912" s="3">
        <v>10456</v>
      </c>
      <c r="K1912" s="3">
        <v>9978</v>
      </c>
      <c r="L1912" s="1">
        <v>0</v>
      </c>
      <c r="M1912" s="4">
        <v>0</v>
      </c>
      <c r="N1912" s="1">
        <v>478</v>
      </c>
      <c r="O1912" s="4">
        <v>4.5999999999999999E-2</v>
      </c>
      <c r="P1912" s="1" t="s">
        <v>2721</v>
      </c>
    </row>
    <row r="1913" spans="1:16">
      <c r="A1913" s="1" t="s">
        <v>15</v>
      </c>
      <c r="B1913" s="1">
        <v>11</v>
      </c>
      <c r="C1913" s="1" t="s">
        <v>5819</v>
      </c>
      <c r="D1913" s="1" t="s">
        <v>2329</v>
      </c>
      <c r="E1913" s="2">
        <v>45975</v>
      </c>
      <c r="F1913" s="1" t="s">
        <v>660</v>
      </c>
      <c r="G1913" s="1" t="s">
        <v>2330</v>
      </c>
      <c r="H1913" s="1" t="s">
        <v>5820</v>
      </c>
      <c r="I1913" s="1">
        <v>1</v>
      </c>
      <c r="J1913" s="3">
        <v>39713</v>
      </c>
      <c r="K1913" s="3">
        <v>37895</v>
      </c>
      <c r="L1913" s="1">
        <v>0</v>
      </c>
      <c r="M1913" s="4">
        <v>0</v>
      </c>
      <c r="N1913" s="3">
        <v>1818</v>
      </c>
      <c r="O1913" s="4">
        <v>4.5999999999999999E-2</v>
      </c>
      <c r="P1913" s="1" t="s">
        <v>2721</v>
      </c>
    </row>
    <row r="1914" spans="1:16">
      <c r="A1914" s="1" t="s">
        <v>15</v>
      </c>
      <c r="B1914" s="1">
        <v>11</v>
      </c>
      <c r="C1914" s="1" t="s">
        <v>5821</v>
      </c>
      <c r="D1914" s="1" t="s">
        <v>5822</v>
      </c>
      <c r="E1914" s="2">
        <v>45975</v>
      </c>
      <c r="F1914" s="1" t="s">
        <v>4061</v>
      </c>
      <c r="G1914" s="1" t="s">
        <v>5823</v>
      </c>
      <c r="H1914" s="1" t="s">
        <v>5824</v>
      </c>
      <c r="I1914" s="1">
        <v>1</v>
      </c>
      <c r="J1914" s="3">
        <v>8749</v>
      </c>
      <c r="K1914" s="3">
        <v>8348</v>
      </c>
      <c r="L1914" s="1">
        <v>0</v>
      </c>
      <c r="M1914" s="4">
        <v>0</v>
      </c>
      <c r="N1914" s="1">
        <v>401</v>
      </c>
      <c r="O1914" s="4">
        <v>4.5999999999999999E-2</v>
      </c>
      <c r="P1914" s="1" t="s">
        <v>2721</v>
      </c>
    </row>
    <row r="1915" spans="1:16">
      <c r="A1915" s="1" t="s">
        <v>15</v>
      </c>
      <c r="B1915" s="1">
        <v>11</v>
      </c>
      <c r="C1915" s="1" t="s">
        <v>5825</v>
      </c>
      <c r="D1915" s="1" t="s">
        <v>482</v>
      </c>
      <c r="E1915" s="2">
        <v>45975</v>
      </c>
      <c r="F1915" s="1" t="s">
        <v>483</v>
      </c>
      <c r="G1915" s="1" t="s">
        <v>484</v>
      </c>
      <c r="H1915" s="1" t="s">
        <v>1777</v>
      </c>
      <c r="I1915" s="1">
        <v>1</v>
      </c>
      <c r="J1915" s="3">
        <v>27426</v>
      </c>
      <c r="K1915" s="3">
        <v>26170</v>
      </c>
      <c r="L1915" s="1">
        <v>0</v>
      </c>
      <c r="M1915" s="4">
        <v>0</v>
      </c>
      <c r="N1915" s="3">
        <v>1256</v>
      </c>
      <c r="O1915" s="4">
        <v>4.5999999999999999E-2</v>
      </c>
      <c r="P1915" s="1" t="s">
        <v>2721</v>
      </c>
    </row>
    <row r="1916" spans="1:16">
      <c r="A1916" s="1" t="s">
        <v>15</v>
      </c>
      <c r="B1916" s="1">
        <v>11</v>
      </c>
      <c r="C1916" s="1" t="s">
        <v>5825</v>
      </c>
      <c r="D1916" s="1" t="s">
        <v>482</v>
      </c>
      <c r="E1916" s="2">
        <v>45975</v>
      </c>
      <c r="F1916" s="1" t="s">
        <v>483</v>
      </c>
      <c r="G1916" s="1" t="s">
        <v>484</v>
      </c>
      <c r="H1916" s="1" t="s">
        <v>1610</v>
      </c>
      <c r="I1916" s="1">
        <v>1</v>
      </c>
      <c r="J1916" s="3">
        <v>81098</v>
      </c>
      <c r="K1916" s="3">
        <v>77385</v>
      </c>
      <c r="L1916" s="1">
        <v>0</v>
      </c>
      <c r="M1916" s="4">
        <v>0</v>
      </c>
      <c r="N1916" s="3">
        <v>3713</v>
      </c>
      <c r="O1916" s="4">
        <v>4.5999999999999999E-2</v>
      </c>
      <c r="P1916" s="1" t="s">
        <v>2721</v>
      </c>
    </row>
    <row r="1917" spans="1:16">
      <c r="A1917" s="1" t="s">
        <v>15</v>
      </c>
      <c r="B1917" s="1">
        <v>11</v>
      </c>
      <c r="C1917" s="1" t="s">
        <v>5826</v>
      </c>
      <c r="D1917" s="1" t="s">
        <v>5827</v>
      </c>
      <c r="E1917" s="2">
        <v>45975</v>
      </c>
      <c r="F1917" s="1" t="s">
        <v>235</v>
      </c>
      <c r="G1917" s="1" t="s">
        <v>5828</v>
      </c>
      <c r="H1917" s="1" t="s">
        <v>5829</v>
      </c>
      <c r="I1917" s="1">
        <v>3</v>
      </c>
      <c r="J1917" s="3">
        <v>36476</v>
      </c>
      <c r="K1917" s="3">
        <v>34806</v>
      </c>
      <c r="L1917" s="1">
        <v>0</v>
      </c>
      <c r="M1917" s="4">
        <v>0</v>
      </c>
      <c r="N1917" s="3">
        <v>1670</v>
      </c>
      <c r="O1917" s="4">
        <v>4.5999999999999999E-2</v>
      </c>
      <c r="P1917" s="1" t="s">
        <v>2721</v>
      </c>
    </row>
    <row r="1918" spans="1:16">
      <c r="A1918" s="1" t="s">
        <v>15</v>
      </c>
      <c r="B1918" s="1">
        <v>11</v>
      </c>
      <c r="C1918" s="1" t="s">
        <v>5830</v>
      </c>
      <c r="D1918" s="1" t="s">
        <v>5831</v>
      </c>
      <c r="E1918" s="2">
        <v>45975</v>
      </c>
      <c r="F1918" s="1" t="s">
        <v>5832</v>
      </c>
      <c r="G1918" s="1" t="s">
        <v>5833</v>
      </c>
      <c r="H1918" s="1" t="s">
        <v>5834</v>
      </c>
      <c r="I1918" s="1">
        <v>1</v>
      </c>
      <c r="J1918" s="3">
        <v>16188</v>
      </c>
      <c r="K1918" s="3">
        <v>15447</v>
      </c>
      <c r="L1918" s="1">
        <v>0</v>
      </c>
      <c r="M1918" s="4">
        <v>0</v>
      </c>
      <c r="N1918" s="1">
        <v>741</v>
      </c>
      <c r="O1918" s="4">
        <v>4.5999999999999999E-2</v>
      </c>
      <c r="P1918" s="1" t="s">
        <v>2721</v>
      </c>
    </row>
    <row r="1919" spans="1:16">
      <c r="A1919" s="1" t="s">
        <v>15</v>
      </c>
      <c r="B1919" s="1">
        <v>11</v>
      </c>
      <c r="C1919" s="1" t="s">
        <v>5835</v>
      </c>
      <c r="D1919" s="1" t="s">
        <v>5187</v>
      </c>
      <c r="E1919" s="2">
        <v>45975</v>
      </c>
      <c r="F1919" s="1" t="s">
        <v>151</v>
      </c>
      <c r="G1919" s="1" t="s">
        <v>5188</v>
      </c>
      <c r="H1919" s="1" t="s">
        <v>5188</v>
      </c>
      <c r="I1919" s="1">
        <v>1</v>
      </c>
      <c r="J1919" s="3">
        <v>24575</v>
      </c>
      <c r="K1919" s="3">
        <v>23450</v>
      </c>
      <c r="L1919" s="1">
        <v>0</v>
      </c>
      <c r="M1919" s="4">
        <v>0</v>
      </c>
      <c r="N1919" s="3">
        <v>1125</v>
      </c>
      <c r="O1919" s="4">
        <v>4.5999999999999999E-2</v>
      </c>
      <c r="P1919" s="1" t="s">
        <v>2721</v>
      </c>
    </row>
    <row r="1920" spans="1:16">
      <c r="A1920" s="1" t="s">
        <v>15</v>
      </c>
      <c r="B1920" s="1">
        <v>11</v>
      </c>
      <c r="C1920" s="1" t="s">
        <v>5836</v>
      </c>
      <c r="D1920" s="1" t="s">
        <v>27</v>
      </c>
      <c r="E1920" s="2">
        <v>45975</v>
      </c>
      <c r="F1920" s="1" t="s">
        <v>28</v>
      </c>
      <c r="G1920" s="1" t="s">
        <v>29</v>
      </c>
      <c r="H1920" s="1" t="s">
        <v>352</v>
      </c>
      <c r="I1920" s="1">
        <v>1</v>
      </c>
      <c r="J1920" s="3">
        <v>27033</v>
      </c>
      <c r="K1920" s="3">
        <v>25795</v>
      </c>
      <c r="L1920" s="1">
        <v>0</v>
      </c>
      <c r="M1920" s="4">
        <v>0</v>
      </c>
      <c r="N1920" s="3">
        <v>1238</v>
      </c>
      <c r="O1920" s="4">
        <v>4.5999999999999999E-2</v>
      </c>
      <c r="P1920" s="1" t="s">
        <v>2721</v>
      </c>
    </row>
    <row r="1921" spans="1:16">
      <c r="A1921" s="1" t="s">
        <v>15</v>
      </c>
      <c r="B1921" s="1">
        <v>11</v>
      </c>
      <c r="C1921" s="1" t="s">
        <v>5837</v>
      </c>
      <c r="D1921" s="1" t="s">
        <v>165</v>
      </c>
      <c r="E1921" s="2">
        <v>45975</v>
      </c>
      <c r="F1921" s="1" t="s">
        <v>48</v>
      </c>
      <c r="G1921" s="1" t="s">
        <v>166</v>
      </c>
      <c r="H1921" s="1" t="s">
        <v>167</v>
      </c>
      <c r="I1921" s="1">
        <v>1</v>
      </c>
      <c r="J1921" s="3">
        <v>31562</v>
      </c>
      <c r="K1921" s="3">
        <v>30117</v>
      </c>
      <c r="L1921" s="1">
        <v>0</v>
      </c>
      <c r="M1921" s="4">
        <v>0</v>
      </c>
      <c r="N1921" s="3">
        <v>1445</v>
      </c>
      <c r="O1921" s="4">
        <v>4.5999999999999999E-2</v>
      </c>
      <c r="P1921" s="1" t="s">
        <v>2721</v>
      </c>
    </row>
    <row r="1922" spans="1:16">
      <c r="A1922" s="1" t="s">
        <v>15</v>
      </c>
      <c r="B1922" s="1">
        <v>11</v>
      </c>
      <c r="C1922" s="1" t="s">
        <v>5838</v>
      </c>
      <c r="D1922" s="1" t="s">
        <v>777</v>
      </c>
      <c r="E1922" s="2">
        <v>45975</v>
      </c>
      <c r="F1922" s="1" t="s">
        <v>256</v>
      </c>
      <c r="G1922" s="1" t="s">
        <v>778</v>
      </c>
      <c r="H1922" s="1" t="s">
        <v>779</v>
      </c>
      <c r="I1922" s="1">
        <v>1</v>
      </c>
      <c r="J1922" s="3">
        <v>11010</v>
      </c>
      <c r="K1922" s="3">
        <v>10506</v>
      </c>
      <c r="L1922" s="1">
        <v>0</v>
      </c>
      <c r="M1922" s="4">
        <v>0</v>
      </c>
      <c r="N1922" s="1">
        <v>504</v>
      </c>
      <c r="O1922" s="4">
        <v>4.5999999999999999E-2</v>
      </c>
      <c r="P1922" s="1" t="s">
        <v>2721</v>
      </c>
    </row>
    <row r="1923" spans="1:16">
      <c r="A1923" s="1" t="s">
        <v>15</v>
      </c>
      <c r="B1923" s="1">
        <v>11</v>
      </c>
      <c r="C1923" s="1" t="s">
        <v>5839</v>
      </c>
      <c r="D1923" s="1" t="s">
        <v>228</v>
      </c>
      <c r="E1923" s="2">
        <v>45975</v>
      </c>
      <c r="F1923" s="1" t="s">
        <v>53</v>
      </c>
      <c r="G1923" s="1" t="s">
        <v>229</v>
      </c>
      <c r="H1923" s="1" t="s">
        <v>230</v>
      </c>
      <c r="I1923" s="1">
        <v>1</v>
      </c>
      <c r="J1923" s="3">
        <v>9825</v>
      </c>
      <c r="K1923" s="3">
        <v>9375</v>
      </c>
      <c r="L1923" s="1">
        <v>0</v>
      </c>
      <c r="M1923" s="4">
        <v>0</v>
      </c>
      <c r="N1923" s="1">
        <v>450</v>
      </c>
      <c r="O1923" s="4">
        <v>4.5999999999999999E-2</v>
      </c>
      <c r="P1923" s="1" t="s">
        <v>2721</v>
      </c>
    </row>
    <row r="1924" spans="1:16">
      <c r="A1924" s="1" t="s">
        <v>15</v>
      </c>
      <c r="B1924" s="1">
        <v>11</v>
      </c>
      <c r="C1924" s="1" t="s">
        <v>5840</v>
      </c>
      <c r="D1924" s="1" t="s">
        <v>504</v>
      </c>
      <c r="E1924" s="2">
        <v>45975</v>
      </c>
      <c r="F1924" s="1" t="s">
        <v>407</v>
      </c>
      <c r="G1924" s="1" t="s">
        <v>505</v>
      </c>
      <c r="H1924" s="1" t="s">
        <v>1334</v>
      </c>
      <c r="I1924" s="1">
        <v>1</v>
      </c>
      <c r="J1924" s="3">
        <v>8552</v>
      </c>
      <c r="K1924" s="3">
        <v>8161</v>
      </c>
      <c r="L1924" s="1">
        <v>0</v>
      </c>
      <c r="M1924" s="4">
        <v>0</v>
      </c>
      <c r="N1924" s="1">
        <v>391</v>
      </c>
      <c r="O1924" s="4">
        <v>4.5999999999999999E-2</v>
      </c>
      <c r="P1924" s="1" t="s">
        <v>2721</v>
      </c>
    </row>
    <row r="1925" spans="1:16">
      <c r="A1925" s="1" t="s">
        <v>15</v>
      </c>
      <c r="B1925" s="1">
        <v>11</v>
      </c>
      <c r="C1925" s="1" t="s">
        <v>5841</v>
      </c>
      <c r="D1925" s="1" t="s">
        <v>1049</v>
      </c>
      <c r="E1925" s="2">
        <v>45975</v>
      </c>
      <c r="F1925" s="1" t="s">
        <v>469</v>
      </c>
      <c r="G1925" s="1" t="s">
        <v>1050</v>
      </c>
      <c r="H1925" s="1" t="s">
        <v>1117</v>
      </c>
      <c r="I1925" s="1">
        <v>1</v>
      </c>
      <c r="J1925" s="3">
        <v>15728</v>
      </c>
      <c r="K1925" s="3">
        <v>15008</v>
      </c>
      <c r="L1925" s="1">
        <v>0</v>
      </c>
      <c r="M1925" s="4">
        <v>0</v>
      </c>
      <c r="N1925" s="1">
        <v>720</v>
      </c>
      <c r="O1925" s="4">
        <v>4.5999999999999999E-2</v>
      </c>
      <c r="P1925" s="1" t="s">
        <v>2721</v>
      </c>
    </row>
    <row r="1926" spans="1:16">
      <c r="A1926" s="1" t="s">
        <v>15</v>
      </c>
      <c r="B1926" s="1">
        <v>11</v>
      </c>
      <c r="C1926" s="1" t="s">
        <v>5842</v>
      </c>
      <c r="D1926" s="1" t="s">
        <v>411</v>
      </c>
      <c r="E1926" s="2">
        <v>45975</v>
      </c>
      <c r="F1926" s="1" t="s">
        <v>312</v>
      </c>
      <c r="G1926" s="1" t="s">
        <v>412</v>
      </c>
      <c r="H1926" s="1" t="s">
        <v>413</v>
      </c>
      <c r="I1926" s="1">
        <v>1</v>
      </c>
      <c r="J1926" s="3">
        <v>27524</v>
      </c>
      <c r="K1926" s="3">
        <v>26264</v>
      </c>
      <c r="L1926" s="1">
        <v>0</v>
      </c>
      <c r="M1926" s="4">
        <v>0</v>
      </c>
      <c r="N1926" s="3">
        <v>1260</v>
      </c>
      <c r="O1926" s="4">
        <v>4.5999999999999999E-2</v>
      </c>
      <c r="P1926" s="1" t="s">
        <v>2721</v>
      </c>
    </row>
    <row r="1927" spans="1:16">
      <c r="A1927" s="1" t="s">
        <v>15</v>
      </c>
      <c r="B1927" s="1">
        <v>11</v>
      </c>
      <c r="C1927" s="1" t="s">
        <v>5842</v>
      </c>
      <c r="D1927" s="1" t="s">
        <v>411</v>
      </c>
      <c r="E1927" s="2">
        <v>45975</v>
      </c>
      <c r="F1927" s="1" t="s">
        <v>312</v>
      </c>
      <c r="G1927" s="1" t="s">
        <v>412</v>
      </c>
      <c r="H1927" s="1" t="s">
        <v>5843</v>
      </c>
      <c r="I1927" s="1">
        <v>1</v>
      </c>
      <c r="J1927" s="3">
        <v>27524</v>
      </c>
      <c r="K1927" s="3">
        <v>26264</v>
      </c>
      <c r="L1927" s="1">
        <v>0</v>
      </c>
      <c r="M1927" s="4">
        <v>0</v>
      </c>
      <c r="N1927" s="3">
        <v>1260</v>
      </c>
      <c r="O1927" s="4">
        <v>4.5999999999999999E-2</v>
      </c>
      <c r="P1927" s="1" t="s">
        <v>2721</v>
      </c>
    </row>
    <row r="1928" spans="1:16">
      <c r="A1928" s="1" t="s">
        <v>15</v>
      </c>
      <c r="B1928" s="1">
        <v>11</v>
      </c>
      <c r="C1928" s="1" t="s">
        <v>5844</v>
      </c>
      <c r="D1928" s="1" t="s">
        <v>169</v>
      </c>
      <c r="E1928" s="2">
        <v>45975</v>
      </c>
      <c r="F1928" s="1" t="s">
        <v>53</v>
      </c>
      <c r="G1928" s="1" t="s">
        <v>170</v>
      </c>
      <c r="H1928" s="1" t="s">
        <v>171</v>
      </c>
      <c r="I1928" s="1">
        <v>1</v>
      </c>
      <c r="J1928" s="3">
        <v>14332</v>
      </c>
      <c r="K1928" s="3">
        <v>13676</v>
      </c>
      <c r="L1928" s="1">
        <v>0</v>
      </c>
      <c r="M1928" s="4">
        <v>0</v>
      </c>
      <c r="N1928" s="1">
        <v>656</v>
      </c>
      <c r="O1928" s="4">
        <v>4.5999999999999999E-2</v>
      </c>
      <c r="P1928" s="1" t="s">
        <v>2721</v>
      </c>
    </row>
    <row r="1929" spans="1:16">
      <c r="A1929" s="1" t="s">
        <v>15</v>
      </c>
      <c r="B1929" s="1">
        <v>11</v>
      </c>
      <c r="C1929" s="1" t="s">
        <v>5845</v>
      </c>
      <c r="D1929" s="1" t="s">
        <v>865</v>
      </c>
      <c r="E1929" s="2">
        <v>45975</v>
      </c>
      <c r="F1929" s="1" t="s">
        <v>334</v>
      </c>
      <c r="G1929" s="1" t="s">
        <v>866</v>
      </c>
      <c r="H1929" s="1" t="s">
        <v>5846</v>
      </c>
      <c r="I1929" s="1">
        <v>1</v>
      </c>
      <c r="J1929" s="3">
        <v>9044</v>
      </c>
      <c r="K1929" s="3">
        <v>8630</v>
      </c>
      <c r="L1929" s="1">
        <v>0</v>
      </c>
      <c r="M1929" s="4">
        <v>0</v>
      </c>
      <c r="N1929" s="1">
        <v>414</v>
      </c>
      <c r="O1929" s="4">
        <v>4.5999999999999999E-2</v>
      </c>
      <c r="P1929" s="1" t="s">
        <v>2721</v>
      </c>
    </row>
    <row r="1930" spans="1:16">
      <c r="A1930" s="1" t="s">
        <v>15</v>
      </c>
      <c r="B1930" s="1">
        <v>11</v>
      </c>
      <c r="C1930" s="1" t="s">
        <v>5847</v>
      </c>
      <c r="D1930" s="1" t="s">
        <v>291</v>
      </c>
      <c r="E1930" s="2">
        <v>45975</v>
      </c>
      <c r="F1930" s="1" t="s">
        <v>292</v>
      </c>
      <c r="G1930" s="1" t="s">
        <v>293</v>
      </c>
      <c r="H1930" s="1" t="s">
        <v>1231</v>
      </c>
      <c r="I1930" s="1">
        <v>1</v>
      </c>
      <c r="J1930" s="3">
        <v>13271</v>
      </c>
      <c r="K1930" s="3">
        <v>12663</v>
      </c>
      <c r="L1930" s="1">
        <v>0</v>
      </c>
      <c r="M1930" s="4">
        <v>0</v>
      </c>
      <c r="N1930" s="1">
        <v>608</v>
      </c>
      <c r="O1930" s="4">
        <v>4.5999999999999999E-2</v>
      </c>
      <c r="P1930" s="1" t="s">
        <v>2721</v>
      </c>
    </row>
    <row r="1931" spans="1:16">
      <c r="A1931" s="1" t="s">
        <v>15</v>
      </c>
      <c r="B1931" s="1">
        <v>11</v>
      </c>
      <c r="C1931" s="1" t="s">
        <v>5848</v>
      </c>
      <c r="D1931" s="1" t="s">
        <v>504</v>
      </c>
      <c r="E1931" s="2">
        <v>45975</v>
      </c>
      <c r="F1931" s="1" t="s">
        <v>407</v>
      </c>
      <c r="G1931" s="1" t="s">
        <v>505</v>
      </c>
      <c r="H1931" s="1" t="s">
        <v>1322</v>
      </c>
      <c r="I1931" s="1">
        <v>1</v>
      </c>
      <c r="J1931" s="3">
        <v>23592</v>
      </c>
      <c r="K1931" s="3">
        <v>22512</v>
      </c>
      <c r="L1931" s="1">
        <v>0</v>
      </c>
      <c r="M1931" s="4">
        <v>0</v>
      </c>
      <c r="N1931" s="3">
        <v>1080</v>
      </c>
      <c r="O1931" s="4">
        <v>4.5999999999999999E-2</v>
      </c>
      <c r="P1931" s="1" t="s">
        <v>2721</v>
      </c>
    </row>
    <row r="1932" spans="1:16">
      <c r="A1932" s="1" t="s">
        <v>15</v>
      </c>
      <c r="B1932" s="1">
        <v>11</v>
      </c>
      <c r="C1932" s="1" t="s">
        <v>5849</v>
      </c>
      <c r="D1932" s="1" t="s">
        <v>5850</v>
      </c>
      <c r="E1932" s="2">
        <v>45975</v>
      </c>
      <c r="F1932" s="1" t="s">
        <v>1271</v>
      </c>
      <c r="G1932" s="1" t="s">
        <v>5851</v>
      </c>
      <c r="H1932" s="1" t="s">
        <v>5852</v>
      </c>
      <c r="I1932" s="1">
        <v>1</v>
      </c>
      <c r="J1932" s="3">
        <v>28507</v>
      </c>
      <c r="K1932" s="3">
        <v>27202</v>
      </c>
      <c r="L1932" s="1">
        <v>0</v>
      </c>
      <c r="M1932" s="4">
        <v>0</v>
      </c>
      <c r="N1932" s="3">
        <v>1305</v>
      </c>
      <c r="O1932" s="4">
        <v>4.5999999999999999E-2</v>
      </c>
      <c r="P1932" s="1" t="s">
        <v>2721</v>
      </c>
    </row>
    <row r="1933" spans="1:16">
      <c r="A1933" s="1" t="s">
        <v>15</v>
      </c>
      <c r="B1933" s="1">
        <v>11</v>
      </c>
      <c r="C1933" s="1" t="s">
        <v>5853</v>
      </c>
      <c r="D1933" s="1" t="s">
        <v>169</v>
      </c>
      <c r="E1933" s="2">
        <v>45975</v>
      </c>
      <c r="F1933" s="1" t="s">
        <v>53</v>
      </c>
      <c r="G1933" s="1" t="s">
        <v>170</v>
      </c>
      <c r="H1933" s="1" t="s">
        <v>171</v>
      </c>
      <c r="I1933" s="1">
        <v>1</v>
      </c>
      <c r="J1933" s="3">
        <v>14332</v>
      </c>
      <c r="K1933" s="3">
        <v>13676</v>
      </c>
      <c r="L1933" s="1">
        <v>0</v>
      </c>
      <c r="M1933" s="4">
        <v>0</v>
      </c>
      <c r="N1933" s="1">
        <v>656</v>
      </c>
      <c r="O1933" s="4">
        <v>4.5999999999999999E-2</v>
      </c>
      <c r="P1933" s="1" t="s">
        <v>2721</v>
      </c>
    </row>
    <row r="1934" spans="1:16">
      <c r="A1934" s="1" t="s">
        <v>15</v>
      </c>
      <c r="B1934" s="1">
        <v>11</v>
      </c>
      <c r="C1934" s="1" t="s">
        <v>5854</v>
      </c>
      <c r="D1934" s="1" t="s">
        <v>72</v>
      </c>
      <c r="E1934" s="2">
        <v>45975</v>
      </c>
      <c r="F1934" s="1" t="s">
        <v>63</v>
      </c>
      <c r="G1934" s="1" t="s">
        <v>73</v>
      </c>
      <c r="H1934" s="1" t="s">
        <v>74</v>
      </c>
      <c r="I1934" s="1">
        <v>1</v>
      </c>
      <c r="J1934" s="3">
        <v>10456</v>
      </c>
      <c r="K1934" s="3">
        <v>9978</v>
      </c>
      <c r="L1934" s="1">
        <v>0</v>
      </c>
      <c r="M1934" s="4">
        <v>0</v>
      </c>
      <c r="N1934" s="1">
        <v>478</v>
      </c>
      <c r="O1934" s="4">
        <v>4.5999999999999999E-2</v>
      </c>
      <c r="P1934" s="1" t="s">
        <v>2721</v>
      </c>
    </row>
    <row r="1935" spans="1:16">
      <c r="A1935" s="1" t="s">
        <v>15</v>
      </c>
      <c r="B1935" s="1">
        <v>11</v>
      </c>
      <c r="C1935" s="1" t="s">
        <v>5855</v>
      </c>
      <c r="D1935" s="1" t="s">
        <v>482</v>
      </c>
      <c r="E1935" s="2">
        <v>45975</v>
      </c>
      <c r="F1935" s="1" t="s">
        <v>483</v>
      </c>
      <c r="G1935" s="1" t="s">
        <v>484</v>
      </c>
      <c r="H1935" s="1" t="s">
        <v>485</v>
      </c>
      <c r="I1935" s="1">
        <v>1</v>
      </c>
      <c r="J1935" s="3">
        <v>16501</v>
      </c>
      <c r="K1935" s="3">
        <v>15745</v>
      </c>
      <c r="L1935" s="1">
        <v>0</v>
      </c>
      <c r="M1935" s="4">
        <v>0</v>
      </c>
      <c r="N1935" s="1">
        <v>756</v>
      </c>
      <c r="O1935" s="4">
        <v>4.5999999999999999E-2</v>
      </c>
      <c r="P1935" s="1" t="s">
        <v>2721</v>
      </c>
    </row>
    <row r="1936" spans="1:16">
      <c r="A1936" s="1" t="s">
        <v>15</v>
      </c>
      <c r="B1936" s="1">
        <v>11</v>
      </c>
      <c r="C1936" s="1" t="s">
        <v>5856</v>
      </c>
      <c r="D1936" s="1" t="s">
        <v>116</v>
      </c>
      <c r="E1936" s="2">
        <v>45975</v>
      </c>
      <c r="F1936" s="1" t="s">
        <v>63</v>
      </c>
      <c r="G1936" s="1" t="s">
        <v>117</v>
      </c>
      <c r="H1936" s="1" t="s">
        <v>139</v>
      </c>
      <c r="I1936" s="1">
        <v>1</v>
      </c>
      <c r="J1936" s="3">
        <v>15422</v>
      </c>
      <c r="K1936" s="3">
        <v>14716</v>
      </c>
      <c r="L1936" s="1">
        <v>0</v>
      </c>
      <c r="M1936" s="4">
        <v>0</v>
      </c>
      <c r="N1936" s="1">
        <v>706</v>
      </c>
      <c r="O1936" s="4">
        <v>4.5999999999999999E-2</v>
      </c>
      <c r="P1936" s="1" t="s">
        <v>2721</v>
      </c>
    </row>
    <row r="1937" spans="1:16">
      <c r="A1937" s="1" t="s">
        <v>577</v>
      </c>
      <c r="B1937" s="1">
        <v>11</v>
      </c>
      <c r="C1937" s="1" t="s">
        <v>5857</v>
      </c>
      <c r="D1937" s="1" t="s">
        <v>5858</v>
      </c>
      <c r="E1937" s="2">
        <v>45975</v>
      </c>
      <c r="F1937" s="1" t="s">
        <v>126</v>
      </c>
      <c r="G1937" s="1" t="s">
        <v>2475</v>
      </c>
      <c r="H1937" s="1" t="s">
        <v>2476</v>
      </c>
      <c r="I1937" s="1">
        <v>1</v>
      </c>
      <c r="J1937" s="3">
        <v>22806</v>
      </c>
      <c r="K1937" s="3">
        <v>21762</v>
      </c>
      <c r="L1937" s="1">
        <v>0</v>
      </c>
      <c r="M1937" s="4">
        <v>0</v>
      </c>
      <c r="N1937" s="3">
        <v>1044</v>
      </c>
      <c r="O1937" s="4">
        <v>4.5999999999999999E-2</v>
      </c>
      <c r="P1937" s="1" t="s">
        <v>2721</v>
      </c>
    </row>
    <row r="1938" spans="1:16">
      <c r="A1938" s="1" t="s">
        <v>577</v>
      </c>
      <c r="B1938" s="1">
        <v>11</v>
      </c>
      <c r="C1938" s="1" t="s">
        <v>5859</v>
      </c>
      <c r="D1938" s="1" t="s">
        <v>5860</v>
      </c>
      <c r="E1938" s="2">
        <v>45975</v>
      </c>
      <c r="F1938" s="1" t="s">
        <v>554</v>
      </c>
      <c r="G1938" s="1" t="s">
        <v>5861</v>
      </c>
      <c r="H1938" s="1" t="s">
        <v>5862</v>
      </c>
      <c r="I1938" s="1">
        <v>1</v>
      </c>
      <c r="J1938" s="3">
        <v>23887</v>
      </c>
      <c r="K1938" s="3">
        <v>22793</v>
      </c>
      <c r="L1938" s="1">
        <v>0</v>
      </c>
      <c r="M1938" s="4">
        <v>0</v>
      </c>
      <c r="N1938" s="3">
        <v>1094</v>
      </c>
      <c r="O1938" s="4">
        <v>4.5999999999999999E-2</v>
      </c>
      <c r="P1938" s="1" t="s">
        <v>2721</v>
      </c>
    </row>
    <row r="1939" spans="1:16">
      <c r="A1939" s="1" t="s">
        <v>577</v>
      </c>
      <c r="B1939" s="1">
        <v>11</v>
      </c>
      <c r="C1939" s="1" t="s">
        <v>5863</v>
      </c>
      <c r="D1939" s="1" t="s">
        <v>1741</v>
      </c>
      <c r="E1939" s="2">
        <v>45975</v>
      </c>
      <c r="F1939" s="1" t="s">
        <v>500</v>
      </c>
      <c r="G1939" s="1" t="s">
        <v>900</v>
      </c>
      <c r="H1939" s="1" t="s">
        <v>1678</v>
      </c>
      <c r="I1939" s="1">
        <v>1</v>
      </c>
      <c r="J1939" s="3">
        <v>102702</v>
      </c>
      <c r="K1939" s="3">
        <v>98000</v>
      </c>
      <c r="L1939" s="1">
        <v>0</v>
      </c>
      <c r="M1939" s="4">
        <v>0</v>
      </c>
      <c r="N1939" s="3">
        <v>4702</v>
      </c>
      <c r="O1939" s="4">
        <v>4.5999999999999999E-2</v>
      </c>
      <c r="P1939" s="1" t="s">
        <v>2721</v>
      </c>
    </row>
    <row r="1940" spans="1:16">
      <c r="A1940" s="1" t="s">
        <v>577</v>
      </c>
      <c r="B1940" s="1">
        <v>11</v>
      </c>
      <c r="C1940" s="1" t="s">
        <v>5864</v>
      </c>
      <c r="D1940" s="1" t="s">
        <v>5865</v>
      </c>
      <c r="E1940" s="2">
        <v>45975</v>
      </c>
      <c r="F1940" s="1" t="s">
        <v>1310</v>
      </c>
      <c r="G1940" s="1" t="s">
        <v>5866</v>
      </c>
      <c r="H1940" s="1" t="s">
        <v>5867</v>
      </c>
      <c r="I1940" s="1">
        <v>1</v>
      </c>
      <c r="J1940" s="3">
        <v>19660</v>
      </c>
      <c r="K1940" s="3">
        <v>18760</v>
      </c>
      <c r="L1940" s="1">
        <v>0</v>
      </c>
      <c r="M1940" s="4">
        <v>0</v>
      </c>
      <c r="N1940" s="1">
        <v>900</v>
      </c>
      <c r="O1940" s="4">
        <v>4.5999999999999999E-2</v>
      </c>
      <c r="P1940" s="1" t="s">
        <v>2721</v>
      </c>
    </row>
    <row r="1941" spans="1:16">
      <c r="A1941" s="1" t="s">
        <v>577</v>
      </c>
      <c r="B1941" s="1">
        <v>11</v>
      </c>
      <c r="C1941" s="1" t="s">
        <v>5868</v>
      </c>
      <c r="D1941" s="1" t="s">
        <v>4300</v>
      </c>
      <c r="E1941" s="2">
        <v>45975</v>
      </c>
      <c r="F1941" s="1" t="s">
        <v>63</v>
      </c>
      <c r="G1941" s="1" t="s">
        <v>3755</v>
      </c>
      <c r="H1941" s="1" t="s">
        <v>5522</v>
      </c>
      <c r="I1941" s="1">
        <v>2</v>
      </c>
      <c r="J1941" s="3">
        <v>13160</v>
      </c>
      <c r="K1941" s="3">
        <v>12558</v>
      </c>
      <c r="L1941" s="1">
        <v>0</v>
      </c>
      <c r="M1941" s="4">
        <v>0</v>
      </c>
      <c r="N1941" s="1">
        <v>602</v>
      </c>
      <c r="O1941" s="4">
        <v>4.5999999999999999E-2</v>
      </c>
      <c r="P1941" s="1" t="s">
        <v>2721</v>
      </c>
    </row>
    <row r="1942" spans="1:16">
      <c r="A1942" s="1" t="s">
        <v>577</v>
      </c>
      <c r="B1942" s="1">
        <v>11</v>
      </c>
      <c r="C1942" s="1" t="s">
        <v>5869</v>
      </c>
      <c r="D1942" s="1" t="s">
        <v>4888</v>
      </c>
      <c r="E1942" s="2">
        <v>45975</v>
      </c>
      <c r="F1942" s="1" t="s">
        <v>856</v>
      </c>
      <c r="G1942" s="1" t="s">
        <v>1093</v>
      </c>
      <c r="H1942" s="1" t="s">
        <v>1094</v>
      </c>
      <c r="I1942" s="1">
        <v>1</v>
      </c>
      <c r="J1942" s="3">
        <v>31439</v>
      </c>
      <c r="K1942" s="3">
        <v>30000</v>
      </c>
      <c r="L1942" s="1">
        <v>0</v>
      </c>
      <c r="M1942" s="4">
        <v>0</v>
      </c>
      <c r="N1942" s="3">
        <v>1439</v>
      </c>
      <c r="O1942" s="4">
        <v>4.5999999999999999E-2</v>
      </c>
      <c r="P1942" s="1" t="s">
        <v>2721</v>
      </c>
    </row>
    <row r="1943" spans="1:16">
      <c r="A1943" s="1" t="s">
        <v>577</v>
      </c>
      <c r="B1943" s="1">
        <v>11</v>
      </c>
      <c r="C1943" s="1" t="s">
        <v>5870</v>
      </c>
      <c r="D1943" s="1" t="s">
        <v>590</v>
      </c>
      <c r="E1943" s="2">
        <v>45975</v>
      </c>
      <c r="F1943" s="1" t="s">
        <v>312</v>
      </c>
      <c r="G1943" s="1" t="s">
        <v>412</v>
      </c>
      <c r="H1943" s="1" t="s">
        <v>3286</v>
      </c>
      <c r="I1943" s="1">
        <v>1</v>
      </c>
      <c r="J1943" s="3">
        <v>24575</v>
      </c>
      <c r="K1943" s="3">
        <v>23450</v>
      </c>
      <c r="L1943" s="1">
        <v>0</v>
      </c>
      <c r="M1943" s="4">
        <v>0</v>
      </c>
      <c r="N1943" s="3">
        <v>1125</v>
      </c>
      <c r="O1943" s="4">
        <v>4.5999999999999999E-2</v>
      </c>
      <c r="P1943" s="1" t="s">
        <v>2721</v>
      </c>
    </row>
    <row r="1944" spans="1:16">
      <c r="A1944" s="1" t="s">
        <v>577</v>
      </c>
      <c r="B1944" s="1">
        <v>11</v>
      </c>
      <c r="C1944" s="1" t="s">
        <v>5870</v>
      </c>
      <c r="D1944" s="1" t="s">
        <v>5871</v>
      </c>
      <c r="E1944" s="2">
        <v>45975</v>
      </c>
      <c r="F1944" s="1" t="s">
        <v>312</v>
      </c>
      <c r="G1944" s="1" t="s">
        <v>313</v>
      </c>
      <c r="H1944" s="1" t="s">
        <v>3723</v>
      </c>
      <c r="I1944" s="1">
        <v>1</v>
      </c>
      <c r="J1944" s="3">
        <v>28310</v>
      </c>
      <c r="K1944" s="3">
        <v>27014</v>
      </c>
      <c r="L1944" s="1">
        <v>0</v>
      </c>
      <c r="M1944" s="4">
        <v>0</v>
      </c>
      <c r="N1944" s="3">
        <v>1296</v>
      </c>
      <c r="O1944" s="4">
        <v>4.5999999999999999E-2</v>
      </c>
      <c r="P1944" s="1" t="s">
        <v>2721</v>
      </c>
    </row>
    <row r="1945" spans="1:16">
      <c r="A1945" s="1" t="s">
        <v>577</v>
      </c>
      <c r="B1945" s="1">
        <v>11</v>
      </c>
      <c r="C1945" s="1" t="s">
        <v>5872</v>
      </c>
      <c r="D1945" s="1" t="s">
        <v>1784</v>
      </c>
      <c r="E1945" s="2">
        <v>45975</v>
      </c>
      <c r="F1945" s="1" t="s">
        <v>256</v>
      </c>
      <c r="G1945" s="1" t="s">
        <v>778</v>
      </c>
      <c r="H1945" s="1" t="s">
        <v>1571</v>
      </c>
      <c r="I1945" s="1">
        <v>1</v>
      </c>
      <c r="J1945" s="3">
        <v>19857</v>
      </c>
      <c r="K1945" s="3">
        <v>18948</v>
      </c>
      <c r="L1945" s="1">
        <v>0</v>
      </c>
      <c r="M1945" s="4">
        <v>0</v>
      </c>
      <c r="N1945" s="1">
        <v>909</v>
      </c>
      <c r="O1945" s="4">
        <v>4.5999999999999999E-2</v>
      </c>
      <c r="P1945" s="1" t="s">
        <v>2721</v>
      </c>
    </row>
    <row r="1946" spans="1:16">
      <c r="A1946" s="1" t="s">
        <v>577</v>
      </c>
      <c r="B1946" s="1">
        <v>11</v>
      </c>
      <c r="C1946" s="1" t="s">
        <v>5873</v>
      </c>
      <c r="D1946" s="1" t="s">
        <v>5874</v>
      </c>
      <c r="E1946" s="2">
        <v>45975</v>
      </c>
      <c r="F1946" s="1" t="s">
        <v>1403</v>
      </c>
      <c r="G1946" s="1" t="s">
        <v>5875</v>
      </c>
      <c r="H1946" s="1" t="s">
        <v>5876</v>
      </c>
      <c r="I1946" s="1">
        <v>1</v>
      </c>
      <c r="J1946" s="3">
        <v>17301</v>
      </c>
      <c r="K1946" s="3">
        <v>16509</v>
      </c>
      <c r="L1946" s="1">
        <v>0</v>
      </c>
      <c r="M1946" s="4">
        <v>0</v>
      </c>
      <c r="N1946" s="1">
        <v>792</v>
      </c>
      <c r="O1946" s="4">
        <v>4.5999999999999999E-2</v>
      </c>
      <c r="P1946" s="1" t="s">
        <v>2721</v>
      </c>
    </row>
    <row r="1947" spans="1:16">
      <c r="A1947" s="1" t="s">
        <v>577</v>
      </c>
      <c r="B1947" s="1">
        <v>11</v>
      </c>
      <c r="C1947" s="1" t="s">
        <v>5877</v>
      </c>
      <c r="D1947" s="1" t="s">
        <v>1762</v>
      </c>
      <c r="E1947" s="2">
        <v>45975</v>
      </c>
      <c r="F1947" s="1" t="s">
        <v>347</v>
      </c>
      <c r="G1947" s="1" t="s">
        <v>1458</v>
      </c>
      <c r="H1947" s="1" t="s">
        <v>5878</v>
      </c>
      <c r="I1947" s="1">
        <v>1</v>
      </c>
      <c r="J1947" s="3">
        <v>25008</v>
      </c>
      <c r="K1947" s="3">
        <v>23863</v>
      </c>
      <c r="L1947" s="1">
        <v>0</v>
      </c>
      <c r="M1947" s="4">
        <v>0</v>
      </c>
      <c r="N1947" s="3">
        <v>1145</v>
      </c>
      <c r="O1947" s="4">
        <v>4.5999999999999999E-2</v>
      </c>
      <c r="P1947" s="1" t="s">
        <v>2721</v>
      </c>
    </row>
    <row r="1948" spans="1:16">
      <c r="A1948" s="1" t="s">
        <v>577</v>
      </c>
      <c r="B1948" s="1">
        <v>11</v>
      </c>
      <c r="C1948" s="1" t="s">
        <v>5879</v>
      </c>
      <c r="D1948" s="1" t="s">
        <v>4319</v>
      </c>
      <c r="E1948" s="2">
        <v>45975</v>
      </c>
      <c r="F1948" s="1" t="s">
        <v>53</v>
      </c>
      <c r="G1948" s="1" t="s">
        <v>133</v>
      </c>
      <c r="H1948" s="1" t="s">
        <v>88</v>
      </c>
      <c r="I1948" s="1">
        <v>1</v>
      </c>
      <c r="J1948" s="3">
        <v>17036</v>
      </c>
      <c r="K1948" s="3">
        <v>16256</v>
      </c>
      <c r="L1948" s="1">
        <v>0</v>
      </c>
      <c r="M1948" s="4">
        <v>0</v>
      </c>
      <c r="N1948" s="1">
        <v>780</v>
      </c>
      <c r="O1948" s="4">
        <v>4.5999999999999999E-2</v>
      </c>
      <c r="P1948" s="1" t="s">
        <v>2721</v>
      </c>
    </row>
    <row r="1949" spans="1:16">
      <c r="A1949" s="1" t="s">
        <v>577</v>
      </c>
      <c r="B1949" s="1">
        <v>11</v>
      </c>
      <c r="C1949" s="1" t="s">
        <v>5880</v>
      </c>
      <c r="D1949" s="1" t="s">
        <v>4319</v>
      </c>
      <c r="E1949" s="2">
        <v>45975</v>
      </c>
      <c r="F1949" s="1" t="s">
        <v>53</v>
      </c>
      <c r="G1949" s="1" t="s">
        <v>133</v>
      </c>
      <c r="H1949" s="1" t="s">
        <v>88</v>
      </c>
      <c r="I1949" s="1">
        <v>1</v>
      </c>
      <c r="J1949" s="3">
        <v>17036</v>
      </c>
      <c r="K1949" s="3">
        <v>16256</v>
      </c>
      <c r="L1949" s="1">
        <v>0</v>
      </c>
      <c r="M1949" s="4">
        <v>0</v>
      </c>
      <c r="N1949" s="1">
        <v>780</v>
      </c>
      <c r="O1949" s="4">
        <v>4.5999999999999999E-2</v>
      </c>
      <c r="P1949" s="1" t="s">
        <v>2721</v>
      </c>
    </row>
    <row r="1950" spans="1:16">
      <c r="A1950" s="1" t="s">
        <v>577</v>
      </c>
      <c r="B1950" s="1">
        <v>11</v>
      </c>
      <c r="C1950" s="1" t="s">
        <v>5881</v>
      </c>
      <c r="D1950" s="1" t="s">
        <v>4290</v>
      </c>
      <c r="E1950" s="2">
        <v>45975</v>
      </c>
      <c r="F1950" s="1" t="s">
        <v>235</v>
      </c>
      <c r="G1950" s="1" t="s">
        <v>3382</v>
      </c>
      <c r="H1950" s="1" t="s">
        <v>3382</v>
      </c>
      <c r="I1950" s="1">
        <v>1</v>
      </c>
      <c r="J1950" s="3">
        <v>22363</v>
      </c>
      <c r="K1950" s="3">
        <v>21340</v>
      </c>
      <c r="L1950" s="1">
        <v>0</v>
      </c>
      <c r="M1950" s="4">
        <v>0</v>
      </c>
      <c r="N1950" s="3">
        <v>1023</v>
      </c>
      <c r="O1950" s="4">
        <v>4.5999999999999999E-2</v>
      </c>
      <c r="P1950" s="1" t="s">
        <v>2721</v>
      </c>
    </row>
    <row r="1951" spans="1:16">
      <c r="A1951" s="1" t="s">
        <v>577</v>
      </c>
      <c r="B1951" s="1">
        <v>11</v>
      </c>
      <c r="C1951" s="1" t="s">
        <v>5882</v>
      </c>
      <c r="D1951" s="1" t="s">
        <v>5883</v>
      </c>
      <c r="E1951" s="2">
        <v>45975</v>
      </c>
      <c r="F1951" s="1" t="s">
        <v>96</v>
      </c>
      <c r="G1951" s="1" t="s">
        <v>5884</v>
      </c>
      <c r="H1951" s="1" t="s">
        <v>5885</v>
      </c>
      <c r="I1951" s="1">
        <v>1</v>
      </c>
      <c r="J1951" s="3">
        <v>12571</v>
      </c>
      <c r="K1951" s="3">
        <v>11995</v>
      </c>
      <c r="L1951" s="1">
        <v>0</v>
      </c>
      <c r="M1951" s="4">
        <v>0</v>
      </c>
      <c r="N1951" s="1">
        <v>576</v>
      </c>
      <c r="O1951" s="4">
        <v>4.5999999999999999E-2</v>
      </c>
      <c r="P1951" s="1" t="s">
        <v>2721</v>
      </c>
    </row>
    <row r="1952" spans="1:16">
      <c r="A1952" s="1" t="s">
        <v>577</v>
      </c>
      <c r="B1952" s="1">
        <v>11</v>
      </c>
      <c r="C1952" s="1" t="s">
        <v>5886</v>
      </c>
      <c r="D1952" s="1" t="s">
        <v>4319</v>
      </c>
      <c r="E1952" s="2">
        <v>45975</v>
      </c>
      <c r="F1952" s="1" t="s">
        <v>53</v>
      </c>
      <c r="G1952" s="1" t="s">
        <v>133</v>
      </c>
      <c r="H1952" s="1" t="s">
        <v>88</v>
      </c>
      <c r="I1952" s="1">
        <v>1</v>
      </c>
      <c r="J1952" s="3">
        <v>17036</v>
      </c>
      <c r="K1952" s="3">
        <v>16256</v>
      </c>
      <c r="L1952" s="1">
        <v>0</v>
      </c>
      <c r="M1952" s="4">
        <v>0</v>
      </c>
      <c r="N1952" s="1">
        <v>780</v>
      </c>
      <c r="O1952" s="4">
        <v>4.5999999999999999E-2</v>
      </c>
      <c r="P1952" s="1" t="s">
        <v>2721</v>
      </c>
    </row>
    <row r="1953" spans="1:16">
      <c r="A1953" s="1" t="s">
        <v>577</v>
      </c>
      <c r="B1953" s="1">
        <v>11</v>
      </c>
      <c r="C1953" s="1" t="s">
        <v>5887</v>
      </c>
      <c r="D1953" s="1" t="s">
        <v>5888</v>
      </c>
      <c r="E1953" s="2">
        <v>45975</v>
      </c>
      <c r="F1953" s="1" t="s">
        <v>660</v>
      </c>
      <c r="G1953" s="1" t="s">
        <v>2330</v>
      </c>
      <c r="H1953" s="1" t="s">
        <v>5820</v>
      </c>
      <c r="I1953" s="1">
        <v>1</v>
      </c>
      <c r="J1953" s="3">
        <v>39713</v>
      </c>
      <c r="K1953" s="3">
        <v>37895</v>
      </c>
      <c r="L1953" s="1">
        <v>0</v>
      </c>
      <c r="M1953" s="4">
        <v>0</v>
      </c>
      <c r="N1953" s="3">
        <v>1818</v>
      </c>
      <c r="O1953" s="4">
        <v>4.5999999999999999E-2</v>
      </c>
      <c r="P1953" s="1" t="s">
        <v>2721</v>
      </c>
    </row>
    <row r="1954" spans="1:16">
      <c r="A1954" s="1" t="s">
        <v>577</v>
      </c>
      <c r="B1954" s="1">
        <v>11</v>
      </c>
      <c r="C1954" s="1" t="s">
        <v>5889</v>
      </c>
      <c r="D1954" s="1" t="s">
        <v>5890</v>
      </c>
      <c r="E1954" s="2">
        <v>45975</v>
      </c>
      <c r="F1954" s="1" t="s">
        <v>334</v>
      </c>
      <c r="G1954" s="1" t="s">
        <v>335</v>
      </c>
      <c r="H1954" s="1" t="s">
        <v>336</v>
      </c>
      <c r="I1954" s="1">
        <v>1</v>
      </c>
      <c r="J1954" s="3">
        <v>5407</v>
      </c>
      <c r="K1954" s="3">
        <v>5159</v>
      </c>
      <c r="L1954" s="1">
        <v>0</v>
      </c>
      <c r="M1954" s="4">
        <v>0</v>
      </c>
      <c r="N1954" s="1">
        <v>248</v>
      </c>
      <c r="O1954" s="4">
        <v>4.5999999999999999E-2</v>
      </c>
      <c r="P1954" s="1" t="s">
        <v>2721</v>
      </c>
    </row>
    <row r="1955" spans="1:16">
      <c r="A1955" s="1" t="s">
        <v>602</v>
      </c>
      <c r="B1955" s="1">
        <v>11</v>
      </c>
      <c r="C1955" s="1">
        <v>29100152723255</v>
      </c>
      <c r="D1955" s="1" t="s">
        <v>3017</v>
      </c>
      <c r="E1955" s="2">
        <v>45975</v>
      </c>
      <c r="F1955" s="1" t="s">
        <v>604</v>
      </c>
      <c r="G1955" s="1" t="s">
        <v>3018</v>
      </c>
      <c r="H1955" s="1" t="s">
        <v>5891</v>
      </c>
      <c r="I1955" s="1">
        <v>2</v>
      </c>
      <c r="J1955" s="3">
        <v>60900</v>
      </c>
      <c r="K1955" s="3">
        <v>17460</v>
      </c>
      <c r="L1955" s="3">
        <v>7064</v>
      </c>
      <c r="M1955" s="4">
        <v>0.11600000000000001</v>
      </c>
      <c r="N1955" s="3">
        <v>36376</v>
      </c>
      <c r="O1955" s="4">
        <v>0.59699999999999998</v>
      </c>
      <c r="P1955" s="1" t="s">
        <v>2721</v>
      </c>
    </row>
    <row r="1956" spans="1:16">
      <c r="A1956" s="1" t="s">
        <v>602</v>
      </c>
      <c r="B1956" s="1">
        <v>11</v>
      </c>
      <c r="C1956" s="1">
        <v>24100152850857</v>
      </c>
      <c r="D1956" s="1" t="s">
        <v>610</v>
      </c>
      <c r="E1956" s="2">
        <v>45975</v>
      </c>
      <c r="F1956" s="1" t="s">
        <v>604</v>
      </c>
      <c r="G1956" s="1" t="s">
        <v>611</v>
      </c>
      <c r="H1956" s="1" t="s">
        <v>3412</v>
      </c>
      <c r="I1956" s="1">
        <v>3</v>
      </c>
      <c r="J1956" s="3">
        <v>33800</v>
      </c>
      <c r="K1956" s="3">
        <v>23950</v>
      </c>
      <c r="L1956" s="3">
        <v>3921</v>
      </c>
      <c r="M1956" s="4">
        <v>0.11600000000000001</v>
      </c>
      <c r="N1956" s="3">
        <v>5929</v>
      </c>
      <c r="O1956" s="4">
        <v>0.17499999999999999</v>
      </c>
      <c r="P1956" s="1" t="s">
        <v>2721</v>
      </c>
    </row>
    <row r="1957" spans="1:16">
      <c r="A1957" s="1" t="s">
        <v>602</v>
      </c>
      <c r="B1957" s="1">
        <v>11</v>
      </c>
      <c r="C1957" s="1">
        <v>23100152807147</v>
      </c>
      <c r="D1957" s="1" t="s">
        <v>1841</v>
      </c>
      <c r="E1957" s="2">
        <v>45975</v>
      </c>
      <c r="F1957" s="1" t="s">
        <v>604</v>
      </c>
      <c r="G1957" s="1" t="s">
        <v>1842</v>
      </c>
      <c r="H1957" s="1" t="s">
        <v>1843</v>
      </c>
      <c r="I1957" s="1">
        <v>3</v>
      </c>
      <c r="J1957" s="3">
        <v>42800</v>
      </c>
      <c r="K1957" s="3">
        <v>32200</v>
      </c>
      <c r="L1957" s="3">
        <v>4965</v>
      </c>
      <c r="M1957" s="4">
        <v>0.11600000000000001</v>
      </c>
      <c r="N1957" s="3">
        <v>5635</v>
      </c>
      <c r="O1957" s="4">
        <v>0.13200000000000001</v>
      </c>
      <c r="P1957" s="1" t="s">
        <v>2721</v>
      </c>
    </row>
    <row r="1958" spans="1:16">
      <c r="A1958" s="1" t="s">
        <v>616</v>
      </c>
      <c r="B1958" s="1">
        <v>11</v>
      </c>
      <c r="C1958" s="1">
        <v>2025111473559450</v>
      </c>
      <c r="D1958" s="1" t="s">
        <v>621</v>
      </c>
      <c r="E1958" s="2">
        <v>45975</v>
      </c>
      <c r="F1958" s="1" t="s">
        <v>604</v>
      </c>
      <c r="G1958" s="1" t="s">
        <v>622</v>
      </c>
      <c r="H1958" s="1" t="s">
        <v>3413</v>
      </c>
      <c r="I1958" s="1">
        <v>1</v>
      </c>
      <c r="J1958" s="3">
        <v>8800</v>
      </c>
      <c r="K1958" s="3">
        <v>3675</v>
      </c>
      <c r="L1958" s="1">
        <v>352</v>
      </c>
      <c r="M1958" s="4">
        <v>0.04</v>
      </c>
      <c r="N1958" s="3">
        <v>4773</v>
      </c>
      <c r="O1958" s="4">
        <v>0.54200000000000004</v>
      </c>
      <c r="P1958" s="1" t="s">
        <v>2721</v>
      </c>
    </row>
    <row r="1959" spans="1:16">
      <c r="A1959" s="1" t="s">
        <v>616</v>
      </c>
      <c r="B1959" s="1">
        <v>11</v>
      </c>
      <c r="C1959" s="1">
        <v>2025111365746440</v>
      </c>
      <c r="D1959" s="1" t="s">
        <v>621</v>
      </c>
      <c r="E1959" s="2">
        <v>45975</v>
      </c>
      <c r="F1959" s="1" t="s">
        <v>604</v>
      </c>
      <c r="G1959" s="1" t="s">
        <v>622</v>
      </c>
      <c r="H1959" s="1" t="s">
        <v>3413</v>
      </c>
      <c r="I1959" s="1">
        <v>1</v>
      </c>
      <c r="J1959" s="3">
        <v>8800</v>
      </c>
      <c r="K1959" s="3">
        <v>3675</v>
      </c>
      <c r="L1959" s="1">
        <v>352</v>
      </c>
      <c r="M1959" s="4">
        <v>0.04</v>
      </c>
      <c r="N1959" s="3">
        <v>4773</v>
      </c>
      <c r="O1959" s="4">
        <v>0.54200000000000004</v>
      </c>
      <c r="P1959" s="1" t="s">
        <v>2721</v>
      </c>
    </row>
    <row r="1960" spans="1:16">
      <c r="A1960" s="1" t="s">
        <v>626</v>
      </c>
      <c r="B1960" s="1">
        <v>11</v>
      </c>
      <c r="C1960" s="1">
        <v>69146150</v>
      </c>
      <c r="D1960" s="1" t="s">
        <v>627</v>
      </c>
      <c r="E1960" s="2">
        <v>45975</v>
      </c>
      <c r="F1960" s="1" t="s">
        <v>604</v>
      </c>
      <c r="G1960" s="1" t="s">
        <v>628</v>
      </c>
      <c r="H1960" s="1" t="s">
        <v>629</v>
      </c>
      <c r="I1960" s="1">
        <v>1</v>
      </c>
      <c r="J1960" s="3">
        <v>8000</v>
      </c>
      <c r="K1960" s="3">
        <v>1800</v>
      </c>
      <c r="L1960" s="1">
        <v>880</v>
      </c>
      <c r="M1960" s="4">
        <v>0.11</v>
      </c>
      <c r="N1960" s="3">
        <v>5320</v>
      </c>
      <c r="O1960" s="4">
        <v>0.66500000000000004</v>
      </c>
      <c r="P1960" s="1" t="s">
        <v>2721</v>
      </c>
    </row>
    <row r="1961" spans="1:16">
      <c r="A1961" s="1" t="s">
        <v>626</v>
      </c>
      <c r="B1961" s="1">
        <v>11</v>
      </c>
      <c r="C1961" s="1">
        <v>69136229</v>
      </c>
      <c r="D1961" s="1" t="s">
        <v>627</v>
      </c>
      <c r="E1961" s="2">
        <v>45975</v>
      </c>
      <c r="F1961" s="1" t="s">
        <v>604</v>
      </c>
      <c r="G1961" s="1" t="s">
        <v>628</v>
      </c>
      <c r="H1961" s="1" t="s">
        <v>629</v>
      </c>
      <c r="I1961" s="1">
        <v>1</v>
      </c>
      <c r="J1961" s="3">
        <v>8000</v>
      </c>
      <c r="K1961" s="3">
        <v>1800</v>
      </c>
      <c r="L1961" s="1">
        <v>880</v>
      </c>
      <c r="M1961" s="4">
        <v>0.11</v>
      </c>
      <c r="N1961" s="3">
        <v>5320</v>
      </c>
      <c r="O1961" s="4">
        <v>0.66500000000000004</v>
      </c>
      <c r="P1961" s="1" t="s">
        <v>2721</v>
      </c>
    </row>
    <row r="1962" spans="1:16">
      <c r="A1962" s="1" t="s">
        <v>626</v>
      </c>
      <c r="B1962" s="1">
        <v>11</v>
      </c>
      <c r="C1962" s="1">
        <v>69147979</v>
      </c>
      <c r="D1962" s="1" t="s">
        <v>627</v>
      </c>
      <c r="E1962" s="2">
        <v>45975</v>
      </c>
      <c r="F1962" s="1" t="s">
        <v>604</v>
      </c>
      <c r="G1962" s="1" t="s">
        <v>628</v>
      </c>
      <c r="H1962" s="1" t="s">
        <v>2271</v>
      </c>
      <c r="I1962" s="1">
        <v>2</v>
      </c>
      <c r="J1962" s="3">
        <v>12800</v>
      </c>
      <c r="K1962" s="3">
        <v>3600</v>
      </c>
      <c r="L1962" s="3">
        <v>1408</v>
      </c>
      <c r="M1962" s="4">
        <v>0.11</v>
      </c>
      <c r="N1962" s="3">
        <v>7792</v>
      </c>
      <c r="O1962" s="4">
        <v>0.60899999999999999</v>
      </c>
      <c r="P1962" s="1" t="s">
        <v>2721</v>
      </c>
    </row>
    <row r="1963" spans="1:16">
      <c r="A1963" s="1" t="s">
        <v>632</v>
      </c>
      <c r="B1963" s="1">
        <v>11</v>
      </c>
      <c r="C1963" s="1">
        <v>162597751</v>
      </c>
      <c r="D1963" s="1" t="s">
        <v>627</v>
      </c>
      <c r="E1963" s="2">
        <v>45975</v>
      </c>
      <c r="F1963" s="1" t="s">
        <v>604</v>
      </c>
      <c r="G1963" s="1" t="s">
        <v>628</v>
      </c>
      <c r="I1963" s="1">
        <v>1</v>
      </c>
      <c r="J1963" s="3">
        <v>7500</v>
      </c>
      <c r="K1963" s="3">
        <v>4300</v>
      </c>
      <c r="L1963" s="1">
        <v>795</v>
      </c>
      <c r="M1963" s="4">
        <v>0.106</v>
      </c>
      <c r="N1963" s="3">
        <v>2405</v>
      </c>
      <c r="O1963" s="4">
        <v>0.32100000000000001</v>
      </c>
      <c r="P1963" s="1" t="s">
        <v>2721</v>
      </c>
    </row>
    <row r="1964" spans="1:16">
      <c r="A1964" s="1" t="s">
        <v>1917</v>
      </c>
      <c r="B1964" s="1">
        <v>11</v>
      </c>
      <c r="C1964" s="1">
        <v>1.1664176301455599E+20</v>
      </c>
      <c r="D1964" s="1" t="s">
        <v>5892</v>
      </c>
      <c r="E1964" s="2">
        <v>45975</v>
      </c>
      <c r="F1964" s="1" t="s">
        <v>604</v>
      </c>
      <c r="G1964" s="1" t="s">
        <v>5893</v>
      </c>
      <c r="H1964" s="1" t="s">
        <v>5894</v>
      </c>
      <c r="I1964" s="1">
        <v>4</v>
      </c>
      <c r="J1964" s="3">
        <v>63600</v>
      </c>
      <c r="K1964" s="3">
        <v>50020</v>
      </c>
      <c r="L1964" s="1">
        <v>0</v>
      </c>
      <c r="M1964" s="4">
        <v>0</v>
      </c>
      <c r="N1964" s="3">
        <v>13580</v>
      </c>
      <c r="O1964" s="4">
        <v>0.214</v>
      </c>
      <c r="P1964" s="1" t="s">
        <v>2721</v>
      </c>
    </row>
    <row r="1965" spans="1:16">
      <c r="A1965" s="1" t="s">
        <v>602</v>
      </c>
      <c r="B1965" s="1">
        <v>11</v>
      </c>
      <c r="C1965" s="1">
        <v>14100152759159</v>
      </c>
      <c r="D1965" s="1" t="s">
        <v>1862</v>
      </c>
      <c r="E1965" s="2">
        <v>45975</v>
      </c>
      <c r="F1965" s="1" t="s">
        <v>235</v>
      </c>
      <c r="G1965" s="1" t="s">
        <v>1863</v>
      </c>
      <c r="H1965" s="1" t="s">
        <v>1864</v>
      </c>
      <c r="I1965" s="1">
        <v>1</v>
      </c>
      <c r="J1965" s="3">
        <v>14790</v>
      </c>
      <c r="K1965" s="3">
        <v>7739</v>
      </c>
      <c r="L1965" s="3">
        <v>1716</v>
      </c>
      <c r="M1965" s="4">
        <v>0.11600000000000001</v>
      </c>
      <c r="N1965" s="3">
        <v>5335</v>
      </c>
      <c r="O1965" s="4">
        <v>0.36099999999999999</v>
      </c>
      <c r="P1965" s="1" t="s">
        <v>2721</v>
      </c>
    </row>
    <row r="1966" spans="1:16">
      <c r="A1966" s="1" t="s">
        <v>649</v>
      </c>
      <c r="B1966" s="1">
        <v>11</v>
      </c>
      <c r="C1966" s="1">
        <v>25111323325976</v>
      </c>
      <c r="D1966" s="1" t="s">
        <v>773</v>
      </c>
      <c r="E1966" s="2">
        <v>45975</v>
      </c>
      <c r="F1966" s="1" t="s">
        <v>48</v>
      </c>
      <c r="G1966" s="1" t="s">
        <v>774</v>
      </c>
      <c r="H1966" s="1" t="s">
        <v>1891</v>
      </c>
      <c r="I1966" s="1">
        <v>1</v>
      </c>
      <c r="J1966" s="3">
        <v>10379</v>
      </c>
      <c r="K1966" s="3">
        <v>8802</v>
      </c>
      <c r="L1966" s="1">
        <v>0</v>
      </c>
      <c r="M1966" s="4">
        <v>0</v>
      </c>
      <c r="N1966" s="3">
        <v>1577</v>
      </c>
      <c r="O1966" s="4">
        <v>0.152</v>
      </c>
      <c r="P1966" s="1" t="s">
        <v>2721</v>
      </c>
    </row>
    <row r="1967" spans="1:16">
      <c r="A1967" s="1" t="s">
        <v>649</v>
      </c>
      <c r="B1967" s="1">
        <v>11</v>
      </c>
      <c r="C1967" s="1">
        <v>25111321561109</v>
      </c>
      <c r="D1967" s="1" t="s">
        <v>5895</v>
      </c>
      <c r="E1967" s="2">
        <v>45975</v>
      </c>
      <c r="F1967" s="1" t="s">
        <v>48</v>
      </c>
      <c r="G1967" s="1" t="s">
        <v>5896</v>
      </c>
      <c r="H1967" s="1" t="s">
        <v>5897</v>
      </c>
      <c r="I1967" s="1">
        <v>1</v>
      </c>
      <c r="J1967" s="3">
        <v>11688</v>
      </c>
      <c r="K1967" s="3">
        <v>9924</v>
      </c>
      <c r="L1967" s="1">
        <v>0</v>
      </c>
      <c r="M1967" s="4">
        <v>0</v>
      </c>
      <c r="N1967" s="3">
        <v>1764</v>
      </c>
      <c r="O1967" s="4">
        <v>0.151</v>
      </c>
      <c r="P1967" s="1" t="s">
        <v>2721</v>
      </c>
    </row>
    <row r="1968" spans="1:16">
      <c r="A1968" s="1" t="s">
        <v>649</v>
      </c>
      <c r="B1968" s="1">
        <v>11</v>
      </c>
      <c r="C1968" s="1">
        <v>25111321482505</v>
      </c>
      <c r="D1968" s="1" t="s">
        <v>769</v>
      </c>
      <c r="E1968" s="2">
        <v>45975</v>
      </c>
      <c r="F1968" s="1" t="s">
        <v>48</v>
      </c>
      <c r="G1968" s="1" t="s">
        <v>770</v>
      </c>
      <c r="H1968" s="1" t="s">
        <v>5898</v>
      </c>
      <c r="I1968" s="1">
        <v>1</v>
      </c>
      <c r="J1968" s="3">
        <v>14680</v>
      </c>
      <c r="K1968" s="3">
        <v>12513</v>
      </c>
      <c r="L1968" s="1">
        <v>0</v>
      </c>
      <c r="M1968" s="4">
        <v>0</v>
      </c>
      <c r="N1968" s="3">
        <v>2167</v>
      </c>
      <c r="O1968" s="4">
        <v>0.14799999999999999</v>
      </c>
      <c r="P1968" s="1" t="s">
        <v>2721</v>
      </c>
    </row>
    <row r="1969" spans="1:16">
      <c r="A1969" s="1" t="s">
        <v>649</v>
      </c>
      <c r="B1969" s="1">
        <v>11</v>
      </c>
      <c r="C1969" s="1">
        <v>25111321420697</v>
      </c>
      <c r="D1969" s="1" t="s">
        <v>5899</v>
      </c>
      <c r="E1969" s="2">
        <v>45975</v>
      </c>
      <c r="F1969" s="1" t="s">
        <v>3509</v>
      </c>
      <c r="G1969" s="1" t="s">
        <v>5900</v>
      </c>
      <c r="H1969" s="1" t="s">
        <v>5901</v>
      </c>
      <c r="I1969" s="1">
        <v>1</v>
      </c>
      <c r="J1969" s="3">
        <v>14025</v>
      </c>
      <c r="K1969" s="3">
        <v>13038</v>
      </c>
      <c r="L1969" s="1">
        <v>0</v>
      </c>
      <c r="M1969" s="4">
        <v>0</v>
      </c>
      <c r="N1969" s="1">
        <v>987</v>
      </c>
      <c r="O1969" s="4">
        <v>7.0000000000000007E-2</v>
      </c>
      <c r="P1969" s="1" t="s">
        <v>2721</v>
      </c>
    </row>
    <row r="1970" spans="1:16">
      <c r="A1970" s="1" t="s">
        <v>649</v>
      </c>
      <c r="B1970" s="1">
        <v>11</v>
      </c>
      <c r="C1970" s="1">
        <v>25111320283397</v>
      </c>
      <c r="D1970" s="1" t="s">
        <v>1904</v>
      </c>
      <c r="E1970" s="2">
        <v>45975</v>
      </c>
      <c r="F1970" s="1" t="s">
        <v>48</v>
      </c>
      <c r="G1970" s="1" t="s">
        <v>1905</v>
      </c>
      <c r="H1970" s="1" t="s">
        <v>1906</v>
      </c>
      <c r="I1970" s="1">
        <v>1</v>
      </c>
      <c r="J1970" s="3">
        <v>32445</v>
      </c>
      <c r="K1970" s="3">
        <v>27615</v>
      </c>
      <c r="L1970" s="1">
        <v>0</v>
      </c>
      <c r="M1970" s="4">
        <v>0</v>
      </c>
      <c r="N1970" s="3">
        <v>4830</v>
      </c>
      <c r="O1970" s="4">
        <v>0.14899999999999999</v>
      </c>
      <c r="P1970" s="1" t="s">
        <v>2721</v>
      </c>
    </row>
    <row r="1971" spans="1:16">
      <c r="A1971" s="1" t="s">
        <v>649</v>
      </c>
      <c r="B1971" s="1">
        <v>11</v>
      </c>
      <c r="C1971" s="1">
        <v>25111320034490</v>
      </c>
      <c r="D1971" s="1" t="s">
        <v>2248</v>
      </c>
      <c r="E1971" s="2">
        <v>45975</v>
      </c>
      <c r="F1971" s="1" t="s">
        <v>2206</v>
      </c>
      <c r="G1971" s="1" t="s">
        <v>2249</v>
      </c>
      <c r="H1971" s="1" t="s">
        <v>5902</v>
      </c>
      <c r="I1971" s="1">
        <v>1</v>
      </c>
      <c r="J1971" s="3">
        <v>16643</v>
      </c>
      <c r="K1971" s="3">
        <v>14149</v>
      </c>
      <c r="L1971" s="1">
        <v>0</v>
      </c>
      <c r="M1971" s="4">
        <v>0</v>
      </c>
      <c r="N1971" s="3">
        <v>2494</v>
      </c>
      <c r="O1971" s="4">
        <v>0.15</v>
      </c>
      <c r="P1971" s="1" t="s">
        <v>2721</v>
      </c>
    </row>
    <row r="1972" spans="1:16">
      <c r="A1972" s="1" t="s">
        <v>649</v>
      </c>
      <c r="B1972" s="1">
        <v>11</v>
      </c>
      <c r="C1972" s="1">
        <v>25111316093371</v>
      </c>
      <c r="D1972" s="1" t="s">
        <v>2184</v>
      </c>
      <c r="E1972" s="2">
        <v>45975</v>
      </c>
      <c r="F1972" s="1" t="s">
        <v>500</v>
      </c>
      <c r="G1972" s="1" t="s">
        <v>2185</v>
      </c>
      <c r="H1972" s="1" t="s">
        <v>5903</v>
      </c>
      <c r="I1972" s="1">
        <v>1</v>
      </c>
      <c r="J1972" s="3">
        <v>104550</v>
      </c>
      <c r="K1972" s="3">
        <v>98000</v>
      </c>
      <c r="L1972" s="1">
        <v>0</v>
      </c>
      <c r="M1972" s="4">
        <v>0</v>
      </c>
      <c r="N1972" s="3">
        <v>6550</v>
      </c>
      <c r="O1972" s="4">
        <v>6.3E-2</v>
      </c>
      <c r="P1972" s="1" t="s">
        <v>2721</v>
      </c>
    </row>
    <row r="1973" spans="1:16">
      <c r="A1973" s="1" t="s">
        <v>649</v>
      </c>
      <c r="B1973" s="1">
        <v>11</v>
      </c>
      <c r="C1973" s="1">
        <v>25111315522198</v>
      </c>
      <c r="D1973" s="1" t="s">
        <v>3023</v>
      </c>
      <c r="E1973" s="2">
        <v>45975</v>
      </c>
      <c r="F1973" s="1" t="s">
        <v>235</v>
      </c>
      <c r="G1973" s="1" t="s">
        <v>3024</v>
      </c>
      <c r="H1973" s="1" t="s">
        <v>5904</v>
      </c>
      <c r="I1973" s="1">
        <v>1</v>
      </c>
      <c r="J1973" s="3">
        <v>22780</v>
      </c>
      <c r="K1973" s="3">
        <v>21340</v>
      </c>
      <c r="L1973" s="1">
        <v>0</v>
      </c>
      <c r="M1973" s="4">
        <v>0</v>
      </c>
      <c r="N1973" s="3">
        <v>1440</v>
      </c>
      <c r="O1973" s="4">
        <v>6.3E-2</v>
      </c>
      <c r="P1973" s="1" t="s">
        <v>2721</v>
      </c>
    </row>
    <row r="1974" spans="1:16">
      <c r="A1974" s="1" t="s">
        <v>649</v>
      </c>
      <c r="B1974" s="1">
        <v>11</v>
      </c>
      <c r="C1974" s="1">
        <v>25111315244482</v>
      </c>
      <c r="D1974" s="1" t="s">
        <v>4539</v>
      </c>
      <c r="E1974" s="2">
        <v>45975</v>
      </c>
      <c r="F1974" s="1" t="s">
        <v>63</v>
      </c>
      <c r="G1974" s="1" t="s">
        <v>4540</v>
      </c>
      <c r="H1974" s="1" t="s">
        <v>5905</v>
      </c>
      <c r="I1974" s="1">
        <v>1</v>
      </c>
      <c r="J1974" s="3">
        <v>15725</v>
      </c>
      <c r="K1974" s="3">
        <v>15690</v>
      </c>
      <c r="L1974" s="1">
        <v>0</v>
      </c>
      <c r="M1974" s="4">
        <v>0</v>
      </c>
      <c r="N1974" s="1">
        <v>35</v>
      </c>
      <c r="O1974" s="4">
        <v>2E-3</v>
      </c>
      <c r="P1974" s="1" t="s">
        <v>2721</v>
      </c>
    </row>
    <row r="1975" spans="1:16">
      <c r="A1975" s="1" t="s">
        <v>649</v>
      </c>
      <c r="B1975" s="1">
        <v>11</v>
      </c>
      <c r="C1975" s="1">
        <v>25111314440596</v>
      </c>
      <c r="D1975" s="1" t="s">
        <v>5906</v>
      </c>
      <c r="E1975" s="2">
        <v>45975</v>
      </c>
      <c r="F1975" s="1" t="s">
        <v>3509</v>
      </c>
      <c r="G1975" s="1" t="s">
        <v>5907</v>
      </c>
      <c r="H1975" s="1" t="s">
        <v>5908</v>
      </c>
      <c r="I1975" s="1">
        <v>2</v>
      </c>
      <c r="J1975" s="3">
        <v>32131</v>
      </c>
      <c r="K1975" s="3">
        <v>26076</v>
      </c>
      <c r="L1975" s="1">
        <v>0</v>
      </c>
      <c r="M1975" s="4">
        <v>0</v>
      </c>
      <c r="N1975" s="3">
        <v>6055</v>
      </c>
      <c r="O1975" s="4">
        <v>0.188</v>
      </c>
      <c r="P1975" s="1" t="s">
        <v>2721</v>
      </c>
    </row>
    <row r="1976" spans="1:16">
      <c r="A1976" s="1" t="s">
        <v>649</v>
      </c>
      <c r="B1976" s="1">
        <v>11</v>
      </c>
      <c r="C1976" s="1">
        <v>25111313273670</v>
      </c>
      <c r="D1976" s="1" t="s">
        <v>5909</v>
      </c>
      <c r="E1976" s="2">
        <v>45975</v>
      </c>
      <c r="F1976" s="1" t="s">
        <v>2636</v>
      </c>
      <c r="G1976" s="1" t="s">
        <v>5910</v>
      </c>
      <c r="H1976" s="1" t="s">
        <v>5911</v>
      </c>
      <c r="I1976" s="1">
        <v>1</v>
      </c>
      <c r="J1976" s="3">
        <v>12716</v>
      </c>
      <c r="K1976" s="3">
        <v>10787</v>
      </c>
      <c r="L1976" s="1">
        <v>0</v>
      </c>
      <c r="M1976" s="4">
        <v>0</v>
      </c>
      <c r="N1976" s="3">
        <v>1929</v>
      </c>
      <c r="O1976" s="4">
        <v>0.152</v>
      </c>
      <c r="P1976" s="1" t="s">
        <v>2721</v>
      </c>
    </row>
    <row r="1977" spans="1:16">
      <c r="A1977" s="1" t="s">
        <v>1917</v>
      </c>
      <c r="B1977" s="1">
        <v>11</v>
      </c>
      <c r="C1977" s="1">
        <v>1.16691763018441E+20</v>
      </c>
      <c r="D1977" s="1" t="s">
        <v>5912</v>
      </c>
      <c r="E1977" s="2">
        <v>45975</v>
      </c>
      <c r="F1977" s="1" t="s">
        <v>524</v>
      </c>
      <c r="G1977" s="1" t="s">
        <v>5913</v>
      </c>
      <c r="H1977" s="1" t="s">
        <v>5914</v>
      </c>
      <c r="I1977" s="1">
        <v>1</v>
      </c>
      <c r="J1977" s="3">
        <v>19040</v>
      </c>
      <c r="K1977" s="3">
        <v>13200</v>
      </c>
      <c r="L1977" s="1">
        <v>0</v>
      </c>
      <c r="M1977" s="4">
        <v>0</v>
      </c>
      <c r="N1977" s="3">
        <v>5840</v>
      </c>
      <c r="O1977" s="4">
        <v>0.307</v>
      </c>
      <c r="P1977" s="1" t="s">
        <v>2721</v>
      </c>
    </row>
    <row r="1978" spans="1:16">
      <c r="A1978" s="1" t="s">
        <v>1917</v>
      </c>
      <c r="B1978" s="1">
        <v>11</v>
      </c>
      <c r="C1978" s="1">
        <v>1.16671763016967E+20</v>
      </c>
      <c r="D1978" s="1" t="s">
        <v>5915</v>
      </c>
      <c r="E1978" s="2">
        <v>45975</v>
      </c>
      <c r="F1978" s="1" t="s">
        <v>5599</v>
      </c>
      <c r="G1978" s="1" t="s">
        <v>5916</v>
      </c>
      <c r="H1978" s="1" t="s">
        <v>5917</v>
      </c>
      <c r="I1978" s="1">
        <v>1</v>
      </c>
      <c r="J1978" s="3">
        <v>15215</v>
      </c>
      <c r="K1978" s="3">
        <v>13723</v>
      </c>
      <c r="L1978" s="1">
        <v>0</v>
      </c>
      <c r="M1978" s="4">
        <v>0</v>
      </c>
      <c r="N1978" s="3">
        <v>1492</v>
      </c>
      <c r="O1978" s="4">
        <v>9.8000000000000004E-2</v>
      </c>
      <c r="P1978" s="1" t="s">
        <v>2721</v>
      </c>
    </row>
    <row r="1979" spans="1:16">
      <c r="A1979" s="1" t="s">
        <v>1917</v>
      </c>
      <c r="B1979" s="1">
        <v>11</v>
      </c>
      <c r="C1979" s="1">
        <v>1.1663176301429899E+20</v>
      </c>
      <c r="D1979" s="1" t="s">
        <v>5918</v>
      </c>
      <c r="E1979" s="2">
        <v>45975</v>
      </c>
      <c r="F1979" s="1" t="s">
        <v>3037</v>
      </c>
      <c r="G1979" s="1" t="s">
        <v>5919</v>
      </c>
      <c r="H1979" s="1" t="s">
        <v>5920</v>
      </c>
      <c r="I1979" s="1">
        <v>1</v>
      </c>
      <c r="J1979" s="3">
        <v>19980</v>
      </c>
      <c r="K1979" s="3">
        <v>16884</v>
      </c>
      <c r="L1979" s="1">
        <v>0</v>
      </c>
      <c r="M1979" s="4">
        <v>0</v>
      </c>
      <c r="N1979" s="3">
        <v>3096</v>
      </c>
      <c r="O1979" s="4">
        <v>0.155</v>
      </c>
      <c r="P1979" s="1" t="s">
        <v>2721</v>
      </c>
    </row>
    <row r="1980" spans="1:16">
      <c r="A1980" s="1" t="s">
        <v>1917</v>
      </c>
      <c r="B1980" s="1">
        <v>11</v>
      </c>
      <c r="C1980" s="1">
        <v>1.1659176301196499E+20</v>
      </c>
      <c r="D1980" s="1" t="s">
        <v>5921</v>
      </c>
      <c r="E1980" s="2">
        <v>45975</v>
      </c>
      <c r="F1980" s="1" t="s">
        <v>3625</v>
      </c>
      <c r="G1980" s="1" t="s">
        <v>5922</v>
      </c>
      <c r="H1980" s="1" t="s">
        <v>5923</v>
      </c>
      <c r="I1980" s="1">
        <v>1</v>
      </c>
      <c r="J1980" s="3">
        <v>21510</v>
      </c>
      <c r="K1980" s="3">
        <v>17259</v>
      </c>
      <c r="L1980" s="1">
        <v>0</v>
      </c>
      <c r="M1980" s="4">
        <v>0</v>
      </c>
      <c r="N1980" s="3">
        <v>4251</v>
      </c>
      <c r="O1980" s="4">
        <v>0.19800000000000001</v>
      </c>
      <c r="P1980" s="1" t="s">
        <v>2721</v>
      </c>
    </row>
    <row r="1981" spans="1:16">
      <c r="A1981" s="1" t="s">
        <v>1917</v>
      </c>
      <c r="B1981" s="1">
        <v>11</v>
      </c>
      <c r="C1981" s="1">
        <v>1.1671176302869299E+20</v>
      </c>
      <c r="D1981" s="1" t="s">
        <v>5924</v>
      </c>
      <c r="E1981" s="2">
        <v>45975</v>
      </c>
      <c r="F1981" s="1" t="s">
        <v>3343</v>
      </c>
      <c r="G1981" s="1" t="s">
        <v>5925</v>
      </c>
      <c r="H1981" s="1" t="s">
        <v>5926</v>
      </c>
      <c r="I1981" s="1">
        <v>1</v>
      </c>
      <c r="J1981" s="3">
        <v>26280</v>
      </c>
      <c r="K1981" s="3">
        <v>22231</v>
      </c>
      <c r="L1981" s="1">
        <v>0</v>
      </c>
      <c r="M1981" s="4">
        <v>0</v>
      </c>
      <c r="N1981" s="3">
        <v>4049</v>
      </c>
      <c r="O1981" s="4">
        <v>0.154</v>
      </c>
      <c r="P1981" s="1" t="s">
        <v>2721</v>
      </c>
    </row>
    <row r="1982" spans="1:16">
      <c r="A1982" s="1" t="s">
        <v>1917</v>
      </c>
      <c r="B1982" s="1">
        <v>11</v>
      </c>
      <c r="C1982" s="1">
        <v>1.16721763029013E+20</v>
      </c>
      <c r="D1982" s="1" t="s">
        <v>5927</v>
      </c>
      <c r="E1982" s="2">
        <v>45975</v>
      </c>
      <c r="F1982" s="1" t="s">
        <v>524</v>
      </c>
      <c r="G1982" s="1" t="s">
        <v>5928</v>
      </c>
      <c r="H1982" s="1" t="s">
        <v>5929</v>
      </c>
      <c r="I1982" s="1">
        <v>1</v>
      </c>
      <c r="J1982" s="3">
        <v>11610</v>
      </c>
      <c r="K1982" s="3">
        <v>9020</v>
      </c>
      <c r="L1982" s="1">
        <v>0</v>
      </c>
      <c r="M1982" s="4">
        <v>0</v>
      </c>
      <c r="N1982" s="3">
        <v>2590</v>
      </c>
      <c r="O1982" s="4">
        <v>0.223</v>
      </c>
      <c r="P1982" s="1" t="s">
        <v>2721</v>
      </c>
    </row>
    <row r="1983" spans="1:16">
      <c r="A1983" s="1" t="s">
        <v>1849</v>
      </c>
      <c r="B1983" s="1">
        <v>11</v>
      </c>
      <c r="C1983" s="1">
        <v>288493</v>
      </c>
      <c r="D1983" s="1" t="s">
        <v>3032</v>
      </c>
      <c r="E1983" s="2">
        <v>45975</v>
      </c>
      <c r="F1983" s="1" t="s">
        <v>3033</v>
      </c>
      <c r="G1983" s="1" t="s">
        <v>3034</v>
      </c>
      <c r="H1983" s="1" t="s">
        <v>3035</v>
      </c>
      <c r="I1983" s="1">
        <v>1</v>
      </c>
      <c r="J1983" s="3">
        <v>41900</v>
      </c>
      <c r="K1983" s="3">
        <v>32192</v>
      </c>
      <c r="L1983" s="3">
        <v>6285</v>
      </c>
      <c r="M1983" s="4">
        <v>0.15</v>
      </c>
      <c r="N1983" s="3">
        <v>3423</v>
      </c>
      <c r="O1983" s="4">
        <v>8.2000000000000003E-2</v>
      </c>
      <c r="P1983" s="1" t="s">
        <v>2721</v>
      </c>
    </row>
    <row r="1984" spans="1:16">
      <c r="A1984" s="1" t="s">
        <v>692</v>
      </c>
      <c r="B1984" s="1">
        <v>11</v>
      </c>
      <c r="C1984" s="1" t="s">
        <v>5930</v>
      </c>
      <c r="D1984" s="1" t="s">
        <v>5931</v>
      </c>
      <c r="E1984" s="2">
        <v>45975</v>
      </c>
      <c r="F1984" s="1" t="s">
        <v>96</v>
      </c>
      <c r="G1984" s="1" t="s">
        <v>5932</v>
      </c>
      <c r="H1984" s="1" t="s">
        <v>3727</v>
      </c>
      <c r="I1984" s="1">
        <v>1</v>
      </c>
      <c r="J1984" s="3">
        <v>16490</v>
      </c>
      <c r="K1984" s="3">
        <v>15447</v>
      </c>
      <c r="L1984" s="1">
        <v>0</v>
      </c>
      <c r="M1984" s="4">
        <v>0</v>
      </c>
      <c r="N1984" s="3">
        <v>1043</v>
      </c>
      <c r="O1984" s="4">
        <v>6.3E-2</v>
      </c>
      <c r="P1984" s="1" t="s">
        <v>2721</v>
      </c>
    </row>
    <row r="1985" spans="1:16">
      <c r="A1985" s="1" t="s">
        <v>692</v>
      </c>
      <c r="B1985" s="1">
        <v>11</v>
      </c>
      <c r="C1985" s="1" t="s">
        <v>5933</v>
      </c>
      <c r="D1985" s="1" t="s">
        <v>694</v>
      </c>
      <c r="E1985" s="2">
        <v>45975</v>
      </c>
      <c r="F1985" s="1" t="s">
        <v>96</v>
      </c>
      <c r="G1985" s="1" t="s">
        <v>695</v>
      </c>
      <c r="H1985" s="1" t="s">
        <v>696</v>
      </c>
      <c r="I1985" s="1">
        <v>1</v>
      </c>
      <c r="J1985" s="3">
        <v>16065</v>
      </c>
      <c r="K1985" s="3">
        <v>14584</v>
      </c>
      <c r="L1985" s="1">
        <v>0</v>
      </c>
      <c r="M1985" s="4">
        <v>0</v>
      </c>
      <c r="N1985" s="3">
        <v>1481</v>
      </c>
      <c r="O1985" s="4">
        <v>9.1999999999999998E-2</v>
      </c>
      <c r="P1985" s="1" t="s">
        <v>2721</v>
      </c>
    </row>
    <row r="1986" spans="1:16">
      <c r="A1986" s="1" t="s">
        <v>692</v>
      </c>
      <c r="B1986" s="1">
        <v>11</v>
      </c>
      <c r="C1986" s="1" t="s">
        <v>5934</v>
      </c>
      <c r="D1986" s="1" t="s">
        <v>5935</v>
      </c>
      <c r="E1986" s="2">
        <v>45975</v>
      </c>
      <c r="F1986" s="1" t="s">
        <v>302</v>
      </c>
      <c r="G1986" s="1" t="s">
        <v>5936</v>
      </c>
      <c r="H1986" s="1" t="s">
        <v>1449</v>
      </c>
      <c r="I1986" s="1">
        <v>1</v>
      </c>
      <c r="J1986" s="3">
        <v>22865</v>
      </c>
      <c r="K1986" s="3">
        <v>20711</v>
      </c>
      <c r="L1986" s="1">
        <v>0</v>
      </c>
      <c r="M1986" s="4">
        <v>0</v>
      </c>
      <c r="N1986" s="3">
        <v>2154</v>
      </c>
      <c r="O1986" s="4">
        <v>9.4E-2</v>
      </c>
      <c r="P1986" s="1" t="s">
        <v>2721</v>
      </c>
    </row>
    <row r="1987" spans="1:16">
      <c r="A1987" s="1" t="s">
        <v>692</v>
      </c>
      <c r="B1987" s="1">
        <v>11</v>
      </c>
      <c r="C1987" s="1" t="s">
        <v>5937</v>
      </c>
      <c r="D1987" s="1" t="s">
        <v>5938</v>
      </c>
      <c r="E1987" s="2">
        <v>45975</v>
      </c>
      <c r="F1987" s="1" t="s">
        <v>33</v>
      </c>
      <c r="G1987" s="1" t="s">
        <v>5939</v>
      </c>
      <c r="H1987" s="1" t="s">
        <v>5940</v>
      </c>
      <c r="I1987" s="1">
        <v>1</v>
      </c>
      <c r="J1987" s="3">
        <v>79645</v>
      </c>
      <c r="K1987" s="3">
        <v>72127</v>
      </c>
      <c r="L1987" s="1">
        <v>0</v>
      </c>
      <c r="M1987" s="4">
        <v>0</v>
      </c>
      <c r="N1987" s="3">
        <v>7518</v>
      </c>
      <c r="O1987" s="4">
        <v>9.4E-2</v>
      </c>
      <c r="P1987" s="1" t="s">
        <v>2721</v>
      </c>
    </row>
    <row r="1988" spans="1:16">
      <c r="A1988" s="1" t="s">
        <v>692</v>
      </c>
      <c r="B1988" s="1">
        <v>11</v>
      </c>
      <c r="C1988" s="1" t="s">
        <v>5941</v>
      </c>
      <c r="D1988" s="1" t="s">
        <v>5942</v>
      </c>
      <c r="E1988" s="2">
        <v>45975</v>
      </c>
      <c r="F1988" s="1" t="s">
        <v>96</v>
      </c>
      <c r="G1988" s="1" t="s">
        <v>5943</v>
      </c>
      <c r="H1988" s="1" t="s">
        <v>5944</v>
      </c>
      <c r="I1988" s="1">
        <v>1</v>
      </c>
      <c r="J1988" s="3">
        <v>11390</v>
      </c>
      <c r="K1988" s="3">
        <v>10269</v>
      </c>
      <c r="L1988" s="1">
        <v>0</v>
      </c>
      <c r="M1988" s="4">
        <v>0</v>
      </c>
      <c r="N1988" s="3">
        <v>1121</v>
      </c>
      <c r="O1988" s="4">
        <v>9.8000000000000004E-2</v>
      </c>
      <c r="P1988" s="1" t="s">
        <v>2721</v>
      </c>
    </row>
    <row r="1989" spans="1:16">
      <c r="A1989" s="1" t="s">
        <v>692</v>
      </c>
      <c r="B1989" s="1">
        <v>11</v>
      </c>
      <c r="C1989" s="1" t="s">
        <v>5945</v>
      </c>
      <c r="D1989" s="1" t="s">
        <v>694</v>
      </c>
      <c r="E1989" s="2">
        <v>45975</v>
      </c>
      <c r="F1989" s="1" t="s">
        <v>96</v>
      </c>
      <c r="G1989" s="1" t="s">
        <v>695</v>
      </c>
      <c r="H1989" s="1" t="s">
        <v>696</v>
      </c>
      <c r="I1989" s="1">
        <v>1</v>
      </c>
      <c r="J1989" s="3">
        <v>16065</v>
      </c>
      <c r="K1989" s="3">
        <v>14584</v>
      </c>
      <c r="L1989" s="1">
        <v>0</v>
      </c>
      <c r="M1989" s="4">
        <v>0</v>
      </c>
      <c r="N1989" s="3">
        <v>1481</v>
      </c>
      <c r="O1989" s="4">
        <v>9.1999999999999998E-2</v>
      </c>
      <c r="P1989" s="1" t="s">
        <v>2721</v>
      </c>
    </row>
    <row r="1990" spans="1:16">
      <c r="A1990" s="1" t="s">
        <v>2033</v>
      </c>
      <c r="B1990" s="1">
        <v>11</v>
      </c>
      <c r="C1990" s="1">
        <v>2.0251113184410099E+18</v>
      </c>
      <c r="D1990" s="1" t="s">
        <v>2184</v>
      </c>
      <c r="E1990" s="2">
        <v>45975</v>
      </c>
      <c r="F1990" s="1" t="s">
        <v>500</v>
      </c>
      <c r="G1990" s="1" t="s">
        <v>2185</v>
      </c>
      <c r="H1990" s="1" t="s">
        <v>1678</v>
      </c>
      <c r="I1990" s="1">
        <v>1</v>
      </c>
      <c r="J1990" s="3">
        <v>100300</v>
      </c>
      <c r="K1990" s="3">
        <v>98000</v>
      </c>
      <c r="L1990" s="1">
        <v>0</v>
      </c>
      <c r="M1990" s="4">
        <v>0</v>
      </c>
      <c r="N1990" s="3">
        <v>2300</v>
      </c>
      <c r="O1990" s="4">
        <v>2.3E-2</v>
      </c>
      <c r="P1990" s="1" t="s">
        <v>2721</v>
      </c>
    </row>
    <row r="1991" spans="1:16">
      <c r="A1991" s="1" t="s">
        <v>2033</v>
      </c>
      <c r="B1991" s="1">
        <v>11</v>
      </c>
      <c r="C1991" s="1">
        <v>2.02511131731551E+18</v>
      </c>
      <c r="D1991" s="1" t="s">
        <v>2184</v>
      </c>
      <c r="E1991" s="2">
        <v>45975</v>
      </c>
      <c r="F1991" s="1" t="s">
        <v>500</v>
      </c>
      <c r="G1991" s="1" t="s">
        <v>2185</v>
      </c>
      <c r="H1991" s="1" t="s">
        <v>1678</v>
      </c>
      <c r="I1991" s="1">
        <v>1</v>
      </c>
      <c r="J1991" s="3">
        <v>100300</v>
      </c>
      <c r="K1991" s="3">
        <v>98000</v>
      </c>
      <c r="L1991" s="1">
        <v>0</v>
      </c>
      <c r="M1991" s="4">
        <v>0</v>
      </c>
      <c r="N1991" s="3">
        <v>2300</v>
      </c>
      <c r="O1991" s="4">
        <v>2.3E-2</v>
      </c>
      <c r="P1991" s="1" t="s">
        <v>2721</v>
      </c>
    </row>
    <row r="1992" spans="1:16">
      <c r="A1992" s="1" t="s">
        <v>2033</v>
      </c>
      <c r="B1992" s="1">
        <v>11</v>
      </c>
      <c r="C1992" s="1">
        <v>2.02511131043231E+18</v>
      </c>
      <c r="D1992" s="1" t="s">
        <v>2184</v>
      </c>
      <c r="E1992" s="2">
        <v>45975</v>
      </c>
      <c r="F1992" s="1" t="s">
        <v>500</v>
      </c>
      <c r="G1992" s="1" t="s">
        <v>2185</v>
      </c>
      <c r="H1992" s="1" t="s">
        <v>1678</v>
      </c>
      <c r="I1992" s="1">
        <v>1</v>
      </c>
      <c r="J1992" s="3">
        <v>100300</v>
      </c>
      <c r="K1992" s="3">
        <v>98000</v>
      </c>
      <c r="L1992" s="1">
        <v>0</v>
      </c>
      <c r="M1992" s="4">
        <v>0</v>
      </c>
      <c r="N1992" s="3">
        <v>2300</v>
      </c>
      <c r="O1992" s="4">
        <v>2.3E-2</v>
      </c>
      <c r="P1992" s="1" t="s">
        <v>2721</v>
      </c>
    </row>
    <row r="1993" spans="1:16">
      <c r="A1993" s="1" t="s">
        <v>702</v>
      </c>
      <c r="B1993" s="1">
        <v>11</v>
      </c>
      <c r="C1993" s="1" t="s">
        <v>5946</v>
      </c>
      <c r="D1993" s="1" t="s">
        <v>4608</v>
      </c>
      <c r="E1993" s="2">
        <v>45975</v>
      </c>
      <c r="F1993" s="1" t="s">
        <v>554</v>
      </c>
      <c r="G1993" s="1" t="s">
        <v>4609</v>
      </c>
      <c r="H1993" s="1" t="s">
        <v>5947</v>
      </c>
      <c r="I1993" s="1">
        <v>1</v>
      </c>
      <c r="J1993" s="3">
        <v>10000</v>
      </c>
      <c r="K1993" s="3">
        <v>7663</v>
      </c>
      <c r="L1993" s="1">
        <v>0</v>
      </c>
      <c r="M1993" s="4">
        <v>0</v>
      </c>
      <c r="N1993" s="3">
        <v>2337</v>
      </c>
      <c r="O1993" s="4">
        <v>0.23400000000000001</v>
      </c>
      <c r="P1993" s="1" t="s">
        <v>2721</v>
      </c>
    </row>
    <row r="1994" spans="1:16">
      <c r="A1994" s="1" t="s">
        <v>702</v>
      </c>
      <c r="B1994" s="1">
        <v>11</v>
      </c>
      <c r="C1994" s="1" t="s">
        <v>5948</v>
      </c>
      <c r="D1994" s="1" t="s">
        <v>5949</v>
      </c>
      <c r="E1994" s="2">
        <v>45975</v>
      </c>
      <c r="F1994" s="1" t="s">
        <v>96</v>
      </c>
      <c r="G1994" s="1" t="s">
        <v>5950</v>
      </c>
      <c r="H1994" s="1" t="s">
        <v>5951</v>
      </c>
      <c r="I1994" s="1">
        <v>1</v>
      </c>
      <c r="J1994" s="3">
        <v>11000</v>
      </c>
      <c r="K1994" s="3">
        <v>8457</v>
      </c>
      <c r="L1994" s="1">
        <v>0</v>
      </c>
      <c r="M1994" s="4">
        <v>0</v>
      </c>
      <c r="N1994" s="3">
        <v>2543</v>
      </c>
      <c r="O1994" s="4">
        <v>0.23100000000000001</v>
      </c>
      <c r="P1994" s="1" t="s">
        <v>2721</v>
      </c>
    </row>
    <row r="1995" spans="1:16">
      <c r="A1995" s="1" t="s">
        <v>702</v>
      </c>
      <c r="B1995" s="1">
        <v>11</v>
      </c>
      <c r="C1995" s="1" t="s">
        <v>5952</v>
      </c>
      <c r="D1995" s="1" t="s">
        <v>5953</v>
      </c>
      <c r="E1995" s="2">
        <v>45975</v>
      </c>
      <c r="F1995" s="1" t="s">
        <v>554</v>
      </c>
      <c r="G1995" s="1" t="s">
        <v>5954</v>
      </c>
      <c r="H1995" s="1" t="s">
        <v>5955</v>
      </c>
      <c r="I1995" s="1">
        <v>1</v>
      </c>
      <c r="J1995" s="3">
        <v>53300</v>
      </c>
      <c r="K1995" s="3">
        <v>40991</v>
      </c>
      <c r="L1995" s="1">
        <v>0</v>
      </c>
      <c r="M1995" s="4">
        <v>0</v>
      </c>
      <c r="N1995" s="3">
        <v>12309</v>
      </c>
      <c r="O1995" s="4">
        <v>0.23100000000000001</v>
      </c>
      <c r="P1995" s="1" t="s">
        <v>2721</v>
      </c>
    </row>
    <row r="1996" spans="1:16">
      <c r="A1996" s="1" t="s">
        <v>2736</v>
      </c>
      <c r="B1996" s="1">
        <v>11</v>
      </c>
      <c r="C1996" s="1">
        <v>2.0251113232630301E+17</v>
      </c>
      <c r="D1996" s="1" t="s">
        <v>5956</v>
      </c>
      <c r="E1996" s="2">
        <v>45975</v>
      </c>
      <c r="F1996" s="1" t="s">
        <v>5957</v>
      </c>
      <c r="G1996" s="1" t="s">
        <v>5958</v>
      </c>
      <c r="H1996" s="1" t="s">
        <v>5959</v>
      </c>
      <c r="I1996" s="1">
        <v>1</v>
      </c>
      <c r="J1996" s="3">
        <v>28900</v>
      </c>
      <c r="K1996" s="3">
        <v>22512</v>
      </c>
      <c r="L1996" s="3">
        <v>4335</v>
      </c>
      <c r="M1996" s="4">
        <v>0.15</v>
      </c>
      <c r="N1996" s="3">
        <v>2053</v>
      </c>
      <c r="O1996" s="4">
        <v>7.0999999999999994E-2</v>
      </c>
      <c r="P1996" s="1" t="s">
        <v>2721</v>
      </c>
    </row>
    <row r="1997" spans="1:16">
      <c r="A1997" s="1" t="s">
        <v>707</v>
      </c>
      <c r="B1997" s="1">
        <v>11</v>
      </c>
      <c r="C1997" s="1">
        <v>2.0251113110913501E+17</v>
      </c>
      <c r="D1997" s="1" t="s">
        <v>2657</v>
      </c>
      <c r="E1997" s="2">
        <v>45975</v>
      </c>
      <c r="F1997" s="1" t="s">
        <v>235</v>
      </c>
      <c r="G1997" s="1" t="s">
        <v>2658</v>
      </c>
      <c r="H1997" s="1" t="s">
        <v>2659</v>
      </c>
      <c r="I1997" s="1">
        <v>1</v>
      </c>
      <c r="J1997" s="3">
        <v>29000</v>
      </c>
      <c r="K1997" s="3">
        <v>21668</v>
      </c>
      <c r="L1997" s="3">
        <v>4350</v>
      </c>
      <c r="M1997" s="4">
        <v>0.15</v>
      </c>
      <c r="N1997" s="3">
        <v>2982</v>
      </c>
      <c r="O1997" s="4">
        <v>0.10299999999999999</v>
      </c>
      <c r="P1997" s="1" t="s">
        <v>2721</v>
      </c>
    </row>
    <row r="1998" spans="1:16">
      <c r="A1998" s="1" t="s">
        <v>707</v>
      </c>
      <c r="B1998" s="1">
        <v>11</v>
      </c>
      <c r="C1998" s="1">
        <v>2.0251114070015802E+17</v>
      </c>
      <c r="D1998" s="1" t="s">
        <v>2071</v>
      </c>
      <c r="E1998" s="2">
        <v>45975</v>
      </c>
      <c r="F1998" s="1" t="s">
        <v>235</v>
      </c>
      <c r="G1998" s="1" t="s">
        <v>2072</v>
      </c>
      <c r="H1998" s="1" t="s">
        <v>2073</v>
      </c>
      <c r="I1998" s="1">
        <v>1</v>
      </c>
      <c r="J1998" s="3">
        <v>9800</v>
      </c>
      <c r="K1998" s="3">
        <v>7739</v>
      </c>
      <c r="L1998" s="3">
        <v>1470</v>
      </c>
      <c r="M1998" s="4">
        <v>0.15</v>
      </c>
      <c r="N1998" s="1">
        <v>591</v>
      </c>
      <c r="O1998" s="4">
        <v>0.06</v>
      </c>
      <c r="P1998" s="1" t="s">
        <v>2721</v>
      </c>
    </row>
    <row r="1999" spans="1:16">
      <c r="A1999" s="1" t="s">
        <v>707</v>
      </c>
      <c r="B1999" s="1">
        <v>11</v>
      </c>
      <c r="C1999" s="1">
        <v>2.0251114070113798E+17</v>
      </c>
      <c r="D1999" s="1" t="s">
        <v>2071</v>
      </c>
      <c r="E1999" s="2">
        <v>45975</v>
      </c>
      <c r="F1999" s="1" t="s">
        <v>235</v>
      </c>
      <c r="G1999" s="1" t="s">
        <v>2072</v>
      </c>
      <c r="H1999" s="1" t="s">
        <v>2073</v>
      </c>
      <c r="I1999" s="1">
        <v>1</v>
      </c>
      <c r="J1999" s="3">
        <v>9800</v>
      </c>
      <c r="K1999" s="3">
        <v>7739</v>
      </c>
      <c r="L1999" s="3">
        <v>1470</v>
      </c>
      <c r="M1999" s="4">
        <v>0.15</v>
      </c>
      <c r="N1999" s="1">
        <v>591</v>
      </c>
      <c r="O1999" s="4">
        <v>0.06</v>
      </c>
      <c r="P1999" s="1" t="s">
        <v>2721</v>
      </c>
    </row>
    <row r="2000" spans="1:16">
      <c r="A2000" s="1" t="s">
        <v>707</v>
      </c>
      <c r="B2000" s="1">
        <v>11</v>
      </c>
      <c r="C2000" s="1">
        <v>2.0251114070229798E+17</v>
      </c>
      <c r="D2000" s="1" t="s">
        <v>2071</v>
      </c>
      <c r="E2000" s="2">
        <v>45975</v>
      </c>
      <c r="F2000" s="1" t="s">
        <v>235</v>
      </c>
      <c r="G2000" s="1" t="s">
        <v>2072</v>
      </c>
      <c r="H2000" s="1" t="s">
        <v>2073</v>
      </c>
      <c r="I2000" s="1">
        <v>1</v>
      </c>
      <c r="J2000" s="3">
        <v>9800</v>
      </c>
      <c r="K2000" s="3">
        <v>7739</v>
      </c>
      <c r="L2000" s="3">
        <v>1470</v>
      </c>
      <c r="M2000" s="4">
        <v>0.15</v>
      </c>
      <c r="N2000" s="1">
        <v>591</v>
      </c>
      <c r="O2000" s="4">
        <v>0.06</v>
      </c>
      <c r="P2000" s="1" t="s">
        <v>2721</v>
      </c>
    </row>
    <row r="2001" spans="1:16">
      <c r="A2001" s="1" t="s">
        <v>2082</v>
      </c>
      <c r="B2001" s="1">
        <v>11</v>
      </c>
      <c r="C2001" s="1">
        <v>2.0251113182615299E+17</v>
      </c>
      <c r="D2001" s="1" t="s">
        <v>5302</v>
      </c>
      <c r="E2001" s="2">
        <v>45975</v>
      </c>
      <c r="F2001" s="1" t="s">
        <v>256</v>
      </c>
      <c r="G2001" s="1" t="s">
        <v>5303</v>
      </c>
      <c r="H2001" s="1" t="s">
        <v>5960</v>
      </c>
      <c r="I2001" s="1">
        <v>1</v>
      </c>
      <c r="J2001" s="3">
        <v>9000</v>
      </c>
      <c r="K2001" s="3">
        <v>4718</v>
      </c>
      <c r="L2001" s="3">
        <v>1350</v>
      </c>
      <c r="M2001" s="4">
        <v>0.15</v>
      </c>
      <c r="N2001" s="3">
        <v>2932</v>
      </c>
      <c r="O2001" s="4">
        <v>0.32600000000000001</v>
      </c>
      <c r="P2001" s="1" t="s">
        <v>2721</v>
      </c>
    </row>
    <row r="2002" spans="1:16">
      <c r="A2002" s="1" t="s">
        <v>2082</v>
      </c>
      <c r="B2002" s="1">
        <v>11</v>
      </c>
      <c r="C2002" s="1">
        <v>2.0251113203638701E+17</v>
      </c>
      <c r="D2002" s="1" t="s">
        <v>5961</v>
      </c>
      <c r="E2002" s="2">
        <v>45975</v>
      </c>
      <c r="F2002" s="1" t="s">
        <v>297</v>
      </c>
      <c r="G2002" s="1" t="s">
        <v>5962</v>
      </c>
      <c r="H2002" s="1" t="s">
        <v>5963</v>
      </c>
      <c r="I2002" s="1">
        <v>1</v>
      </c>
      <c r="J2002" s="3">
        <v>45000</v>
      </c>
      <c r="K2002" s="3">
        <v>30485</v>
      </c>
      <c r="L2002" s="3">
        <v>6750</v>
      </c>
      <c r="M2002" s="4">
        <v>0.15</v>
      </c>
      <c r="N2002" s="3">
        <v>7765</v>
      </c>
      <c r="O2002" s="4">
        <v>0.17299999999999999</v>
      </c>
      <c r="P2002" s="1" t="s">
        <v>2721</v>
      </c>
    </row>
    <row r="2003" spans="1:16">
      <c r="A2003" s="1" t="s">
        <v>711</v>
      </c>
      <c r="B2003" s="1">
        <v>11</v>
      </c>
      <c r="C2003" s="1">
        <v>2.0251113143123299E+17</v>
      </c>
      <c r="D2003" s="1" t="s">
        <v>5964</v>
      </c>
      <c r="E2003" s="2">
        <v>45975</v>
      </c>
      <c r="F2003" s="1" t="s">
        <v>58</v>
      </c>
      <c r="G2003" s="1" t="s">
        <v>5965</v>
      </c>
      <c r="H2003" s="1" t="s">
        <v>5966</v>
      </c>
      <c r="I2003" s="1">
        <v>1</v>
      </c>
      <c r="J2003" s="3">
        <v>28000</v>
      </c>
      <c r="K2003" s="3">
        <v>20167</v>
      </c>
      <c r="L2003" s="3">
        <v>4200</v>
      </c>
      <c r="M2003" s="4">
        <v>0.15</v>
      </c>
      <c r="N2003" s="3">
        <v>3633</v>
      </c>
      <c r="O2003" s="4">
        <v>0.13</v>
      </c>
      <c r="P2003" s="1" t="s">
        <v>2721</v>
      </c>
    </row>
    <row r="2004" spans="1:16">
      <c r="A2004" s="1" t="s">
        <v>718</v>
      </c>
      <c r="B2004" s="1">
        <v>11</v>
      </c>
      <c r="C2004" s="1">
        <v>2.0251113225918598E+17</v>
      </c>
      <c r="D2004" s="1" t="s">
        <v>5967</v>
      </c>
      <c r="E2004" s="2">
        <v>45975</v>
      </c>
      <c r="F2004" s="1" t="s">
        <v>1513</v>
      </c>
      <c r="G2004" s="1" t="s">
        <v>5968</v>
      </c>
      <c r="H2004" s="1" t="s">
        <v>5969</v>
      </c>
      <c r="I2004" s="1">
        <v>1</v>
      </c>
      <c r="J2004" s="3">
        <v>9900</v>
      </c>
      <c r="K2004" s="3">
        <v>4550</v>
      </c>
      <c r="L2004" s="1">
        <v>990</v>
      </c>
      <c r="M2004" s="4">
        <v>0.1</v>
      </c>
      <c r="N2004" s="3">
        <v>4360</v>
      </c>
      <c r="O2004" s="4">
        <v>0.44</v>
      </c>
      <c r="P2004" s="1" t="s">
        <v>2721</v>
      </c>
    </row>
    <row r="2005" spans="1:16">
      <c r="A2005" s="1" t="s">
        <v>718</v>
      </c>
      <c r="B2005" s="1">
        <v>11</v>
      </c>
      <c r="C2005" s="1">
        <v>2.0251113221923299E+17</v>
      </c>
      <c r="D2005" s="1" t="s">
        <v>5970</v>
      </c>
      <c r="E2005" s="2">
        <v>45975</v>
      </c>
      <c r="F2005" s="1" t="s">
        <v>1935</v>
      </c>
      <c r="G2005" s="1" t="s">
        <v>5971</v>
      </c>
      <c r="H2005" s="1" t="s">
        <v>5972</v>
      </c>
      <c r="I2005" s="1">
        <v>1</v>
      </c>
      <c r="J2005" s="3">
        <v>42000</v>
      </c>
      <c r="K2005" s="3">
        <v>29922</v>
      </c>
      <c r="L2005" s="3">
        <v>4200</v>
      </c>
      <c r="M2005" s="4">
        <v>0.1</v>
      </c>
      <c r="N2005" s="3">
        <v>7878</v>
      </c>
      <c r="O2005" s="4">
        <v>0.188</v>
      </c>
      <c r="P2005" s="1" t="s">
        <v>2721</v>
      </c>
    </row>
    <row r="2006" spans="1:16">
      <c r="A2006" s="1" t="s">
        <v>739</v>
      </c>
      <c r="B2006" s="1">
        <v>11</v>
      </c>
      <c r="C2006" s="1">
        <v>31423686</v>
      </c>
      <c r="D2006" s="1" t="s">
        <v>5973</v>
      </c>
      <c r="E2006" s="2">
        <v>45975</v>
      </c>
      <c r="F2006" s="1" t="s">
        <v>347</v>
      </c>
      <c r="G2006" s="1" t="s">
        <v>5974</v>
      </c>
      <c r="H2006" s="1" t="s">
        <v>5975</v>
      </c>
      <c r="I2006" s="1">
        <v>1</v>
      </c>
      <c r="J2006" s="3">
        <v>28200</v>
      </c>
      <c r="K2006" s="3">
        <v>21780</v>
      </c>
      <c r="L2006" s="3">
        <v>3722</v>
      </c>
      <c r="M2006" s="4">
        <v>0.13200000000000001</v>
      </c>
      <c r="N2006" s="3">
        <v>2698</v>
      </c>
      <c r="O2006" s="4">
        <v>9.6000000000000002E-2</v>
      </c>
      <c r="P2006" s="1" t="s">
        <v>2721</v>
      </c>
    </row>
    <row r="2007" spans="1:16">
      <c r="A2007" s="1" t="s">
        <v>739</v>
      </c>
      <c r="B2007" s="1">
        <v>11</v>
      </c>
      <c r="C2007" s="1">
        <v>31426354</v>
      </c>
      <c r="D2007" s="1" t="s">
        <v>5976</v>
      </c>
      <c r="E2007" s="2">
        <v>45975</v>
      </c>
      <c r="F2007" s="1" t="s">
        <v>347</v>
      </c>
      <c r="G2007" s="1" t="s">
        <v>5977</v>
      </c>
      <c r="H2007" s="1" t="s">
        <v>5978</v>
      </c>
      <c r="I2007" s="1">
        <v>1</v>
      </c>
      <c r="J2007" s="3">
        <v>31000</v>
      </c>
      <c r="K2007" s="3">
        <v>23919</v>
      </c>
      <c r="L2007" s="3">
        <v>4092</v>
      </c>
      <c r="M2007" s="4">
        <v>0.13200000000000001</v>
      </c>
      <c r="N2007" s="3">
        <v>2989</v>
      </c>
      <c r="O2007" s="4">
        <v>9.6000000000000002E-2</v>
      </c>
      <c r="P2007" s="1" t="s">
        <v>2721</v>
      </c>
    </row>
    <row r="2008" spans="1:16">
      <c r="A2008" s="1" t="s">
        <v>761</v>
      </c>
      <c r="B2008" s="1">
        <v>11</v>
      </c>
      <c r="C2008" s="1" t="s">
        <v>5979</v>
      </c>
      <c r="D2008" s="1" t="s">
        <v>4555</v>
      </c>
      <c r="E2008" s="2">
        <v>45975</v>
      </c>
      <c r="F2008" s="1" t="s">
        <v>2188</v>
      </c>
      <c r="G2008" s="1" t="s">
        <v>4556</v>
      </c>
      <c r="I2008" s="1">
        <v>2</v>
      </c>
      <c r="J2008" s="3">
        <v>64520</v>
      </c>
      <c r="K2008" s="3">
        <v>55800</v>
      </c>
      <c r="L2008" s="1">
        <v>0</v>
      </c>
      <c r="M2008" s="4">
        <v>0</v>
      </c>
      <c r="N2008" s="3">
        <v>8720</v>
      </c>
      <c r="O2008" s="4">
        <v>0.13500000000000001</v>
      </c>
      <c r="P2008" s="1" t="s">
        <v>2723</v>
      </c>
    </row>
    <row r="2009" spans="1:16">
      <c r="A2009" s="1" t="s">
        <v>761</v>
      </c>
      <c r="B2009" s="1">
        <v>11</v>
      </c>
      <c r="C2009" s="1" t="s">
        <v>5979</v>
      </c>
      <c r="D2009" s="1" t="s">
        <v>5980</v>
      </c>
      <c r="E2009" s="2">
        <v>45975</v>
      </c>
      <c r="F2009" s="1" t="s">
        <v>2188</v>
      </c>
      <c r="G2009" s="1" t="s">
        <v>5981</v>
      </c>
      <c r="I2009" s="1">
        <v>1</v>
      </c>
      <c r="J2009" s="3">
        <v>42480</v>
      </c>
      <c r="K2009" s="3">
        <v>35000</v>
      </c>
      <c r="L2009" s="1">
        <v>0</v>
      </c>
      <c r="M2009" s="4">
        <v>0</v>
      </c>
      <c r="N2009" s="3">
        <v>7480</v>
      </c>
      <c r="O2009" s="4">
        <v>0.17599999999999999</v>
      </c>
      <c r="P2009" s="1" t="s">
        <v>2723</v>
      </c>
    </row>
    <row r="2010" spans="1:16">
      <c r="A2010" s="1" t="s">
        <v>761</v>
      </c>
      <c r="B2010" s="1">
        <v>11</v>
      </c>
      <c r="C2010" s="1" t="s">
        <v>5982</v>
      </c>
      <c r="D2010" s="1" t="s">
        <v>2184</v>
      </c>
      <c r="E2010" s="2">
        <v>45975</v>
      </c>
      <c r="F2010" s="1" t="s">
        <v>500</v>
      </c>
      <c r="G2010" s="1" t="s">
        <v>2185</v>
      </c>
      <c r="I2010" s="1">
        <v>1</v>
      </c>
      <c r="J2010" s="3">
        <v>108900</v>
      </c>
      <c r="K2010" s="3">
        <v>98000</v>
      </c>
      <c r="L2010" s="1">
        <v>0</v>
      </c>
      <c r="M2010" s="4">
        <v>0</v>
      </c>
      <c r="N2010" s="3">
        <v>10900</v>
      </c>
      <c r="O2010" s="4">
        <v>0.1</v>
      </c>
      <c r="P2010" s="1" t="s">
        <v>2723</v>
      </c>
    </row>
    <row r="2011" spans="1:16">
      <c r="A2011" s="1" t="s">
        <v>2193</v>
      </c>
      <c r="B2011" s="1">
        <v>11</v>
      </c>
      <c r="C2011" s="1">
        <v>30343110</v>
      </c>
      <c r="D2011" s="1" t="s">
        <v>5983</v>
      </c>
      <c r="E2011" s="2">
        <v>45975</v>
      </c>
      <c r="F2011" s="1" t="s">
        <v>1772</v>
      </c>
      <c r="G2011" s="1" t="s">
        <v>5984</v>
      </c>
      <c r="H2011" s="1" t="s">
        <v>5985</v>
      </c>
      <c r="I2011" s="1">
        <v>1</v>
      </c>
      <c r="J2011" s="3">
        <v>30060</v>
      </c>
      <c r="K2011" s="3">
        <v>27746</v>
      </c>
      <c r="L2011" s="1">
        <v>0</v>
      </c>
      <c r="M2011" s="4">
        <v>0</v>
      </c>
      <c r="N2011" s="3">
        <v>2314</v>
      </c>
      <c r="O2011" s="4">
        <v>7.6999999999999999E-2</v>
      </c>
      <c r="P2011" s="1" t="s">
        <v>2723</v>
      </c>
    </row>
    <row r="2012" spans="1:16">
      <c r="A2012" s="1" t="s">
        <v>763</v>
      </c>
      <c r="B2012" s="1">
        <v>11</v>
      </c>
      <c r="C2012" s="1" t="s">
        <v>5986</v>
      </c>
      <c r="D2012" s="1" t="s">
        <v>2257</v>
      </c>
      <c r="E2012" s="2">
        <v>45975</v>
      </c>
      <c r="F2012" s="1" t="s">
        <v>2206</v>
      </c>
      <c r="G2012" s="1" t="s">
        <v>2258</v>
      </c>
      <c r="H2012" s="1" t="s">
        <v>2259</v>
      </c>
      <c r="I2012" s="1">
        <v>1</v>
      </c>
      <c r="J2012" s="3">
        <v>37320</v>
      </c>
      <c r="K2012" s="3">
        <v>33800</v>
      </c>
      <c r="L2012" s="1">
        <v>0</v>
      </c>
      <c r="M2012" s="4">
        <v>0</v>
      </c>
      <c r="N2012" s="3">
        <v>3520</v>
      </c>
      <c r="O2012" s="4">
        <v>9.4E-2</v>
      </c>
      <c r="P2012" s="1" t="s">
        <v>2723</v>
      </c>
    </row>
    <row r="2013" spans="1:16">
      <c r="A2013" s="1" t="s">
        <v>763</v>
      </c>
      <c r="B2013" s="1">
        <v>11</v>
      </c>
      <c r="C2013" s="1" t="s">
        <v>5987</v>
      </c>
      <c r="D2013" s="1" t="s">
        <v>2205</v>
      </c>
      <c r="E2013" s="2">
        <v>45975</v>
      </c>
      <c r="F2013" s="1" t="s">
        <v>2206</v>
      </c>
      <c r="G2013" s="1" t="s">
        <v>2207</v>
      </c>
      <c r="H2013" s="1" t="s">
        <v>2208</v>
      </c>
      <c r="I2013" s="1">
        <v>1</v>
      </c>
      <c r="J2013" s="3">
        <v>22610</v>
      </c>
      <c r="K2013" s="3">
        <v>20437</v>
      </c>
      <c r="L2013" s="1">
        <v>0</v>
      </c>
      <c r="M2013" s="4">
        <v>0</v>
      </c>
      <c r="N2013" s="3">
        <v>2173</v>
      </c>
      <c r="O2013" s="4">
        <v>9.6000000000000002E-2</v>
      </c>
      <c r="P2013" s="1" t="s">
        <v>2723</v>
      </c>
    </row>
    <row r="2014" spans="1:16">
      <c r="A2014" s="1" t="s">
        <v>763</v>
      </c>
      <c r="B2014" s="1">
        <v>11</v>
      </c>
      <c r="C2014" s="1" t="s">
        <v>5988</v>
      </c>
      <c r="D2014" s="1" t="s">
        <v>2107</v>
      </c>
      <c r="E2014" s="2">
        <v>45975</v>
      </c>
      <c r="F2014" s="1" t="s">
        <v>554</v>
      </c>
      <c r="G2014" s="1" t="s">
        <v>2108</v>
      </c>
      <c r="H2014" s="1" t="s">
        <v>5388</v>
      </c>
      <c r="I2014" s="1">
        <v>1</v>
      </c>
      <c r="J2014" s="3">
        <v>22270</v>
      </c>
      <c r="K2014" s="3">
        <v>20214</v>
      </c>
      <c r="L2014" s="1">
        <v>0</v>
      </c>
      <c r="M2014" s="4">
        <v>0</v>
      </c>
      <c r="N2014" s="3">
        <v>2056</v>
      </c>
      <c r="O2014" s="4">
        <v>9.1999999999999998E-2</v>
      </c>
      <c r="P2014" s="1" t="s">
        <v>2723</v>
      </c>
    </row>
    <row r="2015" spans="1:16">
      <c r="A2015" s="1" t="s">
        <v>763</v>
      </c>
      <c r="B2015" s="1">
        <v>11</v>
      </c>
      <c r="C2015" s="1" t="s">
        <v>5989</v>
      </c>
      <c r="D2015" s="1" t="s">
        <v>5990</v>
      </c>
      <c r="E2015" s="2">
        <v>45975</v>
      </c>
      <c r="F2015" s="1" t="s">
        <v>96</v>
      </c>
      <c r="G2015" s="1" t="s">
        <v>5991</v>
      </c>
      <c r="H2015" s="1" t="s">
        <v>5992</v>
      </c>
      <c r="I2015" s="1">
        <v>1</v>
      </c>
      <c r="J2015" s="3">
        <v>12670</v>
      </c>
      <c r="K2015" s="3">
        <v>10285</v>
      </c>
      <c r="L2015" s="1">
        <v>0</v>
      </c>
      <c r="M2015" s="4">
        <v>0</v>
      </c>
      <c r="N2015" s="3">
        <v>2385</v>
      </c>
      <c r="O2015" s="4">
        <v>0.188</v>
      </c>
      <c r="P2015" s="1" t="s">
        <v>2723</v>
      </c>
    </row>
    <row r="2016" spans="1:16">
      <c r="A2016" s="1" t="s">
        <v>2725</v>
      </c>
      <c r="B2016" s="1">
        <v>11</v>
      </c>
      <c r="C2016" s="1" t="s">
        <v>5993</v>
      </c>
      <c r="D2016" s="1" t="s">
        <v>3410</v>
      </c>
      <c r="E2016" s="2">
        <v>45975</v>
      </c>
      <c r="F2016" s="1" t="s">
        <v>604</v>
      </c>
      <c r="G2016" s="1" t="s">
        <v>5994</v>
      </c>
      <c r="I2016" s="1">
        <v>1</v>
      </c>
      <c r="J2016" s="3">
        <v>111111</v>
      </c>
      <c r="L2016" s="1">
        <v>0</v>
      </c>
      <c r="M2016" s="4">
        <v>0</v>
      </c>
      <c r="N2016" s="3">
        <v>111111</v>
      </c>
      <c r="O2016" s="4">
        <v>1</v>
      </c>
      <c r="P2016" s="1" t="s">
        <v>2721</v>
      </c>
    </row>
    <row r="2017" spans="1:16">
      <c r="A2017" s="1" t="s">
        <v>626</v>
      </c>
      <c r="B2017" s="1">
        <v>11</v>
      </c>
      <c r="C2017" s="1">
        <v>69143357</v>
      </c>
      <c r="D2017" s="1" t="s">
        <v>627</v>
      </c>
      <c r="E2017" s="2">
        <v>45975</v>
      </c>
      <c r="F2017" s="1" t="s">
        <v>604</v>
      </c>
      <c r="G2017" s="1" t="s">
        <v>628</v>
      </c>
      <c r="H2017" s="1" t="s">
        <v>629</v>
      </c>
      <c r="I2017" s="1">
        <v>1</v>
      </c>
      <c r="J2017" s="3">
        <v>8000</v>
      </c>
      <c r="K2017" s="3">
        <v>1800</v>
      </c>
      <c r="L2017" s="1">
        <v>880</v>
      </c>
      <c r="M2017" s="4">
        <v>0.11</v>
      </c>
      <c r="N2017" s="3">
        <v>5320</v>
      </c>
      <c r="O2017" s="4">
        <v>0.66500000000000004</v>
      </c>
      <c r="P2017" s="1" t="s">
        <v>2721</v>
      </c>
    </row>
    <row r="2018" spans="1:16">
      <c r="A2018" s="1" t="s">
        <v>722</v>
      </c>
      <c r="B2018" s="1">
        <v>11</v>
      </c>
      <c r="C2018" s="1" t="s">
        <v>5995</v>
      </c>
      <c r="D2018" s="1" t="s">
        <v>627</v>
      </c>
      <c r="E2018" s="2">
        <v>45975</v>
      </c>
      <c r="F2018" s="1" t="s">
        <v>604</v>
      </c>
      <c r="G2018" s="1" t="s">
        <v>628</v>
      </c>
      <c r="H2018" s="1" t="s">
        <v>1848</v>
      </c>
      <c r="I2018" s="1">
        <v>700</v>
      </c>
      <c r="J2018" s="3">
        <v>2443000</v>
      </c>
      <c r="K2018" s="3">
        <v>1290000</v>
      </c>
      <c r="L2018" s="1">
        <v>0</v>
      </c>
      <c r="M2018" s="4">
        <v>0</v>
      </c>
      <c r="N2018" s="3">
        <v>1153000</v>
      </c>
      <c r="O2018" s="4">
        <v>0.47199999999999998</v>
      </c>
      <c r="P2018" s="1" t="s">
        <v>2721</v>
      </c>
    </row>
    <row r="2019" spans="1:16">
      <c r="A2019" s="1" t="s">
        <v>15</v>
      </c>
      <c r="B2019" s="1">
        <v>11</v>
      </c>
      <c r="C2019" s="1" t="s">
        <v>5996</v>
      </c>
      <c r="D2019" s="1" t="s">
        <v>86</v>
      </c>
      <c r="E2019" s="2">
        <v>45978</v>
      </c>
      <c r="F2019" s="1" t="s">
        <v>53</v>
      </c>
      <c r="G2019" s="1" t="s">
        <v>87</v>
      </c>
      <c r="H2019" s="1" t="s">
        <v>88</v>
      </c>
      <c r="I2019" s="1">
        <v>2</v>
      </c>
      <c r="J2019" s="3">
        <v>29913</v>
      </c>
      <c r="K2019" s="3">
        <v>28543</v>
      </c>
      <c r="L2019" s="1">
        <v>0</v>
      </c>
      <c r="M2019" s="4">
        <v>0</v>
      </c>
      <c r="N2019" s="3">
        <v>1370</v>
      </c>
      <c r="O2019" s="4">
        <v>4.5999999999999999E-2</v>
      </c>
      <c r="P2019" s="1" t="s">
        <v>2721</v>
      </c>
    </row>
    <row r="2020" spans="1:16">
      <c r="A2020" s="1" t="s">
        <v>15</v>
      </c>
      <c r="B2020" s="1">
        <v>11</v>
      </c>
      <c r="C2020" s="1" t="s">
        <v>5997</v>
      </c>
      <c r="D2020" s="1" t="s">
        <v>3564</v>
      </c>
      <c r="E2020" s="2">
        <v>45978</v>
      </c>
      <c r="F2020" s="1" t="s">
        <v>2173</v>
      </c>
      <c r="G2020" s="1" t="s">
        <v>3565</v>
      </c>
      <c r="H2020" s="1" t="s">
        <v>3566</v>
      </c>
      <c r="I2020" s="1">
        <v>1</v>
      </c>
      <c r="J2020" s="3">
        <v>40303</v>
      </c>
      <c r="K2020" s="3">
        <v>38458</v>
      </c>
      <c r="L2020" s="1">
        <v>0</v>
      </c>
      <c r="M2020" s="4">
        <v>0</v>
      </c>
      <c r="N2020" s="3">
        <v>1845</v>
      </c>
      <c r="O2020" s="4">
        <v>4.5999999999999999E-2</v>
      </c>
      <c r="P2020" s="1" t="s">
        <v>2721</v>
      </c>
    </row>
    <row r="2021" spans="1:16">
      <c r="A2021" s="1" t="s">
        <v>15</v>
      </c>
      <c r="B2021" s="1">
        <v>11</v>
      </c>
      <c r="C2021" s="1" t="s">
        <v>5998</v>
      </c>
      <c r="D2021" s="1" t="s">
        <v>62</v>
      </c>
      <c r="E2021" s="2">
        <v>45978</v>
      </c>
      <c r="F2021" s="1" t="s">
        <v>63</v>
      </c>
      <c r="G2021" s="1" t="s">
        <v>64</v>
      </c>
      <c r="H2021" s="1" t="s">
        <v>65</v>
      </c>
      <c r="I2021" s="1">
        <v>1</v>
      </c>
      <c r="J2021" s="3">
        <v>11809</v>
      </c>
      <c r="K2021" s="3">
        <v>11268</v>
      </c>
      <c r="L2021" s="1">
        <v>0</v>
      </c>
      <c r="M2021" s="4">
        <v>0</v>
      </c>
      <c r="N2021" s="1">
        <v>541</v>
      </c>
      <c r="O2021" s="4">
        <v>4.5999999999999999E-2</v>
      </c>
      <c r="P2021" s="1" t="s">
        <v>2721</v>
      </c>
    </row>
    <row r="2022" spans="1:16">
      <c r="A2022" s="1" t="s">
        <v>15</v>
      </c>
      <c r="B2022" s="1">
        <v>11</v>
      </c>
      <c r="C2022" s="1" t="s">
        <v>5999</v>
      </c>
      <c r="D2022" s="1" t="s">
        <v>6000</v>
      </c>
      <c r="E2022" s="2">
        <v>45978</v>
      </c>
      <c r="F2022" s="1" t="s">
        <v>53</v>
      </c>
      <c r="G2022" s="1" t="s">
        <v>6001</v>
      </c>
      <c r="H2022" s="1" t="s">
        <v>6002</v>
      </c>
      <c r="I2022" s="1">
        <v>1</v>
      </c>
      <c r="J2022" s="3">
        <v>9825</v>
      </c>
      <c r="K2022" s="3">
        <v>9375</v>
      </c>
      <c r="L2022" s="1">
        <v>0</v>
      </c>
      <c r="M2022" s="4">
        <v>0</v>
      </c>
      <c r="N2022" s="1">
        <v>450</v>
      </c>
      <c r="O2022" s="4">
        <v>4.5999999999999999E-2</v>
      </c>
      <c r="P2022" s="1" t="s">
        <v>2721</v>
      </c>
    </row>
    <row r="2023" spans="1:16">
      <c r="A2023" s="1" t="s">
        <v>15</v>
      </c>
      <c r="B2023" s="1">
        <v>11</v>
      </c>
      <c r="C2023" s="1" t="s">
        <v>6003</v>
      </c>
      <c r="D2023" s="1" t="s">
        <v>224</v>
      </c>
      <c r="E2023" s="2">
        <v>45978</v>
      </c>
      <c r="F2023" s="1" t="s">
        <v>96</v>
      </c>
      <c r="G2023" s="1" t="s">
        <v>225</v>
      </c>
      <c r="H2023" s="1" t="s">
        <v>226</v>
      </c>
      <c r="I2023" s="1">
        <v>1</v>
      </c>
      <c r="J2023" s="3">
        <v>12571</v>
      </c>
      <c r="K2023" s="3">
        <v>11995</v>
      </c>
      <c r="L2023" s="1">
        <v>0</v>
      </c>
      <c r="M2023" s="4">
        <v>0</v>
      </c>
      <c r="N2023" s="1">
        <v>576</v>
      </c>
      <c r="O2023" s="4">
        <v>4.5999999999999999E-2</v>
      </c>
      <c r="P2023" s="1" t="s">
        <v>2721</v>
      </c>
    </row>
    <row r="2024" spans="1:16">
      <c r="A2024" s="1" t="s">
        <v>15</v>
      </c>
      <c r="B2024" s="1">
        <v>11</v>
      </c>
      <c r="C2024" s="1" t="s">
        <v>6004</v>
      </c>
      <c r="D2024" s="1" t="s">
        <v>346</v>
      </c>
      <c r="E2024" s="2">
        <v>45978</v>
      </c>
      <c r="F2024" s="1" t="s">
        <v>347</v>
      </c>
      <c r="G2024" s="1" t="s">
        <v>348</v>
      </c>
      <c r="H2024" s="1" t="s">
        <v>3288</v>
      </c>
      <c r="I2024" s="1">
        <v>1</v>
      </c>
      <c r="J2024" s="3">
        <v>20152</v>
      </c>
      <c r="K2024" s="3">
        <v>19229</v>
      </c>
      <c r="L2024" s="1">
        <v>0</v>
      </c>
      <c r="M2024" s="4">
        <v>0</v>
      </c>
      <c r="N2024" s="1">
        <v>923</v>
      </c>
      <c r="O2024" s="4">
        <v>4.5999999999999999E-2</v>
      </c>
      <c r="P2024" s="1" t="s">
        <v>2721</v>
      </c>
    </row>
    <row r="2025" spans="1:16">
      <c r="A2025" s="1" t="s">
        <v>15</v>
      </c>
      <c r="B2025" s="1">
        <v>11</v>
      </c>
      <c r="C2025" s="1" t="s">
        <v>6005</v>
      </c>
      <c r="D2025" s="1" t="s">
        <v>1346</v>
      </c>
      <c r="E2025" s="2">
        <v>45978</v>
      </c>
      <c r="F2025" s="1" t="s">
        <v>317</v>
      </c>
      <c r="G2025" s="1" t="s">
        <v>1347</v>
      </c>
      <c r="H2025" s="1" t="s">
        <v>5472</v>
      </c>
      <c r="I2025" s="1">
        <v>1</v>
      </c>
      <c r="J2025" s="3">
        <v>29982</v>
      </c>
      <c r="K2025" s="3">
        <v>28609</v>
      </c>
      <c r="L2025" s="1">
        <v>0</v>
      </c>
      <c r="M2025" s="4">
        <v>0</v>
      </c>
      <c r="N2025" s="3">
        <v>1373</v>
      </c>
      <c r="O2025" s="4">
        <v>4.5999999999999999E-2</v>
      </c>
      <c r="P2025" s="1" t="s">
        <v>2721</v>
      </c>
    </row>
    <row r="2026" spans="1:16">
      <c r="A2026" s="1" t="s">
        <v>15</v>
      </c>
      <c r="B2026" s="1">
        <v>11</v>
      </c>
      <c r="C2026" s="1" t="s">
        <v>6006</v>
      </c>
      <c r="D2026" s="1" t="s">
        <v>1294</v>
      </c>
      <c r="E2026" s="2">
        <v>45978</v>
      </c>
      <c r="F2026" s="1" t="s">
        <v>347</v>
      </c>
      <c r="G2026" s="1" t="s">
        <v>1295</v>
      </c>
      <c r="H2026" s="1" t="s">
        <v>1296</v>
      </c>
      <c r="I2026" s="1">
        <v>1</v>
      </c>
      <c r="J2026" s="3">
        <v>23985</v>
      </c>
      <c r="K2026" s="3">
        <v>22887</v>
      </c>
      <c r="L2026" s="1">
        <v>0</v>
      </c>
      <c r="M2026" s="4">
        <v>0</v>
      </c>
      <c r="N2026" s="3">
        <v>1098</v>
      </c>
      <c r="O2026" s="4">
        <v>4.5999999999999999E-2</v>
      </c>
      <c r="P2026" s="1" t="s">
        <v>2721</v>
      </c>
    </row>
    <row r="2027" spans="1:16">
      <c r="A2027" s="1" t="s">
        <v>15</v>
      </c>
      <c r="B2027" s="1">
        <v>11</v>
      </c>
      <c r="C2027" s="1" t="s">
        <v>6007</v>
      </c>
      <c r="D2027" s="1" t="s">
        <v>1302</v>
      </c>
      <c r="E2027" s="2">
        <v>45978</v>
      </c>
      <c r="F2027" s="1" t="s">
        <v>256</v>
      </c>
      <c r="G2027" s="1" t="s">
        <v>1303</v>
      </c>
      <c r="H2027" s="1" t="s">
        <v>5106</v>
      </c>
      <c r="I2027" s="1">
        <v>1</v>
      </c>
      <c r="J2027" s="3">
        <v>11354</v>
      </c>
      <c r="K2027" s="3">
        <v>10834</v>
      </c>
      <c r="L2027" s="1">
        <v>0</v>
      </c>
      <c r="M2027" s="4">
        <v>0</v>
      </c>
      <c r="N2027" s="1">
        <v>520</v>
      </c>
      <c r="O2027" s="4">
        <v>4.5999999999999999E-2</v>
      </c>
      <c r="P2027" s="1" t="s">
        <v>2721</v>
      </c>
    </row>
    <row r="2028" spans="1:16">
      <c r="A2028" s="1" t="s">
        <v>15</v>
      </c>
      <c r="B2028" s="1">
        <v>11</v>
      </c>
      <c r="C2028" s="1" t="s">
        <v>6008</v>
      </c>
      <c r="D2028" s="1" t="s">
        <v>1399</v>
      </c>
      <c r="E2028" s="2">
        <v>45978</v>
      </c>
      <c r="F2028" s="1" t="s">
        <v>261</v>
      </c>
      <c r="G2028" s="1" t="s">
        <v>1400</v>
      </c>
      <c r="H2028" s="1" t="s">
        <v>1400</v>
      </c>
      <c r="I2028" s="1">
        <v>1</v>
      </c>
      <c r="J2028" s="3">
        <v>23592</v>
      </c>
      <c r="K2028" s="3">
        <v>22512</v>
      </c>
      <c r="L2028" s="1">
        <v>0</v>
      </c>
      <c r="M2028" s="4">
        <v>0</v>
      </c>
      <c r="N2028" s="3">
        <v>1080</v>
      </c>
      <c r="O2028" s="4">
        <v>4.5999999999999999E-2</v>
      </c>
      <c r="P2028" s="1" t="s">
        <v>2721</v>
      </c>
    </row>
    <row r="2029" spans="1:16">
      <c r="A2029" s="1" t="s">
        <v>15</v>
      </c>
      <c r="B2029" s="1">
        <v>11</v>
      </c>
      <c r="C2029" s="1" t="s">
        <v>6009</v>
      </c>
      <c r="D2029" s="1" t="s">
        <v>4863</v>
      </c>
      <c r="E2029" s="2">
        <v>45978</v>
      </c>
      <c r="F2029" s="1" t="s">
        <v>3496</v>
      </c>
      <c r="G2029" s="1" t="s">
        <v>4864</v>
      </c>
      <c r="H2029" s="1" t="s">
        <v>6010</v>
      </c>
      <c r="I2029" s="1">
        <v>1</v>
      </c>
      <c r="J2029" s="3">
        <v>14696</v>
      </c>
      <c r="K2029" s="3">
        <v>14023</v>
      </c>
      <c r="L2029" s="1">
        <v>0</v>
      </c>
      <c r="M2029" s="4">
        <v>0</v>
      </c>
      <c r="N2029" s="1">
        <v>673</v>
      </c>
      <c r="O2029" s="4">
        <v>4.5999999999999999E-2</v>
      </c>
      <c r="P2029" s="1" t="s">
        <v>2721</v>
      </c>
    </row>
    <row r="2030" spans="1:16">
      <c r="A2030" s="1" t="s">
        <v>15</v>
      </c>
      <c r="B2030" s="1">
        <v>11</v>
      </c>
      <c r="C2030" s="1" t="s">
        <v>6011</v>
      </c>
      <c r="D2030" s="1" t="s">
        <v>3541</v>
      </c>
      <c r="E2030" s="2">
        <v>45978</v>
      </c>
      <c r="F2030" s="1" t="s">
        <v>500</v>
      </c>
      <c r="G2030" s="1" t="s">
        <v>1827</v>
      </c>
      <c r="H2030" s="1" t="s">
        <v>1828</v>
      </c>
      <c r="I2030" s="1">
        <v>1</v>
      </c>
      <c r="J2030" s="3">
        <v>141099</v>
      </c>
      <c r="K2030" s="3">
        <v>134640</v>
      </c>
      <c r="L2030" s="1">
        <v>0</v>
      </c>
      <c r="M2030" s="4">
        <v>0</v>
      </c>
      <c r="N2030" s="3">
        <v>6459</v>
      </c>
      <c r="O2030" s="4">
        <v>4.5999999999999999E-2</v>
      </c>
      <c r="P2030" s="1" t="s">
        <v>2721</v>
      </c>
    </row>
    <row r="2031" spans="1:16">
      <c r="A2031" s="1" t="s">
        <v>15</v>
      </c>
      <c r="B2031" s="1">
        <v>11</v>
      </c>
      <c r="C2031" s="1" t="s">
        <v>6012</v>
      </c>
      <c r="D2031" s="1" t="s">
        <v>52</v>
      </c>
      <c r="E2031" s="2">
        <v>45978</v>
      </c>
      <c r="F2031" s="1" t="s">
        <v>53</v>
      </c>
      <c r="G2031" s="1" t="s">
        <v>54</v>
      </c>
      <c r="H2031" s="1" t="s">
        <v>55</v>
      </c>
      <c r="I2031" s="1">
        <v>1</v>
      </c>
      <c r="J2031" s="3">
        <v>16135</v>
      </c>
      <c r="K2031" s="3">
        <v>15396</v>
      </c>
      <c r="L2031" s="1">
        <v>0</v>
      </c>
      <c r="M2031" s="4">
        <v>0</v>
      </c>
      <c r="N2031" s="1">
        <v>739</v>
      </c>
      <c r="O2031" s="4">
        <v>4.5999999999999999E-2</v>
      </c>
      <c r="P2031" s="1" t="s">
        <v>2721</v>
      </c>
    </row>
    <row r="2032" spans="1:16">
      <c r="A2032" s="1" t="s">
        <v>15</v>
      </c>
      <c r="B2032" s="1">
        <v>11</v>
      </c>
      <c r="C2032" s="1" t="s">
        <v>6012</v>
      </c>
      <c r="D2032" s="1" t="s">
        <v>341</v>
      </c>
      <c r="E2032" s="2">
        <v>45978</v>
      </c>
      <c r="F2032" s="1" t="s">
        <v>53</v>
      </c>
      <c r="G2032" s="1" t="s">
        <v>342</v>
      </c>
      <c r="H2032" s="1" t="s">
        <v>2882</v>
      </c>
      <c r="I2032" s="1">
        <v>1</v>
      </c>
      <c r="J2032" s="3">
        <v>16135</v>
      </c>
      <c r="K2032" s="3">
        <v>15396</v>
      </c>
      <c r="L2032" s="1">
        <v>0</v>
      </c>
      <c r="M2032" s="4">
        <v>0</v>
      </c>
      <c r="N2032" s="1">
        <v>739</v>
      </c>
      <c r="O2032" s="4">
        <v>4.5999999999999999E-2</v>
      </c>
      <c r="P2032" s="1" t="s">
        <v>2721</v>
      </c>
    </row>
    <row r="2033" spans="1:16">
      <c r="A2033" s="1" t="s">
        <v>15</v>
      </c>
      <c r="B2033" s="1">
        <v>11</v>
      </c>
      <c r="C2033" s="1" t="s">
        <v>6013</v>
      </c>
      <c r="D2033" s="1" t="s">
        <v>425</v>
      </c>
      <c r="E2033" s="2">
        <v>45978</v>
      </c>
      <c r="F2033" s="1" t="s">
        <v>426</v>
      </c>
      <c r="G2033" s="1" t="s">
        <v>427</v>
      </c>
      <c r="H2033" s="1" t="s">
        <v>1568</v>
      </c>
      <c r="I2033" s="1">
        <v>1</v>
      </c>
      <c r="J2033" s="3">
        <v>24575</v>
      </c>
      <c r="K2033" s="3">
        <v>23450</v>
      </c>
      <c r="L2033" s="1">
        <v>0</v>
      </c>
      <c r="M2033" s="4">
        <v>0</v>
      </c>
      <c r="N2033" s="3">
        <v>1125</v>
      </c>
      <c r="O2033" s="4">
        <v>4.5999999999999999E-2</v>
      </c>
      <c r="P2033" s="1" t="s">
        <v>2721</v>
      </c>
    </row>
    <row r="2034" spans="1:16">
      <c r="A2034" s="1" t="s">
        <v>15</v>
      </c>
      <c r="B2034" s="1">
        <v>11</v>
      </c>
      <c r="C2034" s="1" t="s">
        <v>6014</v>
      </c>
      <c r="D2034" s="1" t="s">
        <v>311</v>
      </c>
      <c r="E2034" s="2">
        <v>45978</v>
      </c>
      <c r="F2034" s="1" t="s">
        <v>312</v>
      </c>
      <c r="G2034" s="1" t="s">
        <v>313</v>
      </c>
      <c r="H2034" s="1" t="s">
        <v>339</v>
      </c>
      <c r="I2034" s="1">
        <v>1</v>
      </c>
      <c r="J2034" s="3">
        <v>28310</v>
      </c>
      <c r="K2034" s="3">
        <v>27014</v>
      </c>
      <c r="L2034" s="1">
        <v>0</v>
      </c>
      <c r="M2034" s="4">
        <v>0</v>
      </c>
      <c r="N2034" s="3">
        <v>1296</v>
      </c>
      <c r="O2034" s="4">
        <v>4.5999999999999999E-2</v>
      </c>
      <c r="P2034" s="1" t="s">
        <v>2721</v>
      </c>
    </row>
    <row r="2035" spans="1:16">
      <c r="A2035" s="1" t="s">
        <v>15</v>
      </c>
      <c r="B2035" s="1">
        <v>11</v>
      </c>
      <c r="C2035" s="1" t="s">
        <v>6015</v>
      </c>
      <c r="D2035" s="1" t="s">
        <v>86</v>
      </c>
      <c r="E2035" s="2">
        <v>45978</v>
      </c>
      <c r="F2035" s="1" t="s">
        <v>53</v>
      </c>
      <c r="G2035" s="1" t="s">
        <v>87</v>
      </c>
      <c r="H2035" s="1" t="s">
        <v>88</v>
      </c>
      <c r="I2035" s="1">
        <v>12</v>
      </c>
      <c r="J2035" s="3">
        <v>179476</v>
      </c>
      <c r="K2035" s="3">
        <v>171260</v>
      </c>
      <c r="L2035" s="1">
        <v>0</v>
      </c>
      <c r="M2035" s="4">
        <v>0</v>
      </c>
      <c r="N2035" s="3">
        <v>8216</v>
      </c>
      <c r="O2035" s="4">
        <v>4.5999999999999999E-2</v>
      </c>
      <c r="P2035" s="1" t="s">
        <v>2721</v>
      </c>
    </row>
    <row r="2036" spans="1:16">
      <c r="A2036" s="1" t="s">
        <v>15</v>
      </c>
      <c r="B2036" s="1">
        <v>11</v>
      </c>
      <c r="C2036" s="1" t="s">
        <v>6016</v>
      </c>
      <c r="D2036" s="1" t="s">
        <v>1467</v>
      </c>
      <c r="E2036" s="2">
        <v>45978</v>
      </c>
      <c r="F2036" s="1" t="s">
        <v>126</v>
      </c>
      <c r="G2036" s="1" t="s">
        <v>1468</v>
      </c>
      <c r="H2036" s="1" t="s">
        <v>1469</v>
      </c>
      <c r="I2036" s="1">
        <v>1</v>
      </c>
      <c r="J2036" s="3">
        <v>17989</v>
      </c>
      <c r="K2036" s="3">
        <v>17165</v>
      </c>
      <c r="L2036" s="1">
        <v>0</v>
      </c>
      <c r="M2036" s="4">
        <v>0</v>
      </c>
      <c r="N2036" s="1">
        <v>824</v>
      </c>
      <c r="O2036" s="4">
        <v>4.5999999999999999E-2</v>
      </c>
      <c r="P2036" s="1" t="s">
        <v>2721</v>
      </c>
    </row>
    <row r="2037" spans="1:16">
      <c r="A2037" s="1" t="s">
        <v>15</v>
      </c>
      <c r="B2037" s="1">
        <v>11</v>
      </c>
      <c r="C2037" s="1" t="s">
        <v>6017</v>
      </c>
      <c r="D2037" s="1" t="s">
        <v>1026</v>
      </c>
      <c r="E2037" s="2">
        <v>45978</v>
      </c>
      <c r="F2037" s="1" t="s">
        <v>256</v>
      </c>
      <c r="G2037" s="1" t="s">
        <v>1027</v>
      </c>
      <c r="H2037" s="1" t="s">
        <v>2374</v>
      </c>
      <c r="I2037" s="1">
        <v>1</v>
      </c>
      <c r="J2037" s="3">
        <v>12337</v>
      </c>
      <c r="K2037" s="3">
        <v>11772</v>
      </c>
      <c r="L2037" s="1">
        <v>0</v>
      </c>
      <c r="M2037" s="4">
        <v>0</v>
      </c>
      <c r="N2037" s="1">
        <v>565</v>
      </c>
      <c r="O2037" s="4">
        <v>4.5999999999999999E-2</v>
      </c>
      <c r="P2037" s="1" t="s">
        <v>2721</v>
      </c>
    </row>
    <row r="2038" spans="1:16">
      <c r="A2038" s="1" t="s">
        <v>15</v>
      </c>
      <c r="B2038" s="1">
        <v>11</v>
      </c>
      <c r="C2038" s="1" t="s">
        <v>6018</v>
      </c>
      <c r="D2038" s="1" t="s">
        <v>221</v>
      </c>
      <c r="E2038" s="2">
        <v>45978</v>
      </c>
      <c r="F2038" s="1" t="s">
        <v>96</v>
      </c>
      <c r="G2038" s="1" t="s">
        <v>222</v>
      </c>
      <c r="H2038" s="1" t="s">
        <v>836</v>
      </c>
      <c r="I2038" s="1">
        <v>1</v>
      </c>
      <c r="J2038" s="3">
        <v>12571</v>
      </c>
      <c r="K2038" s="3">
        <v>11995</v>
      </c>
      <c r="L2038" s="1">
        <v>0</v>
      </c>
      <c r="M2038" s="4">
        <v>0</v>
      </c>
      <c r="N2038" s="1">
        <v>576</v>
      </c>
      <c r="O2038" s="4">
        <v>4.5999999999999999E-2</v>
      </c>
      <c r="P2038" s="1" t="s">
        <v>2721</v>
      </c>
    </row>
    <row r="2039" spans="1:16">
      <c r="A2039" s="1" t="s">
        <v>15</v>
      </c>
      <c r="B2039" s="1">
        <v>11</v>
      </c>
      <c r="C2039" s="1" t="s">
        <v>6019</v>
      </c>
      <c r="D2039" s="1" t="s">
        <v>1452</v>
      </c>
      <c r="E2039" s="2">
        <v>45978</v>
      </c>
      <c r="F2039" s="1" t="s">
        <v>407</v>
      </c>
      <c r="G2039" s="1" t="s">
        <v>1453</v>
      </c>
      <c r="H2039" s="1" t="s">
        <v>1474</v>
      </c>
      <c r="I2039" s="1">
        <v>1</v>
      </c>
      <c r="J2039" s="3">
        <v>11305</v>
      </c>
      <c r="K2039" s="3">
        <v>10787</v>
      </c>
      <c r="L2039" s="1">
        <v>0</v>
      </c>
      <c r="M2039" s="4">
        <v>0</v>
      </c>
      <c r="N2039" s="1">
        <v>518</v>
      </c>
      <c r="O2039" s="4">
        <v>4.5999999999999999E-2</v>
      </c>
      <c r="P2039" s="1" t="s">
        <v>2721</v>
      </c>
    </row>
    <row r="2040" spans="1:16">
      <c r="A2040" s="1" t="s">
        <v>15</v>
      </c>
      <c r="B2040" s="1">
        <v>11</v>
      </c>
      <c r="C2040" s="1" t="s">
        <v>6020</v>
      </c>
      <c r="D2040" s="1" t="s">
        <v>1283</v>
      </c>
      <c r="E2040" s="2">
        <v>45978</v>
      </c>
      <c r="F2040" s="1" t="s">
        <v>1255</v>
      </c>
      <c r="G2040" s="1" t="s">
        <v>1284</v>
      </c>
      <c r="H2040" s="1" t="s">
        <v>6021</v>
      </c>
      <c r="I2040" s="1">
        <v>1</v>
      </c>
      <c r="J2040" s="3">
        <v>46004</v>
      </c>
      <c r="K2040" s="3">
        <v>43898</v>
      </c>
      <c r="L2040" s="1">
        <v>0</v>
      </c>
      <c r="M2040" s="4">
        <v>0</v>
      </c>
      <c r="N2040" s="3">
        <v>2106</v>
      </c>
      <c r="O2040" s="4">
        <v>4.5999999999999999E-2</v>
      </c>
      <c r="P2040" s="1" t="s">
        <v>2721</v>
      </c>
    </row>
    <row r="2041" spans="1:16">
      <c r="A2041" s="1" t="s">
        <v>15</v>
      </c>
      <c r="B2041" s="1">
        <v>11</v>
      </c>
      <c r="C2041" s="1" t="s">
        <v>6022</v>
      </c>
      <c r="D2041" s="1" t="s">
        <v>845</v>
      </c>
      <c r="E2041" s="2">
        <v>45978</v>
      </c>
      <c r="F2041" s="1" t="s">
        <v>846</v>
      </c>
      <c r="G2041" s="1" t="s">
        <v>847</v>
      </c>
      <c r="H2041" s="1" t="s">
        <v>848</v>
      </c>
      <c r="I2041" s="1">
        <v>1</v>
      </c>
      <c r="J2041" s="3">
        <v>112554</v>
      </c>
      <c r="K2041" s="3">
        <v>107401</v>
      </c>
      <c r="L2041" s="1">
        <v>0</v>
      </c>
      <c r="M2041" s="4">
        <v>0</v>
      </c>
      <c r="N2041" s="3">
        <v>5153</v>
      </c>
      <c r="O2041" s="4">
        <v>4.5999999999999999E-2</v>
      </c>
      <c r="P2041" s="1" t="s">
        <v>2721</v>
      </c>
    </row>
    <row r="2042" spans="1:16">
      <c r="A2042" s="1" t="s">
        <v>15</v>
      </c>
      <c r="B2042" s="1">
        <v>11</v>
      </c>
      <c r="C2042" s="1" t="s">
        <v>6023</v>
      </c>
      <c r="D2042" s="1" t="s">
        <v>3292</v>
      </c>
      <c r="E2042" s="2">
        <v>45978</v>
      </c>
      <c r="F2042" s="1" t="s">
        <v>239</v>
      </c>
      <c r="G2042" s="1" t="s">
        <v>3293</v>
      </c>
      <c r="H2042" s="1" t="s">
        <v>3368</v>
      </c>
      <c r="I2042" s="1">
        <v>3</v>
      </c>
      <c r="J2042" s="3">
        <v>33914</v>
      </c>
      <c r="K2042" s="3">
        <v>32361</v>
      </c>
      <c r="L2042" s="1">
        <v>0</v>
      </c>
      <c r="M2042" s="4">
        <v>0</v>
      </c>
      <c r="N2042" s="3">
        <v>1553</v>
      </c>
      <c r="O2042" s="4">
        <v>4.5999999999999999E-2</v>
      </c>
      <c r="P2042" s="1" t="s">
        <v>2721</v>
      </c>
    </row>
    <row r="2043" spans="1:16">
      <c r="A2043" s="1" t="s">
        <v>15</v>
      </c>
      <c r="B2043" s="1">
        <v>11</v>
      </c>
      <c r="C2043" s="1" t="s">
        <v>6024</v>
      </c>
      <c r="D2043" s="1" t="s">
        <v>27</v>
      </c>
      <c r="E2043" s="2">
        <v>45978</v>
      </c>
      <c r="F2043" s="1" t="s">
        <v>28</v>
      </c>
      <c r="G2043" s="1" t="s">
        <v>29</v>
      </c>
      <c r="H2043" s="1" t="s">
        <v>352</v>
      </c>
      <c r="I2043" s="1">
        <v>1</v>
      </c>
      <c r="J2043" s="3">
        <v>27033</v>
      </c>
      <c r="K2043" s="3">
        <v>25795</v>
      </c>
      <c r="L2043" s="1">
        <v>0</v>
      </c>
      <c r="M2043" s="4">
        <v>0</v>
      </c>
      <c r="N2043" s="3">
        <v>1238</v>
      </c>
      <c r="O2043" s="4">
        <v>4.5999999999999999E-2</v>
      </c>
      <c r="P2043" s="1" t="s">
        <v>2721</v>
      </c>
    </row>
    <row r="2044" spans="1:16">
      <c r="A2044" s="1" t="s">
        <v>15</v>
      </c>
      <c r="B2044" s="1">
        <v>11</v>
      </c>
      <c r="C2044" s="1" t="s">
        <v>6025</v>
      </c>
      <c r="D2044" s="1" t="s">
        <v>1500</v>
      </c>
      <c r="E2044" s="2">
        <v>45978</v>
      </c>
      <c r="F2044" s="1" t="s">
        <v>96</v>
      </c>
      <c r="G2044" s="1" t="s">
        <v>1501</v>
      </c>
      <c r="H2044" s="1" t="s">
        <v>1502</v>
      </c>
      <c r="I2044" s="1">
        <v>1</v>
      </c>
      <c r="J2044" s="3">
        <v>11305</v>
      </c>
      <c r="K2044" s="3">
        <v>10787</v>
      </c>
      <c r="L2044" s="1">
        <v>0</v>
      </c>
      <c r="M2044" s="4">
        <v>0</v>
      </c>
      <c r="N2044" s="1">
        <v>518</v>
      </c>
      <c r="O2044" s="4">
        <v>4.5999999999999999E-2</v>
      </c>
      <c r="P2044" s="1" t="s">
        <v>2721</v>
      </c>
    </row>
    <row r="2045" spans="1:16">
      <c r="A2045" s="1" t="s">
        <v>15</v>
      </c>
      <c r="B2045" s="1">
        <v>11</v>
      </c>
      <c r="C2045" s="1" t="s">
        <v>6026</v>
      </c>
      <c r="D2045" s="1" t="s">
        <v>425</v>
      </c>
      <c r="E2045" s="2">
        <v>45978</v>
      </c>
      <c r="F2045" s="1" t="s">
        <v>426</v>
      </c>
      <c r="G2045" s="1" t="s">
        <v>427</v>
      </c>
      <c r="H2045" s="1" t="s">
        <v>428</v>
      </c>
      <c r="I2045" s="1">
        <v>1</v>
      </c>
      <c r="J2045" s="3">
        <v>23592</v>
      </c>
      <c r="K2045" s="3">
        <v>22512</v>
      </c>
      <c r="L2045" s="1">
        <v>0</v>
      </c>
      <c r="M2045" s="4">
        <v>0</v>
      </c>
      <c r="N2045" s="3">
        <v>1080</v>
      </c>
      <c r="O2045" s="4">
        <v>4.5999999999999999E-2</v>
      </c>
      <c r="P2045" s="1" t="s">
        <v>2721</v>
      </c>
    </row>
    <row r="2046" spans="1:16">
      <c r="A2046" s="1" t="s">
        <v>15</v>
      </c>
      <c r="B2046" s="1">
        <v>11</v>
      </c>
      <c r="C2046" s="1" t="s">
        <v>6027</v>
      </c>
      <c r="D2046" s="1" t="s">
        <v>4204</v>
      </c>
      <c r="E2046" s="2">
        <v>45978</v>
      </c>
      <c r="F2046" s="1" t="s">
        <v>96</v>
      </c>
      <c r="G2046" s="1" t="s">
        <v>3000</v>
      </c>
      <c r="H2046" s="1" t="s">
        <v>3001</v>
      </c>
      <c r="I2046" s="1">
        <v>1</v>
      </c>
      <c r="J2046" s="3">
        <v>13023</v>
      </c>
      <c r="K2046" s="3">
        <v>12427</v>
      </c>
      <c r="L2046" s="1">
        <v>0</v>
      </c>
      <c r="M2046" s="4">
        <v>0</v>
      </c>
      <c r="N2046" s="1">
        <v>596</v>
      </c>
      <c r="O2046" s="4">
        <v>4.5999999999999999E-2</v>
      </c>
      <c r="P2046" s="1" t="s">
        <v>2721</v>
      </c>
    </row>
    <row r="2047" spans="1:16">
      <c r="A2047" s="1" t="s">
        <v>15</v>
      </c>
      <c r="B2047" s="1">
        <v>11</v>
      </c>
      <c r="C2047" s="1" t="s">
        <v>6028</v>
      </c>
      <c r="D2047" s="1" t="s">
        <v>2329</v>
      </c>
      <c r="E2047" s="2">
        <v>45978</v>
      </c>
      <c r="F2047" s="1" t="s">
        <v>660</v>
      </c>
      <c r="G2047" s="1" t="s">
        <v>2330</v>
      </c>
      <c r="H2047" s="1" t="s">
        <v>2331</v>
      </c>
      <c r="I2047" s="1">
        <v>1</v>
      </c>
      <c r="J2047" s="3">
        <v>12582</v>
      </c>
      <c r="K2047" s="3">
        <v>12006</v>
      </c>
      <c r="L2047" s="1">
        <v>0</v>
      </c>
      <c r="M2047" s="4">
        <v>0</v>
      </c>
      <c r="N2047" s="1">
        <v>576</v>
      </c>
      <c r="O2047" s="4">
        <v>4.5999999999999999E-2</v>
      </c>
      <c r="P2047" s="1" t="s">
        <v>2721</v>
      </c>
    </row>
    <row r="2048" spans="1:16">
      <c r="A2048" s="1" t="s">
        <v>15</v>
      </c>
      <c r="B2048" s="1">
        <v>11</v>
      </c>
      <c r="C2048" s="1" t="s">
        <v>6029</v>
      </c>
      <c r="D2048" s="1" t="s">
        <v>1359</v>
      </c>
      <c r="E2048" s="2">
        <v>45978</v>
      </c>
      <c r="F2048" s="1" t="s">
        <v>63</v>
      </c>
      <c r="G2048" s="1" t="s">
        <v>1360</v>
      </c>
      <c r="H2048" s="1" t="s">
        <v>2352</v>
      </c>
      <c r="I2048" s="1">
        <v>1</v>
      </c>
      <c r="J2048" s="3">
        <v>30765</v>
      </c>
      <c r="K2048" s="3">
        <v>29357</v>
      </c>
      <c r="L2048" s="1">
        <v>0</v>
      </c>
      <c r="M2048" s="4">
        <v>0</v>
      </c>
      <c r="N2048" s="3">
        <v>1408</v>
      </c>
      <c r="O2048" s="4">
        <v>4.5999999999999999E-2</v>
      </c>
      <c r="P2048" s="1" t="s">
        <v>2721</v>
      </c>
    </row>
    <row r="2049" spans="1:16">
      <c r="A2049" s="1" t="s">
        <v>15</v>
      </c>
      <c r="B2049" s="1">
        <v>11</v>
      </c>
      <c r="C2049" s="1" t="s">
        <v>6030</v>
      </c>
      <c r="D2049" s="1" t="s">
        <v>1250</v>
      </c>
      <c r="E2049" s="2">
        <v>45978</v>
      </c>
      <c r="F2049" s="1" t="s">
        <v>18</v>
      </c>
      <c r="G2049" s="1" t="s">
        <v>1251</v>
      </c>
      <c r="H2049" s="1" t="s">
        <v>20</v>
      </c>
      <c r="I2049" s="1">
        <v>1</v>
      </c>
      <c r="J2049" s="3">
        <v>8395</v>
      </c>
      <c r="K2049" s="3">
        <v>8011</v>
      </c>
      <c r="L2049" s="1">
        <v>0</v>
      </c>
      <c r="M2049" s="4">
        <v>0</v>
      </c>
      <c r="N2049" s="1">
        <v>384</v>
      </c>
      <c r="O2049" s="4">
        <v>4.5999999999999999E-2</v>
      </c>
      <c r="P2049" s="1" t="s">
        <v>2721</v>
      </c>
    </row>
    <row r="2050" spans="1:16">
      <c r="A2050" s="1" t="s">
        <v>15</v>
      </c>
      <c r="B2050" s="1">
        <v>11</v>
      </c>
      <c r="C2050" s="1" t="s">
        <v>6031</v>
      </c>
      <c r="D2050" s="1" t="s">
        <v>499</v>
      </c>
      <c r="E2050" s="2">
        <v>45978</v>
      </c>
      <c r="F2050" s="1" t="s">
        <v>500</v>
      </c>
      <c r="G2050" s="1" t="s">
        <v>501</v>
      </c>
      <c r="H2050" s="1" t="s">
        <v>502</v>
      </c>
      <c r="I2050" s="1">
        <v>1</v>
      </c>
      <c r="J2050" s="3">
        <v>227073</v>
      </c>
      <c r="K2050" s="3">
        <v>216678</v>
      </c>
      <c r="L2050" s="1">
        <v>0</v>
      </c>
      <c r="M2050" s="4">
        <v>0</v>
      </c>
      <c r="N2050" s="3">
        <v>10395</v>
      </c>
      <c r="O2050" s="4">
        <v>4.5999999999999999E-2</v>
      </c>
      <c r="P2050" s="1" t="s">
        <v>2721</v>
      </c>
    </row>
    <row r="2051" spans="1:16">
      <c r="A2051" s="1" t="s">
        <v>15</v>
      </c>
      <c r="B2051" s="1">
        <v>11</v>
      </c>
      <c r="C2051" s="1" t="s">
        <v>6032</v>
      </c>
      <c r="D2051" s="1" t="s">
        <v>865</v>
      </c>
      <c r="E2051" s="2">
        <v>45978</v>
      </c>
      <c r="F2051" s="1" t="s">
        <v>334</v>
      </c>
      <c r="G2051" s="1" t="s">
        <v>866</v>
      </c>
      <c r="H2051" s="1" t="s">
        <v>6033</v>
      </c>
      <c r="I2051" s="1">
        <v>1</v>
      </c>
      <c r="J2051" s="3">
        <v>9044</v>
      </c>
      <c r="K2051" s="3">
        <v>8630</v>
      </c>
      <c r="L2051" s="1">
        <v>0</v>
      </c>
      <c r="M2051" s="4">
        <v>0</v>
      </c>
      <c r="N2051" s="1">
        <v>414</v>
      </c>
      <c r="O2051" s="4">
        <v>4.5999999999999999E-2</v>
      </c>
      <c r="P2051" s="1" t="s">
        <v>2721</v>
      </c>
    </row>
    <row r="2052" spans="1:16">
      <c r="A2052" s="1" t="s">
        <v>15</v>
      </c>
      <c r="B2052" s="1">
        <v>11</v>
      </c>
      <c r="C2052" s="1" t="s">
        <v>6034</v>
      </c>
      <c r="D2052" s="1" t="s">
        <v>22</v>
      </c>
      <c r="E2052" s="2">
        <v>45978</v>
      </c>
      <c r="F2052" s="1" t="s">
        <v>23</v>
      </c>
      <c r="G2052" s="1" t="s">
        <v>24</v>
      </c>
      <c r="H2052" s="1" t="s">
        <v>25</v>
      </c>
      <c r="I2052" s="1">
        <v>1</v>
      </c>
      <c r="J2052" s="3">
        <v>11305</v>
      </c>
      <c r="K2052" s="3">
        <v>10787</v>
      </c>
      <c r="L2052" s="1">
        <v>0</v>
      </c>
      <c r="M2052" s="4">
        <v>0</v>
      </c>
      <c r="N2052" s="1">
        <v>518</v>
      </c>
      <c r="O2052" s="4">
        <v>4.5999999999999999E-2</v>
      </c>
      <c r="P2052" s="1" t="s">
        <v>2721</v>
      </c>
    </row>
    <row r="2053" spans="1:16">
      <c r="A2053" s="1" t="s">
        <v>15</v>
      </c>
      <c r="B2053" s="1">
        <v>11</v>
      </c>
      <c r="C2053" s="1" t="s">
        <v>6035</v>
      </c>
      <c r="D2053" s="1" t="s">
        <v>2334</v>
      </c>
      <c r="E2053" s="2">
        <v>45978</v>
      </c>
      <c r="F2053" s="1" t="s">
        <v>261</v>
      </c>
      <c r="G2053" s="1" t="s">
        <v>2335</v>
      </c>
      <c r="H2053" s="1" t="s">
        <v>2336</v>
      </c>
      <c r="I2053" s="1">
        <v>2</v>
      </c>
      <c r="J2053" s="3">
        <v>51116</v>
      </c>
      <c r="K2053" s="3">
        <v>48776</v>
      </c>
      <c r="L2053" s="1">
        <v>0</v>
      </c>
      <c r="M2053" s="4">
        <v>0</v>
      </c>
      <c r="N2053" s="3">
        <v>2340</v>
      </c>
      <c r="O2053" s="4">
        <v>4.5999999999999999E-2</v>
      </c>
      <c r="P2053" s="1" t="s">
        <v>2721</v>
      </c>
    </row>
    <row r="2054" spans="1:16">
      <c r="A2054" s="1" t="s">
        <v>15</v>
      </c>
      <c r="B2054" s="1">
        <v>11</v>
      </c>
      <c r="C2054" s="1" t="s">
        <v>6036</v>
      </c>
      <c r="D2054" s="1" t="s">
        <v>169</v>
      </c>
      <c r="E2054" s="2">
        <v>45978</v>
      </c>
      <c r="F2054" s="1" t="s">
        <v>53</v>
      </c>
      <c r="G2054" s="1" t="s">
        <v>170</v>
      </c>
      <c r="H2054" s="1" t="s">
        <v>171</v>
      </c>
      <c r="I2054" s="1">
        <v>1</v>
      </c>
      <c r="J2054" s="3">
        <v>14332</v>
      </c>
      <c r="K2054" s="3">
        <v>13676</v>
      </c>
      <c r="L2054" s="1">
        <v>0</v>
      </c>
      <c r="M2054" s="4">
        <v>0</v>
      </c>
      <c r="N2054" s="1">
        <v>656</v>
      </c>
      <c r="O2054" s="4">
        <v>4.5999999999999999E-2</v>
      </c>
      <c r="P2054" s="1" t="s">
        <v>2721</v>
      </c>
    </row>
    <row r="2055" spans="1:16">
      <c r="A2055" s="1" t="s">
        <v>15</v>
      </c>
      <c r="B2055" s="1">
        <v>11</v>
      </c>
      <c r="C2055" s="1" t="s">
        <v>6037</v>
      </c>
      <c r="D2055" s="1" t="s">
        <v>4269</v>
      </c>
      <c r="E2055" s="2">
        <v>45978</v>
      </c>
      <c r="F2055" s="1" t="s">
        <v>261</v>
      </c>
      <c r="G2055" s="1" t="s">
        <v>4270</v>
      </c>
      <c r="H2055" s="1" t="s">
        <v>4270</v>
      </c>
      <c r="I2055" s="1">
        <v>1</v>
      </c>
      <c r="J2055" s="3">
        <v>34405</v>
      </c>
      <c r="K2055" s="3">
        <v>32830</v>
      </c>
      <c r="L2055" s="1">
        <v>0</v>
      </c>
      <c r="M2055" s="4">
        <v>0</v>
      </c>
      <c r="N2055" s="3">
        <v>1575</v>
      </c>
      <c r="O2055" s="4">
        <v>4.5999999999999999E-2</v>
      </c>
      <c r="P2055" s="1" t="s">
        <v>2721</v>
      </c>
    </row>
    <row r="2056" spans="1:16">
      <c r="A2056" s="1" t="s">
        <v>15</v>
      </c>
      <c r="B2056" s="1">
        <v>11</v>
      </c>
      <c r="C2056" s="1" t="s">
        <v>6038</v>
      </c>
      <c r="D2056" s="1" t="s">
        <v>2378</v>
      </c>
      <c r="E2056" s="2">
        <v>45978</v>
      </c>
      <c r="F2056" s="1" t="s">
        <v>96</v>
      </c>
      <c r="G2056" s="1" t="s">
        <v>2379</v>
      </c>
      <c r="H2056" s="1" t="s">
        <v>2380</v>
      </c>
      <c r="I2056" s="1">
        <v>1</v>
      </c>
      <c r="J2056" s="3">
        <v>9405</v>
      </c>
      <c r="K2056" s="3">
        <v>8975</v>
      </c>
      <c r="L2056" s="1">
        <v>0</v>
      </c>
      <c r="M2056" s="4">
        <v>0</v>
      </c>
      <c r="N2056" s="1">
        <v>430</v>
      </c>
      <c r="O2056" s="4">
        <v>4.5999999999999999E-2</v>
      </c>
      <c r="P2056" s="1" t="s">
        <v>2721</v>
      </c>
    </row>
    <row r="2057" spans="1:16">
      <c r="A2057" s="1" t="s">
        <v>15</v>
      </c>
      <c r="B2057" s="1">
        <v>11</v>
      </c>
      <c r="C2057" s="1" t="s">
        <v>6039</v>
      </c>
      <c r="D2057" s="1" t="s">
        <v>3699</v>
      </c>
      <c r="E2057" s="2">
        <v>45978</v>
      </c>
      <c r="F2057" s="1" t="s">
        <v>1075</v>
      </c>
      <c r="G2057" s="1" t="s">
        <v>3700</v>
      </c>
      <c r="H2057" s="1" t="s">
        <v>3701</v>
      </c>
      <c r="I2057" s="1">
        <v>1</v>
      </c>
      <c r="J2057" s="3">
        <v>15040</v>
      </c>
      <c r="K2057" s="3">
        <v>14351</v>
      </c>
      <c r="L2057" s="1">
        <v>0</v>
      </c>
      <c r="M2057" s="4">
        <v>0</v>
      </c>
      <c r="N2057" s="1">
        <v>689</v>
      </c>
      <c r="O2057" s="4">
        <v>4.5999999999999999E-2</v>
      </c>
      <c r="P2057" s="1" t="s">
        <v>2721</v>
      </c>
    </row>
    <row r="2058" spans="1:16">
      <c r="A2058" s="1" t="s">
        <v>15</v>
      </c>
      <c r="B2058" s="1">
        <v>11</v>
      </c>
      <c r="C2058" s="1" t="s">
        <v>6040</v>
      </c>
      <c r="D2058" s="1" t="s">
        <v>1346</v>
      </c>
      <c r="E2058" s="2">
        <v>45978</v>
      </c>
      <c r="F2058" s="1" t="s">
        <v>317</v>
      </c>
      <c r="G2058" s="1" t="s">
        <v>1347</v>
      </c>
      <c r="H2058" s="1" t="s">
        <v>742</v>
      </c>
      <c r="I2058" s="1">
        <v>1</v>
      </c>
      <c r="J2058" s="3">
        <v>27524</v>
      </c>
      <c r="K2058" s="3">
        <v>26264</v>
      </c>
      <c r="L2058" s="1">
        <v>0</v>
      </c>
      <c r="M2058" s="4">
        <v>0</v>
      </c>
      <c r="N2058" s="3">
        <v>1260</v>
      </c>
      <c r="O2058" s="4">
        <v>4.5999999999999999E-2</v>
      </c>
      <c r="P2058" s="1" t="s">
        <v>2721</v>
      </c>
    </row>
    <row r="2059" spans="1:16">
      <c r="A2059" s="1" t="s">
        <v>15</v>
      </c>
      <c r="B2059" s="1">
        <v>11</v>
      </c>
      <c r="C2059" s="1" t="s">
        <v>6041</v>
      </c>
      <c r="D2059" s="1" t="s">
        <v>367</v>
      </c>
      <c r="E2059" s="2">
        <v>45978</v>
      </c>
      <c r="F2059" s="1" t="s">
        <v>368</v>
      </c>
      <c r="G2059" s="1" t="s">
        <v>369</v>
      </c>
      <c r="H2059" s="1" t="s">
        <v>370</v>
      </c>
      <c r="I2059" s="1">
        <v>1</v>
      </c>
      <c r="J2059" s="3">
        <v>14470</v>
      </c>
      <c r="K2059" s="3">
        <v>13807</v>
      </c>
      <c r="L2059" s="1">
        <v>0</v>
      </c>
      <c r="M2059" s="4">
        <v>0</v>
      </c>
      <c r="N2059" s="1">
        <v>663</v>
      </c>
      <c r="O2059" s="4">
        <v>4.5999999999999999E-2</v>
      </c>
      <c r="P2059" s="1" t="s">
        <v>2721</v>
      </c>
    </row>
    <row r="2060" spans="1:16">
      <c r="A2060" s="1" t="s">
        <v>15</v>
      </c>
      <c r="B2060" s="1">
        <v>11</v>
      </c>
      <c r="C2060" s="1" t="s">
        <v>6042</v>
      </c>
      <c r="D2060" s="1" t="s">
        <v>4134</v>
      </c>
      <c r="E2060" s="2">
        <v>45978</v>
      </c>
      <c r="F2060" s="1" t="s">
        <v>534</v>
      </c>
      <c r="G2060" s="1" t="s">
        <v>4135</v>
      </c>
      <c r="H2060" s="1" t="s">
        <v>4136</v>
      </c>
      <c r="I2060" s="1">
        <v>1</v>
      </c>
      <c r="J2060" s="3">
        <v>13035</v>
      </c>
      <c r="K2060" s="3">
        <v>12438</v>
      </c>
      <c r="L2060" s="1">
        <v>0</v>
      </c>
      <c r="M2060" s="4">
        <v>0</v>
      </c>
      <c r="N2060" s="1">
        <v>597</v>
      </c>
      <c r="O2060" s="4">
        <v>4.5999999999999999E-2</v>
      </c>
      <c r="P2060" s="1" t="s">
        <v>2721</v>
      </c>
    </row>
    <row r="2061" spans="1:16">
      <c r="A2061" s="1" t="s">
        <v>15</v>
      </c>
      <c r="B2061" s="1">
        <v>11</v>
      </c>
      <c r="C2061" s="1" t="s">
        <v>6043</v>
      </c>
      <c r="D2061" s="1" t="s">
        <v>6044</v>
      </c>
      <c r="E2061" s="2">
        <v>45978</v>
      </c>
      <c r="F2061" s="1" t="s">
        <v>524</v>
      </c>
      <c r="G2061" s="1" t="s">
        <v>6045</v>
      </c>
      <c r="H2061" s="1" t="s">
        <v>6046</v>
      </c>
      <c r="I2061" s="1">
        <v>1</v>
      </c>
      <c r="J2061" s="3">
        <v>19283</v>
      </c>
      <c r="K2061" s="3">
        <v>18400</v>
      </c>
      <c r="L2061" s="1">
        <v>0</v>
      </c>
      <c r="M2061" s="4">
        <v>0</v>
      </c>
      <c r="N2061" s="1">
        <v>883</v>
      </c>
      <c r="O2061" s="4">
        <v>4.5999999999999999E-2</v>
      </c>
      <c r="P2061" s="1" t="s">
        <v>2721</v>
      </c>
    </row>
    <row r="2062" spans="1:16">
      <c r="A2062" s="1" t="s">
        <v>15</v>
      </c>
      <c r="B2062" s="1">
        <v>11</v>
      </c>
      <c r="C2062" s="1" t="s">
        <v>6047</v>
      </c>
      <c r="D2062" s="1" t="s">
        <v>6048</v>
      </c>
      <c r="E2062" s="2">
        <v>45978</v>
      </c>
      <c r="F2062" s="1" t="s">
        <v>1665</v>
      </c>
      <c r="G2062" s="1" t="s">
        <v>6049</v>
      </c>
      <c r="H2062" s="1" t="s">
        <v>6050</v>
      </c>
      <c r="I2062" s="1">
        <v>1</v>
      </c>
      <c r="J2062" s="3">
        <v>20702</v>
      </c>
      <c r="K2062" s="3">
        <v>19754</v>
      </c>
      <c r="L2062" s="1">
        <v>0</v>
      </c>
      <c r="M2062" s="4">
        <v>0</v>
      </c>
      <c r="N2062" s="1">
        <v>948</v>
      </c>
      <c r="O2062" s="4">
        <v>4.5999999999999999E-2</v>
      </c>
      <c r="P2062" s="1" t="s">
        <v>2721</v>
      </c>
    </row>
    <row r="2063" spans="1:16">
      <c r="A2063" s="1" t="s">
        <v>15</v>
      </c>
      <c r="B2063" s="1">
        <v>11</v>
      </c>
      <c r="C2063" s="1" t="s">
        <v>6051</v>
      </c>
      <c r="D2063" s="1" t="s">
        <v>212</v>
      </c>
      <c r="E2063" s="2">
        <v>45978</v>
      </c>
      <c r="F2063" s="1" t="s">
        <v>213</v>
      </c>
      <c r="G2063" s="1" t="s">
        <v>214</v>
      </c>
      <c r="H2063" s="1" t="s">
        <v>215</v>
      </c>
      <c r="I2063" s="1">
        <v>1</v>
      </c>
      <c r="J2063" s="3">
        <v>16220</v>
      </c>
      <c r="K2063" s="3">
        <v>15477</v>
      </c>
      <c r="L2063" s="1">
        <v>0</v>
      </c>
      <c r="M2063" s="4">
        <v>0</v>
      </c>
      <c r="N2063" s="1">
        <v>743</v>
      </c>
      <c r="O2063" s="4">
        <v>4.5999999999999999E-2</v>
      </c>
      <c r="P2063" s="1" t="s">
        <v>2721</v>
      </c>
    </row>
    <row r="2064" spans="1:16">
      <c r="A2064" s="1" t="s">
        <v>15</v>
      </c>
      <c r="B2064" s="1">
        <v>11</v>
      </c>
      <c r="C2064" s="1" t="s">
        <v>6052</v>
      </c>
      <c r="D2064" s="1" t="s">
        <v>487</v>
      </c>
      <c r="E2064" s="2">
        <v>45978</v>
      </c>
      <c r="F2064" s="1" t="s">
        <v>488</v>
      </c>
      <c r="G2064" s="1" t="s">
        <v>489</v>
      </c>
      <c r="H2064" s="1" t="s">
        <v>490</v>
      </c>
      <c r="I2064" s="1">
        <v>1</v>
      </c>
      <c r="J2064" s="3">
        <v>19169</v>
      </c>
      <c r="K2064" s="3">
        <v>18291</v>
      </c>
      <c r="L2064" s="1">
        <v>0</v>
      </c>
      <c r="M2064" s="4">
        <v>0</v>
      </c>
      <c r="N2064" s="1">
        <v>878</v>
      </c>
      <c r="O2064" s="4">
        <v>4.5999999999999999E-2</v>
      </c>
      <c r="P2064" s="1" t="s">
        <v>2721</v>
      </c>
    </row>
    <row r="2065" spans="1:16">
      <c r="A2065" s="1" t="s">
        <v>15</v>
      </c>
      <c r="B2065" s="1">
        <v>11</v>
      </c>
      <c r="C2065" s="1" t="s">
        <v>6053</v>
      </c>
      <c r="D2065" s="1" t="s">
        <v>1088</v>
      </c>
      <c r="E2065" s="2">
        <v>45978</v>
      </c>
      <c r="F2065" s="1" t="s">
        <v>317</v>
      </c>
      <c r="G2065" s="1" t="s">
        <v>1089</v>
      </c>
      <c r="H2065" s="1" t="s">
        <v>2865</v>
      </c>
      <c r="I2065" s="1">
        <v>1</v>
      </c>
      <c r="J2065" s="3">
        <v>45120</v>
      </c>
      <c r="K2065" s="3">
        <v>43054</v>
      </c>
      <c r="L2065" s="1">
        <v>0</v>
      </c>
      <c r="M2065" s="4">
        <v>0</v>
      </c>
      <c r="N2065" s="3">
        <v>2066</v>
      </c>
      <c r="O2065" s="4">
        <v>4.5999999999999999E-2</v>
      </c>
      <c r="P2065" s="1" t="s">
        <v>2721</v>
      </c>
    </row>
    <row r="2066" spans="1:16">
      <c r="A2066" s="1" t="s">
        <v>15</v>
      </c>
      <c r="B2066" s="1">
        <v>11</v>
      </c>
      <c r="C2066" s="1" t="s">
        <v>6054</v>
      </c>
      <c r="D2066" s="1" t="s">
        <v>1125</v>
      </c>
      <c r="E2066" s="2">
        <v>45978</v>
      </c>
      <c r="F2066" s="1" t="s">
        <v>96</v>
      </c>
      <c r="G2066" s="1" t="s">
        <v>1126</v>
      </c>
      <c r="H2066" s="1" t="s">
        <v>1127</v>
      </c>
      <c r="I2066" s="1">
        <v>1</v>
      </c>
      <c r="J2066" s="3">
        <v>9858</v>
      </c>
      <c r="K2066" s="3">
        <v>9406</v>
      </c>
      <c r="L2066" s="1">
        <v>0</v>
      </c>
      <c r="M2066" s="4">
        <v>0</v>
      </c>
      <c r="N2066" s="1">
        <v>452</v>
      </c>
      <c r="O2066" s="4">
        <v>4.5999999999999999E-2</v>
      </c>
      <c r="P2066" s="1" t="s">
        <v>2721</v>
      </c>
    </row>
    <row r="2067" spans="1:16">
      <c r="A2067" s="1" t="s">
        <v>15</v>
      </c>
      <c r="B2067" s="1">
        <v>11</v>
      </c>
      <c r="C2067" s="1" t="s">
        <v>6054</v>
      </c>
      <c r="D2067" s="1" t="s">
        <v>1125</v>
      </c>
      <c r="E2067" s="2">
        <v>45978</v>
      </c>
      <c r="F2067" s="1" t="s">
        <v>96</v>
      </c>
      <c r="G2067" s="1" t="s">
        <v>1126</v>
      </c>
      <c r="H2067" s="1" t="s">
        <v>3782</v>
      </c>
      <c r="I2067" s="1">
        <v>1</v>
      </c>
      <c r="J2067" s="3">
        <v>9858</v>
      </c>
      <c r="K2067" s="3">
        <v>9406</v>
      </c>
      <c r="L2067" s="1">
        <v>0</v>
      </c>
      <c r="M2067" s="4">
        <v>0</v>
      </c>
      <c r="N2067" s="1">
        <v>452</v>
      </c>
      <c r="O2067" s="4">
        <v>4.5999999999999999E-2</v>
      </c>
      <c r="P2067" s="1" t="s">
        <v>2721</v>
      </c>
    </row>
    <row r="2068" spans="1:16">
      <c r="A2068" s="1" t="s">
        <v>15</v>
      </c>
      <c r="B2068" s="1">
        <v>11</v>
      </c>
      <c r="C2068" s="1" t="s">
        <v>6055</v>
      </c>
      <c r="D2068" s="1" t="s">
        <v>86</v>
      </c>
      <c r="E2068" s="2">
        <v>45978</v>
      </c>
      <c r="F2068" s="1" t="s">
        <v>53</v>
      </c>
      <c r="G2068" s="1" t="s">
        <v>87</v>
      </c>
      <c r="H2068" s="1" t="s">
        <v>88</v>
      </c>
      <c r="I2068" s="1">
        <v>1</v>
      </c>
      <c r="J2068" s="3">
        <v>14956</v>
      </c>
      <c r="K2068" s="3">
        <v>14272</v>
      </c>
      <c r="L2068" s="1">
        <v>0</v>
      </c>
      <c r="M2068" s="4">
        <v>0</v>
      </c>
      <c r="N2068" s="1">
        <v>684</v>
      </c>
      <c r="O2068" s="4">
        <v>4.5999999999999999E-2</v>
      </c>
      <c r="P2068" s="1" t="s">
        <v>2721</v>
      </c>
    </row>
    <row r="2069" spans="1:16">
      <c r="A2069" s="1" t="s">
        <v>15</v>
      </c>
      <c r="B2069" s="1">
        <v>11</v>
      </c>
      <c r="C2069" s="1" t="s">
        <v>6056</v>
      </c>
      <c r="D2069" s="1" t="s">
        <v>4863</v>
      </c>
      <c r="E2069" s="2">
        <v>45978</v>
      </c>
      <c r="F2069" s="1" t="s">
        <v>3496</v>
      </c>
      <c r="G2069" s="1" t="s">
        <v>4864</v>
      </c>
      <c r="H2069" s="1" t="s">
        <v>6010</v>
      </c>
      <c r="I2069" s="1">
        <v>1</v>
      </c>
      <c r="J2069" s="3">
        <v>14696</v>
      </c>
      <c r="K2069" s="3">
        <v>14023</v>
      </c>
      <c r="L2069" s="1">
        <v>0</v>
      </c>
      <c r="M2069" s="4">
        <v>0</v>
      </c>
      <c r="N2069" s="1">
        <v>673</v>
      </c>
      <c r="O2069" s="4">
        <v>4.5999999999999999E-2</v>
      </c>
      <c r="P2069" s="1" t="s">
        <v>2721</v>
      </c>
    </row>
    <row r="2070" spans="1:16">
      <c r="A2070" s="1" t="s">
        <v>15</v>
      </c>
      <c r="B2070" s="1">
        <v>11</v>
      </c>
      <c r="C2070" s="1" t="s">
        <v>6057</v>
      </c>
      <c r="D2070" s="1" t="s">
        <v>3754</v>
      </c>
      <c r="E2070" s="2">
        <v>45978</v>
      </c>
      <c r="F2070" s="1" t="s">
        <v>63</v>
      </c>
      <c r="G2070" s="1" t="s">
        <v>3755</v>
      </c>
      <c r="H2070" s="1" t="s">
        <v>3789</v>
      </c>
      <c r="I2070" s="1">
        <v>1</v>
      </c>
      <c r="J2070" s="3">
        <v>4958</v>
      </c>
      <c r="K2070" s="3">
        <v>4731</v>
      </c>
      <c r="L2070" s="1">
        <v>0</v>
      </c>
      <c r="M2070" s="4">
        <v>0</v>
      </c>
      <c r="N2070" s="1">
        <v>227</v>
      </c>
      <c r="O2070" s="4">
        <v>4.5999999999999999E-2</v>
      </c>
      <c r="P2070" s="1" t="s">
        <v>2721</v>
      </c>
    </row>
    <row r="2071" spans="1:16">
      <c r="A2071" s="1" t="s">
        <v>15</v>
      </c>
      <c r="B2071" s="1">
        <v>11</v>
      </c>
      <c r="C2071" s="1" t="s">
        <v>6057</v>
      </c>
      <c r="D2071" s="1" t="s">
        <v>116</v>
      </c>
      <c r="E2071" s="2">
        <v>45978</v>
      </c>
      <c r="F2071" s="1" t="s">
        <v>63</v>
      </c>
      <c r="G2071" s="1" t="s">
        <v>117</v>
      </c>
      <c r="H2071" s="1" t="s">
        <v>139</v>
      </c>
      <c r="I2071" s="1">
        <v>1</v>
      </c>
      <c r="J2071" s="3">
        <v>15422</v>
      </c>
      <c r="K2071" s="3">
        <v>14716</v>
      </c>
      <c r="L2071" s="1">
        <v>0</v>
      </c>
      <c r="M2071" s="4">
        <v>0</v>
      </c>
      <c r="N2071" s="1">
        <v>706</v>
      </c>
      <c r="O2071" s="4">
        <v>4.5999999999999999E-2</v>
      </c>
      <c r="P2071" s="1" t="s">
        <v>2721</v>
      </c>
    </row>
    <row r="2072" spans="1:16">
      <c r="A2072" s="1" t="s">
        <v>15</v>
      </c>
      <c r="B2072" s="1">
        <v>11</v>
      </c>
      <c r="C2072" s="1" t="s">
        <v>6058</v>
      </c>
      <c r="D2072" s="1" t="s">
        <v>1561</v>
      </c>
      <c r="E2072" s="2">
        <v>45978</v>
      </c>
      <c r="F2072" s="1" t="s">
        <v>1562</v>
      </c>
      <c r="G2072" s="1" t="s">
        <v>1563</v>
      </c>
      <c r="H2072" s="1" t="s">
        <v>6059</v>
      </c>
      <c r="I2072" s="1">
        <v>1</v>
      </c>
      <c r="J2072" s="3">
        <v>108130</v>
      </c>
      <c r="K2072" s="3">
        <v>103180</v>
      </c>
      <c r="L2072" s="1">
        <v>0</v>
      </c>
      <c r="M2072" s="4">
        <v>0</v>
      </c>
      <c r="N2072" s="3">
        <v>4950</v>
      </c>
      <c r="O2072" s="4">
        <v>4.5999999999999999E-2</v>
      </c>
      <c r="P2072" s="1" t="s">
        <v>2721</v>
      </c>
    </row>
    <row r="2073" spans="1:16">
      <c r="A2073" s="1" t="s">
        <v>15</v>
      </c>
      <c r="B2073" s="1">
        <v>11</v>
      </c>
      <c r="C2073" s="1" t="s">
        <v>6060</v>
      </c>
      <c r="D2073" s="1" t="s">
        <v>5800</v>
      </c>
      <c r="E2073" s="2">
        <v>45978</v>
      </c>
      <c r="F2073" s="1" t="s">
        <v>554</v>
      </c>
      <c r="G2073" s="1" t="s">
        <v>5801</v>
      </c>
      <c r="H2073" s="1" t="s">
        <v>5802</v>
      </c>
      <c r="I2073" s="1">
        <v>1</v>
      </c>
      <c r="J2073" s="3">
        <v>15237</v>
      </c>
      <c r="K2073" s="3">
        <v>14539</v>
      </c>
      <c r="L2073" s="1">
        <v>0</v>
      </c>
      <c r="M2073" s="4">
        <v>0</v>
      </c>
      <c r="N2073" s="1">
        <v>698</v>
      </c>
      <c r="O2073" s="4">
        <v>4.5999999999999999E-2</v>
      </c>
      <c r="P2073" s="1" t="s">
        <v>2721</v>
      </c>
    </row>
    <row r="2074" spans="1:16">
      <c r="A2074" s="1" t="s">
        <v>15</v>
      </c>
      <c r="B2074" s="1">
        <v>11</v>
      </c>
      <c r="C2074" s="1" t="s">
        <v>6061</v>
      </c>
      <c r="D2074" s="1" t="s">
        <v>32</v>
      </c>
      <c r="E2074" s="2">
        <v>45978</v>
      </c>
      <c r="F2074" s="1" t="s">
        <v>33</v>
      </c>
      <c r="G2074" s="1" t="s">
        <v>34</v>
      </c>
      <c r="H2074" s="1" t="s">
        <v>35</v>
      </c>
      <c r="I2074" s="1">
        <v>1</v>
      </c>
      <c r="J2074" s="3">
        <v>56085</v>
      </c>
      <c r="K2074" s="3">
        <v>53518</v>
      </c>
      <c r="L2074" s="1">
        <v>0</v>
      </c>
      <c r="M2074" s="4">
        <v>0</v>
      </c>
      <c r="N2074" s="3">
        <v>2567</v>
      </c>
      <c r="O2074" s="4">
        <v>4.5999999999999999E-2</v>
      </c>
      <c r="P2074" s="1" t="s">
        <v>2721</v>
      </c>
    </row>
    <row r="2075" spans="1:16">
      <c r="A2075" s="1" t="s">
        <v>15</v>
      </c>
      <c r="B2075" s="1">
        <v>11</v>
      </c>
      <c r="C2075" s="1" t="s">
        <v>6062</v>
      </c>
      <c r="D2075" s="1" t="s">
        <v>146</v>
      </c>
      <c r="E2075" s="2">
        <v>45978</v>
      </c>
      <c r="F2075" s="1" t="s">
        <v>96</v>
      </c>
      <c r="G2075" s="1" t="s">
        <v>147</v>
      </c>
      <c r="H2075" s="1" t="s">
        <v>148</v>
      </c>
      <c r="I2075" s="1">
        <v>1</v>
      </c>
      <c r="J2075" s="3">
        <v>8863</v>
      </c>
      <c r="K2075" s="3">
        <v>8457</v>
      </c>
      <c r="L2075" s="1">
        <v>0</v>
      </c>
      <c r="M2075" s="4">
        <v>0</v>
      </c>
      <c r="N2075" s="1">
        <v>406</v>
      </c>
      <c r="O2075" s="4">
        <v>4.5999999999999999E-2</v>
      </c>
      <c r="P2075" s="1" t="s">
        <v>2721</v>
      </c>
    </row>
    <row r="2076" spans="1:16">
      <c r="A2076" s="1" t="s">
        <v>15</v>
      </c>
      <c r="B2076" s="1">
        <v>11</v>
      </c>
      <c r="C2076" s="1" t="s">
        <v>6063</v>
      </c>
      <c r="D2076" s="1" t="s">
        <v>504</v>
      </c>
      <c r="E2076" s="2">
        <v>45978</v>
      </c>
      <c r="F2076" s="1" t="s">
        <v>407</v>
      </c>
      <c r="G2076" s="1" t="s">
        <v>505</v>
      </c>
      <c r="H2076" s="1" t="s">
        <v>1004</v>
      </c>
      <c r="I2076" s="1">
        <v>1</v>
      </c>
      <c r="J2076" s="3">
        <v>9339</v>
      </c>
      <c r="K2076" s="3">
        <v>8911</v>
      </c>
      <c r="L2076" s="1">
        <v>0</v>
      </c>
      <c r="M2076" s="4">
        <v>0</v>
      </c>
      <c r="N2076" s="1">
        <v>428</v>
      </c>
      <c r="O2076" s="4">
        <v>4.5999999999999999E-2</v>
      </c>
      <c r="P2076" s="1" t="s">
        <v>2721</v>
      </c>
    </row>
    <row r="2077" spans="1:16">
      <c r="A2077" s="1" t="s">
        <v>15</v>
      </c>
      <c r="B2077" s="1">
        <v>11</v>
      </c>
      <c r="C2077" s="1" t="s">
        <v>6063</v>
      </c>
      <c r="D2077" s="1" t="s">
        <v>960</v>
      </c>
      <c r="E2077" s="2">
        <v>45978</v>
      </c>
      <c r="F2077" s="1" t="s">
        <v>407</v>
      </c>
      <c r="G2077" s="1" t="s">
        <v>961</v>
      </c>
      <c r="H2077" s="1" t="s">
        <v>2830</v>
      </c>
      <c r="I2077" s="1">
        <v>1</v>
      </c>
      <c r="J2077" s="3">
        <v>16711</v>
      </c>
      <c r="K2077" s="3">
        <v>15946</v>
      </c>
      <c r="L2077" s="1">
        <v>0</v>
      </c>
      <c r="M2077" s="4">
        <v>0</v>
      </c>
      <c r="N2077" s="1">
        <v>765</v>
      </c>
      <c r="O2077" s="4">
        <v>4.5999999999999999E-2</v>
      </c>
      <c r="P2077" s="1" t="s">
        <v>2721</v>
      </c>
    </row>
    <row r="2078" spans="1:16">
      <c r="A2078" s="1" t="s">
        <v>15</v>
      </c>
      <c r="B2078" s="1">
        <v>11</v>
      </c>
      <c r="C2078" s="1" t="s">
        <v>6064</v>
      </c>
      <c r="D2078" s="1" t="s">
        <v>6065</v>
      </c>
      <c r="E2078" s="2">
        <v>45978</v>
      </c>
      <c r="F2078" s="1" t="s">
        <v>441</v>
      </c>
      <c r="G2078" s="1" t="s">
        <v>6066</v>
      </c>
      <c r="H2078" s="1" t="s">
        <v>6067</v>
      </c>
      <c r="I2078" s="1">
        <v>1</v>
      </c>
      <c r="J2078" s="3">
        <v>21135</v>
      </c>
      <c r="K2078" s="3">
        <v>20167</v>
      </c>
      <c r="L2078" s="1">
        <v>0</v>
      </c>
      <c r="M2078" s="4">
        <v>0</v>
      </c>
      <c r="N2078" s="1">
        <v>968</v>
      </c>
      <c r="O2078" s="4">
        <v>4.5999999999999999E-2</v>
      </c>
      <c r="P2078" s="1" t="s">
        <v>2721</v>
      </c>
    </row>
    <row r="2079" spans="1:16">
      <c r="A2079" s="1" t="s">
        <v>15</v>
      </c>
      <c r="B2079" s="1">
        <v>11</v>
      </c>
      <c r="C2079" s="1" t="s">
        <v>6068</v>
      </c>
      <c r="D2079" s="1" t="s">
        <v>955</v>
      </c>
      <c r="E2079" s="2">
        <v>45978</v>
      </c>
      <c r="F2079" s="1" t="s">
        <v>554</v>
      </c>
      <c r="G2079" s="1" t="s">
        <v>956</v>
      </c>
      <c r="H2079" s="1" t="s">
        <v>957</v>
      </c>
      <c r="I2079" s="1">
        <v>1</v>
      </c>
      <c r="J2079" s="3">
        <v>17596</v>
      </c>
      <c r="K2079" s="3">
        <v>16790</v>
      </c>
      <c r="L2079" s="1">
        <v>0</v>
      </c>
      <c r="M2079" s="4">
        <v>0</v>
      </c>
      <c r="N2079" s="1">
        <v>806</v>
      </c>
      <c r="O2079" s="4">
        <v>4.5999999999999999E-2</v>
      </c>
      <c r="P2079" s="1" t="s">
        <v>2721</v>
      </c>
    </row>
    <row r="2080" spans="1:16">
      <c r="A2080" s="1" t="s">
        <v>15</v>
      </c>
      <c r="B2080" s="1">
        <v>11</v>
      </c>
      <c r="C2080" s="1" t="s">
        <v>6069</v>
      </c>
      <c r="D2080" s="1" t="s">
        <v>474</v>
      </c>
      <c r="E2080" s="2">
        <v>45978</v>
      </c>
      <c r="F2080" s="1" t="s">
        <v>53</v>
      </c>
      <c r="G2080" s="1" t="s">
        <v>475</v>
      </c>
      <c r="H2080" s="1" t="s">
        <v>476</v>
      </c>
      <c r="I2080" s="1">
        <v>1</v>
      </c>
      <c r="J2080" s="3">
        <v>10726</v>
      </c>
      <c r="K2080" s="3">
        <v>10235</v>
      </c>
      <c r="L2080" s="1">
        <v>0</v>
      </c>
      <c r="M2080" s="4">
        <v>0</v>
      </c>
      <c r="N2080" s="1">
        <v>491</v>
      </c>
      <c r="O2080" s="4">
        <v>4.5999999999999999E-2</v>
      </c>
      <c r="P2080" s="1" t="s">
        <v>2721</v>
      </c>
    </row>
    <row r="2081" spans="1:16">
      <c r="A2081" s="1" t="s">
        <v>15</v>
      </c>
      <c r="B2081" s="1">
        <v>11</v>
      </c>
      <c r="C2081" s="1" t="s">
        <v>6070</v>
      </c>
      <c r="D2081" s="1" t="s">
        <v>169</v>
      </c>
      <c r="E2081" s="2">
        <v>45978</v>
      </c>
      <c r="F2081" s="1" t="s">
        <v>53</v>
      </c>
      <c r="G2081" s="1" t="s">
        <v>170</v>
      </c>
      <c r="H2081" s="1" t="s">
        <v>171</v>
      </c>
      <c r="I2081" s="1">
        <v>1</v>
      </c>
      <c r="J2081" s="3">
        <v>14332</v>
      </c>
      <c r="K2081" s="3">
        <v>13676</v>
      </c>
      <c r="L2081" s="1">
        <v>0</v>
      </c>
      <c r="M2081" s="4">
        <v>0</v>
      </c>
      <c r="N2081" s="1">
        <v>656</v>
      </c>
      <c r="O2081" s="4">
        <v>4.5999999999999999E-2</v>
      </c>
      <c r="P2081" s="1" t="s">
        <v>2721</v>
      </c>
    </row>
    <row r="2082" spans="1:16">
      <c r="A2082" s="1" t="s">
        <v>15</v>
      </c>
      <c r="B2082" s="1">
        <v>11</v>
      </c>
      <c r="C2082" s="1" t="s">
        <v>6071</v>
      </c>
      <c r="D2082" s="1" t="s">
        <v>212</v>
      </c>
      <c r="E2082" s="2">
        <v>45978</v>
      </c>
      <c r="F2082" s="1" t="s">
        <v>213</v>
      </c>
      <c r="G2082" s="1" t="s">
        <v>214</v>
      </c>
      <c r="H2082" s="1" t="s">
        <v>3551</v>
      </c>
      <c r="I2082" s="1">
        <v>1</v>
      </c>
      <c r="J2082" s="3">
        <v>29490</v>
      </c>
      <c r="K2082" s="3">
        <v>28140</v>
      </c>
      <c r="L2082" s="1">
        <v>0</v>
      </c>
      <c r="M2082" s="4">
        <v>0</v>
      </c>
      <c r="N2082" s="3">
        <v>1350</v>
      </c>
      <c r="O2082" s="4">
        <v>4.5999999999999999E-2</v>
      </c>
      <c r="P2082" s="1" t="s">
        <v>2721</v>
      </c>
    </row>
    <row r="2083" spans="1:16">
      <c r="A2083" s="1" t="s">
        <v>15</v>
      </c>
      <c r="B2083" s="1">
        <v>11</v>
      </c>
      <c r="C2083" s="1" t="s">
        <v>6072</v>
      </c>
      <c r="D2083" s="1" t="s">
        <v>4836</v>
      </c>
      <c r="E2083" s="2">
        <v>45978</v>
      </c>
      <c r="F2083" s="1" t="s">
        <v>1562</v>
      </c>
      <c r="G2083" s="1" t="s">
        <v>4837</v>
      </c>
      <c r="H2083" s="1" t="s">
        <v>6073</v>
      </c>
      <c r="I2083" s="1">
        <v>1</v>
      </c>
      <c r="J2083" s="3">
        <v>809009</v>
      </c>
      <c r="K2083" s="3">
        <v>771974</v>
      </c>
      <c r="L2083" s="1">
        <v>0</v>
      </c>
      <c r="M2083" s="4">
        <v>0</v>
      </c>
      <c r="N2083" s="3">
        <v>37035</v>
      </c>
      <c r="O2083" s="4">
        <v>4.5999999999999999E-2</v>
      </c>
      <c r="P2083" s="1" t="s">
        <v>2721</v>
      </c>
    </row>
    <row r="2084" spans="1:16">
      <c r="A2084" s="1" t="s">
        <v>15</v>
      </c>
      <c r="B2084" s="1">
        <v>11</v>
      </c>
      <c r="C2084" s="1" t="s">
        <v>6074</v>
      </c>
      <c r="D2084" s="1" t="s">
        <v>5058</v>
      </c>
      <c r="E2084" s="2">
        <v>45978</v>
      </c>
      <c r="F2084" s="1" t="s">
        <v>53</v>
      </c>
      <c r="G2084" s="1" t="s">
        <v>5059</v>
      </c>
      <c r="H2084" s="1" t="s">
        <v>6075</v>
      </c>
      <c r="I2084" s="1">
        <v>1</v>
      </c>
      <c r="J2084" s="3">
        <v>9825</v>
      </c>
      <c r="K2084" s="3">
        <v>9375</v>
      </c>
      <c r="L2084" s="1">
        <v>0</v>
      </c>
      <c r="M2084" s="4">
        <v>0</v>
      </c>
      <c r="N2084" s="1">
        <v>450</v>
      </c>
      <c r="O2084" s="4">
        <v>4.5999999999999999E-2</v>
      </c>
      <c r="P2084" s="1" t="s">
        <v>2721</v>
      </c>
    </row>
    <row r="2085" spans="1:16">
      <c r="A2085" s="1" t="s">
        <v>15</v>
      </c>
      <c r="B2085" s="1">
        <v>11</v>
      </c>
      <c r="C2085" s="1" t="s">
        <v>6076</v>
      </c>
      <c r="D2085" s="1" t="s">
        <v>52</v>
      </c>
      <c r="E2085" s="2">
        <v>45978</v>
      </c>
      <c r="F2085" s="1" t="s">
        <v>53</v>
      </c>
      <c r="G2085" s="1" t="s">
        <v>54</v>
      </c>
      <c r="H2085" s="1" t="s">
        <v>55</v>
      </c>
      <c r="I2085" s="1">
        <v>1</v>
      </c>
      <c r="J2085" s="3">
        <v>16135</v>
      </c>
      <c r="K2085" s="3">
        <v>15396</v>
      </c>
      <c r="L2085" s="1">
        <v>0</v>
      </c>
      <c r="M2085" s="4">
        <v>0</v>
      </c>
      <c r="N2085" s="1">
        <v>739</v>
      </c>
      <c r="O2085" s="4">
        <v>4.5999999999999999E-2</v>
      </c>
      <c r="P2085" s="1" t="s">
        <v>2721</v>
      </c>
    </row>
    <row r="2086" spans="1:16">
      <c r="A2086" s="1" t="s">
        <v>15</v>
      </c>
      <c r="B2086" s="1">
        <v>11</v>
      </c>
      <c r="C2086" s="1" t="s">
        <v>6077</v>
      </c>
      <c r="D2086" s="1" t="s">
        <v>52</v>
      </c>
      <c r="E2086" s="2">
        <v>45978</v>
      </c>
      <c r="F2086" s="1" t="s">
        <v>53</v>
      </c>
      <c r="G2086" s="1" t="s">
        <v>54</v>
      </c>
      <c r="H2086" s="1" t="s">
        <v>55</v>
      </c>
      <c r="I2086" s="1">
        <v>1</v>
      </c>
      <c r="J2086" s="3">
        <v>16135</v>
      </c>
      <c r="K2086" s="3">
        <v>15396</v>
      </c>
      <c r="L2086" s="1">
        <v>0</v>
      </c>
      <c r="M2086" s="4">
        <v>0</v>
      </c>
      <c r="N2086" s="1">
        <v>739</v>
      </c>
      <c r="O2086" s="4">
        <v>4.5999999999999999E-2</v>
      </c>
      <c r="P2086" s="1" t="s">
        <v>2721</v>
      </c>
    </row>
    <row r="2087" spans="1:16">
      <c r="A2087" s="1" t="s">
        <v>15</v>
      </c>
      <c r="B2087" s="1">
        <v>11</v>
      </c>
      <c r="C2087" s="1" t="s">
        <v>6078</v>
      </c>
      <c r="D2087" s="1" t="s">
        <v>80</v>
      </c>
      <c r="E2087" s="2">
        <v>45978</v>
      </c>
      <c r="F2087" s="1" t="s">
        <v>58</v>
      </c>
      <c r="G2087" s="1" t="s">
        <v>81</v>
      </c>
      <c r="H2087" s="1" t="s">
        <v>6079</v>
      </c>
      <c r="I2087" s="1">
        <v>1</v>
      </c>
      <c r="J2087" s="3">
        <v>17301</v>
      </c>
      <c r="K2087" s="3">
        <v>16509</v>
      </c>
      <c r="L2087" s="1">
        <v>0</v>
      </c>
      <c r="M2087" s="4">
        <v>0</v>
      </c>
      <c r="N2087" s="1">
        <v>792</v>
      </c>
      <c r="O2087" s="4">
        <v>4.5999999999999999E-2</v>
      </c>
      <c r="P2087" s="1" t="s">
        <v>2721</v>
      </c>
    </row>
    <row r="2088" spans="1:16">
      <c r="A2088" s="1" t="s">
        <v>15</v>
      </c>
      <c r="B2088" s="1">
        <v>11</v>
      </c>
      <c r="C2088" s="1" t="s">
        <v>6080</v>
      </c>
      <c r="D2088" s="1" t="s">
        <v>221</v>
      </c>
      <c r="E2088" s="2">
        <v>45978</v>
      </c>
      <c r="F2088" s="1" t="s">
        <v>96</v>
      </c>
      <c r="G2088" s="1" t="s">
        <v>222</v>
      </c>
      <c r="H2088" s="1" t="s">
        <v>509</v>
      </c>
      <c r="I2088" s="1">
        <v>1</v>
      </c>
      <c r="J2088" s="3">
        <v>12571</v>
      </c>
      <c r="K2088" s="3">
        <v>11995</v>
      </c>
      <c r="L2088" s="1">
        <v>0</v>
      </c>
      <c r="M2088" s="4">
        <v>0</v>
      </c>
      <c r="N2088" s="1">
        <v>576</v>
      </c>
      <c r="O2088" s="4">
        <v>4.5999999999999999E-2</v>
      </c>
      <c r="P2088" s="1" t="s">
        <v>2721</v>
      </c>
    </row>
    <row r="2089" spans="1:16">
      <c r="A2089" s="1" t="s">
        <v>15</v>
      </c>
      <c r="B2089" s="1">
        <v>11</v>
      </c>
      <c r="C2089" s="1" t="s">
        <v>6080</v>
      </c>
      <c r="D2089" s="1" t="s">
        <v>224</v>
      </c>
      <c r="E2089" s="2">
        <v>45978</v>
      </c>
      <c r="F2089" s="1" t="s">
        <v>96</v>
      </c>
      <c r="G2089" s="1" t="s">
        <v>225</v>
      </c>
      <c r="H2089" s="1" t="s">
        <v>896</v>
      </c>
      <c r="I2089" s="1">
        <v>1</v>
      </c>
      <c r="J2089" s="3">
        <v>12571</v>
      </c>
      <c r="K2089" s="3">
        <v>11995</v>
      </c>
      <c r="L2089" s="1">
        <v>0</v>
      </c>
      <c r="M2089" s="4">
        <v>0</v>
      </c>
      <c r="N2089" s="1">
        <v>576</v>
      </c>
      <c r="O2089" s="4">
        <v>4.5999999999999999E-2</v>
      </c>
      <c r="P2089" s="1" t="s">
        <v>2721</v>
      </c>
    </row>
    <row r="2090" spans="1:16">
      <c r="A2090" s="1" t="s">
        <v>15</v>
      </c>
      <c r="B2090" s="1">
        <v>11</v>
      </c>
      <c r="C2090" s="1" t="s">
        <v>6081</v>
      </c>
      <c r="D2090" s="1" t="s">
        <v>132</v>
      </c>
      <c r="E2090" s="2">
        <v>45978</v>
      </c>
      <c r="F2090" s="1" t="s">
        <v>53</v>
      </c>
      <c r="G2090" s="1" t="s">
        <v>133</v>
      </c>
      <c r="H2090" s="1" t="s">
        <v>88</v>
      </c>
      <c r="I2090" s="1">
        <v>1</v>
      </c>
      <c r="J2090" s="3">
        <v>17036</v>
      </c>
      <c r="K2090" s="3">
        <v>16256</v>
      </c>
      <c r="L2090" s="1">
        <v>0</v>
      </c>
      <c r="M2090" s="4">
        <v>0</v>
      </c>
      <c r="N2090" s="1">
        <v>780</v>
      </c>
      <c r="O2090" s="4">
        <v>4.5999999999999999E-2</v>
      </c>
      <c r="P2090" s="1" t="s">
        <v>2721</v>
      </c>
    </row>
    <row r="2091" spans="1:16">
      <c r="A2091" s="1" t="s">
        <v>15</v>
      </c>
      <c r="B2091" s="1">
        <v>11</v>
      </c>
      <c r="C2091" s="1" t="s">
        <v>6082</v>
      </c>
      <c r="D2091" s="1" t="s">
        <v>1500</v>
      </c>
      <c r="E2091" s="2">
        <v>45978</v>
      </c>
      <c r="F2091" s="1" t="s">
        <v>96</v>
      </c>
      <c r="G2091" s="1" t="s">
        <v>1501</v>
      </c>
      <c r="H2091" s="1" t="s">
        <v>1502</v>
      </c>
      <c r="I2091" s="1">
        <v>1</v>
      </c>
      <c r="J2091" s="3">
        <v>11305</v>
      </c>
      <c r="K2091" s="3">
        <v>10787</v>
      </c>
      <c r="L2091" s="1">
        <v>0</v>
      </c>
      <c r="M2091" s="4">
        <v>0</v>
      </c>
      <c r="N2091" s="1">
        <v>518</v>
      </c>
      <c r="O2091" s="4">
        <v>4.5999999999999999E-2</v>
      </c>
      <c r="P2091" s="1" t="s">
        <v>2721</v>
      </c>
    </row>
    <row r="2092" spans="1:16">
      <c r="A2092" s="1" t="s">
        <v>15</v>
      </c>
      <c r="B2092" s="1">
        <v>11</v>
      </c>
      <c r="C2092" s="1" t="s">
        <v>6083</v>
      </c>
      <c r="D2092" s="1" t="s">
        <v>1546</v>
      </c>
      <c r="E2092" s="2">
        <v>45978</v>
      </c>
      <c r="F2092" s="1" t="s">
        <v>261</v>
      </c>
      <c r="G2092" s="1" t="s">
        <v>706</v>
      </c>
      <c r="H2092" s="1" t="s">
        <v>706</v>
      </c>
      <c r="I2092" s="1">
        <v>1</v>
      </c>
      <c r="J2092" s="3">
        <v>32439</v>
      </c>
      <c r="K2092" s="3">
        <v>30954</v>
      </c>
      <c r="L2092" s="1">
        <v>0</v>
      </c>
      <c r="M2092" s="4">
        <v>0</v>
      </c>
      <c r="N2092" s="3">
        <v>1485</v>
      </c>
      <c r="O2092" s="4">
        <v>4.5999999999999999E-2</v>
      </c>
      <c r="P2092" s="1" t="s">
        <v>2721</v>
      </c>
    </row>
    <row r="2093" spans="1:16">
      <c r="A2093" s="1" t="s">
        <v>15</v>
      </c>
      <c r="B2093" s="1">
        <v>11</v>
      </c>
      <c r="C2093" s="1" t="s">
        <v>6084</v>
      </c>
      <c r="D2093" s="1" t="s">
        <v>1250</v>
      </c>
      <c r="E2093" s="2">
        <v>45978</v>
      </c>
      <c r="F2093" s="1" t="s">
        <v>18</v>
      </c>
      <c r="G2093" s="1" t="s">
        <v>1251</v>
      </c>
      <c r="H2093" s="1" t="s">
        <v>20</v>
      </c>
      <c r="I2093" s="1">
        <v>1</v>
      </c>
      <c r="J2093" s="3">
        <v>8395</v>
      </c>
      <c r="K2093" s="3">
        <v>8011</v>
      </c>
      <c r="L2093" s="1">
        <v>0</v>
      </c>
      <c r="M2093" s="4">
        <v>0</v>
      </c>
      <c r="N2093" s="1">
        <v>384</v>
      </c>
      <c r="O2093" s="4">
        <v>4.5999999999999999E-2</v>
      </c>
      <c r="P2093" s="1" t="s">
        <v>2721</v>
      </c>
    </row>
    <row r="2094" spans="1:16">
      <c r="A2094" s="1" t="s">
        <v>15</v>
      </c>
      <c r="B2094" s="1">
        <v>11</v>
      </c>
      <c r="C2094" s="1" t="s">
        <v>6085</v>
      </c>
      <c r="D2094" s="1" t="s">
        <v>5777</v>
      </c>
      <c r="E2094" s="2">
        <v>45978</v>
      </c>
      <c r="F2094" s="1" t="s">
        <v>1271</v>
      </c>
      <c r="G2094" s="1" t="s">
        <v>5778</v>
      </c>
      <c r="H2094" s="1" t="s">
        <v>5779</v>
      </c>
      <c r="I2094" s="1">
        <v>1</v>
      </c>
      <c r="J2094" s="3">
        <v>9830</v>
      </c>
      <c r="K2094" s="3">
        <v>9380</v>
      </c>
      <c r="L2094" s="1">
        <v>0</v>
      </c>
      <c r="M2094" s="4">
        <v>0</v>
      </c>
      <c r="N2094" s="1">
        <v>450</v>
      </c>
      <c r="O2094" s="4">
        <v>4.5999999999999999E-2</v>
      </c>
      <c r="P2094" s="1" t="s">
        <v>2721</v>
      </c>
    </row>
    <row r="2095" spans="1:16">
      <c r="A2095" s="1" t="s">
        <v>15</v>
      </c>
      <c r="B2095" s="1">
        <v>11</v>
      </c>
      <c r="C2095" s="1" t="s">
        <v>6086</v>
      </c>
      <c r="D2095" s="1" t="s">
        <v>52</v>
      </c>
      <c r="E2095" s="2">
        <v>45978</v>
      </c>
      <c r="F2095" s="1" t="s">
        <v>53</v>
      </c>
      <c r="G2095" s="1" t="s">
        <v>54</v>
      </c>
      <c r="H2095" s="1" t="s">
        <v>55</v>
      </c>
      <c r="I2095" s="1">
        <v>1</v>
      </c>
      <c r="J2095" s="3">
        <v>16135</v>
      </c>
      <c r="K2095" s="3">
        <v>15396</v>
      </c>
      <c r="L2095" s="1">
        <v>0</v>
      </c>
      <c r="M2095" s="4">
        <v>0</v>
      </c>
      <c r="N2095" s="1">
        <v>739</v>
      </c>
      <c r="O2095" s="4">
        <v>4.5999999999999999E-2</v>
      </c>
      <c r="P2095" s="1" t="s">
        <v>2721</v>
      </c>
    </row>
    <row r="2096" spans="1:16">
      <c r="A2096" s="1" t="s">
        <v>15</v>
      </c>
      <c r="B2096" s="1">
        <v>11</v>
      </c>
      <c r="C2096" s="1" t="s">
        <v>6087</v>
      </c>
      <c r="D2096" s="1" t="s">
        <v>1283</v>
      </c>
      <c r="E2096" s="2">
        <v>45978</v>
      </c>
      <c r="F2096" s="1" t="s">
        <v>1255</v>
      </c>
      <c r="G2096" s="1" t="s">
        <v>1284</v>
      </c>
      <c r="H2096" s="1" t="s">
        <v>6021</v>
      </c>
      <c r="I2096" s="1">
        <v>1</v>
      </c>
      <c r="J2096" s="3">
        <v>46004</v>
      </c>
      <c r="K2096" s="3">
        <v>43898</v>
      </c>
      <c r="L2096" s="1">
        <v>0</v>
      </c>
      <c r="M2096" s="4">
        <v>0</v>
      </c>
      <c r="N2096" s="3">
        <v>2106</v>
      </c>
      <c r="O2096" s="4">
        <v>4.5999999999999999E-2</v>
      </c>
      <c r="P2096" s="1" t="s">
        <v>2721</v>
      </c>
    </row>
    <row r="2097" spans="1:16">
      <c r="A2097" s="1" t="s">
        <v>15</v>
      </c>
      <c r="B2097" s="1">
        <v>11</v>
      </c>
      <c r="C2097" s="1" t="s">
        <v>6088</v>
      </c>
      <c r="D2097" s="1" t="s">
        <v>797</v>
      </c>
      <c r="E2097" s="2">
        <v>45978</v>
      </c>
      <c r="F2097" s="1" t="s">
        <v>798</v>
      </c>
      <c r="G2097" s="1" t="s">
        <v>799</v>
      </c>
      <c r="H2097" s="1" t="s">
        <v>800</v>
      </c>
      <c r="I2097" s="1">
        <v>1</v>
      </c>
      <c r="J2097" s="3">
        <v>19660</v>
      </c>
      <c r="K2097" s="3">
        <v>18760</v>
      </c>
      <c r="L2097" s="1">
        <v>0</v>
      </c>
      <c r="M2097" s="4">
        <v>0</v>
      </c>
      <c r="N2097" s="1">
        <v>900</v>
      </c>
      <c r="O2097" s="4">
        <v>4.5999999999999999E-2</v>
      </c>
      <c r="P2097" s="1" t="s">
        <v>2721</v>
      </c>
    </row>
    <row r="2098" spans="1:16">
      <c r="A2098" s="1" t="s">
        <v>15</v>
      </c>
      <c r="B2098" s="1">
        <v>11</v>
      </c>
      <c r="C2098" s="1" t="s">
        <v>6089</v>
      </c>
      <c r="D2098" s="1" t="s">
        <v>3292</v>
      </c>
      <c r="E2098" s="2">
        <v>45978</v>
      </c>
      <c r="F2098" s="1" t="s">
        <v>239</v>
      </c>
      <c r="G2098" s="1" t="s">
        <v>3293</v>
      </c>
      <c r="H2098" s="1" t="s">
        <v>3294</v>
      </c>
      <c r="I2098" s="1">
        <v>1</v>
      </c>
      <c r="J2098" s="3">
        <v>11305</v>
      </c>
      <c r="K2098" s="3">
        <v>10787</v>
      </c>
      <c r="L2098" s="1">
        <v>0</v>
      </c>
      <c r="M2098" s="4">
        <v>0</v>
      </c>
      <c r="N2098" s="1">
        <v>518</v>
      </c>
      <c r="O2098" s="4">
        <v>4.5999999999999999E-2</v>
      </c>
      <c r="P2098" s="1" t="s">
        <v>2721</v>
      </c>
    </row>
    <row r="2099" spans="1:16">
      <c r="A2099" s="1" t="s">
        <v>15</v>
      </c>
      <c r="B2099" s="1">
        <v>11</v>
      </c>
      <c r="C2099" s="1" t="s">
        <v>6089</v>
      </c>
      <c r="D2099" s="1" t="s">
        <v>238</v>
      </c>
      <c r="E2099" s="2">
        <v>45978</v>
      </c>
      <c r="F2099" s="1" t="s">
        <v>239</v>
      </c>
      <c r="G2099" s="1" t="s">
        <v>240</v>
      </c>
      <c r="H2099" s="1" t="s">
        <v>242</v>
      </c>
      <c r="I2099" s="1">
        <v>1</v>
      </c>
      <c r="J2099" s="3">
        <v>11305</v>
      </c>
      <c r="K2099" s="3">
        <v>10787</v>
      </c>
      <c r="L2099" s="1">
        <v>0</v>
      </c>
      <c r="M2099" s="4">
        <v>0</v>
      </c>
      <c r="N2099" s="1">
        <v>518</v>
      </c>
      <c r="O2099" s="4">
        <v>4.5999999999999999E-2</v>
      </c>
      <c r="P2099" s="1" t="s">
        <v>2721</v>
      </c>
    </row>
    <row r="2100" spans="1:16">
      <c r="A2100" s="1" t="s">
        <v>15</v>
      </c>
      <c r="B2100" s="1">
        <v>11</v>
      </c>
      <c r="C2100" s="1" t="s">
        <v>6090</v>
      </c>
      <c r="D2100" s="1" t="s">
        <v>574</v>
      </c>
      <c r="E2100" s="2">
        <v>45978</v>
      </c>
      <c r="F2100" s="1" t="s">
        <v>126</v>
      </c>
      <c r="G2100" s="1" t="s">
        <v>575</v>
      </c>
      <c r="H2100" s="1" t="s">
        <v>576</v>
      </c>
      <c r="I2100" s="1">
        <v>1</v>
      </c>
      <c r="J2100" s="3">
        <v>15237</v>
      </c>
      <c r="K2100" s="3">
        <v>14539</v>
      </c>
      <c r="L2100" s="1">
        <v>0</v>
      </c>
      <c r="M2100" s="4">
        <v>0</v>
      </c>
      <c r="N2100" s="1">
        <v>698</v>
      </c>
      <c r="O2100" s="4">
        <v>4.5999999999999999E-2</v>
      </c>
      <c r="P2100" s="1" t="s">
        <v>2721</v>
      </c>
    </row>
    <row r="2101" spans="1:16">
      <c r="A2101" s="1" t="s">
        <v>15</v>
      </c>
      <c r="B2101" s="1">
        <v>11</v>
      </c>
      <c r="C2101" s="1" t="s">
        <v>6091</v>
      </c>
      <c r="D2101" s="1" t="s">
        <v>224</v>
      </c>
      <c r="E2101" s="2">
        <v>45978</v>
      </c>
      <c r="F2101" s="1" t="s">
        <v>96</v>
      </c>
      <c r="G2101" s="1" t="s">
        <v>225</v>
      </c>
      <c r="H2101" s="1" t="s">
        <v>226</v>
      </c>
      <c r="I2101" s="1">
        <v>1</v>
      </c>
      <c r="J2101" s="3">
        <v>12571</v>
      </c>
      <c r="K2101" s="3">
        <v>11995</v>
      </c>
      <c r="L2101" s="1">
        <v>0</v>
      </c>
      <c r="M2101" s="4">
        <v>0</v>
      </c>
      <c r="N2101" s="1">
        <v>576</v>
      </c>
      <c r="O2101" s="4">
        <v>4.5999999999999999E-2</v>
      </c>
      <c r="P2101" s="1" t="s">
        <v>2721</v>
      </c>
    </row>
    <row r="2102" spans="1:16">
      <c r="A2102" s="1" t="s">
        <v>15</v>
      </c>
      <c r="B2102" s="1">
        <v>11</v>
      </c>
      <c r="C2102" s="1" t="s">
        <v>6092</v>
      </c>
      <c r="D2102" s="1" t="s">
        <v>3541</v>
      </c>
      <c r="E2102" s="2">
        <v>45978</v>
      </c>
      <c r="F2102" s="1" t="s">
        <v>500</v>
      </c>
      <c r="G2102" s="1" t="s">
        <v>1827</v>
      </c>
      <c r="H2102" s="1" t="s">
        <v>1828</v>
      </c>
      <c r="I2102" s="1">
        <v>1</v>
      </c>
      <c r="J2102" s="3">
        <v>141099</v>
      </c>
      <c r="K2102" s="3">
        <v>134640</v>
      </c>
      <c r="L2102" s="1">
        <v>0</v>
      </c>
      <c r="M2102" s="4">
        <v>0</v>
      </c>
      <c r="N2102" s="3">
        <v>6459</v>
      </c>
      <c r="O2102" s="4">
        <v>4.5999999999999999E-2</v>
      </c>
      <c r="P2102" s="1" t="s">
        <v>2721</v>
      </c>
    </row>
    <row r="2103" spans="1:16">
      <c r="A2103" s="1" t="s">
        <v>15</v>
      </c>
      <c r="B2103" s="1">
        <v>11</v>
      </c>
      <c r="C2103" s="1" t="s">
        <v>6093</v>
      </c>
      <c r="D2103" s="1" t="s">
        <v>244</v>
      </c>
      <c r="E2103" s="2">
        <v>45978</v>
      </c>
      <c r="F2103" s="1" t="s">
        <v>53</v>
      </c>
      <c r="G2103" s="1" t="s">
        <v>245</v>
      </c>
      <c r="H2103" s="1" t="s">
        <v>1166</v>
      </c>
      <c r="I2103" s="1">
        <v>1</v>
      </c>
      <c r="J2103" s="3">
        <v>8272</v>
      </c>
      <c r="K2103" s="3">
        <v>7893</v>
      </c>
      <c r="L2103" s="1">
        <v>0</v>
      </c>
      <c r="M2103" s="4">
        <v>0</v>
      </c>
      <c r="N2103" s="1">
        <v>379</v>
      </c>
      <c r="O2103" s="4">
        <v>4.5999999999999999E-2</v>
      </c>
      <c r="P2103" s="1" t="s">
        <v>2721</v>
      </c>
    </row>
    <row r="2104" spans="1:16">
      <c r="A2104" s="1" t="s">
        <v>15</v>
      </c>
      <c r="B2104" s="1">
        <v>11</v>
      </c>
      <c r="C2104" s="1" t="s">
        <v>6094</v>
      </c>
      <c r="D2104" s="1" t="s">
        <v>6095</v>
      </c>
      <c r="E2104" s="2">
        <v>45978</v>
      </c>
      <c r="F2104" s="1" t="s">
        <v>3338</v>
      </c>
      <c r="G2104" s="1" t="s">
        <v>6096</v>
      </c>
      <c r="H2104" s="1" t="s">
        <v>6097</v>
      </c>
      <c r="I2104" s="1">
        <v>1</v>
      </c>
      <c r="J2104" s="3">
        <v>67827</v>
      </c>
      <c r="K2104" s="3">
        <v>64722</v>
      </c>
      <c r="L2104" s="1">
        <v>0</v>
      </c>
      <c r="M2104" s="4">
        <v>0</v>
      </c>
      <c r="N2104" s="3">
        <v>3105</v>
      </c>
      <c r="O2104" s="4">
        <v>4.5999999999999999E-2</v>
      </c>
      <c r="P2104" s="1" t="s">
        <v>2721</v>
      </c>
    </row>
    <row r="2105" spans="1:16">
      <c r="A2105" s="1" t="s">
        <v>15</v>
      </c>
      <c r="B2105" s="1">
        <v>11</v>
      </c>
      <c r="C2105" s="1" t="s">
        <v>6098</v>
      </c>
      <c r="D2105" s="1" t="s">
        <v>6099</v>
      </c>
      <c r="E2105" s="2">
        <v>45978</v>
      </c>
      <c r="F2105" s="1" t="s">
        <v>68</v>
      </c>
      <c r="G2105" s="1" t="s">
        <v>6100</v>
      </c>
      <c r="H2105" s="1" t="s">
        <v>6101</v>
      </c>
      <c r="I2105" s="1">
        <v>1</v>
      </c>
      <c r="J2105" s="3">
        <v>32636</v>
      </c>
      <c r="K2105" s="3">
        <v>31142</v>
      </c>
      <c r="L2105" s="1">
        <v>0</v>
      </c>
      <c r="M2105" s="4">
        <v>0</v>
      </c>
      <c r="N2105" s="3">
        <v>1494</v>
      </c>
      <c r="O2105" s="4">
        <v>4.5999999999999999E-2</v>
      </c>
      <c r="P2105" s="1" t="s">
        <v>2721</v>
      </c>
    </row>
    <row r="2106" spans="1:16">
      <c r="A2106" s="1" t="s">
        <v>15</v>
      </c>
      <c r="B2106" s="1">
        <v>11</v>
      </c>
      <c r="C2106" s="1" t="s">
        <v>6102</v>
      </c>
      <c r="D2106" s="1" t="s">
        <v>504</v>
      </c>
      <c r="E2106" s="2">
        <v>45978</v>
      </c>
      <c r="F2106" s="1" t="s">
        <v>407</v>
      </c>
      <c r="G2106" s="1" t="s">
        <v>505</v>
      </c>
      <c r="H2106" s="1" t="s">
        <v>1322</v>
      </c>
      <c r="I2106" s="1">
        <v>1</v>
      </c>
      <c r="J2106" s="3">
        <v>23592</v>
      </c>
      <c r="K2106" s="3">
        <v>22512</v>
      </c>
      <c r="L2106" s="1">
        <v>0</v>
      </c>
      <c r="M2106" s="4">
        <v>0</v>
      </c>
      <c r="N2106" s="3">
        <v>1080</v>
      </c>
      <c r="O2106" s="4">
        <v>4.5999999999999999E-2</v>
      </c>
      <c r="P2106" s="1" t="s">
        <v>2721</v>
      </c>
    </row>
    <row r="2107" spans="1:16">
      <c r="A2107" s="1" t="s">
        <v>15</v>
      </c>
      <c r="B2107" s="1">
        <v>11</v>
      </c>
      <c r="C2107" s="1" t="s">
        <v>6103</v>
      </c>
      <c r="D2107" s="1" t="s">
        <v>394</v>
      </c>
      <c r="E2107" s="2">
        <v>45978</v>
      </c>
      <c r="F2107" s="1" t="s">
        <v>395</v>
      </c>
      <c r="G2107" s="1" t="s">
        <v>396</v>
      </c>
      <c r="H2107" s="1" t="s">
        <v>397</v>
      </c>
      <c r="I2107" s="1">
        <v>1</v>
      </c>
      <c r="J2107" s="3">
        <v>18874</v>
      </c>
      <c r="K2107" s="3">
        <v>18010</v>
      </c>
      <c r="L2107" s="1">
        <v>0</v>
      </c>
      <c r="M2107" s="4">
        <v>0</v>
      </c>
      <c r="N2107" s="1">
        <v>864</v>
      </c>
      <c r="O2107" s="4">
        <v>4.5999999999999999E-2</v>
      </c>
      <c r="P2107" s="1" t="s">
        <v>2721</v>
      </c>
    </row>
    <row r="2108" spans="1:16">
      <c r="A2108" s="1" t="s">
        <v>15</v>
      </c>
      <c r="B2108" s="1">
        <v>11</v>
      </c>
      <c r="C2108" s="1" t="s">
        <v>6104</v>
      </c>
      <c r="D2108" s="1" t="s">
        <v>549</v>
      </c>
      <c r="E2108" s="2">
        <v>45978</v>
      </c>
      <c r="F2108" s="1" t="s">
        <v>63</v>
      </c>
      <c r="G2108" s="1" t="s">
        <v>550</v>
      </c>
      <c r="H2108" s="1" t="s">
        <v>551</v>
      </c>
      <c r="I2108" s="1">
        <v>1</v>
      </c>
      <c r="J2108" s="3">
        <v>15422</v>
      </c>
      <c r="K2108" s="3">
        <v>14716</v>
      </c>
      <c r="L2108" s="1">
        <v>0</v>
      </c>
      <c r="M2108" s="4">
        <v>0</v>
      </c>
      <c r="N2108" s="1">
        <v>706</v>
      </c>
      <c r="O2108" s="4">
        <v>4.5999999999999999E-2</v>
      </c>
      <c r="P2108" s="1" t="s">
        <v>2721</v>
      </c>
    </row>
    <row r="2109" spans="1:16">
      <c r="A2109" s="1" t="s">
        <v>15</v>
      </c>
      <c r="B2109" s="1">
        <v>11</v>
      </c>
      <c r="C2109" s="1" t="s">
        <v>6104</v>
      </c>
      <c r="D2109" s="1" t="s">
        <v>3754</v>
      </c>
      <c r="E2109" s="2">
        <v>45978</v>
      </c>
      <c r="F2109" s="1" t="s">
        <v>63</v>
      </c>
      <c r="G2109" s="1" t="s">
        <v>3755</v>
      </c>
      <c r="H2109" s="1" t="s">
        <v>6105</v>
      </c>
      <c r="I2109" s="1">
        <v>1</v>
      </c>
      <c r="J2109" s="3">
        <v>7842</v>
      </c>
      <c r="K2109" s="3">
        <v>7483</v>
      </c>
      <c r="L2109" s="1">
        <v>0</v>
      </c>
      <c r="M2109" s="4">
        <v>0</v>
      </c>
      <c r="N2109" s="1">
        <v>359</v>
      </c>
      <c r="O2109" s="4">
        <v>4.5999999999999999E-2</v>
      </c>
      <c r="P2109" s="1" t="s">
        <v>2721</v>
      </c>
    </row>
    <row r="2110" spans="1:16">
      <c r="A2110" s="1" t="s">
        <v>15</v>
      </c>
      <c r="B2110" s="1">
        <v>11</v>
      </c>
      <c r="C2110" s="1" t="s">
        <v>6106</v>
      </c>
      <c r="D2110" s="1" t="s">
        <v>1467</v>
      </c>
      <c r="E2110" s="2">
        <v>45978</v>
      </c>
      <c r="F2110" s="1" t="s">
        <v>126</v>
      </c>
      <c r="G2110" s="1" t="s">
        <v>1468</v>
      </c>
      <c r="H2110" s="1" t="s">
        <v>6107</v>
      </c>
      <c r="I2110" s="1">
        <v>1</v>
      </c>
      <c r="J2110" s="3">
        <v>21528</v>
      </c>
      <c r="K2110" s="3">
        <v>20542</v>
      </c>
      <c r="L2110" s="1">
        <v>0</v>
      </c>
      <c r="M2110" s="4">
        <v>0</v>
      </c>
      <c r="N2110" s="1">
        <v>986</v>
      </c>
      <c r="O2110" s="4">
        <v>4.5999999999999999E-2</v>
      </c>
      <c r="P2110" s="1" t="s">
        <v>2721</v>
      </c>
    </row>
    <row r="2111" spans="1:16">
      <c r="A2111" s="1" t="s">
        <v>15</v>
      </c>
      <c r="B2111" s="1">
        <v>11</v>
      </c>
      <c r="C2111" s="1" t="s">
        <v>6108</v>
      </c>
      <c r="D2111" s="1" t="s">
        <v>6109</v>
      </c>
      <c r="E2111" s="2">
        <v>45978</v>
      </c>
      <c r="F2111" s="1" t="s">
        <v>421</v>
      </c>
      <c r="G2111" s="1" t="s">
        <v>6110</v>
      </c>
      <c r="H2111" s="1" t="s">
        <v>6111</v>
      </c>
      <c r="I2111" s="1">
        <v>1</v>
      </c>
      <c r="J2111" s="3">
        <v>6881</v>
      </c>
      <c r="K2111" s="3">
        <v>6566</v>
      </c>
      <c r="L2111" s="1">
        <v>0</v>
      </c>
      <c r="M2111" s="4">
        <v>0</v>
      </c>
      <c r="N2111" s="1">
        <v>315</v>
      </c>
      <c r="O2111" s="4">
        <v>4.5999999999999999E-2</v>
      </c>
      <c r="P2111" s="1" t="s">
        <v>2721</v>
      </c>
    </row>
    <row r="2112" spans="1:16">
      <c r="A2112" s="1" t="s">
        <v>15</v>
      </c>
      <c r="B2112" s="1">
        <v>11</v>
      </c>
      <c r="C2112" s="1" t="s">
        <v>6112</v>
      </c>
      <c r="D2112" s="1" t="s">
        <v>6113</v>
      </c>
      <c r="E2112" s="2">
        <v>45978</v>
      </c>
      <c r="F2112" s="1" t="s">
        <v>1075</v>
      </c>
      <c r="G2112" s="1" t="s">
        <v>6114</v>
      </c>
      <c r="H2112" s="1" t="s">
        <v>6115</v>
      </c>
      <c r="I2112" s="1">
        <v>1</v>
      </c>
      <c r="J2112" s="3">
        <v>14379</v>
      </c>
      <c r="K2112" s="3">
        <v>13721</v>
      </c>
      <c r="L2112" s="1">
        <v>0</v>
      </c>
      <c r="M2112" s="4">
        <v>0</v>
      </c>
      <c r="N2112" s="1">
        <v>658</v>
      </c>
      <c r="O2112" s="4">
        <v>4.5999999999999999E-2</v>
      </c>
      <c r="P2112" s="1" t="s">
        <v>2721</v>
      </c>
    </row>
    <row r="2113" spans="1:16">
      <c r="A2113" s="1" t="s">
        <v>15</v>
      </c>
      <c r="B2113" s="1">
        <v>11</v>
      </c>
      <c r="C2113" s="1" t="s">
        <v>6116</v>
      </c>
      <c r="D2113" s="1" t="s">
        <v>1587</v>
      </c>
      <c r="E2113" s="2">
        <v>45978</v>
      </c>
      <c r="F2113" s="1" t="s">
        <v>126</v>
      </c>
      <c r="G2113" s="1" t="s">
        <v>1588</v>
      </c>
      <c r="H2113" s="1" t="s">
        <v>1589</v>
      </c>
      <c r="I2113" s="1">
        <v>1</v>
      </c>
      <c r="J2113" s="3">
        <v>12484</v>
      </c>
      <c r="K2113" s="3">
        <v>11913</v>
      </c>
      <c r="L2113" s="1">
        <v>0</v>
      </c>
      <c r="M2113" s="4">
        <v>0</v>
      </c>
      <c r="N2113" s="1">
        <v>571</v>
      </c>
      <c r="O2113" s="4">
        <v>4.5999999999999999E-2</v>
      </c>
      <c r="P2113" s="1" t="s">
        <v>2721</v>
      </c>
    </row>
    <row r="2114" spans="1:16">
      <c r="A2114" s="1" t="s">
        <v>15</v>
      </c>
      <c r="B2114" s="1">
        <v>11</v>
      </c>
      <c r="C2114" s="1" t="s">
        <v>6117</v>
      </c>
      <c r="D2114" s="1" t="s">
        <v>1410</v>
      </c>
      <c r="E2114" s="2">
        <v>45978</v>
      </c>
      <c r="F2114" s="1" t="s">
        <v>1411</v>
      </c>
      <c r="G2114" s="1" t="s">
        <v>1412</v>
      </c>
      <c r="H2114" s="1" t="s">
        <v>6118</v>
      </c>
      <c r="I2114" s="1">
        <v>1</v>
      </c>
      <c r="J2114" s="3">
        <v>37712</v>
      </c>
      <c r="K2114" s="3">
        <v>35985</v>
      </c>
      <c r="L2114" s="1">
        <v>0</v>
      </c>
      <c r="M2114" s="4">
        <v>0</v>
      </c>
      <c r="N2114" s="3">
        <v>1727</v>
      </c>
      <c r="O2114" s="4">
        <v>4.5999999999999999E-2</v>
      </c>
      <c r="P2114" s="1" t="s">
        <v>2721</v>
      </c>
    </row>
    <row r="2115" spans="1:16">
      <c r="A2115" s="1" t="s">
        <v>15</v>
      </c>
      <c r="B2115" s="1">
        <v>11</v>
      </c>
      <c r="C2115" s="1" t="s">
        <v>6119</v>
      </c>
      <c r="D2115" s="1" t="s">
        <v>3998</v>
      </c>
      <c r="E2115" s="2">
        <v>45978</v>
      </c>
      <c r="F2115" s="1" t="s">
        <v>96</v>
      </c>
      <c r="G2115" s="1" t="s">
        <v>3999</v>
      </c>
      <c r="H2115" s="1" t="s">
        <v>6120</v>
      </c>
      <c r="I2115" s="1">
        <v>1</v>
      </c>
      <c r="J2115" s="3">
        <v>8863</v>
      </c>
      <c r="K2115" s="3">
        <v>8457</v>
      </c>
      <c r="L2115" s="1">
        <v>0</v>
      </c>
      <c r="M2115" s="4">
        <v>0</v>
      </c>
      <c r="N2115" s="1">
        <v>406</v>
      </c>
      <c r="O2115" s="4">
        <v>4.5999999999999999E-2</v>
      </c>
      <c r="P2115" s="1" t="s">
        <v>2721</v>
      </c>
    </row>
    <row r="2116" spans="1:16">
      <c r="A2116" s="1" t="s">
        <v>15</v>
      </c>
      <c r="B2116" s="1">
        <v>11</v>
      </c>
      <c r="C2116" s="1" t="s">
        <v>6119</v>
      </c>
      <c r="D2116" s="1" t="s">
        <v>3998</v>
      </c>
      <c r="E2116" s="2">
        <v>45978</v>
      </c>
      <c r="F2116" s="1" t="s">
        <v>96</v>
      </c>
      <c r="G2116" s="1" t="s">
        <v>3999</v>
      </c>
      <c r="H2116" s="1" t="s">
        <v>6121</v>
      </c>
      <c r="I2116" s="1">
        <v>1</v>
      </c>
      <c r="J2116" s="3">
        <v>13385</v>
      </c>
      <c r="K2116" s="3">
        <v>12772</v>
      </c>
      <c r="L2116" s="1">
        <v>0</v>
      </c>
      <c r="M2116" s="4">
        <v>0</v>
      </c>
      <c r="N2116" s="1">
        <v>613</v>
      </c>
      <c r="O2116" s="4">
        <v>4.5999999999999999E-2</v>
      </c>
      <c r="P2116" s="1" t="s">
        <v>2721</v>
      </c>
    </row>
    <row r="2117" spans="1:16">
      <c r="A2117" s="1" t="s">
        <v>15</v>
      </c>
      <c r="B2117" s="1">
        <v>11</v>
      </c>
      <c r="C2117" s="1" t="s">
        <v>6119</v>
      </c>
      <c r="D2117" s="1" t="s">
        <v>3998</v>
      </c>
      <c r="E2117" s="2">
        <v>45978</v>
      </c>
      <c r="F2117" s="1" t="s">
        <v>96</v>
      </c>
      <c r="G2117" s="1" t="s">
        <v>3999</v>
      </c>
      <c r="H2117" s="1" t="s">
        <v>6122</v>
      </c>
      <c r="I2117" s="1">
        <v>1</v>
      </c>
      <c r="J2117" s="3">
        <v>13385</v>
      </c>
      <c r="K2117" s="3">
        <v>12772</v>
      </c>
      <c r="L2117" s="1">
        <v>0</v>
      </c>
      <c r="M2117" s="4">
        <v>0</v>
      </c>
      <c r="N2117" s="1">
        <v>613</v>
      </c>
      <c r="O2117" s="4">
        <v>4.5999999999999999E-2</v>
      </c>
      <c r="P2117" s="1" t="s">
        <v>2721</v>
      </c>
    </row>
    <row r="2118" spans="1:16">
      <c r="A2118" s="1" t="s">
        <v>15</v>
      </c>
      <c r="B2118" s="1">
        <v>11</v>
      </c>
      <c r="C2118" s="1" t="s">
        <v>6123</v>
      </c>
      <c r="D2118" s="1" t="s">
        <v>1105</v>
      </c>
      <c r="E2118" s="2">
        <v>45978</v>
      </c>
      <c r="F2118" s="1" t="s">
        <v>1106</v>
      </c>
      <c r="G2118" s="1" t="s">
        <v>1107</v>
      </c>
      <c r="H2118" s="1" t="s">
        <v>2596</v>
      </c>
      <c r="I2118" s="1">
        <v>1</v>
      </c>
      <c r="J2118" s="3">
        <v>10471</v>
      </c>
      <c r="K2118" s="3">
        <v>9992</v>
      </c>
      <c r="L2118" s="1">
        <v>0</v>
      </c>
      <c r="M2118" s="4">
        <v>0</v>
      </c>
      <c r="N2118" s="1">
        <v>479</v>
      </c>
      <c r="O2118" s="4">
        <v>4.5999999999999999E-2</v>
      </c>
      <c r="P2118" s="1" t="s">
        <v>2721</v>
      </c>
    </row>
    <row r="2119" spans="1:16">
      <c r="A2119" s="1" t="s">
        <v>15</v>
      </c>
      <c r="B2119" s="1">
        <v>11</v>
      </c>
      <c r="C2119" s="1" t="s">
        <v>6123</v>
      </c>
      <c r="D2119" s="1" t="s">
        <v>1105</v>
      </c>
      <c r="E2119" s="2">
        <v>45978</v>
      </c>
      <c r="F2119" s="1" t="s">
        <v>1106</v>
      </c>
      <c r="G2119" s="1" t="s">
        <v>1107</v>
      </c>
      <c r="H2119" s="1" t="s">
        <v>6124</v>
      </c>
      <c r="I2119" s="1">
        <v>1</v>
      </c>
      <c r="J2119" s="3">
        <v>10471</v>
      </c>
      <c r="K2119" s="3">
        <v>9992</v>
      </c>
      <c r="L2119" s="1">
        <v>0</v>
      </c>
      <c r="M2119" s="4">
        <v>0</v>
      </c>
      <c r="N2119" s="1">
        <v>479</v>
      </c>
      <c r="O2119" s="4">
        <v>4.5999999999999999E-2</v>
      </c>
      <c r="P2119" s="1" t="s">
        <v>2721</v>
      </c>
    </row>
    <row r="2120" spans="1:16">
      <c r="A2120" s="1" t="s">
        <v>15</v>
      </c>
      <c r="B2120" s="1">
        <v>11</v>
      </c>
      <c r="C2120" s="1" t="s">
        <v>6125</v>
      </c>
      <c r="D2120" s="1" t="s">
        <v>6126</v>
      </c>
      <c r="E2120" s="2">
        <v>45978</v>
      </c>
      <c r="F2120" s="1" t="s">
        <v>174</v>
      </c>
      <c r="G2120" s="1" t="s">
        <v>6127</v>
      </c>
      <c r="H2120" s="1" t="s">
        <v>6128</v>
      </c>
      <c r="I2120" s="1">
        <v>1</v>
      </c>
      <c r="J2120" s="3">
        <v>27033</v>
      </c>
      <c r="K2120" s="3">
        <v>25795</v>
      </c>
      <c r="L2120" s="1">
        <v>0</v>
      </c>
      <c r="M2120" s="4">
        <v>0</v>
      </c>
      <c r="N2120" s="3">
        <v>1238</v>
      </c>
      <c r="O2120" s="4">
        <v>4.5999999999999999E-2</v>
      </c>
      <c r="P2120" s="1" t="s">
        <v>2721</v>
      </c>
    </row>
    <row r="2121" spans="1:16">
      <c r="A2121" s="1" t="s">
        <v>15</v>
      </c>
      <c r="B2121" s="1">
        <v>11</v>
      </c>
      <c r="C2121" s="1" t="s">
        <v>6129</v>
      </c>
      <c r="D2121" s="1" t="s">
        <v>1079</v>
      </c>
      <c r="E2121" s="2">
        <v>45978</v>
      </c>
      <c r="F2121" s="1" t="s">
        <v>500</v>
      </c>
      <c r="G2121" s="1" t="s">
        <v>1080</v>
      </c>
      <c r="H2121" s="1" t="s">
        <v>1081</v>
      </c>
      <c r="I2121" s="1">
        <v>1</v>
      </c>
      <c r="J2121" s="3">
        <v>113182</v>
      </c>
      <c r="K2121" s="3">
        <v>108000</v>
      </c>
      <c r="L2121" s="1">
        <v>0</v>
      </c>
      <c r="M2121" s="4">
        <v>0</v>
      </c>
      <c r="N2121" s="3">
        <v>5182</v>
      </c>
      <c r="O2121" s="4">
        <v>4.5999999999999999E-2</v>
      </c>
      <c r="P2121" s="1" t="s">
        <v>2721</v>
      </c>
    </row>
    <row r="2122" spans="1:16">
      <c r="A2122" s="1" t="s">
        <v>15</v>
      </c>
      <c r="B2122" s="1">
        <v>11</v>
      </c>
      <c r="C2122" s="1" t="s">
        <v>6130</v>
      </c>
      <c r="D2122" s="1" t="s">
        <v>4095</v>
      </c>
      <c r="E2122" s="2">
        <v>45978</v>
      </c>
      <c r="F2122" s="1" t="s">
        <v>58</v>
      </c>
      <c r="G2122" s="1" t="s">
        <v>4096</v>
      </c>
      <c r="H2122" s="1" t="s">
        <v>4097</v>
      </c>
      <c r="I2122" s="1">
        <v>1</v>
      </c>
      <c r="J2122" s="3">
        <v>21842</v>
      </c>
      <c r="K2122" s="3">
        <v>20842</v>
      </c>
      <c r="L2122" s="1">
        <v>0</v>
      </c>
      <c r="M2122" s="4">
        <v>0</v>
      </c>
      <c r="N2122" s="3">
        <v>1000</v>
      </c>
      <c r="O2122" s="4">
        <v>4.5999999999999999E-2</v>
      </c>
      <c r="P2122" s="1" t="s">
        <v>2721</v>
      </c>
    </row>
    <row r="2123" spans="1:16">
      <c r="A2123" s="1" t="s">
        <v>15</v>
      </c>
      <c r="B2123" s="1">
        <v>11</v>
      </c>
      <c r="C2123" s="1" t="s">
        <v>6131</v>
      </c>
      <c r="D2123" s="1" t="s">
        <v>329</v>
      </c>
      <c r="E2123" s="2">
        <v>45978</v>
      </c>
      <c r="F2123" s="1" t="s">
        <v>174</v>
      </c>
      <c r="G2123" s="1" t="s">
        <v>330</v>
      </c>
      <c r="H2123" s="1" t="s">
        <v>331</v>
      </c>
      <c r="I2123" s="1">
        <v>1</v>
      </c>
      <c r="J2123" s="3">
        <v>16711</v>
      </c>
      <c r="K2123" s="3">
        <v>15946</v>
      </c>
      <c r="L2123" s="1">
        <v>0</v>
      </c>
      <c r="M2123" s="4">
        <v>0</v>
      </c>
      <c r="N2123" s="1">
        <v>765</v>
      </c>
      <c r="O2123" s="4">
        <v>4.5999999999999999E-2</v>
      </c>
      <c r="P2123" s="1" t="s">
        <v>2721</v>
      </c>
    </row>
    <row r="2124" spans="1:16">
      <c r="A2124" s="1" t="s">
        <v>15</v>
      </c>
      <c r="B2124" s="1">
        <v>11</v>
      </c>
      <c r="C2124" s="1" t="s">
        <v>6132</v>
      </c>
      <c r="D2124" s="1" t="s">
        <v>845</v>
      </c>
      <c r="E2124" s="2">
        <v>45978</v>
      </c>
      <c r="F2124" s="1" t="s">
        <v>846</v>
      </c>
      <c r="G2124" s="1" t="s">
        <v>847</v>
      </c>
      <c r="H2124" s="1" t="s">
        <v>848</v>
      </c>
      <c r="I2124" s="1">
        <v>1</v>
      </c>
      <c r="J2124" s="3">
        <v>112554</v>
      </c>
      <c r="K2124" s="3">
        <v>107401</v>
      </c>
      <c r="L2124" s="1">
        <v>0</v>
      </c>
      <c r="M2124" s="4">
        <v>0</v>
      </c>
      <c r="N2124" s="3">
        <v>5153</v>
      </c>
      <c r="O2124" s="4">
        <v>4.5999999999999999E-2</v>
      </c>
      <c r="P2124" s="1" t="s">
        <v>2721</v>
      </c>
    </row>
    <row r="2125" spans="1:16">
      <c r="A2125" s="1" t="s">
        <v>15</v>
      </c>
      <c r="B2125" s="1">
        <v>11</v>
      </c>
      <c r="C2125" s="1" t="s">
        <v>6133</v>
      </c>
      <c r="D2125" s="1" t="s">
        <v>390</v>
      </c>
      <c r="E2125" s="2">
        <v>45978</v>
      </c>
      <c r="F2125" s="1" t="s">
        <v>256</v>
      </c>
      <c r="G2125" s="1" t="s">
        <v>391</v>
      </c>
      <c r="H2125" s="1" t="s">
        <v>1307</v>
      </c>
      <c r="I2125" s="1">
        <v>1</v>
      </c>
      <c r="J2125" s="3">
        <v>23395</v>
      </c>
      <c r="K2125" s="3">
        <v>22324</v>
      </c>
      <c r="L2125" s="1">
        <v>0</v>
      </c>
      <c r="M2125" s="4">
        <v>0</v>
      </c>
      <c r="N2125" s="3">
        <v>1071</v>
      </c>
      <c r="O2125" s="4">
        <v>4.5999999999999999E-2</v>
      </c>
      <c r="P2125" s="1" t="s">
        <v>2721</v>
      </c>
    </row>
    <row r="2126" spans="1:16">
      <c r="A2126" s="1" t="s">
        <v>15</v>
      </c>
      <c r="B2126" s="1">
        <v>11</v>
      </c>
      <c r="C2126" s="1" t="s">
        <v>6134</v>
      </c>
      <c r="D2126" s="1" t="s">
        <v>208</v>
      </c>
      <c r="E2126" s="2">
        <v>45978</v>
      </c>
      <c r="F2126" s="1" t="s">
        <v>126</v>
      </c>
      <c r="G2126" s="1" t="s">
        <v>209</v>
      </c>
      <c r="H2126" s="1" t="s">
        <v>210</v>
      </c>
      <c r="I2126" s="1">
        <v>1</v>
      </c>
      <c r="J2126" s="3">
        <v>19267</v>
      </c>
      <c r="K2126" s="3">
        <v>18385</v>
      </c>
      <c r="L2126" s="1">
        <v>0</v>
      </c>
      <c r="M2126" s="4">
        <v>0</v>
      </c>
      <c r="N2126" s="1">
        <v>882</v>
      </c>
      <c r="O2126" s="4">
        <v>4.5999999999999999E-2</v>
      </c>
      <c r="P2126" s="1" t="s">
        <v>2721</v>
      </c>
    </row>
    <row r="2127" spans="1:16">
      <c r="A2127" s="1" t="s">
        <v>15</v>
      </c>
      <c r="B2127" s="1">
        <v>11</v>
      </c>
      <c r="C2127" s="1" t="s">
        <v>6135</v>
      </c>
      <c r="D2127" s="1" t="s">
        <v>1250</v>
      </c>
      <c r="E2127" s="2">
        <v>45978</v>
      </c>
      <c r="F2127" s="1" t="s">
        <v>18</v>
      </c>
      <c r="G2127" s="1" t="s">
        <v>1251</v>
      </c>
      <c r="H2127" s="1" t="s">
        <v>20</v>
      </c>
      <c r="I2127" s="1">
        <v>1</v>
      </c>
      <c r="J2127" s="3">
        <v>8395</v>
      </c>
      <c r="K2127" s="3">
        <v>8011</v>
      </c>
      <c r="L2127" s="1">
        <v>0</v>
      </c>
      <c r="M2127" s="4">
        <v>0</v>
      </c>
      <c r="N2127" s="1">
        <v>384</v>
      </c>
      <c r="O2127" s="4">
        <v>4.5999999999999999E-2</v>
      </c>
      <c r="P2127" s="1" t="s">
        <v>2721</v>
      </c>
    </row>
    <row r="2128" spans="1:16">
      <c r="A2128" s="1" t="s">
        <v>15</v>
      </c>
      <c r="B2128" s="1">
        <v>11</v>
      </c>
      <c r="C2128" s="1" t="s">
        <v>6136</v>
      </c>
      <c r="D2128" s="1" t="s">
        <v>955</v>
      </c>
      <c r="E2128" s="2">
        <v>45978</v>
      </c>
      <c r="F2128" s="1" t="s">
        <v>554</v>
      </c>
      <c r="G2128" s="1" t="s">
        <v>956</v>
      </c>
      <c r="H2128" s="1" t="s">
        <v>2654</v>
      </c>
      <c r="I2128" s="1">
        <v>1</v>
      </c>
      <c r="J2128" s="3">
        <v>31653</v>
      </c>
      <c r="K2128" s="3">
        <v>30204</v>
      </c>
      <c r="L2128" s="1">
        <v>0</v>
      </c>
      <c r="M2128" s="4">
        <v>0</v>
      </c>
      <c r="N2128" s="3">
        <v>1449</v>
      </c>
      <c r="O2128" s="4">
        <v>4.5999999999999999E-2</v>
      </c>
      <c r="P2128" s="1" t="s">
        <v>2721</v>
      </c>
    </row>
    <row r="2129" spans="1:16">
      <c r="A2129" s="1" t="s">
        <v>15</v>
      </c>
      <c r="B2129" s="1">
        <v>11</v>
      </c>
      <c r="C2129" s="1" t="s">
        <v>6137</v>
      </c>
      <c r="D2129" s="1" t="s">
        <v>4039</v>
      </c>
      <c r="E2129" s="2">
        <v>45978</v>
      </c>
      <c r="F2129" s="1" t="s">
        <v>53</v>
      </c>
      <c r="G2129" s="1" t="s">
        <v>4040</v>
      </c>
      <c r="H2129" s="1" t="s">
        <v>6138</v>
      </c>
      <c r="I2129" s="1">
        <v>1</v>
      </c>
      <c r="J2129" s="3">
        <v>16135</v>
      </c>
      <c r="K2129" s="3">
        <v>15396</v>
      </c>
      <c r="L2129" s="1">
        <v>0</v>
      </c>
      <c r="M2129" s="4">
        <v>0</v>
      </c>
      <c r="N2129" s="1">
        <v>739</v>
      </c>
      <c r="O2129" s="4">
        <v>4.5999999999999999E-2</v>
      </c>
      <c r="P2129" s="1" t="s">
        <v>2721</v>
      </c>
    </row>
    <row r="2130" spans="1:16">
      <c r="A2130" s="1" t="s">
        <v>15</v>
      </c>
      <c r="B2130" s="1">
        <v>11</v>
      </c>
      <c r="C2130" s="1" t="s">
        <v>6139</v>
      </c>
      <c r="D2130" s="1" t="s">
        <v>169</v>
      </c>
      <c r="E2130" s="2">
        <v>45978</v>
      </c>
      <c r="F2130" s="1" t="s">
        <v>53</v>
      </c>
      <c r="G2130" s="1" t="s">
        <v>170</v>
      </c>
      <c r="H2130" s="1" t="s">
        <v>171</v>
      </c>
      <c r="I2130" s="1">
        <v>1</v>
      </c>
      <c r="J2130" s="3">
        <v>14332</v>
      </c>
      <c r="K2130" s="3">
        <v>13676</v>
      </c>
      <c r="L2130" s="1">
        <v>0</v>
      </c>
      <c r="M2130" s="4">
        <v>0</v>
      </c>
      <c r="N2130" s="1">
        <v>656</v>
      </c>
      <c r="O2130" s="4">
        <v>4.5999999999999999E-2</v>
      </c>
      <c r="P2130" s="1" t="s">
        <v>2721</v>
      </c>
    </row>
    <row r="2131" spans="1:16">
      <c r="A2131" s="1" t="s">
        <v>15</v>
      </c>
      <c r="B2131" s="1">
        <v>11</v>
      </c>
      <c r="C2131" s="1" t="s">
        <v>6140</v>
      </c>
      <c r="D2131" s="1" t="s">
        <v>1026</v>
      </c>
      <c r="E2131" s="2">
        <v>45978</v>
      </c>
      <c r="F2131" s="1" t="s">
        <v>256</v>
      </c>
      <c r="G2131" s="1" t="s">
        <v>1027</v>
      </c>
      <c r="H2131" s="1" t="s">
        <v>1464</v>
      </c>
      <c r="I2131" s="1">
        <v>1</v>
      </c>
      <c r="J2131" s="3">
        <v>15433</v>
      </c>
      <c r="K2131" s="3">
        <v>14727</v>
      </c>
      <c r="L2131" s="1">
        <v>0</v>
      </c>
      <c r="M2131" s="4">
        <v>0</v>
      </c>
      <c r="N2131" s="1">
        <v>706</v>
      </c>
      <c r="O2131" s="4">
        <v>4.5999999999999999E-2</v>
      </c>
      <c r="P2131" s="1" t="s">
        <v>2721</v>
      </c>
    </row>
    <row r="2132" spans="1:16">
      <c r="A2132" s="1" t="s">
        <v>15</v>
      </c>
      <c r="B2132" s="1">
        <v>11</v>
      </c>
      <c r="C2132" s="1" t="s">
        <v>6141</v>
      </c>
      <c r="D2132" s="1" t="s">
        <v>789</v>
      </c>
      <c r="E2132" s="2">
        <v>45978</v>
      </c>
      <c r="F2132" s="1" t="s">
        <v>53</v>
      </c>
      <c r="G2132" s="1" t="s">
        <v>790</v>
      </c>
      <c r="H2132" s="1" t="s">
        <v>1141</v>
      </c>
      <c r="I2132" s="1">
        <v>1</v>
      </c>
      <c r="J2132" s="3">
        <v>8924</v>
      </c>
      <c r="K2132" s="3">
        <v>8515</v>
      </c>
      <c r="L2132" s="1">
        <v>0</v>
      </c>
      <c r="M2132" s="4">
        <v>0</v>
      </c>
      <c r="N2132" s="1">
        <v>409</v>
      </c>
      <c r="O2132" s="4">
        <v>4.5999999999999999E-2</v>
      </c>
      <c r="P2132" s="1" t="s">
        <v>2721</v>
      </c>
    </row>
    <row r="2133" spans="1:16">
      <c r="A2133" s="1" t="s">
        <v>15</v>
      </c>
      <c r="B2133" s="1">
        <v>11</v>
      </c>
      <c r="C2133" s="1" t="s">
        <v>6142</v>
      </c>
      <c r="D2133" s="1" t="s">
        <v>878</v>
      </c>
      <c r="E2133" s="2">
        <v>45978</v>
      </c>
      <c r="F2133" s="1" t="s">
        <v>856</v>
      </c>
      <c r="G2133" s="1" t="s">
        <v>879</v>
      </c>
      <c r="H2133" s="1" t="s">
        <v>880</v>
      </c>
      <c r="I2133" s="1">
        <v>1</v>
      </c>
      <c r="J2133" s="3">
        <v>89453</v>
      </c>
      <c r="K2133" s="3">
        <v>85358</v>
      </c>
      <c r="L2133" s="1">
        <v>0</v>
      </c>
      <c r="M2133" s="4">
        <v>0</v>
      </c>
      <c r="N2133" s="3">
        <v>4095</v>
      </c>
      <c r="O2133" s="4">
        <v>4.5999999999999999E-2</v>
      </c>
      <c r="P2133" s="1" t="s">
        <v>2721</v>
      </c>
    </row>
    <row r="2134" spans="1:16">
      <c r="A2134" s="1" t="s">
        <v>15</v>
      </c>
      <c r="B2134" s="1">
        <v>11</v>
      </c>
      <c r="C2134" s="1" t="s">
        <v>6143</v>
      </c>
      <c r="D2134" s="1" t="s">
        <v>797</v>
      </c>
      <c r="E2134" s="2">
        <v>45978</v>
      </c>
      <c r="F2134" s="1" t="s">
        <v>798</v>
      </c>
      <c r="G2134" s="1" t="s">
        <v>799</v>
      </c>
      <c r="H2134" s="1" t="s">
        <v>832</v>
      </c>
      <c r="I2134" s="1">
        <v>1</v>
      </c>
      <c r="J2134" s="3">
        <v>13271</v>
      </c>
      <c r="K2134" s="3">
        <v>12663</v>
      </c>
      <c r="L2134" s="1">
        <v>0</v>
      </c>
      <c r="M2134" s="4">
        <v>0</v>
      </c>
      <c r="N2134" s="1">
        <v>608</v>
      </c>
      <c r="O2134" s="4">
        <v>4.5999999999999999E-2</v>
      </c>
      <c r="P2134" s="1" t="s">
        <v>2721</v>
      </c>
    </row>
    <row r="2135" spans="1:16">
      <c r="A2135" s="1" t="s">
        <v>15</v>
      </c>
      <c r="B2135" s="1">
        <v>11</v>
      </c>
      <c r="C2135" s="1" t="s">
        <v>6144</v>
      </c>
      <c r="D2135" s="1" t="s">
        <v>542</v>
      </c>
      <c r="E2135" s="2">
        <v>45978</v>
      </c>
      <c r="F2135" s="1" t="s">
        <v>543</v>
      </c>
      <c r="G2135" s="1" t="s">
        <v>544</v>
      </c>
      <c r="H2135" s="1" t="s">
        <v>545</v>
      </c>
      <c r="I2135" s="1">
        <v>1</v>
      </c>
      <c r="J2135" s="3">
        <v>36371</v>
      </c>
      <c r="K2135" s="3">
        <v>34706</v>
      </c>
      <c r="L2135" s="1">
        <v>0</v>
      </c>
      <c r="M2135" s="4">
        <v>0</v>
      </c>
      <c r="N2135" s="3">
        <v>1665</v>
      </c>
      <c r="O2135" s="4">
        <v>4.5999999999999999E-2</v>
      </c>
      <c r="P2135" s="1" t="s">
        <v>2721</v>
      </c>
    </row>
    <row r="2136" spans="1:16">
      <c r="A2136" s="1" t="s">
        <v>15</v>
      </c>
      <c r="B2136" s="1">
        <v>11</v>
      </c>
      <c r="C2136" s="1" t="s">
        <v>6145</v>
      </c>
      <c r="D2136" s="1" t="s">
        <v>125</v>
      </c>
      <c r="E2136" s="2">
        <v>45978</v>
      </c>
      <c r="F2136" s="1" t="s">
        <v>126</v>
      </c>
      <c r="G2136" s="1" t="s">
        <v>127</v>
      </c>
      <c r="H2136" s="1" t="s">
        <v>128</v>
      </c>
      <c r="I2136" s="1">
        <v>1</v>
      </c>
      <c r="J2136" s="3">
        <v>13959</v>
      </c>
      <c r="K2136" s="3">
        <v>13320</v>
      </c>
      <c r="L2136" s="1">
        <v>0</v>
      </c>
      <c r="M2136" s="4">
        <v>0</v>
      </c>
      <c r="N2136" s="1">
        <v>639</v>
      </c>
      <c r="O2136" s="4">
        <v>4.5999999999999999E-2</v>
      </c>
      <c r="P2136" s="1" t="s">
        <v>2721</v>
      </c>
    </row>
    <row r="2137" spans="1:16">
      <c r="A2137" s="1" t="s">
        <v>15</v>
      </c>
      <c r="B2137" s="1">
        <v>11</v>
      </c>
      <c r="C2137" s="1" t="s">
        <v>6146</v>
      </c>
      <c r="D2137" s="1" t="s">
        <v>1266</v>
      </c>
      <c r="E2137" s="2">
        <v>45978</v>
      </c>
      <c r="F2137" s="1" t="s">
        <v>317</v>
      </c>
      <c r="G2137" s="1" t="s">
        <v>1267</v>
      </c>
      <c r="H2137" s="1" t="s">
        <v>1268</v>
      </c>
      <c r="I2137" s="1">
        <v>1</v>
      </c>
      <c r="J2137" s="3">
        <v>27524</v>
      </c>
      <c r="K2137" s="3">
        <v>26264</v>
      </c>
      <c r="L2137" s="1">
        <v>0</v>
      </c>
      <c r="M2137" s="4">
        <v>0</v>
      </c>
      <c r="N2137" s="3">
        <v>1260</v>
      </c>
      <c r="O2137" s="4">
        <v>4.5999999999999999E-2</v>
      </c>
      <c r="P2137" s="1" t="s">
        <v>2721</v>
      </c>
    </row>
    <row r="2138" spans="1:16">
      <c r="A2138" s="1" t="s">
        <v>15</v>
      </c>
      <c r="B2138" s="1">
        <v>11</v>
      </c>
      <c r="C2138" s="1" t="s">
        <v>6147</v>
      </c>
      <c r="D2138" s="1" t="s">
        <v>6148</v>
      </c>
      <c r="E2138" s="2">
        <v>45978</v>
      </c>
      <c r="F2138" s="1" t="s">
        <v>96</v>
      </c>
      <c r="G2138" s="1" t="s">
        <v>6149</v>
      </c>
      <c r="H2138" s="1" t="s">
        <v>1752</v>
      </c>
      <c r="I2138" s="1">
        <v>1</v>
      </c>
      <c r="J2138" s="3">
        <v>17906</v>
      </c>
      <c r="K2138" s="3">
        <v>17087</v>
      </c>
      <c r="L2138" s="1">
        <v>0</v>
      </c>
      <c r="M2138" s="4">
        <v>0</v>
      </c>
      <c r="N2138" s="1">
        <v>819</v>
      </c>
      <c r="O2138" s="4">
        <v>4.5999999999999999E-2</v>
      </c>
      <c r="P2138" s="1" t="s">
        <v>2721</v>
      </c>
    </row>
    <row r="2139" spans="1:16">
      <c r="A2139" s="1" t="s">
        <v>15</v>
      </c>
      <c r="B2139" s="1">
        <v>11</v>
      </c>
      <c r="C2139" s="1" t="s">
        <v>6150</v>
      </c>
      <c r="D2139" s="1" t="s">
        <v>6151</v>
      </c>
      <c r="E2139" s="2">
        <v>45978</v>
      </c>
      <c r="F2139" s="1" t="s">
        <v>235</v>
      </c>
      <c r="G2139" s="1" t="s">
        <v>6152</v>
      </c>
      <c r="H2139" s="1" t="s">
        <v>6153</v>
      </c>
      <c r="I2139" s="1">
        <v>1</v>
      </c>
      <c r="J2139" s="3">
        <v>22707</v>
      </c>
      <c r="K2139" s="3">
        <v>21668</v>
      </c>
      <c r="L2139" s="1">
        <v>0</v>
      </c>
      <c r="M2139" s="4">
        <v>0</v>
      </c>
      <c r="N2139" s="3">
        <v>1039</v>
      </c>
      <c r="O2139" s="4">
        <v>4.5999999999999999E-2</v>
      </c>
      <c r="P2139" s="1" t="s">
        <v>2721</v>
      </c>
    </row>
    <row r="2140" spans="1:16">
      <c r="A2140" s="1" t="s">
        <v>15</v>
      </c>
      <c r="B2140" s="1">
        <v>11</v>
      </c>
      <c r="C2140" s="1" t="s">
        <v>6154</v>
      </c>
      <c r="D2140" s="1" t="s">
        <v>1246</v>
      </c>
      <c r="E2140" s="2">
        <v>45978</v>
      </c>
      <c r="F2140" s="1" t="s">
        <v>53</v>
      </c>
      <c r="G2140" s="1" t="s">
        <v>1247</v>
      </c>
      <c r="H2140" s="1" t="s">
        <v>1248</v>
      </c>
      <c r="I2140" s="1">
        <v>1</v>
      </c>
      <c r="J2140" s="3">
        <v>8383</v>
      </c>
      <c r="K2140" s="3">
        <v>7999</v>
      </c>
      <c r="L2140" s="1">
        <v>0</v>
      </c>
      <c r="M2140" s="4">
        <v>0</v>
      </c>
      <c r="N2140" s="1">
        <v>384</v>
      </c>
      <c r="O2140" s="4">
        <v>4.5999999999999999E-2</v>
      </c>
      <c r="P2140" s="1" t="s">
        <v>2721</v>
      </c>
    </row>
    <row r="2141" spans="1:16">
      <c r="A2141" s="1" t="s">
        <v>15</v>
      </c>
      <c r="B2141" s="1">
        <v>11</v>
      </c>
      <c r="C2141" s="1" t="s">
        <v>6155</v>
      </c>
      <c r="D2141" s="1" t="s">
        <v>5092</v>
      </c>
      <c r="E2141" s="2">
        <v>45978</v>
      </c>
      <c r="F2141" s="1" t="s">
        <v>347</v>
      </c>
      <c r="G2141" s="1" t="s">
        <v>5093</v>
      </c>
      <c r="H2141" s="1" t="s">
        <v>6156</v>
      </c>
      <c r="I2141" s="1">
        <v>1</v>
      </c>
      <c r="J2141" s="3">
        <v>22412</v>
      </c>
      <c r="K2141" s="3">
        <v>21386</v>
      </c>
      <c r="L2141" s="1">
        <v>0</v>
      </c>
      <c r="M2141" s="4">
        <v>0</v>
      </c>
      <c r="N2141" s="3">
        <v>1026</v>
      </c>
      <c r="O2141" s="4">
        <v>4.5999999999999999E-2</v>
      </c>
      <c r="P2141" s="1" t="s">
        <v>2721</v>
      </c>
    </row>
    <row r="2142" spans="1:16">
      <c r="A2142" s="1" t="s">
        <v>15</v>
      </c>
      <c r="B2142" s="1">
        <v>11</v>
      </c>
      <c r="C2142" s="1" t="s">
        <v>6157</v>
      </c>
      <c r="D2142" s="1" t="s">
        <v>1315</v>
      </c>
      <c r="E2142" s="2">
        <v>45978</v>
      </c>
      <c r="F2142" s="1" t="s">
        <v>187</v>
      </c>
      <c r="G2142" s="1" t="s">
        <v>1316</v>
      </c>
      <c r="H2142" s="1" t="s">
        <v>1317</v>
      </c>
      <c r="I2142" s="1">
        <v>1</v>
      </c>
      <c r="J2142" s="3">
        <v>24872</v>
      </c>
      <c r="K2142" s="3">
        <v>23733</v>
      </c>
      <c r="L2142" s="1">
        <v>0</v>
      </c>
      <c r="M2142" s="4">
        <v>0</v>
      </c>
      <c r="N2142" s="3">
        <v>1139</v>
      </c>
      <c r="O2142" s="4">
        <v>4.5999999999999999E-2</v>
      </c>
      <c r="P2142" s="1" t="s">
        <v>2721</v>
      </c>
    </row>
    <row r="2143" spans="1:16">
      <c r="A2143" s="1" t="s">
        <v>15</v>
      </c>
      <c r="B2143" s="1">
        <v>11</v>
      </c>
      <c r="C2143" s="1" t="s">
        <v>6158</v>
      </c>
      <c r="D2143" s="1" t="s">
        <v>1669</v>
      </c>
      <c r="E2143" s="2">
        <v>45978</v>
      </c>
      <c r="F2143" s="1" t="s">
        <v>266</v>
      </c>
      <c r="G2143" s="1" t="s">
        <v>1670</v>
      </c>
      <c r="H2143" s="1" t="s">
        <v>1671</v>
      </c>
      <c r="I2143" s="1">
        <v>1</v>
      </c>
      <c r="J2143" s="3">
        <v>22511</v>
      </c>
      <c r="K2143" s="3">
        <v>21480</v>
      </c>
      <c r="L2143" s="1">
        <v>0</v>
      </c>
      <c r="M2143" s="4">
        <v>0</v>
      </c>
      <c r="N2143" s="3">
        <v>1031</v>
      </c>
      <c r="O2143" s="4">
        <v>4.5999999999999999E-2</v>
      </c>
      <c r="P2143" s="1" t="s">
        <v>2721</v>
      </c>
    </row>
    <row r="2144" spans="1:16">
      <c r="A2144" s="1" t="s">
        <v>15</v>
      </c>
      <c r="B2144" s="1">
        <v>11</v>
      </c>
      <c r="C2144" s="1" t="s">
        <v>6159</v>
      </c>
      <c r="D2144" s="1" t="s">
        <v>1064</v>
      </c>
      <c r="E2144" s="2">
        <v>45978</v>
      </c>
      <c r="F2144" s="1" t="s">
        <v>53</v>
      </c>
      <c r="G2144" s="1" t="s">
        <v>1065</v>
      </c>
      <c r="H2144" s="1" t="s">
        <v>1066</v>
      </c>
      <c r="I2144" s="1">
        <v>1</v>
      </c>
      <c r="J2144" s="3">
        <v>7572</v>
      </c>
      <c r="K2144" s="3">
        <v>7225</v>
      </c>
      <c r="L2144" s="1">
        <v>0</v>
      </c>
      <c r="M2144" s="4">
        <v>0</v>
      </c>
      <c r="N2144" s="1">
        <v>347</v>
      </c>
      <c r="O2144" s="4">
        <v>4.5999999999999999E-2</v>
      </c>
      <c r="P2144" s="1" t="s">
        <v>2721</v>
      </c>
    </row>
    <row r="2145" spans="1:16">
      <c r="A2145" s="1" t="s">
        <v>15</v>
      </c>
      <c r="B2145" s="1">
        <v>11</v>
      </c>
      <c r="C2145" s="1" t="s">
        <v>6160</v>
      </c>
      <c r="D2145" s="1" t="s">
        <v>6161</v>
      </c>
      <c r="E2145" s="2">
        <v>45978</v>
      </c>
      <c r="F2145" s="1" t="s">
        <v>500</v>
      </c>
      <c r="G2145" s="1" t="s">
        <v>4892</v>
      </c>
      <c r="H2145" s="1" t="s">
        <v>4893</v>
      </c>
      <c r="I2145" s="1">
        <v>1</v>
      </c>
      <c r="J2145" s="3">
        <v>288193</v>
      </c>
      <c r="K2145" s="3">
        <v>275000</v>
      </c>
      <c r="L2145" s="1">
        <v>0</v>
      </c>
      <c r="M2145" s="4">
        <v>0</v>
      </c>
      <c r="N2145" s="3">
        <v>13193</v>
      </c>
      <c r="O2145" s="4">
        <v>4.5999999999999999E-2</v>
      </c>
      <c r="P2145" s="1" t="s">
        <v>2721</v>
      </c>
    </row>
    <row r="2146" spans="1:16">
      <c r="A2146" s="1" t="s">
        <v>15</v>
      </c>
      <c r="B2146" s="1">
        <v>11</v>
      </c>
      <c r="C2146" s="1" t="s">
        <v>6162</v>
      </c>
      <c r="D2146" s="1" t="s">
        <v>1508</v>
      </c>
      <c r="E2146" s="2">
        <v>45978</v>
      </c>
      <c r="F2146" s="1" t="s">
        <v>53</v>
      </c>
      <c r="G2146" s="1" t="s">
        <v>1509</v>
      </c>
      <c r="H2146" s="1" t="s">
        <v>1510</v>
      </c>
      <c r="I2146" s="1">
        <v>1</v>
      </c>
      <c r="J2146" s="3">
        <v>8022</v>
      </c>
      <c r="K2146" s="3">
        <v>7655</v>
      </c>
      <c r="L2146" s="1">
        <v>0</v>
      </c>
      <c r="M2146" s="4">
        <v>0</v>
      </c>
      <c r="N2146" s="1">
        <v>367</v>
      </c>
      <c r="O2146" s="4">
        <v>4.5999999999999999E-2</v>
      </c>
      <c r="P2146" s="1" t="s">
        <v>2721</v>
      </c>
    </row>
    <row r="2147" spans="1:16">
      <c r="A2147" s="1" t="s">
        <v>15</v>
      </c>
      <c r="B2147" s="1">
        <v>11</v>
      </c>
      <c r="C2147" s="1" t="s">
        <v>6163</v>
      </c>
      <c r="D2147" s="1" t="s">
        <v>482</v>
      </c>
      <c r="E2147" s="2">
        <v>45978</v>
      </c>
      <c r="F2147" s="1" t="s">
        <v>483</v>
      </c>
      <c r="G2147" s="1" t="s">
        <v>484</v>
      </c>
      <c r="H2147" s="1" t="s">
        <v>1610</v>
      </c>
      <c r="I2147" s="1">
        <v>1</v>
      </c>
      <c r="J2147" s="3">
        <v>81098</v>
      </c>
      <c r="K2147" s="3">
        <v>77385</v>
      </c>
      <c r="L2147" s="1">
        <v>0</v>
      </c>
      <c r="M2147" s="4">
        <v>0</v>
      </c>
      <c r="N2147" s="3">
        <v>3713</v>
      </c>
      <c r="O2147" s="4">
        <v>4.5999999999999999E-2</v>
      </c>
      <c r="P2147" s="1" t="s">
        <v>2721</v>
      </c>
    </row>
    <row r="2148" spans="1:16">
      <c r="A2148" s="1" t="s">
        <v>15</v>
      </c>
      <c r="B2148" s="1">
        <v>11</v>
      </c>
      <c r="C2148" s="1" t="s">
        <v>6163</v>
      </c>
      <c r="D2148" s="1" t="s">
        <v>482</v>
      </c>
      <c r="E2148" s="2">
        <v>45978</v>
      </c>
      <c r="F2148" s="1" t="s">
        <v>483</v>
      </c>
      <c r="G2148" s="1" t="s">
        <v>484</v>
      </c>
      <c r="H2148" s="1" t="s">
        <v>1777</v>
      </c>
      <c r="I2148" s="1">
        <v>1</v>
      </c>
      <c r="J2148" s="3">
        <v>27426</v>
      </c>
      <c r="K2148" s="3">
        <v>26170</v>
      </c>
      <c r="L2148" s="1">
        <v>0</v>
      </c>
      <c r="M2148" s="4">
        <v>0</v>
      </c>
      <c r="N2148" s="3">
        <v>1256</v>
      </c>
      <c r="O2148" s="4">
        <v>4.5999999999999999E-2</v>
      </c>
      <c r="P2148" s="1" t="s">
        <v>2721</v>
      </c>
    </row>
    <row r="2149" spans="1:16">
      <c r="A2149" s="1" t="s">
        <v>15</v>
      </c>
      <c r="B2149" s="1">
        <v>11</v>
      </c>
      <c r="C2149" s="1" t="s">
        <v>6164</v>
      </c>
      <c r="D2149" s="1" t="s">
        <v>1250</v>
      </c>
      <c r="E2149" s="2">
        <v>45978</v>
      </c>
      <c r="F2149" s="1" t="s">
        <v>18</v>
      </c>
      <c r="G2149" s="1" t="s">
        <v>1251</v>
      </c>
      <c r="H2149" s="1" t="s">
        <v>1428</v>
      </c>
      <c r="I2149" s="1">
        <v>1</v>
      </c>
      <c r="J2149" s="3">
        <v>8395</v>
      </c>
      <c r="K2149" s="3">
        <v>8011</v>
      </c>
      <c r="L2149" s="1">
        <v>0</v>
      </c>
      <c r="M2149" s="4">
        <v>0</v>
      </c>
      <c r="N2149" s="1">
        <v>384</v>
      </c>
      <c r="O2149" s="4">
        <v>4.5999999999999999E-2</v>
      </c>
      <c r="P2149" s="1" t="s">
        <v>2721</v>
      </c>
    </row>
    <row r="2150" spans="1:16">
      <c r="A2150" s="1" t="s">
        <v>15</v>
      </c>
      <c r="B2150" s="1">
        <v>11</v>
      </c>
      <c r="C2150" s="1" t="s">
        <v>6165</v>
      </c>
      <c r="D2150" s="1" t="s">
        <v>57</v>
      </c>
      <c r="E2150" s="2">
        <v>45978</v>
      </c>
      <c r="F2150" s="1" t="s">
        <v>58</v>
      </c>
      <c r="G2150" s="1" t="s">
        <v>59</v>
      </c>
      <c r="H2150" s="1" t="s">
        <v>6166</v>
      </c>
      <c r="I2150" s="1">
        <v>1</v>
      </c>
      <c r="J2150" s="3">
        <v>17203</v>
      </c>
      <c r="K2150" s="3">
        <v>16415</v>
      </c>
      <c r="L2150" s="1">
        <v>0</v>
      </c>
      <c r="M2150" s="4">
        <v>0</v>
      </c>
      <c r="N2150" s="1">
        <v>788</v>
      </c>
      <c r="O2150" s="4">
        <v>4.5999999999999999E-2</v>
      </c>
      <c r="P2150" s="1" t="s">
        <v>2721</v>
      </c>
    </row>
    <row r="2151" spans="1:16">
      <c r="A2151" s="1" t="s">
        <v>15</v>
      </c>
      <c r="B2151" s="1">
        <v>11</v>
      </c>
      <c r="C2151" s="1" t="s">
        <v>6167</v>
      </c>
      <c r="D2151" s="1" t="s">
        <v>224</v>
      </c>
      <c r="E2151" s="2">
        <v>45978</v>
      </c>
      <c r="F2151" s="1" t="s">
        <v>96</v>
      </c>
      <c r="G2151" s="1" t="s">
        <v>225</v>
      </c>
      <c r="H2151" s="1" t="s">
        <v>897</v>
      </c>
      <c r="I2151" s="1">
        <v>2</v>
      </c>
      <c r="J2151" s="3">
        <v>25141</v>
      </c>
      <c r="K2151" s="3">
        <v>23990</v>
      </c>
      <c r="L2151" s="1">
        <v>0</v>
      </c>
      <c r="M2151" s="4">
        <v>0</v>
      </c>
      <c r="N2151" s="3">
        <v>1151</v>
      </c>
      <c r="O2151" s="4">
        <v>4.5999999999999999E-2</v>
      </c>
      <c r="P2151" s="1" t="s">
        <v>2721</v>
      </c>
    </row>
    <row r="2152" spans="1:16">
      <c r="A2152" s="1" t="s">
        <v>15</v>
      </c>
      <c r="B2152" s="1">
        <v>11</v>
      </c>
      <c r="C2152" s="1" t="s">
        <v>6168</v>
      </c>
      <c r="D2152" s="1" t="s">
        <v>6169</v>
      </c>
      <c r="E2152" s="2">
        <v>45978</v>
      </c>
      <c r="F2152" s="1" t="s">
        <v>317</v>
      </c>
      <c r="G2152" s="1" t="s">
        <v>6170</v>
      </c>
      <c r="H2152" s="1" t="s">
        <v>6171</v>
      </c>
      <c r="I2152" s="1">
        <v>1</v>
      </c>
      <c r="J2152" s="3">
        <v>62322</v>
      </c>
      <c r="K2152" s="3">
        <v>59469</v>
      </c>
      <c r="L2152" s="1">
        <v>0</v>
      </c>
      <c r="M2152" s="4">
        <v>0</v>
      </c>
      <c r="N2152" s="3">
        <v>2853</v>
      </c>
      <c r="O2152" s="4">
        <v>4.5999999999999999E-2</v>
      </c>
      <c r="P2152" s="1" t="s">
        <v>2721</v>
      </c>
    </row>
    <row r="2153" spans="1:16">
      <c r="A2153" s="1" t="s">
        <v>15</v>
      </c>
      <c r="B2153" s="1">
        <v>11</v>
      </c>
      <c r="C2153" s="1" t="s">
        <v>6172</v>
      </c>
      <c r="D2153" s="1" t="s">
        <v>132</v>
      </c>
      <c r="E2153" s="2">
        <v>45978</v>
      </c>
      <c r="F2153" s="1" t="s">
        <v>53</v>
      </c>
      <c r="G2153" s="1" t="s">
        <v>133</v>
      </c>
      <c r="H2153" s="1" t="s">
        <v>88</v>
      </c>
      <c r="I2153" s="1">
        <v>1</v>
      </c>
      <c r="J2153" s="3">
        <v>17036</v>
      </c>
      <c r="K2153" s="3">
        <v>16256</v>
      </c>
      <c r="L2153" s="1">
        <v>0</v>
      </c>
      <c r="M2153" s="4">
        <v>0</v>
      </c>
      <c r="N2153" s="1">
        <v>780</v>
      </c>
      <c r="O2153" s="4">
        <v>4.5999999999999999E-2</v>
      </c>
      <c r="P2153" s="1" t="s">
        <v>2721</v>
      </c>
    </row>
    <row r="2154" spans="1:16">
      <c r="A2154" s="1" t="s">
        <v>15</v>
      </c>
      <c r="B2154" s="1">
        <v>11</v>
      </c>
      <c r="C2154" s="1" t="s">
        <v>6173</v>
      </c>
      <c r="D2154" s="1" t="s">
        <v>922</v>
      </c>
      <c r="E2154" s="2">
        <v>45978</v>
      </c>
      <c r="F2154" s="1" t="s">
        <v>126</v>
      </c>
      <c r="G2154" s="1" t="s">
        <v>923</v>
      </c>
      <c r="H2154" s="1" t="s">
        <v>1608</v>
      </c>
      <c r="I2154" s="1">
        <v>1</v>
      </c>
      <c r="J2154" s="3">
        <v>29687</v>
      </c>
      <c r="K2154" s="3">
        <v>28328</v>
      </c>
      <c r="L2154" s="1">
        <v>0</v>
      </c>
      <c r="M2154" s="4">
        <v>0</v>
      </c>
      <c r="N2154" s="3">
        <v>1359</v>
      </c>
      <c r="O2154" s="4">
        <v>4.5999999999999999E-2</v>
      </c>
      <c r="P2154" s="1" t="s">
        <v>2721</v>
      </c>
    </row>
    <row r="2155" spans="1:16">
      <c r="A2155" s="1" t="s">
        <v>15</v>
      </c>
      <c r="B2155" s="1">
        <v>11</v>
      </c>
      <c r="C2155" s="1" t="s">
        <v>6174</v>
      </c>
      <c r="D2155" s="1" t="s">
        <v>5822</v>
      </c>
      <c r="E2155" s="2">
        <v>45978</v>
      </c>
      <c r="F2155" s="1" t="s">
        <v>4061</v>
      </c>
      <c r="G2155" s="1" t="s">
        <v>5823</v>
      </c>
      <c r="H2155" s="1" t="s">
        <v>5824</v>
      </c>
      <c r="I2155" s="1">
        <v>2</v>
      </c>
      <c r="J2155" s="3">
        <v>17497</v>
      </c>
      <c r="K2155" s="3">
        <v>16696</v>
      </c>
      <c r="L2155" s="1">
        <v>0</v>
      </c>
      <c r="M2155" s="4">
        <v>0</v>
      </c>
      <c r="N2155" s="1">
        <v>801</v>
      </c>
      <c r="O2155" s="4">
        <v>4.5999999999999999E-2</v>
      </c>
      <c r="P2155" s="1" t="s">
        <v>2721</v>
      </c>
    </row>
    <row r="2156" spans="1:16">
      <c r="A2156" s="1" t="s">
        <v>15</v>
      </c>
      <c r="B2156" s="1">
        <v>11</v>
      </c>
      <c r="C2156" s="1" t="s">
        <v>6175</v>
      </c>
      <c r="D2156" s="1" t="s">
        <v>169</v>
      </c>
      <c r="E2156" s="2">
        <v>45978</v>
      </c>
      <c r="F2156" s="1" t="s">
        <v>53</v>
      </c>
      <c r="G2156" s="1" t="s">
        <v>170</v>
      </c>
      <c r="H2156" s="1" t="s">
        <v>171</v>
      </c>
      <c r="I2156" s="1">
        <v>1</v>
      </c>
      <c r="J2156" s="3">
        <v>14332</v>
      </c>
      <c r="K2156" s="3">
        <v>13676</v>
      </c>
      <c r="L2156" s="1">
        <v>0</v>
      </c>
      <c r="M2156" s="4">
        <v>0</v>
      </c>
      <c r="N2156" s="1">
        <v>656</v>
      </c>
      <c r="O2156" s="4">
        <v>4.5999999999999999E-2</v>
      </c>
      <c r="P2156" s="1" t="s">
        <v>2721</v>
      </c>
    </row>
    <row r="2157" spans="1:16">
      <c r="A2157" s="1" t="s">
        <v>15</v>
      </c>
      <c r="B2157" s="1">
        <v>11</v>
      </c>
      <c r="C2157" s="1" t="s">
        <v>6176</v>
      </c>
      <c r="D2157" s="1" t="s">
        <v>238</v>
      </c>
      <c r="E2157" s="2">
        <v>45978</v>
      </c>
      <c r="F2157" s="1" t="s">
        <v>239</v>
      </c>
      <c r="G2157" s="1" t="s">
        <v>240</v>
      </c>
      <c r="H2157" s="1" t="s">
        <v>241</v>
      </c>
      <c r="I2157" s="1">
        <v>1</v>
      </c>
      <c r="J2157" s="3">
        <v>11305</v>
      </c>
      <c r="K2157" s="3">
        <v>10787</v>
      </c>
      <c r="L2157" s="1">
        <v>0</v>
      </c>
      <c r="M2157" s="4">
        <v>0</v>
      </c>
      <c r="N2157" s="1">
        <v>518</v>
      </c>
      <c r="O2157" s="4">
        <v>4.5999999999999999E-2</v>
      </c>
      <c r="P2157" s="1" t="s">
        <v>2721</v>
      </c>
    </row>
    <row r="2158" spans="1:16">
      <c r="A2158" s="1" t="s">
        <v>15</v>
      </c>
      <c r="B2158" s="1">
        <v>11</v>
      </c>
      <c r="C2158" s="1" t="s">
        <v>6176</v>
      </c>
      <c r="D2158" s="1" t="s">
        <v>238</v>
      </c>
      <c r="E2158" s="2">
        <v>45978</v>
      </c>
      <c r="F2158" s="1" t="s">
        <v>239</v>
      </c>
      <c r="G2158" s="1" t="s">
        <v>240</v>
      </c>
      <c r="H2158" s="1" t="s">
        <v>242</v>
      </c>
      <c r="I2158" s="1">
        <v>1</v>
      </c>
      <c r="J2158" s="3">
        <v>11305</v>
      </c>
      <c r="K2158" s="3">
        <v>10787</v>
      </c>
      <c r="L2158" s="1">
        <v>0</v>
      </c>
      <c r="M2158" s="4">
        <v>0</v>
      </c>
      <c r="N2158" s="1">
        <v>518</v>
      </c>
      <c r="O2158" s="4">
        <v>4.5999999999999999E-2</v>
      </c>
      <c r="P2158" s="1" t="s">
        <v>2721</v>
      </c>
    </row>
    <row r="2159" spans="1:16">
      <c r="A2159" s="1" t="s">
        <v>15</v>
      </c>
      <c r="B2159" s="1">
        <v>11</v>
      </c>
      <c r="C2159" s="1" t="s">
        <v>6177</v>
      </c>
      <c r="D2159" s="1" t="s">
        <v>6178</v>
      </c>
      <c r="E2159" s="2">
        <v>45978</v>
      </c>
      <c r="F2159" s="1" t="s">
        <v>6179</v>
      </c>
      <c r="G2159" s="1" t="s">
        <v>6180</v>
      </c>
      <c r="H2159" s="1" t="s">
        <v>6181</v>
      </c>
      <c r="I2159" s="1">
        <v>1</v>
      </c>
      <c r="J2159" s="3">
        <v>29254</v>
      </c>
      <c r="K2159" s="3">
        <v>27915</v>
      </c>
      <c r="L2159" s="1">
        <v>0</v>
      </c>
      <c r="M2159" s="4">
        <v>0</v>
      </c>
      <c r="N2159" s="3">
        <v>1339</v>
      </c>
      <c r="O2159" s="4">
        <v>4.5999999999999999E-2</v>
      </c>
      <c r="P2159" s="1" t="s">
        <v>2721</v>
      </c>
    </row>
    <row r="2160" spans="1:16">
      <c r="A2160" s="1" t="s">
        <v>15</v>
      </c>
      <c r="B2160" s="1">
        <v>11</v>
      </c>
      <c r="C2160" s="1" t="s">
        <v>6182</v>
      </c>
      <c r="D2160" s="1" t="s">
        <v>341</v>
      </c>
      <c r="E2160" s="2">
        <v>45978</v>
      </c>
      <c r="F2160" s="1" t="s">
        <v>53</v>
      </c>
      <c r="G2160" s="1" t="s">
        <v>342</v>
      </c>
      <c r="H2160" s="1" t="s">
        <v>343</v>
      </c>
      <c r="I2160" s="1">
        <v>1</v>
      </c>
      <c r="J2160" s="3">
        <v>16135</v>
      </c>
      <c r="K2160" s="3">
        <v>15396</v>
      </c>
      <c r="L2160" s="1">
        <v>0</v>
      </c>
      <c r="M2160" s="4">
        <v>0</v>
      </c>
      <c r="N2160" s="1">
        <v>739</v>
      </c>
      <c r="O2160" s="4">
        <v>4.5999999999999999E-2</v>
      </c>
      <c r="P2160" s="1" t="s">
        <v>2721</v>
      </c>
    </row>
    <row r="2161" spans="1:16">
      <c r="A2161" s="1" t="s">
        <v>15</v>
      </c>
      <c r="B2161" s="1">
        <v>11</v>
      </c>
      <c r="C2161" s="1" t="s">
        <v>6183</v>
      </c>
      <c r="D2161" s="1" t="s">
        <v>6184</v>
      </c>
      <c r="E2161" s="2">
        <v>45978</v>
      </c>
      <c r="F2161" s="1" t="s">
        <v>4309</v>
      </c>
      <c r="G2161" s="1" t="s">
        <v>6185</v>
      </c>
      <c r="H2161" s="1" t="s">
        <v>6186</v>
      </c>
      <c r="I2161" s="1">
        <v>1</v>
      </c>
      <c r="J2161" s="3">
        <v>12386</v>
      </c>
      <c r="K2161" s="3">
        <v>11819</v>
      </c>
      <c r="L2161" s="1">
        <v>0</v>
      </c>
      <c r="M2161" s="4">
        <v>0</v>
      </c>
      <c r="N2161" s="1">
        <v>567</v>
      </c>
      <c r="O2161" s="4">
        <v>4.5999999999999999E-2</v>
      </c>
      <c r="P2161" s="1" t="s">
        <v>2721</v>
      </c>
    </row>
    <row r="2162" spans="1:16">
      <c r="A2162" s="1" t="s">
        <v>15</v>
      </c>
      <c r="B2162" s="1">
        <v>11</v>
      </c>
      <c r="C2162" s="1" t="s">
        <v>6187</v>
      </c>
      <c r="D2162" s="1" t="s">
        <v>86</v>
      </c>
      <c r="E2162" s="2">
        <v>45978</v>
      </c>
      <c r="F2162" s="1" t="s">
        <v>53</v>
      </c>
      <c r="G2162" s="1" t="s">
        <v>87</v>
      </c>
      <c r="H2162" s="1" t="s">
        <v>88</v>
      </c>
      <c r="I2162" s="1">
        <v>1</v>
      </c>
      <c r="J2162" s="3">
        <v>14956</v>
      </c>
      <c r="K2162" s="3">
        <v>14272</v>
      </c>
      <c r="L2162" s="1">
        <v>0</v>
      </c>
      <c r="M2162" s="4">
        <v>0</v>
      </c>
      <c r="N2162" s="1">
        <v>684</v>
      </c>
      <c r="O2162" s="4">
        <v>4.5999999999999999E-2</v>
      </c>
      <c r="P2162" s="1" t="s">
        <v>2721</v>
      </c>
    </row>
    <row r="2163" spans="1:16">
      <c r="A2163" s="1" t="s">
        <v>15</v>
      </c>
      <c r="B2163" s="1">
        <v>11</v>
      </c>
      <c r="C2163" s="1" t="s">
        <v>6188</v>
      </c>
      <c r="D2163" s="1" t="s">
        <v>132</v>
      </c>
      <c r="E2163" s="2">
        <v>45978</v>
      </c>
      <c r="F2163" s="1" t="s">
        <v>53</v>
      </c>
      <c r="G2163" s="1" t="s">
        <v>133</v>
      </c>
      <c r="H2163" s="1" t="s">
        <v>88</v>
      </c>
      <c r="I2163" s="1">
        <v>1</v>
      </c>
      <c r="J2163" s="3">
        <v>17036</v>
      </c>
      <c r="K2163" s="3">
        <v>16256</v>
      </c>
      <c r="L2163" s="1">
        <v>0</v>
      </c>
      <c r="M2163" s="4">
        <v>0</v>
      </c>
      <c r="N2163" s="1">
        <v>780</v>
      </c>
      <c r="O2163" s="4">
        <v>4.5999999999999999E-2</v>
      </c>
      <c r="P2163" s="1" t="s">
        <v>2721</v>
      </c>
    </row>
    <row r="2164" spans="1:16">
      <c r="A2164" s="1" t="s">
        <v>15</v>
      </c>
      <c r="B2164" s="1">
        <v>11</v>
      </c>
      <c r="C2164" s="1" t="s">
        <v>6189</v>
      </c>
      <c r="D2164" s="1" t="s">
        <v>777</v>
      </c>
      <c r="E2164" s="2">
        <v>45978</v>
      </c>
      <c r="F2164" s="1" t="s">
        <v>256</v>
      </c>
      <c r="G2164" s="1" t="s">
        <v>778</v>
      </c>
      <c r="H2164" s="1" t="s">
        <v>1571</v>
      </c>
      <c r="I2164" s="1">
        <v>1</v>
      </c>
      <c r="J2164" s="3">
        <v>19857</v>
      </c>
      <c r="K2164" s="3">
        <v>18948</v>
      </c>
      <c r="L2164" s="1">
        <v>0</v>
      </c>
      <c r="M2164" s="4">
        <v>0</v>
      </c>
      <c r="N2164" s="1">
        <v>909</v>
      </c>
      <c r="O2164" s="4">
        <v>4.5999999999999999E-2</v>
      </c>
      <c r="P2164" s="1" t="s">
        <v>2721</v>
      </c>
    </row>
    <row r="2165" spans="1:16">
      <c r="A2165" s="1" t="s">
        <v>15</v>
      </c>
      <c r="B2165" s="1">
        <v>11</v>
      </c>
      <c r="C2165" s="1" t="s">
        <v>6190</v>
      </c>
      <c r="D2165" s="1" t="s">
        <v>95</v>
      </c>
      <c r="E2165" s="2">
        <v>45978</v>
      </c>
      <c r="F2165" s="1" t="s">
        <v>96</v>
      </c>
      <c r="G2165" s="1" t="s">
        <v>97</v>
      </c>
      <c r="H2165" s="1" t="s">
        <v>97</v>
      </c>
      <c r="I2165" s="1">
        <v>1</v>
      </c>
      <c r="J2165" s="3">
        <v>12571</v>
      </c>
      <c r="K2165" s="3">
        <v>11995</v>
      </c>
      <c r="L2165" s="1">
        <v>0</v>
      </c>
      <c r="M2165" s="4">
        <v>0</v>
      </c>
      <c r="N2165" s="1">
        <v>576</v>
      </c>
      <c r="O2165" s="4">
        <v>4.5999999999999999E-2</v>
      </c>
      <c r="P2165" s="1" t="s">
        <v>2721</v>
      </c>
    </row>
    <row r="2166" spans="1:16">
      <c r="A2166" s="1" t="s">
        <v>15</v>
      </c>
      <c r="B2166" s="1">
        <v>11</v>
      </c>
      <c r="C2166" s="1" t="s">
        <v>6191</v>
      </c>
      <c r="D2166" s="1" t="s">
        <v>228</v>
      </c>
      <c r="E2166" s="2">
        <v>45978</v>
      </c>
      <c r="F2166" s="1" t="s">
        <v>53</v>
      </c>
      <c r="G2166" s="1" t="s">
        <v>229</v>
      </c>
      <c r="H2166" s="1" t="s">
        <v>230</v>
      </c>
      <c r="I2166" s="1">
        <v>1</v>
      </c>
      <c r="J2166" s="3">
        <v>9825</v>
      </c>
      <c r="K2166" s="3">
        <v>9375</v>
      </c>
      <c r="L2166" s="1">
        <v>0</v>
      </c>
      <c r="M2166" s="4">
        <v>0</v>
      </c>
      <c r="N2166" s="1">
        <v>450</v>
      </c>
      <c r="O2166" s="4">
        <v>4.5999999999999999E-2</v>
      </c>
      <c r="P2166" s="1" t="s">
        <v>2721</v>
      </c>
    </row>
    <row r="2167" spans="1:16">
      <c r="A2167" s="1" t="s">
        <v>15</v>
      </c>
      <c r="B2167" s="1">
        <v>11</v>
      </c>
      <c r="C2167" s="1" t="s">
        <v>6192</v>
      </c>
      <c r="D2167" s="1" t="s">
        <v>1380</v>
      </c>
      <c r="E2167" s="2">
        <v>45978</v>
      </c>
      <c r="F2167" s="1" t="s">
        <v>1381</v>
      </c>
      <c r="G2167" s="1" t="s">
        <v>1382</v>
      </c>
      <c r="H2167" s="1" t="s">
        <v>1383</v>
      </c>
      <c r="I2167" s="1">
        <v>6</v>
      </c>
      <c r="J2167" s="3">
        <v>208754</v>
      </c>
      <c r="K2167" s="3">
        <v>199197</v>
      </c>
      <c r="L2167" s="1">
        <v>0</v>
      </c>
      <c r="M2167" s="4">
        <v>0</v>
      </c>
      <c r="N2167" s="3">
        <v>9557</v>
      </c>
      <c r="O2167" s="4">
        <v>4.5999999999999999E-2</v>
      </c>
      <c r="P2167" s="1" t="s">
        <v>2721</v>
      </c>
    </row>
    <row r="2168" spans="1:16">
      <c r="A2168" s="1" t="s">
        <v>15</v>
      </c>
      <c r="B2168" s="1">
        <v>11</v>
      </c>
      <c r="C2168" s="1" t="s">
        <v>6193</v>
      </c>
      <c r="D2168" s="1" t="s">
        <v>960</v>
      </c>
      <c r="E2168" s="2">
        <v>45978</v>
      </c>
      <c r="F2168" s="1" t="s">
        <v>407</v>
      </c>
      <c r="G2168" s="1" t="s">
        <v>961</v>
      </c>
      <c r="H2168" s="1" t="s">
        <v>2367</v>
      </c>
      <c r="I2168" s="1">
        <v>1</v>
      </c>
      <c r="J2168" s="3">
        <v>34405</v>
      </c>
      <c r="K2168" s="3">
        <v>32830</v>
      </c>
      <c r="L2168" s="1">
        <v>0</v>
      </c>
      <c r="M2168" s="4">
        <v>0</v>
      </c>
      <c r="N2168" s="3">
        <v>1575</v>
      </c>
      <c r="O2168" s="4">
        <v>4.5999999999999999E-2</v>
      </c>
      <c r="P2168" s="1" t="s">
        <v>2721</v>
      </c>
    </row>
    <row r="2169" spans="1:16">
      <c r="A2169" s="1" t="s">
        <v>15</v>
      </c>
      <c r="B2169" s="1">
        <v>11</v>
      </c>
      <c r="C2169" s="1" t="s">
        <v>6194</v>
      </c>
      <c r="D2169" s="1" t="s">
        <v>499</v>
      </c>
      <c r="E2169" s="2">
        <v>45978</v>
      </c>
      <c r="F2169" s="1" t="s">
        <v>500</v>
      </c>
      <c r="G2169" s="1" t="s">
        <v>501</v>
      </c>
      <c r="H2169" s="1" t="s">
        <v>502</v>
      </c>
      <c r="I2169" s="1">
        <v>1</v>
      </c>
      <c r="J2169" s="3">
        <v>227073</v>
      </c>
      <c r="K2169" s="3">
        <v>216678</v>
      </c>
      <c r="L2169" s="1">
        <v>0</v>
      </c>
      <c r="M2169" s="4">
        <v>0</v>
      </c>
      <c r="N2169" s="3">
        <v>10395</v>
      </c>
      <c r="O2169" s="4">
        <v>4.5999999999999999E-2</v>
      </c>
      <c r="P2169" s="1" t="s">
        <v>2721</v>
      </c>
    </row>
    <row r="2170" spans="1:16">
      <c r="A2170" s="1" t="s">
        <v>15</v>
      </c>
      <c r="B2170" s="1">
        <v>11</v>
      </c>
      <c r="C2170" s="1" t="s">
        <v>6195</v>
      </c>
      <c r="D2170" s="1" t="s">
        <v>558</v>
      </c>
      <c r="E2170" s="2">
        <v>45978</v>
      </c>
      <c r="F2170" s="1" t="s">
        <v>256</v>
      </c>
      <c r="G2170" s="1" t="s">
        <v>559</v>
      </c>
      <c r="H2170" s="1" t="s">
        <v>560</v>
      </c>
      <c r="I2170" s="1">
        <v>1</v>
      </c>
      <c r="J2170" s="3">
        <v>9339</v>
      </c>
      <c r="K2170" s="3">
        <v>8911</v>
      </c>
      <c r="L2170" s="1">
        <v>0</v>
      </c>
      <c r="M2170" s="4">
        <v>0</v>
      </c>
      <c r="N2170" s="1">
        <v>428</v>
      </c>
      <c r="O2170" s="4">
        <v>4.5999999999999999E-2</v>
      </c>
      <c r="P2170" s="1" t="s">
        <v>2721</v>
      </c>
    </row>
    <row r="2171" spans="1:16">
      <c r="A2171" s="1" t="s">
        <v>15</v>
      </c>
      <c r="B2171" s="1">
        <v>11</v>
      </c>
      <c r="C2171" s="1" t="s">
        <v>6196</v>
      </c>
      <c r="D2171" s="1" t="s">
        <v>2312</v>
      </c>
      <c r="E2171" s="2">
        <v>45978</v>
      </c>
      <c r="F2171" s="1" t="s">
        <v>1772</v>
      </c>
      <c r="G2171" s="1" t="s">
        <v>1773</v>
      </c>
      <c r="H2171" s="1" t="s">
        <v>1774</v>
      </c>
      <c r="I2171" s="1">
        <v>1</v>
      </c>
      <c r="J2171" s="3">
        <v>23395</v>
      </c>
      <c r="K2171" s="3">
        <v>22324</v>
      </c>
      <c r="L2171" s="1">
        <v>0</v>
      </c>
      <c r="M2171" s="4">
        <v>0</v>
      </c>
      <c r="N2171" s="3">
        <v>1071</v>
      </c>
      <c r="O2171" s="4">
        <v>4.5999999999999999E-2</v>
      </c>
      <c r="P2171" s="1" t="s">
        <v>2721</v>
      </c>
    </row>
    <row r="2172" spans="1:16">
      <c r="A2172" s="1" t="s">
        <v>15</v>
      </c>
      <c r="B2172" s="1">
        <v>11</v>
      </c>
      <c r="C2172" s="1" t="s">
        <v>6197</v>
      </c>
      <c r="D2172" s="1" t="s">
        <v>4134</v>
      </c>
      <c r="E2172" s="2">
        <v>45978</v>
      </c>
      <c r="F2172" s="1" t="s">
        <v>534</v>
      </c>
      <c r="G2172" s="1" t="s">
        <v>4135</v>
      </c>
      <c r="H2172" s="1" t="s">
        <v>4136</v>
      </c>
      <c r="I2172" s="1">
        <v>1</v>
      </c>
      <c r="J2172" s="3">
        <v>13035</v>
      </c>
      <c r="K2172" s="3">
        <v>12438</v>
      </c>
      <c r="L2172" s="1">
        <v>0</v>
      </c>
      <c r="M2172" s="4">
        <v>0</v>
      </c>
      <c r="N2172" s="1">
        <v>597</v>
      </c>
      <c r="O2172" s="4">
        <v>4.5999999999999999E-2</v>
      </c>
      <c r="P2172" s="1" t="s">
        <v>2721</v>
      </c>
    </row>
    <row r="2173" spans="1:16">
      <c r="A2173" s="1" t="s">
        <v>15</v>
      </c>
      <c r="B2173" s="1">
        <v>11</v>
      </c>
      <c r="C2173" s="1" t="s">
        <v>6198</v>
      </c>
      <c r="D2173" s="1" t="s">
        <v>1219</v>
      </c>
      <c r="E2173" s="2">
        <v>45978</v>
      </c>
      <c r="F2173" s="1" t="s">
        <v>256</v>
      </c>
      <c r="G2173" s="1" t="s">
        <v>1220</v>
      </c>
      <c r="H2173" s="1" t="s">
        <v>1280</v>
      </c>
      <c r="I2173" s="1">
        <v>1</v>
      </c>
      <c r="J2173" s="3">
        <v>20692</v>
      </c>
      <c r="K2173" s="3">
        <v>19745</v>
      </c>
      <c r="L2173" s="1">
        <v>0</v>
      </c>
      <c r="M2173" s="4">
        <v>0</v>
      </c>
      <c r="N2173" s="1">
        <v>947</v>
      </c>
      <c r="O2173" s="4">
        <v>4.5999999999999999E-2</v>
      </c>
      <c r="P2173" s="1" t="s">
        <v>2721</v>
      </c>
    </row>
    <row r="2174" spans="1:16">
      <c r="A2174" s="1" t="s">
        <v>15</v>
      </c>
      <c r="B2174" s="1">
        <v>11</v>
      </c>
      <c r="C2174" s="1" t="s">
        <v>6199</v>
      </c>
      <c r="D2174" s="1" t="s">
        <v>250</v>
      </c>
      <c r="E2174" s="2">
        <v>45978</v>
      </c>
      <c r="F2174" s="1" t="s">
        <v>251</v>
      </c>
      <c r="G2174" s="1" t="s">
        <v>252</v>
      </c>
      <c r="H2174" s="1" t="s">
        <v>2279</v>
      </c>
      <c r="I2174" s="1">
        <v>1</v>
      </c>
      <c r="J2174" s="3">
        <v>21626</v>
      </c>
      <c r="K2174" s="3">
        <v>20636</v>
      </c>
      <c r="L2174" s="1">
        <v>0</v>
      </c>
      <c r="M2174" s="4">
        <v>0</v>
      </c>
      <c r="N2174" s="1">
        <v>990</v>
      </c>
      <c r="O2174" s="4">
        <v>4.5999999999999999E-2</v>
      </c>
      <c r="P2174" s="1" t="s">
        <v>2721</v>
      </c>
    </row>
    <row r="2175" spans="1:16">
      <c r="A2175" s="1" t="s">
        <v>15</v>
      </c>
      <c r="B2175" s="1">
        <v>11</v>
      </c>
      <c r="C2175" s="1" t="s">
        <v>6200</v>
      </c>
      <c r="D2175" s="1" t="s">
        <v>504</v>
      </c>
      <c r="E2175" s="2">
        <v>45978</v>
      </c>
      <c r="F2175" s="1" t="s">
        <v>407</v>
      </c>
      <c r="G2175" s="1" t="s">
        <v>505</v>
      </c>
      <c r="H2175" s="1" t="s">
        <v>506</v>
      </c>
      <c r="I2175" s="1">
        <v>1</v>
      </c>
      <c r="J2175" s="3">
        <v>40303</v>
      </c>
      <c r="K2175" s="3">
        <v>38458</v>
      </c>
      <c r="L2175" s="1">
        <v>0</v>
      </c>
      <c r="M2175" s="4">
        <v>0</v>
      </c>
      <c r="N2175" s="3">
        <v>1845</v>
      </c>
      <c r="O2175" s="4">
        <v>4.5999999999999999E-2</v>
      </c>
      <c r="P2175" s="1" t="s">
        <v>2721</v>
      </c>
    </row>
    <row r="2176" spans="1:16">
      <c r="A2176" s="1" t="s">
        <v>15</v>
      </c>
      <c r="B2176" s="1">
        <v>11</v>
      </c>
      <c r="C2176" s="1" t="s">
        <v>6201</v>
      </c>
      <c r="D2176" s="1" t="s">
        <v>169</v>
      </c>
      <c r="E2176" s="2">
        <v>45978</v>
      </c>
      <c r="F2176" s="1" t="s">
        <v>53</v>
      </c>
      <c r="G2176" s="1" t="s">
        <v>170</v>
      </c>
      <c r="H2176" s="1" t="s">
        <v>171</v>
      </c>
      <c r="I2176" s="1">
        <v>1</v>
      </c>
      <c r="J2176" s="3">
        <v>14332</v>
      </c>
      <c r="K2176" s="3">
        <v>13676</v>
      </c>
      <c r="L2176" s="1">
        <v>0</v>
      </c>
      <c r="M2176" s="4">
        <v>0</v>
      </c>
      <c r="N2176" s="1">
        <v>656</v>
      </c>
      <c r="O2176" s="4">
        <v>4.5999999999999999E-2</v>
      </c>
      <c r="P2176" s="1" t="s">
        <v>2721</v>
      </c>
    </row>
    <row r="2177" spans="1:16">
      <c r="A2177" s="1" t="s">
        <v>15</v>
      </c>
      <c r="B2177" s="1">
        <v>11</v>
      </c>
      <c r="C2177" s="1" t="s">
        <v>6202</v>
      </c>
      <c r="D2177" s="1" t="s">
        <v>37</v>
      </c>
      <c r="E2177" s="2">
        <v>45978</v>
      </c>
      <c r="F2177" s="1" t="s">
        <v>38</v>
      </c>
      <c r="G2177" s="1" t="s">
        <v>39</v>
      </c>
      <c r="H2177" s="1" t="s">
        <v>40</v>
      </c>
      <c r="I2177" s="1">
        <v>1</v>
      </c>
      <c r="J2177" s="3">
        <v>89453</v>
      </c>
      <c r="K2177" s="3">
        <v>85358</v>
      </c>
      <c r="L2177" s="1">
        <v>0</v>
      </c>
      <c r="M2177" s="4">
        <v>0</v>
      </c>
      <c r="N2177" s="3">
        <v>4095</v>
      </c>
      <c r="O2177" s="4">
        <v>4.5999999999999999E-2</v>
      </c>
      <c r="P2177" s="1" t="s">
        <v>2721</v>
      </c>
    </row>
    <row r="2178" spans="1:16">
      <c r="A2178" s="1" t="s">
        <v>15</v>
      </c>
      <c r="B2178" s="1">
        <v>11</v>
      </c>
      <c r="C2178" s="1" t="s">
        <v>6203</v>
      </c>
      <c r="D2178" s="1" t="s">
        <v>2963</v>
      </c>
      <c r="E2178" s="2">
        <v>45978</v>
      </c>
      <c r="F2178" s="1" t="s">
        <v>660</v>
      </c>
      <c r="G2178" s="1" t="s">
        <v>2964</v>
      </c>
      <c r="H2178" s="1" t="s">
        <v>6204</v>
      </c>
      <c r="I2178" s="1">
        <v>1</v>
      </c>
      <c r="J2178" s="3">
        <v>17547</v>
      </c>
      <c r="K2178" s="3">
        <v>16743</v>
      </c>
      <c r="L2178" s="1">
        <v>0</v>
      </c>
      <c r="M2178" s="4">
        <v>0</v>
      </c>
      <c r="N2178" s="1">
        <v>804</v>
      </c>
      <c r="O2178" s="4">
        <v>4.5999999999999999E-2</v>
      </c>
      <c r="P2178" s="1" t="s">
        <v>2721</v>
      </c>
    </row>
    <row r="2179" spans="1:16">
      <c r="A2179" s="1" t="s">
        <v>15</v>
      </c>
      <c r="B2179" s="1">
        <v>11</v>
      </c>
      <c r="C2179" s="1" t="s">
        <v>6203</v>
      </c>
      <c r="D2179" s="1" t="s">
        <v>1673</v>
      </c>
      <c r="E2179" s="2">
        <v>45978</v>
      </c>
      <c r="F2179" s="1" t="s">
        <v>660</v>
      </c>
      <c r="G2179" s="1" t="s">
        <v>1674</v>
      </c>
      <c r="H2179" s="1" t="s">
        <v>2339</v>
      </c>
      <c r="I2179" s="1">
        <v>1</v>
      </c>
      <c r="J2179" s="3">
        <v>11118</v>
      </c>
      <c r="K2179" s="3">
        <v>10609</v>
      </c>
      <c r="L2179" s="1">
        <v>0</v>
      </c>
      <c r="M2179" s="4">
        <v>0</v>
      </c>
      <c r="N2179" s="1">
        <v>509</v>
      </c>
      <c r="O2179" s="4">
        <v>4.5999999999999999E-2</v>
      </c>
      <c r="P2179" s="1" t="s">
        <v>2721</v>
      </c>
    </row>
    <row r="2180" spans="1:16">
      <c r="A2180" s="1" t="s">
        <v>15</v>
      </c>
      <c r="B2180" s="1">
        <v>11</v>
      </c>
      <c r="C2180" s="1" t="s">
        <v>6205</v>
      </c>
      <c r="D2180" s="1" t="s">
        <v>482</v>
      </c>
      <c r="E2180" s="2">
        <v>45978</v>
      </c>
      <c r="F2180" s="1" t="s">
        <v>483</v>
      </c>
      <c r="G2180" s="1" t="s">
        <v>484</v>
      </c>
      <c r="H2180" s="1" t="s">
        <v>860</v>
      </c>
      <c r="I2180" s="1">
        <v>2</v>
      </c>
      <c r="J2180" s="3">
        <v>54851</v>
      </c>
      <c r="K2180" s="3">
        <v>52340</v>
      </c>
      <c r="L2180" s="1">
        <v>0</v>
      </c>
      <c r="M2180" s="4">
        <v>0</v>
      </c>
      <c r="N2180" s="3">
        <v>2511</v>
      </c>
      <c r="O2180" s="4">
        <v>4.5999999999999999E-2</v>
      </c>
      <c r="P2180" s="1" t="s">
        <v>2721</v>
      </c>
    </row>
    <row r="2181" spans="1:16">
      <c r="A2181" s="1" t="s">
        <v>15</v>
      </c>
      <c r="B2181" s="1">
        <v>11</v>
      </c>
      <c r="C2181" s="1" t="s">
        <v>6206</v>
      </c>
      <c r="D2181" s="1" t="s">
        <v>6207</v>
      </c>
      <c r="E2181" s="2">
        <v>45978</v>
      </c>
      <c r="F2181" s="1" t="s">
        <v>43</v>
      </c>
      <c r="G2181" s="1" t="s">
        <v>6208</v>
      </c>
      <c r="H2181" s="1" t="s">
        <v>6209</v>
      </c>
      <c r="I2181" s="1">
        <v>1</v>
      </c>
      <c r="J2181" s="3">
        <v>21036</v>
      </c>
      <c r="K2181" s="3">
        <v>20073</v>
      </c>
      <c r="L2181" s="1">
        <v>0</v>
      </c>
      <c r="M2181" s="4">
        <v>0</v>
      </c>
      <c r="N2181" s="1">
        <v>963</v>
      </c>
      <c r="O2181" s="4">
        <v>4.5999999999999999E-2</v>
      </c>
      <c r="P2181" s="1" t="s">
        <v>2721</v>
      </c>
    </row>
    <row r="2182" spans="1:16">
      <c r="A2182" s="1" t="s">
        <v>15</v>
      </c>
      <c r="B2182" s="1">
        <v>11</v>
      </c>
      <c r="C2182" s="1" t="s">
        <v>6206</v>
      </c>
      <c r="D2182" s="1" t="s">
        <v>6207</v>
      </c>
      <c r="E2182" s="2">
        <v>45978</v>
      </c>
      <c r="F2182" s="1" t="s">
        <v>43</v>
      </c>
      <c r="G2182" s="1" t="s">
        <v>6208</v>
      </c>
      <c r="H2182" s="1" t="s">
        <v>6210</v>
      </c>
      <c r="I2182" s="1">
        <v>1</v>
      </c>
      <c r="J2182" s="3">
        <v>22707</v>
      </c>
      <c r="K2182" s="3">
        <v>21668</v>
      </c>
      <c r="L2182" s="1">
        <v>0</v>
      </c>
      <c r="M2182" s="4">
        <v>0</v>
      </c>
      <c r="N2182" s="3">
        <v>1039</v>
      </c>
      <c r="O2182" s="4">
        <v>4.5999999999999999E-2</v>
      </c>
      <c r="P2182" s="1" t="s">
        <v>2721</v>
      </c>
    </row>
    <row r="2183" spans="1:16">
      <c r="A2183" s="1" t="s">
        <v>15</v>
      </c>
      <c r="B2183" s="1">
        <v>11</v>
      </c>
      <c r="C2183" s="1" t="s">
        <v>6211</v>
      </c>
      <c r="D2183" s="1" t="s">
        <v>17</v>
      </c>
      <c r="E2183" s="2">
        <v>45978</v>
      </c>
      <c r="F2183" s="1" t="s">
        <v>18</v>
      </c>
      <c r="G2183" s="1" t="s">
        <v>19</v>
      </c>
      <c r="H2183" s="1" t="s">
        <v>1252</v>
      </c>
      <c r="I2183" s="1">
        <v>1</v>
      </c>
      <c r="J2183" s="3">
        <v>7166</v>
      </c>
      <c r="K2183" s="3">
        <v>6838</v>
      </c>
      <c r="L2183" s="1">
        <v>0</v>
      </c>
      <c r="M2183" s="4">
        <v>0</v>
      </c>
      <c r="N2183" s="1">
        <v>328</v>
      </c>
      <c r="O2183" s="4">
        <v>4.5999999999999999E-2</v>
      </c>
      <c r="P2183" s="1" t="s">
        <v>2721</v>
      </c>
    </row>
    <row r="2184" spans="1:16">
      <c r="A2184" s="1" t="s">
        <v>15</v>
      </c>
      <c r="B2184" s="1">
        <v>11</v>
      </c>
      <c r="C2184" s="1" t="s">
        <v>6212</v>
      </c>
      <c r="D2184" s="1" t="s">
        <v>32</v>
      </c>
      <c r="E2184" s="2">
        <v>45978</v>
      </c>
      <c r="F2184" s="1" t="s">
        <v>33</v>
      </c>
      <c r="G2184" s="1" t="s">
        <v>34</v>
      </c>
      <c r="H2184" s="1" t="s">
        <v>6213</v>
      </c>
      <c r="I2184" s="1">
        <v>1</v>
      </c>
      <c r="J2184" s="3">
        <v>98968</v>
      </c>
      <c r="K2184" s="3">
        <v>94438</v>
      </c>
      <c r="L2184" s="1">
        <v>0</v>
      </c>
      <c r="M2184" s="4">
        <v>0</v>
      </c>
      <c r="N2184" s="3">
        <v>4530</v>
      </c>
      <c r="O2184" s="4">
        <v>4.5999999999999999E-2</v>
      </c>
      <c r="P2184" s="1" t="s">
        <v>2721</v>
      </c>
    </row>
    <row r="2185" spans="1:16">
      <c r="A2185" s="1" t="s">
        <v>15</v>
      </c>
      <c r="B2185" s="1">
        <v>11</v>
      </c>
      <c r="C2185" s="1" t="s">
        <v>6214</v>
      </c>
      <c r="D2185" s="1" t="s">
        <v>1137</v>
      </c>
      <c r="E2185" s="2">
        <v>45978</v>
      </c>
      <c r="F2185" s="1" t="s">
        <v>58</v>
      </c>
      <c r="G2185" s="1" t="s">
        <v>1138</v>
      </c>
      <c r="H2185" s="1" t="s">
        <v>3806</v>
      </c>
      <c r="I2185" s="1">
        <v>1</v>
      </c>
      <c r="J2185" s="3">
        <v>14450</v>
      </c>
      <c r="K2185" s="3">
        <v>13789</v>
      </c>
      <c r="L2185" s="1">
        <v>0</v>
      </c>
      <c r="M2185" s="4">
        <v>0</v>
      </c>
      <c r="N2185" s="1">
        <v>661</v>
      </c>
      <c r="O2185" s="4">
        <v>4.5999999999999999E-2</v>
      </c>
      <c r="P2185" s="1" t="s">
        <v>2721</v>
      </c>
    </row>
    <row r="2186" spans="1:16">
      <c r="A2186" s="1" t="s">
        <v>15</v>
      </c>
      <c r="B2186" s="1">
        <v>11</v>
      </c>
      <c r="C2186" s="1" t="s">
        <v>6215</v>
      </c>
      <c r="D2186" s="1" t="s">
        <v>3754</v>
      </c>
      <c r="E2186" s="2">
        <v>45978</v>
      </c>
      <c r="F2186" s="1" t="s">
        <v>63</v>
      </c>
      <c r="G2186" s="1" t="s">
        <v>3755</v>
      </c>
      <c r="H2186" s="1" t="s">
        <v>6216</v>
      </c>
      <c r="I2186" s="1">
        <v>1</v>
      </c>
      <c r="J2186" s="3">
        <v>5679</v>
      </c>
      <c r="K2186" s="3">
        <v>5419</v>
      </c>
      <c r="L2186" s="1">
        <v>0</v>
      </c>
      <c r="M2186" s="4">
        <v>0</v>
      </c>
      <c r="N2186" s="1">
        <v>260</v>
      </c>
      <c r="O2186" s="4">
        <v>4.5999999999999999E-2</v>
      </c>
      <c r="P2186" s="1" t="s">
        <v>2721</v>
      </c>
    </row>
    <row r="2187" spans="1:16">
      <c r="A2187" s="1" t="s">
        <v>15</v>
      </c>
      <c r="B2187" s="1">
        <v>11</v>
      </c>
      <c r="C2187" s="1" t="s">
        <v>6217</v>
      </c>
      <c r="D2187" s="1" t="s">
        <v>1261</v>
      </c>
      <c r="E2187" s="2">
        <v>45978</v>
      </c>
      <c r="F2187" s="1" t="s">
        <v>33</v>
      </c>
      <c r="G2187" s="1" t="s">
        <v>1262</v>
      </c>
      <c r="H2187" s="1" t="s">
        <v>6218</v>
      </c>
      <c r="I2187" s="1">
        <v>1</v>
      </c>
      <c r="J2187" s="3">
        <v>84941</v>
      </c>
      <c r="K2187" s="3">
        <v>81053</v>
      </c>
      <c r="L2187" s="1">
        <v>0</v>
      </c>
      <c r="M2187" s="4">
        <v>0</v>
      </c>
      <c r="N2187" s="3">
        <v>3888</v>
      </c>
      <c r="O2187" s="4">
        <v>4.5999999999999999E-2</v>
      </c>
      <c r="P2187" s="1" t="s">
        <v>2721</v>
      </c>
    </row>
    <row r="2188" spans="1:16">
      <c r="A2188" s="1" t="s">
        <v>15</v>
      </c>
      <c r="B2188" s="1">
        <v>11</v>
      </c>
      <c r="C2188" s="1" t="s">
        <v>6219</v>
      </c>
      <c r="D2188" s="1" t="s">
        <v>250</v>
      </c>
      <c r="E2188" s="2">
        <v>45978</v>
      </c>
      <c r="F2188" s="1" t="s">
        <v>251</v>
      </c>
      <c r="G2188" s="1" t="s">
        <v>252</v>
      </c>
      <c r="H2188" s="1" t="s">
        <v>365</v>
      </c>
      <c r="I2188" s="1">
        <v>1</v>
      </c>
      <c r="J2188" s="3">
        <v>16220</v>
      </c>
      <c r="K2188" s="3">
        <v>15477</v>
      </c>
      <c r="L2188" s="1">
        <v>0</v>
      </c>
      <c r="M2188" s="4">
        <v>0</v>
      </c>
      <c r="N2188" s="1">
        <v>743</v>
      </c>
      <c r="O2188" s="4">
        <v>4.5999999999999999E-2</v>
      </c>
      <c r="P2188" s="1" t="s">
        <v>2721</v>
      </c>
    </row>
    <row r="2189" spans="1:16">
      <c r="A2189" s="1" t="s">
        <v>15</v>
      </c>
      <c r="B2189" s="1">
        <v>11</v>
      </c>
      <c r="C2189" s="1" t="s">
        <v>6220</v>
      </c>
      <c r="D2189" s="1" t="s">
        <v>2329</v>
      </c>
      <c r="E2189" s="2">
        <v>45978</v>
      </c>
      <c r="F2189" s="1" t="s">
        <v>660</v>
      </c>
      <c r="G2189" s="1" t="s">
        <v>2330</v>
      </c>
      <c r="H2189" s="1" t="s">
        <v>2331</v>
      </c>
      <c r="I2189" s="1">
        <v>1</v>
      </c>
      <c r="J2189" s="3">
        <v>12582</v>
      </c>
      <c r="K2189" s="3">
        <v>12006</v>
      </c>
      <c r="L2189" s="1">
        <v>0</v>
      </c>
      <c r="M2189" s="4">
        <v>0</v>
      </c>
      <c r="N2189" s="1">
        <v>576</v>
      </c>
      <c r="O2189" s="4">
        <v>4.5999999999999999E-2</v>
      </c>
      <c r="P2189" s="1" t="s">
        <v>2721</v>
      </c>
    </row>
    <row r="2190" spans="1:16">
      <c r="A2190" s="1" t="s">
        <v>15</v>
      </c>
      <c r="B2190" s="1">
        <v>11</v>
      </c>
      <c r="C2190" s="1" t="s">
        <v>6221</v>
      </c>
      <c r="D2190" s="1" t="s">
        <v>2398</v>
      </c>
      <c r="E2190" s="2">
        <v>45978</v>
      </c>
      <c r="F2190" s="1" t="s">
        <v>63</v>
      </c>
      <c r="G2190" s="1" t="s">
        <v>2399</v>
      </c>
      <c r="H2190" s="1" t="s">
        <v>2400</v>
      </c>
      <c r="I2190" s="1">
        <v>1</v>
      </c>
      <c r="J2190" s="3">
        <v>32001</v>
      </c>
      <c r="K2190" s="3">
        <v>30536</v>
      </c>
      <c r="L2190" s="1">
        <v>0</v>
      </c>
      <c r="M2190" s="4">
        <v>0</v>
      </c>
      <c r="N2190" s="3">
        <v>1465</v>
      </c>
      <c r="O2190" s="4">
        <v>4.5999999999999999E-2</v>
      </c>
      <c r="P2190" s="1" t="s">
        <v>2721</v>
      </c>
    </row>
    <row r="2191" spans="1:16">
      <c r="A2191" s="1" t="s">
        <v>15</v>
      </c>
      <c r="B2191" s="1">
        <v>11</v>
      </c>
      <c r="C2191" s="1" t="s">
        <v>6222</v>
      </c>
      <c r="D2191" s="1" t="s">
        <v>1283</v>
      </c>
      <c r="E2191" s="2">
        <v>45978</v>
      </c>
      <c r="F2191" s="1" t="s">
        <v>1255</v>
      </c>
      <c r="G2191" s="1" t="s">
        <v>1284</v>
      </c>
      <c r="H2191" s="1" t="s">
        <v>6021</v>
      </c>
      <c r="I2191" s="1">
        <v>1</v>
      </c>
      <c r="J2191" s="3">
        <v>46004</v>
      </c>
      <c r="K2191" s="3">
        <v>43898</v>
      </c>
      <c r="L2191" s="1">
        <v>0</v>
      </c>
      <c r="M2191" s="4">
        <v>0</v>
      </c>
      <c r="N2191" s="3">
        <v>2106</v>
      </c>
      <c r="O2191" s="4">
        <v>4.5999999999999999E-2</v>
      </c>
      <c r="P2191" s="1" t="s">
        <v>2721</v>
      </c>
    </row>
    <row r="2192" spans="1:16">
      <c r="A2192" s="1" t="s">
        <v>15</v>
      </c>
      <c r="B2192" s="1">
        <v>11</v>
      </c>
      <c r="C2192" s="1" t="s">
        <v>6223</v>
      </c>
      <c r="D2192" s="1" t="s">
        <v>238</v>
      </c>
      <c r="E2192" s="2">
        <v>45978</v>
      </c>
      <c r="F2192" s="1" t="s">
        <v>239</v>
      </c>
      <c r="G2192" s="1" t="s">
        <v>240</v>
      </c>
      <c r="H2192" s="1" t="s">
        <v>241</v>
      </c>
      <c r="I2192" s="1">
        <v>1</v>
      </c>
      <c r="J2192" s="3">
        <v>11305</v>
      </c>
      <c r="K2192" s="3">
        <v>10787</v>
      </c>
      <c r="L2192" s="1">
        <v>0</v>
      </c>
      <c r="M2192" s="4">
        <v>0</v>
      </c>
      <c r="N2192" s="1">
        <v>518</v>
      </c>
      <c r="O2192" s="4">
        <v>4.5999999999999999E-2</v>
      </c>
      <c r="P2192" s="1" t="s">
        <v>2721</v>
      </c>
    </row>
    <row r="2193" spans="1:16">
      <c r="A2193" s="1" t="s">
        <v>15</v>
      </c>
      <c r="B2193" s="1">
        <v>11</v>
      </c>
      <c r="C2193" s="1" t="s">
        <v>6224</v>
      </c>
      <c r="D2193" s="1" t="s">
        <v>4121</v>
      </c>
      <c r="E2193" s="2">
        <v>45978</v>
      </c>
      <c r="F2193" s="1" t="s">
        <v>96</v>
      </c>
      <c r="G2193" s="1" t="s">
        <v>4122</v>
      </c>
      <c r="H2193" s="1" t="s">
        <v>2014</v>
      </c>
      <c r="I2193" s="1">
        <v>1</v>
      </c>
      <c r="J2193" s="3">
        <v>23423</v>
      </c>
      <c r="K2193" s="3">
        <v>22351</v>
      </c>
      <c r="L2193" s="1">
        <v>0</v>
      </c>
      <c r="M2193" s="4">
        <v>0</v>
      </c>
      <c r="N2193" s="3">
        <v>1072</v>
      </c>
      <c r="O2193" s="4">
        <v>4.5999999999999999E-2</v>
      </c>
      <c r="P2193" s="1" t="s">
        <v>2721</v>
      </c>
    </row>
    <row r="2194" spans="1:16">
      <c r="A2194" s="1" t="s">
        <v>15</v>
      </c>
      <c r="B2194" s="1">
        <v>11</v>
      </c>
      <c r="C2194" s="1" t="s">
        <v>6225</v>
      </c>
      <c r="D2194" s="1" t="s">
        <v>425</v>
      </c>
      <c r="E2194" s="2">
        <v>45978</v>
      </c>
      <c r="F2194" s="1" t="s">
        <v>426</v>
      </c>
      <c r="G2194" s="1" t="s">
        <v>427</v>
      </c>
      <c r="H2194" s="1" t="s">
        <v>1568</v>
      </c>
      <c r="I2194" s="1">
        <v>1</v>
      </c>
      <c r="J2194" s="3">
        <v>24575</v>
      </c>
      <c r="K2194" s="3">
        <v>23450</v>
      </c>
      <c r="L2194" s="1">
        <v>0</v>
      </c>
      <c r="M2194" s="4">
        <v>0</v>
      </c>
      <c r="N2194" s="3">
        <v>1125</v>
      </c>
      <c r="O2194" s="4">
        <v>4.5999999999999999E-2</v>
      </c>
      <c r="P2194" s="1" t="s">
        <v>2721</v>
      </c>
    </row>
    <row r="2195" spans="1:16">
      <c r="A2195" s="1" t="s">
        <v>15</v>
      </c>
      <c r="B2195" s="1">
        <v>11</v>
      </c>
      <c r="C2195" s="1" t="s">
        <v>6226</v>
      </c>
      <c r="D2195" s="1" t="s">
        <v>90</v>
      </c>
      <c r="E2195" s="2">
        <v>45978</v>
      </c>
      <c r="F2195" s="1" t="s">
        <v>91</v>
      </c>
      <c r="G2195" s="1" t="s">
        <v>92</v>
      </c>
      <c r="H2195" s="1" t="s">
        <v>456</v>
      </c>
      <c r="I2195" s="1">
        <v>1</v>
      </c>
      <c r="J2195" s="3">
        <v>6763</v>
      </c>
      <c r="K2195" s="3">
        <v>6453</v>
      </c>
      <c r="L2195" s="1">
        <v>0</v>
      </c>
      <c r="M2195" s="4">
        <v>0</v>
      </c>
      <c r="N2195" s="1">
        <v>310</v>
      </c>
      <c r="O2195" s="4">
        <v>4.5999999999999999E-2</v>
      </c>
      <c r="P2195" s="1" t="s">
        <v>2721</v>
      </c>
    </row>
    <row r="2196" spans="1:16">
      <c r="A2196" s="1" t="s">
        <v>15</v>
      </c>
      <c r="B2196" s="1">
        <v>11</v>
      </c>
      <c r="C2196" s="1" t="s">
        <v>6227</v>
      </c>
      <c r="D2196" s="1" t="s">
        <v>1153</v>
      </c>
      <c r="E2196" s="2">
        <v>45978</v>
      </c>
      <c r="F2196" s="1" t="s">
        <v>235</v>
      </c>
      <c r="G2196" s="1" t="s">
        <v>1154</v>
      </c>
      <c r="H2196" s="1" t="s">
        <v>1155</v>
      </c>
      <c r="I2196" s="1">
        <v>1</v>
      </c>
      <c r="J2196" s="3">
        <v>14254</v>
      </c>
      <c r="K2196" s="3">
        <v>13601</v>
      </c>
      <c r="L2196" s="1">
        <v>0</v>
      </c>
      <c r="M2196" s="4">
        <v>0</v>
      </c>
      <c r="N2196" s="1">
        <v>653</v>
      </c>
      <c r="O2196" s="4">
        <v>4.5999999999999999E-2</v>
      </c>
      <c r="P2196" s="1" t="s">
        <v>2721</v>
      </c>
    </row>
    <row r="2197" spans="1:16">
      <c r="A2197" s="1" t="s">
        <v>15</v>
      </c>
      <c r="B2197" s="1">
        <v>11</v>
      </c>
      <c r="C2197" s="1" t="s">
        <v>6228</v>
      </c>
      <c r="D2197" s="1" t="s">
        <v>311</v>
      </c>
      <c r="E2197" s="2">
        <v>45978</v>
      </c>
      <c r="F2197" s="1" t="s">
        <v>312</v>
      </c>
      <c r="G2197" s="1" t="s">
        <v>313</v>
      </c>
      <c r="H2197" s="1" t="s">
        <v>6229</v>
      </c>
      <c r="I2197" s="1">
        <v>1</v>
      </c>
      <c r="J2197" s="3">
        <v>28310</v>
      </c>
      <c r="K2197" s="3">
        <v>27014</v>
      </c>
      <c r="L2197" s="1">
        <v>0</v>
      </c>
      <c r="M2197" s="4">
        <v>0</v>
      </c>
      <c r="N2197" s="3">
        <v>1296</v>
      </c>
      <c r="O2197" s="4">
        <v>4.5999999999999999E-2</v>
      </c>
      <c r="P2197" s="1" t="s">
        <v>2721</v>
      </c>
    </row>
    <row r="2198" spans="1:16">
      <c r="A2198" s="1" t="s">
        <v>15</v>
      </c>
      <c r="B2198" s="1">
        <v>11</v>
      </c>
      <c r="C2198" s="1" t="s">
        <v>6230</v>
      </c>
      <c r="D2198" s="1" t="s">
        <v>86</v>
      </c>
      <c r="E2198" s="2">
        <v>45978</v>
      </c>
      <c r="F2198" s="1" t="s">
        <v>53</v>
      </c>
      <c r="G2198" s="1" t="s">
        <v>87</v>
      </c>
      <c r="H2198" s="1" t="s">
        <v>88</v>
      </c>
      <c r="I2198" s="1">
        <v>1</v>
      </c>
      <c r="J2198" s="3">
        <v>14956</v>
      </c>
      <c r="K2198" s="3">
        <v>14272</v>
      </c>
      <c r="L2198" s="1">
        <v>0</v>
      </c>
      <c r="M2198" s="4">
        <v>0</v>
      </c>
      <c r="N2198" s="1">
        <v>684</v>
      </c>
      <c r="O2198" s="4">
        <v>4.5999999999999999E-2</v>
      </c>
      <c r="P2198" s="1" t="s">
        <v>2721</v>
      </c>
    </row>
    <row r="2199" spans="1:16">
      <c r="A2199" s="1" t="s">
        <v>15</v>
      </c>
      <c r="B2199" s="1">
        <v>11</v>
      </c>
      <c r="C2199" s="1" t="s">
        <v>6231</v>
      </c>
      <c r="D2199" s="1" t="s">
        <v>6232</v>
      </c>
      <c r="E2199" s="2">
        <v>45978</v>
      </c>
      <c r="F2199" s="1" t="s">
        <v>1075</v>
      </c>
      <c r="G2199" s="1" t="s">
        <v>6233</v>
      </c>
      <c r="H2199" s="1" t="s">
        <v>6234</v>
      </c>
      <c r="I2199" s="1">
        <v>1</v>
      </c>
      <c r="J2199" s="3">
        <v>12779</v>
      </c>
      <c r="K2199" s="3">
        <v>12194</v>
      </c>
      <c r="L2199" s="1">
        <v>0</v>
      </c>
      <c r="M2199" s="4">
        <v>0</v>
      </c>
      <c r="N2199" s="1">
        <v>585</v>
      </c>
      <c r="O2199" s="4">
        <v>4.5999999999999999E-2</v>
      </c>
      <c r="P2199" s="1" t="s">
        <v>2721</v>
      </c>
    </row>
    <row r="2200" spans="1:16">
      <c r="A2200" s="1" t="s">
        <v>15</v>
      </c>
      <c r="B2200" s="1">
        <v>11</v>
      </c>
      <c r="C2200" s="1" t="s">
        <v>6235</v>
      </c>
      <c r="D2200" s="1" t="s">
        <v>1246</v>
      </c>
      <c r="E2200" s="2">
        <v>45978</v>
      </c>
      <c r="F2200" s="1" t="s">
        <v>53</v>
      </c>
      <c r="G2200" s="1" t="s">
        <v>1247</v>
      </c>
      <c r="H2200" s="1" t="s">
        <v>1366</v>
      </c>
      <c r="I2200" s="1">
        <v>1</v>
      </c>
      <c r="J2200" s="3">
        <v>8383</v>
      </c>
      <c r="K2200" s="3">
        <v>7999</v>
      </c>
      <c r="L2200" s="1">
        <v>0</v>
      </c>
      <c r="M2200" s="4">
        <v>0</v>
      </c>
      <c r="N2200" s="1">
        <v>384</v>
      </c>
      <c r="O2200" s="4">
        <v>4.5999999999999999E-2</v>
      </c>
      <c r="P2200" s="1" t="s">
        <v>2721</v>
      </c>
    </row>
    <row r="2201" spans="1:16">
      <c r="A2201" s="1" t="s">
        <v>15</v>
      </c>
      <c r="B2201" s="1">
        <v>11</v>
      </c>
      <c r="C2201" s="1" t="s">
        <v>6236</v>
      </c>
      <c r="D2201" s="1" t="s">
        <v>5242</v>
      </c>
      <c r="E2201" s="2">
        <v>45978</v>
      </c>
      <c r="F2201" s="1" t="s">
        <v>18</v>
      </c>
      <c r="G2201" s="1" t="s">
        <v>5243</v>
      </c>
      <c r="H2201" s="1" t="s">
        <v>5243</v>
      </c>
      <c r="I2201" s="1">
        <v>1</v>
      </c>
      <c r="J2201" s="3">
        <v>13959</v>
      </c>
      <c r="K2201" s="3">
        <v>13320</v>
      </c>
      <c r="L2201" s="1">
        <v>0</v>
      </c>
      <c r="M2201" s="4">
        <v>0</v>
      </c>
      <c r="N2201" s="1">
        <v>639</v>
      </c>
      <c r="O2201" s="4">
        <v>4.5999999999999999E-2</v>
      </c>
      <c r="P2201" s="1" t="s">
        <v>2721</v>
      </c>
    </row>
    <row r="2202" spans="1:16">
      <c r="A2202" s="1" t="s">
        <v>15</v>
      </c>
      <c r="B2202" s="1">
        <v>11</v>
      </c>
      <c r="C2202" s="1" t="s">
        <v>6237</v>
      </c>
      <c r="D2202" s="1" t="s">
        <v>394</v>
      </c>
      <c r="E2202" s="2">
        <v>45978</v>
      </c>
      <c r="F2202" s="1" t="s">
        <v>395</v>
      </c>
      <c r="G2202" s="1" t="s">
        <v>396</v>
      </c>
      <c r="H2202" s="1" t="s">
        <v>397</v>
      </c>
      <c r="I2202" s="1">
        <v>2</v>
      </c>
      <c r="J2202" s="3">
        <v>37747</v>
      </c>
      <c r="K2202" s="3">
        <v>36019</v>
      </c>
      <c r="L2202" s="1">
        <v>0</v>
      </c>
      <c r="M2202" s="4">
        <v>0</v>
      </c>
      <c r="N2202" s="3">
        <v>1728</v>
      </c>
      <c r="O2202" s="4">
        <v>4.5999999999999999E-2</v>
      </c>
      <c r="P2202" s="1" t="s">
        <v>2721</v>
      </c>
    </row>
    <row r="2203" spans="1:16">
      <c r="A2203" s="1" t="s">
        <v>15</v>
      </c>
      <c r="B2203" s="1">
        <v>11</v>
      </c>
      <c r="C2203" s="1" t="s">
        <v>6238</v>
      </c>
      <c r="D2203" s="1" t="s">
        <v>3280</v>
      </c>
      <c r="E2203" s="2">
        <v>45978</v>
      </c>
      <c r="F2203" s="1" t="s">
        <v>96</v>
      </c>
      <c r="G2203" s="1" t="s">
        <v>3281</v>
      </c>
      <c r="H2203" s="1" t="s">
        <v>3282</v>
      </c>
      <c r="I2203" s="1">
        <v>1</v>
      </c>
      <c r="J2203" s="3">
        <v>11793</v>
      </c>
      <c r="K2203" s="3">
        <v>11253</v>
      </c>
      <c r="L2203" s="1">
        <v>0</v>
      </c>
      <c r="M2203" s="4">
        <v>0</v>
      </c>
      <c r="N2203" s="1">
        <v>540</v>
      </c>
      <c r="O2203" s="4">
        <v>4.5999999999999999E-2</v>
      </c>
      <c r="P2203" s="1" t="s">
        <v>2721</v>
      </c>
    </row>
    <row r="2204" spans="1:16">
      <c r="A2204" s="1" t="s">
        <v>15</v>
      </c>
      <c r="B2204" s="1">
        <v>11</v>
      </c>
      <c r="C2204" s="1" t="s">
        <v>6239</v>
      </c>
      <c r="D2204" s="1" t="s">
        <v>415</v>
      </c>
      <c r="E2204" s="2">
        <v>45978</v>
      </c>
      <c r="F2204" s="1" t="s">
        <v>416</v>
      </c>
      <c r="G2204" s="1" t="s">
        <v>417</v>
      </c>
      <c r="H2204" s="1" t="s">
        <v>6240</v>
      </c>
      <c r="I2204" s="1">
        <v>1</v>
      </c>
      <c r="J2204" s="3">
        <v>13467</v>
      </c>
      <c r="K2204" s="3">
        <v>12851</v>
      </c>
      <c r="L2204" s="1">
        <v>0</v>
      </c>
      <c r="M2204" s="4">
        <v>0</v>
      </c>
      <c r="N2204" s="1">
        <v>616</v>
      </c>
      <c r="O2204" s="4">
        <v>4.5999999999999999E-2</v>
      </c>
      <c r="P2204" s="1" t="s">
        <v>2721</v>
      </c>
    </row>
    <row r="2205" spans="1:16">
      <c r="A2205" s="1" t="s">
        <v>15</v>
      </c>
      <c r="B2205" s="1">
        <v>11</v>
      </c>
      <c r="C2205" s="1" t="s">
        <v>6241</v>
      </c>
      <c r="D2205" s="1" t="s">
        <v>1208</v>
      </c>
      <c r="E2205" s="2">
        <v>45978</v>
      </c>
      <c r="F2205" s="1" t="s">
        <v>646</v>
      </c>
      <c r="G2205" s="1" t="s">
        <v>1209</v>
      </c>
      <c r="H2205" s="1" t="s">
        <v>6242</v>
      </c>
      <c r="I2205" s="1">
        <v>1</v>
      </c>
      <c r="J2205" s="3">
        <v>257546</v>
      </c>
      <c r="K2205" s="3">
        <v>245756</v>
      </c>
      <c r="L2205" s="1">
        <v>0</v>
      </c>
      <c r="M2205" s="4">
        <v>0</v>
      </c>
      <c r="N2205" s="3">
        <v>11790</v>
      </c>
      <c r="O2205" s="4">
        <v>4.5999999999999999E-2</v>
      </c>
      <c r="P2205" s="1" t="s">
        <v>2721</v>
      </c>
    </row>
    <row r="2206" spans="1:16">
      <c r="A2206" s="1" t="s">
        <v>15</v>
      </c>
      <c r="B2206" s="1">
        <v>11</v>
      </c>
      <c r="C2206" s="1" t="s">
        <v>6243</v>
      </c>
      <c r="D2206" s="1" t="s">
        <v>504</v>
      </c>
      <c r="E2206" s="2">
        <v>45978</v>
      </c>
      <c r="F2206" s="1" t="s">
        <v>407</v>
      </c>
      <c r="G2206" s="1" t="s">
        <v>505</v>
      </c>
      <c r="H2206" s="1" t="s">
        <v>1322</v>
      </c>
      <c r="I2206" s="1">
        <v>1</v>
      </c>
      <c r="J2206" s="3">
        <v>23592</v>
      </c>
      <c r="K2206" s="3">
        <v>22512</v>
      </c>
      <c r="L2206" s="1">
        <v>0</v>
      </c>
      <c r="M2206" s="4">
        <v>0</v>
      </c>
      <c r="N2206" s="3">
        <v>1080</v>
      </c>
      <c r="O2206" s="4">
        <v>4.5999999999999999E-2</v>
      </c>
      <c r="P2206" s="1" t="s">
        <v>2721</v>
      </c>
    </row>
    <row r="2207" spans="1:16">
      <c r="A2207" s="1" t="s">
        <v>15</v>
      </c>
      <c r="B2207" s="1">
        <v>11</v>
      </c>
      <c r="C2207" s="1" t="s">
        <v>6244</v>
      </c>
      <c r="D2207" s="1" t="s">
        <v>329</v>
      </c>
      <c r="E2207" s="2">
        <v>45978</v>
      </c>
      <c r="F2207" s="1" t="s">
        <v>174</v>
      </c>
      <c r="G2207" s="1" t="s">
        <v>330</v>
      </c>
      <c r="H2207" s="1" t="s">
        <v>331</v>
      </c>
      <c r="I2207" s="1">
        <v>1</v>
      </c>
      <c r="J2207" s="3">
        <v>16711</v>
      </c>
      <c r="K2207" s="3">
        <v>15946</v>
      </c>
      <c r="L2207" s="1">
        <v>0</v>
      </c>
      <c r="M2207" s="4">
        <v>0</v>
      </c>
      <c r="N2207" s="1">
        <v>765</v>
      </c>
      <c r="O2207" s="4">
        <v>4.5999999999999999E-2</v>
      </c>
      <c r="P2207" s="1" t="s">
        <v>2721</v>
      </c>
    </row>
    <row r="2208" spans="1:16">
      <c r="A2208" s="1" t="s">
        <v>15</v>
      </c>
      <c r="B2208" s="1">
        <v>11</v>
      </c>
      <c r="C2208" s="1" t="s">
        <v>6245</v>
      </c>
      <c r="D2208" s="1" t="s">
        <v>1531</v>
      </c>
      <c r="E2208" s="2">
        <v>45978</v>
      </c>
      <c r="F2208" s="1" t="s">
        <v>53</v>
      </c>
      <c r="G2208" s="1" t="s">
        <v>1532</v>
      </c>
      <c r="H2208" s="1" t="s">
        <v>1533</v>
      </c>
      <c r="I2208" s="1">
        <v>1</v>
      </c>
      <c r="J2208" s="3">
        <v>8022</v>
      </c>
      <c r="K2208" s="3">
        <v>7655</v>
      </c>
      <c r="L2208" s="1">
        <v>0</v>
      </c>
      <c r="M2208" s="4">
        <v>0</v>
      </c>
      <c r="N2208" s="1">
        <v>367</v>
      </c>
      <c r="O2208" s="4">
        <v>4.5999999999999999E-2</v>
      </c>
      <c r="P2208" s="1" t="s">
        <v>2721</v>
      </c>
    </row>
    <row r="2209" spans="1:16">
      <c r="A2209" s="1" t="s">
        <v>15</v>
      </c>
      <c r="B2209" s="1">
        <v>11</v>
      </c>
      <c r="C2209" s="1" t="s">
        <v>6246</v>
      </c>
      <c r="D2209" s="1" t="s">
        <v>3564</v>
      </c>
      <c r="E2209" s="2">
        <v>45978</v>
      </c>
      <c r="F2209" s="1" t="s">
        <v>2173</v>
      </c>
      <c r="G2209" s="1" t="s">
        <v>3565</v>
      </c>
      <c r="H2209" s="1" t="s">
        <v>3566</v>
      </c>
      <c r="I2209" s="1">
        <v>1</v>
      </c>
      <c r="J2209" s="3">
        <v>40303</v>
      </c>
      <c r="K2209" s="3">
        <v>38458</v>
      </c>
      <c r="L2209" s="1">
        <v>0</v>
      </c>
      <c r="M2209" s="4">
        <v>0</v>
      </c>
      <c r="N2209" s="3">
        <v>1845</v>
      </c>
      <c r="O2209" s="4">
        <v>4.5999999999999999E-2</v>
      </c>
      <c r="P2209" s="1" t="s">
        <v>2721</v>
      </c>
    </row>
    <row r="2210" spans="1:16">
      <c r="A2210" s="1" t="s">
        <v>15</v>
      </c>
      <c r="B2210" s="1">
        <v>11</v>
      </c>
      <c r="C2210" s="1" t="s">
        <v>6247</v>
      </c>
      <c r="D2210" s="1" t="s">
        <v>341</v>
      </c>
      <c r="E2210" s="2">
        <v>45978</v>
      </c>
      <c r="F2210" s="1" t="s">
        <v>53</v>
      </c>
      <c r="G2210" s="1" t="s">
        <v>342</v>
      </c>
      <c r="H2210" s="1" t="s">
        <v>2882</v>
      </c>
      <c r="I2210" s="1">
        <v>1</v>
      </c>
      <c r="J2210" s="3">
        <v>16135</v>
      </c>
      <c r="K2210" s="3">
        <v>15396</v>
      </c>
      <c r="L2210" s="1">
        <v>0</v>
      </c>
      <c r="M2210" s="4">
        <v>0</v>
      </c>
      <c r="N2210" s="1">
        <v>739</v>
      </c>
      <c r="O2210" s="4">
        <v>4.5999999999999999E-2</v>
      </c>
      <c r="P2210" s="1" t="s">
        <v>2721</v>
      </c>
    </row>
    <row r="2211" spans="1:16">
      <c r="A2211" s="1" t="s">
        <v>15</v>
      </c>
      <c r="B2211" s="1">
        <v>11</v>
      </c>
      <c r="C2211" s="1" t="s">
        <v>6248</v>
      </c>
      <c r="D2211" s="1" t="s">
        <v>411</v>
      </c>
      <c r="E2211" s="2">
        <v>45978</v>
      </c>
      <c r="F2211" s="1" t="s">
        <v>312</v>
      </c>
      <c r="G2211" s="1" t="s">
        <v>412</v>
      </c>
      <c r="H2211" s="1" t="s">
        <v>5843</v>
      </c>
      <c r="I2211" s="1">
        <v>1</v>
      </c>
      <c r="J2211" s="3">
        <v>27524</v>
      </c>
      <c r="K2211" s="3">
        <v>26264</v>
      </c>
      <c r="L2211" s="1">
        <v>0</v>
      </c>
      <c r="M2211" s="4">
        <v>0</v>
      </c>
      <c r="N2211" s="3">
        <v>1260</v>
      </c>
      <c r="O2211" s="4">
        <v>4.5999999999999999E-2</v>
      </c>
      <c r="P2211" s="1" t="s">
        <v>2721</v>
      </c>
    </row>
    <row r="2212" spans="1:16">
      <c r="A2212" s="1" t="s">
        <v>15</v>
      </c>
      <c r="B2212" s="1">
        <v>11</v>
      </c>
      <c r="C2212" s="1" t="s">
        <v>6249</v>
      </c>
      <c r="D2212" s="1" t="s">
        <v>52</v>
      </c>
      <c r="E2212" s="2">
        <v>45978</v>
      </c>
      <c r="F2212" s="1" t="s">
        <v>53</v>
      </c>
      <c r="G2212" s="1" t="s">
        <v>54</v>
      </c>
      <c r="H2212" s="1" t="s">
        <v>55</v>
      </c>
      <c r="I2212" s="1">
        <v>1</v>
      </c>
      <c r="J2212" s="3">
        <v>16135</v>
      </c>
      <c r="K2212" s="3">
        <v>15396</v>
      </c>
      <c r="L2212" s="1">
        <v>0</v>
      </c>
      <c r="M2212" s="4">
        <v>0</v>
      </c>
      <c r="N2212" s="1">
        <v>739</v>
      </c>
      <c r="O2212" s="4">
        <v>4.5999999999999999E-2</v>
      </c>
      <c r="P2212" s="1" t="s">
        <v>2721</v>
      </c>
    </row>
    <row r="2213" spans="1:16">
      <c r="A2213" s="1" t="s">
        <v>15</v>
      </c>
      <c r="B2213" s="1">
        <v>11</v>
      </c>
      <c r="C2213" s="1" t="s">
        <v>6250</v>
      </c>
      <c r="D2213" s="1" t="s">
        <v>6251</v>
      </c>
      <c r="E2213" s="2">
        <v>45978</v>
      </c>
      <c r="F2213" s="1" t="s">
        <v>187</v>
      </c>
      <c r="G2213" s="1" t="s">
        <v>6252</v>
      </c>
      <c r="H2213" s="1" t="s">
        <v>6253</v>
      </c>
      <c r="I2213" s="1">
        <v>2</v>
      </c>
      <c r="J2213" s="3">
        <v>58980</v>
      </c>
      <c r="K2213" s="3">
        <v>56280</v>
      </c>
      <c r="L2213" s="1">
        <v>0</v>
      </c>
      <c r="M2213" s="4">
        <v>0</v>
      </c>
      <c r="N2213" s="3">
        <v>2700</v>
      </c>
      <c r="O2213" s="4">
        <v>4.5999999999999999E-2</v>
      </c>
      <c r="P2213" s="1" t="s">
        <v>2721</v>
      </c>
    </row>
    <row r="2214" spans="1:16">
      <c r="A2214" s="1" t="s">
        <v>15</v>
      </c>
      <c r="B2214" s="1">
        <v>11</v>
      </c>
      <c r="C2214" s="1" t="s">
        <v>6254</v>
      </c>
      <c r="D2214" s="1" t="s">
        <v>1438</v>
      </c>
      <c r="E2214" s="2">
        <v>45978</v>
      </c>
      <c r="F2214" s="1" t="s">
        <v>126</v>
      </c>
      <c r="G2214" s="1" t="s">
        <v>1439</v>
      </c>
      <c r="H2214" s="1" t="s">
        <v>1440</v>
      </c>
      <c r="I2214" s="1">
        <v>1</v>
      </c>
      <c r="J2214" s="3">
        <v>20643</v>
      </c>
      <c r="K2214" s="3">
        <v>19698</v>
      </c>
      <c r="L2214" s="1">
        <v>0</v>
      </c>
      <c r="M2214" s="4">
        <v>0</v>
      </c>
      <c r="N2214" s="1">
        <v>945</v>
      </c>
      <c r="O2214" s="4">
        <v>4.5999999999999999E-2</v>
      </c>
      <c r="P2214" s="1" t="s">
        <v>2721</v>
      </c>
    </row>
    <row r="2215" spans="1:16">
      <c r="A2215" s="1" t="s">
        <v>15</v>
      </c>
      <c r="B2215" s="1">
        <v>11</v>
      </c>
      <c r="C2215" s="1" t="s">
        <v>6255</v>
      </c>
      <c r="D2215" s="1" t="s">
        <v>533</v>
      </c>
      <c r="E2215" s="2">
        <v>45978</v>
      </c>
      <c r="F2215" s="1" t="s">
        <v>534</v>
      </c>
      <c r="G2215" s="1" t="s">
        <v>535</v>
      </c>
      <c r="H2215" s="1" t="s">
        <v>536</v>
      </c>
      <c r="I2215" s="1">
        <v>1</v>
      </c>
      <c r="J2215" s="3">
        <v>19552</v>
      </c>
      <c r="K2215" s="3">
        <v>18657</v>
      </c>
      <c r="L2215" s="1">
        <v>0</v>
      </c>
      <c r="M2215" s="4">
        <v>0</v>
      </c>
      <c r="N2215" s="1">
        <v>895</v>
      </c>
      <c r="O2215" s="4">
        <v>4.5999999999999999E-2</v>
      </c>
      <c r="P2215" s="1" t="s">
        <v>2721</v>
      </c>
    </row>
    <row r="2216" spans="1:16">
      <c r="A2216" s="1" t="s">
        <v>15</v>
      </c>
      <c r="B2216" s="1">
        <v>11</v>
      </c>
      <c r="C2216" s="1" t="s">
        <v>6256</v>
      </c>
      <c r="D2216" s="1" t="s">
        <v>777</v>
      </c>
      <c r="E2216" s="2">
        <v>45978</v>
      </c>
      <c r="F2216" s="1" t="s">
        <v>256</v>
      </c>
      <c r="G2216" s="1" t="s">
        <v>778</v>
      </c>
      <c r="H2216" s="1" t="s">
        <v>779</v>
      </c>
      <c r="I2216" s="1">
        <v>1</v>
      </c>
      <c r="J2216" s="3">
        <v>11010</v>
      </c>
      <c r="K2216" s="3">
        <v>10506</v>
      </c>
      <c r="L2216" s="1">
        <v>0</v>
      </c>
      <c r="M2216" s="4">
        <v>0</v>
      </c>
      <c r="N2216" s="1">
        <v>504</v>
      </c>
      <c r="O2216" s="4">
        <v>4.5999999999999999E-2</v>
      </c>
      <c r="P2216" s="1" t="s">
        <v>2721</v>
      </c>
    </row>
    <row r="2217" spans="1:16">
      <c r="A2217" s="1" t="s">
        <v>15</v>
      </c>
      <c r="B2217" s="1">
        <v>11</v>
      </c>
      <c r="C2217" s="1" t="s">
        <v>6257</v>
      </c>
      <c r="D2217" s="1" t="s">
        <v>1261</v>
      </c>
      <c r="E2217" s="2">
        <v>45978</v>
      </c>
      <c r="F2217" s="1" t="s">
        <v>33</v>
      </c>
      <c r="G2217" s="1" t="s">
        <v>1262</v>
      </c>
      <c r="H2217" s="1" t="s">
        <v>6258</v>
      </c>
      <c r="I2217" s="1">
        <v>1</v>
      </c>
      <c r="J2217" s="3">
        <v>90451</v>
      </c>
      <c r="K2217" s="3">
        <v>86310</v>
      </c>
      <c r="L2217" s="1">
        <v>0</v>
      </c>
      <c r="M2217" s="4">
        <v>0</v>
      </c>
      <c r="N2217" s="3">
        <v>4141</v>
      </c>
      <c r="O2217" s="4">
        <v>4.5999999999999999E-2</v>
      </c>
      <c r="P2217" s="1" t="s">
        <v>2721</v>
      </c>
    </row>
    <row r="2218" spans="1:16">
      <c r="A2218" s="1" t="s">
        <v>15</v>
      </c>
      <c r="B2218" s="1">
        <v>11</v>
      </c>
      <c r="C2218" s="1" t="s">
        <v>6259</v>
      </c>
      <c r="D2218" s="1" t="s">
        <v>80</v>
      </c>
      <c r="E2218" s="2">
        <v>45978</v>
      </c>
      <c r="F2218" s="1" t="s">
        <v>58</v>
      </c>
      <c r="G2218" s="1" t="s">
        <v>81</v>
      </c>
      <c r="H2218" s="1" t="s">
        <v>2416</v>
      </c>
      <c r="I2218" s="1">
        <v>1</v>
      </c>
      <c r="J2218" s="3">
        <v>17301</v>
      </c>
      <c r="K2218" s="3">
        <v>16509</v>
      </c>
      <c r="L2218" s="1">
        <v>0</v>
      </c>
      <c r="M2218" s="4">
        <v>0</v>
      </c>
      <c r="N2218" s="1">
        <v>792</v>
      </c>
      <c r="O2218" s="4">
        <v>4.5999999999999999E-2</v>
      </c>
      <c r="P2218" s="1" t="s">
        <v>2721</v>
      </c>
    </row>
    <row r="2219" spans="1:16">
      <c r="A2219" s="1" t="s">
        <v>15</v>
      </c>
      <c r="B2219" s="1">
        <v>11</v>
      </c>
      <c r="C2219" s="1" t="s">
        <v>6260</v>
      </c>
      <c r="D2219" s="1" t="s">
        <v>1410</v>
      </c>
      <c r="E2219" s="2">
        <v>45978</v>
      </c>
      <c r="F2219" s="1" t="s">
        <v>1411</v>
      </c>
      <c r="G2219" s="1" t="s">
        <v>1412</v>
      </c>
      <c r="H2219" s="1" t="s">
        <v>1413</v>
      </c>
      <c r="I2219" s="1">
        <v>1</v>
      </c>
      <c r="J2219" s="3">
        <v>15214</v>
      </c>
      <c r="K2219" s="3">
        <v>14517</v>
      </c>
      <c r="L2219" s="1">
        <v>0</v>
      </c>
      <c r="M2219" s="4">
        <v>0</v>
      </c>
      <c r="N2219" s="1">
        <v>697</v>
      </c>
      <c r="O2219" s="4">
        <v>4.5999999999999999E-2</v>
      </c>
      <c r="P2219" s="1" t="s">
        <v>2721</v>
      </c>
    </row>
    <row r="2220" spans="1:16">
      <c r="A2220" s="1" t="s">
        <v>15</v>
      </c>
      <c r="B2220" s="1">
        <v>11</v>
      </c>
      <c r="C2220" s="1" t="s">
        <v>6261</v>
      </c>
      <c r="D2220" s="1" t="s">
        <v>533</v>
      </c>
      <c r="E2220" s="2">
        <v>45978</v>
      </c>
      <c r="F2220" s="1" t="s">
        <v>534</v>
      </c>
      <c r="G2220" s="1" t="s">
        <v>535</v>
      </c>
      <c r="H2220" s="1" t="s">
        <v>536</v>
      </c>
      <c r="I2220" s="1">
        <v>1</v>
      </c>
      <c r="J2220" s="3">
        <v>19552</v>
      </c>
      <c r="K2220" s="3">
        <v>18657</v>
      </c>
      <c r="L2220" s="1">
        <v>0</v>
      </c>
      <c r="M2220" s="4">
        <v>0</v>
      </c>
      <c r="N2220" s="1">
        <v>895</v>
      </c>
      <c r="O2220" s="4">
        <v>4.5999999999999999E-2</v>
      </c>
      <c r="P2220" s="1" t="s">
        <v>2721</v>
      </c>
    </row>
    <row r="2221" spans="1:16">
      <c r="A2221" s="1" t="s">
        <v>15</v>
      </c>
      <c r="B2221" s="1">
        <v>11</v>
      </c>
      <c r="C2221" s="1" t="s">
        <v>6262</v>
      </c>
      <c r="D2221" s="1" t="s">
        <v>341</v>
      </c>
      <c r="E2221" s="2">
        <v>45978</v>
      </c>
      <c r="F2221" s="1" t="s">
        <v>53</v>
      </c>
      <c r="G2221" s="1" t="s">
        <v>342</v>
      </c>
      <c r="H2221" s="1" t="s">
        <v>343</v>
      </c>
      <c r="I2221" s="1">
        <v>1</v>
      </c>
      <c r="J2221" s="3">
        <v>16135</v>
      </c>
      <c r="K2221" s="3">
        <v>15396</v>
      </c>
      <c r="L2221" s="1">
        <v>0</v>
      </c>
      <c r="M2221" s="4">
        <v>0</v>
      </c>
      <c r="N2221" s="1">
        <v>739</v>
      </c>
      <c r="O2221" s="4">
        <v>4.5999999999999999E-2</v>
      </c>
      <c r="P2221" s="1" t="s">
        <v>2721</v>
      </c>
    </row>
    <row r="2222" spans="1:16">
      <c r="A2222" s="1" t="s">
        <v>15</v>
      </c>
      <c r="B2222" s="1">
        <v>11</v>
      </c>
      <c r="C2222" s="1" t="s">
        <v>6263</v>
      </c>
      <c r="D2222" s="1" t="s">
        <v>538</v>
      </c>
      <c r="E2222" s="2">
        <v>45978</v>
      </c>
      <c r="F2222" s="1" t="s">
        <v>53</v>
      </c>
      <c r="G2222" s="1" t="s">
        <v>539</v>
      </c>
      <c r="H2222" s="1" t="s">
        <v>540</v>
      </c>
      <c r="I2222" s="1">
        <v>1</v>
      </c>
      <c r="J2222" s="3">
        <v>14332</v>
      </c>
      <c r="K2222" s="3">
        <v>13676</v>
      </c>
      <c r="L2222" s="1">
        <v>0</v>
      </c>
      <c r="M2222" s="4">
        <v>0</v>
      </c>
      <c r="N2222" s="1">
        <v>656</v>
      </c>
      <c r="O2222" s="4">
        <v>4.5999999999999999E-2</v>
      </c>
      <c r="P2222" s="1" t="s">
        <v>2721</v>
      </c>
    </row>
    <row r="2223" spans="1:16">
      <c r="A2223" s="1" t="s">
        <v>15</v>
      </c>
      <c r="B2223" s="1">
        <v>11</v>
      </c>
      <c r="C2223" s="1" t="s">
        <v>6263</v>
      </c>
      <c r="D2223" s="1" t="s">
        <v>169</v>
      </c>
      <c r="E2223" s="2">
        <v>45978</v>
      </c>
      <c r="F2223" s="1" t="s">
        <v>53</v>
      </c>
      <c r="G2223" s="1" t="s">
        <v>170</v>
      </c>
      <c r="H2223" s="1" t="s">
        <v>171</v>
      </c>
      <c r="I2223" s="1">
        <v>1</v>
      </c>
      <c r="J2223" s="3">
        <v>14332</v>
      </c>
      <c r="K2223" s="3">
        <v>13676</v>
      </c>
      <c r="L2223" s="1">
        <v>0</v>
      </c>
      <c r="M2223" s="4">
        <v>0</v>
      </c>
      <c r="N2223" s="1">
        <v>656</v>
      </c>
      <c r="O2223" s="4">
        <v>4.5999999999999999E-2</v>
      </c>
      <c r="P2223" s="1" t="s">
        <v>2721</v>
      </c>
    </row>
    <row r="2224" spans="1:16">
      <c r="A2224" s="1" t="s">
        <v>15</v>
      </c>
      <c r="B2224" s="1">
        <v>11</v>
      </c>
      <c r="C2224" s="1" t="s">
        <v>6264</v>
      </c>
      <c r="D2224" s="1" t="s">
        <v>523</v>
      </c>
      <c r="E2224" s="2">
        <v>45978</v>
      </c>
      <c r="F2224" s="1" t="s">
        <v>524</v>
      </c>
      <c r="G2224" s="1" t="s">
        <v>525</v>
      </c>
      <c r="H2224" s="1" t="s">
        <v>6265</v>
      </c>
      <c r="I2224" s="1">
        <v>1</v>
      </c>
      <c r="J2224" s="3">
        <v>11237</v>
      </c>
      <c r="K2224" s="3">
        <v>10722</v>
      </c>
      <c r="L2224" s="1">
        <v>0</v>
      </c>
      <c r="M2224" s="4">
        <v>0</v>
      </c>
      <c r="N2224" s="1">
        <v>515</v>
      </c>
      <c r="O2224" s="4">
        <v>4.5999999999999999E-2</v>
      </c>
      <c r="P2224" s="1" t="s">
        <v>2721</v>
      </c>
    </row>
    <row r="2225" spans="1:16">
      <c r="A2225" s="1" t="s">
        <v>15</v>
      </c>
      <c r="B2225" s="1">
        <v>11</v>
      </c>
      <c r="C2225" s="1" t="s">
        <v>6266</v>
      </c>
      <c r="D2225" s="1" t="s">
        <v>499</v>
      </c>
      <c r="E2225" s="2">
        <v>45978</v>
      </c>
      <c r="F2225" s="1" t="s">
        <v>500</v>
      </c>
      <c r="G2225" s="1" t="s">
        <v>501</v>
      </c>
      <c r="H2225" s="1" t="s">
        <v>502</v>
      </c>
      <c r="I2225" s="1">
        <v>1</v>
      </c>
      <c r="J2225" s="3">
        <v>227073</v>
      </c>
      <c r="K2225" s="3">
        <v>216678</v>
      </c>
      <c r="L2225" s="1">
        <v>0</v>
      </c>
      <c r="M2225" s="4">
        <v>0</v>
      </c>
      <c r="N2225" s="3">
        <v>10395</v>
      </c>
      <c r="O2225" s="4">
        <v>4.5999999999999999E-2</v>
      </c>
      <c r="P2225" s="1" t="s">
        <v>2721</v>
      </c>
    </row>
    <row r="2226" spans="1:16">
      <c r="A2226" s="1" t="s">
        <v>15</v>
      </c>
      <c r="B2226" s="1">
        <v>11</v>
      </c>
      <c r="C2226" s="1" t="s">
        <v>6267</v>
      </c>
      <c r="D2226" s="1" t="s">
        <v>1673</v>
      </c>
      <c r="E2226" s="2">
        <v>45978</v>
      </c>
      <c r="F2226" s="1" t="s">
        <v>660</v>
      </c>
      <c r="G2226" s="1" t="s">
        <v>1674</v>
      </c>
      <c r="H2226" s="1" t="s">
        <v>6268</v>
      </c>
      <c r="I2226" s="1">
        <v>1</v>
      </c>
      <c r="J2226" s="3">
        <v>7864</v>
      </c>
      <c r="K2226" s="3">
        <v>7504</v>
      </c>
      <c r="L2226" s="1">
        <v>0</v>
      </c>
      <c r="M2226" s="4">
        <v>0</v>
      </c>
      <c r="N2226" s="1">
        <v>360</v>
      </c>
      <c r="O2226" s="4">
        <v>4.5999999999999999E-2</v>
      </c>
      <c r="P2226" s="1" t="s">
        <v>2721</v>
      </c>
    </row>
    <row r="2227" spans="1:16">
      <c r="A2227" s="1" t="s">
        <v>15</v>
      </c>
      <c r="B2227" s="1">
        <v>11</v>
      </c>
      <c r="C2227" s="1" t="s">
        <v>6267</v>
      </c>
      <c r="D2227" s="1" t="s">
        <v>1673</v>
      </c>
      <c r="E2227" s="2">
        <v>45978</v>
      </c>
      <c r="F2227" s="1" t="s">
        <v>660</v>
      </c>
      <c r="G2227" s="1" t="s">
        <v>1674</v>
      </c>
      <c r="H2227" s="1" t="s">
        <v>6269</v>
      </c>
      <c r="I2227" s="1">
        <v>1</v>
      </c>
      <c r="J2227" s="3">
        <v>14548</v>
      </c>
      <c r="K2227" s="3">
        <v>13882</v>
      </c>
      <c r="L2227" s="1">
        <v>0</v>
      </c>
      <c r="M2227" s="4">
        <v>0</v>
      </c>
      <c r="N2227" s="1">
        <v>666</v>
      </c>
      <c r="O2227" s="4">
        <v>4.5999999999999999E-2</v>
      </c>
      <c r="P2227" s="1" t="s">
        <v>2721</v>
      </c>
    </row>
    <row r="2228" spans="1:16">
      <c r="A2228" s="1" t="s">
        <v>15</v>
      </c>
      <c r="B2228" s="1">
        <v>11</v>
      </c>
      <c r="C2228" s="1" t="s">
        <v>6270</v>
      </c>
      <c r="D2228" s="1" t="s">
        <v>132</v>
      </c>
      <c r="E2228" s="2">
        <v>45978</v>
      </c>
      <c r="F2228" s="1" t="s">
        <v>53</v>
      </c>
      <c r="G2228" s="1" t="s">
        <v>133</v>
      </c>
      <c r="H2228" s="1" t="s">
        <v>88</v>
      </c>
      <c r="I2228" s="1">
        <v>2</v>
      </c>
      <c r="J2228" s="3">
        <v>34073</v>
      </c>
      <c r="K2228" s="3">
        <v>32513</v>
      </c>
      <c r="L2228" s="1">
        <v>0</v>
      </c>
      <c r="M2228" s="4">
        <v>0</v>
      </c>
      <c r="N2228" s="3">
        <v>1560</v>
      </c>
      <c r="O2228" s="4">
        <v>4.5999999999999999E-2</v>
      </c>
      <c r="P2228" s="1" t="s">
        <v>2721</v>
      </c>
    </row>
    <row r="2229" spans="1:16">
      <c r="A2229" s="1" t="s">
        <v>15</v>
      </c>
      <c r="B2229" s="1">
        <v>11</v>
      </c>
      <c r="C2229" s="1" t="s">
        <v>6271</v>
      </c>
      <c r="D2229" s="1" t="s">
        <v>132</v>
      </c>
      <c r="E2229" s="2">
        <v>45978</v>
      </c>
      <c r="F2229" s="1" t="s">
        <v>53</v>
      </c>
      <c r="G2229" s="1" t="s">
        <v>133</v>
      </c>
      <c r="H2229" s="1" t="s">
        <v>88</v>
      </c>
      <c r="I2229" s="1">
        <v>4</v>
      </c>
      <c r="J2229" s="3">
        <v>68145</v>
      </c>
      <c r="K2229" s="3">
        <v>65026</v>
      </c>
      <c r="L2229" s="1">
        <v>0</v>
      </c>
      <c r="M2229" s="4">
        <v>0</v>
      </c>
      <c r="N2229" s="3">
        <v>3119</v>
      </c>
      <c r="O2229" s="4">
        <v>4.5999999999999999E-2</v>
      </c>
      <c r="P2229" s="1" t="s">
        <v>2721</v>
      </c>
    </row>
    <row r="2230" spans="1:16">
      <c r="A2230" s="1" t="s">
        <v>15</v>
      </c>
      <c r="B2230" s="1">
        <v>11</v>
      </c>
      <c r="C2230" s="1" t="s">
        <v>6272</v>
      </c>
      <c r="D2230" s="1" t="s">
        <v>782</v>
      </c>
      <c r="E2230" s="2">
        <v>45978</v>
      </c>
      <c r="F2230" s="1" t="s">
        <v>783</v>
      </c>
      <c r="G2230" s="1" t="s">
        <v>784</v>
      </c>
      <c r="H2230" s="1" t="s">
        <v>785</v>
      </c>
      <c r="I2230" s="1">
        <v>1</v>
      </c>
      <c r="J2230" s="3">
        <v>15925</v>
      </c>
      <c r="K2230" s="3">
        <v>15196</v>
      </c>
      <c r="L2230" s="1">
        <v>0</v>
      </c>
      <c r="M2230" s="4">
        <v>0</v>
      </c>
      <c r="N2230" s="1">
        <v>729</v>
      </c>
      <c r="O2230" s="4">
        <v>4.5999999999999999E-2</v>
      </c>
      <c r="P2230" s="1" t="s">
        <v>2721</v>
      </c>
    </row>
    <row r="2231" spans="1:16">
      <c r="A2231" s="1" t="s">
        <v>15</v>
      </c>
      <c r="B2231" s="1">
        <v>11</v>
      </c>
      <c r="C2231" s="1" t="s">
        <v>6273</v>
      </c>
      <c r="D2231" s="1" t="s">
        <v>244</v>
      </c>
      <c r="E2231" s="2">
        <v>45978</v>
      </c>
      <c r="F2231" s="1" t="s">
        <v>53</v>
      </c>
      <c r="G2231" s="1" t="s">
        <v>245</v>
      </c>
      <c r="H2231" s="1" t="s">
        <v>1166</v>
      </c>
      <c r="I2231" s="1">
        <v>1</v>
      </c>
      <c r="J2231" s="3">
        <v>8272</v>
      </c>
      <c r="K2231" s="3">
        <v>7893</v>
      </c>
      <c r="L2231" s="1">
        <v>0</v>
      </c>
      <c r="M2231" s="4">
        <v>0</v>
      </c>
      <c r="N2231" s="1">
        <v>379</v>
      </c>
      <c r="O2231" s="4">
        <v>4.5999999999999999E-2</v>
      </c>
      <c r="P2231" s="1" t="s">
        <v>2721</v>
      </c>
    </row>
    <row r="2232" spans="1:16">
      <c r="A2232" s="1" t="s">
        <v>15</v>
      </c>
      <c r="B2232" s="1">
        <v>11</v>
      </c>
      <c r="C2232" s="1" t="s">
        <v>6274</v>
      </c>
      <c r="D2232" s="1" t="s">
        <v>32</v>
      </c>
      <c r="E2232" s="2">
        <v>45978</v>
      </c>
      <c r="F2232" s="1" t="s">
        <v>33</v>
      </c>
      <c r="G2232" s="1" t="s">
        <v>34</v>
      </c>
      <c r="H2232" s="1" t="s">
        <v>6275</v>
      </c>
      <c r="I2232" s="1">
        <v>1</v>
      </c>
      <c r="J2232" s="3">
        <v>95195</v>
      </c>
      <c r="K2232" s="3">
        <v>90837</v>
      </c>
      <c r="L2232" s="1">
        <v>0</v>
      </c>
      <c r="M2232" s="4">
        <v>0</v>
      </c>
      <c r="N2232" s="3">
        <v>4358</v>
      </c>
      <c r="O2232" s="4">
        <v>4.5999999999999999E-2</v>
      </c>
      <c r="P2232" s="1" t="s">
        <v>2721</v>
      </c>
    </row>
    <row r="2233" spans="1:16">
      <c r="A2233" s="1" t="s">
        <v>15</v>
      </c>
      <c r="B2233" s="1">
        <v>11</v>
      </c>
      <c r="C2233" s="1" t="s">
        <v>6276</v>
      </c>
      <c r="D2233" s="1" t="s">
        <v>80</v>
      </c>
      <c r="E2233" s="2">
        <v>45978</v>
      </c>
      <c r="F2233" s="1" t="s">
        <v>58</v>
      </c>
      <c r="G2233" s="1" t="s">
        <v>81</v>
      </c>
      <c r="H2233" s="1" t="s">
        <v>745</v>
      </c>
      <c r="I2233" s="1">
        <v>2</v>
      </c>
      <c r="J2233" s="3">
        <v>34602</v>
      </c>
      <c r="K2233" s="3">
        <v>33018</v>
      </c>
      <c r="L2233" s="1">
        <v>0</v>
      </c>
      <c r="M2233" s="4">
        <v>0</v>
      </c>
      <c r="N2233" s="3">
        <v>1584</v>
      </c>
      <c r="O2233" s="4">
        <v>4.5999999999999999E-2</v>
      </c>
      <c r="P2233" s="1" t="s">
        <v>2721</v>
      </c>
    </row>
    <row r="2234" spans="1:16">
      <c r="A2234" s="1" t="s">
        <v>15</v>
      </c>
      <c r="B2234" s="1">
        <v>11</v>
      </c>
      <c r="C2234" s="1" t="s">
        <v>6277</v>
      </c>
      <c r="D2234" s="1" t="s">
        <v>265</v>
      </c>
      <c r="E2234" s="2">
        <v>45978</v>
      </c>
      <c r="F2234" s="1" t="s">
        <v>266</v>
      </c>
      <c r="G2234" s="1" t="s">
        <v>267</v>
      </c>
      <c r="H2234" s="1" t="s">
        <v>6278</v>
      </c>
      <c r="I2234" s="1">
        <v>1</v>
      </c>
      <c r="J2234" s="3">
        <v>16318</v>
      </c>
      <c r="K2234" s="3">
        <v>15571</v>
      </c>
      <c r="L2234" s="1">
        <v>0</v>
      </c>
      <c r="M2234" s="4">
        <v>0</v>
      </c>
      <c r="N2234" s="1">
        <v>747</v>
      </c>
      <c r="O2234" s="4">
        <v>4.5999999999999999E-2</v>
      </c>
      <c r="P2234" s="1" t="s">
        <v>2721</v>
      </c>
    </row>
    <row r="2235" spans="1:16">
      <c r="A2235" s="1" t="s">
        <v>15</v>
      </c>
      <c r="B2235" s="1">
        <v>11</v>
      </c>
      <c r="C2235" s="1" t="s">
        <v>6279</v>
      </c>
      <c r="D2235" s="1" t="s">
        <v>979</v>
      </c>
      <c r="E2235" s="2">
        <v>45978</v>
      </c>
      <c r="F2235" s="1" t="s">
        <v>256</v>
      </c>
      <c r="G2235" s="1" t="s">
        <v>980</v>
      </c>
      <c r="H2235" s="1" t="s">
        <v>981</v>
      </c>
      <c r="I2235" s="1">
        <v>1</v>
      </c>
      <c r="J2235" s="3">
        <v>11118</v>
      </c>
      <c r="K2235" s="3">
        <v>10609</v>
      </c>
      <c r="L2235" s="1">
        <v>0</v>
      </c>
      <c r="M2235" s="4">
        <v>0</v>
      </c>
      <c r="N2235" s="1">
        <v>509</v>
      </c>
      <c r="O2235" s="4">
        <v>4.5999999999999999E-2</v>
      </c>
      <c r="P2235" s="1" t="s">
        <v>2721</v>
      </c>
    </row>
    <row r="2236" spans="1:16">
      <c r="A2236" s="1" t="s">
        <v>15</v>
      </c>
      <c r="B2236" s="1">
        <v>11</v>
      </c>
      <c r="C2236" s="1" t="s">
        <v>6280</v>
      </c>
      <c r="D2236" s="1" t="s">
        <v>1079</v>
      </c>
      <c r="E2236" s="2">
        <v>45978</v>
      </c>
      <c r="F2236" s="1" t="s">
        <v>500</v>
      </c>
      <c r="G2236" s="1" t="s">
        <v>1080</v>
      </c>
      <c r="H2236" s="1" t="s">
        <v>1081</v>
      </c>
      <c r="I2236" s="1">
        <v>1</v>
      </c>
      <c r="J2236" s="3">
        <v>113182</v>
      </c>
      <c r="K2236" s="3">
        <v>108000</v>
      </c>
      <c r="L2236" s="1">
        <v>0</v>
      </c>
      <c r="M2236" s="4">
        <v>0</v>
      </c>
      <c r="N2236" s="3">
        <v>5182</v>
      </c>
      <c r="O2236" s="4">
        <v>4.5999999999999999E-2</v>
      </c>
      <c r="P2236" s="1" t="s">
        <v>2721</v>
      </c>
    </row>
    <row r="2237" spans="1:16">
      <c r="A2237" s="1" t="s">
        <v>15</v>
      </c>
      <c r="B2237" s="1">
        <v>11</v>
      </c>
      <c r="C2237" s="1" t="s">
        <v>6281</v>
      </c>
      <c r="D2237" s="1" t="s">
        <v>2474</v>
      </c>
      <c r="E2237" s="2">
        <v>45978</v>
      </c>
      <c r="F2237" s="1" t="s">
        <v>126</v>
      </c>
      <c r="G2237" s="1" t="s">
        <v>2475</v>
      </c>
      <c r="H2237" s="1" t="s">
        <v>2476</v>
      </c>
      <c r="I2237" s="1">
        <v>1</v>
      </c>
      <c r="J2237" s="3">
        <v>22806</v>
      </c>
      <c r="K2237" s="3">
        <v>21762</v>
      </c>
      <c r="L2237" s="1">
        <v>0</v>
      </c>
      <c r="M2237" s="4">
        <v>0</v>
      </c>
      <c r="N2237" s="3">
        <v>1044</v>
      </c>
      <c r="O2237" s="4">
        <v>4.5999999999999999E-2</v>
      </c>
      <c r="P2237" s="1" t="s">
        <v>2721</v>
      </c>
    </row>
    <row r="2238" spans="1:16">
      <c r="A2238" s="1" t="s">
        <v>15</v>
      </c>
      <c r="B2238" s="1">
        <v>11</v>
      </c>
      <c r="C2238" s="1" t="s">
        <v>6281</v>
      </c>
      <c r="D2238" s="1" t="s">
        <v>2474</v>
      </c>
      <c r="E2238" s="2">
        <v>45978</v>
      </c>
      <c r="F2238" s="1" t="s">
        <v>126</v>
      </c>
      <c r="G2238" s="1" t="s">
        <v>2475</v>
      </c>
      <c r="H2238" s="1" t="s">
        <v>6282</v>
      </c>
      <c r="I2238" s="1">
        <v>1</v>
      </c>
      <c r="J2238" s="3">
        <v>14745</v>
      </c>
      <c r="K2238" s="3">
        <v>14070</v>
      </c>
      <c r="L2238" s="1">
        <v>0</v>
      </c>
      <c r="M2238" s="4">
        <v>0</v>
      </c>
      <c r="N2238" s="1">
        <v>675</v>
      </c>
      <c r="O2238" s="4">
        <v>4.5999999999999999E-2</v>
      </c>
      <c r="P2238" s="1" t="s">
        <v>2721</v>
      </c>
    </row>
    <row r="2239" spans="1:16">
      <c r="A2239" s="1" t="s">
        <v>15</v>
      </c>
      <c r="B2239" s="1">
        <v>11</v>
      </c>
      <c r="C2239" s="1" t="s">
        <v>6283</v>
      </c>
      <c r="D2239" s="1" t="s">
        <v>3754</v>
      </c>
      <c r="E2239" s="2">
        <v>45978</v>
      </c>
      <c r="F2239" s="1" t="s">
        <v>63</v>
      </c>
      <c r="G2239" s="1" t="s">
        <v>3755</v>
      </c>
      <c r="H2239" s="1" t="s">
        <v>5522</v>
      </c>
      <c r="I2239" s="1">
        <v>1</v>
      </c>
      <c r="J2239" s="3">
        <v>6580</v>
      </c>
      <c r="K2239" s="3">
        <v>6279</v>
      </c>
      <c r="L2239" s="1">
        <v>0</v>
      </c>
      <c r="M2239" s="4">
        <v>0</v>
      </c>
      <c r="N2239" s="1">
        <v>301</v>
      </c>
      <c r="O2239" s="4">
        <v>4.5999999999999999E-2</v>
      </c>
      <c r="P2239" s="1" t="s">
        <v>2721</v>
      </c>
    </row>
    <row r="2240" spans="1:16">
      <c r="A2240" s="1" t="s">
        <v>15</v>
      </c>
      <c r="B2240" s="1">
        <v>11</v>
      </c>
      <c r="C2240" s="1" t="s">
        <v>6283</v>
      </c>
      <c r="D2240" s="1" t="s">
        <v>3754</v>
      </c>
      <c r="E2240" s="2">
        <v>45978</v>
      </c>
      <c r="F2240" s="1" t="s">
        <v>63</v>
      </c>
      <c r="G2240" s="1" t="s">
        <v>3755</v>
      </c>
      <c r="H2240" s="1" t="s">
        <v>3789</v>
      </c>
      <c r="I2240" s="1">
        <v>1</v>
      </c>
      <c r="J2240" s="3">
        <v>4958</v>
      </c>
      <c r="K2240" s="3">
        <v>4731</v>
      </c>
      <c r="L2240" s="1">
        <v>0</v>
      </c>
      <c r="M2240" s="4">
        <v>0</v>
      </c>
      <c r="N2240" s="1">
        <v>227</v>
      </c>
      <c r="O2240" s="4">
        <v>4.5999999999999999E-2</v>
      </c>
      <c r="P2240" s="1" t="s">
        <v>2721</v>
      </c>
    </row>
    <row r="2241" spans="1:16">
      <c r="A2241" s="1" t="s">
        <v>15</v>
      </c>
      <c r="B2241" s="1">
        <v>11</v>
      </c>
      <c r="C2241" s="1" t="s">
        <v>6284</v>
      </c>
      <c r="D2241" s="1" t="s">
        <v>228</v>
      </c>
      <c r="E2241" s="2">
        <v>45978</v>
      </c>
      <c r="F2241" s="1" t="s">
        <v>53</v>
      </c>
      <c r="G2241" s="1" t="s">
        <v>229</v>
      </c>
      <c r="H2241" s="1" t="s">
        <v>230</v>
      </c>
      <c r="I2241" s="1">
        <v>1</v>
      </c>
      <c r="J2241" s="3">
        <v>9825</v>
      </c>
      <c r="K2241" s="3">
        <v>9375</v>
      </c>
      <c r="L2241" s="1">
        <v>0</v>
      </c>
      <c r="M2241" s="4">
        <v>0</v>
      </c>
      <c r="N2241" s="1">
        <v>450</v>
      </c>
      <c r="O2241" s="4">
        <v>4.5999999999999999E-2</v>
      </c>
      <c r="P2241" s="1" t="s">
        <v>2721</v>
      </c>
    </row>
    <row r="2242" spans="1:16">
      <c r="A2242" s="1" t="s">
        <v>15</v>
      </c>
      <c r="B2242" s="1">
        <v>11</v>
      </c>
      <c r="C2242" s="1" t="s">
        <v>6285</v>
      </c>
      <c r="D2242" s="1" t="s">
        <v>169</v>
      </c>
      <c r="E2242" s="2">
        <v>45978</v>
      </c>
      <c r="F2242" s="1" t="s">
        <v>53</v>
      </c>
      <c r="G2242" s="1" t="s">
        <v>170</v>
      </c>
      <c r="H2242" s="1" t="s">
        <v>171</v>
      </c>
      <c r="I2242" s="1">
        <v>1</v>
      </c>
      <c r="J2242" s="3">
        <v>14332</v>
      </c>
      <c r="K2242" s="3">
        <v>13676</v>
      </c>
      <c r="L2242" s="1">
        <v>0</v>
      </c>
      <c r="M2242" s="4">
        <v>0</v>
      </c>
      <c r="N2242" s="1">
        <v>656</v>
      </c>
      <c r="O2242" s="4">
        <v>4.5999999999999999E-2</v>
      </c>
      <c r="P2242" s="1" t="s">
        <v>2721</v>
      </c>
    </row>
    <row r="2243" spans="1:16">
      <c r="A2243" s="1" t="s">
        <v>15</v>
      </c>
      <c r="B2243" s="1">
        <v>11</v>
      </c>
      <c r="C2243" s="1" t="s">
        <v>6286</v>
      </c>
      <c r="D2243" s="1" t="s">
        <v>4134</v>
      </c>
      <c r="E2243" s="2">
        <v>45978</v>
      </c>
      <c r="F2243" s="1" t="s">
        <v>534</v>
      </c>
      <c r="G2243" s="1" t="s">
        <v>4135</v>
      </c>
      <c r="H2243" s="1" t="s">
        <v>4136</v>
      </c>
      <c r="I2243" s="1">
        <v>1</v>
      </c>
      <c r="J2243" s="3">
        <v>13035</v>
      </c>
      <c r="K2243" s="3">
        <v>12438</v>
      </c>
      <c r="L2243" s="1">
        <v>0</v>
      </c>
      <c r="M2243" s="4">
        <v>0</v>
      </c>
      <c r="N2243" s="1">
        <v>597</v>
      </c>
      <c r="O2243" s="4">
        <v>4.5999999999999999E-2</v>
      </c>
      <c r="P2243" s="1" t="s">
        <v>2721</v>
      </c>
    </row>
    <row r="2244" spans="1:16">
      <c r="A2244" s="1" t="s">
        <v>15</v>
      </c>
      <c r="B2244" s="1">
        <v>11</v>
      </c>
      <c r="C2244" s="1" t="s">
        <v>6287</v>
      </c>
      <c r="D2244" s="1" t="s">
        <v>3296</v>
      </c>
      <c r="E2244" s="2">
        <v>45978</v>
      </c>
      <c r="F2244" s="1" t="s">
        <v>839</v>
      </c>
      <c r="G2244" s="1" t="s">
        <v>3297</v>
      </c>
      <c r="H2244" s="1" t="s">
        <v>3298</v>
      </c>
      <c r="I2244" s="1">
        <v>1</v>
      </c>
      <c r="J2244" s="3">
        <v>23002</v>
      </c>
      <c r="K2244" s="3">
        <v>21949</v>
      </c>
      <c r="L2244" s="1">
        <v>0</v>
      </c>
      <c r="M2244" s="4">
        <v>0</v>
      </c>
      <c r="N2244" s="3">
        <v>1053</v>
      </c>
      <c r="O2244" s="4">
        <v>4.5999999999999999E-2</v>
      </c>
      <c r="P2244" s="1" t="s">
        <v>2721</v>
      </c>
    </row>
    <row r="2245" spans="1:16">
      <c r="A2245" s="1" t="s">
        <v>15</v>
      </c>
      <c r="B2245" s="1">
        <v>11</v>
      </c>
      <c r="C2245" s="1" t="s">
        <v>6288</v>
      </c>
      <c r="D2245" s="1" t="s">
        <v>1346</v>
      </c>
      <c r="E2245" s="2">
        <v>45978</v>
      </c>
      <c r="F2245" s="1" t="s">
        <v>317</v>
      </c>
      <c r="G2245" s="1" t="s">
        <v>1347</v>
      </c>
      <c r="H2245" s="1" t="s">
        <v>1348</v>
      </c>
      <c r="I2245" s="1">
        <v>1</v>
      </c>
      <c r="J2245" s="3">
        <v>32439</v>
      </c>
      <c r="K2245" s="3">
        <v>30954</v>
      </c>
      <c r="L2245" s="1">
        <v>0</v>
      </c>
      <c r="M2245" s="4">
        <v>0</v>
      </c>
      <c r="N2245" s="3">
        <v>1485</v>
      </c>
      <c r="O2245" s="4">
        <v>4.5999999999999999E-2</v>
      </c>
      <c r="P2245" s="1" t="s">
        <v>2721</v>
      </c>
    </row>
    <row r="2246" spans="1:16">
      <c r="A2246" s="1" t="s">
        <v>15</v>
      </c>
      <c r="B2246" s="1">
        <v>11</v>
      </c>
      <c r="C2246" s="1" t="s">
        <v>6289</v>
      </c>
      <c r="D2246" s="1" t="s">
        <v>2584</v>
      </c>
      <c r="E2246" s="2">
        <v>45978</v>
      </c>
      <c r="F2246" s="1" t="s">
        <v>1688</v>
      </c>
      <c r="G2246" s="1" t="s">
        <v>2585</v>
      </c>
      <c r="H2246" s="1" t="s">
        <v>2586</v>
      </c>
      <c r="I2246" s="1">
        <v>1</v>
      </c>
      <c r="J2246" s="3">
        <v>34061</v>
      </c>
      <c r="K2246" s="3">
        <v>32502</v>
      </c>
      <c r="L2246" s="1">
        <v>0</v>
      </c>
      <c r="M2246" s="4">
        <v>0</v>
      </c>
      <c r="N2246" s="3">
        <v>1559</v>
      </c>
      <c r="O2246" s="4">
        <v>4.5999999999999999E-2</v>
      </c>
      <c r="P2246" s="1" t="s">
        <v>2721</v>
      </c>
    </row>
    <row r="2247" spans="1:16">
      <c r="A2247" s="1" t="s">
        <v>15</v>
      </c>
      <c r="B2247" s="1">
        <v>11</v>
      </c>
      <c r="C2247" s="1" t="s">
        <v>6290</v>
      </c>
      <c r="D2247" s="1" t="s">
        <v>17</v>
      </c>
      <c r="E2247" s="2">
        <v>45978</v>
      </c>
      <c r="F2247" s="1" t="s">
        <v>18</v>
      </c>
      <c r="G2247" s="1" t="s">
        <v>19</v>
      </c>
      <c r="H2247" s="1" t="s">
        <v>1252</v>
      </c>
      <c r="I2247" s="1">
        <v>1</v>
      </c>
      <c r="J2247" s="3">
        <v>7166</v>
      </c>
      <c r="K2247" s="3">
        <v>6838</v>
      </c>
      <c r="L2247" s="1">
        <v>0</v>
      </c>
      <c r="M2247" s="4">
        <v>0</v>
      </c>
      <c r="N2247" s="1">
        <v>328</v>
      </c>
      <c r="O2247" s="4">
        <v>4.5999999999999999E-2</v>
      </c>
      <c r="P2247" s="1" t="s">
        <v>2721</v>
      </c>
    </row>
    <row r="2248" spans="1:16">
      <c r="A2248" s="1" t="s">
        <v>15</v>
      </c>
      <c r="B2248" s="1">
        <v>11</v>
      </c>
      <c r="C2248" s="1" t="s">
        <v>6291</v>
      </c>
      <c r="D2248" s="1" t="s">
        <v>1275</v>
      </c>
      <c r="E2248" s="2">
        <v>45978</v>
      </c>
      <c r="F2248" s="1" t="s">
        <v>945</v>
      </c>
      <c r="G2248" s="1" t="s">
        <v>1276</v>
      </c>
      <c r="H2248" s="1" t="s">
        <v>6292</v>
      </c>
      <c r="I2248" s="1">
        <v>1</v>
      </c>
      <c r="J2248" s="3">
        <v>19070</v>
      </c>
      <c r="K2248" s="3">
        <v>18197</v>
      </c>
      <c r="L2248" s="1">
        <v>0</v>
      </c>
      <c r="M2248" s="4">
        <v>0</v>
      </c>
      <c r="N2248" s="1">
        <v>873</v>
      </c>
      <c r="O2248" s="4">
        <v>4.5999999999999999E-2</v>
      </c>
      <c r="P2248" s="1" t="s">
        <v>2721</v>
      </c>
    </row>
    <row r="2249" spans="1:16">
      <c r="A2249" s="1" t="s">
        <v>15</v>
      </c>
      <c r="B2249" s="1">
        <v>11</v>
      </c>
      <c r="C2249" s="1" t="s">
        <v>6293</v>
      </c>
      <c r="D2249" s="1" t="s">
        <v>1246</v>
      </c>
      <c r="E2249" s="2">
        <v>45978</v>
      </c>
      <c r="F2249" s="1" t="s">
        <v>53</v>
      </c>
      <c r="G2249" s="1" t="s">
        <v>1247</v>
      </c>
      <c r="H2249" s="1" t="s">
        <v>1366</v>
      </c>
      <c r="I2249" s="1">
        <v>1</v>
      </c>
      <c r="J2249" s="3">
        <v>8383</v>
      </c>
      <c r="K2249" s="3">
        <v>7999</v>
      </c>
      <c r="L2249" s="1">
        <v>0</v>
      </c>
      <c r="M2249" s="4">
        <v>0</v>
      </c>
      <c r="N2249" s="1">
        <v>384</v>
      </c>
      <c r="O2249" s="4">
        <v>4.5999999999999999E-2</v>
      </c>
      <c r="P2249" s="1" t="s">
        <v>2721</v>
      </c>
    </row>
    <row r="2250" spans="1:16">
      <c r="A2250" s="1" t="s">
        <v>15</v>
      </c>
      <c r="B2250" s="1">
        <v>11</v>
      </c>
      <c r="C2250" s="1" t="s">
        <v>6294</v>
      </c>
      <c r="D2250" s="1" t="s">
        <v>228</v>
      </c>
      <c r="E2250" s="2">
        <v>45978</v>
      </c>
      <c r="F2250" s="1" t="s">
        <v>53</v>
      </c>
      <c r="G2250" s="1" t="s">
        <v>229</v>
      </c>
      <c r="H2250" s="1" t="s">
        <v>230</v>
      </c>
      <c r="I2250" s="1">
        <v>1</v>
      </c>
      <c r="J2250" s="3">
        <v>9825</v>
      </c>
      <c r="K2250" s="3">
        <v>9375</v>
      </c>
      <c r="L2250" s="1">
        <v>0</v>
      </c>
      <c r="M2250" s="4">
        <v>0</v>
      </c>
      <c r="N2250" s="1">
        <v>450</v>
      </c>
      <c r="O2250" s="4">
        <v>4.5999999999999999E-2</v>
      </c>
      <c r="P2250" s="1" t="s">
        <v>2721</v>
      </c>
    </row>
    <row r="2251" spans="1:16">
      <c r="A2251" s="1" t="s">
        <v>15</v>
      </c>
      <c r="B2251" s="1">
        <v>11</v>
      </c>
      <c r="C2251" s="1" t="s">
        <v>6295</v>
      </c>
      <c r="D2251" s="1" t="s">
        <v>212</v>
      </c>
      <c r="E2251" s="2">
        <v>45978</v>
      </c>
      <c r="F2251" s="1" t="s">
        <v>213</v>
      </c>
      <c r="G2251" s="1" t="s">
        <v>214</v>
      </c>
      <c r="H2251" s="1" t="s">
        <v>215</v>
      </c>
      <c r="I2251" s="1">
        <v>1</v>
      </c>
      <c r="J2251" s="3">
        <v>16220</v>
      </c>
      <c r="K2251" s="3">
        <v>15477</v>
      </c>
      <c r="L2251" s="1">
        <v>0</v>
      </c>
      <c r="M2251" s="4">
        <v>0</v>
      </c>
      <c r="N2251" s="1">
        <v>743</v>
      </c>
      <c r="O2251" s="4">
        <v>4.5999999999999999E-2</v>
      </c>
      <c r="P2251" s="1" t="s">
        <v>2721</v>
      </c>
    </row>
    <row r="2252" spans="1:16">
      <c r="A2252" s="1" t="s">
        <v>15</v>
      </c>
      <c r="B2252" s="1">
        <v>11</v>
      </c>
      <c r="C2252" s="1" t="s">
        <v>6296</v>
      </c>
      <c r="D2252" s="1" t="s">
        <v>3387</v>
      </c>
      <c r="E2252" s="2">
        <v>45978</v>
      </c>
      <c r="F2252" s="1" t="s">
        <v>235</v>
      </c>
      <c r="G2252" s="1" t="s">
        <v>3388</v>
      </c>
      <c r="H2252" s="1" t="s">
        <v>6297</v>
      </c>
      <c r="I2252" s="1">
        <v>1</v>
      </c>
      <c r="J2252" s="3">
        <v>40991</v>
      </c>
      <c r="K2252" s="3">
        <v>39115</v>
      </c>
      <c r="L2252" s="1">
        <v>0</v>
      </c>
      <c r="M2252" s="4">
        <v>0</v>
      </c>
      <c r="N2252" s="3">
        <v>1876</v>
      </c>
      <c r="O2252" s="4">
        <v>4.5999999999999999E-2</v>
      </c>
      <c r="P2252" s="1" t="s">
        <v>2721</v>
      </c>
    </row>
    <row r="2253" spans="1:16">
      <c r="A2253" s="1" t="s">
        <v>15</v>
      </c>
      <c r="B2253" s="1">
        <v>11</v>
      </c>
      <c r="C2253" s="1" t="s">
        <v>6298</v>
      </c>
      <c r="D2253" s="1" t="s">
        <v>125</v>
      </c>
      <c r="E2253" s="2">
        <v>45978</v>
      </c>
      <c r="F2253" s="1" t="s">
        <v>126</v>
      </c>
      <c r="G2253" s="1" t="s">
        <v>127</v>
      </c>
      <c r="H2253" s="1" t="s">
        <v>128</v>
      </c>
      <c r="I2253" s="1">
        <v>1</v>
      </c>
      <c r="J2253" s="3">
        <v>13959</v>
      </c>
      <c r="K2253" s="3">
        <v>13320</v>
      </c>
      <c r="L2253" s="1">
        <v>0</v>
      </c>
      <c r="M2253" s="4">
        <v>0</v>
      </c>
      <c r="N2253" s="1">
        <v>639</v>
      </c>
      <c r="O2253" s="4">
        <v>4.5999999999999999E-2</v>
      </c>
      <c r="P2253" s="1" t="s">
        <v>2721</v>
      </c>
    </row>
    <row r="2254" spans="1:16">
      <c r="A2254" s="1" t="s">
        <v>15</v>
      </c>
      <c r="B2254" s="1">
        <v>11</v>
      </c>
      <c r="C2254" s="1" t="s">
        <v>6299</v>
      </c>
      <c r="D2254" s="1" t="s">
        <v>27</v>
      </c>
      <c r="E2254" s="2">
        <v>45978</v>
      </c>
      <c r="F2254" s="1" t="s">
        <v>28</v>
      </c>
      <c r="G2254" s="1" t="s">
        <v>29</v>
      </c>
      <c r="H2254" s="1" t="s">
        <v>352</v>
      </c>
      <c r="I2254" s="1">
        <v>1</v>
      </c>
      <c r="J2254" s="3">
        <v>27033</v>
      </c>
      <c r="K2254" s="3">
        <v>25795</v>
      </c>
      <c r="L2254" s="1">
        <v>0</v>
      </c>
      <c r="M2254" s="4">
        <v>0</v>
      </c>
      <c r="N2254" s="3">
        <v>1238</v>
      </c>
      <c r="O2254" s="4">
        <v>4.5999999999999999E-2</v>
      </c>
      <c r="P2254" s="1" t="s">
        <v>2721</v>
      </c>
    </row>
    <row r="2255" spans="1:16">
      <c r="A2255" s="1" t="s">
        <v>15</v>
      </c>
      <c r="B2255" s="1">
        <v>11</v>
      </c>
      <c r="C2255" s="1" t="s">
        <v>6300</v>
      </c>
      <c r="D2255" s="1" t="s">
        <v>1177</v>
      </c>
      <c r="E2255" s="2">
        <v>45978</v>
      </c>
      <c r="F2255" s="1" t="s">
        <v>251</v>
      </c>
      <c r="G2255" s="1" t="s">
        <v>1178</v>
      </c>
      <c r="H2255" s="1" t="s">
        <v>1179</v>
      </c>
      <c r="I2255" s="1">
        <v>1</v>
      </c>
      <c r="J2255" s="3">
        <v>21429</v>
      </c>
      <c r="K2255" s="3">
        <v>20448</v>
      </c>
      <c r="L2255" s="1">
        <v>0</v>
      </c>
      <c r="M2255" s="4">
        <v>0</v>
      </c>
      <c r="N2255" s="1">
        <v>981</v>
      </c>
      <c r="O2255" s="4">
        <v>4.5999999999999999E-2</v>
      </c>
      <c r="P2255" s="1" t="s">
        <v>2721</v>
      </c>
    </row>
    <row r="2256" spans="1:16">
      <c r="A2256" s="1" t="s">
        <v>15</v>
      </c>
      <c r="B2256" s="1">
        <v>11</v>
      </c>
      <c r="C2256" s="1" t="s">
        <v>6301</v>
      </c>
      <c r="D2256" s="1" t="s">
        <v>169</v>
      </c>
      <c r="E2256" s="2">
        <v>45978</v>
      </c>
      <c r="F2256" s="1" t="s">
        <v>53</v>
      </c>
      <c r="G2256" s="1" t="s">
        <v>170</v>
      </c>
      <c r="H2256" s="1" t="s">
        <v>171</v>
      </c>
      <c r="I2256" s="1">
        <v>1</v>
      </c>
      <c r="J2256" s="3">
        <v>14332</v>
      </c>
      <c r="K2256" s="3">
        <v>13676</v>
      </c>
      <c r="L2256" s="1">
        <v>0</v>
      </c>
      <c r="M2256" s="4">
        <v>0</v>
      </c>
      <c r="N2256" s="1">
        <v>656</v>
      </c>
      <c r="O2256" s="4">
        <v>4.5999999999999999E-2</v>
      </c>
      <c r="P2256" s="1" t="s">
        <v>2721</v>
      </c>
    </row>
    <row r="2257" spans="1:16">
      <c r="A2257" s="1" t="s">
        <v>15</v>
      </c>
      <c r="B2257" s="1">
        <v>11</v>
      </c>
      <c r="C2257" s="1" t="s">
        <v>6302</v>
      </c>
      <c r="D2257" s="1" t="s">
        <v>1587</v>
      </c>
      <c r="E2257" s="2">
        <v>45978</v>
      </c>
      <c r="F2257" s="1" t="s">
        <v>126</v>
      </c>
      <c r="G2257" s="1" t="s">
        <v>1588</v>
      </c>
      <c r="H2257" s="1" t="s">
        <v>1589</v>
      </c>
      <c r="I2257" s="1">
        <v>1</v>
      </c>
      <c r="J2257" s="3">
        <v>12484</v>
      </c>
      <c r="K2257" s="3">
        <v>11913</v>
      </c>
      <c r="L2257" s="1">
        <v>0</v>
      </c>
      <c r="M2257" s="4">
        <v>0</v>
      </c>
      <c r="N2257" s="1">
        <v>571</v>
      </c>
      <c r="O2257" s="4">
        <v>4.5999999999999999E-2</v>
      </c>
      <c r="P2257" s="1" t="s">
        <v>2721</v>
      </c>
    </row>
    <row r="2258" spans="1:16">
      <c r="A2258" s="1" t="s">
        <v>15</v>
      </c>
      <c r="B2258" s="1">
        <v>11</v>
      </c>
      <c r="C2258" s="1" t="s">
        <v>6303</v>
      </c>
      <c r="D2258" s="1" t="s">
        <v>169</v>
      </c>
      <c r="E2258" s="2">
        <v>45978</v>
      </c>
      <c r="F2258" s="1" t="s">
        <v>53</v>
      </c>
      <c r="G2258" s="1" t="s">
        <v>170</v>
      </c>
      <c r="H2258" s="1" t="s">
        <v>171</v>
      </c>
      <c r="I2258" s="1">
        <v>1</v>
      </c>
      <c r="J2258" s="3">
        <v>14332</v>
      </c>
      <c r="K2258" s="3">
        <v>13676</v>
      </c>
      <c r="L2258" s="1">
        <v>0</v>
      </c>
      <c r="M2258" s="4">
        <v>0</v>
      </c>
      <c r="N2258" s="1">
        <v>656</v>
      </c>
      <c r="O2258" s="4">
        <v>4.5999999999999999E-2</v>
      </c>
      <c r="P2258" s="1" t="s">
        <v>2721</v>
      </c>
    </row>
    <row r="2259" spans="1:16">
      <c r="A2259" s="1" t="s">
        <v>15</v>
      </c>
      <c r="B2259" s="1">
        <v>11</v>
      </c>
      <c r="C2259" s="1" t="s">
        <v>6304</v>
      </c>
      <c r="D2259" s="1" t="s">
        <v>482</v>
      </c>
      <c r="E2259" s="2">
        <v>45978</v>
      </c>
      <c r="F2259" s="1" t="s">
        <v>483</v>
      </c>
      <c r="G2259" s="1" t="s">
        <v>484</v>
      </c>
      <c r="H2259" s="1" t="s">
        <v>1610</v>
      </c>
      <c r="I2259" s="1">
        <v>1</v>
      </c>
      <c r="J2259" s="3">
        <v>81098</v>
      </c>
      <c r="K2259" s="3">
        <v>77385</v>
      </c>
      <c r="L2259" s="1">
        <v>0</v>
      </c>
      <c r="M2259" s="4">
        <v>0</v>
      </c>
      <c r="N2259" s="3">
        <v>3713</v>
      </c>
      <c r="O2259" s="4">
        <v>4.5999999999999999E-2</v>
      </c>
      <c r="P2259" s="1" t="s">
        <v>2721</v>
      </c>
    </row>
    <row r="2260" spans="1:16">
      <c r="A2260" s="1" t="s">
        <v>15</v>
      </c>
      <c r="B2260" s="1">
        <v>11</v>
      </c>
      <c r="C2260" s="1" t="s">
        <v>6305</v>
      </c>
      <c r="D2260" s="1" t="s">
        <v>27</v>
      </c>
      <c r="E2260" s="2">
        <v>45978</v>
      </c>
      <c r="F2260" s="1" t="s">
        <v>28</v>
      </c>
      <c r="G2260" s="1" t="s">
        <v>29</v>
      </c>
      <c r="H2260" s="1" t="s">
        <v>352</v>
      </c>
      <c r="I2260" s="1">
        <v>1</v>
      </c>
      <c r="J2260" s="3">
        <v>27033</v>
      </c>
      <c r="K2260" s="3">
        <v>25795</v>
      </c>
      <c r="L2260" s="1">
        <v>0</v>
      </c>
      <c r="M2260" s="4">
        <v>0</v>
      </c>
      <c r="N2260" s="3">
        <v>1238</v>
      </c>
      <c r="O2260" s="4">
        <v>4.5999999999999999E-2</v>
      </c>
      <c r="P2260" s="1" t="s">
        <v>2721</v>
      </c>
    </row>
    <row r="2261" spans="1:16">
      <c r="A2261" s="1" t="s">
        <v>15</v>
      </c>
      <c r="B2261" s="1">
        <v>11</v>
      </c>
      <c r="C2261" s="1" t="s">
        <v>6306</v>
      </c>
      <c r="D2261" s="1" t="s">
        <v>777</v>
      </c>
      <c r="E2261" s="2">
        <v>45978</v>
      </c>
      <c r="F2261" s="1" t="s">
        <v>256</v>
      </c>
      <c r="G2261" s="1" t="s">
        <v>778</v>
      </c>
      <c r="H2261" s="1" t="s">
        <v>779</v>
      </c>
      <c r="I2261" s="1">
        <v>1</v>
      </c>
      <c r="J2261" s="3">
        <v>11010</v>
      </c>
      <c r="K2261" s="3">
        <v>10506</v>
      </c>
      <c r="L2261" s="1">
        <v>0</v>
      </c>
      <c r="M2261" s="4">
        <v>0</v>
      </c>
      <c r="N2261" s="1">
        <v>504</v>
      </c>
      <c r="O2261" s="4">
        <v>4.5999999999999999E-2</v>
      </c>
      <c r="P2261" s="1" t="s">
        <v>2721</v>
      </c>
    </row>
    <row r="2262" spans="1:16">
      <c r="A2262" s="1" t="s">
        <v>15</v>
      </c>
      <c r="B2262" s="1">
        <v>11</v>
      </c>
      <c r="C2262" s="1" t="s">
        <v>6307</v>
      </c>
      <c r="D2262" s="1" t="s">
        <v>1177</v>
      </c>
      <c r="E2262" s="2">
        <v>45978</v>
      </c>
      <c r="F2262" s="1" t="s">
        <v>251</v>
      </c>
      <c r="G2262" s="1" t="s">
        <v>1178</v>
      </c>
      <c r="H2262" s="1" t="s">
        <v>1179</v>
      </c>
      <c r="I2262" s="1">
        <v>1</v>
      </c>
      <c r="J2262" s="3">
        <v>21429</v>
      </c>
      <c r="K2262" s="3">
        <v>20448</v>
      </c>
      <c r="L2262" s="1">
        <v>0</v>
      </c>
      <c r="M2262" s="4">
        <v>0</v>
      </c>
      <c r="N2262" s="1">
        <v>981</v>
      </c>
      <c r="O2262" s="4">
        <v>4.5999999999999999E-2</v>
      </c>
      <c r="P2262" s="1" t="s">
        <v>2721</v>
      </c>
    </row>
    <row r="2263" spans="1:16">
      <c r="A2263" s="1" t="s">
        <v>15</v>
      </c>
      <c r="B2263" s="1">
        <v>11</v>
      </c>
      <c r="C2263" s="1" t="s">
        <v>6308</v>
      </c>
      <c r="D2263" s="1" t="s">
        <v>1346</v>
      </c>
      <c r="E2263" s="2">
        <v>45978</v>
      </c>
      <c r="F2263" s="1" t="s">
        <v>317</v>
      </c>
      <c r="G2263" s="1" t="s">
        <v>1347</v>
      </c>
      <c r="H2263" s="1" t="s">
        <v>6309</v>
      </c>
      <c r="I2263" s="1">
        <v>1</v>
      </c>
      <c r="J2263" s="3">
        <v>29982</v>
      </c>
      <c r="K2263" s="3">
        <v>28609</v>
      </c>
      <c r="L2263" s="1">
        <v>0</v>
      </c>
      <c r="M2263" s="4">
        <v>0</v>
      </c>
      <c r="N2263" s="3">
        <v>1373</v>
      </c>
      <c r="O2263" s="4">
        <v>4.5999999999999999E-2</v>
      </c>
      <c r="P2263" s="1" t="s">
        <v>2721</v>
      </c>
    </row>
    <row r="2264" spans="1:16">
      <c r="A2264" s="1" t="s">
        <v>15</v>
      </c>
      <c r="B2264" s="1">
        <v>11</v>
      </c>
      <c r="C2264" s="1" t="s">
        <v>6310</v>
      </c>
      <c r="D2264" s="1" t="s">
        <v>797</v>
      </c>
      <c r="E2264" s="2">
        <v>45978</v>
      </c>
      <c r="F2264" s="1" t="s">
        <v>798</v>
      </c>
      <c r="G2264" s="1" t="s">
        <v>799</v>
      </c>
      <c r="H2264" s="1" t="s">
        <v>832</v>
      </c>
      <c r="I2264" s="1">
        <v>1</v>
      </c>
      <c r="J2264" s="3">
        <v>13271</v>
      </c>
      <c r="K2264" s="3">
        <v>12663</v>
      </c>
      <c r="L2264" s="1">
        <v>0</v>
      </c>
      <c r="M2264" s="4">
        <v>0</v>
      </c>
      <c r="N2264" s="1">
        <v>608</v>
      </c>
      <c r="O2264" s="4">
        <v>4.5999999999999999E-2</v>
      </c>
      <c r="P2264" s="1" t="s">
        <v>2721</v>
      </c>
    </row>
    <row r="2265" spans="1:16">
      <c r="A2265" s="1" t="s">
        <v>15</v>
      </c>
      <c r="B2265" s="1">
        <v>11</v>
      </c>
      <c r="C2265" s="1" t="s">
        <v>6311</v>
      </c>
      <c r="D2265" s="1" t="s">
        <v>6312</v>
      </c>
      <c r="E2265" s="2">
        <v>45978</v>
      </c>
      <c r="F2265" s="1" t="s">
        <v>360</v>
      </c>
      <c r="G2265" s="1" t="s">
        <v>6313</v>
      </c>
      <c r="H2265" s="1" t="s">
        <v>6314</v>
      </c>
      <c r="I2265" s="1">
        <v>1</v>
      </c>
      <c r="J2265" s="3">
        <v>11501</v>
      </c>
      <c r="K2265" s="3">
        <v>10975</v>
      </c>
      <c r="L2265" s="1">
        <v>0</v>
      </c>
      <c r="M2265" s="4">
        <v>0</v>
      </c>
      <c r="N2265" s="1">
        <v>526</v>
      </c>
      <c r="O2265" s="4">
        <v>4.5999999999999999E-2</v>
      </c>
      <c r="P2265" s="1" t="s">
        <v>2721</v>
      </c>
    </row>
    <row r="2266" spans="1:16">
      <c r="A2266" s="1" t="s">
        <v>15</v>
      </c>
      <c r="B2266" s="1">
        <v>11</v>
      </c>
      <c r="C2266" s="1" t="s">
        <v>6311</v>
      </c>
      <c r="D2266" s="1" t="s">
        <v>6312</v>
      </c>
      <c r="E2266" s="2">
        <v>45978</v>
      </c>
      <c r="F2266" s="1" t="s">
        <v>360</v>
      </c>
      <c r="G2266" s="1" t="s">
        <v>6313</v>
      </c>
      <c r="H2266" s="1" t="s">
        <v>6315</v>
      </c>
      <c r="I2266" s="1">
        <v>1</v>
      </c>
      <c r="J2266" s="3">
        <v>11501</v>
      </c>
      <c r="K2266" s="3">
        <v>10975</v>
      </c>
      <c r="L2266" s="1">
        <v>0</v>
      </c>
      <c r="M2266" s="4">
        <v>0</v>
      </c>
      <c r="N2266" s="1">
        <v>526</v>
      </c>
      <c r="O2266" s="4">
        <v>4.5999999999999999E-2</v>
      </c>
      <c r="P2266" s="1" t="s">
        <v>2721</v>
      </c>
    </row>
    <row r="2267" spans="1:16">
      <c r="A2267" s="1" t="s">
        <v>15</v>
      </c>
      <c r="B2267" s="1">
        <v>11</v>
      </c>
      <c r="C2267" s="1" t="s">
        <v>6311</v>
      </c>
      <c r="D2267" s="1" t="s">
        <v>6312</v>
      </c>
      <c r="E2267" s="2">
        <v>45978</v>
      </c>
      <c r="F2267" s="1" t="s">
        <v>360</v>
      </c>
      <c r="G2267" s="1" t="s">
        <v>6313</v>
      </c>
      <c r="H2267" s="1" t="s">
        <v>6316</v>
      </c>
      <c r="I2267" s="1">
        <v>1</v>
      </c>
      <c r="J2267" s="3">
        <v>11501</v>
      </c>
      <c r="K2267" s="3">
        <v>10975</v>
      </c>
      <c r="L2267" s="1">
        <v>0</v>
      </c>
      <c r="M2267" s="4">
        <v>0</v>
      </c>
      <c r="N2267" s="1">
        <v>526</v>
      </c>
      <c r="O2267" s="4">
        <v>4.5999999999999999E-2</v>
      </c>
      <c r="P2267" s="1" t="s">
        <v>2721</v>
      </c>
    </row>
    <row r="2268" spans="1:16">
      <c r="A2268" s="1" t="s">
        <v>15</v>
      </c>
      <c r="B2268" s="1">
        <v>11</v>
      </c>
      <c r="C2268" s="1" t="s">
        <v>6317</v>
      </c>
      <c r="D2268" s="1" t="s">
        <v>80</v>
      </c>
      <c r="E2268" s="2">
        <v>45978</v>
      </c>
      <c r="F2268" s="1" t="s">
        <v>58</v>
      </c>
      <c r="G2268" s="1" t="s">
        <v>81</v>
      </c>
      <c r="H2268" s="1" t="s">
        <v>2297</v>
      </c>
      <c r="I2268" s="1">
        <v>1</v>
      </c>
      <c r="J2268" s="3">
        <v>17301</v>
      </c>
      <c r="K2268" s="3">
        <v>16509</v>
      </c>
      <c r="L2268" s="1">
        <v>0</v>
      </c>
      <c r="M2268" s="4">
        <v>0</v>
      </c>
      <c r="N2268" s="1">
        <v>792</v>
      </c>
      <c r="O2268" s="4">
        <v>4.5999999999999999E-2</v>
      </c>
      <c r="P2268" s="1" t="s">
        <v>2721</v>
      </c>
    </row>
    <row r="2269" spans="1:16">
      <c r="A2269" s="1" t="s">
        <v>15</v>
      </c>
      <c r="B2269" s="1">
        <v>11</v>
      </c>
      <c r="C2269" s="1" t="s">
        <v>6317</v>
      </c>
      <c r="D2269" s="1" t="s">
        <v>80</v>
      </c>
      <c r="E2269" s="2">
        <v>45978</v>
      </c>
      <c r="F2269" s="1" t="s">
        <v>58</v>
      </c>
      <c r="G2269" s="1" t="s">
        <v>81</v>
      </c>
      <c r="H2269" s="1" t="s">
        <v>3867</v>
      </c>
      <c r="I2269" s="1">
        <v>1</v>
      </c>
      <c r="J2269" s="3">
        <v>17301</v>
      </c>
      <c r="K2269" s="3">
        <v>16509</v>
      </c>
      <c r="L2269" s="1">
        <v>0</v>
      </c>
      <c r="M2269" s="4">
        <v>0</v>
      </c>
      <c r="N2269" s="1">
        <v>792</v>
      </c>
      <c r="O2269" s="4">
        <v>4.5999999999999999E-2</v>
      </c>
      <c r="P2269" s="1" t="s">
        <v>2721</v>
      </c>
    </row>
    <row r="2270" spans="1:16">
      <c r="A2270" s="1" t="s">
        <v>15</v>
      </c>
      <c r="B2270" s="1">
        <v>11</v>
      </c>
      <c r="C2270" s="1" t="s">
        <v>6318</v>
      </c>
      <c r="D2270" s="1" t="s">
        <v>333</v>
      </c>
      <c r="E2270" s="2">
        <v>45978</v>
      </c>
      <c r="F2270" s="1" t="s">
        <v>334</v>
      </c>
      <c r="G2270" s="1" t="s">
        <v>335</v>
      </c>
      <c r="H2270" s="1" t="s">
        <v>1408</v>
      </c>
      <c r="I2270" s="1">
        <v>3</v>
      </c>
      <c r="J2270" s="3">
        <v>16514</v>
      </c>
      <c r="K2270" s="3">
        <v>15758</v>
      </c>
      <c r="L2270" s="1">
        <v>0</v>
      </c>
      <c r="M2270" s="4">
        <v>0</v>
      </c>
      <c r="N2270" s="1">
        <v>756</v>
      </c>
      <c r="O2270" s="4">
        <v>4.5999999999999999E-2</v>
      </c>
      <c r="P2270" s="1" t="s">
        <v>2721</v>
      </c>
    </row>
    <row r="2271" spans="1:16">
      <c r="A2271" s="1" t="s">
        <v>15</v>
      </c>
      <c r="B2271" s="1">
        <v>11</v>
      </c>
      <c r="C2271" s="1" t="s">
        <v>6319</v>
      </c>
      <c r="D2271" s="1" t="s">
        <v>1049</v>
      </c>
      <c r="E2271" s="2">
        <v>45978</v>
      </c>
      <c r="F2271" s="1" t="s">
        <v>469</v>
      </c>
      <c r="G2271" s="1" t="s">
        <v>1050</v>
      </c>
      <c r="H2271" s="1" t="s">
        <v>1117</v>
      </c>
      <c r="I2271" s="1">
        <v>2</v>
      </c>
      <c r="J2271" s="3">
        <v>31456</v>
      </c>
      <c r="K2271" s="3">
        <v>30016</v>
      </c>
      <c r="L2271" s="1">
        <v>0</v>
      </c>
      <c r="M2271" s="4">
        <v>0</v>
      </c>
      <c r="N2271" s="3">
        <v>1440</v>
      </c>
      <c r="O2271" s="4">
        <v>4.5999999999999999E-2</v>
      </c>
      <c r="P2271" s="1" t="s">
        <v>2721</v>
      </c>
    </row>
    <row r="2272" spans="1:16">
      <c r="A2272" s="1" t="s">
        <v>15</v>
      </c>
      <c r="B2272" s="1">
        <v>11</v>
      </c>
      <c r="C2272" s="1" t="s">
        <v>6320</v>
      </c>
      <c r="D2272" s="1" t="s">
        <v>960</v>
      </c>
      <c r="E2272" s="2">
        <v>45978</v>
      </c>
      <c r="F2272" s="1" t="s">
        <v>407</v>
      </c>
      <c r="G2272" s="1" t="s">
        <v>961</v>
      </c>
      <c r="H2272" s="1" t="s">
        <v>2830</v>
      </c>
      <c r="I2272" s="1">
        <v>1</v>
      </c>
      <c r="J2272" s="3">
        <v>16711</v>
      </c>
      <c r="K2272" s="3">
        <v>15946</v>
      </c>
      <c r="L2272" s="1">
        <v>0</v>
      </c>
      <c r="M2272" s="4">
        <v>0</v>
      </c>
      <c r="N2272" s="1">
        <v>765</v>
      </c>
      <c r="O2272" s="4">
        <v>4.5999999999999999E-2</v>
      </c>
      <c r="P2272" s="1" t="s">
        <v>2721</v>
      </c>
    </row>
    <row r="2273" spans="1:16">
      <c r="A2273" s="1" t="s">
        <v>15</v>
      </c>
      <c r="B2273" s="1">
        <v>11</v>
      </c>
      <c r="C2273" s="1" t="s">
        <v>6321</v>
      </c>
      <c r="D2273" s="1" t="s">
        <v>1687</v>
      </c>
      <c r="E2273" s="2">
        <v>45978</v>
      </c>
      <c r="F2273" s="1" t="s">
        <v>1688</v>
      </c>
      <c r="G2273" s="1" t="s">
        <v>1689</v>
      </c>
      <c r="H2273" s="1" t="s">
        <v>1690</v>
      </c>
      <c r="I2273" s="1">
        <v>1</v>
      </c>
      <c r="J2273" s="3">
        <v>30896</v>
      </c>
      <c r="K2273" s="3">
        <v>29481</v>
      </c>
      <c r="L2273" s="1">
        <v>0</v>
      </c>
      <c r="M2273" s="4">
        <v>0</v>
      </c>
      <c r="N2273" s="3">
        <v>1415</v>
      </c>
      <c r="O2273" s="4">
        <v>4.5999999999999999E-2</v>
      </c>
      <c r="P2273" s="1" t="s">
        <v>2721</v>
      </c>
    </row>
    <row r="2274" spans="1:16">
      <c r="A2274" s="1" t="s">
        <v>15</v>
      </c>
      <c r="B2274" s="1">
        <v>11</v>
      </c>
      <c r="C2274" s="1" t="s">
        <v>6322</v>
      </c>
      <c r="D2274" s="1" t="s">
        <v>132</v>
      </c>
      <c r="E2274" s="2">
        <v>45978</v>
      </c>
      <c r="F2274" s="1" t="s">
        <v>53</v>
      </c>
      <c r="G2274" s="1" t="s">
        <v>133</v>
      </c>
      <c r="H2274" s="1" t="s">
        <v>88</v>
      </c>
      <c r="I2274" s="1">
        <v>1</v>
      </c>
      <c r="J2274" s="3">
        <v>17036</v>
      </c>
      <c r="K2274" s="3">
        <v>16256</v>
      </c>
      <c r="L2274" s="1">
        <v>0</v>
      </c>
      <c r="M2274" s="4">
        <v>0</v>
      </c>
      <c r="N2274" s="1">
        <v>780</v>
      </c>
      <c r="O2274" s="4">
        <v>4.5999999999999999E-2</v>
      </c>
      <c r="P2274" s="1" t="s">
        <v>2721</v>
      </c>
    </row>
    <row r="2275" spans="1:16">
      <c r="A2275" s="1" t="s">
        <v>15</v>
      </c>
      <c r="B2275" s="1">
        <v>11</v>
      </c>
      <c r="C2275" s="1" t="s">
        <v>6323</v>
      </c>
      <c r="D2275" s="1" t="s">
        <v>6324</v>
      </c>
      <c r="E2275" s="2">
        <v>45978</v>
      </c>
      <c r="F2275" s="1" t="s">
        <v>1772</v>
      </c>
      <c r="G2275" s="1" t="s">
        <v>6325</v>
      </c>
      <c r="H2275" s="1" t="s">
        <v>6326</v>
      </c>
      <c r="I2275" s="1">
        <v>2</v>
      </c>
      <c r="J2275" s="3">
        <v>74315</v>
      </c>
      <c r="K2275" s="3">
        <v>70913</v>
      </c>
      <c r="L2275" s="1">
        <v>0</v>
      </c>
      <c r="M2275" s="4">
        <v>0</v>
      </c>
      <c r="N2275" s="3">
        <v>3402</v>
      </c>
      <c r="O2275" s="4">
        <v>4.5999999999999999E-2</v>
      </c>
      <c r="P2275" s="1" t="s">
        <v>2721</v>
      </c>
    </row>
    <row r="2276" spans="1:16">
      <c r="A2276" s="1" t="s">
        <v>15</v>
      </c>
      <c r="B2276" s="1">
        <v>11</v>
      </c>
      <c r="C2276" s="1" t="s">
        <v>6327</v>
      </c>
      <c r="D2276" s="1" t="s">
        <v>132</v>
      </c>
      <c r="E2276" s="2">
        <v>45978</v>
      </c>
      <c r="F2276" s="1" t="s">
        <v>53</v>
      </c>
      <c r="G2276" s="1" t="s">
        <v>133</v>
      </c>
      <c r="H2276" s="1" t="s">
        <v>88</v>
      </c>
      <c r="I2276" s="1">
        <v>1</v>
      </c>
      <c r="J2276" s="3">
        <v>17036</v>
      </c>
      <c r="K2276" s="3">
        <v>16256</v>
      </c>
      <c r="L2276" s="1">
        <v>0</v>
      </c>
      <c r="M2276" s="4">
        <v>0</v>
      </c>
      <c r="N2276" s="1">
        <v>780</v>
      </c>
      <c r="O2276" s="4">
        <v>4.5999999999999999E-2</v>
      </c>
      <c r="P2276" s="1" t="s">
        <v>2721</v>
      </c>
    </row>
    <row r="2277" spans="1:16">
      <c r="A2277" s="1" t="s">
        <v>15</v>
      </c>
      <c r="B2277" s="1">
        <v>11</v>
      </c>
      <c r="C2277" s="1" t="s">
        <v>6328</v>
      </c>
      <c r="D2277" s="1" t="s">
        <v>1346</v>
      </c>
      <c r="E2277" s="2">
        <v>45978</v>
      </c>
      <c r="F2277" s="1" t="s">
        <v>317</v>
      </c>
      <c r="G2277" s="1" t="s">
        <v>1347</v>
      </c>
      <c r="H2277" s="1" t="s">
        <v>1348</v>
      </c>
      <c r="I2277" s="1">
        <v>1</v>
      </c>
      <c r="J2277" s="3">
        <v>32439</v>
      </c>
      <c r="K2277" s="3">
        <v>30954</v>
      </c>
      <c r="L2277" s="1">
        <v>0</v>
      </c>
      <c r="M2277" s="4">
        <v>0</v>
      </c>
      <c r="N2277" s="3">
        <v>1485</v>
      </c>
      <c r="O2277" s="4">
        <v>4.5999999999999999E-2</v>
      </c>
      <c r="P2277" s="1" t="s">
        <v>2721</v>
      </c>
    </row>
    <row r="2278" spans="1:16">
      <c r="A2278" s="1" t="s">
        <v>15</v>
      </c>
      <c r="B2278" s="1">
        <v>11</v>
      </c>
      <c r="C2278" s="1" t="s">
        <v>6329</v>
      </c>
      <c r="D2278" s="1" t="s">
        <v>341</v>
      </c>
      <c r="E2278" s="2">
        <v>45978</v>
      </c>
      <c r="F2278" s="1" t="s">
        <v>53</v>
      </c>
      <c r="G2278" s="1" t="s">
        <v>342</v>
      </c>
      <c r="H2278" s="1" t="s">
        <v>343</v>
      </c>
      <c r="I2278" s="1">
        <v>1</v>
      </c>
      <c r="J2278" s="3">
        <v>16135</v>
      </c>
      <c r="K2278" s="3">
        <v>15396</v>
      </c>
      <c r="L2278" s="1">
        <v>0</v>
      </c>
      <c r="M2278" s="4">
        <v>0</v>
      </c>
      <c r="N2278" s="1">
        <v>739</v>
      </c>
      <c r="O2278" s="4">
        <v>4.5999999999999999E-2</v>
      </c>
      <c r="P2278" s="1" t="s">
        <v>2721</v>
      </c>
    </row>
    <row r="2279" spans="1:16">
      <c r="A2279" s="1" t="s">
        <v>15</v>
      </c>
      <c r="B2279" s="1">
        <v>11</v>
      </c>
      <c r="C2279" s="1" t="s">
        <v>6329</v>
      </c>
      <c r="D2279" s="1" t="s">
        <v>52</v>
      </c>
      <c r="E2279" s="2">
        <v>45978</v>
      </c>
      <c r="F2279" s="1" t="s">
        <v>53</v>
      </c>
      <c r="G2279" s="1" t="s">
        <v>54</v>
      </c>
      <c r="H2279" s="1" t="s">
        <v>248</v>
      </c>
      <c r="I2279" s="1">
        <v>1</v>
      </c>
      <c r="J2279" s="3">
        <v>16135</v>
      </c>
      <c r="K2279" s="3">
        <v>15396</v>
      </c>
      <c r="L2279" s="1">
        <v>0</v>
      </c>
      <c r="M2279" s="4">
        <v>0</v>
      </c>
      <c r="N2279" s="1">
        <v>739</v>
      </c>
      <c r="O2279" s="4">
        <v>4.5999999999999999E-2</v>
      </c>
      <c r="P2279" s="1" t="s">
        <v>2721</v>
      </c>
    </row>
    <row r="2280" spans="1:16">
      <c r="A2280" s="1" t="s">
        <v>15</v>
      </c>
      <c r="B2280" s="1">
        <v>11</v>
      </c>
      <c r="C2280" s="1" t="s">
        <v>6330</v>
      </c>
      <c r="D2280" s="1" t="s">
        <v>504</v>
      </c>
      <c r="E2280" s="2">
        <v>45978</v>
      </c>
      <c r="F2280" s="1" t="s">
        <v>407</v>
      </c>
      <c r="G2280" s="1" t="s">
        <v>505</v>
      </c>
      <c r="H2280" s="1" t="s">
        <v>1004</v>
      </c>
      <c r="I2280" s="1">
        <v>1</v>
      </c>
      <c r="J2280" s="3">
        <v>9339</v>
      </c>
      <c r="K2280" s="3">
        <v>8911</v>
      </c>
      <c r="L2280" s="1">
        <v>0</v>
      </c>
      <c r="M2280" s="4">
        <v>0</v>
      </c>
      <c r="N2280" s="1">
        <v>428</v>
      </c>
      <c r="O2280" s="4">
        <v>4.5999999999999999E-2</v>
      </c>
      <c r="P2280" s="1" t="s">
        <v>2721</v>
      </c>
    </row>
    <row r="2281" spans="1:16">
      <c r="A2281" s="1" t="s">
        <v>15</v>
      </c>
      <c r="B2281" s="1">
        <v>11</v>
      </c>
      <c r="C2281" s="1" t="s">
        <v>6330</v>
      </c>
      <c r="D2281" s="1" t="s">
        <v>1452</v>
      </c>
      <c r="E2281" s="2">
        <v>45978</v>
      </c>
      <c r="F2281" s="1" t="s">
        <v>407</v>
      </c>
      <c r="G2281" s="1" t="s">
        <v>1453</v>
      </c>
      <c r="H2281" s="1" t="s">
        <v>1474</v>
      </c>
      <c r="I2281" s="1">
        <v>1</v>
      </c>
      <c r="J2281" s="3">
        <v>11305</v>
      </c>
      <c r="K2281" s="3">
        <v>10787</v>
      </c>
      <c r="L2281" s="1">
        <v>0</v>
      </c>
      <c r="M2281" s="4">
        <v>0</v>
      </c>
      <c r="N2281" s="1">
        <v>518</v>
      </c>
      <c r="O2281" s="4">
        <v>4.5999999999999999E-2</v>
      </c>
      <c r="P2281" s="1" t="s">
        <v>2721</v>
      </c>
    </row>
    <row r="2282" spans="1:16">
      <c r="A2282" s="1" t="s">
        <v>15</v>
      </c>
      <c r="B2282" s="1">
        <v>11</v>
      </c>
      <c r="C2282" s="1" t="s">
        <v>6331</v>
      </c>
      <c r="D2282" s="1" t="s">
        <v>1254</v>
      </c>
      <c r="E2282" s="2">
        <v>45978</v>
      </c>
      <c r="F2282" s="1" t="s">
        <v>1255</v>
      </c>
      <c r="G2282" s="1" t="s">
        <v>1256</v>
      </c>
      <c r="H2282" s="1" t="s">
        <v>2868</v>
      </c>
      <c r="I2282" s="1">
        <v>1</v>
      </c>
      <c r="J2282" s="3">
        <v>176842</v>
      </c>
      <c r="K2282" s="3">
        <v>168746</v>
      </c>
      <c r="L2282" s="1">
        <v>0</v>
      </c>
      <c r="M2282" s="4">
        <v>0</v>
      </c>
      <c r="N2282" s="3">
        <v>8096</v>
      </c>
      <c r="O2282" s="4">
        <v>4.5999999999999999E-2</v>
      </c>
      <c r="P2282" s="1" t="s">
        <v>2721</v>
      </c>
    </row>
    <row r="2283" spans="1:16">
      <c r="A2283" s="1" t="s">
        <v>15</v>
      </c>
      <c r="B2283" s="1">
        <v>11</v>
      </c>
      <c r="C2283" s="1" t="s">
        <v>6332</v>
      </c>
      <c r="D2283" s="1" t="s">
        <v>6333</v>
      </c>
      <c r="E2283" s="2">
        <v>45978</v>
      </c>
      <c r="F2283" s="1" t="s">
        <v>292</v>
      </c>
      <c r="G2283" s="1" t="s">
        <v>6334</v>
      </c>
      <c r="H2283" s="1" t="s">
        <v>6335</v>
      </c>
      <c r="I2283" s="1">
        <v>1</v>
      </c>
      <c r="J2283" s="3">
        <v>32832</v>
      </c>
      <c r="K2283" s="3">
        <v>31329</v>
      </c>
      <c r="L2283" s="1">
        <v>0</v>
      </c>
      <c r="M2283" s="4">
        <v>0</v>
      </c>
      <c r="N2283" s="3">
        <v>1503</v>
      </c>
      <c r="O2283" s="4">
        <v>4.5999999999999999E-2</v>
      </c>
      <c r="P2283" s="1" t="s">
        <v>2721</v>
      </c>
    </row>
    <row r="2284" spans="1:16">
      <c r="A2284" s="1" t="s">
        <v>15</v>
      </c>
      <c r="B2284" s="1">
        <v>11</v>
      </c>
      <c r="C2284" s="1" t="s">
        <v>6336</v>
      </c>
      <c r="D2284" s="1" t="s">
        <v>132</v>
      </c>
      <c r="E2284" s="2">
        <v>45978</v>
      </c>
      <c r="F2284" s="1" t="s">
        <v>53</v>
      </c>
      <c r="G2284" s="1" t="s">
        <v>133</v>
      </c>
      <c r="H2284" s="1" t="s">
        <v>88</v>
      </c>
      <c r="I2284" s="1">
        <v>1</v>
      </c>
      <c r="J2284" s="3">
        <v>17036</v>
      </c>
      <c r="K2284" s="3">
        <v>16256</v>
      </c>
      <c r="L2284" s="1">
        <v>0</v>
      </c>
      <c r="M2284" s="4">
        <v>0</v>
      </c>
      <c r="N2284" s="1">
        <v>780</v>
      </c>
      <c r="O2284" s="4">
        <v>4.5999999999999999E-2</v>
      </c>
      <c r="P2284" s="1" t="s">
        <v>2721</v>
      </c>
    </row>
    <row r="2285" spans="1:16">
      <c r="A2285" s="1" t="s">
        <v>15</v>
      </c>
      <c r="B2285" s="1">
        <v>11</v>
      </c>
      <c r="C2285" s="1" t="s">
        <v>6337</v>
      </c>
      <c r="D2285" s="1" t="s">
        <v>4156</v>
      </c>
      <c r="E2285" s="2">
        <v>45978</v>
      </c>
      <c r="F2285" s="1" t="s">
        <v>53</v>
      </c>
      <c r="G2285" s="1" t="s">
        <v>4157</v>
      </c>
      <c r="H2285" s="1" t="s">
        <v>6338</v>
      </c>
      <c r="I2285" s="1">
        <v>1</v>
      </c>
      <c r="J2285" s="3">
        <v>9825</v>
      </c>
      <c r="K2285" s="3">
        <v>9375</v>
      </c>
      <c r="L2285" s="1">
        <v>0</v>
      </c>
      <c r="M2285" s="4">
        <v>0</v>
      </c>
      <c r="N2285" s="1">
        <v>450</v>
      </c>
      <c r="O2285" s="4">
        <v>4.5999999999999999E-2</v>
      </c>
      <c r="P2285" s="1" t="s">
        <v>2721</v>
      </c>
    </row>
    <row r="2286" spans="1:16">
      <c r="A2286" s="1" t="s">
        <v>15</v>
      </c>
      <c r="B2286" s="1">
        <v>11</v>
      </c>
      <c r="C2286" s="1" t="s">
        <v>6337</v>
      </c>
      <c r="D2286" s="1" t="s">
        <v>4156</v>
      </c>
      <c r="E2286" s="2">
        <v>45978</v>
      </c>
      <c r="F2286" s="1" t="s">
        <v>53</v>
      </c>
      <c r="G2286" s="1" t="s">
        <v>4157</v>
      </c>
      <c r="H2286" s="1" t="s">
        <v>4158</v>
      </c>
      <c r="I2286" s="1">
        <v>1</v>
      </c>
      <c r="J2286" s="3">
        <v>9825</v>
      </c>
      <c r="K2286" s="3">
        <v>9375</v>
      </c>
      <c r="L2286" s="1">
        <v>0</v>
      </c>
      <c r="M2286" s="4">
        <v>0</v>
      </c>
      <c r="N2286" s="1">
        <v>450</v>
      </c>
      <c r="O2286" s="4">
        <v>4.5999999999999999E-2</v>
      </c>
      <c r="P2286" s="1" t="s">
        <v>2721</v>
      </c>
    </row>
    <row r="2287" spans="1:16">
      <c r="A2287" s="1" t="s">
        <v>15</v>
      </c>
      <c r="B2287" s="1">
        <v>11</v>
      </c>
      <c r="C2287" s="1" t="s">
        <v>6339</v>
      </c>
      <c r="D2287" s="1" t="s">
        <v>86</v>
      </c>
      <c r="E2287" s="2">
        <v>45978</v>
      </c>
      <c r="F2287" s="1" t="s">
        <v>53</v>
      </c>
      <c r="G2287" s="1" t="s">
        <v>87</v>
      </c>
      <c r="H2287" s="1" t="s">
        <v>88</v>
      </c>
      <c r="I2287" s="1">
        <v>1</v>
      </c>
      <c r="J2287" s="3">
        <v>14956</v>
      </c>
      <c r="K2287" s="3">
        <v>14272</v>
      </c>
      <c r="L2287" s="1">
        <v>0</v>
      </c>
      <c r="M2287" s="4">
        <v>0</v>
      </c>
      <c r="N2287" s="1">
        <v>684</v>
      </c>
      <c r="O2287" s="4">
        <v>4.5999999999999999E-2</v>
      </c>
      <c r="P2287" s="1" t="s">
        <v>2721</v>
      </c>
    </row>
    <row r="2288" spans="1:16">
      <c r="A2288" s="1" t="s">
        <v>15</v>
      </c>
      <c r="B2288" s="1">
        <v>11</v>
      </c>
      <c r="C2288" s="1" t="s">
        <v>6340</v>
      </c>
      <c r="D2288" s="1" t="s">
        <v>311</v>
      </c>
      <c r="E2288" s="2">
        <v>45978</v>
      </c>
      <c r="F2288" s="1" t="s">
        <v>312</v>
      </c>
      <c r="G2288" s="1" t="s">
        <v>313</v>
      </c>
      <c r="H2288" s="1" t="s">
        <v>3752</v>
      </c>
      <c r="I2288" s="1">
        <v>1</v>
      </c>
      <c r="J2288" s="3">
        <v>28310</v>
      </c>
      <c r="K2288" s="3">
        <v>27014</v>
      </c>
      <c r="L2288" s="1">
        <v>0</v>
      </c>
      <c r="M2288" s="4">
        <v>0</v>
      </c>
      <c r="N2288" s="3">
        <v>1296</v>
      </c>
      <c r="O2288" s="4">
        <v>4.5999999999999999E-2</v>
      </c>
      <c r="P2288" s="1" t="s">
        <v>2721</v>
      </c>
    </row>
    <row r="2289" spans="1:16">
      <c r="A2289" s="1" t="s">
        <v>15</v>
      </c>
      <c r="B2289" s="1">
        <v>11</v>
      </c>
      <c r="C2289" s="1" t="s">
        <v>6341</v>
      </c>
      <c r="D2289" s="1" t="s">
        <v>2398</v>
      </c>
      <c r="E2289" s="2">
        <v>45978</v>
      </c>
      <c r="F2289" s="1" t="s">
        <v>63</v>
      </c>
      <c r="G2289" s="1" t="s">
        <v>2399</v>
      </c>
      <c r="H2289" s="1" t="s">
        <v>2400</v>
      </c>
      <c r="I2289" s="1">
        <v>1</v>
      </c>
      <c r="J2289" s="3">
        <v>32001</v>
      </c>
      <c r="K2289" s="3">
        <v>30536</v>
      </c>
      <c r="L2289" s="1">
        <v>0</v>
      </c>
      <c r="M2289" s="4">
        <v>0</v>
      </c>
      <c r="N2289" s="3">
        <v>1465</v>
      </c>
      <c r="O2289" s="4">
        <v>4.5999999999999999E-2</v>
      </c>
      <c r="P2289" s="1" t="s">
        <v>2721</v>
      </c>
    </row>
    <row r="2290" spans="1:16">
      <c r="A2290" s="1" t="s">
        <v>15</v>
      </c>
      <c r="B2290" s="1">
        <v>11</v>
      </c>
      <c r="C2290" s="1" t="s">
        <v>6342</v>
      </c>
      <c r="D2290" s="1" t="s">
        <v>3292</v>
      </c>
      <c r="E2290" s="2">
        <v>45978</v>
      </c>
      <c r="F2290" s="1" t="s">
        <v>239</v>
      </c>
      <c r="G2290" s="1" t="s">
        <v>3293</v>
      </c>
      <c r="H2290" s="1" t="s">
        <v>3368</v>
      </c>
      <c r="I2290" s="1">
        <v>1</v>
      </c>
      <c r="J2290" s="3">
        <v>11305</v>
      </c>
      <c r="K2290" s="3">
        <v>10787</v>
      </c>
      <c r="L2290" s="1">
        <v>0</v>
      </c>
      <c r="M2290" s="4">
        <v>0</v>
      </c>
      <c r="N2290" s="1">
        <v>518</v>
      </c>
      <c r="O2290" s="4">
        <v>4.5999999999999999E-2</v>
      </c>
      <c r="P2290" s="1" t="s">
        <v>2721</v>
      </c>
    </row>
    <row r="2291" spans="1:16">
      <c r="A2291" s="1" t="s">
        <v>15</v>
      </c>
      <c r="B2291" s="1">
        <v>11</v>
      </c>
      <c r="C2291" s="1" t="s">
        <v>6343</v>
      </c>
      <c r="D2291" s="1" t="s">
        <v>341</v>
      </c>
      <c r="E2291" s="2">
        <v>45978</v>
      </c>
      <c r="F2291" s="1" t="s">
        <v>53</v>
      </c>
      <c r="G2291" s="1" t="s">
        <v>342</v>
      </c>
      <c r="H2291" s="1" t="s">
        <v>343</v>
      </c>
      <c r="I2291" s="1">
        <v>1</v>
      </c>
      <c r="J2291" s="3">
        <v>16135</v>
      </c>
      <c r="K2291" s="3">
        <v>15396</v>
      </c>
      <c r="L2291" s="1">
        <v>0</v>
      </c>
      <c r="M2291" s="4">
        <v>0</v>
      </c>
      <c r="N2291" s="1">
        <v>739</v>
      </c>
      <c r="O2291" s="4">
        <v>4.5999999999999999E-2</v>
      </c>
      <c r="P2291" s="1" t="s">
        <v>2721</v>
      </c>
    </row>
    <row r="2292" spans="1:16">
      <c r="A2292" s="1" t="s">
        <v>15</v>
      </c>
      <c r="B2292" s="1">
        <v>11</v>
      </c>
      <c r="C2292" s="1" t="s">
        <v>6344</v>
      </c>
      <c r="D2292" s="1" t="s">
        <v>80</v>
      </c>
      <c r="E2292" s="2">
        <v>45978</v>
      </c>
      <c r="F2292" s="1" t="s">
        <v>58</v>
      </c>
      <c r="G2292" s="1" t="s">
        <v>81</v>
      </c>
      <c r="H2292" s="1" t="s">
        <v>2297</v>
      </c>
      <c r="I2292" s="1">
        <v>1</v>
      </c>
      <c r="J2292" s="3">
        <v>17301</v>
      </c>
      <c r="K2292" s="3">
        <v>16509</v>
      </c>
      <c r="L2292" s="1">
        <v>0</v>
      </c>
      <c r="M2292" s="4">
        <v>0</v>
      </c>
      <c r="N2292" s="1">
        <v>792</v>
      </c>
      <c r="O2292" s="4">
        <v>4.5999999999999999E-2</v>
      </c>
      <c r="P2292" s="1" t="s">
        <v>2721</v>
      </c>
    </row>
    <row r="2293" spans="1:16">
      <c r="A2293" s="1" t="s">
        <v>15</v>
      </c>
      <c r="B2293" s="1">
        <v>11</v>
      </c>
      <c r="C2293" s="1" t="s">
        <v>6345</v>
      </c>
      <c r="D2293" s="1" t="s">
        <v>1521</v>
      </c>
      <c r="E2293" s="2">
        <v>45978</v>
      </c>
      <c r="F2293" s="1" t="s">
        <v>235</v>
      </c>
      <c r="G2293" s="1" t="s">
        <v>1522</v>
      </c>
      <c r="H2293" s="1" t="s">
        <v>1523</v>
      </c>
      <c r="I2293" s="1">
        <v>1</v>
      </c>
      <c r="J2293" s="3">
        <v>18555</v>
      </c>
      <c r="K2293" s="3">
        <v>17706</v>
      </c>
      <c r="L2293" s="1">
        <v>0</v>
      </c>
      <c r="M2293" s="4">
        <v>0</v>
      </c>
      <c r="N2293" s="1">
        <v>849</v>
      </c>
      <c r="O2293" s="4">
        <v>4.5999999999999999E-2</v>
      </c>
      <c r="P2293" s="1" t="s">
        <v>2721</v>
      </c>
    </row>
    <row r="2294" spans="1:16">
      <c r="A2294" s="1" t="s">
        <v>15</v>
      </c>
      <c r="B2294" s="1">
        <v>11</v>
      </c>
      <c r="C2294" s="1" t="s">
        <v>6346</v>
      </c>
      <c r="D2294" s="1" t="s">
        <v>52</v>
      </c>
      <c r="E2294" s="2">
        <v>45978</v>
      </c>
      <c r="F2294" s="1" t="s">
        <v>53</v>
      </c>
      <c r="G2294" s="1" t="s">
        <v>54</v>
      </c>
      <c r="H2294" s="1" t="s">
        <v>248</v>
      </c>
      <c r="I2294" s="1">
        <v>1</v>
      </c>
      <c r="J2294" s="3">
        <v>16135</v>
      </c>
      <c r="K2294" s="3">
        <v>15396</v>
      </c>
      <c r="L2294" s="1">
        <v>0</v>
      </c>
      <c r="M2294" s="4">
        <v>0</v>
      </c>
      <c r="N2294" s="1">
        <v>739</v>
      </c>
      <c r="O2294" s="4">
        <v>4.5999999999999999E-2</v>
      </c>
      <c r="P2294" s="1" t="s">
        <v>2721</v>
      </c>
    </row>
    <row r="2295" spans="1:16">
      <c r="A2295" s="1" t="s">
        <v>15</v>
      </c>
      <c r="B2295" s="1">
        <v>11</v>
      </c>
      <c r="C2295" s="1" t="s">
        <v>6347</v>
      </c>
      <c r="D2295" s="1" t="s">
        <v>2398</v>
      </c>
      <c r="E2295" s="2">
        <v>45978</v>
      </c>
      <c r="F2295" s="1" t="s">
        <v>63</v>
      </c>
      <c r="G2295" s="1" t="s">
        <v>2399</v>
      </c>
      <c r="H2295" s="1" t="s">
        <v>2400</v>
      </c>
      <c r="I2295" s="1">
        <v>1</v>
      </c>
      <c r="J2295" s="3">
        <v>32001</v>
      </c>
      <c r="K2295" s="3">
        <v>30536</v>
      </c>
      <c r="L2295" s="1">
        <v>0</v>
      </c>
      <c r="M2295" s="4">
        <v>0</v>
      </c>
      <c r="N2295" s="3">
        <v>1465</v>
      </c>
      <c r="O2295" s="4">
        <v>4.5999999999999999E-2</v>
      </c>
      <c r="P2295" s="1" t="s">
        <v>2721</v>
      </c>
    </row>
    <row r="2296" spans="1:16">
      <c r="A2296" s="1" t="s">
        <v>15</v>
      </c>
      <c r="B2296" s="1">
        <v>11</v>
      </c>
      <c r="C2296" s="1" t="s">
        <v>6348</v>
      </c>
      <c r="D2296" s="1" t="s">
        <v>1587</v>
      </c>
      <c r="E2296" s="2">
        <v>45978</v>
      </c>
      <c r="F2296" s="1" t="s">
        <v>126</v>
      </c>
      <c r="G2296" s="1" t="s">
        <v>1588</v>
      </c>
      <c r="H2296" s="1" t="s">
        <v>6349</v>
      </c>
      <c r="I2296" s="1">
        <v>1</v>
      </c>
      <c r="J2296" s="3">
        <v>14352</v>
      </c>
      <c r="K2296" s="3">
        <v>13695</v>
      </c>
      <c r="L2296" s="1">
        <v>0</v>
      </c>
      <c r="M2296" s="4">
        <v>0</v>
      </c>
      <c r="N2296" s="1">
        <v>657</v>
      </c>
      <c r="O2296" s="4">
        <v>4.5999999999999999E-2</v>
      </c>
      <c r="P2296" s="1" t="s">
        <v>2721</v>
      </c>
    </row>
    <row r="2297" spans="1:16">
      <c r="A2297" s="1" t="s">
        <v>15</v>
      </c>
      <c r="B2297" s="1">
        <v>11</v>
      </c>
      <c r="C2297" s="1" t="s">
        <v>6348</v>
      </c>
      <c r="D2297" s="1" t="s">
        <v>4828</v>
      </c>
      <c r="E2297" s="2">
        <v>45978</v>
      </c>
      <c r="F2297" s="1" t="s">
        <v>126</v>
      </c>
      <c r="G2297" s="1" t="s">
        <v>4829</v>
      </c>
      <c r="H2297" s="1" t="s">
        <v>4830</v>
      </c>
      <c r="I2297" s="1">
        <v>1</v>
      </c>
      <c r="J2297" s="3">
        <v>17989</v>
      </c>
      <c r="K2297" s="3">
        <v>17165</v>
      </c>
      <c r="L2297" s="1">
        <v>0</v>
      </c>
      <c r="M2297" s="4">
        <v>0</v>
      </c>
      <c r="N2297" s="1">
        <v>824</v>
      </c>
      <c r="O2297" s="4">
        <v>4.5999999999999999E-2</v>
      </c>
      <c r="P2297" s="1" t="s">
        <v>2721</v>
      </c>
    </row>
    <row r="2298" spans="1:16">
      <c r="A2298" s="1" t="s">
        <v>15</v>
      </c>
      <c r="B2298" s="1">
        <v>11</v>
      </c>
      <c r="C2298" s="1" t="s">
        <v>6348</v>
      </c>
      <c r="D2298" s="1" t="s">
        <v>6350</v>
      </c>
      <c r="E2298" s="2">
        <v>45978</v>
      </c>
      <c r="F2298" s="1" t="s">
        <v>126</v>
      </c>
      <c r="G2298" s="1" t="s">
        <v>6351</v>
      </c>
      <c r="H2298" s="1" t="s">
        <v>6352</v>
      </c>
      <c r="I2298" s="1">
        <v>1</v>
      </c>
      <c r="J2298" s="3">
        <v>10813</v>
      </c>
      <c r="K2298" s="3">
        <v>10318</v>
      </c>
      <c r="L2298" s="1">
        <v>0</v>
      </c>
      <c r="M2298" s="4">
        <v>0</v>
      </c>
      <c r="N2298" s="1">
        <v>495</v>
      </c>
      <c r="O2298" s="4">
        <v>4.5999999999999999E-2</v>
      </c>
      <c r="P2298" s="1" t="s">
        <v>2721</v>
      </c>
    </row>
    <row r="2299" spans="1:16">
      <c r="A2299" s="1" t="s">
        <v>15</v>
      </c>
      <c r="B2299" s="1">
        <v>11</v>
      </c>
      <c r="C2299" s="1" t="s">
        <v>6353</v>
      </c>
      <c r="D2299" s="1" t="s">
        <v>86</v>
      </c>
      <c r="E2299" s="2">
        <v>45978</v>
      </c>
      <c r="F2299" s="1" t="s">
        <v>53</v>
      </c>
      <c r="G2299" s="1" t="s">
        <v>87</v>
      </c>
      <c r="H2299" s="1" t="s">
        <v>88</v>
      </c>
      <c r="I2299" s="1">
        <v>1</v>
      </c>
      <c r="J2299" s="3">
        <v>14956</v>
      </c>
      <c r="K2299" s="3">
        <v>14272</v>
      </c>
      <c r="L2299" s="1">
        <v>0</v>
      </c>
      <c r="M2299" s="4">
        <v>0</v>
      </c>
      <c r="N2299" s="1">
        <v>684</v>
      </c>
      <c r="O2299" s="4">
        <v>4.5999999999999999E-2</v>
      </c>
      <c r="P2299" s="1" t="s">
        <v>2721</v>
      </c>
    </row>
    <row r="2300" spans="1:16">
      <c r="A2300" s="1" t="s">
        <v>15</v>
      </c>
      <c r="B2300" s="1">
        <v>11</v>
      </c>
      <c r="C2300" s="1" t="s">
        <v>6354</v>
      </c>
      <c r="D2300" s="1" t="s">
        <v>3406</v>
      </c>
      <c r="E2300" s="2">
        <v>45978</v>
      </c>
      <c r="F2300" s="1" t="s">
        <v>570</v>
      </c>
      <c r="G2300" s="1" t="s">
        <v>3407</v>
      </c>
      <c r="H2300" s="1" t="s">
        <v>3408</v>
      </c>
      <c r="I2300" s="1">
        <v>1</v>
      </c>
      <c r="J2300" s="3">
        <v>29490</v>
      </c>
      <c r="K2300" s="3">
        <v>28140</v>
      </c>
      <c r="L2300" s="1">
        <v>0</v>
      </c>
      <c r="M2300" s="4">
        <v>0</v>
      </c>
      <c r="N2300" s="3">
        <v>1350</v>
      </c>
      <c r="O2300" s="4">
        <v>4.5999999999999999E-2</v>
      </c>
      <c r="P2300" s="1" t="s">
        <v>2721</v>
      </c>
    </row>
    <row r="2301" spans="1:16">
      <c r="A2301" s="1" t="s">
        <v>15</v>
      </c>
      <c r="B2301" s="1">
        <v>11</v>
      </c>
      <c r="C2301" s="1" t="s">
        <v>6355</v>
      </c>
      <c r="D2301" s="1" t="s">
        <v>390</v>
      </c>
      <c r="E2301" s="2">
        <v>45978</v>
      </c>
      <c r="F2301" s="1" t="s">
        <v>256</v>
      </c>
      <c r="G2301" s="1" t="s">
        <v>391</v>
      </c>
      <c r="H2301" s="1" t="s">
        <v>392</v>
      </c>
      <c r="I2301" s="1">
        <v>1</v>
      </c>
      <c r="J2301" s="3">
        <v>12799</v>
      </c>
      <c r="K2301" s="3">
        <v>12213</v>
      </c>
      <c r="L2301" s="1">
        <v>0</v>
      </c>
      <c r="M2301" s="4">
        <v>0</v>
      </c>
      <c r="N2301" s="1">
        <v>586</v>
      </c>
      <c r="O2301" s="4">
        <v>4.5999999999999999E-2</v>
      </c>
      <c r="P2301" s="1" t="s">
        <v>2721</v>
      </c>
    </row>
    <row r="2302" spans="1:16">
      <c r="A2302" s="1" t="s">
        <v>15</v>
      </c>
      <c r="B2302" s="1">
        <v>11</v>
      </c>
      <c r="C2302" s="1" t="s">
        <v>6356</v>
      </c>
      <c r="D2302" s="1" t="s">
        <v>212</v>
      </c>
      <c r="E2302" s="2">
        <v>45978</v>
      </c>
      <c r="F2302" s="1" t="s">
        <v>213</v>
      </c>
      <c r="G2302" s="1" t="s">
        <v>214</v>
      </c>
      <c r="H2302" s="1" t="s">
        <v>215</v>
      </c>
      <c r="I2302" s="1">
        <v>1</v>
      </c>
      <c r="J2302" s="3">
        <v>16220</v>
      </c>
      <c r="K2302" s="3">
        <v>15477</v>
      </c>
      <c r="L2302" s="1">
        <v>0</v>
      </c>
      <c r="M2302" s="4">
        <v>0</v>
      </c>
      <c r="N2302" s="1">
        <v>743</v>
      </c>
      <c r="O2302" s="4">
        <v>4.5999999999999999E-2</v>
      </c>
      <c r="P2302" s="1" t="s">
        <v>2721</v>
      </c>
    </row>
    <row r="2303" spans="1:16">
      <c r="A2303" s="1" t="s">
        <v>15</v>
      </c>
      <c r="B2303" s="1">
        <v>11</v>
      </c>
      <c r="C2303" s="1" t="s">
        <v>6357</v>
      </c>
      <c r="D2303" s="1" t="s">
        <v>244</v>
      </c>
      <c r="E2303" s="2">
        <v>45978</v>
      </c>
      <c r="F2303" s="1" t="s">
        <v>53</v>
      </c>
      <c r="G2303" s="1" t="s">
        <v>245</v>
      </c>
      <c r="H2303" s="1" t="s">
        <v>1166</v>
      </c>
      <c r="I2303" s="1">
        <v>1</v>
      </c>
      <c r="J2303" s="3">
        <v>8272</v>
      </c>
      <c r="K2303" s="3">
        <v>7893</v>
      </c>
      <c r="L2303" s="1">
        <v>0</v>
      </c>
      <c r="M2303" s="4">
        <v>0</v>
      </c>
      <c r="N2303" s="1">
        <v>379</v>
      </c>
      <c r="O2303" s="4">
        <v>4.5999999999999999E-2</v>
      </c>
      <c r="P2303" s="1" t="s">
        <v>2721</v>
      </c>
    </row>
    <row r="2304" spans="1:16">
      <c r="A2304" s="1" t="s">
        <v>15</v>
      </c>
      <c r="B2304" s="1">
        <v>11</v>
      </c>
      <c r="C2304" s="1" t="s">
        <v>6358</v>
      </c>
      <c r="D2304" s="1" t="s">
        <v>1064</v>
      </c>
      <c r="E2304" s="2">
        <v>45978</v>
      </c>
      <c r="F2304" s="1" t="s">
        <v>53</v>
      </c>
      <c r="G2304" s="1" t="s">
        <v>1065</v>
      </c>
      <c r="H2304" s="1" t="s">
        <v>1066</v>
      </c>
      <c r="I2304" s="1">
        <v>1</v>
      </c>
      <c r="J2304" s="3">
        <v>7572</v>
      </c>
      <c r="K2304" s="3">
        <v>7225</v>
      </c>
      <c r="L2304" s="1">
        <v>0</v>
      </c>
      <c r="M2304" s="4">
        <v>0</v>
      </c>
      <c r="N2304" s="1">
        <v>347</v>
      </c>
      <c r="O2304" s="4">
        <v>4.5999999999999999E-2</v>
      </c>
      <c r="P2304" s="1" t="s">
        <v>2721</v>
      </c>
    </row>
    <row r="2305" spans="1:16">
      <c r="A2305" s="1" t="s">
        <v>15</v>
      </c>
      <c r="B2305" s="1">
        <v>11</v>
      </c>
      <c r="C2305" s="1" t="s">
        <v>6359</v>
      </c>
      <c r="D2305" s="1" t="s">
        <v>782</v>
      </c>
      <c r="E2305" s="2">
        <v>45978</v>
      </c>
      <c r="F2305" s="1" t="s">
        <v>783</v>
      </c>
      <c r="G2305" s="1" t="s">
        <v>784</v>
      </c>
      <c r="H2305" s="1" t="s">
        <v>785</v>
      </c>
      <c r="I2305" s="1">
        <v>1</v>
      </c>
      <c r="J2305" s="3">
        <v>15925</v>
      </c>
      <c r="K2305" s="3">
        <v>15196</v>
      </c>
      <c r="L2305" s="1">
        <v>0</v>
      </c>
      <c r="M2305" s="4">
        <v>0</v>
      </c>
      <c r="N2305" s="1">
        <v>729</v>
      </c>
      <c r="O2305" s="4">
        <v>4.5999999999999999E-2</v>
      </c>
      <c r="P2305" s="1" t="s">
        <v>2721</v>
      </c>
    </row>
    <row r="2306" spans="1:16">
      <c r="A2306" s="1" t="s">
        <v>15</v>
      </c>
      <c r="B2306" s="1">
        <v>11</v>
      </c>
      <c r="C2306" s="1" t="s">
        <v>6360</v>
      </c>
      <c r="D2306" s="1" t="s">
        <v>445</v>
      </c>
      <c r="E2306" s="2">
        <v>45978</v>
      </c>
      <c r="F2306" s="1" t="s">
        <v>446</v>
      </c>
      <c r="G2306" s="1" t="s">
        <v>447</v>
      </c>
      <c r="H2306" s="1" t="s">
        <v>6361</v>
      </c>
      <c r="I2306" s="1">
        <v>1</v>
      </c>
      <c r="J2306" s="3">
        <v>4915</v>
      </c>
      <c r="K2306" s="3">
        <v>4690</v>
      </c>
      <c r="L2306" s="1">
        <v>0</v>
      </c>
      <c r="M2306" s="4">
        <v>0</v>
      </c>
      <c r="N2306" s="1">
        <v>225</v>
      </c>
      <c r="O2306" s="4">
        <v>4.5999999999999999E-2</v>
      </c>
      <c r="P2306" s="1" t="s">
        <v>2721</v>
      </c>
    </row>
    <row r="2307" spans="1:16">
      <c r="A2307" s="1" t="s">
        <v>15</v>
      </c>
      <c r="B2307" s="1">
        <v>11</v>
      </c>
      <c r="C2307" s="1" t="s">
        <v>6362</v>
      </c>
      <c r="D2307" s="1" t="s">
        <v>789</v>
      </c>
      <c r="E2307" s="2">
        <v>45978</v>
      </c>
      <c r="F2307" s="1" t="s">
        <v>53</v>
      </c>
      <c r="G2307" s="1" t="s">
        <v>790</v>
      </c>
      <c r="H2307" s="1" t="s">
        <v>1141</v>
      </c>
      <c r="I2307" s="1">
        <v>1</v>
      </c>
      <c r="J2307" s="3">
        <v>8924</v>
      </c>
      <c r="K2307" s="3">
        <v>8515</v>
      </c>
      <c r="L2307" s="1">
        <v>0</v>
      </c>
      <c r="M2307" s="4">
        <v>0</v>
      </c>
      <c r="N2307" s="1">
        <v>409</v>
      </c>
      <c r="O2307" s="4">
        <v>4.5999999999999999E-2</v>
      </c>
      <c r="P2307" s="1" t="s">
        <v>2721</v>
      </c>
    </row>
    <row r="2308" spans="1:16">
      <c r="A2308" s="1" t="s">
        <v>15</v>
      </c>
      <c r="B2308" s="1">
        <v>11</v>
      </c>
      <c r="C2308" s="1" t="s">
        <v>6363</v>
      </c>
      <c r="D2308" s="1" t="s">
        <v>311</v>
      </c>
      <c r="E2308" s="2">
        <v>45978</v>
      </c>
      <c r="F2308" s="1" t="s">
        <v>312</v>
      </c>
      <c r="G2308" s="1" t="s">
        <v>313</v>
      </c>
      <c r="H2308" s="1" t="s">
        <v>3723</v>
      </c>
      <c r="I2308" s="1">
        <v>1</v>
      </c>
      <c r="J2308" s="3">
        <v>28310</v>
      </c>
      <c r="K2308" s="3">
        <v>27014</v>
      </c>
      <c r="L2308" s="1">
        <v>0</v>
      </c>
      <c r="M2308" s="4">
        <v>0</v>
      </c>
      <c r="N2308" s="3">
        <v>1296</v>
      </c>
      <c r="O2308" s="4">
        <v>4.5999999999999999E-2</v>
      </c>
      <c r="P2308" s="1" t="s">
        <v>2721</v>
      </c>
    </row>
    <row r="2309" spans="1:16">
      <c r="A2309" s="1" t="s">
        <v>15</v>
      </c>
      <c r="B2309" s="1">
        <v>11</v>
      </c>
      <c r="C2309" s="1" t="s">
        <v>6364</v>
      </c>
      <c r="D2309" s="1" t="s">
        <v>955</v>
      </c>
      <c r="E2309" s="2">
        <v>45978</v>
      </c>
      <c r="F2309" s="1" t="s">
        <v>554</v>
      </c>
      <c r="G2309" s="1" t="s">
        <v>956</v>
      </c>
      <c r="H2309" s="1" t="s">
        <v>957</v>
      </c>
      <c r="I2309" s="1">
        <v>1</v>
      </c>
      <c r="J2309" s="3">
        <v>17596</v>
      </c>
      <c r="K2309" s="3">
        <v>16790</v>
      </c>
      <c r="L2309" s="1">
        <v>0</v>
      </c>
      <c r="M2309" s="4">
        <v>0</v>
      </c>
      <c r="N2309" s="1">
        <v>806</v>
      </c>
      <c r="O2309" s="4">
        <v>4.5999999999999999E-2</v>
      </c>
      <c r="P2309" s="1" t="s">
        <v>2721</v>
      </c>
    </row>
    <row r="2310" spans="1:16">
      <c r="A2310" s="1" t="s">
        <v>15</v>
      </c>
      <c r="B2310" s="1">
        <v>11</v>
      </c>
      <c r="C2310" s="1" t="s">
        <v>6365</v>
      </c>
      <c r="D2310" s="1" t="s">
        <v>6151</v>
      </c>
      <c r="E2310" s="2">
        <v>45978</v>
      </c>
      <c r="F2310" s="1" t="s">
        <v>235</v>
      </c>
      <c r="G2310" s="1" t="s">
        <v>6152</v>
      </c>
      <c r="H2310" s="1" t="s">
        <v>6366</v>
      </c>
      <c r="I2310" s="1">
        <v>1</v>
      </c>
      <c r="J2310" s="3">
        <v>22707</v>
      </c>
      <c r="K2310" s="3">
        <v>21668</v>
      </c>
      <c r="L2310" s="1">
        <v>0</v>
      </c>
      <c r="M2310" s="4">
        <v>0</v>
      </c>
      <c r="N2310" s="3">
        <v>1039</v>
      </c>
      <c r="O2310" s="4">
        <v>4.5999999999999999E-2</v>
      </c>
      <c r="P2310" s="1" t="s">
        <v>2721</v>
      </c>
    </row>
    <row r="2311" spans="1:16">
      <c r="A2311" s="1" t="s">
        <v>15</v>
      </c>
      <c r="B2311" s="1">
        <v>11</v>
      </c>
      <c r="C2311" s="1" t="s">
        <v>6367</v>
      </c>
      <c r="D2311" s="1" t="s">
        <v>1452</v>
      </c>
      <c r="E2311" s="2">
        <v>45978</v>
      </c>
      <c r="F2311" s="1" t="s">
        <v>407</v>
      </c>
      <c r="G2311" s="1" t="s">
        <v>1453</v>
      </c>
      <c r="H2311" s="1" t="s">
        <v>1474</v>
      </c>
      <c r="I2311" s="1">
        <v>1</v>
      </c>
      <c r="J2311" s="3">
        <v>11305</v>
      </c>
      <c r="K2311" s="3">
        <v>10787</v>
      </c>
      <c r="L2311" s="1">
        <v>0</v>
      </c>
      <c r="M2311" s="4">
        <v>0</v>
      </c>
      <c r="N2311" s="1">
        <v>518</v>
      </c>
      <c r="O2311" s="4">
        <v>4.5999999999999999E-2</v>
      </c>
      <c r="P2311" s="1" t="s">
        <v>2721</v>
      </c>
    </row>
    <row r="2312" spans="1:16">
      <c r="A2312" s="1" t="s">
        <v>15</v>
      </c>
      <c r="B2312" s="1">
        <v>11</v>
      </c>
      <c r="C2312" s="1" t="s">
        <v>6368</v>
      </c>
      <c r="D2312" s="1" t="s">
        <v>1137</v>
      </c>
      <c r="E2312" s="2">
        <v>45978</v>
      </c>
      <c r="F2312" s="1" t="s">
        <v>58</v>
      </c>
      <c r="G2312" s="1" t="s">
        <v>1138</v>
      </c>
      <c r="H2312" s="1" t="s">
        <v>6369</v>
      </c>
      <c r="I2312" s="1">
        <v>1</v>
      </c>
      <c r="J2312" s="3">
        <v>14450</v>
      </c>
      <c r="K2312" s="3">
        <v>13789</v>
      </c>
      <c r="L2312" s="1">
        <v>0</v>
      </c>
      <c r="M2312" s="4">
        <v>0</v>
      </c>
      <c r="N2312" s="1">
        <v>661</v>
      </c>
      <c r="O2312" s="4">
        <v>4.5999999999999999E-2</v>
      </c>
      <c r="P2312" s="1" t="s">
        <v>2721</v>
      </c>
    </row>
    <row r="2313" spans="1:16">
      <c r="A2313" s="1" t="s">
        <v>15</v>
      </c>
      <c r="B2313" s="1">
        <v>11</v>
      </c>
      <c r="C2313" s="1" t="s">
        <v>6370</v>
      </c>
      <c r="D2313" s="1" t="s">
        <v>255</v>
      </c>
      <c r="E2313" s="2">
        <v>45978</v>
      </c>
      <c r="F2313" s="1" t="s">
        <v>256</v>
      </c>
      <c r="G2313" s="1" t="s">
        <v>257</v>
      </c>
      <c r="H2313" s="1" t="s">
        <v>1636</v>
      </c>
      <c r="I2313" s="1">
        <v>1</v>
      </c>
      <c r="J2313" s="3">
        <v>25558</v>
      </c>
      <c r="K2313" s="3">
        <v>24388</v>
      </c>
      <c r="L2313" s="1">
        <v>0</v>
      </c>
      <c r="M2313" s="4">
        <v>0</v>
      </c>
      <c r="N2313" s="3">
        <v>1170</v>
      </c>
      <c r="O2313" s="4">
        <v>4.5999999999999999E-2</v>
      </c>
      <c r="P2313" s="1" t="s">
        <v>2721</v>
      </c>
    </row>
    <row r="2314" spans="1:16">
      <c r="A2314" s="1" t="s">
        <v>15</v>
      </c>
      <c r="B2314" s="1">
        <v>11</v>
      </c>
      <c r="C2314" s="1" t="s">
        <v>6371</v>
      </c>
      <c r="D2314" s="1" t="s">
        <v>944</v>
      </c>
      <c r="E2314" s="2">
        <v>45978</v>
      </c>
      <c r="F2314" s="1" t="s">
        <v>945</v>
      </c>
      <c r="G2314" s="1" t="s">
        <v>946</v>
      </c>
      <c r="H2314" s="1" t="s">
        <v>4875</v>
      </c>
      <c r="I2314" s="1">
        <v>1</v>
      </c>
      <c r="J2314" s="3">
        <v>15724</v>
      </c>
      <c r="K2314" s="3">
        <v>15004</v>
      </c>
      <c r="L2314" s="1">
        <v>0</v>
      </c>
      <c r="M2314" s="4">
        <v>0</v>
      </c>
      <c r="N2314" s="1">
        <v>720</v>
      </c>
      <c r="O2314" s="4">
        <v>4.5999999999999999E-2</v>
      </c>
      <c r="P2314" s="1" t="s">
        <v>2721</v>
      </c>
    </row>
    <row r="2315" spans="1:16">
      <c r="A2315" s="1" t="s">
        <v>15</v>
      </c>
      <c r="B2315" s="1">
        <v>11</v>
      </c>
      <c r="C2315" s="1" t="s">
        <v>6372</v>
      </c>
      <c r="D2315" s="1" t="s">
        <v>169</v>
      </c>
      <c r="E2315" s="2">
        <v>45978</v>
      </c>
      <c r="F2315" s="1" t="s">
        <v>53</v>
      </c>
      <c r="G2315" s="1" t="s">
        <v>170</v>
      </c>
      <c r="H2315" s="1" t="s">
        <v>171</v>
      </c>
      <c r="I2315" s="1">
        <v>1</v>
      </c>
      <c r="J2315" s="3">
        <v>14332</v>
      </c>
      <c r="K2315" s="3">
        <v>13676</v>
      </c>
      <c r="L2315" s="1">
        <v>0</v>
      </c>
      <c r="M2315" s="4">
        <v>0</v>
      </c>
      <c r="N2315" s="1">
        <v>656</v>
      </c>
      <c r="O2315" s="4">
        <v>4.5999999999999999E-2</v>
      </c>
      <c r="P2315" s="1" t="s">
        <v>2721</v>
      </c>
    </row>
    <row r="2316" spans="1:16">
      <c r="A2316" s="1" t="s">
        <v>15</v>
      </c>
      <c r="B2316" s="1">
        <v>11</v>
      </c>
      <c r="C2316" s="1" t="s">
        <v>6373</v>
      </c>
      <c r="D2316" s="1" t="s">
        <v>1597</v>
      </c>
      <c r="E2316" s="2">
        <v>45978</v>
      </c>
      <c r="F2316" s="1" t="s">
        <v>464</v>
      </c>
      <c r="G2316" s="1" t="s">
        <v>1598</v>
      </c>
      <c r="H2316" s="1" t="s">
        <v>1599</v>
      </c>
      <c r="I2316" s="1">
        <v>1</v>
      </c>
      <c r="J2316" s="3">
        <v>12707</v>
      </c>
      <c r="K2316" s="3">
        <v>12126</v>
      </c>
      <c r="L2316" s="1">
        <v>0</v>
      </c>
      <c r="M2316" s="4">
        <v>0</v>
      </c>
      <c r="N2316" s="1">
        <v>581</v>
      </c>
      <c r="O2316" s="4">
        <v>4.5999999999999999E-2</v>
      </c>
      <c r="P2316" s="1" t="s">
        <v>2721</v>
      </c>
    </row>
    <row r="2317" spans="1:16">
      <c r="A2317" s="1" t="s">
        <v>15</v>
      </c>
      <c r="B2317" s="1">
        <v>11</v>
      </c>
      <c r="C2317" s="1" t="s">
        <v>6373</v>
      </c>
      <c r="D2317" s="1" t="s">
        <v>6374</v>
      </c>
      <c r="E2317" s="2">
        <v>45978</v>
      </c>
      <c r="F2317" s="1" t="s">
        <v>464</v>
      </c>
      <c r="G2317" s="1" t="s">
        <v>6375</v>
      </c>
      <c r="H2317" s="1" t="s">
        <v>6376</v>
      </c>
      <c r="I2317" s="1">
        <v>1</v>
      </c>
      <c r="J2317" s="3">
        <v>45611</v>
      </c>
      <c r="K2317" s="3">
        <v>43523</v>
      </c>
      <c r="L2317" s="1">
        <v>0</v>
      </c>
      <c r="M2317" s="4">
        <v>0</v>
      </c>
      <c r="N2317" s="3">
        <v>2088</v>
      </c>
      <c r="O2317" s="4">
        <v>4.5999999999999999E-2</v>
      </c>
      <c r="P2317" s="1" t="s">
        <v>2721</v>
      </c>
    </row>
    <row r="2318" spans="1:16">
      <c r="A2318" s="1" t="s">
        <v>15</v>
      </c>
      <c r="B2318" s="1">
        <v>11</v>
      </c>
      <c r="C2318" s="1" t="s">
        <v>6377</v>
      </c>
      <c r="D2318" s="1" t="s">
        <v>104</v>
      </c>
      <c r="E2318" s="2">
        <v>45978</v>
      </c>
      <c r="F2318" s="1" t="s">
        <v>96</v>
      </c>
      <c r="G2318" s="1" t="s">
        <v>105</v>
      </c>
      <c r="H2318" s="1" t="s">
        <v>106</v>
      </c>
      <c r="I2318" s="1">
        <v>1</v>
      </c>
      <c r="J2318" s="3">
        <v>21614</v>
      </c>
      <c r="K2318" s="3">
        <v>20625</v>
      </c>
      <c r="L2318" s="1">
        <v>0</v>
      </c>
      <c r="M2318" s="4">
        <v>0</v>
      </c>
      <c r="N2318" s="1">
        <v>989</v>
      </c>
      <c r="O2318" s="4">
        <v>4.5999999999999999E-2</v>
      </c>
      <c r="P2318" s="1" t="s">
        <v>2721</v>
      </c>
    </row>
    <row r="2319" spans="1:16">
      <c r="A2319" s="1" t="s">
        <v>15</v>
      </c>
      <c r="B2319" s="1">
        <v>11</v>
      </c>
      <c r="C2319" s="1" t="s">
        <v>6378</v>
      </c>
      <c r="D2319" s="1" t="s">
        <v>116</v>
      </c>
      <c r="E2319" s="2">
        <v>45978</v>
      </c>
      <c r="F2319" s="1" t="s">
        <v>63</v>
      </c>
      <c r="G2319" s="1" t="s">
        <v>117</v>
      </c>
      <c r="H2319" s="1" t="s">
        <v>139</v>
      </c>
      <c r="I2319" s="1">
        <v>1</v>
      </c>
      <c r="J2319" s="3">
        <v>15422</v>
      </c>
      <c r="K2319" s="3">
        <v>14716</v>
      </c>
      <c r="L2319" s="1">
        <v>0</v>
      </c>
      <c r="M2319" s="4">
        <v>0</v>
      </c>
      <c r="N2319" s="1">
        <v>706</v>
      </c>
      <c r="O2319" s="4">
        <v>4.5999999999999999E-2</v>
      </c>
      <c r="P2319" s="1" t="s">
        <v>2721</v>
      </c>
    </row>
    <row r="2320" spans="1:16">
      <c r="A2320" s="1" t="s">
        <v>15</v>
      </c>
      <c r="B2320" s="1">
        <v>11</v>
      </c>
      <c r="C2320" s="1" t="s">
        <v>6379</v>
      </c>
      <c r="D2320" s="1" t="s">
        <v>989</v>
      </c>
      <c r="E2320" s="2">
        <v>45978</v>
      </c>
      <c r="F2320" s="1" t="s">
        <v>48</v>
      </c>
      <c r="G2320" s="1" t="s">
        <v>990</v>
      </c>
      <c r="H2320" s="1" t="s">
        <v>991</v>
      </c>
      <c r="I2320" s="1">
        <v>1</v>
      </c>
      <c r="J2320" s="3">
        <v>13113</v>
      </c>
      <c r="K2320" s="3">
        <v>12513</v>
      </c>
      <c r="L2320" s="1">
        <v>0</v>
      </c>
      <c r="M2320" s="4">
        <v>0</v>
      </c>
      <c r="N2320" s="1">
        <v>600</v>
      </c>
      <c r="O2320" s="4">
        <v>4.5999999999999999E-2</v>
      </c>
      <c r="P2320" s="1" t="s">
        <v>2721</v>
      </c>
    </row>
    <row r="2321" spans="1:16">
      <c r="A2321" s="1" t="s">
        <v>15</v>
      </c>
      <c r="B2321" s="1">
        <v>11</v>
      </c>
      <c r="C2321" s="1" t="s">
        <v>6380</v>
      </c>
      <c r="D2321" s="1" t="s">
        <v>6381</v>
      </c>
      <c r="E2321" s="2">
        <v>45978</v>
      </c>
      <c r="F2321" s="1" t="s">
        <v>96</v>
      </c>
      <c r="G2321" s="1" t="s">
        <v>6382</v>
      </c>
      <c r="H2321" s="1" t="s">
        <v>6383</v>
      </c>
      <c r="I2321" s="1">
        <v>1</v>
      </c>
      <c r="J2321" s="3">
        <v>13927</v>
      </c>
      <c r="K2321" s="3">
        <v>13290</v>
      </c>
      <c r="L2321" s="1">
        <v>0</v>
      </c>
      <c r="M2321" s="4">
        <v>0</v>
      </c>
      <c r="N2321" s="1">
        <v>637</v>
      </c>
      <c r="O2321" s="4">
        <v>4.5999999999999999E-2</v>
      </c>
      <c r="P2321" s="1" t="s">
        <v>2721</v>
      </c>
    </row>
    <row r="2322" spans="1:16">
      <c r="A2322" s="1" t="s">
        <v>15</v>
      </c>
      <c r="B2322" s="1">
        <v>11</v>
      </c>
      <c r="C2322" s="1" t="s">
        <v>6384</v>
      </c>
      <c r="D2322" s="1" t="s">
        <v>4669</v>
      </c>
      <c r="E2322" s="2">
        <v>45978</v>
      </c>
      <c r="F2322" s="1" t="s">
        <v>63</v>
      </c>
      <c r="G2322" s="1" t="s">
        <v>4670</v>
      </c>
      <c r="H2322" s="1" t="s">
        <v>118</v>
      </c>
      <c r="I2322" s="1">
        <v>1</v>
      </c>
      <c r="J2322" s="3">
        <v>18627</v>
      </c>
      <c r="K2322" s="3">
        <v>17774</v>
      </c>
      <c r="L2322" s="1">
        <v>0</v>
      </c>
      <c r="M2322" s="4">
        <v>0</v>
      </c>
      <c r="N2322" s="1">
        <v>853</v>
      </c>
      <c r="O2322" s="4">
        <v>4.5999999999999999E-2</v>
      </c>
      <c r="P2322" s="1" t="s">
        <v>2721</v>
      </c>
    </row>
    <row r="2323" spans="1:16">
      <c r="A2323" s="1" t="s">
        <v>15</v>
      </c>
      <c r="B2323" s="1">
        <v>11</v>
      </c>
      <c r="C2323" s="1" t="s">
        <v>6385</v>
      </c>
      <c r="D2323" s="1" t="s">
        <v>6386</v>
      </c>
      <c r="E2323" s="2">
        <v>45978</v>
      </c>
      <c r="F2323" s="1" t="s">
        <v>524</v>
      </c>
      <c r="G2323" s="1" t="s">
        <v>6387</v>
      </c>
      <c r="H2323" s="1" t="s">
        <v>6388</v>
      </c>
      <c r="I2323" s="1">
        <v>2</v>
      </c>
      <c r="J2323" s="3">
        <v>26570</v>
      </c>
      <c r="K2323" s="3">
        <v>25354</v>
      </c>
      <c r="L2323" s="1">
        <v>0</v>
      </c>
      <c r="M2323" s="4">
        <v>0</v>
      </c>
      <c r="N2323" s="3">
        <v>1216</v>
      </c>
      <c r="O2323" s="4">
        <v>4.5999999999999999E-2</v>
      </c>
      <c r="P2323" s="1" t="s">
        <v>2721</v>
      </c>
    </row>
    <row r="2324" spans="1:16">
      <c r="A2324" s="1" t="s">
        <v>15</v>
      </c>
      <c r="B2324" s="1">
        <v>11</v>
      </c>
      <c r="C2324" s="1" t="s">
        <v>6389</v>
      </c>
      <c r="D2324" s="1" t="s">
        <v>6390</v>
      </c>
      <c r="E2324" s="2">
        <v>45978</v>
      </c>
      <c r="F2324" s="1" t="s">
        <v>3496</v>
      </c>
      <c r="G2324" s="1" t="s">
        <v>6391</v>
      </c>
      <c r="H2324" s="1" t="s">
        <v>6392</v>
      </c>
      <c r="I2324" s="1">
        <v>1</v>
      </c>
      <c r="J2324" s="3">
        <v>12779</v>
      </c>
      <c r="K2324" s="3">
        <v>12194</v>
      </c>
      <c r="L2324" s="1">
        <v>0</v>
      </c>
      <c r="M2324" s="4">
        <v>0</v>
      </c>
      <c r="N2324" s="1">
        <v>585</v>
      </c>
      <c r="O2324" s="4">
        <v>4.5999999999999999E-2</v>
      </c>
      <c r="P2324" s="1" t="s">
        <v>2721</v>
      </c>
    </row>
    <row r="2325" spans="1:16">
      <c r="A2325" s="1" t="s">
        <v>15</v>
      </c>
      <c r="B2325" s="1">
        <v>11</v>
      </c>
      <c r="C2325" s="1" t="s">
        <v>6389</v>
      </c>
      <c r="D2325" s="1" t="s">
        <v>4863</v>
      </c>
      <c r="E2325" s="2">
        <v>45978</v>
      </c>
      <c r="F2325" s="1" t="s">
        <v>3496</v>
      </c>
      <c r="G2325" s="1" t="s">
        <v>4864</v>
      </c>
      <c r="H2325" s="1" t="s">
        <v>6010</v>
      </c>
      <c r="I2325" s="1">
        <v>2</v>
      </c>
      <c r="J2325" s="3">
        <v>29392</v>
      </c>
      <c r="K2325" s="3">
        <v>28046</v>
      </c>
      <c r="L2325" s="1">
        <v>0</v>
      </c>
      <c r="M2325" s="4">
        <v>0</v>
      </c>
      <c r="N2325" s="3">
        <v>1346</v>
      </c>
      <c r="O2325" s="4">
        <v>4.5999999999999999E-2</v>
      </c>
      <c r="P2325" s="1" t="s">
        <v>2721</v>
      </c>
    </row>
    <row r="2326" spans="1:16">
      <c r="A2326" s="1" t="s">
        <v>15</v>
      </c>
      <c r="B2326" s="1">
        <v>11</v>
      </c>
      <c r="C2326" s="1" t="s">
        <v>6393</v>
      </c>
      <c r="D2326" s="1" t="s">
        <v>132</v>
      </c>
      <c r="E2326" s="2">
        <v>45978</v>
      </c>
      <c r="F2326" s="1" t="s">
        <v>53</v>
      </c>
      <c r="G2326" s="1" t="s">
        <v>133</v>
      </c>
      <c r="H2326" s="1" t="s">
        <v>88</v>
      </c>
      <c r="I2326" s="1">
        <v>1</v>
      </c>
      <c r="J2326" s="3">
        <v>17036</v>
      </c>
      <c r="K2326" s="3">
        <v>16256</v>
      </c>
      <c r="L2326" s="1">
        <v>0</v>
      </c>
      <c r="M2326" s="4">
        <v>0</v>
      </c>
      <c r="N2326" s="1">
        <v>780</v>
      </c>
      <c r="O2326" s="4">
        <v>4.5999999999999999E-2</v>
      </c>
      <c r="P2326" s="1" t="s">
        <v>2721</v>
      </c>
    </row>
    <row r="2327" spans="1:16">
      <c r="A2327" s="1" t="s">
        <v>15</v>
      </c>
      <c r="B2327" s="1">
        <v>11</v>
      </c>
      <c r="C2327" s="1" t="s">
        <v>6394</v>
      </c>
      <c r="D2327" s="1" t="s">
        <v>5797</v>
      </c>
      <c r="E2327" s="2">
        <v>45978</v>
      </c>
      <c r="F2327" s="1" t="s">
        <v>554</v>
      </c>
      <c r="G2327" s="1" t="s">
        <v>5798</v>
      </c>
      <c r="H2327" s="1" t="s">
        <v>5799</v>
      </c>
      <c r="I2327" s="1">
        <v>1</v>
      </c>
      <c r="J2327" s="3">
        <v>16269</v>
      </c>
      <c r="K2327" s="3">
        <v>15524</v>
      </c>
      <c r="L2327" s="1">
        <v>0</v>
      </c>
      <c r="M2327" s="4">
        <v>0</v>
      </c>
      <c r="N2327" s="1">
        <v>745</v>
      </c>
      <c r="O2327" s="4">
        <v>4.5999999999999999E-2</v>
      </c>
      <c r="P2327" s="1" t="s">
        <v>2721</v>
      </c>
    </row>
    <row r="2328" spans="1:16">
      <c r="A2328" s="1" t="s">
        <v>15</v>
      </c>
      <c r="B2328" s="1">
        <v>11</v>
      </c>
      <c r="C2328" s="1" t="s">
        <v>6395</v>
      </c>
      <c r="D2328" s="1" t="s">
        <v>504</v>
      </c>
      <c r="E2328" s="2">
        <v>45978</v>
      </c>
      <c r="F2328" s="1" t="s">
        <v>407</v>
      </c>
      <c r="G2328" s="1" t="s">
        <v>505</v>
      </c>
      <c r="H2328" s="1" t="s">
        <v>1004</v>
      </c>
      <c r="I2328" s="1">
        <v>1</v>
      </c>
      <c r="J2328" s="3">
        <v>9339</v>
      </c>
      <c r="K2328" s="3">
        <v>8911</v>
      </c>
      <c r="L2328" s="1">
        <v>0</v>
      </c>
      <c r="M2328" s="4">
        <v>0</v>
      </c>
      <c r="N2328" s="1">
        <v>428</v>
      </c>
      <c r="O2328" s="4">
        <v>4.5999999999999999E-2</v>
      </c>
      <c r="P2328" s="1" t="s">
        <v>2721</v>
      </c>
    </row>
    <row r="2329" spans="1:16">
      <c r="A2329" s="1" t="s">
        <v>15</v>
      </c>
      <c r="B2329" s="1">
        <v>11</v>
      </c>
      <c r="C2329" s="1" t="s">
        <v>6396</v>
      </c>
      <c r="D2329" s="1" t="s">
        <v>17</v>
      </c>
      <c r="E2329" s="2">
        <v>45978</v>
      </c>
      <c r="F2329" s="1" t="s">
        <v>18</v>
      </c>
      <c r="G2329" s="1" t="s">
        <v>19</v>
      </c>
      <c r="H2329" s="1" t="s">
        <v>20</v>
      </c>
      <c r="I2329" s="1">
        <v>4</v>
      </c>
      <c r="J2329" s="3">
        <v>28664</v>
      </c>
      <c r="K2329" s="3">
        <v>27352</v>
      </c>
      <c r="L2329" s="1">
        <v>0</v>
      </c>
      <c r="M2329" s="4">
        <v>0</v>
      </c>
      <c r="N2329" s="3">
        <v>1312</v>
      </c>
      <c r="O2329" s="4">
        <v>4.5999999999999999E-2</v>
      </c>
      <c r="P2329" s="1" t="s">
        <v>2721</v>
      </c>
    </row>
    <row r="2330" spans="1:16">
      <c r="A2330" s="1" t="s">
        <v>15</v>
      </c>
      <c r="B2330" s="1">
        <v>11</v>
      </c>
      <c r="C2330" s="1" t="s">
        <v>6396</v>
      </c>
      <c r="D2330" s="1" t="s">
        <v>17</v>
      </c>
      <c r="E2330" s="2">
        <v>45978</v>
      </c>
      <c r="F2330" s="1" t="s">
        <v>18</v>
      </c>
      <c r="G2330" s="1" t="s">
        <v>19</v>
      </c>
      <c r="H2330" s="1" t="s">
        <v>1428</v>
      </c>
      <c r="I2330" s="1">
        <v>2</v>
      </c>
      <c r="J2330" s="3">
        <v>14332</v>
      </c>
      <c r="K2330" s="3">
        <v>13676</v>
      </c>
      <c r="L2330" s="1">
        <v>0</v>
      </c>
      <c r="M2330" s="4">
        <v>0</v>
      </c>
      <c r="N2330" s="1">
        <v>656</v>
      </c>
      <c r="O2330" s="4">
        <v>4.5999999999999999E-2</v>
      </c>
      <c r="P2330" s="1" t="s">
        <v>2721</v>
      </c>
    </row>
    <row r="2331" spans="1:16">
      <c r="A2331" s="1" t="s">
        <v>15</v>
      </c>
      <c r="B2331" s="1">
        <v>11</v>
      </c>
      <c r="C2331" s="1" t="s">
        <v>6397</v>
      </c>
      <c r="D2331" s="1" t="s">
        <v>813</v>
      </c>
      <c r="E2331" s="2">
        <v>45978</v>
      </c>
      <c r="F2331" s="1" t="s">
        <v>126</v>
      </c>
      <c r="G2331" s="1" t="s">
        <v>814</v>
      </c>
      <c r="H2331" s="1" t="s">
        <v>816</v>
      </c>
      <c r="I2331" s="1">
        <v>1</v>
      </c>
      <c r="J2331" s="3">
        <v>17203</v>
      </c>
      <c r="K2331" s="3">
        <v>16415</v>
      </c>
      <c r="L2331" s="1">
        <v>0</v>
      </c>
      <c r="M2331" s="4">
        <v>0</v>
      </c>
      <c r="N2331" s="1">
        <v>788</v>
      </c>
      <c r="O2331" s="4">
        <v>4.5999999999999999E-2</v>
      </c>
      <c r="P2331" s="1" t="s">
        <v>2721</v>
      </c>
    </row>
    <row r="2332" spans="1:16">
      <c r="A2332" s="1" t="s">
        <v>15</v>
      </c>
      <c r="B2332" s="1">
        <v>11</v>
      </c>
      <c r="C2332" s="1" t="s">
        <v>6398</v>
      </c>
      <c r="D2332" s="1" t="s">
        <v>558</v>
      </c>
      <c r="E2332" s="2">
        <v>45978</v>
      </c>
      <c r="F2332" s="1" t="s">
        <v>256</v>
      </c>
      <c r="G2332" s="1" t="s">
        <v>559</v>
      </c>
      <c r="H2332" s="1" t="s">
        <v>560</v>
      </c>
      <c r="I2332" s="1">
        <v>1</v>
      </c>
      <c r="J2332" s="3">
        <v>9339</v>
      </c>
      <c r="K2332" s="3">
        <v>8911</v>
      </c>
      <c r="L2332" s="1">
        <v>0</v>
      </c>
      <c r="M2332" s="4">
        <v>0</v>
      </c>
      <c r="N2332" s="1">
        <v>428</v>
      </c>
      <c r="O2332" s="4">
        <v>4.5999999999999999E-2</v>
      </c>
      <c r="P2332" s="1" t="s">
        <v>2721</v>
      </c>
    </row>
    <row r="2333" spans="1:16">
      <c r="A2333" s="1" t="s">
        <v>15</v>
      </c>
      <c r="B2333" s="1">
        <v>11</v>
      </c>
      <c r="C2333" s="1" t="s">
        <v>6399</v>
      </c>
      <c r="D2333" s="1" t="s">
        <v>1147</v>
      </c>
      <c r="E2333" s="2">
        <v>45978</v>
      </c>
      <c r="F2333" s="1" t="s">
        <v>126</v>
      </c>
      <c r="G2333" s="1" t="s">
        <v>1148</v>
      </c>
      <c r="H2333" s="1" t="s">
        <v>1149</v>
      </c>
      <c r="I2333" s="1">
        <v>1</v>
      </c>
      <c r="J2333" s="3">
        <v>13762</v>
      </c>
      <c r="K2333" s="3">
        <v>13132</v>
      </c>
      <c r="L2333" s="1">
        <v>0</v>
      </c>
      <c r="M2333" s="4">
        <v>0</v>
      </c>
      <c r="N2333" s="1">
        <v>630</v>
      </c>
      <c r="O2333" s="4">
        <v>4.5999999999999999E-2</v>
      </c>
      <c r="P2333" s="1" t="s">
        <v>2721</v>
      </c>
    </row>
    <row r="2334" spans="1:16">
      <c r="A2334" s="1" t="s">
        <v>15</v>
      </c>
      <c r="B2334" s="1">
        <v>11</v>
      </c>
      <c r="C2334" s="1" t="s">
        <v>6400</v>
      </c>
      <c r="D2334" s="1" t="s">
        <v>86</v>
      </c>
      <c r="E2334" s="2">
        <v>45978</v>
      </c>
      <c r="F2334" s="1" t="s">
        <v>53</v>
      </c>
      <c r="G2334" s="1" t="s">
        <v>87</v>
      </c>
      <c r="H2334" s="1" t="s">
        <v>88</v>
      </c>
      <c r="I2334" s="1">
        <v>1</v>
      </c>
      <c r="J2334" s="3">
        <v>14956</v>
      </c>
      <c r="K2334" s="3">
        <v>14272</v>
      </c>
      <c r="L2334" s="1">
        <v>0</v>
      </c>
      <c r="M2334" s="4">
        <v>0</v>
      </c>
      <c r="N2334" s="1">
        <v>684</v>
      </c>
      <c r="O2334" s="4">
        <v>4.5999999999999999E-2</v>
      </c>
      <c r="P2334" s="1" t="s">
        <v>2721</v>
      </c>
    </row>
    <row r="2335" spans="1:16">
      <c r="A2335" s="1" t="s">
        <v>15</v>
      </c>
      <c r="B2335" s="1">
        <v>11</v>
      </c>
      <c r="C2335" s="1" t="s">
        <v>6401</v>
      </c>
      <c r="D2335" s="1" t="s">
        <v>228</v>
      </c>
      <c r="E2335" s="2">
        <v>45978</v>
      </c>
      <c r="F2335" s="1" t="s">
        <v>53</v>
      </c>
      <c r="G2335" s="1" t="s">
        <v>229</v>
      </c>
      <c r="H2335" s="1" t="s">
        <v>230</v>
      </c>
      <c r="I2335" s="1">
        <v>1</v>
      </c>
      <c r="J2335" s="3">
        <v>9825</v>
      </c>
      <c r="K2335" s="3">
        <v>9375</v>
      </c>
      <c r="L2335" s="1">
        <v>0</v>
      </c>
      <c r="M2335" s="4">
        <v>0</v>
      </c>
      <c r="N2335" s="1">
        <v>450</v>
      </c>
      <c r="O2335" s="4">
        <v>4.5999999999999999E-2</v>
      </c>
      <c r="P2335" s="1" t="s">
        <v>2721</v>
      </c>
    </row>
    <row r="2336" spans="1:16">
      <c r="A2336" s="1" t="s">
        <v>15</v>
      </c>
      <c r="B2336" s="1">
        <v>11</v>
      </c>
      <c r="C2336" s="1" t="s">
        <v>6402</v>
      </c>
      <c r="D2336" s="1" t="s">
        <v>553</v>
      </c>
      <c r="E2336" s="2">
        <v>45978</v>
      </c>
      <c r="F2336" s="1" t="s">
        <v>554</v>
      </c>
      <c r="G2336" s="1" t="s">
        <v>555</v>
      </c>
      <c r="H2336" s="1" t="s">
        <v>5947</v>
      </c>
      <c r="I2336" s="1">
        <v>1</v>
      </c>
      <c r="J2336" s="3">
        <v>8031</v>
      </c>
      <c r="K2336" s="3">
        <v>7663</v>
      </c>
      <c r="L2336" s="1">
        <v>0</v>
      </c>
      <c r="M2336" s="4">
        <v>0</v>
      </c>
      <c r="N2336" s="1">
        <v>368</v>
      </c>
      <c r="O2336" s="4">
        <v>4.5999999999999999E-2</v>
      </c>
      <c r="P2336" s="1" t="s">
        <v>2721</v>
      </c>
    </row>
    <row r="2337" spans="1:16">
      <c r="A2337" s="1" t="s">
        <v>15</v>
      </c>
      <c r="B2337" s="1">
        <v>11</v>
      </c>
      <c r="C2337" s="1" t="s">
        <v>6403</v>
      </c>
      <c r="D2337" s="1" t="s">
        <v>3799</v>
      </c>
      <c r="E2337" s="2">
        <v>45978</v>
      </c>
      <c r="F2337" s="1" t="s">
        <v>1403</v>
      </c>
      <c r="G2337" s="1" t="s">
        <v>3800</v>
      </c>
      <c r="H2337" s="1" t="s">
        <v>3801</v>
      </c>
      <c r="I2337" s="1">
        <v>1</v>
      </c>
      <c r="J2337" s="3">
        <v>13664</v>
      </c>
      <c r="K2337" s="3">
        <v>13038</v>
      </c>
      <c r="L2337" s="1">
        <v>0</v>
      </c>
      <c r="M2337" s="4">
        <v>0</v>
      </c>
      <c r="N2337" s="1">
        <v>626</v>
      </c>
      <c r="O2337" s="4">
        <v>4.5999999999999999E-2</v>
      </c>
      <c r="P2337" s="1" t="s">
        <v>2721</v>
      </c>
    </row>
    <row r="2338" spans="1:16">
      <c r="A2338" s="1" t="s">
        <v>15</v>
      </c>
      <c r="B2338" s="1">
        <v>11</v>
      </c>
      <c r="C2338" s="1" t="s">
        <v>6404</v>
      </c>
      <c r="D2338" s="1" t="s">
        <v>212</v>
      </c>
      <c r="E2338" s="2">
        <v>45978</v>
      </c>
      <c r="F2338" s="1" t="s">
        <v>213</v>
      </c>
      <c r="G2338" s="1" t="s">
        <v>214</v>
      </c>
      <c r="H2338" s="1" t="s">
        <v>215</v>
      </c>
      <c r="I2338" s="1">
        <v>1</v>
      </c>
      <c r="J2338" s="3">
        <v>16220</v>
      </c>
      <c r="K2338" s="3">
        <v>15477</v>
      </c>
      <c r="L2338" s="1">
        <v>0</v>
      </c>
      <c r="M2338" s="4">
        <v>0</v>
      </c>
      <c r="N2338" s="1">
        <v>743</v>
      </c>
      <c r="O2338" s="4">
        <v>4.5999999999999999E-2</v>
      </c>
      <c r="P2338" s="1" t="s">
        <v>2721</v>
      </c>
    </row>
    <row r="2339" spans="1:16">
      <c r="A2339" s="1" t="s">
        <v>15</v>
      </c>
      <c r="B2339" s="1">
        <v>11</v>
      </c>
      <c r="C2339" s="1" t="s">
        <v>6405</v>
      </c>
      <c r="D2339" s="1" t="s">
        <v>80</v>
      </c>
      <c r="E2339" s="2">
        <v>45978</v>
      </c>
      <c r="F2339" s="1" t="s">
        <v>58</v>
      </c>
      <c r="G2339" s="1" t="s">
        <v>81</v>
      </c>
      <c r="H2339" s="1" t="s">
        <v>2817</v>
      </c>
      <c r="I2339" s="1">
        <v>3</v>
      </c>
      <c r="J2339" s="3">
        <v>51902</v>
      </c>
      <c r="K2339" s="3">
        <v>49526</v>
      </c>
      <c r="L2339" s="1">
        <v>0</v>
      </c>
      <c r="M2339" s="4">
        <v>0</v>
      </c>
      <c r="N2339" s="3">
        <v>2376</v>
      </c>
      <c r="O2339" s="4">
        <v>4.5999999999999999E-2</v>
      </c>
      <c r="P2339" s="1" t="s">
        <v>2721</v>
      </c>
    </row>
    <row r="2340" spans="1:16">
      <c r="A2340" s="1" t="s">
        <v>15</v>
      </c>
      <c r="B2340" s="1">
        <v>11</v>
      </c>
      <c r="C2340" s="1" t="s">
        <v>6406</v>
      </c>
      <c r="D2340" s="1" t="s">
        <v>6407</v>
      </c>
      <c r="E2340" s="2">
        <v>45978</v>
      </c>
      <c r="F2340" s="1" t="s">
        <v>725</v>
      </c>
      <c r="G2340" s="1" t="s">
        <v>5267</v>
      </c>
      <c r="H2340" s="1" t="s">
        <v>5268</v>
      </c>
      <c r="I2340" s="1">
        <v>1</v>
      </c>
      <c r="J2340" s="3">
        <v>162195</v>
      </c>
      <c r="K2340" s="3">
        <v>154770</v>
      </c>
      <c r="L2340" s="1">
        <v>0</v>
      </c>
      <c r="M2340" s="4">
        <v>0</v>
      </c>
      <c r="N2340" s="3">
        <v>7425</v>
      </c>
      <c r="O2340" s="4">
        <v>4.5999999999999999E-2</v>
      </c>
      <c r="P2340" s="1" t="s">
        <v>2721</v>
      </c>
    </row>
    <row r="2341" spans="1:16">
      <c r="A2341" s="1" t="s">
        <v>15</v>
      </c>
      <c r="B2341" s="1">
        <v>11</v>
      </c>
      <c r="C2341" s="1" t="s">
        <v>6408</v>
      </c>
      <c r="D2341" s="1" t="s">
        <v>1315</v>
      </c>
      <c r="E2341" s="2">
        <v>45978</v>
      </c>
      <c r="F2341" s="1" t="s">
        <v>187</v>
      </c>
      <c r="G2341" s="1" t="s">
        <v>1316</v>
      </c>
      <c r="H2341" s="1" t="s">
        <v>1317</v>
      </c>
      <c r="I2341" s="1">
        <v>1</v>
      </c>
      <c r="J2341" s="3">
        <v>24872</v>
      </c>
      <c r="K2341" s="3">
        <v>23733</v>
      </c>
      <c r="L2341" s="1">
        <v>0</v>
      </c>
      <c r="M2341" s="4">
        <v>0</v>
      </c>
      <c r="N2341" s="3">
        <v>1139</v>
      </c>
      <c r="O2341" s="4">
        <v>4.5999999999999999E-2</v>
      </c>
      <c r="P2341" s="1" t="s">
        <v>2721</v>
      </c>
    </row>
    <row r="2342" spans="1:16">
      <c r="A2342" s="1" t="s">
        <v>15</v>
      </c>
      <c r="B2342" s="1">
        <v>11</v>
      </c>
      <c r="C2342" s="1" t="s">
        <v>6409</v>
      </c>
      <c r="D2342" s="1" t="s">
        <v>132</v>
      </c>
      <c r="E2342" s="2">
        <v>45978</v>
      </c>
      <c r="F2342" s="1" t="s">
        <v>53</v>
      </c>
      <c r="G2342" s="1" t="s">
        <v>133</v>
      </c>
      <c r="H2342" s="1" t="s">
        <v>88</v>
      </c>
      <c r="I2342" s="1">
        <v>1</v>
      </c>
      <c r="J2342" s="3">
        <v>17036</v>
      </c>
      <c r="K2342" s="3">
        <v>16256</v>
      </c>
      <c r="L2342" s="1">
        <v>0</v>
      </c>
      <c r="M2342" s="4">
        <v>0</v>
      </c>
      <c r="N2342" s="1">
        <v>780</v>
      </c>
      <c r="O2342" s="4">
        <v>4.5999999999999999E-2</v>
      </c>
      <c r="P2342" s="1" t="s">
        <v>2721</v>
      </c>
    </row>
    <row r="2343" spans="1:16">
      <c r="A2343" s="1" t="s">
        <v>15</v>
      </c>
      <c r="B2343" s="1">
        <v>11</v>
      </c>
      <c r="C2343" s="1" t="s">
        <v>6410</v>
      </c>
      <c r="D2343" s="1" t="s">
        <v>6411</v>
      </c>
      <c r="E2343" s="2">
        <v>45978</v>
      </c>
      <c r="F2343" s="1" t="s">
        <v>4309</v>
      </c>
      <c r="G2343" s="1" t="s">
        <v>6412</v>
      </c>
      <c r="H2343" s="1" t="s">
        <v>6413</v>
      </c>
      <c r="I2343" s="1">
        <v>1</v>
      </c>
      <c r="J2343" s="3">
        <v>21626</v>
      </c>
      <c r="K2343" s="3">
        <v>20636</v>
      </c>
      <c r="L2343" s="1">
        <v>0</v>
      </c>
      <c r="M2343" s="4">
        <v>0</v>
      </c>
      <c r="N2343" s="1">
        <v>990</v>
      </c>
      <c r="O2343" s="4">
        <v>4.5999999999999999E-2</v>
      </c>
      <c r="P2343" s="1" t="s">
        <v>2721</v>
      </c>
    </row>
    <row r="2344" spans="1:16">
      <c r="A2344" s="1" t="s">
        <v>15</v>
      </c>
      <c r="B2344" s="1">
        <v>11</v>
      </c>
      <c r="C2344" s="1" t="s">
        <v>6410</v>
      </c>
      <c r="D2344" s="1" t="s">
        <v>6184</v>
      </c>
      <c r="E2344" s="2">
        <v>45978</v>
      </c>
      <c r="F2344" s="1" t="s">
        <v>4309</v>
      </c>
      <c r="G2344" s="1" t="s">
        <v>6185</v>
      </c>
      <c r="H2344" s="1" t="s">
        <v>6186</v>
      </c>
      <c r="I2344" s="1">
        <v>1</v>
      </c>
      <c r="J2344" s="3">
        <v>12386</v>
      </c>
      <c r="K2344" s="3">
        <v>11819</v>
      </c>
      <c r="L2344" s="1">
        <v>0</v>
      </c>
      <c r="M2344" s="4">
        <v>0</v>
      </c>
      <c r="N2344" s="1">
        <v>567</v>
      </c>
      <c r="O2344" s="4">
        <v>4.5999999999999999E-2</v>
      </c>
      <c r="P2344" s="1" t="s">
        <v>2721</v>
      </c>
    </row>
    <row r="2345" spans="1:16">
      <c r="A2345" s="1" t="s">
        <v>15</v>
      </c>
      <c r="B2345" s="1">
        <v>11</v>
      </c>
      <c r="C2345" s="1" t="s">
        <v>6414</v>
      </c>
      <c r="D2345" s="1" t="s">
        <v>1647</v>
      </c>
      <c r="E2345" s="2">
        <v>45978</v>
      </c>
      <c r="F2345" s="1" t="s">
        <v>1112</v>
      </c>
      <c r="G2345" s="1" t="s">
        <v>1648</v>
      </c>
      <c r="H2345" s="1" t="s">
        <v>1649</v>
      </c>
      <c r="I2345" s="1">
        <v>1</v>
      </c>
      <c r="J2345" s="3">
        <v>47184</v>
      </c>
      <c r="K2345" s="3">
        <v>45024</v>
      </c>
      <c r="L2345" s="1">
        <v>0</v>
      </c>
      <c r="M2345" s="4">
        <v>0</v>
      </c>
      <c r="N2345" s="3">
        <v>2160</v>
      </c>
      <c r="O2345" s="4">
        <v>4.5999999999999999E-2</v>
      </c>
      <c r="P2345" s="1" t="s">
        <v>2721</v>
      </c>
    </row>
    <row r="2346" spans="1:16">
      <c r="A2346" s="1" t="s">
        <v>15</v>
      </c>
      <c r="B2346" s="1">
        <v>11</v>
      </c>
      <c r="C2346" s="1" t="s">
        <v>6415</v>
      </c>
      <c r="D2346" s="1" t="s">
        <v>341</v>
      </c>
      <c r="E2346" s="2">
        <v>45978</v>
      </c>
      <c r="F2346" s="1" t="s">
        <v>53</v>
      </c>
      <c r="G2346" s="1" t="s">
        <v>342</v>
      </c>
      <c r="H2346" s="1" t="s">
        <v>2882</v>
      </c>
      <c r="I2346" s="1">
        <v>1</v>
      </c>
      <c r="J2346" s="3">
        <v>16135</v>
      </c>
      <c r="K2346" s="3">
        <v>15396</v>
      </c>
      <c r="L2346" s="1">
        <v>0</v>
      </c>
      <c r="M2346" s="4">
        <v>0</v>
      </c>
      <c r="N2346" s="1">
        <v>739</v>
      </c>
      <c r="O2346" s="4">
        <v>4.5999999999999999E-2</v>
      </c>
      <c r="P2346" s="1" t="s">
        <v>2721</v>
      </c>
    </row>
    <row r="2347" spans="1:16">
      <c r="A2347" s="1" t="s">
        <v>15</v>
      </c>
      <c r="B2347" s="1">
        <v>11</v>
      </c>
      <c r="C2347" s="1" t="s">
        <v>6416</v>
      </c>
      <c r="D2347" s="1" t="s">
        <v>1457</v>
      </c>
      <c r="E2347" s="2">
        <v>45978</v>
      </c>
      <c r="F2347" s="1" t="s">
        <v>347</v>
      </c>
      <c r="G2347" s="1" t="s">
        <v>1458</v>
      </c>
      <c r="H2347" s="1" t="s">
        <v>6417</v>
      </c>
      <c r="I2347" s="1">
        <v>1</v>
      </c>
      <c r="J2347" s="3">
        <v>19699</v>
      </c>
      <c r="K2347" s="3">
        <v>18798</v>
      </c>
      <c r="L2347" s="1">
        <v>0</v>
      </c>
      <c r="M2347" s="4">
        <v>0</v>
      </c>
      <c r="N2347" s="1">
        <v>901</v>
      </c>
      <c r="O2347" s="4">
        <v>4.5999999999999999E-2</v>
      </c>
      <c r="P2347" s="1" t="s">
        <v>2721</v>
      </c>
    </row>
    <row r="2348" spans="1:16">
      <c r="A2348" s="1" t="s">
        <v>15</v>
      </c>
      <c r="B2348" s="1">
        <v>11</v>
      </c>
      <c r="C2348" s="1" t="s">
        <v>6418</v>
      </c>
      <c r="D2348" s="1" t="s">
        <v>1587</v>
      </c>
      <c r="E2348" s="2">
        <v>45978</v>
      </c>
      <c r="F2348" s="1" t="s">
        <v>126</v>
      </c>
      <c r="G2348" s="1" t="s">
        <v>1588</v>
      </c>
      <c r="H2348" s="1" t="s">
        <v>1589</v>
      </c>
      <c r="I2348" s="1">
        <v>1</v>
      </c>
      <c r="J2348" s="3">
        <v>12484</v>
      </c>
      <c r="K2348" s="3">
        <v>11913</v>
      </c>
      <c r="L2348" s="1">
        <v>0</v>
      </c>
      <c r="M2348" s="4">
        <v>0</v>
      </c>
      <c r="N2348" s="1">
        <v>571</v>
      </c>
      <c r="O2348" s="4">
        <v>4.5999999999999999E-2</v>
      </c>
      <c r="P2348" s="1" t="s">
        <v>2721</v>
      </c>
    </row>
    <row r="2349" spans="1:16">
      <c r="A2349" s="1" t="s">
        <v>15</v>
      </c>
      <c r="B2349" s="1">
        <v>11</v>
      </c>
      <c r="C2349" s="1" t="s">
        <v>6419</v>
      </c>
      <c r="D2349" s="1" t="s">
        <v>132</v>
      </c>
      <c r="E2349" s="2">
        <v>45978</v>
      </c>
      <c r="F2349" s="1" t="s">
        <v>53</v>
      </c>
      <c r="G2349" s="1" t="s">
        <v>133</v>
      </c>
      <c r="H2349" s="1" t="s">
        <v>88</v>
      </c>
      <c r="I2349" s="1">
        <v>1</v>
      </c>
      <c r="J2349" s="3">
        <v>17036</v>
      </c>
      <c r="K2349" s="3">
        <v>16256</v>
      </c>
      <c r="L2349" s="1">
        <v>0</v>
      </c>
      <c r="M2349" s="4">
        <v>0</v>
      </c>
      <c r="N2349" s="1">
        <v>780</v>
      </c>
      <c r="O2349" s="4">
        <v>4.5999999999999999E-2</v>
      </c>
      <c r="P2349" s="1" t="s">
        <v>2721</v>
      </c>
    </row>
    <row r="2350" spans="1:16">
      <c r="A2350" s="1" t="s">
        <v>15</v>
      </c>
      <c r="B2350" s="1">
        <v>11</v>
      </c>
      <c r="C2350" s="1" t="s">
        <v>6420</v>
      </c>
      <c r="D2350" s="1" t="s">
        <v>1147</v>
      </c>
      <c r="E2350" s="2">
        <v>45978</v>
      </c>
      <c r="F2350" s="1" t="s">
        <v>126</v>
      </c>
      <c r="G2350" s="1" t="s">
        <v>1148</v>
      </c>
      <c r="H2350" s="1" t="s">
        <v>1149</v>
      </c>
      <c r="I2350" s="1">
        <v>1</v>
      </c>
      <c r="J2350" s="3">
        <v>13762</v>
      </c>
      <c r="K2350" s="3">
        <v>13132</v>
      </c>
      <c r="L2350" s="1">
        <v>0</v>
      </c>
      <c r="M2350" s="4">
        <v>0</v>
      </c>
      <c r="N2350" s="1">
        <v>630</v>
      </c>
      <c r="O2350" s="4">
        <v>4.5999999999999999E-2</v>
      </c>
      <c r="P2350" s="1" t="s">
        <v>2721</v>
      </c>
    </row>
    <row r="2351" spans="1:16">
      <c r="A2351" s="1" t="s">
        <v>15</v>
      </c>
      <c r="B2351" s="1">
        <v>11</v>
      </c>
      <c r="C2351" s="1" t="s">
        <v>6421</v>
      </c>
      <c r="D2351" s="1" t="s">
        <v>6422</v>
      </c>
      <c r="E2351" s="2">
        <v>45978</v>
      </c>
      <c r="F2351" s="1" t="s">
        <v>431</v>
      </c>
      <c r="G2351" s="1" t="s">
        <v>6423</v>
      </c>
      <c r="H2351" s="1" t="s">
        <v>6424</v>
      </c>
      <c r="I2351" s="1">
        <v>1</v>
      </c>
      <c r="J2351" s="3">
        <v>46201</v>
      </c>
      <c r="K2351" s="3">
        <v>44086</v>
      </c>
      <c r="L2351" s="1">
        <v>0</v>
      </c>
      <c r="M2351" s="4">
        <v>0</v>
      </c>
      <c r="N2351" s="3">
        <v>2115</v>
      </c>
      <c r="O2351" s="4">
        <v>4.5999999999999999E-2</v>
      </c>
      <c r="P2351" s="1" t="s">
        <v>2721</v>
      </c>
    </row>
    <row r="2352" spans="1:16">
      <c r="A2352" s="1" t="s">
        <v>15</v>
      </c>
      <c r="B2352" s="1">
        <v>11</v>
      </c>
      <c r="C2352" s="1" t="s">
        <v>6425</v>
      </c>
      <c r="D2352" s="1" t="s">
        <v>1060</v>
      </c>
      <c r="E2352" s="2">
        <v>45978</v>
      </c>
      <c r="F2352" s="1" t="s">
        <v>48</v>
      </c>
      <c r="G2352" s="1" t="s">
        <v>1061</v>
      </c>
      <c r="H2352" s="1" t="s">
        <v>1062</v>
      </c>
      <c r="I2352" s="1">
        <v>1</v>
      </c>
      <c r="J2352" s="3">
        <v>8049</v>
      </c>
      <c r="K2352" s="3">
        <v>7680</v>
      </c>
      <c r="L2352" s="1">
        <v>0</v>
      </c>
      <c r="M2352" s="4">
        <v>0</v>
      </c>
      <c r="N2352" s="1">
        <v>369</v>
      </c>
      <c r="O2352" s="4">
        <v>4.5999999999999999E-2</v>
      </c>
      <c r="P2352" s="1" t="s">
        <v>2721</v>
      </c>
    </row>
    <row r="2353" spans="1:16">
      <c r="A2353" s="1" t="s">
        <v>15</v>
      </c>
      <c r="B2353" s="1">
        <v>11</v>
      </c>
      <c r="C2353" s="1" t="s">
        <v>6426</v>
      </c>
      <c r="D2353" s="1" t="s">
        <v>538</v>
      </c>
      <c r="E2353" s="2">
        <v>45978</v>
      </c>
      <c r="F2353" s="1" t="s">
        <v>53</v>
      </c>
      <c r="G2353" s="1" t="s">
        <v>539</v>
      </c>
      <c r="H2353" s="1" t="s">
        <v>540</v>
      </c>
      <c r="I2353" s="1">
        <v>1</v>
      </c>
      <c r="J2353" s="3">
        <v>14332</v>
      </c>
      <c r="K2353" s="3">
        <v>13676</v>
      </c>
      <c r="L2353" s="1">
        <v>0</v>
      </c>
      <c r="M2353" s="4">
        <v>0</v>
      </c>
      <c r="N2353" s="1">
        <v>656</v>
      </c>
      <c r="O2353" s="4">
        <v>4.5999999999999999E-2</v>
      </c>
      <c r="P2353" s="1" t="s">
        <v>2721</v>
      </c>
    </row>
    <row r="2354" spans="1:16">
      <c r="A2354" s="1" t="s">
        <v>15</v>
      </c>
      <c r="B2354" s="1">
        <v>11</v>
      </c>
      <c r="C2354" s="1" t="s">
        <v>6427</v>
      </c>
      <c r="D2354" s="1" t="s">
        <v>1673</v>
      </c>
      <c r="E2354" s="2">
        <v>45978</v>
      </c>
      <c r="F2354" s="1" t="s">
        <v>660</v>
      </c>
      <c r="G2354" s="1" t="s">
        <v>1674</v>
      </c>
      <c r="H2354" s="1" t="s">
        <v>1675</v>
      </c>
      <c r="I2354" s="1">
        <v>1</v>
      </c>
      <c r="J2354" s="3">
        <v>11285</v>
      </c>
      <c r="K2354" s="3">
        <v>10768</v>
      </c>
      <c r="L2354" s="1">
        <v>0</v>
      </c>
      <c r="M2354" s="4">
        <v>0</v>
      </c>
      <c r="N2354" s="1">
        <v>517</v>
      </c>
      <c r="O2354" s="4">
        <v>4.5999999999999999E-2</v>
      </c>
      <c r="P2354" s="1" t="s">
        <v>2721</v>
      </c>
    </row>
    <row r="2355" spans="1:16">
      <c r="A2355" s="1" t="s">
        <v>15</v>
      </c>
      <c r="B2355" s="1">
        <v>11</v>
      </c>
      <c r="C2355" s="1" t="s">
        <v>6428</v>
      </c>
      <c r="D2355" s="1" t="s">
        <v>1457</v>
      </c>
      <c r="E2355" s="2">
        <v>45978</v>
      </c>
      <c r="F2355" s="1" t="s">
        <v>347</v>
      </c>
      <c r="G2355" s="1" t="s">
        <v>1458</v>
      </c>
      <c r="H2355" s="1" t="s">
        <v>6429</v>
      </c>
      <c r="I2355" s="1">
        <v>1</v>
      </c>
      <c r="J2355" s="3">
        <v>19463</v>
      </c>
      <c r="K2355" s="3">
        <v>18572</v>
      </c>
      <c r="L2355" s="1">
        <v>0</v>
      </c>
      <c r="M2355" s="4">
        <v>0</v>
      </c>
      <c r="N2355" s="1">
        <v>891</v>
      </c>
      <c r="O2355" s="4">
        <v>4.5999999999999999E-2</v>
      </c>
      <c r="P2355" s="1" t="s">
        <v>2721</v>
      </c>
    </row>
    <row r="2356" spans="1:16">
      <c r="A2356" s="1" t="s">
        <v>15</v>
      </c>
      <c r="B2356" s="1">
        <v>11</v>
      </c>
      <c r="C2356" s="1" t="s">
        <v>6430</v>
      </c>
      <c r="D2356" s="1" t="s">
        <v>516</v>
      </c>
      <c r="E2356" s="2">
        <v>45978</v>
      </c>
      <c r="F2356" s="1" t="s">
        <v>517</v>
      </c>
      <c r="G2356" s="1" t="s">
        <v>518</v>
      </c>
      <c r="H2356" s="1" t="s">
        <v>519</v>
      </c>
      <c r="I2356" s="1">
        <v>1</v>
      </c>
      <c r="J2356" s="3">
        <v>21528</v>
      </c>
      <c r="K2356" s="3">
        <v>20542</v>
      </c>
      <c r="L2356" s="1">
        <v>0</v>
      </c>
      <c r="M2356" s="4">
        <v>0</v>
      </c>
      <c r="N2356" s="1">
        <v>986</v>
      </c>
      <c r="O2356" s="4">
        <v>4.5999999999999999E-2</v>
      </c>
      <c r="P2356" s="1" t="s">
        <v>2721</v>
      </c>
    </row>
    <row r="2357" spans="1:16">
      <c r="A2357" s="1" t="s">
        <v>15</v>
      </c>
      <c r="B2357" s="1">
        <v>11</v>
      </c>
      <c r="C2357" s="1" t="s">
        <v>6431</v>
      </c>
      <c r="D2357" s="1" t="s">
        <v>169</v>
      </c>
      <c r="E2357" s="2">
        <v>45978</v>
      </c>
      <c r="F2357" s="1" t="s">
        <v>53</v>
      </c>
      <c r="G2357" s="1" t="s">
        <v>170</v>
      </c>
      <c r="H2357" s="1" t="s">
        <v>171</v>
      </c>
      <c r="I2357" s="1">
        <v>1</v>
      </c>
      <c r="J2357" s="3">
        <v>14332</v>
      </c>
      <c r="K2357" s="3">
        <v>13676</v>
      </c>
      <c r="L2357" s="1">
        <v>0</v>
      </c>
      <c r="M2357" s="4">
        <v>0</v>
      </c>
      <c r="N2357" s="1">
        <v>656</v>
      </c>
      <c r="O2357" s="4">
        <v>4.5999999999999999E-2</v>
      </c>
      <c r="P2357" s="1" t="s">
        <v>2721</v>
      </c>
    </row>
    <row r="2358" spans="1:16">
      <c r="A2358" s="1" t="s">
        <v>15</v>
      </c>
      <c r="B2358" s="1">
        <v>11</v>
      </c>
      <c r="C2358" s="1" t="s">
        <v>6432</v>
      </c>
      <c r="D2358" s="1" t="s">
        <v>6433</v>
      </c>
      <c r="E2358" s="2">
        <v>45978</v>
      </c>
      <c r="F2358" s="1" t="s">
        <v>53</v>
      </c>
      <c r="G2358" s="1" t="s">
        <v>2604</v>
      </c>
      <c r="H2358" s="1" t="s">
        <v>6434</v>
      </c>
      <c r="I2358" s="1">
        <v>1</v>
      </c>
      <c r="J2358" s="3">
        <v>12529</v>
      </c>
      <c r="K2358" s="3">
        <v>11956</v>
      </c>
      <c r="L2358" s="1">
        <v>0</v>
      </c>
      <c r="M2358" s="4">
        <v>0</v>
      </c>
      <c r="N2358" s="1">
        <v>573</v>
      </c>
      <c r="O2358" s="4">
        <v>4.5999999999999999E-2</v>
      </c>
      <c r="P2358" s="1" t="s">
        <v>2721</v>
      </c>
    </row>
    <row r="2359" spans="1:16">
      <c r="A2359" s="1" t="s">
        <v>15</v>
      </c>
      <c r="B2359" s="1">
        <v>11</v>
      </c>
      <c r="C2359" s="1" t="s">
        <v>6435</v>
      </c>
      <c r="D2359" s="1" t="s">
        <v>311</v>
      </c>
      <c r="E2359" s="2">
        <v>45978</v>
      </c>
      <c r="F2359" s="1" t="s">
        <v>312</v>
      </c>
      <c r="G2359" s="1" t="s">
        <v>313</v>
      </c>
      <c r="H2359" s="1" t="s">
        <v>4801</v>
      </c>
      <c r="I2359" s="1">
        <v>1</v>
      </c>
      <c r="J2359" s="3">
        <v>28310</v>
      </c>
      <c r="K2359" s="3">
        <v>27014</v>
      </c>
      <c r="L2359" s="1">
        <v>0</v>
      </c>
      <c r="M2359" s="4">
        <v>0</v>
      </c>
      <c r="N2359" s="3">
        <v>1296</v>
      </c>
      <c r="O2359" s="4">
        <v>4.5999999999999999E-2</v>
      </c>
      <c r="P2359" s="1" t="s">
        <v>2721</v>
      </c>
    </row>
    <row r="2360" spans="1:16">
      <c r="A2360" s="1" t="s">
        <v>15</v>
      </c>
      <c r="B2360" s="1">
        <v>11</v>
      </c>
      <c r="C2360" s="1" t="s">
        <v>6435</v>
      </c>
      <c r="D2360" s="1" t="s">
        <v>311</v>
      </c>
      <c r="E2360" s="2">
        <v>45978</v>
      </c>
      <c r="F2360" s="1" t="s">
        <v>312</v>
      </c>
      <c r="G2360" s="1" t="s">
        <v>313</v>
      </c>
      <c r="H2360" s="1" t="s">
        <v>3723</v>
      </c>
      <c r="I2360" s="1">
        <v>1</v>
      </c>
      <c r="J2360" s="3">
        <v>28310</v>
      </c>
      <c r="K2360" s="3">
        <v>27014</v>
      </c>
      <c r="L2360" s="1">
        <v>0</v>
      </c>
      <c r="M2360" s="4">
        <v>0</v>
      </c>
      <c r="N2360" s="3">
        <v>1296</v>
      </c>
      <c r="O2360" s="4">
        <v>4.5999999999999999E-2</v>
      </c>
      <c r="P2360" s="1" t="s">
        <v>2721</v>
      </c>
    </row>
    <row r="2361" spans="1:16">
      <c r="A2361" s="1" t="s">
        <v>15</v>
      </c>
      <c r="B2361" s="1">
        <v>11</v>
      </c>
      <c r="C2361" s="1" t="s">
        <v>6436</v>
      </c>
      <c r="D2361" s="1" t="s">
        <v>116</v>
      </c>
      <c r="E2361" s="2">
        <v>45978</v>
      </c>
      <c r="F2361" s="1" t="s">
        <v>63</v>
      </c>
      <c r="G2361" s="1" t="s">
        <v>117</v>
      </c>
      <c r="H2361" s="1" t="s">
        <v>580</v>
      </c>
      <c r="I2361" s="1">
        <v>1</v>
      </c>
      <c r="J2361" s="3">
        <v>27764</v>
      </c>
      <c r="K2361" s="3">
        <v>26493</v>
      </c>
      <c r="L2361" s="1">
        <v>0</v>
      </c>
      <c r="M2361" s="4">
        <v>0</v>
      </c>
      <c r="N2361" s="3">
        <v>1271</v>
      </c>
      <c r="O2361" s="4">
        <v>4.5999999999999999E-2</v>
      </c>
      <c r="P2361" s="1" t="s">
        <v>2721</v>
      </c>
    </row>
    <row r="2362" spans="1:16">
      <c r="A2362" s="1" t="s">
        <v>15</v>
      </c>
      <c r="B2362" s="1">
        <v>11</v>
      </c>
      <c r="C2362" s="1" t="s">
        <v>6437</v>
      </c>
      <c r="D2362" s="1" t="s">
        <v>125</v>
      </c>
      <c r="E2362" s="2">
        <v>45978</v>
      </c>
      <c r="F2362" s="1" t="s">
        <v>126</v>
      </c>
      <c r="G2362" s="1" t="s">
        <v>127</v>
      </c>
      <c r="H2362" s="1" t="s">
        <v>128</v>
      </c>
      <c r="I2362" s="1">
        <v>1</v>
      </c>
      <c r="J2362" s="3">
        <v>13959</v>
      </c>
      <c r="K2362" s="3">
        <v>13320</v>
      </c>
      <c r="L2362" s="1">
        <v>0</v>
      </c>
      <c r="M2362" s="4">
        <v>0</v>
      </c>
      <c r="N2362" s="1">
        <v>639</v>
      </c>
      <c r="O2362" s="4">
        <v>4.5999999999999999E-2</v>
      </c>
      <c r="P2362" s="1" t="s">
        <v>2721</v>
      </c>
    </row>
    <row r="2363" spans="1:16">
      <c r="A2363" s="1" t="s">
        <v>15</v>
      </c>
      <c r="B2363" s="1">
        <v>11</v>
      </c>
      <c r="C2363" s="1" t="s">
        <v>6438</v>
      </c>
      <c r="D2363" s="1" t="s">
        <v>169</v>
      </c>
      <c r="E2363" s="2">
        <v>45978</v>
      </c>
      <c r="F2363" s="1" t="s">
        <v>53</v>
      </c>
      <c r="G2363" s="1" t="s">
        <v>170</v>
      </c>
      <c r="H2363" s="1" t="s">
        <v>171</v>
      </c>
      <c r="I2363" s="1">
        <v>1</v>
      </c>
      <c r="J2363" s="3">
        <v>14332</v>
      </c>
      <c r="K2363" s="3">
        <v>13676</v>
      </c>
      <c r="L2363" s="1">
        <v>0</v>
      </c>
      <c r="M2363" s="4">
        <v>0</v>
      </c>
      <c r="N2363" s="1">
        <v>656</v>
      </c>
      <c r="O2363" s="4">
        <v>4.5999999999999999E-2</v>
      </c>
      <c r="P2363" s="1" t="s">
        <v>2721</v>
      </c>
    </row>
    <row r="2364" spans="1:16">
      <c r="A2364" s="1" t="s">
        <v>15</v>
      </c>
      <c r="B2364" s="1">
        <v>11</v>
      </c>
      <c r="C2364" s="1" t="s">
        <v>6439</v>
      </c>
      <c r="D2364" s="1" t="s">
        <v>1647</v>
      </c>
      <c r="E2364" s="2">
        <v>45978</v>
      </c>
      <c r="F2364" s="1" t="s">
        <v>1112</v>
      </c>
      <c r="G2364" s="1" t="s">
        <v>1648</v>
      </c>
      <c r="H2364" s="1" t="s">
        <v>1649</v>
      </c>
      <c r="I2364" s="1">
        <v>1</v>
      </c>
      <c r="J2364" s="3">
        <v>47184</v>
      </c>
      <c r="K2364" s="3">
        <v>45024</v>
      </c>
      <c r="L2364" s="1">
        <v>0</v>
      </c>
      <c r="M2364" s="4">
        <v>0</v>
      </c>
      <c r="N2364" s="3">
        <v>2160</v>
      </c>
      <c r="O2364" s="4">
        <v>4.5999999999999999E-2</v>
      </c>
      <c r="P2364" s="1" t="s">
        <v>2721</v>
      </c>
    </row>
    <row r="2365" spans="1:16">
      <c r="A2365" s="1" t="s">
        <v>15</v>
      </c>
      <c r="B2365" s="1">
        <v>11</v>
      </c>
      <c r="C2365" s="1" t="s">
        <v>6440</v>
      </c>
      <c r="D2365" s="1" t="s">
        <v>989</v>
      </c>
      <c r="E2365" s="2">
        <v>45978</v>
      </c>
      <c r="F2365" s="1" t="s">
        <v>48</v>
      </c>
      <c r="G2365" s="1" t="s">
        <v>990</v>
      </c>
      <c r="H2365" s="1" t="s">
        <v>1164</v>
      </c>
      <c r="I2365" s="1">
        <v>1</v>
      </c>
      <c r="J2365" s="3">
        <v>9315</v>
      </c>
      <c r="K2365" s="3">
        <v>8888</v>
      </c>
      <c r="L2365" s="1">
        <v>0</v>
      </c>
      <c r="M2365" s="4">
        <v>0</v>
      </c>
      <c r="N2365" s="1">
        <v>427</v>
      </c>
      <c r="O2365" s="4">
        <v>4.5999999999999999E-2</v>
      </c>
      <c r="P2365" s="1" t="s">
        <v>2721</v>
      </c>
    </row>
    <row r="2366" spans="1:16">
      <c r="A2366" s="1" t="s">
        <v>15</v>
      </c>
      <c r="B2366" s="1">
        <v>11</v>
      </c>
      <c r="C2366" s="1" t="s">
        <v>6441</v>
      </c>
      <c r="D2366" s="1" t="s">
        <v>1531</v>
      </c>
      <c r="E2366" s="2">
        <v>45978</v>
      </c>
      <c r="F2366" s="1" t="s">
        <v>53</v>
      </c>
      <c r="G2366" s="1" t="s">
        <v>1532</v>
      </c>
      <c r="H2366" s="1" t="s">
        <v>1533</v>
      </c>
      <c r="I2366" s="1">
        <v>1</v>
      </c>
      <c r="J2366" s="3">
        <v>8022</v>
      </c>
      <c r="K2366" s="3">
        <v>7655</v>
      </c>
      <c r="L2366" s="1">
        <v>0</v>
      </c>
      <c r="M2366" s="4">
        <v>0</v>
      </c>
      <c r="N2366" s="1">
        <v>367</v>
      </c>
      <c r="O2366" s="4">
        <v>4.5999999999999999E-2</v>
      </c>
      <c r="P2366" s="1" t="s">
        <v>2721</v>
      </c>
    </row>
    <row r="2367" spans="1:16">
      <c r="A2367" s="1" t="s">
        <v>15</v>
      </c>
      <c r="B2367" s="1">
        <v>11</v>
      </c>
      <c r="C2367" s="1" t="s">
        <v>6442</v>
      </c>
      <c r="D2367" s="1" t="s">
        <v>169</v>
      </c>
      <c r="E2367" s="2">
        <v>45978</v>
      </c>
      <c r="F2367" s="1" t="s">
        <v>53</v>
      </c>
      <c r="G2367" s="1" t="s">
        <v>170</v>
      </c>
      <c r="H2367" s="1" t="s">
        <v>171</v>
      </c>
      <c r="I2367" s="1">
        <v>1</v>
      </c>
      <c r="J2367" s="3">
        <v>14332</v>
      </c>
      <c r="K2367" s="3">
        <v>13676</v>
      </c>
      <c r="L2367" s="1">
        <v>0</v>
      </c>
      <c r="M2367" s="4">
        <v>0</v>
      </c>
      <c r="N2367" s="1">
        <v>656</v>
      </c>
      <c r="O2367" s="4">
        <v>4.5999999999999999E-2</v>
      </c>
      <c r="P2367" s="1" t="s">
        <v>2721</v>
      </c>
    </row>
    <row r="2368" spans="1:16">
      <c r="A2368" s="1" t="s">
        <v>15</v>
      </c>
      <c r="B2368" s="1">
        <v>11</v>
      </c>
      <c r="C2368" s="1" t="s">
        <v>6443</v>
      </c>
      <c r="D2368" s="1" t="s">
        <v>390</v>
      </c>
      <c r="E2368" s="2">
        <v>45978</v>
      </c>
      <c r="F2368" s="1" t="s">
        <v>256</v>
      </c>
      <c r="G2368" s="1" t="s">
        <v>391</v>
      </c>
      <c r="H2368" s="1" t="s">
        <v>5539</v>
      </c>
      <c r="I2368" s="1">
        <v>1</v>
      </c>
      <c r="J2368" s="3">
        <v>34897</v>
      </c>
      <c r="K2368" s="3">
        <v>33299</v>
      </c>
      <c r="L2368" s="1">
        <v>0</v>
      </c>
      <c r="M2368" s="4">
        <v>0</v>
      </c>
      <c r="N2368" s="3">
        <v>1598</v>
      </c>
      <c r="O2368" s="4">
        <v>4.5999999999999999E-2</v>
      </c>
      <c r="P2368" s="1" t="s">
        <v>2721</v>
      </c>
    </row>
    <row r="2369" spans="1:16">
      <c r="A2369" s="1" t="s">
        <v>15</v>
      </c>
      <c r="B2369" s="1">
        <v>11</v>
      </c>
      <c r="C2369" s="1" t="s">
        <v>6444</v>
      </c>
      <c r="D2369" s="1" t="s">
        <v>1385</v>
      </c>
      <c r="E2369" s="2">
        <v>45978</v>
      </c>
      <c r="F2369" s="1" t="s">
        <v>368</v>
      </c>
      <c r="G2369" s="1" t="s">
        <v>1386</v>
      </c>
      <c r="H2369" s="1" t="s">
        <v>1387</v>
      </c>
      <c r="I2369" s="1">
        <v>1</v>
      </c>
      <c r="J2369" s="3">
        <v>8953</v>
      </c>
      <c r="K2369" s="3">
        <v>8543</v>
      </c>
      <c r="L2369" s="1">
        <v>0</v>
      </c>
      <c r="M2369" s="4">
        <v>0</v>
      </c>
      <c r="N2369" s="1">
        <v>410</v>
      </c>
      <c r="O2369" s="4">
        <v>4.5999999999999999E-2</v>
      </c>
      <c r="P2369" s="1" t="s">
        <v>2721</v>
      </c>
    </row>
    <row r="2370" spans="1:16">
      <c r="A2370" s="1" t="s">
        <v>15</v>
      </c>
      <c r="B2370" s="1">
        <v>11</v>
      </c>
      <c r="C2370" s="1" t="s">
        <v>6444</v>
      </c>
      <c r="D2370" s="1" t="s">
        <v>478</v>
      </c>
      <c r="E2370" s="2">
        <v>45978</v>
      </c>
      <c r="F2370" s="1" t="s">
        <v>368</v>
      </c>
      <c r="G2370" s="1" t="s">
        <v>479</v>
      </c>
      <c r="H2370" s="1" t="s">
        <v>480</v>
      </c>
      <c r="I2370" s="1">
        <v>1</v>
      </c>
      <c r="J2370" s="3">
        <v>19805</v>
      </c>
      <c r="K2370" s="3">
        <v>18899</v>
      </c>
      <c r="L2370" s="1">
        <v>0</v>
      </c>
      <c r="M2370" s="4">
        <v>0</v>
      </c>
      <c r="N2370" s="1">
        <v>906</v>
      </c>
      <c r="O2370" s="4">
        <v>4.5999999999999999E-2</v>
      </c>
      <c r="P2370" s="1" t="s">
        <v>2721</v>
      </c>
    </row>
    <row r="2371" spans="1:16">
      <c r="A2371" s="1" t="s">
        <v>15</v>
      </c>
      <c r="B2371" s="1">
        <v>11</v>
      </c>
      <c r="C2371" s="1" t="s">
        <v>6445</v>
      </c>
      <c r="D2371" s="1" t="s">
        <v>6446</v>
      </c>
      <c r="E2371" s="2">
        <v>45978</v>
      </c>
      <c r="F2371" s="1" t="s">
        <v>121</v>
      </c>
      <c r="G2371" s="1" t="s">
        <v>6447</v>
      </c>
      <c r="H2371" s="1" t="s">
        <v>6448</v>
      </c>
      <c r="I2371" s="1">
        <v>2</v>
      </c>
      <c r="J2371" s="3">
        <v>88470</v>
      </c>
      <c r="K2371" s="3">
        <v>84420</v>
      </c>
      <c r="L2371" s="1">
        <v>0</v>
      </c>
      <c r="M2371" s="4">
        <v>0</v>
      </c>
      <c r="N2371" s="3">
        <v>4050</v>
      </c>
      <c r="O2371" s="4">
        <v>4.5999999999999999E-2</v>
      </c>
      <c r="P2371" s="1" t="s">
        <v>2721</v>
      </c>
    </row>
    <row r="2372" spans="1:16">
      <c r="A2372" s="1" t="s">
        <v>15</v>
      </c>
      <c r="B2372" s="1">
        <v>11</v>
      </c>
      <c r="C2372" s="1" t="s">
        <v>6449</v>
      </c>
      <c r="D2372" s="1" t="s">
        <v>813</v>
      </c>
      <c r="E2372" s="2">
        <v>45978</v>
      </c>
      <c r="F2372" s="1" t="s">
        <v>126</v>
      </c>
      <c r="G2372" s="1" t="s">
        <v>814</v>
      </c>
      <c r="H2372" s="1" t="s">
        <v>816</v>
      </c>
      <c r="I2372" s="1">
        <v>1</v>
      </c>
      <c r="J2372" s="3">
        <v>17203</v>
      </c>
      <c r="K2372" s="3">
        <v>16415</v>
      </c>
      <c r="L2372" s="1">
        <v>0</v>
      </c>
      <c r="M2372" s="4">
        <v>0</v>
      </c>
      <c r="N2372" s="1">
        <v>788</v>
      </c>
      <c r="O2372" s="4">
        <v>4.5999999999999999E-2</v>
      </c>
      <c r="P2372" s="1" t="s">
        <v>2721</v>
      </c>
    </row>
    <row r="2373" spans="1:16">
      <c r="A2373" s="1" t="s">
        <v>15</v>
      </c>
      <c r="B2373" s="1">
        <v>11</v>
      </c>
      <c r="C2373" s="1" t="s">
        <v>6450</v>
      </c>
      <c r="D2373" s="1" t="s">
        <v>3585</v>
      </c>
      <c r="E2373" s="2">
        <v>45978</v>
      </c>
      <c r="F2373" s="1" t="s">
        <v>856</v>
      </c>
      <c r="G2373" s="1" t="s">
        <v>3586</v>
      </c>
      <c r="H2373" s="1" t="s">
        <v>3587</v>
      </c>
      <c r="I2373" s="1">
        <v>1</v>
      </c>
      <c r="J2373" s="3">
        <v>103215</v>
      </c>
      <c r="K2373" s="3">
        <v>98490</v>
      </c>
      <c r="L2373" s="1">
        <v>0</v>
      </c>
      <c r="M2373" s="4">
        <v>0</v>
      </c>
      <c r="N2373" s="3">
        <v>4725</v>
      </c>
      <c r="O2373" s="4">
        <v>4.5999999999999999E-2</v>
      </c>
      <c r="P2373" s="1" t="s">
        <v>2721</v>
      </c>
    </row>
    <row r="2374" spans="1:16">
      <c r="A2374" s="1" t="s">
        <v>15</v>
      </c>
      <c r="B2374" s="1">
        <v>11</v>
      </c>
      <c r="C2374" s="1" t="s">
        <v>6451</v>
      </c>
      <c r="D2374" s="1" t="s">
        <v>3356</v>
      </c>
      <c r="E2374" s="2">
        <v>45978</v>
      </c>
      <c r="F2374" s="1" t="s">
        <v>604</v>
      </c>
      <c r="G2374" s="1" t="s">
        <v>3357</v>
      </c>
      <c r="H2374" s="1" t="s">
        <v>3358</v>
      </c>
      <c r="I2374" s="1">
        <v>1</v>
      </c>
      <c r="J2374" s="3">
        <v>7078</v>
      </c>
      <c r="K2374" s="3">
        <v>6754</v>
      </c>
      <c r="L2374" s="1">
        <v>0</v>
      </c>
      <c r="M2374" s="4">
        <v>0</v>
      </c>
      <c r="N2374" s="1">
        <v>324</v>
      </c>
      <c r="O2374" s="4">
        <v>4.5999999999999999E-2</v>
      </c>
      <c r="P2374" s="1" t="s">
        <v>2721</v>
      </c>
    </row>
    <row r="2375" spans="1:16">
      <c r="A2375" s="1" t="s">
        <v>15</v>
      </c>
      <c r="B2375" s="1">
        <v>11</v>
      </c>
      <c r="C2375" s="1" t="s">
        <v>6452</v>
      </c>
      <c r="D2375" s="1" t="s">
        <v>3944</v>
      </c>
      <c r="E2375" s="2">
        <v>45978</v>
      </c>
      <c r="F2375" s="1" t="s">
        <v>292</v>
      </c>
      <c r="G2375" s="1" t="s">
        <v>3945</v>
      </c>
      <c r="H2375" s="1" t="s">
        <v>6453</v>
      </c>
      <c r="I2375" s="1">
        <v>1</v>
      </c>
      <c r="J2375" s="3">
        <v>32832</v>
      </c>
      <c r="K2375" s="3">
        <v>31329</v>
      </c>
      <c r="L2375" s="1">
        <v>0</v>
      </c>
      <c r="M2375" s="4">
        <v>0</v>
      </c>
      <c r="N2375" s="3">
        <v>1503</v>
      </c>
      <c r="O2375" s="4">
        <v>4.5999999999999999E-2</v>
      </c>
      <c r="P2375" s="1" t="s">
        <v>2721</v>
      </c>
    </row>
    <row r="2376" spans="1:16">
      <c r="A2376" s="1" t="s">
        <v>15</v>
      </c>
      <c r="B2376" s="1">
        <v>11</v>
      </c>
      <c r="C2376" s="1" t="s">
        <v>6454</v>
      </c>
      <c r="D2376" s="1" t="s">
        <v>238</v>
      </c>
      <c r="E2376" s="2">
        <v>45978</v>
      </c>
      <c r="F2376" s="1" t="s">
        <v>239</v>
      </c>
      <c r="G2376" s="1" t="s">
        <v>240</v>
      </c>
      <c r="H2376" s="1" t="s">
        <v>241</v>
      </c>
      <c r="I2376" s="1">
        <v>1</v>
      </c>
      <c r="J2376" s="3">
        <v>11305</v>
      </c>
      <c r="K2376" s="3">
        <v>10787</v>
      </c>
      <c r="L2376" s="1">
        <v>0</v>
      </c>
      <c r="M2376" s="4">
        <v>0</v>
      </c>
      <c r="N2376" s="1">
        <v>518</v>
      </c>
      <c r="O2376" s="4">
        <v>4.5999999999999999E-2</v>
      </c>
      <c r="P2376" s="1" t="s">
        <v>2721</v>
      </c>
    </row>
    <row r="2377" spans="1:16">
      <c r="A2377" s="1" t="s">
        <v>15</v>
      </c>
      <c r="B2377" s="1">
        <v>11</v>
      </c>
      <c r="C2377" s="1" t="s">
        <v>6454</v>
      </c>
      <c r="D2377" s="1" t="s">
        <v>238</v>
      </c>
      <c r="E2377" s="2">
        <v>45978</v>
      </c>
      <c r="F2377" s="1" t="s">
        <v>239</v>
      </c>
      <c r="G2377" s="1" t="s">
        <v>240</v>
      </c>
      <c r="H2377" s="1" t="s">
        <v>242</v>
      </c>
      <c r="I2377" s="1">
        <v>1</v>
      </c>
      <c r="J2377" s="3">
        <v>11305</v>
      </c>
      <c r="K2377" s="3">
        <v>10787</v>
      </c>
      <c r="L2377" s="1">
        <v>0</v>
      </c>
      <c r="M2377" s="4">
        <v>0</v>
      </c>
      <c r="N2377" s="1">
        <v>518</v>
      </c>
      <c r="O2377" s="4">
        <v>4.5999999999999999E-2</v>
      </c>
      <c r="P2377" s="1" t="s">
        <v>2721</v>
      </c>
    </row>
    <row r="2378" spans="1:16">
      <c r="A2378" s="1" t="s">
        <v>15</v>
      </c>
      <c r="B2378" s="1">
        <v>11</v>
      </c>
      <c r="C2378" s="1" t="s">
        <v>6455</v>
      </c>
      <c r="D2378" s="1" t="s">
        <v>828</v>
      </c>
      <c r="E2378" s="2">
        <v>45978</v>
      </c>
      <c r="F2378" s="1" t="s">
        <v>689</v>
      </c>
      <c r="G2378" s="1" t="s">
        <v>829</v>
      </c>
      <c r="H2378" s="1" t="s">
        <v>3178</v>
      </c>
      <c r="I2378" s="1">
        <v>1</v>
      </c>
      <c r="J2378" s="3">
        <v>14745</v>
      </c>
      <c r="K2378" s="3">
        <v>14070</v>
      </c>
      <c r="L2378" s="1">
        <v>0</v>
      </c>
      <c r="M2378" s="4">
        <v>0</v>
      </c>
      <c r="N2378" s="1">
        <v>675</v>
      </c>
      <c r="O2378" s="4">
        <v>4.5999999999999999E-2</v>
      </c>
      <c r="P2378" s="1" t="s">
        <v>2721</v>
      </c>
    </row>
    <row r="2379" spans="1:16">
      <c r="A2379" s="1" t="s">
        <v>15</v>
      </c>
      <c r="B2379" s="1">
        <v>11</v>
      </c>
      <c r="C2379" s="1" t="s">
        <v>6456</v>
      </c>
      <c r="D2379" s="1" t="s">
        <v>86</v>
      </c>
      <c r="E2379" s="2">
        <v>45978</v>
      </c>
      <c r="F2379" s="1" t="s">
        <v>53</v>
      </c>
      <c r="G2379" s="1" t="s">
        <v>87</v>
      </c>
      <c r="H2379" s="1" t="s">
        <v>88</v>
      </c>
      <c r="I2379" s="1">
        <v>1</v>
      </c>
      <c r="J2379" s="3">
        <v>14956</v>
      </c>
      <c r="K2379" s="3">
        <v>14272</v>
      </c>
      <c r="L2379" s="1">
        <v>0</v>
      </c>
      <c r="M2379" s="4">
        <v>0</v>
      </c>
      <c r="N2379" s="1">
        <v>684</v>
      </c>
      <c r="O2379" s="4">
        <v>4.5999999999999999E-2</v>
      </c>
      <c r="P2379" s="1" t="s">
        <v>2721</v>
      </c>
    </row>
    <row r="2380" spans="1:16">
      <c r="A2380" s="1" t="s">
        <v>15</v>
      </c>
      <c r="B2380" s="1">
        <v>11</v>
      </c>
      <c r="C2380" s="1" t="s">
        <v>6457</v>
      </c>
      <c r="D2380" s="1" t="s">
        <v>238</v>
      </c>
      <c r="E2380" s="2">
        <v>45978</v>
      </c>
      <c r="F2380" s="1" t="s">
        <v>239</v>
      </c>
      <c r="G2380" s="1" t="s">
        <v>240</v>
      </c>
      <c r="H2380" s="1" t="s">
        <v>241</v>
      </c>
      <c r="I2380" s="1">
        <v>2</v>
      </c>
      <c r="J2380" s="3">
        <v>22609</v>
      </c>
      <c r="K2380" s="3">
        <v>21574</v>
      </c>
      <c r="L2380" s="1">
        <v>0</v>
      </c>
      <c r="M2380" s="4">
        <v>0</v>
      </c>
      <c r="N2380" s="3">
        <v>1035</v>
      </c>
      <c r="O2380" s="4">
        <v>4.5999999999999999E-2</v>
      </c>
      <c r="P2380" s="1" t="s">
        <v>2721</v>
      </c>
    </row>
    <row r="2381" spans="1:16">
      <c r="A2381" s="1" t="s">
        <v>15</v>
      </c>
      <c r="B2381" s="1">
        <v>11</v>
      </c>
      <c r="C2381" s="1" t="s">
        <v>6458</v>
      </c>
      <c r="D2381" s="1" t="s">
        <v>3618</v>
      </c>
      <c r="E2381" s="2">
        <v>45978</v>
      </c>
      <c r="F2381" s="1" t="s">
        <v>96</v>
      </c>
      <c r="G2381" s="1" t="s">
        <v>3619</v>
      </c>
      <c r="H2381" s="1" t="s">
        <v>3620</v>
      </c>
      <c r="I2381" s="1">
        <v>1</v>
      </c>
      <c r="J2381" s="3">
        <v>11614</v>
      </c>
      <c r="K2381" s="3">
        <v>11082</v>
      </c>
      <c r="L2381" s="1">
        <v>0</v>
      </c>
      <c r="M2381" s="4">
        <v>0</v>
      </c>
      <c r="N2381" s="1">
        <v>532</v>
      </c>
      <c r="O2381" s="4">
        <v>4.5999999999999999E-2</v>
      </c>
      <c r="P2381" s="1" t="s">
        <v>2721</v>
      </c>
    </row>
    <row r="2382" spans="1:16">
      <c r="A2382" s="1" t="s">
        <v>15</v>
      </c>
      <c r="B2382" s="1">
        <v>11</v>
      </c>
      <c r="C2382" s="1" t="s">
        <v>6459</v>
      </c>
      <c r="D2382" s="1" t="s">
        <v>569</v>
      </c>
      <c r="E2382" s="2">
        <v>45978</v>
      </c>
      <c r="F2382" s="1" t="s">
        <v>570</v>
      </c>
      <c r="G2382" s="1" t="s">
        <v>571</v>
      </c>
      <c r="H2382" s="1" t="s">
        <v>572</v>
      </c>
      <c r="I2382" s="1">
        <v>1</v>
      </c>
      <c r="J2382" s="3">
        <v>19660</v>
      </c>
      <c r="K2382" s="3">
        <v>18760</v>
      </c>
      <c r="L2382" s="1">
        <v>0</v>
      </c>
      <c r="M2382" s="4">
        <v>0</v>
      </c>
      <c r="N2382" s="1">
        <v>900</v>
      </c>
      <c r="O2382" s="4">
        <v>4.5999999999999999E-2</v>
      </c>
      <c r="P2382" s="1" t="s">
        <v>2721</v>
      </c>
    </row>
    <row r="2383" spans="1:16">
      <c r="A2383" s="1" t="s">
        <v>15</v>
      </c>
      <c r="B2383" s="1">
        <v>11</v>
      </c>
      <c r="C2383" s="1" t="s">
        <v>6460</v>
      </c>
      <c r="D2383" s="1" t="s">
        <v>6184</v>
      </c>
      <c r="E2383" s="2">
        <v>45978</v>
      </c>
      <c r="F2383" s="1" t="s">
        <v>4309</v>
      </c>
      <c r="G2383" s="1" t="s">
        <v>6185</v>
      </c>
      <c r="H2383" s="1" t="s">
        <v>6461</v>
      </c>
      <c r="I2383" s="1">
        <v>1</v>
      </c>
      <c r="J2383" s="3">
        <v>31259</v>
      </c>
      <c r="K2383" s="3">
        <v>29828</v>
      </c>
      <c r="L2383" s="1">
        <v>0</v>
      </c>
      <c r="M2383" s="4">
        <v>0</v>
      </c>
      <c r="N2383" s="3">
        <v>1431</v>
      </c>
      <c r="O2383" s="4">
        <v>4.5999999999999999E-2</v>
      </c>
      <c r="P2383" s="1" t="s">
        <v>2721</v>
      </c>
    </row>
    <row r="2384" spans="1:16">
      <c r="A2384" s="1" t="s">
        <v>15</v>
      </c>
      <c r="B2384" s="1">
        <v>11</v>
      </c>
      <c r="C2384" s="1" t="s">
        <v>6462</v>
      </c>
      <c r="D2384" s="1" t="s">
        <v>22</v>
      </c>
      <c r="E2384" s="2">
        <v>45978</v>
      </c>
      <c r="F2384" s="1" t="s">
        <v>23</v>
      </c>
      <c r="G2384" s="1" t="s">
        <v>24</v>
      </c>
      <c r="H2384" s="1" t="s">
        <v>25</v>
      </c>
      <c r="I2384" s="1">
        <v>1</v>
      </c>
      <c r="J2384" s="3">
        <v>11305</v>
      </c>
      <c r="K2384" s="3">
        <v>10787</v>
      </c>
      <c r="L2384" s="1">
        <v>0</v>
      </c>
      <c r="M2384" s="4">
        <v>0</v>
      </c>
      <c r="N2384" s="1">
        <v>518</v>
      </c>
      <c r="O2384" s="4">
        <v>4.5999999999999999E-2</v>
      </c>
      <c r="P2384" s="1" t="s">
        <v>2721</v>
      </c>
    </row>
    <row r="2385" spans="1:16">
      <c r="A2385" s="1" t="s">
        <v>15</v>
      </c>
      <c r="B2385" s="1">
        <v>11</v>
      </c>
      <c r="C2385" s="1" t="s">
        <v>6463</v>
      </c>
      <c r="D2385" s="1" t="s">
        <v>27</v>
      </c>
      <c r="E2385" s="2">
        <v>45978</v>
      </c>
      <c r="F2385" s="1" t="s">
        <v>28</v>
      </c>
      <c r="G2385" s="1" t="s">
        <v>29</v>
      </c>
      <c r="H2385" s="1" t="s">
        <v>352</v>
      </c>
      <c r="I2385" s="1">
        <v>1</v>
      </c>
      <c r="J2385" s="3">
        <v>27033</v>
      </c>
      <c r="K2385" s="3">
        <v>25795</v>
      </c>
      <c r="L2385" s="1">
        <v>0</v>
      </c>
      <c r="M2385" s="4">
        <v>0</v>
      </c>
      <c r="N2385" s="3">
        <v>1238</v>
      </c>
      <c r="O2385" s="4">
        <v>4.5999999999999999E-2</v>
      </c>
      <c r="P2385" s="1" t="s">
        <v>2721</v>
      </c>
    </row>
    <row r="2386" spans="1:16">
      <c r="A2386" s="1" t="s">
        <v>15</v>
      </c>
      <c r="B2386" s="1">
        <v>11</v>
      </c>
      <c r="C2386" s="1" t="s">
        <v>6463</v>
      </c>
      <c r="D2386" s="1" t="s">
        <v>27</v>
      </c>
      <c r="E2386" s="2">
        <v>45978</v>
      </c>
      <c r="F2386" s="1" t="s">
        <v>28</v>
      </c>
      <c r="G2386" s="1" t="s">
        <v>29</v>
      </c>
      <c r="H2386" s="1" t="s">
        <v>30</v>
      </c>
      <c r="I2386" s="1">
        <v>1</v>
      </c>
      <c r="J2386" s="3">
        <v>27033</v>
      </c>
      <c r="K2386" s="3">
        <v>25795</v>
      </c>
      <c r="L2386" s="1">
        <v>0</v>
      </c>
      <c r="M2386" s="4">
        <v>0</v>
      </c>
      <c r="N2386" s="3">
        <v>1238</v>
      </c>
      <c r="O2386" s="4">
        <v>4.5999999999999999E-2</v>
      </c>
      <c r="P2386" s="1" t="s">
        <v>2721</v>
      </c>
    </row>
    <row r="2387" spans="1:16">
      <c r="A2387" s="1" t="s">
        <v>15</v>
      </c>
      <c r="B2387" s="1">
        <v>11</v>
      </c>
      <c r="C2387" s="1" t="s">
        <v>6464</v>
      </c>
      <c r="D2387" s="1" t="s">
        <v>1168</v>
      </c>
      <c r="E2387" s="2">
        <v>45978</v>
      </c>
      <c r="F2387" s="1" t="s">
        <v>53</v>
      </c>
      <c r="G2387" s="1" t="s">
        <v>1169</v>
      </c>
      <c r="H2387" s="1" t="s">
        <v>6465</v>
      </c>
      <c r="I2387" s="1">
        <v>1</v>
      </c>
      <c r="J2387" s="3">
        <v>7121</v>
      </c>
      <c r="K2387" s="3">
        <v>6795</v>
      </c>
      <c r="L2387" s="1">
        <v>0</v>
      </c>
      <c r="M2387" s="4">
        <v>0</v>
      </c>
      <c r="N2387" s="1">
        <v>326</v>
      </c>
      <c r="O2387" s="4">
        <v>4.5999999999999999E-2</v>
      </c>
      <c r="P2387" s="1" t="s">
        <v>2721</v>
      </c>
    </row>
    <row r="2388" spans="1:16">
      <c r="A2388" s="1" t="s">
        <v>15</v>
      </c>
      <c r="B2388" s="1">
        <v>11</v>
      </c>
      <c r="C2388" s="1" t="s">
        <v>6466</v>
      </c>
      <c r="D2388" s="1" t="s">
        <v>793</v>
      </c>
      <c r="E2388" s="2">
        <v>45978</v>
      </c>
      <c r="F2388" s="1" t="s">
        <v>126</v>
      </c>
      <c r="G2388" s="1" t="s">
        <v>794</v>
      </c>
      <c r="H2388" s="1" t="s">
        <v>3854</v>
      </c>
      <c r="I2388" s="1">
        <v>1</v>
      </c>
      <c r="J2388" s="3">
        <v>18186</v>
      </c>
      <c r="K2388" s="3">
        <v>17353</v>
      </c>
      <c r="L2388" s="1">
        <v>0</v>
      </c>
      <c r="M2388" s="4">
        <v>0</v>
      </c>
      <c r="N2388" s="1">
        <v>833</v>
      </c>
      <c r="O2388" s="4">
        <v>4.5999999999999999E-2</v>
      </c>
      <c r="P2388" s="1" t="s">
        <v>2721</v>
      </c>
    </row>
    <row r="2389" spans="1:16">
      <c r="A2389" s="1" t="s">
        <v>15</v>
      </c>
      <c r="B2389" s="1">
        <v>11</v>
      </c>
      <c r="C2389" s="1" t="s">
        <v>6467</v>
      </c>
      <c r="D2389" s="1" t="s">
        <v>169</v>
      </c>
      <c r="E2389" s="2">
        <v>45978</v>
      </c>
      <c r="F2389" s="1" t="s">
        <v>53</v>
      </c>
      <c r="G2389" s="1" t="s">
        <v>170</v>
      </c>
      <c r="H2389" s="1" t="s">
        <v>171</v>
      </c>
      <c r="I2389" s="1">
        <v>1</v>
      </c>
      <c r="J2389" s="3">
        <v>14332</v>
      </c>
      <c r="K2389" s="3">
        <v>13676</v>
      </c>
      <c r="L2389" s="1">
        <v>0</v>
      </c>
      <c r="M2389" s="4">
        <v>0</v>
      </c>
      <c r="N2389" s="1">
        <v>656</v>
      </c>
      <c r="O2389" s="4">
        <v>4.5999999999999999E-2</v>
      </c>
      <c r="P2389" s="1" t="s">
        <v>2721</v>
      </c>
    </row>
    <row r="2390" spans="1:16">
      <c r="A2390" s="1" t="s">
        <v>15</v>
      </c>
      <c r="B2390" s="1">
        <v>11</v>
      </c>
      <c r="C2390" s="1" t="s">
        <v>6468</v>
      </c>
      <c r="D2390" s="1" t="s">
        <v>390</v>
      </c>
      <c r="E2390" s="2">
        <v>45978</v>
      </c>
      <c r="F2390" s="1" t="s">
        <v>256</v>
      </c>
      <c r="G2390" s="1" t="s">
        <v>391</v>
      </c>
      <c r="H2390" s="1" t="s">
        <v>1307</v>
      </c>
      <c r="I2390" s="1">
        <v>1</v>
      </c>
      <c r="J2390" s="3">
        <v>23395</v>
      </c>
      <c r="K2390" s="3">
        <v>22324</v>
      </c>
      <c r="L2390" s="1">
        <v>0</v>
      </c>
      <c r="M2390" s="4">
        <v>0</v>
      </c>
      <c r="N2390" s="3">
        <v>1071</v>
      </c>
      <c r="O2390" s="4">
        <v>4.5999999999999999E-2</v>
      </c>
      <c r="P2390" s="1" t="s">
        <v>2721</v>
      </c>
    </row>
    <row r="2391" spans="1:16">
      <c r="A2391" s="1" t="s">
        <v>15</v>
      </c>
      <c r="B2391" s="1">
        <v>11</v>
      </c>
      <c r="C2391" s="1" t="s">
        <v>6469</v>
      </c>
      <c r="D2391" s="1" t="s">
        <v>2811</v>
      </c>
      <c r="E2391" s="2">
        <v>45978</v>
      </c>
      <c r="F2391" s="1" t="s">
        <v>235</v>
      </c>
      <c r="G2391" s="1" t="s">
        <v>2060</v>
      </c>
      <c r="H2391" s="1" t="s">
        <v>2060</v>
      </c>
      <c r="I2391" s="1">
        <v>1</v>
      </c>
      <c r="J2391" s="3">
        <v>25963</v>
      </c>
      <c r="K2391" s="3">
        <v>24774</v>
      </c>
      <c r="L2391" s="1">
        <v>0</v>
      </c>
      <c r="M2391" s="4">
        <v>0</v>
      </c>
      <c r="N2391" s="3">
        <v>1189</v>
      </c>
      <c r="O2391" s="4">
        <v>4.5999999999999999E-2</v>
      </c>
      <c r="P2391" s="1" t="s">
        <v>2721</v>
      </c>
    </row>
    <row r="2392" spans="1:16">
      <c r="A2392" s="1" t="s">
        <v>15</v>
      </c>
      <c r="B2392" s="1">
        <v>11</v>
      </c>
      <c r="C2392" s="1" t="s">
        <v>6470</v>
      </c>
      <c r="D2392" s="1" t="s">
        <v>1393</v>
      </c>
      <c r="E2392" s="2">
        <v>45978</v>
      </c>
      <c r="F2392" s="1" t="s">
        <v>235</v>
      </c>
      <c r="G2392" s="1" t="s">
        <v>1394</v>
      </c>
      <c r="H2392" s="1" t="s">
        <v>1395</v>
      </c>
      <c r="I2392" s="1">
        <v>1</v>
      </c>
      <c r="J2392" s="3">
        <v>8110</v>
      </c>
      <c r="K2392" s="3">
        <v>7739</v>
      </c>
      <c r="L2392" s="1">
        <v>0</v>
      </c>
      <c r="M2392" s="4">
        <v>0</v>
      </c>
      <c r="N2392" s="1">
        <v>371</v>
      </c>
      <c r="O2392" s="4">
        <v>4.5999999999999999E-2</v>
      </c>
      <c r="P2392" s="1" t="s">
        <v>2721</v>
      </c>
    </row>
    <row r="2393" spans="1:16">
      <c r="A2393" s="1" t="s">
        <v>15</v>
      </c>
      <c r="B2393" s="1">
        <v>11</v>
      </c>
      <c r="C2393" s="1" t="s">
        <v>6471</v>
      </c>
      <c r="D2393" s="1" t="s">
        <v>4095</v>
      </c>
      <c r="E2393" s="2">
        <v>45978</v>
      </c>
      <c r="F2393" s="1" t="s">
        <v>58</v>
      </c>
      <c r="G2393" s="1" t="s">
        <v>4096</v>
      </c>
      <c r="H2393" s="1" t="s">
        <v>4097</v>
      </c>
      <c r="I2393" s="1">
        <v>1</v>
      </c>
      <c r="J2393" s="3">
        <v>21842</v>
      </c>
      <c r="K2393" s="3">
        <v>20842</v>
      </c>
      <c r="L2393" s="1">
        <v>0</v>
      </c>
      <c r="M2393" s="4">
        <v>0</v>
      </c>
      <c r="N2393" s="3">
        <v>1000</v>
      </c>
      <c r="O2393" s="4">
        <v>4.5999999999999999E-2</v>
      </c>
      <c r="P2393" s="1" t="s">
        <v>2721</v>
      </c>
    </row>
    <row r="2394" spans="1:16">
      <c r="A2394" s="1" t="s">
        <v>15</v>
      </c>
      <c r="B2394" s="1">
        <v>11</v>
      </c>
      <c r="C2394" s="1" t="s">
        <v>6472</v>
      </c>
      <c r="D2394" s="1" t="s">
        <v>4694</v>
      </c>
      <c r="E2394" s="2">
        <v>45978</v>
      </c>
      <c r="F2394" s="1" t="s">
        <v>53</v>
      </c>
      <c r="G2394" s="1" t="s">
        <v>4695</v>
      </c>
      <c r="H2394" s="1" t="s">
        <v>4696</v>
      </c>
      <c r="I2394" s="1">
        <v>1</v>
      </c>
      <c r="J2394" s="3">
        <v>12529</v>
      </c>
      <c r="K2394" s="3">
        <v>11956</v>
      </c>
      <c r="L2394" s="1">
        <v>0</v>
      </c>
      <c r="M2394" s="4">
        <v>0</v>
      </c>
      <c r="N2394" s="1">
        <v>573</v>
      </c>
      <c r="O2394" s="4">
        <v>4.5999999999999999E-2</v>
      </c>
      <c r="P2394" s="1" t="s">
        <v>2721</v>
      </c>
    </row>
    <row r="2395" spans="1:16">
      <c r="A2395" s="1" t="s">
        <v>15</v>
      </c>
      <c r="B2395" s="1">
        <v>11</v>
      </c>
      <c r="C2395" s="1" t="s">
        <v>6473</v>
      </c>
      <c r="D2395" s="1" t="s">
        <v>538</v>
      </c>
      <c r="E2395" s="2">
        <v>45978</v>
      </c>
      <c r="F2395" s="1" t="s">
        <v>53</v>
      </c>
      <c r="G2395" s="1" t="s">
        <v>539</v>
      </c>
      <c r="H2395" s="1" t="s">
        <v>540</v>
      </c>
      <c r="I2395" s="1">
        <v>1</v>
      </c>
      <c r="J2395" s="3">
        <v>14332</v>
      </c>
      <c r="K2395" s="3">
        <v>13676</v>
      </c>
      <c r="L2395" s="1">
        <v>0</v>
      </c>
      <c r="M2395" s="4">
        <v>0</v>
      </c>
      <c r="N2395" s="1">
        <v>656</v>
      </c>
      <c r="O2395" s="4">
        <v>4.5999999999999999E-2</v>
      </c>
      <c r="P2395" s="1" t="s">
        <v>2721</v>
      </c>
    </row>
    <row r="2396" spans="1:16">
      <c r="A2396" s="1" t="s">
        <v>15</v>
      </c>
      <c r="B2396" s="1">
        <v>11</v>
      </c>
      <c r="C2396" s="1" t="s">
        <v>6474</v>
      </c>
      <c r="D2396" s="1" t="s">
        <v>6475</v>
      </c>
      <c r="E2396" s="2">
        <v>45978</v>
      </c>
      <c r="F2396" s="1" t="s">
        <v>500</v>
      </c>
      <c r="G2396" s="1" t="s">
        <v>6476</v>
      </c>
      <c r="H2396" s="1" t="s">
        <v>6477</v>
      </c>
      <c r="I2396" s="1">
        <v>1</v>
      </c>
      <c r="J2396" s="3">
        <v>224790</v>
      </c>
      <c r="K2396" s="3">
        <v>214500</v>
      </c>
      <c r="L2396" s="1">
        <v>0</v>
      </c>
      <c r="M2396" s="4">
        <v>0</v>
      </c>
      <c r="N2396" s="3">
        <v>10290</v>
      </c>
      <c r="O2396" s="4">
        <v>4.5999999999999999E-2</v>
      </c>
      <c r="P2396" s="1" t="s">
        <v>2721</v>
      </c>
    </row>
    <row r="2397" spans="1:16">
      <c r="A2397" s="1" t="s">
        <v>15</v>
      </c>
      <c r="B2397" s="1">
        <v>11</v>
      </c>
      <c r="C2397" s="1" t="s">
        <v>6478</v>
      </c>
      <c r="D2397" s="1" t="s">
        <v>4669</v>
      </c>
      <c r="E2397" s="2">
        <v>45978</v>
      </c>
      <c r="F2397" s="1" t="s">
        <v>63</v>
      </c>
      <c r="G2397" s="1" t="s">
        <v>4670</v>
      </c>
      <c r="H2397" s="1" t="s">
        <v>118</v>
      </c>
      <c r="I2397" s="1">
        <v>1</v>
      </c>
      <c r="J2397" s="3">
        <v>18627</v>
      </c>
      <c r="K2397" s="3">
        <v>17774</v>
      </c>
      <c r="L2397" s="1">
        <v>0</v>
      </c>
      <c r="M2397" s="4">
        <v>0</v>
      </c>
      <c r="N2397" s="1">
        <v>853</v>
      </c>
      <c r="O2397" s="4">
        <v>4.5999999999999999E-2</v>
      </c>
      <c r="P2397" s="1" t="s">
        <v>2721</v>
      </c>
    </row>
    <row r="2398" spans="1:16">
      <c r="A2398" s="1" t="s">
        <v>15</v>
      </c>
      <c r="B2398" s="1">
        <v>11</v>
      </c>
      <c r="C2398" s="1" t="s">
        <v>6479</v>
      </c>
      <c r="D2398" s="1" t="s">
        <v>6480</v>
      </c>
      <c r="E2398" s="2">
        <v>45978</v>
      </c>
      <c r="F2398" s="1" t="s">
        <v>1112</v>
      </c>
      <c r="G2398" s="1" t="s">
        <v>6481</v>
      </c>
      <c r="H2398" s="1" t="s">
        <v>6482</v>
      </c>
      <c r="I2398" s="1">
        <v>1</v>
      </c>
      <c r="J2398" s="3">
        <v>63797</v>
      </c>
      <c r="K2398" s="3">
        <v>60876</v>
      </c>
      <c r="L2398" s="1">
        <v>0</v>
      </c>
      <c r="M2398" s="4">
        <v>0</v>
      </c>
      <c r="N2398" s="3">
        <v>2921</v>
      </c>
      <c r="O2398" s="4">
        <v>4.5999999999999999E-2</v>
      </c>
      <c r="P2398" s="1" t="s">
        <v>2721</v>
      </c>
    </row>
    <row r="2399" spans="1:16">
      <c r="A2399" s="1" t="s">
        <v>15</v>
      </c>
      <c r="B2399" s="1">
        <v>11</v>
      </c>
      <c r="C2399" s="1" t="s">
        <v>6483</v>
      </c>
      <c r="D2399" s="1" t="s">
        <v>32</v>
      </c>
      <c r="E2399" s="2">
        <v>45978</v>
      </c>
      <c r="F2399" s="1" t="s">
        <v>33</v>
      </c>
      <c r="G2399" s="1" t="s">
        <v>34</v>
      </c>
      <c r="H2399" s="1" t="s">
        <v>6484</v>
      </c>
      <c r="I2399" s="1">
        <v>1</v>
      </c>
      <c r="J2399" s="3">
        <v>56984</v>
      </c>
      <c r="K2399" s="3">
        <v>54375</v>
      </c>
      <c r="L2399" s="1">
        <v>0</v>
      </c>
      <c r="M2399" s="4">
        <v>0</v>
      </c>
      <c r="N2399" s="3">
        <v>2609</v>
      </c>
      <c r="O2399" s="4">
        <v>4.5999999999999999E-2</v>
      </c>
      <c r="P2399" s="1" t="s">
        <v>2721</v>
      </c>
    </row>
    <row r="2400" spans="1:16">
      <c r="A2400" s="1" t="s">
        <v>15</v>
      </c>
      <c r="B2400" s="1">
        <v>11</v>
      </c>
      <c r="C2400" s="1" t="s">
        <v>6485</v>
      </c>
      <c r="D2400" s="1" t="s">
        <v>6486</v>
      </c>
      <c r="E2400" s="2">
        <v>45978</v>
      </c>
      <c r="F2400" s="1" t="s">
        <v>441</v>
      </c>
      <c r="G2400" s="1" t="s">
        <v>6487</v>
      </c>
      <c r="H2400" s="1" t="s">
        <v>6488</v>
      </c>
      <c r="I2400" s="1">
        <v>1</v>
      </c>
      <c r="J2400" s="3">
        <v>31948</v>
      </c>
      <c r="K2400" s="3">
        <v>30485</v>
      </c>
      <c r="L2400" s="1">
        <v>0</v>
      </c>
      <c r="M2400" s="4">
        <v>0</v>
      </c>
      <c r="N2400" s="3">
        <v>1463</v>
      </c>
      <c r="O2400" s="4">
        <v>4.5999999999999999E-2</v>
      </c>
      <c r="P2400" s="1" t="s">
        <v>2721</v>
      </c>
    </row>
    <row r="2401" spans="1:16">
      <c r="A2401" s="1" t="s">
        <v>15</v>
      </c>
      <c r="B2401" s="1">
        <v>11</v>
      </c>
      <c r="C2401" s="1" t="s">
        <v>6489</v>
      </c>
      <c r="D2401" s="1" t="s">
        <v>72</v>
      </c>
      <c r="E2401" s="2">
        <v>45978</v>
      </c>
      <c r="F2401" s="1" t="s">
        <v>63</v>
      </c>
      <c r="G2401" s="1" t="s">
        <v>73</v>
      </c>
      <c r="H2401" s="1" t="s">
        <v>74</v>
      </c>
      <c r="I2401" s="1">
        <v>1</v>
      </c>
      <c r="J2401" s="3">
        <v>10456</v>
      </c>
      <c r="K2401" s="3">
        <v>9978</v>
      </c>
      <c r="L2401" s="1">
        <v>0</v>
      </c>
      <c r="M2401" s="4">
        <v>0</v>
      </c>
      <c r="N2401" s="1">
        <v>478</v>
      </c>
      <c r="O2401" s="4">
        <v>4.5999999999999999E-2</v>
      </c>
      <c r="P2401" s="1" t="s">
        <v>2721</v>
      </c>
    </row>
    <row r="2402" spans="1:16">
      <c r="A2402" s="1" t="s">
        <v>15</v>
      </c>
      <c r="B2402" s="1">
        <v>11</v>
      </c>
      <c r="C2402" s="1" t="s">
        <v>6490</v>
      </c>
      <c r="D2402" s="1" t="s">
        <v>487</v>
      </c>
      <c r="E2402" s="2">
        <v>45978</v>
      </c>
      <c r="F2402" s="1" t="s">
        <v>488</v>
      </c>
      <c r="G2402" s="1" t="s">
        <v>489</v>
      </c>
      <c r="H2402" s="1" t="s">
        <v>490</v>
      </c>
      <c r="I2402" s="1">
        <v>1</v>
      </c>
      <c r="J2402" s="3">
        <v>19169</v>
      </c>
      <c r="K2402" s="3">
        <v>18291</v>
      </c>
      <c r="L2402" s="1">
        <v>0</v>
      </c>
      <c r="M2402" s="4">
        <v>0</v>
      </c>
      <c r="N2402" s="1">
        <v>878</v>
      </c>
      <c r="O2402" s="4">
        <v>4.5999999999999999E-2</v>
      </c>
      <c r="P2402" s="1" t="s">
        <v>2721</v>
      </c>
    </row>
    <row r="2403" spans="1:16">
      <c r="A2403" s="1" t="s">
        <v>15</v>
      </c>
      <c r="B2403" s="1">
        <v>11</v>
      </c>
      <c r="C2403" s="1" t="s">
        <v>6491</v>
      </c>
      <c r="D2403" s="1" t="s">
        <v>1452</v>
      </c>
      <c r="E2403" s="2">
        <v>45978</v>
      </c>
      <c r="F2403" s="1" t="s">
        <v>407</v>
      </c>
      <c r="G2403" s="1" t="s">
        <v>1453</v>
      </c>
      <c r="H2403" s="1" t="s">
        <v>1454</v>
      </c>
      <c r="I2403" s="1">
        <v>1</v>
      </c>
      <c r="J2403" s="3">
        <v>10715</v>
      </c>
      <c r="K2403" s="3">
        <v>10224</v>
      </c>
      <c r="L2403" s="1">
        <v>0</v>
      </c>
      <c r="M2403" s="4">
        <v>0</v>
      </c>
      <c r="N2403" s="1">
        <v>491</v>
      </c>
      <c r="O2403" s="4">
        <v>4.5999999999999999E-2</v>
      </c>
      <c r="P2403" s="1" t="s">
        <v>2721</v>
      </c>
    </row>
    <row r="2404" spans="1:16">
      <c r="A2404" s="1" t="s">
        <v>15</v>
      </c>
      <c r="B2404" s="1">
        <v>11</v>
      </c>
      <c r="C2404" s="1" t="s">
        <v>6492</v>
      </c>
      <c r="D2404" s="1" t="s">
        <v>504</v>
      </c>
      <c r="E2404" s="2">
        <v>45978</v>
      </c>
      <c r="F2404" s="1" t="s">
        <v>407</v>
      </c>
      <c r="G2404" s="1" t="s">
        <v>505</v>
      </c>
      <c r="H2404" s="1" t="s">
        <v>1322</v>
      </c>
      <c r="I2404" s="1">
        <v>1</v>
      </c>
      <c r="J2404" s="3">
        <v>23592</v>
      </c>
      <c r="K2404" s="3">
        <v>22512</v>
      </c>
      <c r="L2404" s="1">
        <v>0</v>
      </c>
      <c r="M2404" s="4">
        <v>0</v>
      </c>
      <c r="N2404" s="3">
        <v>1080</v>
      </c>
      <c r="O2404" s="4">
        <v>4.5999999999999999E-2</v>
      </c>
      <c r="P2404" s="1" t="s">
        <v>2721</v>
      </c>
    </row>
    <row r="2405" spans="1:16">
      <c r="A2405" s="1" t="s">
        <v>15</v>
      </c>
      <c r="B2405" s="1">
        <v>11</v>
      </c>
      <c r="C2405" s="1" t="s">
        <v>6493</v>
      </c>
      <c r="D2405" s="1" t="s">
        <v>169</v>
      </c>
      <c r="E2405" s="2">
        <v>45978</v>
      </c>
      <c r="F2405" s="1" t="s">
        <v>53</v>
      </c>
      <c r="G2405" s="1" t="s">
        <v>170</v>
      </c>
      <c r="H2405" s="1" t="s">
        <v>171</v>
      </c>
      <c r="I2405" s="1">
        <v>1</v>
      </c>
      <c r="J2405" s="3">
        <v>14332</v>
      </c>
      <c r="K2405" s="3">
        <v>13676</v>
      </c>
      <c r="L2405" s="1">
        <v>0</v>
      </c>
      <c r="M2405" s="4">
        <v>0</v>
      </c>
      <c r="N2405" s="1">
        <v>656</v>
      </c>
      <c r="O2405" s="4">
        <v>4.5999999999999999E-2</v>
      </c>
      <c r="P2405" s="1" t="s">
        <v>2721</v>
      </c>
    </row>
    <row r="2406" spans="1:16">
      <c r="A2406" s="1" t="s">
        <v>15</v>
      </c>
      <c r="B2406" s="1">
        <v>11</v>
      </c>
      <c r="C2406" s="1" t="s">
        <v>6494</v>
      </c>
      <c r="D2406" s="1" t="s">
        <v>72</v>
      </c>
      <c r="E2406" s="2">
        <v>45978</v>
      </c>
      <c r="F2406" s="1" t="s">
        <v>63</v>
      </c>
      <c r="G2406" s="1" t="s">
        <v>73</v>
      </c>
      <c r="H2406" s="1" t="s">
        <v>74</v>
      </c>
      <c r="I2406" s="1">
        <v>1</v>
      </c>
      <c r="J2406" s="3">
        <v>10456</v>
      </c>
      <c r="K2406" s="3">
        <v>9978</v>
      </c>
      <c r="L2406" s="1">
        <v>0</v>
      </c>
      <c r="M2406" s="4">
        <v>0</v>
      </c>
      <c r="N2406" s="1">
        <v>478</v>
      </c>
      <c r="O2406" s="4">
        <v>4.5999999999999999E-2</v>
      </c>
      <c r="P2406" s="1" t="s">
        <v>2721</v>
      </c>
    </row>
    <row r="2407" spans="1:16">
      <c r="A2407" s="1" t="s">
        <v>15</v>
      </c>
      <c r="B2407" s="1">
        <v>11</v>
      </c>
      <c r="C2407" s="1" t="s">
        <v>6495</v>
      </c>
      <c r="D2407" s="1" t="s">
        <v>878</v>
      </c>
      <c r="E2407" s="2">
        <v>45978</v>
      </c>
      <c r="F2407" s="1" t="s">
        <v>856</v>
      </c>
      <c r="G2407" s="1" t="s">
        <v>879</v>
      </c>
      <c r="H2407" s="1" t="s">
        <v>880</v>
      </c>
      <c r="I2407" s="1">
        <v>1</v>
      </c>
      <c r="J2407" s="3">
        <v>89453</v>
      </c>
      <c r="K2407" s="3">
        <v>85358</v>
      </c>
      <c r="L2407" s="1">
        <v>0</v>
      </c>
      <c r="M2407" s="4">
        <v>0</v>
      </c>
      <c r="N2407" s="3">
        <v>4095</v>
      </c>
      <c r="O2407" s="4">
        <v>4.5999999999999999E-2</v>
      </c>
      <c r="P2407" s="1" t="s">
        <v>2721</v>
      </c>
    </row>
    <row r="2408" spans="1:16">
      <c r="A2408" s="1" t="s">
        <v>15</v>
      </c>
      <c r="B2408" s="1">
        <v>11</v>
      </c>
      <c r="C2408" s="1" t="s">
        <v>6496</v>
      </c>
      <c r="D2408" s="1" t="s">
        <v>3307</v>
      </c>
      <c r="E2408" s="2">
        <v>45978</v>
      </c>
      <c r="F2408" s="1" t="s">
        <v>347</v>
      </c>
      <c r="G2408" s="1" t="s">
        <v>3308</v>
      </c>
      <c r="H2408" s="1" t="s">
        <v>6497</v>
      </c>
      <c r="I2408" s="1">
        <v>1</v>
      </c>
      <c r="J2408" s="3">
        <v>18186</v>
      </c>
      <c r="K2408" s="3">
        <v>17353</v>
      </c>
      <c r="L2408" s="1">
        <v>0</v>
      </c>
      <c r="M2408" s="4">
        <v>0</v>
      </c>
      <c r="N2408" s="1">
        <v>833</v>
      </c>
      <c r="O2408" s="4">
        <v>4.5999999999999999E-2</v>
      </c>
      <c r="P2408" s="1" t="s">
        <v>2721</v>
      </c>
    </row>
    <row r="2409" spans="1:16">
      <c r="A2409" s="1" t="s">
        <v>15</v>
      </c>
      <c r="B2409" s="1">
        <v>11</v>
      </c>
      <c r="C2409" s="1" t="s">
        <v>6498</v>
      </c>
      <c r="D2409" s="1" t="s">
        <v>797</v>
      </c>
      <c r="E2409" s="2">
        <v>45978</v>
      </c>
      <c r="F2409" s="1" t="s">
        <v>798</v>
      </c>
      <c r="G2409" s="1" t="s">
        <v>799</v>
      </c>
      <c r="H2409" s="1" t="s">
        <v>1331</v>
      </c>
      <c r="I2409" s="1">
        <v>1</v>
      </c>
      <c r="J2409" s="3">
        <v>13271</v>
      </c>
      <c r="K2409" s="3">
        <v>12663</v>
      </c>
      <c r="L2409" s="1">
        <v>0</v>
      </c>
      <c r="M2409" s="4">
        <v>0</v>
      </c>
      <c r="N2409" s="1">
        <v>608</v>
      </c>
      <c r="O2409" s="4">
        <v>4.5999999999999999E-2</v>
      </c>
      <c r="P2409" s="1" t="s">
        <v>2721</v>
      </c>
    </row>
    <row r="2410" spans="1:16">
      <c r="A2410" s="1" t="s">
        <v>15</v>
      </c>
      <c r="B2410" s="1">
        <v>11</v>
      </c>
      <c r="C2410" s="1" t="s">
        <v>6499</v>
      </c>
      <c r="D2410" s="1" t="s">
        <v>504</v>
      </c>
      <c r="E2410" s="2">
        <v>45978</v>
      </c>
      <c r="F2410" s="1" t="s">
        <v>407</v>
      </c>
      <c r="G2410" s="1" t="s">
        <v>505</v>
      </c>
      <c r="H2410" s="1" t="s">
        <v>1131</v>
      </c>
      <c r="I2410" s="1">
        <v>1</v>
      </c>
      <c r="J2410" s="3">
        <v>54065</v>
      </c>
      <c r="K2410" s="3">
        <v>51590</v>
      </c>
      <c r="L2410" s="1">
        <v>0</v>
      </c>
      <c r="M2410" s="4">
        <v>0</v>
      </c>
      <c r="N2410" s="3">
        <v>2475</v>
      </c>
      <c r="O2410" s="4">
        <v>4.5999999999999999E-2</v>
      </c>
      <c r="P2410" s="1" t="s">
        <v>2721</v>
      </c>
    </row>
    <row r="2411" spans="1:16">
      <c r="A2411" s="1" t="s">
        <v>15</v>
      </c>
      <c r="B2411" s="1">
        <v>11</v>
      </c>
      <c r="C2411" s="1" t="s">
        <v>6500</v>
      </c>
      <c r="D2411" s="1" t="s">
        <v>6501</v>
      </c>
      <c r="E2411" s="2">
        <v>45978</v>
      </c>
      <c r="F2411" s="1" t="s">
        <v>1815</v>
      </c>
      <c r="G2411" s="1" t="s">
        <v>1816</v>
      </c>
      <c r="H2411" s="1" t="s">
        <v>1817</v>
      </c>
      <c r="I2411" s="1">
        <v>1</v>
      </c>
      <c r="J2411" s="3">
        <v>14057</v>
      </c>
      <c r="K2411" s="3">
        <v>13413</v>
      </c>
      <c r="L2411" s="1">
        <v>0</v>
      </c>
      <c r="M2411" s="4">
        <v>0</v>
      </c>
      <c r="N2411" s="1">
        <v>644</v>
      </c>
      <c r="O2411" s="4">
        <v>4.5999999999999999E-2</v>
      </c>
      <c r="P2411" s="1" t="s">
        <v>2721</v>
      </c>
    </row>
    <row r="2412" spans="1:16">
      <c r="A2412" s="1" t="s">
        <v>15</v>
      </c>
      <c r="B2412" s="1">
        <v>11</v>
      </c>
      <c r="C2412" s="1" t="s">
        <v>6502</v>
      </c>
      <c r="D2412" s="1" t="s">
        <v>6503</v>
      </c>
      <c r="E2412" s="2">
        <v>45978</v>
      </c>
      <c r="F2412" s="1" t="s">
        <v>53</v>
      </c>
      <c r="G2412" s="1" t="s">
        <v>6504</v>
      </c>
      <c r="H2412" s="1" t="s">
        <v>6505</v>
      </c>
      <c r="I2412" s="1">
        <v>1</v>
      </c>
      <c r="J2412" s="3">
        <v>15234</v>
      </c>
      <c r="K2412" s="3">
        <v>14536</v>
      </c>
      <c r="L2412" s="1">
        <v>0</v>
      </c>
      <c r="M2412" s="4">
        <v>0</v>
      </c>
      <c r="N2412" s="1">
        <v>698</v>
      </c>
      <c r="O2412" s="4">
        <v>4.5999999999999999E-2</v>
      </c>
      <c r="P2412" s="1" t="s">
        <v>2721</v>
      </c>
    </row>
    <row r="2413" spans="1:16">
      <c r="A2413" s="1" t="s">
        <v>15</v>
      </c>
      <c r="B2413" s="1">
        <v>11</v>
      </c>
      <c r="C2413" s="1" t="s">
        <v>6506</v>
      </c>
      <c r="D2413" s="1" t="s">
        <v>6507</v>
      </c>
      <c r="E2413" s="2">
        <v>45978</v>
      </c>
      <c r="F2413" s="1" t="s">
        <v>3740</v>
      </c>
      <c r="G2413" s="1" t="s">
        <v>6508</v>
      </c>
      <c r="H2413" s="1" t="s">
        <v>6509</v>
      </c>
      <c r="I2413" s="1">
        <v>1</v>
      </c>
      <c r="J2413" s="3">
        <v>41778</v>
      </c>
      <c r="K2413" s="3">
        <v>39865</v>
      </c>
      <c r="L2413" s="1">
        <v>0</v>
      </c>
      <c r="M2413" s="4">
        <v>0</v>
      </c>
      <c r="N2413" s="3">
        <v>1913</v>
      </c>
      <c r="O2413" s="4">
        <v>4.5999999999999999E-2</v>
      </c>
      <c r="P2413" s="1" t="s">
        <v>2721</v>
      </c>
    </row>
    <row r="2414" spans="1:16">
      <c r="A2414" s="1" t="s">
        <v>15</v>
      </c>
      <c r="B2414" s="1">
        <v>11</v>
      </c>
      <c r="C2414" s="1" t="s">
        <v>6510</v>
      </c>
      <c r="D2414" s="1" t="s">
        <v>818</v>
      </c>
      <c r="E2414" s="2">
        <v>45978</v>
      </c>
      <c r="F2414" s="1" t="s">
        <v>235</v>
      </c>
      <c r="G2414" s="1" t="s">
        <v>819</v>
      </c>
      <c r="H2414" s="1" t="s">
        <v>822</v>
      </c>
      <c r="I2414" s="1">
        <v>1</v>
      </c>
      <c r="J2414" s="3">
        <v>8061</v>
      </c>
      <c r="K2414" s="3">
        <v>7692</v>
      </c>
      <c r="L2414" s="1">
        <v>0</v>
      </c>
      <c r="M2414" s="4">
        <v>0</v>
      </c>
      <c r="N2414" s="1">
        <v>369</v>
      </c>
      <c r="O2414" s="4">
        <v>4.5999999999999999E-2</v>
      </c>
      <c r="P2414" s="1" t="s">
        <v>2721</v>
      </c>
    </row>
    <row r="2415" spans="1:16">
      <c r="A2415" s="1" t="s">
        <v>15</v>
      </c>
      <c r="B2415" s="1">
        <v>11</v>
      </c>
      <c r="C2415" s="1" t="s">
        <v>6510</v>
      </c>
      <c r="D2415" s="1" t="s">
        <v>818</v>
      </c>
      <c r="E2415" s="2">
        <v>45978</v>
      </c>
      <c r="F2415" s="1" t="s">
        <v>235</v>
      </c>
      <c r="G2415" s="1" t="s">
        <v>819</v>
      </c>
      <c r="H2415" s="1" t="s">
        <v>820</v>
      </c>
      <c r="I2415" s="1">
        <v>1</v>
      </c>
      <c r="J2415" s="3">
        <v>8061</v>
      </c>
      <c r="K2415" s="3">
        <v>7692</v>
      </c>
      <c r="L2415" s="1">
        <v>0</v>
      </c>
      <c r="M2415" s="4">
        <v>0</v>
      </c>
      <c r="N2415" s="1">
        <v>369</v>
      </c>
      <c r="O2415" s="4">
        <v>4.5999999999999999E-2</v>
      </c>
      <c r="P2415" s="1" t="s">
        <v>2721</v>
      </c>
    </row>
    <row r="2416" spans="1:16">
      <c r="A2416" s="1" t="s">
        <v>15</v>
      </c>
      <c r="B2416" s="1">
        <v>11</v>
      </c>
      <c r="C2416" s="1" t="s">
        <v>6511</v>
      </c>
      <c r="D2416" s="1" t="s">
        <v>169</v>
      </c>
      <c r="E2416" s="2">
        <v>45978</v>
      </c>
      <c r="F2416" s="1" t="s">
        <v>53</v>
      </c>
      <c r="G2416" s="1" t="s">
        <v>170</v>
      </c>
      <c r="H2416" s="1" t="s">
        <v>171</v>
      </c>
      <c r="I2416" s="1">
        <v>1</v>
      </c>
      <c r="J2416" s="3">
        <v>14332</v>
      </c>
      <c r="K2416" s="3">
        <v>13676</v>
      </c>
      <c r="L2416" s="1">
        <v>0</v>
      </c>
      <c r="M2416" s="4">
        <v>0</v>
      </c>
      <c r="N2416" s="1">
        <v>656</v>
      </c>
      <c r="O2416" s="4">
        <v>4.5999999999999999E-2</v>
      </c>
      <c r="P2416" s="1" t="s">
        <v>2721</v>
      </c>
    </row>
    <row r="2417" spans="1:16">
      <c r="A2417" s="1" t="s">
        <v>15</v>
      </c>
      <c r="B2417" s="1">
        <v>11</v>
      </c>
      <c r="C2417" s="1" t="s">
        <v>6512</v>
      </c>
      <c r="D2417" s="1" t="s">
        <v>1137</v>
      </c>
      <c r="E2417" s="2">
        <v>45978</v>
      </c>
      <c r="F2417" s="1" t="s">
        <v>58</v>
      </c>
      <c r="G2417" s="1" t="s">
        <v>1138</v>
      </c>
      <c r="H2417" s="1" t="s">
        <v>2298</v>
      </c>
      <c r="I2417" s="1">
        <v>1</v>
      </c>
      <c r="J2417" s="3">
        <v>14450</v>
      </c>
      <c r="K2417" s="3">
        <v>13789</v>
      </c>
      <c r="L2417" s="1">
        <v>0</v>
      </c>
      <c r="M2417" s="4">
        <v>0</v>
      </c>
      <c r="N2417" s="1">
        <v>661</v>
      </c>
      <c r="O2417" s="4">
        <v>4.5999999999999999E-2</v>
      </c>
      <c r="P2417" s="1" t="s">
        <v>2721</v>
      </c>
    </row>
    <row r="2418" spans="1:16">
      <c r="A2418" s="1" t="s">
        <v>15</v>
      </c>
      <c r="B2418" s="1">
        <v>11</v>
      </c>
      <c r="C2418" s="1" t="s">
        <v>6513</v>
      </c>
      <c r="D2418" s="1" t="s">
        <v>228</v>
      </c>
      <c r="E2418" s="2">
        <v>45978</v>
      </c>
      <c r="F2418" s="1" t="s">
        <v>53</v>
      </c>
      <c r="G2418" s="1" t="s">
        <v>229</v>
      </c>
      <c r="H2418" s="1" t="s">
        <v>230</v>
      </c>
      <c r="I2418" s="1">
        <v>1</v>
      </c>
      <c r="J2418" s="3">
        <v>9825</v>
      </c>
      <c r="K2418" s="3">
        <v>9375</v>
      </c>
      <c r="L2418" s="1">
        <v>0</v>
      </c>
      <c r="M2418" s="4">
        <v>0</v>
      </c>
      <c r="N2418" s="1">
        <v>450</v>
      </c>
      <c r="O2418" s="4">
        <v>4.5999999999999999E-2</v>
      </c>
      <c r="P2418" s="1" t="s">
        <v>2721</v>
      </c>
    </row>
    <row r="2419" spans="1:16">
      <c r="A2419" s="1" t="s">
        <v>15</v>
      </c>
      <c r="B2419" s="1">
        <v>11</v>
      </c>
      <c r="C2419" s="1" t="s">
        <v>6514</v>
      </c>
      <c r="D2419" s="1" t="s">
        <v>3762</v>
      </c>
      <c r="E2419" s="2">
        <v>45978</v>
      </c>
      <c r="F2419" s="1" t="s">
        <v>96</v>
      </c>
      <c r="G2419" s="1" t="s">
        <v>596</v>
      </c>
      <c r="H2419" s="1" t="s">
        <v>597</v>
      </c>
      <c r="I2419" s="1">
        <v>1</v>
      </c>
      <c r="J2419" s="3">
        <v>11666</v>
      </c>
      <c r="K2419" s="3">
        <v>11132</v>
      </c>
      <c r="L2419" s="1">
        <v>0</v>
      </c>
      <c r="M2419" s="4">
        <v>0</v>
      </c>
      <c r="N2419" s="1">
        <v>534</v>
      </c>
      <c r="O2419" s="4">
        <v>4.5999999999999999E-2</v>
      </c>
      <c r="P2419" s="1" t="s">
        <v>2721</v>
      </c>
    </row>
    <row r="2420" spans="1:16">
      <c r="A2420" s="1" t="s">
        <v>15</v>
      </c>
      <c r="B2420" s="1">
        <v>11</v>
      </c>
      <c r="C2420" s="1" t="s">
        <v>6515</v>
      </c>
      <c r="D2420" s="1" t="s">
        <v>6516</v>
      </c>
      <c r="E2420" s="2">
        <v>45978</v>
      </c>
      <c r="F2420" s="1" t="s">
        <v>151</v>
      </c>
      <c r="G2420" s="1" t="s">
        <v>6517</v>
      </c>
      <c r="H2420" s="1" t="s">
        <v>6517</v>
      </c>
      <c r="I2420" s="1">
        <v>1</v>
      </c>
      <c r="J2420" s="3">
        <v>27033</v>
      </c>
      <c r="K2420" s="3">
        <v>25795</v>
      </c>
      <c r="L2420" s="1">
        <v>0</v>
      </c>
      <c r="M2420" s="4">
        <v>0</v>
      </c>
      <c r="N2420" s="3">
        <v>1238</v>
      </c>
      <c r="O2420" s="4">
        <v>4.5999999999999999E-2</v>
      </c>
      <c r="P2420" s="1" t="s">
        <v>2721</v>
      </c>
    </row>
    <row r="2421" spans="1:16">
      <c r="A2421" s="1" t="s">
        <v>15</v>
      </c>
      <c r="B2421" s="1">
        <v>11</v>
      </c>
      <c r="C2421" s="1" t="s">
        <v>6518</v>
      </c>
      <c r="D2421" s="1" t="s">
        <v>6519</v>
      </c>
      <c r="E2421" s="2">
        <v>45978</v>
      </c>
      <c r="F2421" s="1" t="s">
        <v>235</v>
      </c>
      <c r="G2421" s="1" t="s">
        <v>6520</v>
      </c>
      <c r="H2421" s="1" t="s">
        <v>6521</v>
      </c>
      <c r="I2421" s="1">
        <v>1</v>
      </c>
      <c r="J2421" s="3">
        <v>15433</v>
      </c>
      <c r="K2421" s="3">
        <v>14727</v>
      </c>
      <c r="L2421" s="1">
        <v>0</v>
      </c>
      <c r="M2421" s="4">
        <v>0</v>
      </c>
      <c r="N2421" s="1">
        <v>706</v>
      </c>
      <c r="O2421" s="4">
        <v>4.5999999999999999E-2</v>
      </c>
      <c r="P2421" s="1" t="s">
        <v>2721</v>
      </c>
    </row>
    <row r="2422" spans="1:16">
      <c r="A2422" s="1" t="s">
        <v>15</v>
      </c>
      <c r="B2422" s="1">
        <v>11</v>
      </c>
      <c r="C2422" s="1" t="s">
        <v>6522</v>
      </c>
      <c r="D2422" s="1" t="s">
        <v>931</v>
      </c>
      <c r="E2422" s="2">
        <v>45978</v>
      </c>
      <c r="F2422" s="1" t="s">
        <v>932</v>
      </c>
      <c r="G2422" s="1" t="s">
        <v>933</v>
      </c>
      <c r="H2422" s="1" t="s">
        <v>2772</v>
      </c>
      <c r="I2422" s="1">
        <v>2</v>
      </c>
      <c r="J2422" s="3">
        <v>58980</v>
      </c>
      <c r="K2422" s="3">
        <v>56280</v>
      </c>
      <c r="L2422" s="1">
        <v>0</v>
      </c>
      <c r="M2422" s="4">
        <v>0</v>
      </c>
      <c r="N2422" s="3">
        <v>2700</v>
      </c>
      <c r="O2422" s="4">
        <v>4.5999999999999999E-2</v>
      </c>
      <c r="P2422" s="1" t="s">
        <v>2721</v>
      </c>
    </row>
    <row r="2423" spans="1:16">
      <c r="A2423" s="1" t="s">
        <v>15</v>
      </c>
      <c r="B2423" s="1">
        <v>11</v>
      </c>
      <c r="C2423" s="1" t="s">
        <v>6523</v>
      </c>
      <c r="D2423" s="1" t="s">
        <v>1049</v>
      </c>
      <c r="E2423" s="2">
        <v>45978</v>
      </c>
      <c r="F2423" s="1" t="s">
        <v>469</v>
      </c>
      <c r="G2423" s="1" t="s">
        <v>1050</v>
      </c>
      <c r="H2423" s="1" t="s">
        <v>1117</v>
      </c>
      <c r="I2423" s="1">
        <v>1</v>
      </c>
      <c r="J2423" s="3">
        <v>15728</v>
      </c>
      <c r="K2423" s="3">
        <v>15008</v>
      </c>
      <c r="L2423" s="1">
        <v>0</v>
      </c>
      <c r="M2423" s="4">
        <v>0</v>
      </c>
      <c r="N2423" s="1">
        <v>720</v>
      </c>
      <c r="O2423" s="4">
        <v>4.5999999999999999E-2</v>
      </c>
      <c r="P2423" s="1" t="s">
        <v>2721</v>
      </c>
    </row>
    <row r="2424" spans="1:16">
      <c r="A2424" s="1" t="s">
        <v>15</v>
      </c>
      <c r="B2424" s="1">
        <v>11</v>
      </c>
      <c r="C2424" s="1" t="s">
        <v>6524</v>
      </c>
      <c r="D2424" s="1" t="s">
        <v>52</v>
      </c>
      <c r="E2424" s="2">
        <v>45978</v>
      </c>
      <c r="F2424" s="1" t="s">
        <v>53</v>
      </c>
      <c r="G2424" s="1" t="s">
        <v>54</v>
      </c>
      <c r="H2424" s="1" t="s">
        <v>55</v>
      </c>
      <c r="I2424" s="1">
        <v>1</v>
      </c>
      <c r="J2424" s="3">
        <v>16135</v>
      </c>
      <c r="K2424" s="3">
        <v>15396</v>
      </c>
      <c r="L2424" s="1">
        <v>0</v>
      </c>
      <c r="M2424" s="4">
        <v>0</v>
      </c>
      <c r="N2424" s="1">
        <v>739</v>
      </c>
      <c r="O2424" s="4">
        <v>4.5999999999999999E-2</v>
      </c>
      <c r="P2424" s="1" t="s">
        <v>2721</v>
      </c>
    </row>
    <row r="2425" spans="1:16">
      <c r="A2425" s="1" t="s">
        <v>15</v>
      </c>
      <c r="B2425" s="1">
        <v>11</v>
      </c>
      <c r="C2425" s="1" t="s">
        <v>6525</v>
      </c>
      <c r="D2425" s="1" t="s">
        <v>17</v>
      </c>
      <c r="E2425" s="2">
        <v>45978</v>
      </c>
      <c r="F2425" s="1" t="s">
        <v>18</v>
      </c>
      <c r="G2425" s="1" t="s">
        <v>19</v>
      </c>
      <c r="H2425" s="1" t="s">
        <v>1428</v>
      </c>
      <c r="I2425" s="1">
        <v>1</v>
      </c>
      <c r="J2425" s="3">
        <v>7166</v>
      </c>
      <c r="K2425" s="3">
        <v>6838</v>
      </c>
      <c r="L2425" s="1">
        <v>0</v>
      </c>
      <c r="M2425" s="4">
        <v>0</v>
      </c>
      <c r="N2425" s="1">
        <v>328</v>
      </c>
      <c r="O2425" s="4">
        <v>4.5999999999999999E-2</v>
      </c>
      <c r="P2425" s="1" t="s">
        <v>2721</v>
      </c>
    </row>
    <row r="2426" spans="1:16">
      <c r="A2426" s="1" t="s">
        <v>15</v>
      </c>
      <c r="B2426" s="1">
        <v>11</v>
      </c>
      <c r="C2426" s="1" t="s">
        <v>6526</v>
      </c>
      <c r="D2426" s="1" t="s">
        <v>569</v>
      </c>
      <c r="E2426" s="2">
        <v>45978</v>
      </c>
      <c r="F2426" s="1" t="s">
        <v>570</v>
      </c>
      <c r="G2426" s="1" t="s">
        <v>571</v>
      </c>
      <c r="H2426" s="1" t="s">
        <v>572</v>
      </c>
      <c r="I2426" s="1">
        <v>1</v>
      </c>
      <c r="J2426" s="3">
        <v>19660</v>
      </c>
      <c r="K2426" s="3">
        <v>18760</v>
      </c>
      <c r="L2426" s="1">
        <v>0</v>
      </c>
      <c r="M2426" s="4">
        <v>0</v>
      </c>
      <c r="N2426" s="1">
        <v>900</v>
      </c>
      <c r="O2426" s="4">
        <v>4.5999999999999999E-2</v>
      </c>
      <c r="P2426" s="1" t="s">
        <v>2721</v>
      </c>
    </row>
    <row r="2427" spans="1:16">
      <c r="A2427" s="1" t="s">
        <v>15</v>
      </c>
      <c r="B2427" s="1">
        <v>11</v>
      </c>
      <c r="C2427" s="1" t="s">
        <v>6527</v>
      </c>
      <c r="D2427" s="1" t="s">
        <v>208</v>
      </c>
      <c r="E2427" s="2">
        <v>45978</v>
      </c>
      <c r="F2427" s="1" t="s">
        <v>126</v>
      </c>
      <c r="G2427" s="1" t="s">
        <v>209</v>
      </c>
      <c r="H2427" s="1" t="s">
        <v>210</v>
      </c>
      <c r="I2427" s="1">
        <v>2</v>
      </c>
      <c r="J2427" s="3">
        <v>38534</v>
      </c>
      <c r="K2427" s="3">
        <v>36770</v>
      </c>
      <c r="L2427" s="1">
        <v>0</v>
      </c>
      <c r="M2427" s="4">
        <v>0</v>
      </c>
      <c r="N2427" s="3">
        <v>1764</v>
      </c>
      <c r="O2427" s="4">
        <v>4.5999999999999999E-2</v>
      </c>
      <c r="P2427" s="1" t="s">
        <v>2721</v>
      </c>
    </row>
    <row r="2428" spans="1:16">
      <c r="A2428" s="1" t="s">
        <v>15</v>
      </c>
      <c r="B2428" s="1">
        <v>11</v>
      </c>
      <c r="C2428" s="1" t="s">
        <v>6528</v>
      </c>
      <c r="D2428" s="1" t="s">
        <v>874</v>
      </c>
      <c r="E2428" s="2">
        <v>45978</v>
      </c>
      <c r="F2428" s="1" t="s">
        <v>96</v>
      </c>
      <c r="G2428" s="1" t="s">
        <v>875</v>
      </c>
      <c r="H2428" s="1" t="s">
        <v>876</v>
      </c>
      <c r="I2428" s="1">
        <v>1</v>
      </c>
      <c r="J2428" s="3">
        <v>17092</v>
      </c>
      <c r="K2428" s="3">
        <v>16310</v>
      </c>
      <c r="L2428" s="1">
        <v>0</v>
      </c>
      <c r="M2428" s="4">
        <v>0</v>
      </c>
      <c r="N2428" s="1">
        <v>782</v>
      </c>
      <c r="O2428" s="4">
        <v>4.5999999999999999E-2</v>
      </c>
      <c r="P2428" s="1" t="s">
        <v>2721</v>
      </c>
    </row>
    <row r="2429" spans="1:16">
      <c r="A2429" s="1" t="s">
        <v>15</v>
      </c>
      <c r="B2429" s="1">
        <v>11</v>
      </c>
      <c r="C2429" s="1" t="s">
        <v>6529</v>
      </c>
      <c r="D2429" s="1" t="s">
        <v>2500</v>
      </c>
      <c r="E2429" s="2">
        <v>45978</v>
      </c>
      <c r="F2429" s="1" t="s">
        <v>276</v>
      </c>
      <c r="G2429" s="1" t="s">
        <v>1710</v>
      </c>
      <c r="H2429" s="1" t="s">
        <v>1711</v>
      </c>
      <c r="I2429" s="1">
        <v>2</v>
      </c>
      <c r="J2429" s="3">
        <v>33326</v>
      </c>
      <c r="K2429" s="3">
        <v>31800</v>
      </c>
      <c r="L2429" s="1">
        <v>0</v>
      </c>
      <c r="M2429" s="4">
        <v>0</v>
      </c>
      <c r="N2429" s="3">
        <v>1526</v>
      </c>
      <c r="O2429" s="4">
        <v>4.5999999999999999E-2</v>
      </c>
      <c r="P2429" s="1" t="s">
        <v>2721</v>
      </c>
    </row>
    <row r="2430" spans="1:16">
      <c r="A2430" s="1" t="s">
        <v>15</v>
      </c>
      <c r="B2430" s="1">
        <v>11</v>
      </c>
      <c r="C2430" s="1" t="s">
        <v>6530</v>
      </c>
      <c r="D2430" s="1" t="s">
        <v>3232</v>
      </c>
      <c r="E2430" s="2">
        <v>45978</v>
      </c>
      <c r="F2430" s="1" t="s">
        <v>1772</v>
      </c>
      <c r="G2430" s="1" t="s">
        <v>3233</v>
      </c>
      <c r="H2430" s="1" t="s">
        <v>3234</v>
      </c>
      <c r="I2430" s="1">
        <v>1</v>
      </c>
      <c r="J2430" s="3">
        <v>29077</v>
      </c>
      <c r="K2430" s="3">
        <v>27746</v>
      </c>
      <c r="L2430" s="1">
        <v>0</v>
      </c>
      <c r="M2430" s="4">
        <v>0</v>
      </c>
      <c r="N2430" s="3">
        <v>1331</v>
      </c>
      <c r="O2430" s="4">
        <v>4.5999999999999999E-2</v>
      </c>
      <c r="P2430" s="1" t="s">
        <v>2721</v>
      </c>
    </row>
    <row r="2431" spans="1:16">
      <c r="A2431" s="1" t="s">
        <v>15</v>
      </c>
      <c r="B2431" s="1">
        <v>11</v>
      </c>
      <c r="C2431" s="1" t="s">
        <v>6531</v>
      </c>
      <c r="D2431" s="1" t="s">
        <v>169</v>
      </c>
      <c r="E2431" s="2">
        <v>45978</v>
      </c>
      <c r="F2431" s="1" t="s">
        <v>53</v>
      </c>
      <c r="G2431" s="1" t="s">
        <v>170</v>
      </c>
      <c r="H2431" s="1" t="s">
        <v>171</v>
      </c>
      <c r="I2431" s="1">
        <v>1</v>
      </c>
      <c r="J2431" s="3">
        <v>14332</v>
      </c>
      <c r="K2431" s="3">
        <v>13676</v>
      </c>
      <c r="L2431" s="1">
        <v>0</v>
      </c>
      <c r="M2431" s="4">
        <v>0</v>
      </c>
      <c r="N2431" s="1">
        <v>656</v>
      </c>
      <c r="O2431" s="4">
        <v>4.5999999999999999E-2</v>
      </c>
      <c r="P2431" s="1" t="s">
        <v>2721</v>
      </c>
    </row>
    <row r="2432" spans="1:16">
      <c r="A2432" s="1" t="s">
        <v>15</v>
      </c>
      <c r="B2432" s="1">
        <v>11</v>
      </c>
      <c r="C2432" s="1" t="s">
        <v>6532</v>
      </c>
      <c r="D2432" s="1" t="s">
        <v>6533</v>
      </c>
      <c r="E2432" s="2">
        <v>45978</v>
      </c>
      <c r="F2432" s="1" t="s">
        <v>1632</v>
      </c>
      <c r="G2432" s="1" t="s">
        <v>6534</v>
      </c>
      <c r="H2432" s="1" t="s">
        <v>6535</v>
      </c>
      <c r="I2432" s="1">
        <v>1</v>
      </c>
      <c r="J2432" s="3">
        <v>23973</v>
      </c>
      <c r="K2432" s="3">
        <v>22876</v>
      </c>
      <c r="L2432" s="1">
        <v>0</v>
      </c>
      <c r="M2432" s="4">
        <v>0</v>
      </c>
      <c r="N2432" s="3">
        <v>1097</v>
      </c>
      <c r="O2432" s="4">
        <v>4.5999999999999999E-2</v>
      </c>
      <c r="P2432" s="1" t="s">
        <v>2721</v>
      </c>
    </row>
    <row r="2433" spans="1:16">
      <c r="A2433" s="1" t="s">
        <v>15</v>
      </c>
      <c r="B2433" s="1">
        <v>11</v>
      </c>
      <c r="C2433" s="1" t="s">
        <v>6536</v>
      </c>
      <c r="D2433" s="1" t="s">
        <v>1531</v>
      </c>
      <c r="E2433" s="2">
        <v>45978</v>
      </c>
      <c r="F2433" s="1" t="s">
        <v>53</v>
      </c>
      <c r="G2433" s="1" t="s">
        <v>1532</v>
      </c>
      <c r="H2433" s="1" t="s">
        <v>1533</v>
      </c>
      <c r="I2433" s="1">
        <v>1</v>
      </c>
      <c r="J2433" s="3">
        <v>8022</v>
      </c>
      <c r="K2433" s="3">
        <v>7655</v>
      </c>
      <c r="L2433" s="1">
        <v>0</v>
      </c>
      <c r="M2433" s="4">
        <v>0</v>
      </c>
      <c r="N2433" s="1">
        <v>367</v>
      </c>
      <c r="O2433" s="4">
        <v>4.5999999999999999E-2</v>
      </c>
      <c r="P2433" s="1" t="s">
        <v>2721</v>
      </c>
    </row>
    <row r="2434" spans="1:16">
      <c r="A2434" s="1" t="s">
        <v>15</v>
      </c>
      <c r="B2434" s="1">
        <v>11</v>
      </c>
      <c r="C2434" s="1" t="s">
        <v>6537</v>
      </c>
      <c r="D2434" s="1" t="s">
        <v>4791</v>
      </c>
      <c r="E2434" s="2">
        <v>45978</v>
      </c>
      <c r="F2434" s="1" t="s">
        <v>3625</v>
      </c>
      <c r="G2434" s="1" t="s">
        <v>4792</v>
      </c>
      <c r="H2434" s="1" t="s">
        <v>4793</v>
      </c>
      <c r="I2434" s="1">
        <v>1</v>
      </c>
      <c r="J2434" s="3">
        <v>15728</v>
      </c>
      <c r="K2434" s="3">
        <v>15008</v>
      </c>
      <c r="L2434" s="1">
        <v>0</v>
      </c>
      <c r="M2434" s="4">
        <v>0</v>
      </c>
      <c r="N2434" s="1">
        <v>720</v>
      </c>
      <c r="O2434" s="4">
        <v>4.5999999999999999E-2</v>
      </c>
      <c r="P2434" s="1" t="s">
        <v>2721</v>
      </c>
    </row>
    <row r="2435" spans="1:16">
      <c r="A2435" s="1" t="s">
        <v>15</v>
      </c>
      <c r="B2435" s="1">
        <v>11</v>
      </c>
      <c r="C2435" s="1" t="s">
        <v>6538</v>
      </c>
      <c r="D2435" s="1" t="s">
        <v>311</v>
      </c>
      <c r="E2435" s="2">
        <v>45978</v>
      </c>
      <c r="F2435" s="1" t="s">
        <v>312</v>
      </c>
      <c r="G2435" s="1" t="s">
        <v>313</v>
      </c>
      <c r="H2435" s="1" t="s">
        <v>4801</v>
      </c>
      <c r="I2435" s="1">
        <v>1</v>
      </c>
      <c r="J2435" s="3">
        <v>28310</v>
      </c>
      <c r="K2435" s="3">
        <v>27014</v>
      </c>
      <c r="L2435" s="1">
        <v>0</v>
      </c>
      <c r="M2435" s="4">
        <v>0</v>
      </c>
      <c r="N2435" s="3">
        <v>1296</v>
      </c>
      <c r="O2435" s="4">
        <v>4.5999999999999999E-2</v>
      </c>
      <c r="P2435" s="1" t="s">
        <v>2721</v>
      </c>
    </row>
    <row r="2436" spans="1:16">
      <c r="A2436" s="1" t="s">
        <v>577</v>
      </c>
      <c r="B2436" s="1">
        <v>11</v>
      </c>
      <c r="C2436" s="1" t="s">
        <v>6539</v>
      </c>
      <c r="D2436" s="1" t="s">
        <v>1779</v>
      </c>
      <c r="E2436" s="2">
        <v>45978</v>
      </c>
      <c r="F2436" s="1" t="s">
        <v>63</v>
      </c>
      <c r="G2436" s="1" t="s">
        <v>113</v>
      </c>
      <c r="H2436" s="1" t="s">
        <v>74</v>
      </c>
      <c r="I2436" s="1">
        <v>2</v>
      </c>
      <c r="J2436" s="3">
        <v>20912</v>
      </c>
      <c r="K2436" s="3">
        <v>19955</v>
      </c>
      <c r="L2436" s="1">
        <v>0</v>
      </c>
      <c r="M2436" s="4">
        <v>0</v>
      </c>
      <c r="N2436" s="1">
        <v>957</v>
      </c>
      <c r="O2436" s="4">
        <v>4.5999999999999999E-2</v>
      </c>
      <c r="P2436" s="1" t="s">
        <v>2721</v>
      </c>
    </row>
    <row r="2437" spans="1:16">
      <c r="A2437" s="1" t="s">
        <v>577</v>
      </c>
      <c r="B2437" s="1">
        <v>11</v>
      </c>
      <c r="C2437" s="1" t="s">
        <v>6540</v>
      </c>
      <c r="D2437" s="1" t="s">
        <v>6541</v>
      </c>
      <c r="E2437" s="2">
        <v>45978</v>
      </c>
      <c r="F2437" s="1" t="s">
        <v>96</v>
      </c>
      <c r="G2437" s="1" t="s">
        <v>6542</v>
      </c>
      <c r="H2437" s="1" t="s">
        <v>6543</v>
      </c>
      <c r="I2437" s="1">
        <v>2</v>
      </c>
      <c r="J2437" s="3">
        <v>24237</v>
      </c>
      <c r="K2437" s="3">
        <v>23127</v>
      </c>
      <c r="L2437" s="1">
        <v>0</v>
      </c>
      <c r="M2437" s="4">
        <v>0</v>
      </c>
      <c r="N2437" s="3">
        <v>1110</v>
      </c>
      <c r="O2437" s="4">
        <v>4.5999999999999999E-2</v>
      </c>
      <c r="P2437" s="1" t="s">
        <v>2721</v>
      </c>
    </row>
    <row r="2438" spans="1:16">
      <c r="A2438" s="1" t="s">
        <v>577</v>
      </c>
      <c r="B2438" s="1">
        <v>11</v>
      </c>
      <c r="C2438" s="1" t="s">
        <v>6544</v>
      </c>
      <c r="D2438" s="1" t="s">
        <v>6545</v>
      </c>
      <c r="E2438" s="2">
        <v>45978</v>
      </c>
      <c r="F2438" s="1" t="s">
        <v>3343</v>
      </c>
      <c r="G2438" s="1" t="s">
        <v>6546</v>
      </c>
      <c r="H2438" s="1" t="s">
        <v>6547</v>
      </c>
      <c r="I2438" s="1">
        <v>2</v>
      </c>
      <c r="J2438" s="3">
        <v>39910</v>
      </c>
      <c r="K2438" s="3">
        <v>38083</v>
      </c>
      <c r="L2438" s="1">
        <v>0</v>
      </c>
      <c r="M2438" s="4">
        <v>0</v>
      </c>
      <c r="N2438" s="3">
        <v>1827</v>
      </c>
      <c r="O2438" s="4">
        <v>4.5999999999999999E-2</v>
      </c>
      <c r="P2438" s="1" t="s">
        <v>2721</v>
      </c>
    </row>
    <row r="2439" spans="1:16">
      <c r="A2439" s="1" t="s">
        <v>577</v>
      </c>
      <c r="B2439" s="1">
        <v>11</v>
      </c>
      <c r="C2439" s="1" t="s">
        <v>6548</v>
      </c>
      <c r="D2439" s="1" t="s">
        <v>1839</v>
      </c>
      <c r="E2439" s="2">
        <v>45978</v>
      </c>
      <c r="F2439" s="1" t="s">
        <v>256</v>
      </c>
      <c r="G2439" s="1" t="s">
        <v>1303</v>
      </c>
      <c r="H2439" s="1" t="s">
        <v>5275</v>
      </c>
      <c r="I2439" s="1">
        <v>1</v>
      </c>
      <c r="J2439" s="3">
        <v>8159</v>
      </c>
      <c r="K2439" s="3">
        <v>7785</v>
      </c>
      <c r="L2439" s="1">
        <v>0</v>
      </c>
      <c r="M2439" s="4">
        <v>0</v>
      </c>
      <c r="N2439" s="1">
        <v>374</v>
      </c>
      <c r="O2439" s="4">
        <v>4.5999999999999999E-2</v>
      </c>
      <c r="P2439" s="1" t="s">
        <v>2721</v>
      </c>
    </row>
    <row r="2440" spans="1:16">
      <c r="A2440" s="1" t="s">
        <v>577</v>
      </c>
      <c r="B2440" s="1">
        <v>11</v>
      </c>
      <c r="C2440" s="1" t="s">
        <v>6549</v>
      </c>
      <c r="D2440" s="1" t="s">
        <v>1705</v>
      </c>
      <c r="E2440" s="2">
        <v>45978</v>
      </c>
      <c r="F2440" s="1" t="s">
        <v>96</v>
      </c>
      <c r="G2440" s="1" t="s">
        <v>1706</v>
      </c>
      <c r="H2440" s="1" t="s">
        <v>6550</v>
      </c>
      <c r="I2440" s="1">
        <v>3</v>
      </c>
      <c r="J2440" s="3">
        <v>28216</v>
      </c>
      <c r="K2440" s="3">
        <v>26924</v>
      </c>
      <c r="L2440" s="1">
        <v>0</v>
      </c>
      <c r="M2440" s="4">
        <v>0</v>
      </c>
      <c r="N2440" s="3">
        <v>1292</v>
      </c>
      <c r="O2440" s="4">
        <v>4.5999999999999999E-2</v>
      </c>
      <c r="P2440" s="1" t="s">
        <v>2721</v>
      </c>
    </row>
    <row r="2441" spans="1:16">
      <c r="A2441" s="1" t="s">
        <v>577</v>
      </c>
      <c r="B2441" s="1">
        <v>11</v>
      </c>
      <c r="C2441" s="1" t="s">
        <v>6551</v>
      </c>
      <c r="D2441" s="1" t="s">
        <v>4319</v>
      </c>
      <c r="E2441" s="2">
        <v>45978</v>
      </c>
      <c r="F2441" s="1" t="s">
        <v>53</v>
      </c>
      <c r="G2441" s="1" t="s">
        <v>133</v>
      </c>
      <c r="H2441" s="1" t="s">
        <v>88</v>
      </c>
      <c r="I2441" s="1">
        <v>2</v>
      </c>
      <c r="J2441" s="3">
        <v>34073</v>
      </c>
      <c r="K2441" s="3">
        <v>32513</v>
      </c>
      <c r="L2441" s="1">
        <v>0</v>
      </c>
      <c r="M2441" s="4">
        <v>0</v>
      </c>
      <c r="N2441" s="3">
        <v>1560</v>
      </c>
      <c r="O2441" s="4">
        <v>4.5999999999999999E-2</v>
      </c>
      <c r="P2441" s="1" t="s">
        <v>2721</v>
      </c>
    </row>
    <row r="2442" spans="1:16">
      <c r="A2442" s="1" t="s">
        <v>577</v>
      </c>
      <c r="B2442" s="1">
        <v>11</v>
      </c>
      <c r="C2442" s="1" t="s">
        <v>6552</v>
      </c>
      <c r="D2442" s="1" t="s">
        <v>6553</v>
      </c>
      <c r="E2442" s="2">
        <v>45978</v>
      </c>
      <c r="F2442" s="1" t="s">
        <v>554</v>
      </c>
      <c r="G2442" s="1" t="s">
        <v>5801</v>
      </c>
      <c r="H2442" s="1" t="s">
        <v>2109</v>
      </c>
      <c r="I2442" s="1">
        <v>1</v>
      </c>
      <c r="J2442" s="3">
        <v>21184</v>
      </c>
      <c r="K2442" s="3">
        <v>20214</v>
      </c>
      <c r="L2442" s="1">
        <v>0</v>
      </c>
      <c r="M2442" s="4">
        <v>0</v>
      </c>
      <c r="N2442" s="1">
        <v>970</v>
      </c>
      <c r="O2442" s="4">
        <v>4.5999999999999999E-2</v>
      </c>
      <c r="P2442" s="1" t="s">
        <v>2721</v>
      </c>
    </row>
    <row r="2443" spans="1:16">
      <c r="A2443" s="1" t="s">
        <v>577</v>
      </c>
      <c r="B2443" s="1">
        <v>11</v>
      </c>
      <c r="C2443" s="1" t="s">
        <v>6554</v>
      </c>
      <c r="D2443" s="1" t="s">
        <v>1776</v>
      </c>
      <c r="E2443" s="2">
        <v>45978</v>
      </c>
      <c r="F2443" s="1" t="s">
        <v>483</v>
      </c>
      <c r="G2443" s="1" t="s">
        <v>484</v>
      </c>
      <c r="H2443" s="1" t="s">
        <v>860</v>
      </c>
      <c r="I2443" s="1">
        <v>2</v>
      </c>
      <c r="J2443" s="3">
        <v>54851</v>
      </c>
      <c r="K2443" s="3">
        <v>52340</v>
      </c>
      <c r="L2443" s="1">
        <v>0</v>
      </c>
      <c r="M2443" s="4">
        <v>0</v>
      </c>
      <c r="N2443" s="3">
        <v>2511</v>
      </c>
      <c r="O2443" s="4">
        <v>4.5999999999999999E-2</v>
      </c>
      <c r="P2443" s="1" t="s">
        <v>2721</v>
      </c>
    </row>
    <row r="2444" spans="1:16">
      <c r="A2444" s="1" t="s">
        <v>577</v>
      </c>
      <c r="B2444" s="1">
        <v>11</v>
      </c>
      <c r="C2444" s="1" t="s">
        <v>6555</v>
      </c>
      <c r="D2444" s="1" t="s">
        <v>6556</v>
      </c>
      <c r="E2444" s="2">
        <v>45978</v>
      </c>
      <c r="F2444" s="1" t="s">
        <v>5599</v>
      </c>
      <c r="G2444" s="1" t="s">
        <v>6557</v>
      </c>
      <c r="H2444" s="1" t="s">
        <v>6558</v>
      </c>
      <c r="I2444" s="1">
        <v>1</v>
      </c>
      <c r="J2444" s="3">
        <v>29982</v>
      </c>
      <c r="K2444" s="3">
        <v>28609</v>
      </c>
      <c r="L2444" s="1">
        <v>0</v>
      </c>
      <c r="M2444" s="4">
        <v>0</v>
      </c>
      <c r="N2444" s="3">
        <v>1373</v>
      </c>
      <c r="O2444" s="4">
        <v>4.5999999999999999E-2</v>
      </c>
      <c r="P2444" s="1" t="s">
        <v>2721</v>
      </c>
    </row>
    <row r="2445" spans="1:16">
      <c r="A2445" s="1" t="s">
        <v>577</v>
      </c>
      <c r="B2445" s="1">
        <v>11</v>
      </c>
      <c r="C2445" s="1" t="s">
        <v>6559</v>
      </c>
      <c r="D2445" s="1" t="s">
        <v>4290</v>
      </c>
      <c r="E2445" s="2">
        <v>45978</v>
      </c>
      <c r="F2445" s="1" t="s">
        <v>235</v>
      </c>
      <c r="G2445" s="1" t="s">
        <v>3382</v>
      </c>
      <c r="H2445" s="1" t="s">
        <v>3382</v>
      </c>
      <c r="I2445" s="1">
        <v>1</v>
      </c>
      <c r="J2445" s="3">
        <v>22363</v>
      </c>
      <c r="K2445" s="3">
        <v>21340</v>
      </c>
      <c r="L2445" s="1">
        <v>0</v>
      </c>
      <c r="M2445" s="4">
        <v>0</v>
      </c>
      <c r="N2445" s="3">
        <v>1023</v>
      </c>
      <c r="O2445" s="4">
        <v>4.5999999999999999E-2</v>
      </c>
      <c r="P2445" s="1" t="s">
        <v>2721</v>
      </c>
    </row>
    <row r="2446" spans="1:16">
      <c r="A2446" s="1" t="s">
        <v>577</v>
      </c>
      <c r="B2446" s="1">
        <v>11</v>
      </c>
      <c r="C2446" s="1" t="s">
        <v>6560</v>
      </c>
      <c r="D2446" s="1" t="s">
        <v>1741</v>
      </c>
      <c r="E2446" s="2">
        <v>45978</v>
      </c>
      <c r="F2446" s="1" t="s">
        <v>500</v>
      </c>
      <c r="G2446" s="1" t="s">
        <v>900</v>
      </c>
      <c r="H2446" s="1" t="s">
        <v>1678</v>
      </c>
      <c r="I2446" s="1">
        <v>1</v>
      </c>
      <c r="J2446" s="3">
        <v>102702</v>
      </c>
      <c r="K2446" s="3">
        <v>98000</v>
      </c>
      <c r="L2446" s="1">
        <v>0</v>
      </c>
      <c r="M2446" s="4">
        <v>0</v>
      </c>
      <c r="N2446" s="3">
        <v>4702</v>
      </c>
      <c r="O2446" s="4">
        <v>4.5999999999999999E-2</v>
      </c>
      <c r="P2446" s="1" t="s">
        <v>2721</v>
      </c>
    </row>
    <row r="2447" spans="1:16">
      <c r="A2447" s="1" t="s">
        <v>577</v>
      </c>
      <c r="B2447" s="1">
        <v>11</v>
      </c>
      <c r="C2447" s="1" t="s">
        <v>6561</v>
      </c>
      <c r="D2447" s="1" t="s">
        <v>6562</v>
      </c>
      <c r="E2447" s="2">
        <v>45978</v>
      </c>
      <c r="F2447" s="1" t="s">
        <v>1075</v>
      </c>
      <c r="G2447" s="1" t="s">
        <v>6563</v>
      </c>
      <c r="H2447" s="1" t="s">
        <v>6564</v>
      </c>
      <c r="I2447" s="1">
        <v>1</v>
      </c>
      <c r="J2447" s="3">
        <v>16121</v>
      </c>
      <c r="K2447" s="3">
        <v>15383</v>
      </c>
      <c r="L2447" s="1">
        <v>0</v>
      </c>
      <c r="M2447" s="4">
        <v>0</v>
      </c>
      <c r="N2447" s="1">
        <v>738</v>
      </c>
      <c r="O2447" s="4">
        <v>4.5999999999999999E-2</v>
      </c>
      <c r="P2447" s="1" t="s">
        <v>2721</v>
      </c>
    </row>
    <row r="2448" spans="1:16">
      <c r="A2448" s="1" t="s">
        <v>577</v>
      </c>
      <c r="B2448" s="1">
        <v>11</v>
      </c>
      <c r="C2448" s="1" t="s">
        <v>6565</v>
      </c>
      <c r="D2448" s="1" t="s">
        <v>6566</v>
      </c>
      <c r="E2448" s="2">
        <v>45978</v>
      </c>
      <c r="F2448" s="1" t="s">
        <v>524</v>
      </c>
      <c r="G2448" s="1" t="s">
        <v>6567</v>
      </c>
      <c r="H2448" s="1" t="s">
        <v>6568</v>
      </c>
      <c r="I2448" s="1">
        <v>3</v>
      </c>
      <c r="J2448" s="3">
        <v>276601</v>
      </c>
      <c r="K2448" s="3">
        <v>263939</v>
      </c>
      <c r="L2448" s="1">
        <v>0</v>
      </c>
      <c r="M2448" s="4">
        <v>0</v>
      </c>
      <c r="N2448" s="3">
        <v>12662</v>
      </c>
      <c r="O2448" s="4">
        <v>4.5999999999999999E-2</v>
      </c>
      <c r="P2448" s="1" t="s">
        <v>2721</v>
      </c>
    </row>
    <row r="2449" spans="1:16">
      <c r="A2449" s="1" t="s">
        <v>577</v>
      </c>
      <c r="B2449" s="1">
        <v>11</v>
      </c>
      <c r="C2449" s="1" t="s">
        <v>6569</v>
      </c>
      <c r="D2449" s="1" t="s">
        <v>1741</v>
      </c>
      <c r="E2449" s="2">
        <v>45978</v>
      </c>
      <c r="F2449" s="1" t="s">
        <v>500</v>
      </c>
      <c r="G2449" s="1" t="s">
        <v>900</v>
      </c>
      <c r="H2449" s="1" t="s">
        <v>901</v>
      </c>
      <c r="I2449" s="1">
        <v>1</v>
      </c>
      <c r="J2449" s="3">
        <v>105846</v>
      </c>
      <c r="K2449" s="3">
        <v>101000</v>
      </c>
      <c r="L2449" s="1">
        <v>0</v>
      </c>
      <c r="M2449" s="4">
        <v>0</v>
      </c>
      <c r="N2449" s="3">
        <v>4846</v>
      </c>
      <c r="O2449" s="4">
        <v>4.5999999999999999E-2</v>
      </c>
      <c r="P2449" s="1" t="s">
        <v>2721</v>
      </c>
    </row>
    <row r="2450" spans="1:16">
      <c r="A2450" s="1" t="s">
        <v>577</v>
      </c>
      <c r="B2450" s="1">
        <v>11</v>
      </c>
      <c r="C2450" s="1" t="s">
        <v>6570</v>
      </c>
      <c r="D2450" s="1" t="s">
        <v>6571</v>
      </c>
      <c r="E2450" s="2">
        <v>45978</v>
      </c>
      <c r="F2450" s="1" t="s">
        <v>96</v>
      </c>
      <c r="G2450" s="1" t="s">
        <v>6572</v>
      </c>
      <c r="H2450" s="1" t="s">
        <v>6573</v>
      </c>
      <c r="I2450" s="1">
        <v>1</v>
      </c>
      <c r="J2450" s="3">
        <v>17545</v>
      </c>
      <c r="K2450" s="3">
        <v>16741</v>
      </c>
      <c r="L2450" s="1">
        <v>0</v>
      </c>
      <c r="M2450" s="4">
        <v>0</v>
      </c>
      <c r="N2450" s="1">
        <v>804</v>
      </c>
      <c r="O2450" s="4">
        <v>4.5999999999999999E-2</v>
      </c>
      <c r="P2450" s="1" t="s">
        <v>2721</v>
      </c>
    </row>
    <row r="2451" spans="1:16">
      <c r="A2451" s="1" t="s">
        <v>577</v>
      </c>
      <c r="B2451" s="1">
        <v>11</v>
      </c>
      <c r="C2451" s="1" t="s">
        <v>6574</v>
      </c>
      <c r="D2451" s="1" t="s">
        <v>6575</v>
      </c>
      <c r="E2451" s="2">
        <v>45978</v>
      </c>
      <c r="F2451" s="1" t="s">
        <v>235</v>
      </c>
      <c r="G2451" s="1" t="s">
        <v>5546</v>
      </c>
      <c r="H2451" s="1" t="s">
        <v>5547</v>
      </c>
      <c r="I2451" s="1">
        <v>1</v>
      </c>
      <c r="J2451" s="3">
        <v>10491</v>
      </c>
      <c r="K2451" s="3">
        <v>10010</v>
      </c>
      <c r="L2451" s="1">
        <v>0</v>
      </c>
      <c r="M2451" s="4">
        <v>0</v>
      </c>
      <c r="N2451" s="1">
        <v>481</v>
      </c>
      <c r="O2451" s="4">
        <v>4.5999999999999999E-2</v>
      </c>
      <c r="P2451" s="1" t="s">
        <v>2721</v>
      </c>
    </row>
    <row r="2452" spans="1:16">
      <c r="A2452" s="1" t="s">
        <v>577</v>
      </c>
      <c r="B2452" s="1">
        <v>11</v>
      </c>
      <c r="C2452" s="1" t="s">
        <v>6574</v>
      </c>
      <c r="D2452" s="1" t="s">
        <v>6575</v>
      </c>
      <c r="E2452" s="2">
        <v>45978</v>
      </c>
      <c r="F2452" s="1" t="s">
        <v>235</v>
      </c>
      <c r="G2452" s="1" t="s">
        <v>5546</v>
      </c>
      <c r="H2452" s="1" t="s">
        <v>5549</v>
      </c>
      <c r="I2452" s="1">
        <v>1</v>
      </c>
      <c r="J2452" s="3">
        <v>10491</v>
      </c>
      <c r="K2452" s="3">
        <v>10010</v>
      </c>
      <c r="L2452" s="1">
        <v>0</v>
      </c>
      <c r="M2452" s="4">
        <v>0</v>
      </c>
      <c r="N2452" s="1">
        <v>481</v>
      </c>
      <c r="O2452" s="4">
        <v>4.5999999999999999E-2</v>
      </c>
      <c r="P2452" s="1" t="s">
        <v>2721</v>
      </c>
    </row>
    <row r="2453" spans="1:16">
      <c r="A2453" s="1" t="s">
        <v>577</v>
      </c>
      <c r="B2453" s="1">
        <v>11</v>
      </c>
      <c r="C2453" s="1" t="s">
        <v>6576</v>
      </c>
      <c r="D2453" s="1" t="s">
        <v>1779</v>
      </c>
      <c r="E2453" s="2">
        <v>45978</v>
      </c>
      <c r="F2453" s="1" t="s">
        <v>63</v>
      </c>
      <c r="G2453" s="1" t="s">
        <v>113</v>
      </c>
      <c r="H2453" s="1" t="s">
        <v>872</v>
      </c>
      <c r="I2453" s="1">
        <v>1</v>
      </c>
      <c r="J2453" s="3">
        <v>8834</v>
      </c>
      <c r="K2453" s="3">
        <v>8430</v>
      </c>
      <c r="L2453" s="1">
        <v>0</v>
      </c>
      <c r="M2453" s="4">
        <v>0</v>
      </c>
      <c r="N2453" s="1">
        <v>404</v>
      </c>
      <c r="O2453" s="4">
        <v>4.5999999999999999E-2</v>
      </c>
      <c r="P2453" s="1" t="s">
        <v>2721</v>
      </c>
    </row>
    <row r="2454" spans="1:16">
      <c r="A2454" s="1" t="s">
        <v>577</v>
      </c>
      <c r="B2454" s="1">
        <v>11</v>
      </c>
      <c r="C2454" s="1" t="s">
        <v>6577</v>
      </c>
      <c r="D2454" s="1" t="s">
        <v>1700</v>
      </c>
      <c r="E2454" s="2">
        <v>45978</v>
      </c>
      <c r="F2454" s="1" t="s">
        <v>395</v>
      </c>
      <c r="G2454" s="1" t="s">
        <v>396</v>
      </c>
      <c r="H2454" s="1" t="s">
        <v>397</v>
      </c>
      <c r="I2454" s="1">
        <v>1</v>
      </c>
      <c r="J2454" s="3">
        <v>18874</v>
      </c>
      <c r="K2454" s="3">
        <v>18010</v>
      </c>
      <c r="L2454" s="1">
        <v>0</v>
      </c>
      <c r="M2454" s="4">
        <v>0</v>
      </c>
      <c r="N2454" s="1">
        <v>864</v>
      </c>
      <c r="O2454" s="4">
        <v>4.5999999999999999E-2</v>
      </c>
      <c r="P2454" s="1" t="s">
        <v>2721</v>
      </c>
    </row>
    <row r="2455" spans="1:16">
      <c r="A2455" s="1" t="s">
        <v>577</v>
      </c>
      <c r="B2455" s="1">
        <v>11</v>
      </c>
      <c r="C2455" s="1" t="s">
        <v>6578</v>
      </c>
      <c r="D2455" s="1" t="s">
        <v>1741</v>
      </c>
      <c r="E2455" s="2">
        <v>45978</v>
      </c>
      <c r="F2455" s="1" t="s">
        <v>500</v>
      </c>
      <c r="G2455" s="1" t="s">
        <v>900</v>
      </c>
      <c r="H2455" s="1" t="s">
        <v>901</v>
      </c>
      <c r="I2455" s="1">
        <v>1</v>
      </c>
      <c r="J2455" s="3">
        <v>105846</v>
      </c>
      <c r="K2455" s="3">
        <v>101000</v>
      </c>
      <c r="L2455" s="1">
        <v>0</v>
      </c>
      <c r="M2455" s="4">
        <v>0</v>
      </c>
      <c r="N2455" s="3">
        <v>4846</v>
      </c>
      <c r="O2455" s="4">
        <v>4.5999999999999999E-2</v>
      </c>
      <c r="P2455" s="1" t="s">
        <v>2721</v>
      </c>
    </row>
    <row r="2456" spans="1:16">
      <c r="A2456" s="1" t="s">
        <v>577</v>
      </c>
      <c r="B2456" s="1">
        <v>11</v>
      </c>
      <c r="C2456" s="1" t="s">
        <v>6579</v>
      </c>
      <c r="D2456" s="1" t="s">
        <v>1725</v>
      </c>
      <c r="E2456" s="2">
        <v>45978</v>
      </c>
      <c r="F2456" s="1" t="s">
        <v>488</v>
      </c>
      <c r="G2456" s="1" t="s">
        <v>1726</v>
      </c>
      <c r="H2456" s="1" t="s">
        <v>1727</v>
      </c>
      <c r="I2456" s="1">
        <v>1</v>
      </c>
      <c r="J2456" s="3">
        <v>16711</v>
      </c>
      <c r="K2456" s="3">
        <v>15946</v>
      </c>
      <c r="L2456" s="1">
        <v>0</v>
      </c>
      <c r="M2456" s="4">
        <v>0</v>
      </c>
      <c r="N2456" s="1">
        <v>765</v>
      </c>
      <c r="O2456" s="4">
        <v>4.5999999999999999E-2</v>
      </c>
      <c r="P2456" s="1" t="s">
        <v>2721</v>
      </c>
    </row>
    <row r="2457" spans="1:16">
      <c r="A2457" s="1" t="s">
        <v>577</v>
      </c>
      <c r="B2457" s="1">
        <v>11</v>
      </c>
      <c r="C2457" s="1" t="s">
        <v>6580</v>
      </c>
      <c r="D2457" s="1" t="s">
        <v>6581</v>
      </c>
      <c r="E2457" s="2">
        <v>45978</v>
      </c>
      <c r="F2457" s="1" t="s">
        <v>213</v>
      </c>
      <c r="G2457" s="1" t="s">
        <v>3677</v>
      </c>
      <c r="H2457" s="1" t="s">
        <v>3678</v>
      </c>
      <c r="I2457" s="1">
        <v>1</v>
      </c>
      <c r="J2457" s="3">
        <v>17203</v>
      </c>
      <c r="K2457" s="3">
        <v>16415</v>
      </c>
      <c r="L2457" s="1">
        <v>0</v>
      </c>
      <c r="M2457" s="4">
        <v>0</v>
      </c>
      <c r="N2457" s="1">
        <v>788</v>
      </c>
      <c r="O2457" s="4">
        <v>4.5999999999999999E-2</v>
      </c>
      <c r="P2457" s="1" t="s">
        <v>2721</v>
      </c>
    </row>
    <row r="2458" spans="1:16">
      <c r="A2458" s="1" t="s">
        <v>577</v>
      </c>
      <c r="B2458" s="1">
        <v>11</v>
      </c>
      <c r="C2458" s="1" t="s">
        <v>6582</v>
      </c>
      <c r="D2458" s="1" t="s">
        <v>6583</v>
      </c>
      <c r="E2458" s="2">
        <v>45978</v>
      </c>
      <c r="F2458" s="1" t="s">
        <v>6584</v>
      </c>
      <c r="G2458" s="1" t="s">
        <v>6585</v>
      </c>
      <c r="H2458" s="1" t="s">
        <v>6586</v>
      </c>
      <c r="I2458" s="1">
        <v>1</v>
      </c>
      <c r="J2458" s="3">
        <v>304730</v>
      </c>
      <c r="K2458" s="3">
        <v>290780</v>
      </c>
      <c r="L2458" s="1">
        <v>0</v>
      </c>
      <c r="M2458" s="4">
        <v>0</v>
      </c>
      <c r="N2458" s="3">
        <v>13950</v>
      </c>
      <c r="O2458" s="4">
        <v>4.5999999999999999E-2</v>
      </c>
      <c r="P2458" s="1" t="s">
        <v>2721</v>
      </c>
    </row>
    <row r="2459" spans="1:16">
      <c r="A2459" s="1" t="s">
        <v>577</v>
      </c>
      <c r="B2459" s="1">
        <v>11</v>
      </c>
      <c r="C2459" s="1" t="s">
        <v>6587</v>
      </c>
      <c r="D2459" s="1" t="s">
        <v>1779</v>
      </c>
      <c r="E2459" s="2">
        <v>45978</v>
      </c>
      <c r="F2459" s="1" t="s">
        <v>63</v>
      </c>
      <c r="G2459" s="1" t="s">
        <v>113</v>
      </c>
      <c r="H2459" s="1" t="s">
        <v>74</v>
      </c>
      <c r="I2459" s="1">
        <v>1</v>
      </c>
      <c r="J2459" s="3">
        <v>10456</v>
      </c>
      <c r="K2459" s="3">
        <v>9978</v>
      </c>
      <c r="L2459" s="1">
        <v>0</v>
      </c>
      <c r="M2459" s="4">
        <v>0</v>
      </c>
      <c r="N2459" s="1">
        <v>478</v>
      </c>
      <c r="O2459" s="4">
        <v>4.5999999999999999E-2</v>
      </c>
      <c r="P2459" s="1" t="s">
        <v>2721</v>
      </c>
    </row>
    <row r="2460" spans="1:16">
      <c r="A2460" s="1" t="s">
        <v>577</v>
      </c>
      <c r="B2460" s="1">
        <v>11</v>
      </c>
      <c r="C2460" s="1" t="s">
        <v>6588</v>
      </c>
      <c r="D2460" s="1" t="s">
        <v>6589</v>
      </c>
      <c r="E2460" s="2">
        <v>45978</v>
      </c>
      <c r="F2460" s="1" t="s">
        <v>783</v>
      </c>
      <c r="G2460" s="1" t="s">
        <v>6590</v>
      </c>
      <c r="H2460" s="1" t="s">
        <v>785</v>
      </c>
      <c r="I2460" s="1">
        <v>1</v>
      </c>
      <c r="J2460" s="3">
        <v>14254</v>
      </c>
      <c r="K2460" s="3">
        <v>13601</v>
      </c>
      <c r="L2460" s="1">
        <v>0</v>
      </c>
      <c r="M2460" s="4">
        <v>0</v>
      </c>
      <c r="N2460" s="1">
        <v>653</v>
      </c>
      <c r="O2460" s="4">
        <v>4.5999999999999999E-2</v>
      </c>
      <c r="P2460" s="1" t="s">
        <v>2721</v>
      </c>
    </row>
    <row r="2461" spans="1:16">
      <c r="A2461" s="1" t="s">
        <v>577</v>
      </c>
      <c r="B2461" s="1">
        <v>11</v>
      </c>
      <c r="C2461" s="1" t="s">
        <v>6591</v>
      </c>
      <c r="D2461" s="1" t="s">
        <v>1826</v>
      </c>
      <c r="E2461" s="2">
        <v>45978</v>
      </c>
      <c r="F2461" s="1" t="s">
        <v>500</v>
      </c>
      <c r="G2461" s="1" t="s">
        <v>1827</v>
      </c>
      <c r="H2461" s="1" t="s">
        <v>1828</v>
      </c>
      <c r="I2461" s="1">
        <v>1</v>
      </c>
      <c r="J2461" s="3">
        <v>141099</v>
      </c>
      <c r="K2461" s="3">
        <v>134640</v>
      </c>
      <c r="L2461" s="1">
        <v>0</v>
      </c>
      <c r="M2461" s="4">
        <v>0</v>
      </c>
      <c r="N2461" s="3">
        <v>6459</v>
      </c>
      <c r="O2461" s="4">
        <v>4.5999999999999999E-2</v>
      </c>
      <c r="P2461" s="1" t="s">
        <v>2721</v>
      </c>
    </row>
    <row r="2462" spans="1:16">
      <c r="A2462" s="1" t="s">
        <v>577</v>
      </c>
      <c r="B2462" s="1">
        <v>11</v>
      </c>
      <c r="C2462" s="1" t="s">
        <v>6592</v>
      </c>
      <c r="D2462" s="1" t="s">
        <v>6593</v>
      </c>
      <c r="E2462" s="2">
        <v>45978</v>
      </c>
      <c r="F2462" s="1" t="s">
        <v>975</v>
      </c>
      <c r="G2462" s="1" t="s">
        <v>976</v>
      </c>
      <c r="H2462" s="1" t="s">
        <v>977</v>
      </c>
      <c r="I2462" s="1">
        <v>1</v>
      </c>
      <c r="J2462" s="3">
        <v>78640</v>
      </c>
      <c r="K2462" s="3">
        <v>75040</v>
      </c>
      <c r="L2462" s="1">
        <v>0</v>
      </c>
      <c r="M2462" s="4">
        <v>0</v>
      </c>
      <c r="N2462" s="3">
        <v>3600</v>
      </c>
      <c r="O2462" s="4">
        <v>4.5999999999999999E-2</v>
      </c>
      <c r="P2462" s="1" t="s">
        <v>2721</v>
      </c>
    </row>
    <row r="2463" spans="1:16">
      <c r="A2463" s="1" t="s">
        <v>577</v>
      </c>
      <c r="B2463" s="1">
        <v>11</v>
      </c>
      <c r="C2463" s="1" t="s">
        <v>6594</v>
      </c>
      <c r="D2463" s="1" t="s">
        <v>1741</v>
      </c>
      <c r="E2463" s="2">
        <v>45978</v>
      </c>
      <c r="F2463" s="1" t="s">
        <v>500</v>
      </c>
      <c r="G2463" s="1" t="s">
        <v>900</v>
      </c>
      <c r="H2463" s="1" t="s">
        <v>1678</v>
      </c>
      <c r="I2463" s="1">
        <v>1</v>
      </c>
      <c r="J2463" s="3">
        <v>102702</v>
      </c>
      <c r="K2463" s="3">
        <v>98000</v>
      </c>
      <c r="L2463" s="1">
        <v>0</v>
      </c>
      <c r="M2463" s="4">
        <v>0</v>
      </c>
      <c r="N2463" s="3">
        <v>4702</v>
      </c>
      <c r="O2463" s="4">
        <v>4.5999999999999999E-2</v>
      </c>
      <c r="P2463" s="1" t="s">
        <v>2721</v>
      </c>
    </row>
    <row r="2464" spans="1:16">
      <c r="A2464" s="1" t="s">
        <v>577</v>
      </c>
      <c r="B2464" s="1">
        <v>11</v>
      </c>
      <c r="C2464" s="1" t="s">
        <v>6595</v>
      </c>
      <c r="D2464" s="1" t="s">
        <v>1702</v>
      </c>
      <c r="E2464" s="2">
        <v>45978</v>
      </c>
      <c r="F2464" s="1" t="s">
        <v>347</v>
      </c>
      <c r="G2464" s="1" t="s">
        <v>348</v>
      </c>
      <c r="H2464" s="1" t="s">
        <v>3931</v>
      </c>
      <c r="I2464" s="1">
        <v>1</v>
      </c>
      <c r="J2464" s="3">
        <v>18677</v>
      </c>
      <c r="K2464" s="3">
        <v>17822</v>
      </c>
      <c r="L2464" s="1">
        <v>0</v>
      </c>
      <c r="M2464" s="4">
        <v>0</v>
      </c>
      <c r="N2464" s="1">
        <v>855</v>
      </c>
      <c r="O2464" s="4">
        <v>4.5999999999999999E-2</v>
      </c>
      <c r="P2464" s="1" t="s">
        <v>2721</v>
      </c>
    </row>
    <row r="2465" spans="1:16">
      <c r="A2465" s="1" t="s">
        <v>577</v>
      </c>
      <c r="B2465" s="1">
        <v>11</v>
      </c>
      <c r="C2465" s="1" t="s">
        <v>6596</v>
      </c>
      <c r="D2465" s="1" t="s">
        <v>6597</v>
      </c>
      <c r="E2465" s="2">
        <v>45978</v>
      </c>
      <c r="F2465" s="1" t="s">
        <v>500</v>
      </c>
      <c r="G2465" s="1" t="s">
        <v>6598</v>
      </c>
      <c r="H2465" s="1" t="s">
        <v>6599</v>
      </c>
      <c r="I2465" s="1">
        <v>1</v>
      </c>
      <c r="J2465" s="3">
        <v>253614</v>
      </c>
      <c r="K2465" s="3">
        <v>242004</v>
      </c>
      <c r="L2465" s="1">
        <v>0</v>
      </c>
      <c r="M2465" s="4">
        <v>0</v>
      </c>
      <c r="N2465" s="3">
        <v>11610</v>
      </c>
      <c r="O2465" s="4">
        <v>4.5999999999999999E-2</v>
      </c>
      <c r="P2465" s="1" t="s">
        <v>2721</v>
      </c>
    </row>
    <row r="2466" spans="1:16">
      <c r="A2466" s="1" t="s">
        <v>577</v>
      </c>
      <c r="B2466" s="1">
        <v>11</v>
      </c>
      <c r="C2466" s="1" t="s">
        <v>6600</v>
      </c>
      <c r="D2466" s="1" t="s">
        <v>6601</v>
      </c>
      <c r="E2466" s="2">
        <v>45978</v>
      </c>
      <c r="F2466" s="1" t="s">
        <v>524</v>
      </c>
      <c r="G2466" s="1" t="s">
        <v>6387</v>
      </c>
      <c r="H2466" s="1" t="s">
        <v>6388</v>
      </c>
      <c r="I2466" s="1">
        <v>1</v>
      </c>
      <c r="J2466" s="3">
        <v>13285</v>
      </c>
      <c r="K2466" s="3">
        <v>12677</v>
      </c>
      <c r="L2466" s="1">
        <v>0</v>
      </c>
      <c r="M2466" s="4">
        <v>0</v>
      </c>
      <c r="N2466" s="1">
        <v>608</v>
      </c>
      <c r="O2466" s="4">
        <v>4.5999999999999999E-2</v>
      </c>
      <c r="P2466" s="1" t="s">
        <v>2721</v>
      </c>
    </row>
    <row r="2467" spans="1:16">
      <c r="A2467" s="1" t="s">
        <v>577</v>
      </c>
      <c r="B2467" s="1">
        <v>11</v>
      </c>
      <c r="C2467" s="1" t="s">
        <v>6602</v>
      </c>
      <c r="D2467" s="1" t="s">
        <v>6603</v>
      </c>
      <c r="E2467" s="2">
        <v>45978</v>
      </c>
      <c r="F2467" s="1" t="s">
        <v>488</v>
      </c>
      <c r="G2467" s="1" t="s">
        <v>3720</v>
      </c>
      <c r="H2467" s="1" t="s">
        <v>3721</v>
      </c>
      <c r="I2467" s="1">
        <v>1</v>
      </c>
      <c r="J2467" s="3">
        <v>8542</v>
      </c>
      <c r="K2467" s="3">
        <v>8151</v>
      </c>
      <c r="L2467" s="1">
        <v>0</v>
      </c>
      <c r="M2467" s="4">
        <v>0</v>
      </c>
      <c r="N2467" s="1">
        <v>391</v>
      </c>
      <c r="O2467" s="4">
        <v>4.5999999999999999E-2</v>
      </c>
      <c r="P2467" s="1" t="s">
        <v>2721</v>
      </c>
    </row>
    <row r="2468" spans="1:16">
      <c r="A2468" s="1" t="s">
        <v>577</v>
      </c>
      <c r="B2468" s="1">
        <v>11</v>
      </c>
      <c r="C2468" s="1" t="s">
        <v>6604</v>
      </c>
      <c r="D2468" s="1" t="s">
        <v>4319</v>
      </c>
      <c r="E2468" s="2">
        <v>45978</v>
      </c>
      <c r="F2468" s="1" t="s">
        <v>53</v>
      </c>
      <c r="G2468" s="1" t="s">
        <v>133</v>
      </c>
      <c r="H2468" s="1" t="s">
        <v>88</v>
      </c>
      <c r="I2468" s="1">
        <v>2</v>
      </c>
      <c r="J2468" s="3">
        <v>34073</v>
      </c>
      <c r="K2468" s="3">
        <v>32513</v>
      </c>
      <c r="L2468" s="1">
        <v>0</v>
      </c>
      <c r="M2468" s="4">
        <v>0</v>
      </c>
      <c r="N2468" s="3">
        <v>1560</v>
      </c>
      <c r="O2468" s="4">
        <v>4.5999999999999999E-2</v>
      </c>
      <c r="P2468" s="1" t="s">
        <v>2721</v>
      </c>
    </row>
    <row r="2469" spans="1:16">
      <c r="A2469" s="1" t="s">
        <v>577</v>
      </c>
      <c r="B2469" s="1">
        <v>11</v>
      </c>
      <c r="C2469" s="1" t="s">
        <v>6605</v>
      </c>
      <c r="D2469" s="1" t="s">
        <v>1784</v>
      </c>
      <c r="E2469" s="2">
        <v>45978</v>
      </c>
      <c r="F2469" s="1" t="s">
        <v>256</v>
      </c>
      <c r="G2469" s="1" t="s">
        <v>778</v>
      </c>
      <c r="H2469" s="1" t="s">
        <v>779</v>
      </c>
      <c r="I2469" s="1">
        <v>1</v>
      </c>
      <c r="J2469" s="3">
        <v>11010</v>
      </c>
      <c r="K2469" s="3">
        <v>10506</v>
      </c>
      <c r="L2469" s="1">
        <v>0</v>
      </c>
      <c r="M2469" s="4">
        <v>0</v>
      </c>
      <c r="N2469" s="1">
        <v>504</v>
      </c>
      <c r="O2469" s="4">
        <v>4.5999999999999999E-2</v>
      </c>
      <c r="P2469" s="1" t="s">
        <v>2721</v>
      </c>
    </row>
    <row r="2470" spans="1:16">
      <c r="A2470" s="1" t="s">
        <v>577</v>
      </c>
      <c r="B2470" s="1">
        <v>11</v>
      </c>
      <c r="C2470" s="1" t="s">
        <v>6606</v>
      </c>
      <c r="D2470" s="1" t="s">
        <v>6607</v>
      </c>
      <c r="E2470" s="2">
        <v>45978</v>
      </c>
      <c r="F2470" s="1" t="s">
        <v>3710</v>
      </c>
      <c r="G2470" s="1" t="s">
        <v>3711</v>
      </c>
      <c r="H2470" s="1" t="s">
        <v>5129</v>
      </c>
      <c r="I2470" s="1">
        <v>1</v>
      </c>
      <c r="J2470" s="3">
        <v>31456</v>
      </c>
      <c r="K2470" s="3">
        <v>30016</v>
      </c>
      <c r="L2470" s="1">
        <v>0</v>
      </c>
      <c r="M2470" s="4">
        <v>0</v>
      </c>
      <c r="N2470" s="3">
        <v>1440</v>
      </c>
      <c r="O2470" s="4">
        <v>4.5999999999999999E-2</v>
      </c>
      <c r="P2470" s="1" t="s">
        <v>2721</v>
      </c>
    </row>
    <row r="2471" spans="1:16">
      <c r="A2471" s="1" t="s">
        <v>577</v>
      </c>
      <c r="B2471" s="1">
        <v>11</v>
      </c>
      <c r="C2471" s="1" t="s">
        <v>6608</v>
      </c>
      <c r="D2471" s="1" t="s">
        <v>6609</v>
      </c>
      <c r="E2471" s="2">
        <v>45978</v>
      </c>
      <c r="F2471" s="1" t="s">
        <v>554</v>
      </c>
      <c r="G2471" s="1" t="s">
        <v>555</v>
      </c>
      <c r="H2471" s="1" t="s">
        <v>556</v>
      </c>
      <c r="I2471" s="1">
        <v>1</v>
      </c>
      <c r="J2471" s="3">
        <v>17841</v>
      </c>
      <c r="K2471" s="3">
        <v>17025</v>
      </c>
      <c r="L2471" s="1">
        <v>0</v>
      </c>
      <c r="M2471" s="4">
        <v>0</v>
      </c>
      <c r="N2471" s="1">
        <v>816</v>
      </c>
      <c r="O2471" s="4">
        <v>4.5999999999999999E-2</v>
      </c>
      <c r="P2471" s="1" t="s">
        <v>2721</v>
      </c>
    </row>
    <row r="2472" spans="1:16">
      <c r="A2472" s="1" t="s">
        <v>577</v>
      </c>
      <c r="B2472" s="1">
        <v>11</v>
      </c>
      <c r="C2472" s="1" t="s">
        <v>6610</v>
      </c>
      <c r="D2472" s="1" t="s">
        <v>1700</v>
      </c>
      <c r="E2472" s="2">
        <v>45978</v>
      </c>
      <c r="F2472" s="1" t="s">
        <v>395</v>
      </c>
      <c r="G2472" s="1" t="s">
        <v>396</v>
      </c>
      <c r="H2472" s="1" t="s">
        <v>397</v>
      </c>
      <c r="I2472" s="1">
        <v>1</v>
      </c>
      <c r="J2472" s="3">
        <v>18874</v>
      </c>
      <c r="K2472" s="3">
        <v>18010</v>
      </c>
      <c r="L2472" s="1">
        <v>0</v>
      </c>
      <c r="M2472" s="4">
        <v>0</v>
      </c>
      <c r="N2472" s="1">
        <v>864</v>
      </c>
      <c r="O2472" s="4">
        <v>4.5999999999999999E-2</v>
      </c>
      <c r="P2472" s="1" t="s">
        <v>2721</v>
      </c>
    </row>
    <row r="2473" spans="1:16">
      <c r="A2473" s="1" t="s">
        <v>602</v>
      </c>
      <c r="B2473" s="1">
        <v>11</v>
      </c>
      <c r="C2473" s="1">
        <v>5100152601921</v>
      </c>
      <c r="D2473" s="1" t="s">
        <v>610</v>
      </c>
      <c r="E2473" s="2">
        <v>45978</v>
      </c>
      <c r="F2473" s="1" t="s">
        <v>604</v>
      </c>
      <c r="G2473" s="1" t="s">
        <v>611</v>
      </c>
      <c r="H2473" s="1" t="s">
        <v>6611</v>
      </c>
      <c r="I2473" s="1">
        <v>5</v>
      </c>
      <c r="J2473" s="3">
        <v>50800</v>
      </c>
      <c r="K2473" s="3">
        <v>38250</v>
      </c>
      <c r="L2473" s="3">
        <v>5893</v>
      </c>
      <c r="M2473" s="4">
        <v>0.11600000000000001</v>
      </c>
      <c r="N2473" s="3">
        <v>6657</v>
      </c>
      <c r="O2473" s="4">
        <v>0.13100000000000001</v>
      </c>
      <c r="P2473" s="1" t="s">
        <v>2721</v>
      </c>
    </row>
    <row r="2474" spans="1:16">
      <c r="A2474" s="1" t="s">
        <v>602</v>
      </c>
      <c r="B2474" s="1">
        <v>11</v>
      </c>
      <c r="C2474" s="1">
        <v>3100153576569</v>
      </c>
      <c r="D2474" s="1" t="s">
        <v>6612</v>
      </c>
      <c r="E2474" s="2">
        <v>45978</v>
      </c>
      <c r="F2474" s="1" t="s">
        <v>604</v>
      </c>
      <c r="G2474" s="1" t="s">
        <v>6613</v>
      </c>
      <c r="H2474" s="1" t="s">
        <v>6614</v>
      </c>
      <c r="I2474" s="1">
        <v>1</v>
      </c>
      <c r="J2474" s="3">
        <v>29000</v>
      </c>
      <c r="K2474" s="3">
        <v>17794</v>
      </c>
      <c r="L2474" s="3">
        <v>3364</v>
      </c>
      <c r="M2474" s="4">
        <v>0.11600000000000001</v>
      </c>
      <c r="N2474" s="3">
        <v>7842</v>
      </c>
      <c r="O2474" s="4">
        <v>0.27</v>
      </c>
      <c r="P2474" s="1" t="s">
        <v>2721</v>
      </c>
    </row>
    <row r="2475" spans="1:16">
      <c r="A2475" s="1" t="s">
        <v>602</v>
      </c>
      <c r="B2475" s="1">
        <v>11</v>
      </c>
      <c r="C2475" s="1">
        <v>14100153433944</v>
      </c>
      <c r="D2475" s="1" t="s">
        <v>603</v>
      </c>
      <c r="E2475" s="2">
        <v>45978</v>
      </c>
      <c r="F2475" s="1" t="s">
        <v>604</v>
      </c>
      <c r="G2475" s="1" t="s">
        <v>605</v>
      </c>
      <c r="H2475" s="1" t="s">
        <v>606</v>
      </c>
      <c r="I2475" s="1">
        <v>5</v>
      </c>
      <c r="J2475" s="3">
        <v>49800</v>
      </c>
      <c r="K2475" s="3">
        <v>38250</v>
      </c>
      <c r="L2475" s="3">
        <v>5777</v>
      </c>
      <c r="M2475" s="4">
        <v>0.11600000000000001</v>
      </c>
      <c r="N2475" s="3">
        <v>5773</v>
      </c>
      <c r="O2475" s="4">
        <v>0.11600000000000001</v>
      </c>
      <c r="P2475" s="1" t="s">
        <v>2721</v>
      </c>
    </row>
    <row r="2476" spans="1:16">
      <c r="A2476" s="1" t="s">
        <v>2732</v>
      </c>
      <c r="B2476" s="1">
        <v>11</v>
      </c>
      <c r="C2476" s="1">
        <v>2.0251114014693E+16</v>
      </c>
      <c r="D2476" s="1" t="s">
        <v>603</v>
      </c>
      <c r="E2476" s="2">
        <v>45978</v>
      </c>
      <c r="F2476" s="1" t="s">
        <v>604</v>
      </c>
      <c r="G2476" s="1" t="s">
        <v>605</v>
      </c>
      <c r="H2476" s="1" t="s">
        <v>6615</v>
      </c>
      <c r="I2476" s="1">
        <v>5</v>
      </c>
      <c r="J2476" s="3">
        <v>49900</v>
      </c>
      <c r="K2476" s="3">
        <v>38250</v>
      </c>
      <c r="L2476" s="3">
        <v>2994</v>
      </c>
      <c r="M2476" s="4">
        <v>0.06</v>
      </c>
      <c r="N2476" s="3">
        <v>8656</v>
      </c>
      <c r="O2476" s="4">
        <v>0.17299999999999999</v>
      </c>
      <c r="P2476" s="1" t="s">
        <v>2721</v>
      </c>
    </row>
    <row r="2477" spans="1:16">
      <c r="A2477" s="1" t="s">
        <v>624</v>
      </c>
      <c r="B2477" s="1">
        <v>11</v>
      </c>
      <c r="C2477" s="1">
        <v>2025111712284340</v>
      </c>
      <c r="D2477" s="1" t="s">
        <v>621</v>
      </c>
      <c r="E2477" s="2">
        <v>45978</v>
      </c>
      <c r="F2477" s="1" t="s">
        <v>604</v>
      </c>
      <c r="G2477" s="1" t="s">
        <v>622</v>
      </c>
      <c r="H2477" s="1" t="s">
        <v>625</v>
      </c>
      <c r="I2477" s="1">
        <v>1</v>
      </c>
      <c r="J2477" s="3">
        <v>8878</v>
      </c>
      <c r="K2477" s="3">
        <v>3675</v>
      </c>
      <c r="L2477" s="3">
        <v>1154</v>
      </c>
      <c r="M2477" s="4">
        <v>0.13</v>
      </c>
      <c r="N2477" s="3">
        <v>4049</v>
      </c>
      <c r="O2477" s="4">
        <v>0.45600000000000002</v>
      </c>
      <c r="P2477" s="1" t="s">
        <v>2721</v>
      </c>
    </row>
    <row r="2478" spans="1:16">
      <c r="A2478" s="1" t="s">
        <v>624</v>
      </c>
      <c r="B2478" s="1">
        <v>11</v>
      </c>
      <c r="C2478" s="1">
        <v>2025111712348040</v>
      </c>
      <c r="D2478" s="1" t="s">
        <v>607</v>
      </c>
      <c r="E2478" s="2">
        <v>45978</v>
      </c>
      <c r="F2478" s="1" t="s">
        <v>604</v>
      </c>
      <c r="G2478" s="1" t="s">
        <v>608</v>
      </c>
      <c r="H2478" s="1" t="s">
        <v>1847</v>
      </c>
      <c r="I2478" s="1">
        <v>5</v>
      </c>
      <c r="J2478" s="3">
        <v>66870</v>
      </c>
      <c r="K2478" s="3">
        <v>52000</v>
      </c>
      <c r="L2478" s="3">
        <v>8693</v>
      </c>
      <c r="M2478" s="4">
        <v>0.13</v>
      </c>
      <c r="N2478" s="3">
        <v>6177</v>
      </c>
      <c r="O2478" s="4">
        <v>9.1999999999999998E-2</v>
      </c>
      <c r="P2478" s="1" t="s">
        <v>2721</v>
      </c>
    </row>
    <row r="2479" spans="1:16">
      <c r="A2479" s="1" t="s">
        <v>626</v>
      </c>
      <c r="B2479" s="1">
        <v>11</v>
      </c>
      <c r="C2479" s="1">
        <v>69187345</v>
      </c>
      <c r="D2479" s="1" t="s">
        <v>627</v>
      </c>
      <c r="E2479" s="2">
        <v>45978</v>
      </c>
      <c r="F2479" s="1" t="s">
        <v>604</v>
      </c>
      <c r="G2479" s="1" t="s">
        <v>628</v>
      </c>
      <c r="H2479" s="1" t="s">
        <v>629</v>
      </c>
      <c r="I2479" s="1">
        <v>1</v>
      </c>
      <c r="J2479" s="3">
        <v>8000</v>
      </c>
      <c r="K2479" s="3">
        <v>1800</v>
      </c>
      <c r="L2479" s="1">
        <v>880</v>
      </c>
      <c r="M2479" s="4">
        <v>0.11</v>
      </c>
      <c r="N2479" s="3">
        <v>5320</v>
      </c>
      <c r="O2479" s="4">
        <v>0.66500000000000004</v>
      </c>
      <c r="P2479" s="1" t="s">
        <v>2721</v>
      </c>
    </row>
    <row r="2480" spans="1:16">
      <c r="A2480" s="1" t="s">
        <v>626</v>
      </c>
      <c r="B2480" s="1">
        <v>11</v>
      </c>
      <c r="C2480" s="1">
        <v>69187251</v>
      </c>
      <c r="D2480" s="1" t="s">
        <v>627</v>
      </c>
      <c r="E2480" s="2">
        <v>45978</v>
      </c>
      <c r="F2480" s="1" t="s">
        <v>604</v>
      </c>
      <c r="G2480" s="1" t="s">
        <v>628</v>
      </c>
      <c r="H2480" s="1" t="s">
        <v>629</v>
      </c>
      <c r="I2480" s="1">
        <v>1</v>
      </c>
      <c r="J2480" s="3">
        <v>8000</v>
      </c>
      <c r="K2480" s="3">
        <v>1800</v>
      </c>
      <c r="L2480" s="1">
        <v>880</v>
      </c>
      <c r="M2480" s="4">
        <v>0.11</v>
      </c>
      <c r="N2480" s="3">
        <v>5320</v>
      </c>
      <c r="O2480" s="4">
        <v>0.66500000000000004</v>
      </c>
      <c r="P2480" s="1" t="s">
        <v>2721</v>
      </c>
    </row>
    <row r="2481" spans="1:16">
      <c r="A2481" s="1" t="s">
        <v>626</v>
      </c>
      <c r="B2481" s="1">
        <v>11</v>
      </c>
      <c r="C2481" s="1">
        <v>69181755</v>
      </c>
      <c r="D2481" s="1" t="s">
        <v>627</v>
      </c>
      <c r="E2481" s="2">
        <v>45978</v>
      </c>
      <c r="F2481" s="1" t="s">
        <v>604</v>
      </c>
      <c r="G2481" s="1" t="s">
        <v>628</v>
      </c>
      <c r="H2481" s="1" t="s">
        <v>2271</v>
      </c>
      <c r="I2481" s="1">
        <v>2</v>
      </c>
      <c r="J2481" s="3">
        <v>12800</v>
      </c>
      <c r="K2481" s="3">
        <v>3600</v>
      </c>
      <c r="L2481" s="3">
        <v>1408</v>
      </c>
      <c r="M2481" s="4">
        <v>0.11</v>
      </c>
      <c r="N2481" s="3">
        <v>7792</v>
      </c>
      <c r="O2481" s="4">
        <v>0.60899999999999999</v>
      </c>
      <c r="P2481" s="1" t="s">
        <v>2721</v>
      </c>
    </row>
    <row r="2482" spans="1:16">
      <c r="A2482" s="1" t="s">
        <v>626</v>
      </c>
      <c r="B2482" s="1">
        <v>11</v>
      </c>
      <c r="C2482" s="1">
        <v>69171082</v>
      </c>
      <c r="D2482" s="1" t="s">
        <v>627</v>
      </c>
      <c r="E2482" s="2">
        <v>45978</v>
      </c>
      <c r="F2482" s="1" t="s">
        <v>604</v>
      </c>
      <c r="G2482" s="1" t="s">
        <v>628</v>
      </c>
      <c r="H2482" s="1" t="s">
        <v>5282</v>
      </c>
      <c r="I2482" s="1">
        <v>3</v>
      </c>
      <c r="J2482" s="3">
        <v>17700</v>
      </c>
      <c r="K2482" s="3">
        <v>5400</v>
      </c>
      <c r="L2482" s="3">
        <v>1947</v>
      </c>
      <c r="M2482" s="4">
        <v>0.11</v>
      </c>
      <c r="N2482" s="3">
        <v>10353</v>
      </c>
      <c r="O2482" s="4">
        <v>0.58499999999999996</v>
      </c>
      <c r="P2482" s="1" t="s">
        <v>2721</v>
      </c>
    </row>
    <row r="2483" spans="1:16">
      <c r="A2483" s="1" t="s">
        <v>626</v>
      </c>
      <c r="B2483" s="1">
        <v>11</v>
      </c>
      <c r="C2483" s="1">
        <v>69163690</v>
      </c>
      <c r="D2483" s="1" t="s">
        <v>627</v>
      </c>
      <c r="E2483" s="2">
        <v>45978</v>
      </c>
      <c r="F2483" s="1" t="s">
        <v>604</v>
      </c>
      <c r="G2483" s="1" t="s">
        <v>628</v>
      </c>
      <c r="H2483" s="1" t="s">
        <v>2271</v>
      </c>
      <c r="I2483" s="1">
        <v>2</v>
      </c>
      <c r="J2483" s="3">
        <v>12800</v>
      </c>
      <c r="K2483" s="3">
        <v>3600</v>
      </c>
      <c r="L2483" s="3">
        <v>1408</v>
      </c>
      <c r="M2483" s="4">
        <v>0.11</v>
      </c>
      <c r="N2483" s="3">
        <v>7792</v>
      </c>
      <c r="O2483" s="4">
        <v>0.60899999999999999</v>
      </c>
      <c r="P2483" s="1" t="s">
        <v>2721</v>
      </c>
    </row>
    <row r="2484" spans="1:16">
      <c r="A2484" s="1" t="s">
        <v>626</v>
      </c>
      <c r="B2484" s="1">
        <v>11</v>
      </c>
      <c r="C2484" s="1">
        <v>69162741</v>
      </c>
      <c r="D2484" s="1" t="s">
        <v>627</v>
      </c>
      <c r="E2484" s="2">
        <v>45978</v>
      </c>
      <c r="F2484" s="1" t="s">
        <v>604</v>
      </c>
      <c r="G2484" s="1" t="s">
        <v>628</v>
      </c>
      <c r="H2484" s="1" t="s">
        <v>5282</v>
      </c>
      <c r="I2484" s="1">
        <v>3</v>
      </c>
      <c r="J2484" s="3">
        <v>17700</v>
      </c>
      <c r="K2484" s="3">
        <v>5400</v>
      </c>
      <c r="L2484" s="3">
        <v>1947</v>
      </c>
      <c r="M2484" s="4">
        <v>0.11</v>
      </c>
      <c r="N2484" s="3">
        <v>10353</v>
      </c>
      <c r="O2484" s="4">
        <v>0.58499999999999996</v>
      </c>
      <c r="P2484" s="1" t="s">
        <v>2721</v>
      </c>
    </row>
    <row r="2485" spans="1:16">
      <c r="A2485" s="1" t="s">
        <v>630</v>
      </c>
      <c r="B2485" s="1">
        <v>11</v>
      </c>
      <c r="C2485" s="1">
        <v>1117293960866280</v>
      </c>
      <c r="D2485" s="1" t="s">
        <v>627</v>
      </c>
      <c r="E2485" s="2">
        <v>45978</v>
      </c>
      <c r="F2485" s="1" t="s">
        <v>604</v>
      </c>
      <c r="G2485" s="1" t="s">
        <v>628</v>
      </c>
      <c r="H2485" s="1" t="s">
        <v>1848</v>
      </c>
      <c r="I2485" s="1">
        <v>1</v>
      </c>
      <c r="J2485" s="3">
        <v>6750</v>
      </c>
      <c r="K2485" s="3">
        <v>4300</v>
      </c>
      <c r="L2485" s="1">
        <v>446</v>
      </c>
      <c r="M2485" s="4">
        <v>6.6000000000000003E-2</v>
      </c>
      <c r="N2485" s="3">
        <v>2005</v>
      </c>
      <c r="O2485" s="4">
        <v>0.29699999999999999</v>
      </c>
      <c r="P2485" s="1" t="s">
        <v>2721</v>
      </c>
    </row>
    <row r="2486" spans="1:16">
      <c r="A2486" s="1" t="s">
        <v>630</v>
      </c>
      <c r="B2486" s="1">
        <v>11</v>
      </c>
      <c r="C2486" s="1">
        <v>1117321312887130</v>
      </c>
      <c r="D2486" s="1" t="s">
        <v>627</v>
      </c>
      <c r="E2486" s="2">
        <v>45978</v>
      </c>
      <c r="F2486" s="1" t="s">
        <v>604</v>
      </c>
      <c r="G2486" s="1" t="s">
        <v>628</v>
      </c>
      <c r="H2486" s="1" t="s">
        <v>1848</v>
      </c>
      <c r="I2486" s="1">
        <v>1</v>
      </c>
      <c r="J2486" s="3">
        <v>6750</v>
      </c>
      <c r="K2486" s="3">
        <v>4300</v>
      </c>
      <c r="L2486" s="1">
        <v>446</v>
      </c>
      <c r="M2486" s="4">
        <v>6.6000000000000003E-2</v>
      </c>
      <c r="N2486" s="3">
        <v>2005</v>
      </c>
      <c r="O2486" s="4">
        <v>0.29699999999999999</v>
      </c>
      <c r="P2486" s="1" t="s">
        <v>2721</v>
      </c>
    </row>
    <row r="2487" spans="1:16">
      <c r="A2487" s="1" t="s">
        <v>630</v>
      </c>
      <c r="B2487" s="1">
        <v>11</v>
      </c>
      <c r="C2487" s="1">
        <v>1117228979652510</v>
      </c>
      <c r="D2487" s="1" t="s">
        <v>627</v>
      </c>
      <c r="E2487" s="2">
        <v>45978</v>
      </c>
      <c r="F2487" s="1" t="s">
        <v>604</v>
      </c>
      <c r="G2487" s="1" t="s">
        <v>628</v>
      </c>
      <c r="H2487" s="1" t="s">
        <v>1848</v>
      </c>
      <c r="I2487" s="1">
        <v>1</v>
      </c>
      <c r="J2487" s="3">
        <v>6750</v>
      </c>
      <c r="K2487" s="3">
        <v>4300</v>
      </c>
      <c r="L2487" s="1">
        <v>446</v>
      </c>
      <c r="M2487" s="4">
        <v>6.6000000000000003E-2</v>
      </c>
      <c r="N2487" s="3">
        <v>2005</v>
      </c>
      <c r="O2487" s="4">
        <v>0.29699999999999999</v>
      </c>
      <c r="P2487" s="1" t="s">
        <v>2721</v>
      </c>
    </row>
    <row r="2488" spans="1:16">
      <c r="A2488" s="1" t="s">
        <v>630</v>
      </c>
      <c r="B2488" s="1">
        <v>11</v>
      </c>
      <c r="C2488" s="1">
        <v>1117270902073060</v>
      </c>
      <c r="D2488" s="1" t="s">
        <v>627</v>
      </c>
      <c r="E2488" s="2">
        <v>45978</v>
      </c>
      <c r="F2488" s="1" t="s">
        <v>604</v>
      </c>
      <c r="G2488" s="1" t="s">
        <v>628</v>
      </c>
      <c r="H2488" s="1" t="s">
        <v>1848</v>
      </c>
      <c r="I2488" s="1">
        <v>1</v>
      </c>
      <c r="J2488" s="3">
        <v>6750</v>
      </c>
      <c r="K2488" s="3">
        <v>4300</v>
      </c>
      <c r="L2488" s="1">
        <v>446</v>
      </c>
      <c r="M2488" s="4">
        <v>6.6000000000000003E-2</v>
      </c>
      <c r="N2488" s="3">
        <v>2005</v>
      </c>
      <c r="O2488" s="4">
        <v>0.29699999999999999</v>
      </c>
      <c r="P2488" s="1" t="s">
        <v>2721</v>
      </c>
    </row>
    <row r="2489" spans="1:16">
      <c r="A2489" s="1" t="s">
        <v>630</v>
      </c>
      <c r="B2489" s="1">
        <v>11</v>
      </c>
      <c r="C2489" s="1">
        <v>1117289157083830</v>
      </c>
      <c r="D2489" s="1" t="s">
        <v>627</v>
      </c>
      <c r="E2489" s="2">
        <v>45978</v>
      </c>
      <c r="F2489" s="1" t="s">
        <v>604</v>
      </c>
      <c r="G2489" s="1" t="s">
        <v>628</v>
      </c>
      <c r="H2489" s="1" t="s">
        <v>1848</v>
      </c>
      <c r="I2489" s="1">
        <v>1</v>
      </c>
      <c r="J2489" s="3">
        <v>6750</v>
      </c>
      <c r="K2489" s="3">
        <v>4300</v>
      </c>
      <c r="L2489" s="1">
        <v>446</v>
      </c>
      <c r="M2489" s="4">
        <v>6.6000000000000003E-2</v>
      </c>
      <c r="N2489" s="3">
        <v>2005</v>
      </c>
      <c r="O2489" s="4">
        <v>0.29699999999999999</v>
      </c>
      <c r="P2489" s="1" t="s">
        <v>2721</v>
      </c>
    </row>
    <row r="2490" spans="1:16">
      <c r="A2490" s="1" t="s">
        <v>630</v>
      </c>
      <c r="B2490" s="1">
        <v>11</v>
      </c>
      <c r="C2490" s="1">
        <v>1117240697618400</v>
      </c>
      <c r="D2490" s="1" t="s">
        <v>627</v>
      </c>
      <c r="E2490" s="2">
        <v>45978</v>
      </c>
      <c r="F2490" s="1" t="s">
        <v>604</v>
      </c>
      <c r="G2490" s="1" t="s">
        <v>628</v>
      </c>
      <c r="H2490" s="1" t="s">
        <v>1848</v>
      </c>
      <c r="I2490" s="1">
        <v>1</v>
      </c>
      <c r="J2490" s="3">
        <v>6750</v>
      </c>
      <c r="K2490" s="3">
        <v>4300</v>
      </c>
      <c r="L2490" s="1">
        <v>446</v>
      </c>
      <c r="M2490" s="4">
        <v>6.6000000000000003E-2</v>
      </c>
      <c r="N2490" s="3">
        <v>2005</v>
      </c>
      <c r="O2490" s="4">
        <v>0.29699999999999999</v>
      </c>
      <c r="P2490" s="1" t="s">
        <v>2721</v>
      </c>
    </row>
    <row r="2491" spans="1:16">
      <c r="A2491" s="1" t="s">
        <v>630</v>
      </c>
      <c r="B2491" s="1">
        <v>11</v>
      </c>
      <c r="C2491" s="1">
        <v>1117263027303280</v>
      </c>
      <c r="D2491" s="1" t="s">
        <v>627</v>
      </c>
      <c r="E2491" s="2">
        <v>45978</v>
      </c>
      <c r="F2491" s="1" t="s">
        <v>604</v>
      </c>
      <c r="G2491" s="1" t="s">
        <v>628</v>
      </c>
      <c r="H2491" s="1" t="s">
        <v>631</v>
      </c>
      <c r="I2491" s="1">
        <v>6</v>
      </c>
      <c r="J2491" s="3">
        <v>37830</v>
      </c>
      <c r="K2491" s="3">
        <v>13300</v>
      </c>
      <c r="L2491" s="3">
        <v>2497</v>
      </c>
      <c r="M2491" s="4">
        <v>6.6000000000000003E-2</v>
      </c>
      <c r="N2491" s="3">
        <v>22033</v>
      </c>
      <c r="O2491" s="4">
        <v>0.58199999999999996</v>
      </c>
      <c r="P2491" s="1" t="s">
        <v>2721</v>
      </c>
    </row>
    <row r="2492" spans="1:16">
      <c r="A2492" s="1" t="s">
        <v>739</v>
      </c>
      <c r="B2492" s="1">
        <v>11</v>
      </c>
      <c r="C2492" s="1">
        <v>31434402</v>
      </c>
      <c r="D2492" s="1" t="s">
        <v>3420</v>
      </c>
      <c r="E2492" s="2">
        <v>45978</v>
      </c>
      <c r="F2492" s="1" t="s">
        <v>604</v>
      </c>
      <c r="G2492" s="1" t="s">
        <v>3421</v>
      </c>
      <c r="H2492" s="1" t="s">
        <v>3422</v>
      </c>
      <c r="I2492" s="1">
        <v>1</v>
      </c>
      <c r="J2492" s="3">
        <v>8900</v>
      </c>
      <c r="K2492" s="3">
        <v>5026</v>
      </c>
      <c r="L2492" s="3">
        <v>1175</v>
      </c>
      <c r="M2492" s="4">
        <v>0.13200000000000001</v>
      </c>
      <c r="N2492" s="3">
        <v>2699</v>
      </c>
      <c r="O2492" s="4">
        <v>0.30299999999999999</v>
      </c>
      <c r="P2492" s="1" t="s">
        <v>2721</v>
      </c>
    </row>
    <row r="2493" spans="1:16">
      <c r="A2493" s="1" t="s">
        <v>739</v>
      </c>
      <c r="B2493" s="1">
        <v>11</v>
      </c>
      <c r="C2493" s="1">
        <v>31435191</v>
      </c>
      <c r="D2493" s="1" t="s">
        <v>1859</v>
      </c>
      <c r="E2493" s="2">
        <v>45978</v>
      </c>
      <c r="F2493" s="1" t="s">
        <v>604</v>
      </c>
      <c r="G2493" s="1" t="s">
        <v>1860</v>
      </c>
      <c r="H2493" s="1" t="s">
        <v>1861</v>
      </c>
      <c r="I2493" s="1">
        <v>1</v>
      </c>
      <c r="J2493" s="3">
        <v>8900</v>
      </c>
      <c r="K2493" s="3">
        <v>5026</v>
      </c>
      <c r="L2493" s="3">
        <v>1175</v>
      </c>
      <c r="M2493" s="4">
        <v>0.13200000000000001</v>
      </c>
      <c r="N2493" s="3">
        <v>2699</v>
      </c>
      <c r="O2493" s="4">
        <v>0.30299999999999999</v>
      </c>
      <c r="P2493" s="1" t="s">
        <v>2721</v>
      </c>
    </row>
    <row r="2494" spans="1:16">
      <c r="A2494" s="1" t="s">
        <v>739</v>
      </c>
      <c r="B2494" s="1">
        <v>11</v>
      </c>
      <c r="C2494" s="1">
        <v>31443780</v>
      </c>
      <c r="D2494" s="1" t="s">
        <v>1853</v>
      </c>
      <c r="E2494" s="2">
        <v>45978</v>
      </c>
      <c r="F2494" s="1" t="s">
        <v>604</v>
      </c>
      <c r="G2494" s="1" t="s">
        <v>1854</v>
      </c>
      <c r="H2494" s="1" t="s">
        <v>1855</v>
      </c>
      <c r="I2494" s="1">
        <v>3</v>
      </c>
      <c r="J2494" s="3">
        <v>26700</v>
      </c>
      <c r="K2494" s="3">
        <v>10078</v>
      </c>
      <c r="L2494" s="3">
        <v>3524</v>
      </c>
      <c r="M2494" s="4">
        <v>0.13200000000000001</v>
      </c>
      <c r="N2494" s="3">
        <v>13098</v>
      </c>
      <c r="O2494" s="4">
        <v>0.49099999999999999</v>
      </c>
      <c r="P2494" s="1" t="s">
        <v>2721</v>
      </c>
    </row>
    <row r="2495" spans="1:16">
      <c r="A2495" s="1" t="s">
        <v>739</v>
      </c>
      <c r="B2495" s="1">
        <v>11</v>
      </c>
      <c r="C2495" s="1">
        <v>31444298</v>
      </c>
      <c r="D2495" s="1" t="s">
        <v>1859</v>
      </c>
      <c r="E2495" s="2">
        <v>45978</v>
      </c>
      <c r="F2495" s="1" t="s">
        <v>604</v>
      </c>
      <c r="G2495" s="1" t="s">
        <v>1860</v>
      </c>
      <c r="H2495" s="1" t="s">
        <v>1861</v>
      </c>
      <c r="I2495" s="1">
        <v>2</v>
      </c>
      <c r="J2495" s="3">
        <v>17800</v>
      </c>
      <c r="K2495" s="3">
        <v>7552</v>
      </c>
      <c r="L2495" s="3">
        <v>2350</v>
      </c>
      <c r="M2495" s="4">
        <v>0.13200000000000001</v>
      </c>
      <c r="N2495" s="3">
        <v>7898</v>
      </c>
      <c r="O2495" s="4">
        <v>0.44400000000000001</v>
      </c>
      <c r="P2495" s="1" t="s">
        <v>2721</v>
      </c>
    </row>
    <row r="2496" spans="1:16">
      <c r="A2496" s="1" t="s">
        <v>602</v>
      </c>
      <c r="B2496" s="1">
        <v>11</v>
      </c>
      <c r="C2496" s="1">
        <v>4100153473322</v>
      </c>
      <c r="D2496" s="1" t="s">
        <v>1862</v>
      </c>
      <c r="E2496" s="2">
        <v>45978</v>
      </c>
      <c r="F2496" s="1" t="s">
        <v>235</v>
      </c>
      <c r="G2496" s="1" t="s">
        <v>1863</v>
      </c>
      <c r="H2496" s="1" t="s">
        <v>1864</v>
      </c>
      <c r="I2496" s="1">
        <v>1</v>
      </c>
      <c r="J2496" s="3">
        <v>14790</v>
      </c>
      <c r="K2496" s="3">
        <v>7739</v>
      </c>
      <c r="L2496" s="3">
        <v>1716</v>
      </c>
      <c r="M2496" s="4">
        <v>0.11600000000000001</v>
      </c>
      <c r="N2496" s="3">
        <v>5335</v>
      </c>
      <c r="O2496" s="4">
        <v>0.36099999999999999</v>
      </c>
      <c r="P2496" s="1" t="s">
        <v>2721</v>
      </c>
    </row>
    <row r="2497" spans="1:16">
      <c r="A2497" s="1" t="s">
        <v>649</v>
      </c>
      <c r="B2497" s="1">
        <v>11</v>
      </c>
      <c r="C2497" s="1">
        <v>25111609053741</v>
      </c>
      <c r="D2497" s="1" t="s">
        <v>758</v>
      </c>
      <c r="E2497" s="2">
        <v>45978</v>
      </c>
      <c r="F2497" s="1" t="s">
        <v>28</v>
      </c>
      <c r="G2497" s="1" t="s">
        <v>759</v>
      </c>
      <c r="H2497" s="1" t="s">
        <v>6616</v>
      </c>
      <c r="I2497" s="1">
        <v>1</v>
      </c>
      <c r="J2497" s="3">
        <v>27540</v>
      </c>
      <c r="K2497" s="3">
        <v>25795</v>
      </c>
      <c r="L2497" s="1">
        <v>0</v>
      </c>
      <c r="M2497" s="4">
        <v>0</v>
      </c>
      <c r="N2497" s="3">
        <v>1745</v>
      </c>
      <c r="O2497" s="4">
        <v>6.3E-2</v>
      </c>
      <c r="P2497" s="1" t="s">
        <v>2721</v>
      </c>
    </row>
    <row r="2498" spans="1:16">
      <c r="A2498" s="1" t="s">
        <v>649</v>
      </c>
      <c r="B2498" s="1">
        <v>11</v>
      </c>
      <c r="C2498" s="1">
        <v>25111520060733</v>
      </c>
      <c r="D2498" s="1" t="s">
        <v>6617</v>
      </c>
      <c r="E2498" s="2">
        <v>45978</v>
      </c>
      <c r="F2498" s="1" t="s">
        <v>347</v>
      </c>
      <c r="G2498" s="1" t="s">
        <v>6618</v>
      </c>
      <c r="H2498" s="1" t="s">
        <v>6619</v>
      </c>
      <c r="I2498" s="1">
        <v>1</v>
      </c>
      <c r="J2498" s="3">
        <v>24395</v>
      </c>
      <c r="K2498" s="3">
        <v>22850</v>
      </c>
      <c r="L2498" s="1">
        <v>0</v>
      </c>
      <c r="M2498" s="4">
        <v>0</v>
      </c>
      <c r="N2498" s="3">
        <v>1545</v>
      </c>
      <c r="O2498" s="4">
        <v>6.3E-2</v>
      </c>
      <c r="P2498" s="1" t="s">
        <v>2721</v>
      </c>
    </row>
    <row r="2499" spans="1:16">
      <c r="A2499" s="1" t="s">
        <v>649</v>
      </c>
      <c r="B2499" s="1">
        <v>11</v>
      </c>
      <c r="C2499" s="1">
        <v>25111520012504</v>
      </c>
      <c r="D2499" s="1" t="s">
        <v>6620</v>
      </c>
      <c r="E2499" s="2">
        <v>45978</v>
      </c>
      <c r="F2499" s="1" t="s">
        <v>689</v>
      </c>
      <c r="G2499" s="1" t="s">
        <v>6621</v>
      </c>
      <c r="H2499" s="1" t="s">
        <v>6622</v>
      </c>
      <c r="I2499" s="1">
        <v>1</v>
      </c>
      <c r="J2499" s="3">
        <v>19040</v>
      </c>
      <c r="K2499" s="3">
        <v>17822</v>
      </c>
      <c r="L2499" s="1">
        <v>0</v>
      </c>
      <c r="M2499" s="4">
        <v>0</v>
      </c>
      <c r="N2499" s="3">
        <v>1218</v>
      </c>
      <c r="O2499" s="4">
        <v>6.4000000000000001E-2</v>
      </c>
      <c r="P2499" s="1" t="s">
        <v>2721</v>
      </c>
    </row>
    <row r="2500" spans="1:16">
      <c r="A2500" s="1" t="s">
        <v>649</v>
      </c>
      <c r="B2500" s="1">
        <v>11</v>
      </c>
      <c r="C2500" s="1">
        <v>25111415414154</v>
      </c>
      <c r="D2500" s="1" t="s">
        <v>2126</v>
      </c>
      <c r="E2500" s="2">
        <v>45978</v>
      </c>
      <c r="F2500" s="1" t="s">
        <v>395</v>
      </c>
      <c r="G2500" s="1" t="s">
        <v>2127</v>
      </c>
      <c r="H2500" s="1" t="s">
        <v>6623</v>
      </c>
      <c r="I2500" s="1">
        <v>1</v>
      </c>
      <c r="J2500" s="3">
        <v>25075</v>
      </c>
      <c r="K2500" s="3">
        <v>23450</v>
      </c>
      <c r="L2500" s="1">
        <v>0</v>
      </c>
      <c r="M2500" s="4">
        <v>0</v>
      </c>
      <c r="N2500" s="3">
        <v>1625</v>
      </c>
      <c r="O2500" s="4">
        <v>6.5000000000000002E-2</v>
      </c>
      <c r="P2500" s="1" t="s">
        <v>2721</v>
      </c>
    </row>
    <row r="2501" spans="1:16">
      <c r="A2501" s="1" t="s">
        <v>649</v>
      </c>
      <c r="B2501" s="1">
        <v>11</v>
      </c>
      <c r="C2501" s="1">
        <v>25111415374441</v>
      </c>
      <c r="D2501" s="1" t="s">
        <v>2126</v>
      </c>
      <c r="E2501" s="2">
        <v>45978</v>
      </c>
      <c r="F2501" s="1" t="s">
        <v>395</v>
      </c>
      <c r="G2501" s="1" t="s">
        <v>2127</v>
      </c>
      <c r="H2501" s="1" t="s">
        <v>6623</v>
      </c>
      <c r="I2501" s="1">
        <v>1</v>
      </c>
      <c r="J2501" s="3">
        <v>25075</v>
      </c>
      <c r="K2501" s="3">
        <v>23450</v>
      </c>
      <c r="L2501" s="1">
        <v>0</v>
      </c>
      <c r="M2501" s="4">
        <v>0</v>
      </c>
      <c r="N2501" s="3">
        <v>1625</v>
      </c>
      <c r="O2501" s="4">
        <v>6.5000000000000002E-2</v>
      </c>
      <c r="P2501" s="1" t="s">
        <v>2721</v>
      </c>
    </row>
    <row r="2502" spans="1:16">
      <c r="A2502" s="1" t="s">
        <v>649</v>
      </c>
      <c r="B2502" s="1">
        <v>11</v>
      </c>
      <c r="C2502" s="1">
        <v>25111409283558</v>
      </c>
      <c r="D2502" s="1" t="s">
        <v>6624</v>
      </c>
      <c r="E2502" s="2">
        <v>45978</v>
      </c>
      <c r="F2502" s="1" t="s">
        <v>1513</v>
      </c>
      <c r="G2502" s="1" t="s">
        <v>6625</v>
      </c>
      <c r="H2502" s="1" t="s">
        <v>6626</v>
      </c>
      <c r="I2502" s="1">
        <v>1</v>
      </c>
      <c r="J2502" s="3">
        <v>22865</v>
      </c>
      <c r="K2502" s="3">
        <v>19550</v>
      </c>
      <c r="L2502" s="1">
        <v>0</v>
      </c>
      <c r="M2502" s="4">
        <v>0</v>
      </c>
      <c r="N2502" s="3">
        <v>3315</v>
      </c>
      <c r="O2502" s="4">
        <v>0.14499999999999999</v>
      </c>
      <c r="P2502" s="1" t="s">
        <v>2721</v>
      </c>
    </row>
    <row r="2503" spans="1:16">
      <c r="A2503" s="1" t="s">
        <v>632</v>
      </c>
      <c r="B2503" s="1">
        <v>11</v>
      </c>
      <c r="C2503" s="1">
        <v>162990929</v>
      </c>
      <c r="D2503" s="1" t="s">
        <v>4396</v>
      </c>
      <c r="E2503" s="2">
        <v>45978</v>
      </c>
      <c r="F2503" s="1" t="s">
        <v>48</v>
      </c>
      <c r="G2503" s="1" t="s">
        <v>4397</v>
      </c>
      <c r="I2503" s="1">
        <v>1</v>
      </c>
      <c r="J2503" s="3">
        <v>11900</v>
      </c>
      <c r="K2503" s="3">
        <v>8112</v>
      </c>
      <c r="L2503" s="3">
        <v>1261</v>
      </c>
      <c r="M2503" s="4">
        <v>0.106</v>
      </c>
      <c r="N2503" s="3">
        <v>2527</v>
      </c>
      <c r="O2503" s="4">
        <v>0.21199999999999999</v>
      </c>
      <c r="P2503" s="1" t="s">
        <v>2721</v>
      </c>
    </row>
    <row r="2504" spans="1:16">
      <c r="A2504" s="1" t="s">
        <v>632</v>
      </c>
      <c r="B2504" s="1">
        <v>11</v>
      </c>
      <c r="C2504" s="1">
        <v>162783849</v>
      </c>
      <c r="D2504" s="1" t="s">
        <v>4414</v>
      </c>
      <c r="E2504" s="2">
        <v>45978</v>
      </c>
      <c r="F2504" s="1" t="s">
        <v>48</v>
      </c>
      <c r="G2504" s="1" t="s">
        <v>4415</v>
      </c>
      <c r="I2504" s="1">
        <v>1</v>
      </c>
      <c r="J2504" s="3">
        <v>17900</v>
      </c>
      <c r="K2504" s="3">
        <v>13714</v>
      </c>
      <c r="L2504" s="3">
        <v>1897</v>
      </c>
      <c r="M2504" s="4">
        <v>0.106</v>
      </c>
      <c r="N2504" s="3">
        <v>2289</v>
      </c>
      <c r="O2504" s="4">
        <v>0.128</v>
      </c>
      <c r="P2504" s="1" t="s">
        <v>2721</v>
      </c>
    </row>
    <row r="2505" spans="1:16">
      <c r="A2505" s="1" t="s">
        <v>632</v>
      </c>
      <c r="B2505" s="1">
        <v>11</v>
      </c>
      <c r="C2505" s="1">
        <v>162626683</v>
      </c>
      <c r="D2505" s="1" t="s">
        <v>682</v>
      </c>
      <c r="E2505" s="2">
        <v>45978</v>
      </c>
      <c r="F2505" s="1" t="s">
        <v>500</v>
      </c>
      <c r="G2505" s="1" t="s">
        <v>683</v>
      </c>
      <c r="I2505" s="1">
        <v>1</v>
      </c>
      <c r="J2505" s="3">
        <v>134900</v>
      </c>
      <c r="K2505" s="3">
        <v>107500</v>
      </c>
      <c r="L2505" s="3">
        <v>14299</v>
      </c>
      <c r="M2505" s="4">
        <v>0.106</v>
      </c>
      <c r="N2505" s="3">
        <v>13100</v>
      </c>
      <c r="O2505" s="4">
        <v>9.7000000000000003E-2</v>
      </c>
      <c r="P2505" s="1" t="s">
        <v>2721</v>
      </c>
    </row>
    <row r="2506" spans="1:16">
      <c r="A2506" s="1" t="s">
        <v>1917</v>
      </c>
      <c r="B2506" s="1">
        <v>11</v>
      </c>
      <c r="C2506" s="1">
        <v>1.17071763167916E+20</v>
      </c>
      <c r="D2506" s="1" t="s">
        <v>6627</v>
      </c>
      <c r="E2506" s="2">
        <v>45978</v>
      </c>
      <c r="F2506" s="1" t="s">
        <v>500</v>
      </c>
      <c r="G2506" s="1" t="s">
        <v>5652</v>
      </c>
      <c r="H2506" s="1" t="s">
        <v>1828</v>
      </c>
      <c r="I2506" s="1">
        <v>1</v>
      </c>
      <c r="J2506" s="3">
        <v>139000</v>
      </c>
      <c r="K2506" s="3">
        <v>134700</v>
      </c>
      <c r="L2506" s="1">
        <v>0</v>
      </c>
      <c r="M2506" s="4">
        <v>0</v>
      </c>
      <c r="N2506" s="3">
        <v>4300</v>
      </c>
      <c r="O2506" s="4">
        <v>3.1E-2</v>
      </c>
      <c r="P2506" s="1" t="s">
        <v>2721</v>
      </c>
    </row>
    <row r="2507" spans="1:16">
      <c r="A2507" s="1" t="s">
        <v>1917</v>
      </c>
      <c r="B2507" s="1">
        <v>11</v>
      </c>
      <c r="C2507" s="1">
        <v>1.17061763161204E+20</v>
      </c>
      <c r="D2507" s="1" t="s">
        <v>6628</v>
      </c>
      <c r="E2507" s="2">
        <v>45978</v>
      </c>
      <c r="F2507" s="1" t="s">
        <v>347</v>
      </c>
      <c r="G2507" s="1" t="s">
        <v>6629</v>
      </c>
      <c r="H2507" s="1" t="s">
        <v>3288</v>
      </c>
      <c r="I2507" s="1">
        <v>1</v>
      </c>
      <c r="J2507" s="3">
        <v>21690</v>
      </c>
      <c r="K2507" s="3">
        <v>19229</v>
      </c>
      <c r="L2507" s="1">
        <v>0</v>
      </c>
      <c r="M2507" s="4">
        <v>0</v>
      </c>
      <c r="N2507" s="3">
        <v>2461</v>
      </c>
      <c r="O2507" s="4">
        <v>0.113</v>
      </c>
      <c r="P2507" s="1" t="s">
        <v>2721</v>
      </c>
    </row>
    <row r="2508" spans="1:16">
      <c r="A2508" s="1" t="s">
        <v>1917</v>
      </c>
      <c r="B2508" s="1">
        <v>11</v>
      </c>
      <c r="C2508" s="1">
        <v>1.1702176314924201E+20</v>
      </c>
      <c r="D2508" s="1" t="s">
        <v>3463</v>
      </c>
      <c r="E2508" s="2">
        <v>45978</v>
      </c>
      <c r="F2508" s="1" t="s">
        <v>1935</v>
      </c>
      <c r="G2508" s="1" t="s">
        <v>3464</v>
      </c>
      <c r="H2508" s="1" t="s">
        <v>2526</v>
      </c>
      <c r="I2508" s="1">
        <v>1</v>
      </c>
      <c r="J2508" s="3">
        <v>12155</v>
      </c>
      <c r="K2508" s="3">
        <v>8911</v>
      </c>
      <c r="L2508" s="1">
        <v>0</v>
      </c>
      <c r="M2508" s="4">
        <v>0</v>
      </c>
      <c r="N2508" s="3">
        <v>3244</v>
      </c>
      <c r="O2508" s="4">
        <v>0.26700000000000002</v>
      </c>
      <c r="P2508" s="1" t="s">
        <v>2721</v>
      </c>
    </row>
    <row r="2509" spans="1:16">
      <c r="A2509" s="1" t="s">
        <v>1917</v>
      </c>
      <c r="B2509" s="1">
        <v>11</v>
      </c>
      <c r="C2509" s="1">
        <v>1.16961763123828E+20</v>
      </c>
      <c r="D2509" s="1" t="s">
        <v>6630</v>
      </c>
      <c r="E2509" s="2">
        <v>45978</v>
      </c>
      <c r="F2509" s="1" t="s">
        <v>256</v>
      </c>
      <c r="G2509" s="1" t="s">
        <v>6631</v>
      </c>
      <c r="H2509" s="1" t="s">
        <v>6632</v>
      </c>
      <c r="I2509" s="1">
        <v>1</v>
      </c>
      <c r="J2509" s="3">
        <v>19044</v>
      </c>
      <c r="K2509" s="3">
        <v>16368</v>
      </c>
      <c r="L2509" s="1">
        <v>0</v>
      </c>
      <c r="M2509" s="4">
        <v>0</v>
      </c>
      <c r="N2509" s="3">
        <v>2676</v>
      </c>
      <c r="O2509" s="4">
        <v>0.14099999999999999</v>
      </c>
      <c r="P2509" s="1" t="s">
        <v>2721</v>
      </c>
    </row>
    <row r="2510" spans="1:16">
      <c r="A2510" s="1" t="s">
        <v>1917</v>
      </c>
      <c r="B2510" s="1">
        <v>11</v>
      </c>
      <c r="C2510" s="1">
        <v>1.16951763118228E+20</v>
      </c>
      <c r="D2510" s="1" t="s">
        <v>6633</v>
      </c>
      <c r="E2510" s="2">
        <v>45978</v>
      </c>
      <c r="F2510" s="1" t="s">
        <v>297</v>
      </c>
      <c r="G2510" s="1" t="s">
        <v>6634</v>
      </c>
      <c r="H2510" s="1" t="s">
        <v>6635</v>
      </c>
      <c r="I2510" s="1">
        <v>2</v>
      </c>
      <c r="J2510" s="3">
        <v>237420</v>
      </c>
      <c r="K2510" s="3">
        <v>219492</v>
      </c>
      <c r="L2510" s="1">
        <v>0</v>
      </c>
      <c r="M2510" s="4">
        <v>0</v>
      </c>
      <c r="N2510" s="3">
        <v>17928</v>
      </c>
      <c r="O2510" s="4">
        <v>7.5999999999999998E-2</v>
      </c>
      <c r="P2510" s="1" t="s">
        <v>2721</v>
      </c>
    </row>
    <row r="2511" spans="1:16">
      <c r="A2511" s="1" t="s">
        <v>1849</v>
      </c>
      <c r="B2511" s="1">
        <v>11</v>
      </c>
      <c r="C2511" s="1">
        <v>6938614</v>
      </c>
      <c r="D2511" s="1" t="s">
        <v>1971</v>
      </c>
      <c r="E2511" s="2">
        <v>45978</v>
      </c>
      <c r="F2511" s="1" t="s">
        <v>426</v>
      </c>
      <c r="G2511" s="1" t="s">
        <v>1972</v>
      </c>
      <c r="H2511" s="1" t="s">
        <v>1973</v>
      </c>
      <c r="I2511" s="1">
        <v>1</v>
      </c>
      <c r="J2511" s="3">
        <v>25300</v>
      </c>
      <c r="K2511" s="3">
        <v>20636</v>
      </c>
      <c r="L2511" s="3">
        <v>3795</v>
      </c>
      <c r="M2511" s="4">
        <v>0.15</v>
      </c>
      <c r="N2511" s="1">
        <v>869</v>
      </c>
      <c r="O2511" s="4">
        <v>3.4000000000000002E-2</v>
      </c>
      <c r="P2511" s="1" t="s">
        <v>2721</v>
      </c>
    </row>
    <row r="2512" spans="1:16">
      <c r="A2512" s="1" t="s">
        <v>1849</v>
      </c>
      <c r="B2512" s="1">
        <v>11</v>
      </c>
      <c r="C2512" s="1">
        <v>292907</v>
      </c>
      <c r="D2512" s="1" t="s">
        <v>6636</v>
      </c>
      <c r="E2512" s="2">
        <v>45978</v>
      </c>
      <c r="F2512" s="1" t="s">
        <v>524</v>
      </c>
      <c r="G2512" s="1" t="s">
        <v>6637</v>
      </c>
      <c r="H2512" s="1" t="s">
        <v>6638</v>
      </c>
      <c r="I2512" s="1">
        <v>1</v>
      </c>
      <c r="J2512" s="3">
        <v>11400</v>
      </c>
      <c r="K2512" s="3">
        <v>7600</v>
      </c>
      <c r="L2512" s="3">
        <v>1710</v>
      </c>
      <c r="M2512" s="4">
        <v>0.15</v>
      </c>
      <c r="N2512" s="3">
        <v>2090</v>
      </c>
      <c r="O2512" s="4">
        <v>0.183</v>
      </c>
      <c r="P2512" s="1" t="s">
        <v>2721</v>
      </c>
    </row>
    <row r="2513" spans="1:16">
      <c r="A2513" s="1" t="s">
        <v>1849</v>
      </c>
      <c r="B2513" s="1">
        <v>11</v>
      </c>
      <c r="C2513" s="1">
        <v>291170</v>
      </c>
      <c r="D2513" s="1" t="s">
        <v>3028</v>
      </c>
      <c r="E2513" s="2">
        <v>45978</v>
      </c>
      <c r="F2513" s="1" t="s">
        <v>1021</v>
      </c>
      <c r="G2513" s="1" t="s">
        <v>3029</v>
      </c>
      <c r="H2513" s="1" t="s">
        <v>3030</v>
      </c>
      <c r="I2513" s="1">
        <v>1</v>
      </c>
      <c r="J2513" s="3">
        <v>41300</v>
      </c>
      <c r="K2513" s="3">
        <v>28046</v>
      </c>
      <c r="L2513" s="3">
        <v>6195</v>
      </c>
      <c r="M2513" s="4">
        <v>0.15</v>
      </c>
      <c r="N2513" s="3">
        <v>7059</v>
      </c>
      <c r="O2513" s="4">
        <v>0.17100000000000001</v>
      </c>
      <c r="P2513" s="1" t="s">
        <v>2721</v>
      </c>
    </row>
    <row r="2514" spans="1:16">
      <c r="A2514" s="1" t="s">
        <v>692</v>
      </c>
      <c r="B2514" s="1">
        <v>11</v>
      </c>
      <c r="C2514" s="1" t="s">
        <v>6639</v>
      </c>
      <c r="D2514" s="1" t="s">
        <v>6640</v>
      </c>
      <c r="E2514" s="2">
        <v>45978</v>
      </c>
      <c r="F2514" s="1" t="s">
        <v>33</v>
      </c>
      <c r="G2514" s="1" t="s">
        <v>6641</v>
      </c>
      <c r="H2514" s="1" t="s">
        <v>6642</v>
      </c>
      <c r="I2514" s="1">
        <v>1</v>
      </c>
      <c r="J2514" s="3">
        <v>80580</v>
      </c>
      <c r="K2514" s="3">
        <v>59469</v>
      </c>
      <c r="L2514" s="1">
        <v>0</v>
      </c>
      <c r="M2514" s="4">
        <v>0</v>
      </c>
      <c r="N2514" s="3">
        <v>21111</v>
      </c>
      <c r="O2514" s="4">
        <v>0.26200000000000001</v>
      </c>
      <c r="P2514" s="1" t="s">
        <v>2721</v>
      </c>
    </row>
    <row r="2515" spans="1:16">
      <c r="A2515" s="1" t="s">
        <v>692</v>
      </c>
      <c r="B2515" s="1">
        <v>11</v>
      </c>
      <c r="C2515" s="1" t="s">
        <v>6643</v>
      </c>
      <c r="D2515" s="1" t="s">
        <v>6644</v>
      </c>
      <c r="E2515" s="2">
        <v>45978</v>
      </c>
      <c r="F2515" s="1" t="s">
        <v>1632</v>
      </c>
      <c r="G2515" s="1" t="s">
        <v>6645</v>
      </c>
      <c r="H2515" s="1" t="s">
        <v>6646</v>
      </c>
      <c r="I2515" s="1">
        <v>1</v>
      </c>
      <c r="J2515" s="3">
        <v>16065</v>
      </c>
      <c r="K2515" s="3">
        <v>14070</v>
      </c>
      <c r="L2515" s="1">
        <v>0</v>
      </c>
      <c r="M2515" s="4">
        <v>0</v>
      </c>
      <c r="N2515" s="3">
        <v>1995</v>
      </c>
      <c r="O2515" s="4">
        <v>0.124</v>
      </c>
      <c r="P2515" s="1" t="s">
        <v>2721</v>
      </c>
    </row>
    <row r="2516" spans="1:16">
      <c r="A2516" s="1" t="s">
        <v>692</v>
      </c>
      <c r="B2516" s="1">
        <v>11</v>
      </c>
      <c r="C2516" s="1" t="s">
        <v>6647</v>
      </c>
      <c r="D2516" s="1" t="s">
        <v>694</v>
      </c>
      <c r="E2516" s="2">
        <v>45978</v>
      </c>
      <c r="F2516" s="1" t="s">
        <v>96</v>
      </c>
      <c r="G2516" s="1" t="s">
        <v>695</v>
      </c>
      <c r="H2516" s="1" t="s">
        <v>696</v>
      </c>
      <c r="I2516" s="1">
        <v>1</v>
      </c>
      <c r="J2516" s="3">
        <v>16065</v>
      </c>
      <c r="K2516" s="3">
        <v>14584</v>
      </c>
      <c r="L2516" s="1">
        <v>0</v>
      </c>
      <c r="M2516" s="4">
        <v>0</v>
      </c>
      <c r="N2516" s="3">
        <v>1481</v>
      </c>
      <c r="O2516" s="4">
        <v>9.1999999999999998E-2</v>
      </c>
      <c r="P2516" s="1" t="s">
        <v>2721</v>
      </c>
    </row>
    <row r="2517" spans="1:16">
      <c r="A2517" s="1" t="s">
        <v>692</v>
      </c>
      <c r="B2517" s="1">
        <v>11</v>
      </c>
      <c r="C2517" s="1" t="s">
        <v>6648</v>
      </c>
      <c r="D2517" s="1" t="s">
        <v>6649</v>
      </c>
      <c r="E2517" s="2">
        <v>45978</v>
      </c>
      <c r="F2517" s="1" t="s">
        <v>302</v>
      </c>
      <c r="G2517" s="1" t="s">
        <v>6650</v>
      </c>
      <c r="H2517" s="1" t="s">
        <v>6651</v>
      </c>
      <c r="I2517" s="1">
        <v>1</v>
      </c>
      <c r="J2517" s="3">
        <v>44115</v>
      </c>
      <c r="K2517" s="3">
        <v>41422</v>
      </c>
      <c r="L2517" s="1">
        <v>0</v>
      </c>
      <c r="M2517" s="4">
        <v>0</v>
      </c>
      <c r="N2517" s="3">
        <v>2693</v>
      </c>
      <c r="O2517" s="4">
        <v>6.0999999999999999E-2</v>
      </c>
      <c r="P2517" s="1" t="s">
        <v>2721</v>
      </c>
    </row>
    <row r="2518" spans="1:16">
      <c r="A2518" s="1" t="s">
        <v>692</v>
      </c>
      <c r="B2518" s="1">
        <v>11</v>
      </c>
      <c r="C2518" s="1" t="s">
        <v>6652</v>
      </c>
      <c r="D2518" s="1" t="s">
        <v>6653</v>
      </c>
      <c r="E2518" s="2">
        <v>45978</v>
      </c>
      <c r="F2518" s="1" t="s">
        <v>33</v>
      </c>
      <c r="G2518" s="1" t="s">
        <v>6654</v>
      </c>
      <c r="H2518" s="1" t="s">
        <v>6655</v>
      </c>
      <c r="I2518" s="1">
        <v>1</v>
      </c>
      <c r="J2518" s="3">
        <v>143480</v>
      </c>
      <c r="K2518" s="3">
        <v>114061</v>
      </c>
      <c r="L2518" s="1">
        <v>0</v>
      </c>
      <c r="M2518" s="4">
        <v>0</v>
      </c>
      <c r="N2518" s="3">
        <v>29419</v>
      </c>
      <c r="O2518" s="4">
        <v>0.20499999999999999</v>
      </c>
      <c r="P2518" s="1" t="s">
        <v>2721</v>
      </c>
    </row>
    <row r="2519" spans="1:16">
      <c r="A2519" s="1" t="s">
        <v>692</v>
      </c>
      <c r="B2519" s="1">
        <v>11</v>
      </c>
      <c r="C2519" s="1" t="s">
        <v>6656</v>
      </c>
      <c r="D2519" s="1" t="s">
        <v>6657</v>
      </c>
      <c r="E2519" s="2">
        <v>45978</v>
      </c>
      <c r="F2519" s="1" t="s">
        <v>96</v>
      </c>
      <c r="G2519" s="1" t="s">
        <v>6658</v>
      </c>
      <c r="H2519" s="1" t="s">
        <v>6659</v>
      </c>
      <c r="I2519" s="1">
        <v>1</v>
      </c>
      <c r="J2519" s="3">
        <v>10880</v>
      </c>
      <c r="K2519" s="3">
        <v>10269</v>
      </c>
      <c r="L2519" s="1">
        <v>0</v>
      </c>
      <c r="M2519" s="4">
        <v>0</v>
      </c>
      <c r="N2519" s="1">
        <v>611</v>
      </c>
      <c r="O2519" s="4">
        <v>5.6000000000000001E-2</v>
      </c>
      <c r="P2519" s="1" t="s">
        <v>2721</v>
      </c>
    </row>
    <row r="2520" spans="1:16">
      <c r="A2520" s="1" t="s">
        <v>692</v>
      </c>
      <c r="B2520" s="1">
        <v>11</v>
      </c>
      <c r="C2520" s="1" t="s">
        <v>6656</v>
      </c>
      <c r="D2520" s="1" t="s">
        <v>4945</v>
      </c>
      <c r="E2520" s="2">
        <v>45978</v>
      </c>
      <c r="F2520" s="1" t="s">
        <v>96</v>
      </c>
      <c r="G2520" s="1" t="s">
        <v>4946</v>
      </c>
      <c r="H2520" s="1" t="s">
        <v>4947</v>
      </c>
      <c r="I2520" s="1">
        <v>1</v>
      </c>
      <c r="J2520" s="3">
        <v>10880</v>
      </c>
      <c r="K2520" s="3">
        <v>10269</v>
      </c>
      <c r="L2520" s="1">
        <v>0</v>
      </c>
      <c r="M2520" s="4">
        <v>0</v>
      </c>
      <c r="N2520" s="1">
        <v>611</v>
      </c>
      <c r="O2520" s="4">
        <v>5.6000000000000001E-2</v>
      </c>
      <c r="P2520" s="1" t="s">
        <v>2721</v>
      </c>
    </row>
    <row r="2521" spans="1:16">
      <c r="A2521" s="1" t="s">
        <v>692</v>
      </c>
      <c r="B2521" s="1">
        <v>11</v>
      </c>
      <c r="C2521" s="1" t="s">
        <v>6660</v>
      </c>
      <c r="D2521" s="1" t="s">
        <v>6657</v>
      </c>
      <c r="E2521" s="2">
        <v>45978</v>
      </c>
      <c r="F2521" s="1" t="s">
        <v>96</v>
      </c>
      <c r="G2521" s="1" t="s">
        <v>6658</v>
      </c>
      <c r="H2521" s="1" t="s">
        <v>6659</v>
      </c>
      <c r="I2521" s="1">
        <v>1</v>
      </c>
      <c r="J2521" s="3">
        <v>10880</v>
      </c>
      <c r="K2521" s="3">
        <v>10269</v>
      </c>
      <c r="L2521" s="1">
        <v>0</v>
      </c>
      <c r="M2521" s="4">
        <v>0</v>
      </c>
      <c r="N2521" s="1">
        <v>611</v>
      </c>
      <c r="O2521" s="4">
        <v>5.6000000000000001E-2</v>
      </c>
      <c r="P2521" s="1" t="s">
        <v>2721</v>
      </c>
    </row>
    <row r="2522" spans="1:16">
      <c r="A2522" s="1" t="s">
        <v>692</v>
      </c>
      <c r="B2522" s="1">
        <v>11</v>
      </c>
      <c r="C2522" s="1" t="s">
        <v>6661</v>
      </c>
      <c r="D2522" s="1" t="s">
        <v>694</v>
      </c>
      <c r="E2522" s="2">
        <v>45978</v>
      </c>
      <c r="F2522" s="1" t="s">
        <v>96</v>
      </c>
      <c r="G2522" s="1" t="s">
        <v>695</v>
      </c>
      <c r="H2522" s="1" t="s">
        <v>696</v>
      </c>
      <c r="I2522" s="1">
        <v>1</v>
      </c>
      <c r="J2522" s="3">
        <v>16065</v>
      </c>
      <c r="K2522" s="3">
        <v>14584</v>
      </c>
      <c r="L2522" s="1">
        <v>0</v>
      </c>
      <c r="M2522" s="4">
        <v>0</v>
      </c>
      <c r="N2522" s="3">
        <v>1481</v>
      </c>
      <c r="O2522" s="4">
        <v>9.1999999999999998E-2</v>
      </c>
      <c r="P2522" s="1" t="s">
        <v>2721</v>
      </c>
    </row>
    <row r="2523" spans="1:16">
      <c r="A2523" s="1" t="s">
        <v>692</v>
      </c>
      <c r="B2523" s="1">
        <v>11</v>
      </c>
      <c r="C2523" s="1" t="s">
        <v>6662</v>
      </c>
      <c r="D2523" s="1" t="s">
        <v>3048</v>
      </c>
      <c r="E2523" s="2">
        <v>45978</v>
      </c>
      <c r="F2523" s="1" t="s">
        <v>96</v>
      </c>
      <c r="G2523" s="1" t="s">
        <v>3049</v>
      </c>
      <c r="H2523" s="1" t="s">
        <v>3050</v>
      </c>
      <c r="I2523" s="1">
        <v>1</v>
      </c>
      <c r="J2523" s="3">
        <v>13464</v>
      </c>
      <c r="K2523" s="3">
        <v>12427</v>
      </c>
      <c r="L2523" s="1">
        <v>0</v>
      </c>
      <c r="M2523" s="4">
        <v>0</v>
      </c>
      <c r="N2523" s="3">
        <v>1037</v>
      </c>
      <c r="O2523" s="4">
        <v>7.6999999999999999E-2</v>
      </c>
      <c r="P2523" s="1" t="s">
        <v>2721</v>
      </c>
    </row>
    <row r="2524" spans="1:16">
      <c r="A2524" s="1" t="s">
        <v>2033</v>
      </c>
      <c r="B2524" s="1">
        <v>11</v>
      </c>
      <c r="C2524" s="1">
        <v>2.0251116134521101E+18</v>
      </c>
      <c r="D2524" s="1" t="s">
        <v>4463</v>
      </c>
      <c r="E2524" s="2">
        <v>45978</v>
      </c>
      <c r="F2524" s="1" t="s">
        <v>53</v>
      </c>
      <c r="G2524" s="1" t="s">
        <v>4464</v>
      </c>
      <c r="H2524" s="1" t="s">
        <v>4465</v>
      </c>
      <c r="I2524" s="1">
        <v>1</v>
      </c>
      <c r="J2524" s="3">
        <v>14365</v>
      </c>
      <c r="K2524" s="3">
        <v>13676</v>
      </c>
      <c r="L2524" s="1">
        <v>0</v>
      </c>
      <c r="M2524" s="4">
        <v>0</v>
      </c>
      <c r="N2524" s="1">
        <v>689</v>
      </c>
      <c r="O2524" s="4">
        <v>4.8000000000000001E-2</v>
      </c>
      <c r="P2524" s="1" t="s">
        <v>2721</v>
      </c>
    </row>
    <row r="2525" spans="1:16">
      <c r="A2525" s="1" t="s">
        <v>702</v>
      </c>
      <c r="B2525" s="1">
        <v>11</v>
      </c>
      <c r="C2525" s="1" t="s">
        <v>6663</v>
      </c>
      <c r="D2525" s="1" t="s">
        <v>4599</v>
      </c>
      <c r="E2525" s="2">
        <v>45978</v>
      </c>
      <c r="F2525" s="1" t="s">
        <v>554</v>
      </c>
      <c r="G2525" s="1" t="s">
        <v>4600</v>
      </c>
      <c r="H2525" s="1" t="s">
        <v>957</v>
      </c>
      <c r="I2525" s="1">
        <v>1</v>
      </c>
      <c r="J2525" s="3">
        <v>21900</v>
      </c>
      <c r="K2525" s="3">
        <v>16790</v>
      </c>
      <c r="L2525" s="1">
        <v>0</v>
      </c>
      <c r="M2525" s="4">
        <v>0</v>
      </c>
      <c r="N2525" s="3">
        <v>5110</v>
      </c>
      <c r="O2525" s="4">
        <v>0.23300000000000001</v>
      </c>
      <c r="P2525" s="1" t="s">
        <v>2721</v>
      </c>
    </row>
    <row r="2526" spans="1:16">
      <c r="A2526" s="1" t="s">
        <v>702</v>
      </c>
      <c r="B2526" s="1">
        <v>11</v>
      </c>
      <c r="C2526" s="1" t="s">
        <v>6664</v>
      </c>
      <c r="D2526" s="1" t="s">
        <v>6665</v>
      </c>
      <c r="E2526" s="2">
        <v>45978</v>
      </c>
      <c r="F2526" s="1" t="s">
        <v>126</v>
      </c>
      <c r="G2526" s="1" t="s">
        <v>6666</v>
      </c>
      <c r="H2526" s="1" t="s">
        <v>795</v>
      </c>
      <c r="I2526" s="1">
        <v>1</v>
      </c>
      <c r="J2526" s="3">
        <v>13300</v>
      </c>
      <c r="K2526" s="3">
        <v>10224</v>
      </c>
      <c r="L2526" s="1">
        <v>0</v>
      </c>
      <c r="M2526" s="4">
        <v>0</v>
      </c>
      <c r="N2526" s="3">
        <v>3076</v>
      </c>
      <c r="O2526" s="4">
        <v>0.23100000000000001</v>
      </c>
      <c r="P2526" s="1" t="s">
        <v>2721</v>
      </c>
    </row>
    <row r="2527" spans="1:16">
      <c r="A2527" s="1" t="s">
        <v>707</v>
      </c>
      <c r="B2527" s="1">
        <v>11</v>
      </c>
      <c r="C2527" s="1">
        <v>2.0251114095116198E+17</v>
      </c>
      <c r="D2527" s="1" t="s">
        <v>4458</v>
      </c>
      <c r="E2527" s="2">
        <v>45978</v>
      </c>
      <c r="F2527" s="1" t="s">
        <v>3033</v>
      </c>
      <c r="G2527" s="1" t="s">
        <v>4459</v>
      </c>
      <c r="H2527" s="1" t="s">
        <v>5321</v>
      </c>
      <c r="I2527" s="1">
        <v>1</v>
      </c>
      <c r="J2527" s="3">
        <v>32900</v>
      </c>
      <c r="K2527" s="3">
        <v>24688</v>
      </c>
      <c r="L2527" s="3">
        <v>4935</v>
      </c>
      <c r="M2527" s="4">
        <v>0.15</v>
      </c>
      <c r="N2527" s="3">
        <v>3277</v>
      </c>
      <c r="O2527" s="4">
        <v>0.1</v>
      </c>
      <c r="P2527" s="1" t="s">
        <v>2721</v>
      </c>
    </row>
    <row r="2528" spans="1:16">
      <c r="A2528" s="1" t="s">
        <v>707</v>
      </c>
      <c r="B2528" s="1">
        <v>11</v>
      </c>
      <c r="C2528" s="1">
        <v>2.0251114145950099E+17</v>
      </c>
      <c r="D2528" s="1" t="s">
        <v>2657</v>
      </c>
      <c r="E2528" s="2">
        <v>45978</v>
      </c>
      <c r="F2528" s="1" t="s">
        <v>235</v>
      </c>
      <c r="G2528" s="1" t="s">
        <v>2658</v>
      </c>
      <c r="H2528" s="1" t="s">
        <v>2659</v>
      </c>
      <c r="I2528" s="1">
        <v>1</v>
      </c>
      <c r="J2528" s="3">
        <v>29000</v>
      </c>
      <c r="K2528" s="3">
        <v>21668</v>
      </c>
      <c r="L2528" s="3">
        <v>4350</v>
      </c>
      <c r="M2528" s="4">
        <v>0.15</v>
      </c>
      <c r="N2528" s="3">
        <v>2982</v>
      </c>
      <c r="O2528" s="4">
        <v>0.10299999999999999</v>
      </c>
      <c r="P2528" s="1" t="s">
        <v>2721</v>
      </c>
    </row>
    <row r="2529" spans="1:16">
      <c r="A2529" s="1" t="s">
        <v>707</v>
      </c>
      <c r="B2529" s="1">
        <v>11</v>
      </c>
      <c r="C2529" s="1">
        <v>2.0251114214349501E+17</v>
      </c>
      <c r="D2529" s="1" t="s">
        <v>6667</v>
      </c>
      <c r="E2529" s="2">
        <v>45978</v>
      </c>
      <c r="F2529" s="1" t="s">
        <v>235</v>
      </c>
      <c r="G2529" s="1" t="s">
        <v>6668</v>
      </c>
      <c r="H2529" s="1" t="s">
        <v>6669</v>
      </c>
      <c r="I2529" s="1">
        <v>1</v>
      </c>
      <c r="J2529" s="3">
        <v>16900</v>
      </c>
      <c r="K2529" s="3">
        <v>12475</v>
      </c>
      <c r="L2529" s="3">
        <v>2535</v>
      </c>
      <c r="M2529" s="4">
        <v>0.15</v>
      </c>
      <c r="N2529" s="3">
        <v>1890</v>
      </c>
      <c r="O2529" s="4">
        <v>0.112</v>
      </c>
      <c r="P2529" s="1" t="s">
        <v>2721</v>
      </c>
    </row>
    <row r="2530" spans="1:16">
      <c r="A2530" s="1" t="s">
        <v>707</v>
      </c>
      <c r="B2530" s="1">
        <v>11</v>
      </c>
      <c r="C2530" s="1">
        <v>2.0251115092922499E+17</v>
      </c>
      <c r="D2530" s="1" t="s">
        <v>2071</v>
      </c>
      <c r="E2530" s="2">
        <v>45978</v>
      </c>
      <c r="F2530" s="1" t="s">
        <v>235</v>
      </c>
      <c r="G2530" s="1" t="s">
        <v>2072</v>
      </c>
      <c r="H2530" s="1" t="s">
        <v>2073</v>
      </c>
      <c r="I2530" s="1">
        <v>1</v>
      </c>
      <c r="J2530" s="3">
        <v>9800</v>
      </c>
      <c r="K2530" s="3">
        <v>7739</v>
      </c>
      <c r="L2530" s="3">
        <v>1470</v>
      </c>
      <c r="M2530" s="4">
        <v>0.15</v>
      </c>
      <c r="N2530" s="1">
        <v>591</v>
      </c>
      <c r="O2530" s="4">
        <v>0.06</v>
      </c>
      <c r="P2530" s="1" t="s">
        <v>2721</v>
      </c>
    </row>
    <row r="2531" spans="1:16">
      <c r="A2531" s="1" t="s">
        <v>707</v>
      </c>
      <c r="B2531" s="1">
        <v>11</v>
      </c>
      <c r="C2531" s="1">
        <v>2.02511151527312E+17</v>
      </c>
      <c r="D2531" s="1" t="s">
        <v>4414</v>
      </c>
      <c r="E2531" s="2">
        <v>45978</v>
      </c>
      <c r="F2531" s="1" t="s">
        <v>48</v>
      </c>
      <c r="G2531" s="1" t="s">
        <v>4415</v>
      </c>
      <c r="H2531" s="1" t="s">
        <v>6670</v>
      </c>
      <c r="I2531" s="1">
        <v>1</v>
      </c>
      <c r="J2531" s="3">
        <v>17900</v>
      </c>
      <c r="K2531" s="3">
        <v>13714</v>
      </c>
      <c r="L2531" s="3">
        <v>2685</v>
      </c>
      <c r="M2531" s="4">
        <v>0.15</v>
      </c>
      <c r="N2531" s="3">
        <v>1501</v>
      </c>
      <c r="O2531" s="4">
        <v>8.4000000000000005E-2</v>
      </c>
      <c r="P2531" s="1" t="s">
        <v>2721</v>
      </c>
    </row>
    <row r="2532" spans="1:16">
      <c r="A2532" s="1" t="s">
        <v>707</v>
      </c>
      <c r="B2532" s="1">
        <v>11</v>
      </c>
      <c r="C2532" s="1">
        <v>2.0251115203515901E+17</v>
      </c>
      <c r="D2532" s="1" t="s">
        <v>6671</v>
      </c>
      <c r="E2532" s="2">
        <v>45978</v>
      </c>
      <c r="F2532" s="1" t="s">
        <v>407</v>
      </c>
      <c r="G2532" s="1" t="s">
        <v>2567</v>
      </c>
      <c r="H2532" s="1" t="s">
        <v>6672</v>
      </c>
      <c r="I2532" s="1">
        <v>1</v>
      </c>
      <c r="J2532" s="3">
        <v>37800</v>
      </c>
      <c r="K2532" s="3">
        <v>24857</v>
      </c>
      <c r="L2532" s="3">
        <v>5670</v>
      </c>
      <c r="M2532" s="4">
        <v>0.15</v>
      </c>
      <c r="N2532" s="3">
        <v>7273</v>
      </c>
      <c r="O2532" s="4">
        <v>0.192</v>
      </c>
      <c r="P2532" s="1" t="s">
        <v>2721</v>
      </c>
    </row>
    <row r="2533" spans="1:16">
      <c r="A2533" s="1" t="s">
        <v>707</v>
      </c>
      <c r="B2533" s="1">
        <v>11</v>
      </c>
      <c r="C2533" s="1">
        <v>2.0251115203656899E+17</v>
      </c>
      <c r="D2533" s="1" t="s">
        <v>6673</v>
      </c>
      <c r="E2533" s="2">
        <v>45978</v>
      </c>
      <c r="F2533" s="1" t="s">
        <v>407</v>
      </c>
      <c r="G2533" s="1" t="s">
        <v>1322</v>
      </c>
      <c r="H2533" s="1" t="s">
        <v>6674</v>
      </c>
      <c r="I2533" s="1">
        <v>1</v>
      </c>
      <c r="J2533" s="3">
        <v>34800</v>
      </c>
      <c r="K2533" s="3">
        <v>22512</v>
      </c>
      <c r="L2533" s="3">
        <v>5220</v>
      </c>
      <c r="M2533" s="4">
        <v>0.15</v>
      </c>
      <c r="N2533" s="3">
        <v>7068</v>
      </c>
      <c r="O2533" s="4">
        <v>0.20300000000000001</v>
      </c>
      <c r="P2533" s="1" t="s">
        <v>2721</v>
      </c>
    </row>
    <row r="2534" spans="1:16">
      <c r="A2534" s="1" t="s">
        <v>707</v>
      </c>
      <c r="B2534" s="1">
        <v>11</v>
      </c>
      <c r="C2534" s="1">
        <v>2.02511160438188E+17</v>
      </c>
      <c r="D2534" s="1" t="s">
        <v>6667</v>
      </c>
      <c r="E2534" s="2">
        <v>45978</v>
      </c>
      <c r="F2534" s="1" t="s">
        <v>235</v>
      </c>
      <c r="G2534" s="1" t="s">
        <v>6668</v>
      </c>
      <c r="H2534" s="1" t="s">
        <v>6669</v>
      </c>
      <c r="I2534" s="1">
        <v>1</v>
      </c>
      <c r="J2534" s="3">
        <v>16900</v>
      </c>
      <c r="K2534" s="3">
        <v>12475</v>
      </c>
      <c r="L2534" s="3">
        <v>2535</v>
      </c>
      <c r="M2534" s="4">
        <v>0.15</v>
      </c>
      <c r="N2534" s="3">
        <v>1890</v>
      </c>
      <c r="O2534" s="4">
        <v>0.112</v>
      </c>
      <c r="P2534" s="1" t="s">
        <v>2721</v>
      </c>
    </row>
    <row r="2535" spans="1:16">
      <c r="A2535" s="1" t="s">
        <v>707</v>
      </c>
      <c r="B2535" s="1">
        <v>11</v>
      </c>
      <c r="C2535" s="1">
        <v>2.0251116105639501E+17</v>
      </c>
      <c r="D2535" s="1" t="s">
        <v>6675</v>
      </c>
      <c r="E2535" s="2">
        <v>45978</v>
      </c>
      <c r="F2535" s="1" t="s">
        <v>500</v>
      </c>
      <c r="G2535" s="1" t="s">
        <v>6676</v>
      </c>
      <c r="H2535" s="1" t="s">
        <v>6677</v>
      </c>
      <c r="I2535" s="1">
        <v>1</v>
      </c>
      <c r="J2535" s="3">
        <v>164000</v>
      </c>
      <c r="K2535" s="3">
        <v>111200</v>
      </c>
      <c r="L2535" s="3">
        <v>24600</v>
      </c>
      <c r="M2535" s="4">
        <v>0.15</v>
      </c>
      <c r="N2535" s="3">
        <v>28200</v>
      </c>
      <c r="O2535" s="4">
        <v>0.17199999999999999</v>
      </c>
      <c r="P2535" s="1" t="s">
        <v>2721</v>
      </c>
    </row>
    <row r="2536" spans="1:16">
      <c r="A2536" s="1" t="s">
        <v>707</v>
      </c>
      <c r="B2536" s="1">
        <v>11</v>
      </c>
      <c r="C2536" s="1">
        <v>2.0251116120031699E+17</v>
      </c>
      <c r="D2536" s="1" t="s">
        <v>6678</v>
      </c>
      <c r="E2536" s="2">
        <v>45978</v>
      </c>
      <c r="F2536" s="1" t="s">
        <v>1632</v>
      </c>
      <c r="G2536" s="1" t="s">
        <v>6679</v>
      </c>
      <c r="H2536" s="1" t="s">
        <v>6680</v>
      </c>
      <c r="I2536" s="1">
        <v>1</v>
      </c>
      <c r="J2536" s="3">
        <v>31900</v>
      </c>
      <c r="K2536" s="3">
        <v>24951</v>
      </c>
      <c r="L2536" s="3">
        <v>4785</v>
      </c>
      <c r="M2536" s="4">
        <v>0.15</v>
      </c>
      <c r="N2536" s="3">
        <v>2164</v>
      </c>
      <c r="O2536" s="4">
        <v>6.8000000000000005E-2</v>
      </c>
      <c r="P2536" s="1" t="s">
        <v>2721</v>
      </c>
    </row>
    <row r="2537" spans="1:16">
      <c r="A2537" s="1" t="s">
        <v>707</v>
      </c>
      <c r="B2537" s="1">
        <v>11</v>
      </c>
      <c r="C2537" s="1">
        <v>2.0251116131739901E+17</v>
      </c>
      <c r="D2537" s="1" t="s">
        <v>5602</v>
      </c>
      <c r="E2537" s="2">
        <v>45978</v>
      </c>
      <c r="F2537" s="1" t="s">
        <v>347</v>
      </c>
      <c r="G2537" s="1" t="s">
        <v>5603</v>
      </c>
      <c r="H2537" s="1" t="s">
        <v>6681</v>
      </c>
      <c r="I2537" s="1">
        <v>1</v>
      </c>
      <c r="J2537" s="3">
        <v>23700</v>
      </c>
      <c r="K2537" s="3">
        <v>17822</v>
      </c>
      <c r="L2537" s="3">
        <v>3555</v>
      </c>
      <c r="M2537" s="4">
        <v>0.15</v>
      </c>
      <c r="N2537" s="3">
        <v>2323</v>
      </c>
      <c r="O2537" s="4">
        <v>9.8000000000000004E-2</v>
      </c>
      <c r="P2537" s="1" t="s">
        <v>2721</v>
      </c>
    </row>
    <row r="2538" spans="1:16">
      <c r="A2538" s="1" t="s">
        <v>707</v>
      </c>
      <c r="B2538" s="1">
        <v>11</v>
      </c>
      <c r="C2538" s="1">
        <v>2.0251116223213798E+17</v>
      </c>
      <c r="D2538" s="1" t="s">
        <v>6682</v>
      </c>
      <c r="E2538" s="2">
        <v>45978</v>
      </c>
      <c r="F2538" s="1" t="s">
        <v>646</v>
      </c>
      <c r="G2538" s="1" t="s">
        <v>6683</v>
      </c>
      <c r="H2538" s="1" t="s">
        <v>6684</v>
      </c>
      <c r="I2538" s="1">
        <v>1</v>
      </c>
      <c r="J2538" s="3">
        <v>124900</v>
      </c>
      <c r="K2538" s="3">
        <v>100366</v>
      </c>
      <c r="L2538" s="3">
        <v>18735</v>
      </c>
      <c r="M2538" s="4">
        <v>0.15</v>
      </c>
      <c r="N2538" s="3">
        <v>5799</v>
      </c>
      <c r="O2538" s="4">
        <v>4.5999999999999999E-2</v>
      </c>
      <c r="P2538" s="1" t="s">
        <v>2721</v>
      </c>
    </row>
    <row r="2539" spans="1:16">
      <c r="A2539" s="1" t="s">
        <v>707</v>
      </c>
      <c r="B2539" s="1">
        <v>11</v>
      </c>
      <c r="C2539" s="1">
        <v>2.0251117080154598E+17</v>
      </c>
      <c r="D2539" s="1" t="s">
        <v>2071</v>
      </c>
      <c r="E2539" s="2">
        <v>45978</v>
      </c>
      <c r="F2539" s="1" t="s">
        <v>235</v>
      </c>
      <c r="G2539" s="1" t="s">
        <v>2072</v>
      </c>
      <c r="H2539" s="1" t="s">
        <v>2073</v>
      </c>
      <c r="I2539" s="1">
        <v>1</v>
      </c>
      <c r="J2539" s="3">
        <v>9800</v>
      </c>
      <c r="K2539" s="3">
        <v>7739</v>
      </c>
      <c r="L2539" s="3">
        <v>1470</v>
      </c>
      <c r="M2539" s="4">
        <v>0.15</v>
      </c>
      <c r="N2539" s="1">
        <v>591</v>
      </c>
      <c r="O2539" s="4">
        <v>0.06</v>
      </c>
      <c r="P2539" s="1" t="s">
        <v>2721</v>
      </c>
    </row>
    <row r="2540" spans="1:16">
      <c r="A2540" s="1" t="s">
        <v>707</v>
      </c>
      <c r="B2540" s="1">
        <v>11</v>
      </c>
      <c r="C2540" s="1">
        <v>2.02511170802436E+17</v>
      </c>
      <c r="D2540" s="1" t="s">
        <v>2071</v>
      </c>
      <c r="E2540" s="2">
        <v>45978</v>
      </c>
      <c r="F2540" s="1" t="s">
        <v>235</v>
      </c>
      <c r="G2540" s="1" t="s">
        <v>2072</v>
      </c>
      <c r="H2540" s="1" t="s">
        <v>2073</v>
      </c>
      <c r="I2540" s="1">
        <v>1</v>
      </c>
      <c r="J2540" s="3">
        <v>9800</v>
      </c>
      <c r="K2540" s="3">
        <v>7739</v>
      </c>
      <c r="L2540" s="3">
        <v>1470</v>
      </c>
      <c r="M2540" s="4">
        <v>0.15</v>
      </c>
      <c r="N2540" s="1">
        <v>591</v>
      </c>
      <c r="O2540" s="4">
        <v>0.06</v>
      </c>
      <c r="P2540" s="1" t="s">
        <v>2721</v>
      </c>
    </row>
    <row r="2541" spans="1:16">
      <c r="A2541" s="1" t="s">
        <v>707</v>
      </c>
      <c r="B2541" s="1">
        <v>11</v>
      </c>
      <c r="C2541" s="1">
        <v>2.0251117080326598E+17</v>
      </c>
      <c r="D2541" s="1" t="s">
        <v>2071</v>
      </c>
      <c r="E2541" s="2">
        <v>45978</v>
      </c>
      <c r="F2541" s="1" t="s">
        <v>235</v>
      </c>
      <c r="G2541" s="1" t="s">
        <v>2072</v>
      </c>
      <c r="H2541" s="1" t="s">
        <v>2073</v>
      </c>
      <c r="I2541" s="1">
        <v>1</v>
      </c>
      <c r="J2541" s="3">
        <v>9800</v>
      </c>
      <c r="K2541" s="3">
        <v>7739</v>
      </c>
      <c r="L2541" s="3">
        <v>1470</v>
      </c>
      <c r="M2541" s="4">
        <v>0.15</v>
      </c>
      <c r="N2541" s="1">
        <v>591</v>
      </c>
      <c r="O2541" s="4">
        <v>0.06</v>
      </c>
      <c r="P2541" s="1" t="s">
        <v>2721</v>
      </c>
    </row>
    <row r="2542" spans="1:16">
      <c r="A2542" s="1" t="s">
        <v>707</v>
      </c>
      <c r="B2542" s="1">
        <v>11</v>
      </c>
      <c r="C2542" s="1">
        <v>2.02511170804196E+17</v>
      </c>
      <c r="D2542" s="1" t="s">
        <v>2071</v>
      </c>
      <c r="E2542" s="2">
        <v>45978</v>
      </c>
      <c r="F2542" s="1" t="s">
        <v>235</v>
      </c>
      <c r="G2542" s="1" t="s">
        <v>2072</v>
      </c>
      <c r="H2542" s="1" t="s">
        <v>2073</v>
      </c>
      <c r="I2542" s="1">
        <v>1</v>
      </c>
      <c r="J2542" s="3">
        <v>9800</v>
      </c>
      <c r="K2542" s="3">
        <v>7739</v>
      </c>
      <c r="L2542" s="3">
        <v>1470</v>
      </c>
      <c r="M2542" s="4">
        <v>0.15</v>
      </c>
      <c r="N2542" s="1">
        <v>591</v>
      </c>
      <c r="O2542" s="4">
        <v>0.06</v>
      </c>
      <c r="P2542" s="1" t="s">
        <v>2721</v>
      </c>
    </row>
    <row r="2543" spans="1:16">
      <c r="A2543" s="1" t="s">
        <v>707</v>
      </c>
      <c r="B2543" s="1">
        <v>11</v>
      </c>
      <c r="C2543" s="1">
        <v>2.0251117080508602E+17</v>
      </c>
      <c r="D2543" s="1" t="s">
        <v>2071</v>
      </c>
      <c r="E2543" s="2">
        <v>45978</v>
      </c>
      <c r="F2543" s="1" t="s">
        <v>235</v>
      </c>
      <c r="G2543" s="1" t="s">
        <v>2072</v>
      </c>
      <c r="H2543" s="1" t="s">
        <v>2073</v>
      </c>
      <c r="I2543" s="1">
        <v>1</v>
      </c>
      <c r="J2543" s="3">
        <v>9800</v>
      </c>
      <c r="K2543" s="3">
        <v>7739</v>
      </c>
      <c r="L2543" s="3">
        <v>1470</v>
      </c>
      <c r="M2543" s="4">
        <v>0.15</v>
      </c>
      <c r="N2543" s="1">
        <v>591</v>
      </c>
      <c r="O2543" s="4">
        <v>0.06</v>
      </c>
      <c r="P2543" s="1" t="s">
        <v>2721</v>
      </c>
    </row>
    <row r="2544" spans="1:16">
      <c r="A2544" s="1" t="s">
        <v>707</v>
      </c>
      <c r="B2544" s="1">
        <v>11</v>
      </c>
      <c r="C2544" s="1">
        <v>2.0251117080606701E+17</v>
      </c>
      <c r="D2544" s="1" t="s">
        <v>2071</v>
      </c>
      <c r="E2544" s="2">
        <v>45978</v>
      </c>
      <c r="F2544" s="1" t="s">
        <v>235</v>
      </c>
      <c r="G2544" s="1" t="s">
        <v>2072</v>
      </c>
      <c r="H2544" s="1" t="s">
        <v>2073</v>
      </c>
      <c r="I2544" s="1">
        <v>1</v>
      </c>
      <c r="J2544" s="3">
        <v>9800</v>
      </c>
      <c r="K2544" s="3">
        <v>7739</v>
      </c>
      <c r="L2544" s="3">
        <v>1470</v>
      </c>
      <c r="M2544" s="4">
        <v>0.15</v>
      </c>
      <c r="N2544" s="1">
        <v>591</v>
      </c>
      <c r="O2544" s="4">
        <v>0.06</v>
      </c>
      <c r="P2544" s="1" t="s">
        <v>2721</v>
      </c>
    </row>
    <row r="2545" spans="1:16">
      <c r="A2545" s="1" t="s">
        <v>707</v>
      </c>
      <c r="B2545" s="1">
        <v>11</v>
      </c>
      <c r="C2545" s="1">
        <v>2.0251117080656701E+17</v>
      </c>
      <c r="D2545" s="1" t="s">
        <v>2071</v>
      </c>
      <c r="E2545" s="2">
        <v>45978</v>
      </c>
      <c r="F2545" s="1" t="s">
        <v>235</v>
      </c>
      <c r="G2545" s="1" t="s">
        <v>2072</v>
      </c>
      <c r="H2545" s="1" t="s">
        <v>2073</v>
      </c>
      <c r="I2545" s="1">
        <v>1</v>
      </c>
      <c r="J2545" s="3">
        <v>9800</v>
      </c>
      <c r="K2545" s="3">
        <v>7739</v>
      </c>
      <c r="L2545" s="3">
        <v>1470</v>
      </c>
      <c r="M2545" s="4">
        <v>0.15</v>
      </c>
      <c r="N2545" s="1">
        <v>591</v>
      </c>
      <c r="O2545" s="4">
        <v>0.06</v>
      </c>
      <c r="P2545" s="1" t="s">
        <v>2721</v>
      </c>
    </row>
    <row r="2546" spans="1:16">
      <c r="A2546" s="1" t="s">
        <v>707</v>
      </c>
      <c r="B2546" s="1">
        <v>11</v>
      </c>
      <c r="C2546" s="1">
        <v>2.0251117080751699E+17</v>
      </c>
      <c r="D2546" s="1" t="s">
        <v>2071</v>
      </c>
      <c r="E2546" s="2">
        <v>45978</v>
      </c>
      <c r="F2546" s="1" t="s">
        <v>235</v>
      </c>
      <c r="G2546" s="1" t="s">
        <v>2072</v>
      </c>
      <c r="H2546" s="1" t="s">
        <v>2073</v>
      </c>
      <c r="I2546" s="1">
        <v>1</v>
      </c>
      <c r="J2546" s="3">
        <v>9800</v>
      </c>
      <c r="K2546" s="3">
        <v>7739</v>
      </c>
      <c r="L2546" s="3">
        <v>1470</v>
      </c>
      <c r="M2546" s="4">
        <v>0.15</v>
      </c>
      <c r="N2546" s="1">
        <v>591</v>
      </c>
      <c r="O2546" s="4">
        <v>0.06</v>
      </c>
      <c r="P2546" s="1" t="s">
        <v>2721</v>
      </c>
    </row>
    <row r="2547" spans="1:16">
      <c r="A2547" s="1" t="s">
        <v>707</v>
      </c>
      <c r="B2547" s="1">
        <v>11</v>
      </c>
      <c r="C2547" s="1">
        <v>2.0251117081226701E+17</v>
      </c>
      <c r="D2547" s="1" t="s">
        <v>2071</v>
      </c>
      <c r="E2547" s="2">
        <v>45978</v>
      </c>
      <c r="F2547" s="1" t="s">
        <v>235</v>
      </c>
      <c r="G2547" s="1" t="s">
        <v>2072</v>
      </c>
      <c r="H2547" s="1" t="s">
        <v>2073</v>
      </c>
      <c r="I2547" s="1">
        <v>1</v>
      </c>
      <c r="J2547" s="3">
        <v>9800</v>
      </c>
      <c r="K2547" s="3">
        <v>7739</v>
      </c>
      <c r="L2547" s="3">
        <v>1470</v>
      </c>
      <c r="M2547" s="4">
        <v>0.15</v>
      </c>
      <c r="N2547" s="1">
        <v>591</v>
      </c>
      <c r="O2547" s="4">
        <v>0.06</v>
      </c>
      <c r="P2547" s="1" t="s">
        <v>2721</v>
      </c>
    </row>
    <row r="2548" spans="1:16">
      <c r="A2548" s="1" t="s">
        <v>707</v>
      </c>
      <c r="B2548" s="1">
        <v>11</v>
      </c>
      <c r="C2548" s="1">
        <v>2.0251117081327699E+17</v>
      </c>
      <c r="D2548" s="1" t="s">
        <v>2071</v>
      </c>
      <c r="E2548" s="2">
        <v>45978</v>
      </c>
      <c r="F2548" s="1" t="s">
        <v>235</v>
      </c>
      <c r="G2548" s="1" t="s">
        <v>2072</v>
      </c>
      <c r="H2548" s="1" t="s">
        <v>2073</v>
      </c>
      <c r="I2548" s="1">
        <v>1</v>
      </c>
      <c r="J2548" s="3">
        <v>9800</v>
      </c>
      <c r="K2548" s="3">
        <v>7739</v>
      </c>
      <c r="L2548" s="3">
        <v>1470</v>
      </c>
      <c r="M2548" s="4">
        <v>0.15</v>
      </c>
      <c r="N2548" s="1">
        <v>591</v>
      </c>
      <c r="O2548" s="4">
        <v>0.06</v>
      </c>
      <c r="P2548" s="1" t="s">
        <v>2721</v>
      </c>
    </row>
    <row r="2549" spans="1:16">
      <c r="A2549" s="1" t="s">
        <v>707</v>
      </c>
      <c r="B2549" s="1">
        <v>11</v>
      </c>
      <c r="C2549" s="1">
        <v>2.0251117081416701E+17</v>
      </c>
      <c r="D2549" s="1" t="s">
        <v>2071</v>
      </c>
      <c r="E2549" s="2">
        <v>45978</v>
      </c>
      <c r="F2549" s="1" t="s">
        <v>235</v>
      </c>
      <c r="G2549" s="1" t="s">
        <v>2072</v>
      </c>
      <c r="H2549" s="1" t="s">
        <v>2073</v>
      </c>
      <c r="I2549" s="1">
        <v>1</v>
      </c>
      <c r="J2549" s="3">
        <v>9800</v>
      </c>
      <c r="K2549" s="3">
        <v>7739</v>
      </c>
      <c r="L2549" s="3">
        <v>1470</v>
      </c>
      <c r="M2549" s="4">
        <v>0.15</v>
      </c>
      <c r="N2549" s="1">
        <v>591</v>
      </c>
      <c r="O2549" s="4">
        <v>0.06</v>
      </c>
      <c r="P2549" s="1" t="s">
        <v>2721</v>
      </c>
    </row>
    <row r="2550" spans="1:16">
      <c r="A2550" s="1" t="s">
        <v>707</v>
      </c>
      <c r="B2550" s="1">
        <v>11</v>
      </c>
      <c r="C2550" s="1">
        <v>2.0251117081502701E+17</v>
      </c>
      <c r="D2550" s="1" t="s">
        <v>2071</v>
      </c>
      <c r="E2550" s="2">
        <v>45978</v>
      </c>
      <c r="F2550" s="1" t="s">
        <v>235</v>
      </c>
      <c r="G2550" s="1" t="s">
        <v>2072</v>
      </c>
      <c r="H2550" s="1" t="s">
        <v>2073</v>
      </c>
      <c r="I2550" s="1">
        <v>1</v>
      </c>
      <c r="J2550" s="3">
        <v>9800</v>
      </c>
      <c r="K2550" s="3">
        <v>7739</v>
      </c>
      <c r="L2550" s="3">
        <v>1470</v>
      </c>
      <c r="M2550" s="4">
        <v>0.15</v>
      </c>
      <c r="N2550" s="1">
        <v>591</v>
      </c>
      <c r="O2550" s="4">
        <v>0.06</v>
      </c>
      <c r="P2550" s="1" t="s">
        <v>2721</v>
      </c>
    </row>
    <row r="2551" spans="1:16">
      <c r="A2551" s="1" t="s">
        <v>707</v>
      </c>
      <c r="B2551" s="1">
        <v>11</v>
      </c>
      <c r="C2551" s="1">
        <v>2.0251117083441798E+17</v>
      </c>
      <c r="D2551" s="1" t="s">
        <v>2071</v>
      </c>
      <c r="E2551" s="2">
        <v>45978</v>
      </c>
      <c r="F2551" s="1" t="s">
        <v>235</v>
      </c>
      <c r="G2551" s="1" t="s">
        <v>2072</v>
      </c>
      <c r="H2551" s="1" t="s">
        <v>2073</v>
      </c>
      <c r="I2551" s="1">
        <v>1</v>
      </c>
      <c r="J2551" s="3">
        <v>9800</v>
      </c>
      <c r="K2551" s="3">
        <v>7739</v>
      </c>
      <c r="L2551" s="3">
        <v>1470</v>
      </c>
      <c r="M2551" s="4">
        <v>0.15</v>
      </c>
      <c r="N2551" s="1">
        <v>591</v>
      </c>
      <c r="O2551" s="4">
        <v>0.06</v>
      </c>
      <c r="P2551" s="1" t="s">
        <v>2721</v>
      </c>
    </row>
    <row r="2552" spans="1:16">
      <c r="A2552" s="1" t="s">
        <v>707</v>
      </c>
      <c r="B2552" s="1">
        <v>11</v>
      </c>
      <c r="C2552" s="1">
        <v>2.0251117083543802E+17</v>
      </c>
      <c r="D2552" s="1" t="s">
        <v>2071</v>
      </c>
      <c r="E2552" s="2">
        <v>45978</v>
      </c>
      <c r="F2552" s="1" t="s">
        <v>235</v>
      </c>
      <c r="G2552" s="1" t="s">
        <v>2072</v>
      </c>
      <c r="H2552" s="1" t="s">
        <v>2073</v>
      </c>
      <c r="I2552" s="1">
        <v>1</v>
      </c>
      <c r="J2552" s="3">
        <v>9800</v>
      </c>
      <c r="K2552" s="3">
        <v>7739</v>
      </c>
      <c r="L2552" s="3">
        <v>1470</v>
      </c>
      <c r="M2552" s="4">
        <v>0.15</v>
      </c>
      <c r="N2552" s="1">
        <v>591</v>
      </c>
      <c r="O2552" s="4">
        <v>0.06</v>
      </c>
      <c r="P2552" s="1" t="s">
        <v>2721</v>
      </c>
    </row>
    <row r="2553" spans="1:16">
      <c r="A2553" s="1" t="s">
        <v>2082</v>
      </c>
      <c r="B2553" s="1">
        <v>11</v>
      </c>
      <c r="C2553" s="1">
        <v>2.0251114185308998E+17</v>
      </c>
      <c r="D2553" s="1" t="s">
        <v>6685</v>
      </c>
      <c r="E2553" s="2">
        <v>45978</v>
      </c>
      <c r="F2553" s="1" t="s">
        <v>200</v>
      </c>
      <c r="G2553" s="1" t="s">
        <v>6686</v>
      </c>
      <c r="H2553" s="1" t="s">
        <v>6687</v>
      </c>
      <c r="I2553" s="1">
        <v>1</v>
      </c>
      <c r="J2553" s="3">
        <v>38000</v>
      </c>
      <c r="K2553" s="3">
        <v>26733</v>
      </c>
      <c r="L2553" s="3">
        <v>5700</v>
      </c>
      <c r="M2553" s="4">
        <v>0.15</v>
      </c>
      <c r="N2553" s="3">
        <v>5567</v>
      </c>
      <c r="O2553" s="4">
        <v>0.14699999999999999</v>
      </c>
      <c r="P2553" s="1" t="s">
        <v>2721</v>
      </c>
    </row>
    <row r="2554" spans="1:16">
      <c r="A2554" s="1" t="s">
        <v>2082</v>
      </c>
      <c r="B2554" s="1">
        <v>11</v>
      </c>
      <c r="C2554" s="1">
        <v>2.0251115202435901E+17</v>
      </c>
      <c r="D2554" s="1" t="s">
        <v>6688</v>
      </c>
      <c r="E2554" s="2">
        <v>45978</v>
      </c>
      <c r="F2554" s="1" t="s">
        <v>1411</v>
      </c>
      <c r="G2554" s="1" t="s">
        <v>6689</v>
      </c>
      <c r="H2554" s="1" t="s">
        <v>6690</v>
      </c>
      <c r="I2554" s="1">
        <v>1</v>
      </c>
      <c r="J2554" s="3">
        <v>31800</v>
      </c>
      <c r="K2554" s="3">
        <v>24987</v>
      </c>
      <c r="L2554" s="3">
        <v>4770</v>
      </c>
      <c r="M2554" s="4">
        <v>0.15</v>
      </c>
      <c r="N2554" s="3">
        <v>2043</v>
      </c>
      <c r="O2554" s="4">
        <v>6.4000000000000001E-2</v>
      </c>
      <c r="P2554" s="1" t="s">
        <v>2721</v>
      </c>
    </row>
    <row r="2555" spans="1:16">
      <c r="A2555" s="1" t="s">
        <v>2082</v>
      </c>
      <c r="B2555" s="1">
        <v>11</v>
      </c>
      <c r="C2555" s="1">
        <v>2.02511162022052E+17</v>
      </c>
      <c r="D2555" s="1" t="s">
        <v>2666</v>
      </c>
      <c r="E2555" s="2">
        <v>45978</v>
      </c>
      <c r="F2555" s="1" t="s">
        <v>1200</v>
      </c>
      <c r="G2555" s="1" t="s">
        <v>2667</v>
      </c>
      <c r="H2555" s="1" t="s">
        <v>2668</v>
      </c>
      <c r="I2555" s="1">
        <v>1</v>
      </c>
      <c r="J2555" s="3">
        <v>31900</v>
      </c>
      <c r="K2555" s="3">
        <v>16978</v>
      </c>
      <c r="L2555" s="3">
        <v>4785</v>
      </c>
      <c r="M2555" s="4">
        <v>0.15</v>
      </c>
      <c r="N2555" s="3">
        <v>10137</v>
      </c>
      <c r="O2555" s="4">
        <v>0.318</v>
      </c>
      <c r="P2555" s="1" t="s">
        <v>2721</v>
      </c>
    </row>
    <row r="2556" spans="1:16">
      <c r="A2556" s="1" t="s">
        <v>2082</v>
      </c>
      <c r="B2556" s="1">
        <v>11</v>
      </c>
      <c r="C2556" s="1">
        <v>2.0251116221357699E+17</v>
      </c>
      <c r="D2556" s="1" t="s">
        <v>6691</v>
      </c>
      <c r="E2556" s="2">
        <v>45978</v>
      </c>
      <c r="F2556" s="1" t="s">
        <v>33</v>
      </c>
      <c r="G2556" s="1" t="s">
        <v>6692</v>
      </c>
      <c r="H2556" s="1" t="s">
        <v>6693</v>
      </c>
      <c r="I2556" s="1">
        <v>1</v>
      </c>
      <c r="J2556" s="3">
        <v>183000</v>
      </c>
      <c r="K2556" s="3">
        <v>148798</v>
      </c>
      <c r="L2556" s="3">
        <v>27450</v>
      </c>
      <c r="M2556" s="4">
        <v>0.15</v>
      </c>
      <c r="N2556" s="3">
        <v>6752</v>
      </c>
      <c r="O2556" s="4">
        <v>3.6999999999999998E-2</v>
      </c>
      <c r="P2556" s="1" t="s">
        <v>2721</v>
      </c>
    </row>
    <row r="2557" spans="1:16">
      <c r="A2557" s="1" t="s">
        <v>711</v>
      </c>
      <c r="B2557" s="1">
        <v>11</v>
      </c>
      <c r="C2557" s="1">
        <v>2.0251114181856899E+17</v>
      </c>
      <c r="D2557" s="1" t="s">
        <v>2184</v>
      </c>
      <c r="E2557" s="2">
        <v>45978</v>
      </c>
      <c r="F2557" s="1" t="s">
        <v>500</v>
      </c>
      <c r="G2557" s="1" t="s">
        <v>2185</v>
      </c>
      <c r="H2557" s="1" t="s">
        <v>6694</v>
      </c>
      <c r="I2557" s="1">
        <v>1</v>
      </c>
      <c r="J2557" s="3">
        <v>169900</v>
      </c>
      <c r="K2557" s="3">
        <v>98000</v>
      </c>
      <c r="L2557" s="3">
        <v>25485</v>
      </c>
      <c r="M2557" s="4">
        <v>0.15</v>
      </c>
      <c r="N2557" s="3">
        <v>46415</v>
      </c>
      <c r="O2557" s="4">
        <v>0.27300000000000002</v>
      </c>
      <c r="P2557" s="1" t="s">
        <v>2721</v>
      </c>
    </row>
    <row r="2558" spans="1:16">
      <c r="A2558" s="1" t="s">
        <v>718</v>
      </c>
      <c r="B2558" s="1">
        <v>11</v>
      </c>
      <c r="C2558" s="1">
        <v>2.0251116233311299E+17</v>
      </c>
      <c r="D2558" s="1" t="s">
        <v>1968</v>
      </c>
      <c r="E2558" s="2">
        <v>45978</v>
      </c>
      <c r="F2558" s="1" t="s">
        <v>239</v>
      </c>
      <c r="G2558" s="1" t="s">
        <v>1969</v>
      </c>
      <c r="H2558" s="1" t="s">
        <v>4501</v>
      </c>
      <c r="I2558" s="1">
        <v>1</v>
      </c>
      <c r="J2558" s="3">
        <v>16000</v>
      </c>
      <c r="K2558" s="3">
        <v>10787</v>
      </c>
      <c r="L2558" s="3">
        <v>1600</v>
      </c>
      <c r="M2558" s="4">
        <v>0.1</v>
      </c>
      <c r="N2558" s="3">
        <v>3613</v>
      </c>
      <c r="O2558" s="4">
        <v>0.22600000000000001</v>
      </c>
      <c r="P2558" s="1" t="s">
        <v>2721</v>
      </c>
    </row>
    <row r="2559" spans="1:16">
      <c r="A2559" s="1" t="s">
        <v>718</v>
      </c>
      <c r="B2559" s="1">
        <v>11</v>
      </c>
      <c r="C2559" s="1">
        <v>2.0251116222454499E+17</v>
      </c>
      <c r="D2559" s="1" t="s">
        <v>6695</v>
      </c>
      <c r="E2559" s="2">
        <v>45978</v>
      </c>
      <c r="F2559" s="1" t="s">
        <v>2173</v>
      </c>
      <c r="G2559" s="1" t="s">
        <v>6696</v>
      </c>
      <c r="H2559" s="1" t="s">
        <v>6697</v>
      </c>
      <c r="I2559" s="1">
        <v>1</v>
      </c>
      <c r="J2559" s="3">
        <v>28000</v>
      </c>
      <c r="K2559" s="3">
        <v>19417</v>
      </c>
      <c r="L2559" s="3">
        <v>2800</v>
      </c>
      <c r="M2559" s="4">
        <v>0.1</v>
      </c>
      <c r="N2559" s="3">
        <v>5783</v>
      </c>
      <c r="O2559" s="4">
        <v>0.20699999999999999</v>
      </c>
      <c r="P2559" s="1" t="s">
        <v>2721</v>
      </c>
    </row>
    <row r="2560" spans="1:16">
      <c r="A2560" s="1" t="s">
        <v>718</v>
      </c>
      <c r="B2560" s="1">
        <v>11</v>
      </c>
      <c r="C2560" s="1">
        <v>2.02511161133288E+17</v>
      </c>
      <c r="D2560" s="1" t="s">
        <v>2089</v>
      </c>
      <c r="E2560" s="2">
        <v>45978</v>
      </c>
      <c r="F2560" s="1" t="s">
        <v>1935</v>
      </c>
      <c r="G2560" s="1" t="s">
        <v>2090</v>
      </c>
      <c r="H2560" s="1" t="s">
        <v>3079</v>
      </c>
      <c r="I2560" s="1">
        <v>1</v>
      </c>
      <c r="J2560" s="3">
        <v>24000</v>
      </c>
      <c r="K2560" s="3">
        <v>16884</v>
      </c>
      <c r="L2560" s="3">
        <v>2400</v>
      </c>
      <c r="M2560" s="4">
        <v>0.1</v>
      </c>
      <c r="N2560" s="3">
        <v>4716</v>
      </c>
      <c r="O2560" s="4">
        <v>0.19700000000000001</v>
      </c>
      <c r="P2560" s="1" t="s">
        <v>2721</v>
      </c>
    </row>
    <row r="2561" spans="1:16">
      <c r="A2561" s="1" t="s">
        <v>718</v>
      </c>
      <c r="B2561" s="1">
        <v>11</v>
      </c>
      <c r="C2561" s="1">
        <v>2.0251115151251299E+17</v>
      </c>
      <c r="D2561" s="1" t="s">
        <v>6698</v>
      </c>
      <c r="E2561" s="2">
        <v>45978</v>
      </c>
      <c r="F2561" s="1" t="s">
        <v>483</v>
      </c>
      <c r="G2561" s="1" t="s">
        <v>6699</v>
      </c>
      <c r="H2561" s="1" t="s">
        <v>6700</v>
      </c>
      <c r="I2561" s="1">
        <v>1</v>
      </c>
      <c r="J2561" s="3">
        <v>37000</v>
      </c>
      <c r="K2561" s="3">
        <v>26170</v>
      </c>
      <c r="L2561" s="3">
        <v>3700</v>
      </c>
      <c r="M2561" s="4">
        <v>0.1</v>
      </c>
      <c r="N2561" s="3">
        <v>7130</v>
      </c>
      <c r="O2561" s="4">
        <v>0.193</v>
      </c>
      <c r="P2561" s="1" t="s">
        <v>2721</v>
      </c>
    </row>
    <row r="2562" spans="1:16">
      <c r="A2562" s="1" t="s">
        <v>718</v>
      </c>
      <c r="B2562" s="1">
        <v>11</v>
      </c>
      <c r="C2562" s="1">
        <v>2.0251114184238899E+17</v>
      </c>
      <c r="D2562" s="1" t="s">
        <v>2089</v>
      </c>
      <c r="E2562" s="2">
        <v>45978</v>
      </c>
      <c r="F2562" s="1" t="s">
        <v>1935</v>
      </c>
      <c r="G2562" s="1" t="s">
        <v>2090</v>
      </c>
      <c r="H2562" s="1" t="s">
        <v>3079</v>
      </c>
      <c r="I2562" s="1">
        <v>1</v>
      </c>
      <c r="J2562" s="3">
        <v>24000</v>
      </c>
      <c r="K2562" s="3">
        <v>16884</v>
      </c>
      <c r="L2562" s="3">
        <v>2400</v>
      </c>
      <c r="M2562" s="4">
        <v>0.1</v>
      </c>
      <c r="N2562" s="3">
        <v>4716</v>
      </c>
      <c r="O2562" s="4">
        <v>0.19700000000000001</v>
      </c>
      <c r="P2562" s="1" t="s">
        <v>2721</v>
      </c>
    </row>
    <row r="2563" spans="1:16">
      <c r="A2563" s="1" t="s">
        <v>718</v>
      </c>
      <c r="B2563" s="1">
        <v>11</v>
      </c>
      <c r="C2563" s="1">
        <v>2.0251114145147901E+17</v>
      </c>
      <c r="D2563" s="1" t="s">
        <v>6701</v>
      </c>
      <c r="E2563" s="2">
        <v>45978</v>
      </c>
      <c r="F2563" s="1" t="s">
        <v>3509</v>
      </c>
      <c r="G2563" s="1" t="s">
        <v>6702</v>
      </c>
      <c r="H2563" s="1" t="s">
        <v>6703</v>
      </c>
      <c r="I2563" s="1">
        <v>1</v>
      </c>
      <c r="J2563" s="3">
        <v>26900</v>
      </c>
      <c r="K2563" s="3">
        <v>19604</v>
      </c>
      <c r="L2563" s="3">
        <v>2690</v>
      </c>
      <c r="M2563" s="4">
        <v>0.1</v>
      </c>
      <c r="N2563" s="3">
        <v>4606</v>
      </c>
      <c r="O2563" s="4">
        <v>0.17100000000000001</v>
      </c>
      <c r="P2563" s="1" t="s">
        <v>2721</v>
      </c>
    </row>
    <row r="2564" spans="1:16">
      <c r="A2564" s="1" t="s">
        <v>722</v>
      </c>
      <c r="B2564" s="1">
        <v>11</v>
      </c>
      <c r="C2564" s="1" t="s">
        <v>6704</v>
      </c>
      <c r="D2564" s="1" t="s">
        <v>6705</v>
      </c>
      <c r="E2564" s="2">
        <v>45978</v>
      </c>
      <c r="F2564" s="1" t="s">
        <v>347</v>
      </c>
      <c r="G2564" s="1" t="s">
        <v>6706</v>
      </c>
      <c r="H2564" s="1" t="s">
        <v>6707</v>
      </c>
      <c r="I2564" s="1">
        <v>1</v>
      </c>
      <c r="J2564" s="3">
        <v>24560</v>
      </c>
      <c r="K2564" s="3">
        <v>23412</v>
      </c>
      <c r="L2564" s="1">
        <v>0</v>
      </c>
      <c r="M2564" s="4">
        <v>0</v>
      </c>
      <c r="N2564" s="3">
        <v>1148</v>
      </c>
      <c r="O2564" s="4">
        <v>4.7E-2</v>
      </c>
      <c r="P2564" s="1" t="s">
        <v>2721</v>
      </c>
    </row>
    <row r="2565" spans="1:16">
      <c r="A2565" s="1" t="s">
        <v>722</v>
      </c>
      <c r="B2565" s="1">
        <v>11</v>
      </c>
      <c r="C2565" s="1" t="s">
        <v>6708</v>
      </c>
      <c r="D2565" s="1" t="s">
        <v>6709</v>
      </c>
      <c r="E2565" s="2">
        <v>45978</v>
      </c>
      <c r="F2565" s="1" t="s">
        <v>347</v>
      </c>
      <c r="G2565" s="1" t="s">
        <v>6710</v>
      </c>
      <c r="H2565" s="1" t="s">
        <v>6711</v>
      </c>
      <c r="I2565" s="1">
        <v>1</v>
      </c>
      <c r="J2565" s="3">
        <v>21280</v>
      </c>
      <c r="K2565" s="3">
        <v>19867</v>
      </c>
      <c r="L2565" s="1">
        <v>0</v>
      </c>
      <c r="M2565" s="4">
        <v>0</v>
      </c>
      <c r="N2565" s="3">
        <v>1413</v>
      </c>
      <c r="O2565" s="4">
        <v>6.6000000000000003E-2</v>
      </c>
      <c r="P2565" s="1" t="s">
        <v>2721</v>
      </c>
    </row>
    <row r="2566" spans="1:16">
      <c r="A2566" s="1" t="s">
        <v>722</v>
      </c>
      <c r="B2566" s="1">
        <v>11</v>
      </c>
      <c r="C2566" s="1" t="s">
        <v>6712</v>
      </c>
      <c r="D2566" s="1" t="s">
        <v>728</v>
      </c>
      <c r="E2566" s="2">
        <v>45978</v>
      </c>
      <c r="F2566" s="1" t="s">
        <v>534</v>
      </c>
      <c r="G2566" s="1" t="s">
        <v>729</v>
      </c>
      <c r="H2566" s="1" t="s">
        <v>730</v>
      </c>
      <c r="I2566" s="1">
        <v>1</v>
      </c>
      <c r="J2566" s="3">
        <v>32925</v>
      </c>
      <c r="K2566" s="3">
        <v>31500</v>
      </c>
      <c r="L2566" s="1">
        <v>0</v>
      </c>
      <c r="M2566" s="4">
        <v>0</v>
      </c>
      <c r="N2566" s="3">
        <v>1425</v>
      </c>
      <c r="O2566" s="4">
        <v>4.2999999999999997E-2</v>
      </c>
      <c r="P2566" s="1" t="s">
        <v>2721</v>
      </c>
    </row>
    <row r="2567" spans="1:16">
      <c r="A2567" s="1" t="s">
        <v>739</v>
      </c>
      <c r="B2567" s="1">
        <v>11</v>
      </c>
      <c r="C2567" s="1">
        <v>31432176</v>
      </c>
      <c r="D2567" s="1" t="s">
        <v>2132</v>
      </c>
      <c r="E2567" s="2">
        <v>45978</v>
      </c>
      <c r="F2567" s="1" t="s">
        <v>426</v>
      </c>
      <c r="G2567" s="1" t="s">
        <v>2133</v>
      </c>
      <c r="H2567" s="1" t="s">
        <v>428</v>
      </c>
      <c r="I2567" s="1">
        <v>1</v>
      </c>
      <c r="J2567" s="3">
        <v>31000</v>
      </c>
      <c r="K2567" s="3">
        <v>22512</v>
      </c>
      <c r="L2567" s="3">
        <v>4092</v>
      </c>
      <c r="M2567" s="4">
        <v>0.13200000000000001</v>
      </c>
      <c r="N2567" s="3">
        <v>4396</v>
      </c>
      <c r="O2567" s="4">
        <v>0.14199999999999999</v>
      </c>
      <c r="P2567" s="1" t="s">
        <v>2721</v>
      </c>
    </row>
    <row r="2568" spans="1:16">
      <c r="A2568" s="1" t="s">
        <v>739</v>
      </c>
      <c r="B2568" s="1">
        <v>11</v>
      </c>
      <c r="C2568" s="1">
        <v>31433473</v>
      </c>
      <c r="D2568" s="1" t="s">
        <v>5647</v>
      </c>
      <c r="E2568" s="2">
        <v>45978</v>
      </c>
      <c r="F2568" s="1" t="s">
        <v>4309</v>
      </c>
      <c r="G2568" s="1" t="s">
        <v>5648</v>
      </c>
      <c r="H2568" s="1" t="s">
        <v>5649</v>
      </c>
      <c r="I2568" s="1">
        <v>1</v>
      </c>
      <c r="J2568" s="3">
        <v>11500</v>
      </c>
      <c r="K2568" s="3">
        <v>8817</v>
      </c>
      <c r="L2568" s="3">
        <v>1518</v>
      </c>
      <c r="M2568" s="4">
        <v>0.13200000000000001</v>
      </c>
      <c r="N2568" s="3">
        <v>1165</v>
      </c>
      <c r="O2568" s="4">
        <v>0.10100000000000001</v>
      </c>
      <c r="P2568" s="1" t="s">
        <v>2721</v>
      </c>
    </row>
    <row r="2569" spans="1:16">
      <c r="A2569" s="1" t="s">
        <v>739</v>
      </c>
      <c r="B2569" s="1">
        <v>11</v>
      </c>
      <c r="C2569" s="1">
        <v>31433835</v>
      </c>
      <c r="D2569" s="1" t="s">
        <v>6713</v>
      </c>
      <c r="E2569" s="2">
        <v>45978</v>
      </c>
      <c r="F2569" s="1" t="s">
        <v>483</v>
      </c>
      <c r="G2569" s="1" t="s">
        <v>6714</v>
      </c>
      <c r="H2569" s="1" t="s">
        <v>485</v>
      </c>
      <c r="I2569" s="1">
        <v>1</v>
      </c>
      <c r="J2569" s="3">
        <v>19800</v>
      </c>
      <c r="K2569" s="3">
        <v>15745</v>
      </c>
      <c r="L2569" s="3">
        <v>2614</v>
      </c>
      <c r="M2569" s="4">
        <v>0.13200000000000001</v>
      </c>
      <c r="N2569" s="3">
        <v>1441</v>
      </c>
      <c r="O2569" s="4">
        <v>7.2999999999999995E-2</v>
      </c>
      <c r="P2569" s="1" t="s">
        <v>2721</v>
      </c>
    </row>
    <row r="2570" spans="1:16">
      <c r="A2570" s="1" t="s">
        <v>739</v>
      </c>
      <c r="B2570" s="1">
        <v>11</v>
      </c>
      <c r="C2570" s="1">
        <v>31434898</v>
      </c>
      <c r="D2570" s="1" t="s">
        <v>2089</v>
      </c>
      <c r="E2570" s="2">
        <v>45978</v>
      </c>
      <c r="F2570" s="1" t="s">
        <v>1935</v>
      </c>
      <c r="G2570" s="1" t="s">
        <v>2090</v>
      </c>
      <c r="H2570" s="1" t="s">
        <v>2138</v>
      </c>
      <c r="I2570" s="1">
        <v>1</v>
      </c>
      <c r="J2570" s="3">
        <v>20900</v>
      </c>
      <c r="K2570" s="3">
        <v>16884</v>
      </c>
      <c r="L2570" s="3">
        <v>2759</v>
      </c>
      <c r="M2570" s="4">
        <v>0.13200000000000001</v>
      </c>
      <c r="N2570" s="3">
        <v>1257</v>
      </c>
      <c r="O2570" s="4">
        <v>0.06</v>
      </c>
      <c r="P2570" s="1" t="s">
        <v>2721</v>
      </c>
    </row>
    <row r="2571" spans="1:16">
      <c r="A2571" s="1" t="s">
        <v>739</v>
      </c>
      <c r="B2571" s="1">
        <v>11</v>
      </c>
      <c r="C2571" s="1">
        <v>31435705</v>
      </c>
      <c r="D2571" s="1" t="s">
        <v>6715</v>
      </c>
      <c r="E2571" s="2">
        <v>45978</v>
      </c>
      <c r="F2571" s="1" t="s">
        <v>1075</v>
      </c>
      <c r="G2571" s="1" t="s">
        <v>6716</v>
      </c>
      <c r="H2571" s="1" t="s">
        <v>6717</v>
      </c>
      <c r="I2571" s="1">
        <v>2</v>
      </c>
      <c r="J2571" s="3">
        <v>48000</v>
      </c>
      <c r="K2571" s="3">
        <v>38458</v>
      </c>
      <c r="L2571" s="3">
        <v>6336</v>
      </c>
      <c r="M2571" s="4">
        <v>0.13200000000000001</v>
      </c>
      <c r="N2571" s="3">
        <v>3206</v>
      </c>
      <c r="O2571" s="4">
        <v>6.7000000000000004E-2</v>
      </c>
      <c r="P2571" s="1" t="s">
        <v>2721</v>
      </c>
    </row>
    <row r="2572" spans="1:16">
      <c r="A2572" s="1" t="s">
        <v>739</v>
      </c>
      <c r="B2572" s="1">
        <v>11</v>
      </c>
      <c r="C2572" s="1">
        <v>31435866</v>
      </c>
      <c r="D2572" s="1" t="s">
        <v>6718</v>
      </c>
      <c r="E2572" s="2">
        <v>45978</v>
      </c>
      <c r="F2572" s="1" t="s">
        <v>91</v>
      </c>
      <c r="G2572" s="1" t="s">
        <v>6719</v>
      </c>
      <c r="H2572" s="1" t="s">
        <v>6720</v>
      </c>
      <c r="I2572" s="1">
        <v>1</v>
      </c>
      <c r="J2572" s="3">
        <v>19900</v>
      </c>
      <c r="K2572" s="3">
        <v>12907</v>
      </c>
      <c r="L2572" s="3">
        <v>2627</v>
      </c>
      <c r="M2572" s="4">
        <v>0.13200000000000001</v>
      </c>
      <c r="N2572" s="3">
        <v>4366</v>
      </c>
      <c r="O2572" s="4">
        <v>0.219</v>
      </c>
      <c r="P2572" s="1" t="s">
        <v>2721</v>
      </c>
    </row>
    <row r="2573" spans="1:16">
      <c r="A2573" s="1" t="s">
        <v>739</v>
      </c>
      <c r="B2573" s="1">
        <v>11</v>
      </c>
      <c r="C2573" s="1">
        <v>31436025</v>
      </c>
      <c r="D2573" s="1" t="s">
        <v>6721</v>
      </c>
      <c r="E2573" s="2">
        <v>45978</v>
      </c>
      <c r="F2573" s="1" t="s">
        <v>18</v>
      </c>
      <c r="G2573" s="1" t="s">
        <v>6722</v>
      </c>
      <c r="H2573" s="1" t="s">
        <v>2787</v>
      </c>
      <c r="I2573" s="1">
        <v>1</v>
      </c>
      <c r="J2573" s="3">
        <v>10500</v>
      </c>
      <c r="K2573" s="3">
        <v>8011</v>
      </c>
      <c r="L2573" s="3">
        <v>1386</v>
      </c>
      <c r="M2573" s="4">
        <v>0.13200000000000001</v>
      </c>
      <c r="N2573" s="3">
        <v>1103</v>
      </c>
      <c r="O2573" s="4">
        <v>0.105</v>
      </c>
      <c r="P2573" s="1" t="s">
        <v>2721</v>
      </c>
    </row>
    <row r="2574" spans="1:16">
      <c r="A2574" s="1" t="s">
        <v>739</v>
      </c>
      <c r="B2574" s="1">
        <v>11</v>
      </c>
      <c r="C2574" s="1">
        <v>31439160</v>
      </c>
      <c r="D2574" s="1" t="s">
        <v>6723</v>
      </c>
      <c r="E2574" s="2">
        <v>45978</v>
      </c>
      <c r="F2574" s="1" t="s">
        <v>347</v>
      </c>
      <c r="G2574" s="1" t="s">
        <v>6724</v>
      </c>
      <c r="H2574" s="1" t="s">
        <v>6725</v>
      </c>
      <c r="I2574" s="1">
        <v>1</v>
      </c>
      <c r="J2574" s="3">
        <v>29500</v>
      </c>
      <c r="K2574" s="3">
        <v>22737</v>
      </c>
      <c r="L2574" s="3">
        <v>3894</v>
      </c>
      <c r="M2574" s="4">
        <v>0.13200000000000001</v>
      </c>
      <c r="N2574" s="3">
        <v>2869</v>
      </c>
      <c r="O2574" s="4">
        <v>9.7000000000000003E-2</v>
      </c>
      <c r="P2574" s="1" t="s">
        <v>2721</v>
      </c>
    </row>
    <row r="2575" spans="1:16">
      <c r="A2575" s="1" t="s">
        <v>739</v>
      </c>
      <c r="B2575" s="1">
        <v>11</v>
      </c>
      <c r="C2575" s="1">
        <v>31439912</v>
      </c>
      <c r="D2575" s="1" t="s">
        <v>6726</v>
      </c>
      <c r="E2575" s="2">
        <v>45978</v>
      </c>
      <c r="F2575" s="1" t="s">
        <v>38</v>
      </c>
      <c r="G2575" s="1" t="s">
        <v>6727</v>
      </c>
      <c r="H2575" s="1" t="s">
        <v>1554</v>
      </c>
      <c r="I2575" s="1">
        <v>1</v>
      </c>
      <c r="J2575" s="3">
        <v>99000</v>
      </c>
      <c r="K2575" s="3">
        <v>76447</v>
      </c>
      <c r="L2575" s="3">
        <v>13068</v>
      </c>
      <c r="M2575" s="4">
        <v>0.13200000000000001</v>
      </c>
      <c r="N2575" s="3">
        <v>9485</v>
      </c>
      <c r="O2575" s="4">
        <v>9.6000000000000002E-2</v>
      </c>
      <c r="P2575" s="1" t="s">
        <v>2721</v>
      </c>
    </row>
    <row r="2576" spans="1:16">
      <c r="A2576" s="1" t="s">
        <v>739</v>
      </c>
      <c r="B2576" s="1">
        <v>11</v>
      </c>
      <c r="C2576" s="1">
        <v>31441726</v>
      </c>
      <c r="D2576" s="1" t="s">
        <v>6728</v>
      </c>
      <c r="E2576" s="2">
        <v>45978</v>
      </c>
      <c r="F2576" s="1" t="s">
        <v>256</v>
      </c>
      <c r="G2576" s="1" t="s">
        <v>6729</v>
      </c>
      <c r="H2576" s="1" t="s">
        <v>6730</v>
      </c>
      <c r="I2576" s="1">
        <v>1</v>
      </c>
      <c r="J2576" s="3">
        <v>36450</v>
      </c>
      <c r="K2576" s="3">
        <v>30344</v>
      </c>
      <c r="L2576" s="3">
        <v>4811</v>
      </c>
      <c r="M2576" s="4">
        <v>0.13200000000000001</v>
      </c>
      <c r="N2576" s="3">
        <v>1295</v>
      </c>
      <c r="O2576" s="4">
        <v>3.5999999999999997E-2</v>
      </c>
      <c r="P2576" s="1" t="s">
        <v>2721</v>
      </c>
    </row>
    <row r="2577" spans="1:16">
      <c r="A2577" s="1" t="s">
        <v>739</v>
      </c>
      <c r="B2577" s="1">
        <v>11</v>
      </c>
      <c r="C2577" s="1">
        <v>31442562</v>
      </c>
      <c r="D2577" s="1" t="s">
        <v>6731</v>
      </c>
      <c r="E2577" s="2">
        <v>45978</v>
      </c>
      <c r="F2577" s="1" t="s">
        <v>58</v>
      </c>
      <c r="G2577" s="1" t="s">
        <v>6732</v>
      </c>
      <c r="H2577" s="1" t="s">
        <v>4089</v>
      </c>
      <c r="I2577" s="1">
        <v>1</v>
      </c>
      <c r="J2577" s="3">
        <v>20500</v>
      </c>
      <c r="K2577" s="3">
        <v>15000</v>
      </c>
      <c r="L2577" s="3">
        <v>2706</v>
      </c>
      <c r="M2577" s="4">
        <v>0.13200000000000001</v>
      </c>
      <c r="N2577" s="3">
        <v>2794</v>
      </c>
      <c r="O2577" s="4">
        <v>0.13600000000000001</v>
      </c>
      <c r="P2577" s="1" t="s">
        <v>2721</v>
      </c>
    </row>
    <row r="2578" spans="1:16">
      <c r="A2578" s="1" t="s">
        <v>739</v>
      </c>
      <c r="B2578" s="1">
        <v>11</v>
      </c>
      <c r="C2578" s="1">
        <v>31442562</v>
      </c>
      <c r="D2578" s="1" t="s">
        <v>6731</v>
      </c>
      <c r="E2578" s="2">
        <v>45978</v>
      </c>
      <c r="F2578" s="1" t="s">
        <v>58</v>
      </c>
      <c r="G2578" s="1" t="s">
        <v>6732</v>
      </c>
      <c r="H2578" s="1" t="s">
        <v>2817</v>
      </c>
      <c r="I2578" s="1">
        <v>2</v>
      </c>
      <c r="J2578" s="3">
        <v>41000</v>
      </c>
      <c r="K2578" s="3">
        <v>30000</v>
      </c>
      <c r="L2578" s="3">
        <v>5412</v>
      </c>
      <c r="M2578" s="4">
        <v>0.13200000000000001</v>
      </c>
      <c r="N2578" s="3">
        <v>5588</v>
      </c>
      <c r="O2578" s="4">
        <v>0.13600000000000001</v>
      </c>
      <c r="P2578" s="1" t="s">
        <v>2721</v>
      </c>
    </row>
    <row r="2579" spans="1:16">
      <c r="A2579" s="1" t="s">
        <v>739</v>
      </c>
      <c r="B2579" s="1">
        <v>11</v>
      </c>
      <c r="C2579" s="1">
        <v>31445143</v>
      </c>
      <c r="D2579" s="1" t="s">
        <v>2083</v>
      </c>
      <c r="E2579" s="2">
        <v>45978</v>
      </c>
      <c r="F2579" s="1" t="s">
        <v>426</v>
      </c>
      <c r="G2579" s="1" t="s">
        <v>2084</v>
      </c>
      <c r="H2579" s="1" t="s">
        <v>1568</v>
      </c>
      <c r="I2579" s="1">
        <v>1</v>
      </c>
      <c r="J2579" s="3">
        <v>32000</v>
      </c>
      <c r="K2579" s="3">
        <v>23450</v>
      </c>
      <c r="L2579" s="3">
        <v>4224</v>
      </c>
      <c r="M2579" s="4">
        <v>0.13200000000000001</v>
      </c>
      <c r="N2579" s="3">
        <v>4326</v>
      </c>
      <c r="O2579" s="4">
        <v>0.13500000000000001</v>
      </c>
      <c r="P2579" s="1" t="s">
        <v>2721</v>
      </c>
    </row>
    <row r="2580" spans="1:16">
      <c r="A2580" s="1" t="s">
        <v>756</v>
      </c>
      <c r="B2580" s="1">
        <v>11</v>
      </c>
      <c r="C2580" s="1" t="s">
        <v>6733</v>
      </c>
      <c r="D2580" s="1" t="s">
        <v>4422</v>
      </c>
      <c r="E2580" s="2">
        <v>45978</v>
      </c>
      <c r="F2580" s="1" t="s">
        <v>3343</v>
      </c>
      <c r="G2580" s="1" t="s">
        <v>4423</v>
      </c>
      <c r="H2580" s="1" t="s">
        <v>6734</v>
      </c>
      <c r="I2580" s="1">
        <v>1</v>
      </c>
      <c r="J2580" s="3">
        <v>30800</v>
      </c>
      <c r="K2580" s="3">
        <v>25701</v>
      </c>
      <c r="L2580" s="1">
        <v>0</v>
      </c>
      <c r="M2580" s="4">
        <v>0</v>
      </c>
      <c r="N2580" s="3">
        <v>5099</v>
      </c>
      <c r="O2580" s="4">
        <v>0.16600000000000001</v>
      </c>
      <c r="P2580" s="1" t="s">
        <v>2723</v>
      </c>
    </row>
    <row r="2581" spans="1:16">
      <c r="A2581" s="1" t="s">
        <v>756</v>
      </c>
      <c r="B2581" s="1">
        <v>11</v>
      </c>
      <c r="C2581" s="1" t="s">
        <v>6735</v>
      </c>
      <c r="D2581" s="1" t="s">
        <v>758</v>
      </c>
      <c r="E2581" s="2">
        <v>45978</v>
      </c>
      <c r="F2581" s="1" t="s">
        <v>28</v>
      </c>
      <c r="G2581" s="1" t="s">
        <v>759</v>
      </c>
      <c r="H2581" s="1" t="s">
        <v>760</v>
      </c>
      <c r="I2581" s="1">
        <v>1</v>
      </c>
      <c r="J2581" s="3">
        <v>28950</v>
      </c>
      <c r="K2581" s="3">
        <v>25795</v>
      </c>
      <c r="L2581" s="1">
        <v>0</v>
      </c>
      <c r="M2581" s="4">
        <v>0</v>
      </c>
      <c r="N2581" s="3">
        <v>3155</v>
      </c>
      <c r="O2581" s="4">
        <v>0.109</v>
      </c>
      <c r="P2581" s="1" t="s">
        <v>2723</v>
      </c>
    </row>
    <row r="2582" spans="1:16">
      <c r="A2582" s="1" t="s">
        <v>756</v>
      </c>
      <c r="B2582" s="1">
        <v>11</v>
      </c>
      <c r="C2582" s="1" t="s">
        <v>6736</v>
      </c>
      <c r="D2582" s="1" t="s">
        <v>6737</v>
      </c>
      <c r="E2582" s="2">
        <v>45978</v>
      </c>
      <c r="F2582" s="1" t="s">
        <v>2008</v>
      </c>
      <c r="G2582" s="1" t="s">
        <v>6738</v>
      </c>
      <c r="H2582" s="1" t="s">
        <v>6739</v>
      </c>
      <c r="I2582" s="1">
        <v>1</v>
      </c>
      <c r="J2582" s="3">
        <v>350100</v>
      </c>
      <c r="K2582" s="3">
        <v>272020</v>
      </c>
      <c r="L2582" s="1">
        <v>0</v>
      </c>
      <c r="M2582" s="4">
        <v>0</v>
      </c>
      <c r="N2582" s="3">
        <v>78080</v>
      </c>
      <c r="O2582" s="4">
        <v>0.223</v>
      </c>
      <c r="P2582" s="1" t="s">
        <v>2723</v>
      </c>
    </row>
    <row r="2583" spans="1:16">
      <c r="A2583" s="1" t="s">
        <v>756</v>
      </c>
      <c r="B2583" s="1">
        <v>11</v>
      </c>
      <c r="C2583" s="1" t="s">
        <v>6740</v>
      </c>
      <c r="D2583" s="1" t="s">
        <v>2089</v>
      </c>
      <c r="E2583" s="2">
        <v>45978</v>
      </c>
      <c r="F2583" s="1" t="s">
        <v>1935</v>
      </c>
      <c r="G2583" s="1" t="s">
        <v>2090</v>
      </c>
      <c r="H2583" s="1" t="s">
        <v>6741</v>
      </c>
      <c r="I2583" s="1">
        <v>1</v>
      </c>
      <c r="J2583" s="3">
        <v>18040</v>
      </c>
      <c r="K2583" s="3">
        <v>16884</v>
      </c>
      <c r="L2583" s="1">
        <v>0</v>
      </c>
      <c r="M2583" s="4">
        <v>0</v>
      </c>
      <c r="N2583" s="3">
        <v>1156</v>
      </c>
      <c r="O2583" s="4">
        <v>6.4000000000000001E-2</v>
      </c>
      <c r="P2583" s="1" t="s">
        <v>2723</v>
      </c>
    </row>
    <row r="2584" spans="1:16">
      <c r="A2584" s="1" t="s">
        <v>756</v>
      </c>
      <c r="B2584" s="1">
        <v>11</v>
      </c>
      <c r="C2584" s="1" t="s">
        <v>6742</v>
      </c>
      <c r="D2584" s="1" t="s">
        <v>6743</v>
      </c>
      <c r="E2584" s="2">
        <v>45978</v>
      </c>
      <c r="F2584" s="1" t="s">
        <v>500</v>
      </c>
      <c r="G2584" s="1" t="s">
        <v>6744</v>
      </c>
      <c r="I2584" s="1">
        <v>1</v>
      </c>
      <c r="J2584" s="3">
        <v>305600</v>
      </c>
      <c r="K2584" s="3">
        <v>275000</v>
      </c>
      <c r="L2584" s="1">
        <v>0</v>
      </c>
      <c r="M2584" s="4">
        <v>0</v>
      </c>
      <c r="N2584" s="3">
        <v>30600</v>
      </c>
      <c r="O2584" s="4">
        <v>0.1</v>
      </c>
      <c r="P2584" s="1" t="s">
        <v>2723</v>
      </c>
    </row>
    <row r="2585" spans="1:16">
      <c r="A2585" s="1" t="s">
        <v>756</v>
      </c>
      <c r="B2585" s="1">
        <v>11</v>
      </c>
      <c r="C2585" s="1" t="s">
        <v>6745</v>
      </c>
      <c r="D2585" s="1" t="s">
        <v>6746</v>
      </c>
      <c r="E2585" s="2">
        <v>45978</v>
      </c>
      <c r="F2585" s="1" t="s">
        <v>783</v>
      </c>
      <c r="G2585" s="1" t="s">
        <v>6747</v>
      </c>
      <c r="H2585" s="1" t="s">
        <v>6748</v>
      </c>
      <c r="I2585" s="1">
        <v>1</v>
      </c>
      <c r="J2585" s="3">
        <v>42210</v>
      </c>
      <c r="K2585" s="3">
        <v>39584</v>
      </c>
      <c r="L2585" s="1">
        <v>0</v>
      </c>
      <c r="M2585" s="4">
        <v>0</v>
      </c>
      <c r="N2585" s="3">
        <v>2626</v>
      </c>
      <c r="O2585" s="4">
        <v>6.2E-2</v>
      </c>
      <c r="P2585" s="1" t="s">
        <v>2723</v>
      </c>
    </row>
    <row r="2586" spans="1:16">
      <c r="A2586" s="1" t="s">
        <v>756</v>
      </c>
      <c r="B2586" s="1">
        <v>11</v>
      </c>
      <c r="C2586" s="1" t="s">
        <v>6749</v>
      </c>
      <c r="D2586" s="1" t="s">
        <v>6750</v>
      </c>
      <c r="E2586" s="2">
        <v>45978</v>
      </c>
      <c r="F2586" s="1" t="s">
        <v>856</v>
      </c>
      <c r="G2586" s="1" t="s">
        <v>6751</v>
      </c>
      <c r="H2586" s="1" t="s">
        <v>6752</v>
      </c>
      <c r="I2586" s="1">
        <v>1</v>
      </c>
      <c r="J2586" s="3">
        <v>103950</v>
      </c>
      <c r="K2586" s="3">
        <v>85358</v>
      </c>
      <c r="L2586" s="1">
        <v>0</v>
      </c>
      <c r="M2586" s="4">
        <v>0</v>
      </c>
      <c r="N2586" s="3">
        <v>18592</v>
      </c>
      <c r="O2586" s="4">
        <v>0.17899999999999999</v>
      </c>
      <c r="P2586" s="1" t="s">
        <v>2723</v>
      </c>
    </row>
    <row r="2587" spans="1:16">
      <c r="A2587" s="1" t="s">
        <v>2179</v>
      </c>
      <c r="B2587" s="1">
        <v>11</v>
      </c>
      <c r="C2587" s="1">
        <v>2.0251117065255099E+18</v>
      </c>
      <c r="D2587" s="1" t="s">
        <v>6753</v>
      </c>
      <c r="E2587" s="2">
        <v>45978</v>
      </c>
      <c r="F2587" s="1" t="s">
        <v>1403</v>
      </c>
      <c r="G2587" s="1" t="s">
        <v>6754</v>
      </c>
      <c r="I2587" s="1">
        <v>1</v>
      </c>
      <c r="J2587" s="3">
        <v>6550</v>
      </c>
      <c r="K2587" s="3">
        <v>5159</v>
      </c>
      <c r="L2587" s="1">
        <v>0</v>
      </c>
      <c r="M2587" s="4">
        <v>0</v>
      </c>
      <c r="N2587" s="3">
        <v>1391</v>
      </c>
      <c r="O2587" s="4">
        <v>0.21199999999999999</v>
      </c>
      <c r="P2587" s="1" t="s">
        <v>2723</v>
      </c>
    </row>
    <row r="2588" spans="1:16">
      <c r="A2588" s="1" t="s">
        <v>2179</v>
      </c>
      <c r="B2588" s="1">
        <v>11</v>
      </c>
      <c r="C2588" s="1">
        <v>2.0251116193015099E+18</v>
      </c>
      <c r="D2588" s="1" t="s">
        <v>6753</v>
      </c>
      <c r="E2588" s="2">
        <v>45978</v>
      </c>
      <c r="F2588" s="1" t="s">
        <v>1403</v>
      </c>
      <c r="G2588" s="1" t="s">
        <v>6754</v>
      </c>
      <c r="I2588" s="1">
        <v>2</v>
      </c>
      <c r="J2588" s="3">
        <v>13100</v>
      </c>
      <c r="K2588" s="3">
        <v>10318</v>
      </c>
      <c r="L2588" s="1">
        <v>0</v>
      </c>
      <c r="M2588" s="4">
        <v>0</v>
      </c>
      <c r="N2588" s="3">
        <v>2782</v>
      </c>
      <c r="O2588" s="4">
        <v>0.21199999999999999</v>
      </c>
      <c r="P2588" s="1" t="s">
        <v>2723</v>
      </c>
    </row>
    <row r="2589" spans="1:16">
      <c r="A2589" s="1" t="s">
        <v>2179</v>
      </c>
      <c r="B2589" s="1">
        <v>11</v>
      </c>
      <c r="C2589" s="1">
        <v>2.0251116104249101E+18</v>
      </c>
      <c r="D2589" s="1" t="s">
        <v>6753</v>
      </c>
      <c r="E2589" s="2">
        <v>45978</v>
      </c>
      <c r="F2589" s="1" t="s">
        <v>1403</v>
      </c>
      <c r="G2589" s="1" t="s">
        <v>6754</v>
      </c>
      <c r="I2589" s="1">
        <v>1</v>
      </c>
      <c r="J2589" s="3">
        <v>6550</v>
      </c>
      <c r="K2589" s="3">
        <v>5159</v>
      </c>
      <c r="L2589" s="1">
        <v>0</v>
      </c>
      <c r="M2589" s="4">
        <v>0</v>
      </c>
      <c r="N2589" s="3">
        <v>1391</v>
      </c>
      <c r="O2589" s="4">
        <v>0.21199999999999999</v>
      </c>
      <c r="P2589" s="1" t="s">
        <v>2723</v>
      </c>
    </row>
    <row r="2590" spans="1:16">
      <c r="A2590" s="1" t="s">
        <v>2193</v>
      </c>
      <c r="B2590" s="1">
        <v>11</v>
      </c>
      <c r="C2590" s="1" t="s">
        <v>6755</v>
      </c>
      <c r="D2590" s="1" t="s">
        <v>6756</v>
      </c>
      <c r="E2590" s="2">
        <v>45978</v>
      </c>
      <c r="F2590" s="1" t="s">
        <v>6757</v>
      </c>
      <c r="G2590" s="1" t="s">
        <v>6758</v>
      </c>
      <c r="I2590" s="1">
        <v>1</v>
      </c>
      <c r="J2590" s="3">
        <v>31900</v>
      </c>
      <c r="K2590" s="3">
        <v>30514</v>
      </c>
      <c r="L2590" s="1">
        <v>0</v>
      </c>
      <c r="M2590" s="4">
        <v>0</v>
      </c>
      <c r="N2590" s="3">
        <v>1386</v>
      </c>
      <c r="O2590" s="4">
        <v>4.2999999999999997E-2</v>
      </c>
      <c r="P2590" s="1" t="s">
        <v>2723</v>
      </c>
    </row>
    <row r="2591" spans="1:16">
      <c r="A2591" s="1" t="s">
        <v>2193</v>
      </c>
      <c r="B2591" s="1">
        <v>11</v>
      </c>
      <c r="C2591" s="1" t="s">
        <v>6759</v>
      </c>
      <c r="D2591" s="1" t="s">
        <v>6756</v>
      </c>
      <c r="E2591" s="2">
        <v>45978</v>
      </c>
      <c r="F2591" s="1" t="s">
        <v>6757</v>
      </c>
      <c r="G2591" s="1" t="s">
        <v>6758</v>
      </c>
      <c r="I2591" s="1">
        <v>1</v>
      </c>
      <c r="J2591" s="3">
        <v>31900</v>
      </c>
      <c r="K2591" s="3">
        <v>30514</v>
      </c>
      <c r="L2591" s="1">
        <v>0</v>
      </c>
      <c r="M2591" s="4">
        <v>0</v>
      </c>
      <c r="N2591" s="3">
        <v>1386</v>
      </c>
      <c r="O2591" s="4">
        <v>4.2999999999999997E-2</v>
      </c>
      <c r="P2591" s="1" t="s">
        <v>2723</v>
      </c>
    </row>
    <row r="2592" spans="1:16">
      <c r="A2592" s="1" t="s">
        <v>2193</v>
      </c>
      <c r="B2592" s="1">
        <v>11</v>
      </c>
      <c r="C2592" s="1" t="s">
        <v>6760</v>
      </c>
      <c r="D2592" s="1" t="s">
        <v>6756</v>
      </c>
      <c r="E2592" s="2">
        <v>45978</v>
      </c>
      <c r="F2592" s="1" t="s">
        <v>6757</v>
      </c>
      <c r="G2592" s="1" t="s">
        <v>6758</v>
      </c>
      <c r="I2592" s="1">
        <v>1</v>
      </c>
      <c r="J2592" s="3">
        <v>31900</v>
      </c>
      <c r="K2592" s="3">
        <v>30514</v>
      </c>
      <c r="L2592" s="1">
        <v>0</v>
      </c>
      <c r="M2592" s="4">
        <v>0</v>
      </c>
      <c r="N2592" s="3">
        <v>1386</v>
      </c>
      <c r="O2592" s="4">
        <v>4.2999999999999997E-2</v>
      </c>
      <c r="P2592" s="1" t="s">
        <v>2723</v>
      </c>
    </row>
    <row r="2593" spans="1:16">
      <c r="A2593" s="1" t="s">
        <v>2193</v>
      </c>
      <c r="B2593" s="1">
        <v>11</v>
      </c>
      <c r="C2593" s="1" t="s">
        <v>6761</v>
      </c>
      <c r="D2593" s="1" t="s">
        <v>6756</v>
      </c>
      <c r="E2593" s="2">
        <v>45978</v>
      </c>
      <c r="F2593" s="1" t="s">
        <v>6757</v>
      </c>
      <c r="G2593" s="1" t="s">
        <v>6758</v>
      </c>
      <c r="I2593" s="1">
        <v>1</v>
      </c>
      <c r="J2593" s="3">
        <v>31900</v>
      </c>
      <c r="K2593" s="3">
        <v>30514</v>
      </c>
      <c r="L2593" s="1">
        <v>0</v>
      </c>
      <c r="M2593" s="4">
        <v>0</v>
      </c>
      <c r="N2593" s="3">
        <v>1386</v>
      </c>
      <c r="O2593" s="4">
        <v>4.2999999999999997E-2</v>
      </c>
      <c r="P2593" s="1" t="s">
        <v>2723</v>
      </c>
    </row>
    <row r="2594" spans="1:16">
      <c r="A2594" s="1" t="s">
        <v>2193</v>
      </c>
      <c r="B2594" s="1">
        <v>11</v>
      </c>
      <c r="C2594" s="1" t="s">
        <v>6762</v>
      </c>
      <c r="D2594" s="1" t="s">
        <v>6756</v>
      </c>
      <c r="E2594" s="2">
        <v>45978</v>
      </c>
      <c r="F2594" s="1" t="s">
        <v>6757</v>
      </c>
      <c r="G2594" s="1" t="s">
        <v>6758</v>
      </c>
      <c r="I2594" s="1">
        <v>1</v>
      </c>
      <c r="J2594" s="3">
        <v>31900</v>
      </c>
      <c r="K2594" s="3">
        <v>30514</v>
      </c>
      <c r="L2594" s="1">
        <v>0</v>
      </c>
      <c r="M2594" s="4">
        <v>0</v>
      </c>
      <c r="N2594" s="3">
        <v>1386</v>
      </c>
      <c r="O2594" s="4">
        <v>4.2999999999999997E-2</v>
      </c>
      <c r="P2594" s="1" t="s">
        <v>2723</v>
      </c>
    </row>
    <row r="2595" spans="1:16">
      <c r="A2595" s="1" t="s">
        <v>2193</v>
      </c>
      <c r="B2595" s="1">
        <v>11</v>
      </c>
      <c r="C2595" s="1" t="s">
        <v>6763</v>
      </c>
      <c r="D2595" s="1" t="s">
        <v>6756</v>
      </c>
      <c r="E2595" s="2">
        <v>45978</v>
      </c>
      <c r="F2595" s="1" t="s">
        <v>6757</v>
      </c>
      <c r="G2595" s="1" t="s">
        <v>6758</v>
      </c>
      <c r="I2595" s="1">
        <v>1</v>
      </c>
      <c r="J2595" s="3">
        <v>31900</v>
      </c>
      <c r="K2595" s="3">
        <v>30514</v>
      </c>
      <c r="L2595" s="1">
        <v>0</v>
      </c>
      <c r="M2595" s="4">
        <v>0</v>
      </c>
      <c r="N2595" s="3">
        <v>1386</v>
      </c>
      <c r="O2595" s="4">
        <v>4.2999999999999997E-2</v>
      </c>
      <c r="P2595" s="1" t="s">
        <v>2723</v>
      </c>
    </row>
    <row r="2596" spans="1:16">
      <c r="A2596" s="1" t="s">
        <v>2193</v>
      </c>
      <c r="B2596" s="1">
        <v>11</v>
      </c>
      <c r="C2596" s="1" t="s">
        <v>6764</v>
      </c>
      <c r="D2596" s="1" t="s">
        <v>6756</v>
      </c>
      <c r="E2596" s="2">
        <v>45978</v>
      </c>
      <c r="F2596" s="1" t="s">
        <v>6757</v>
      </c>
      <c r="G2596" s="1" t="s">
        <v>6758</v>
      </c>
      <c r="I2596" s="1">
        <v>1</v>
      </c>
      <c r="J2596" s="3">
        <v>31900</v>
      </c>
      <c r="K2596" s="3">
        <v>30514</v>
      </c>
      <c r="L2596" s="1">
        <v>0</v>
      </c>
      <c r="M2596" s="4">
        <v>0</v>
      </c>
      <c r="N2596" s="3">
        <v>1386</v>
      </c>
      <c r="O2596" s="4">
        <v>4.2999999999999997E-2</v>
      </c>
      <c r="P2596" s="1" t="s">
        <v>2723</v>
      </c>
    </row>
    <row r="2597" spans="1:16">
      <c r="A2597" s="1" t="s">
        <v>2193</v>
      </c>
      <c r="B2597" s="1">
        <v>11</v>
      </c>
      <c r="C2597" s="1" t="s">
        <v>6765</v>
      </c>
      <c r="D2597" s="1" t="s">
        <v>6756</v>
      </c>
      <c r="E2597" s="2">
        <v>45978</v>
      </c>
      <c r="F2597" s="1" t="s">
        <v>6757</v>
      </c>
      <c r="G2597" s="1" t="s">
        <v>6758</v>
      </c>
      <c r="I2597" s="1">
        <v>1</v>
      </c>
      <c r="J2597" s="3">
        <v>31900</v>
      </c>
      <c r="K2597" s="3">
        <v>30514</v>
      </c>
      <c r="L2597" s="1">
        <v>0</v>
      </c>
      <c r="M2597" s="4">
        <v>0</v>
      </c>
      <c r="N2597" s="3">
        <v>1386</v>
      </c>
      <c r="O2597" s="4">
        <v>4.2999999999999997E-2</v>
      </c>
      <c r="P2597" s="1" t="s">
        <v>2723</v>
      </c>
    </row>
    <row r="2598" spans="1:16">
      <c r="A2598" s="1" t="s">
        <v>2193</v>
      </c>
      <c r="B2598" s="1">
        <v>11</v>
      </c>
      <c r="C2598" s="1" t="s">
        <v>6766</v>
      </c>
      <c r="D2598" s="1" t="s">
        <v>6756</v>
      </c>
      <c r="E2598" s="2">
        <v>45978</v>
      </c>
      <c r="F2598" s="1" t="s">
        <v>6757</v>
      </c>
      <c r="G2598" s="1" t="s">
        <v>6758</v>
      </c>
      <c r="I2598" s="1">
        <v>1</v>
      </c>
      <c r="J2598" s="3">
        <v>31900</v>
      </c>
      <c r="K2598" s="3">
        <v>30514</v>
      </c>
      <c r="L2598" s="1">
        <v>0</v>
      </c>
      <c r="M2598" s="4">
        <v>0</v>
      </c>
      <c r="N2598" s="3">
        <v>1386</v>
      </c>
      <c r="O2598" s="4">
        <v>4.2999999999999997E-2</v>
      </c>
      <c r="P2598" s="1" t="s">
        <v>2723</v>
      </c>
    </row>
    <row r="2599" spans="1:16">
      <c r="A2599" s="1" t="s">
        <v>2193</v>
      </c>
      <c r="B2599" s="1">
        <v>11</v>
      </c>
      <c r="C2599" s="1" t="s">
        <v>6767</v>
      </c>
      <c r="D2599" s="1" t="s">
        <v>6756</v>
      </c>
      <c r="E2599" s="2">
        <v>45978</v>
      </c>
      <c r="F2599" s="1" t="s">
        <v>6757</v>
      </c>
      <c r="G2599" s="1" t="s">
        <v>6758</v>
      </c>
      <c r="I2599" s="1">
        <v>1</v>
      </c>
      <c r="J2599" s="3">
        <v>31900</v>
      </c>
      <c r="K2599" s="3">
        <v>30514</v>
      </c>
      <c r="L2599" s="1">
        <v>0</v>
      </c>
      <c r="M2599" s="4">
        <v>0</v>
      </c>
      <c r="N2599" s="3">
        <v>1386</v>
      </c>
      <c r="O2599" s="4">
        <v>4.2999999999999997E-2</v>
      </c>
      <c r="P2599" s="1" t="s">
        <v>2723</v>
      </c>
    </row>
    <row r="2600" spans="1:16">
      <c r="A2600" s="1" t="s">
        <v>2193</v>
      </c>
      <c r="B2600" s="1">
        <v>11</v>
      </c>
      <c r="C2600" s="1" t="s">
        <v>6768</v>
      </c>
      <c r="D2600" s="1" t="s">
        <v>6756</v>
      </c>
      <c r="E2600" s="2">
        <v>45978</v>
      </c>
      <c r="F2600" s="1" t="s">
        <v>6757</v>
      </c>
      <c r="G2600" s="1" t="s">
        <v>6758</v>
      </c>
      <c r="I2600" s="1">
        <v>1</v>
      </c>
      <c r="J2600" s="3">
        <v>31900</v>
      </c>
      <c r="K2600" s="3">
        <v>30514</v>
      </c>
      <c r="L2600" s="1">
        <v>0</v>
      </c>
      <c r="M2600" s="4">
        <v>0</v>
      </c>
      <c r="N2600" s="3">
        <v>1386</v>
      </c>
      <c r="O2600" s="4">
        <v>4.2999999999999997E-2</v>
      </c>
      <c r="P2600" s="1" t="s">
        <v>2723</v>
      </c>
    </row>
    <row r="2601" spans="1:16">
      <c r="A2601" s="1" t="s">
        <v>2193</v>
      </c>
      <c r="B2601" s="1">
        <v>11</v>
      </c>
      <c r="C2601" s="1" t="s">
        <v>6769</v>
      </c>
      <c r="D2601" s="1" t="s">
        <v>6756</v>
      </c>
      <c r="E2601" s="2">
        <v>45978</v>
      </c>
      <c r="F2601" s="1" t="s">
        <v>6757</v>
      </c>
      <c r="G2601" s="1" t="s">
        <v>6758</v>
      </c>
      <c r="I2601" s="1">
        <v>1</v>
      </c>
      <c r="J2601" s="3">
        <v>31900</v>
      </c>
      <c r="K2601" s="3">
        <v>30514</v>
      </c>
      <c r="L2601" s="1">
        <v>0</v>
      </c>
      <c r="M2601" s="4">
        <v>0</v>
      </c>
      <c r="N2601" s="3">
        <v>1386</v>
      </c>
      <c r="O2601" s="4">
        <v>4.2999999999999997E-2</v>
      </c>
      <c r="P2601" s="1" t="s">
        <v>2723</v>
      </c>
    </row>
    <row r="2602" spans="1:16">
      <c r="A2602" s="1" t="s">
        <v>2193</v>
      </c>
      <c r="B2602" s="1">
        <v>11</v>
      </c>
      <c r="C2602" s="1" t="s">
        <v>6770</v>
      </c>
      <c r="D2602" s="1" t="s">
        <v>6756</v>
      </c>
      <c r="E2602" s="2">
        <v>45978</v>
      </c>
      <c r="F2602" s="1" t="s">
        <v>6757</v>
      </c>
      <c r="G2602" s="1" t="s">
        <v>6758</v>
      </c>
      <c r="I2602" s="1">
        <v>1</v>
      </c>
      <c r="J2602" s="3">
        <v>31900</v>
      </c>
      <c r="K2602" s="3">
        <v>30514</v>
      </c>
      <c r="L2602" s="1">
        <v>0</v>
      </c>
      <c r="M2602" s="4">
        <v>0</v>
      </c>
      <c r="N2602" s="3">
        <v>1386</v>
      </c>
      <c r="O2602" s="4">
        <v>4.2999999999999997E-2</v>
      </c>
      <c r="P2602" s="1" t="s">
        <v>2723</v>
      </c>
    </row>
    <row r="2603" spans="1:16">
      <c r="A2603" s="1" t="s">
        <v>2193</v>
      </c>
      <c r="B2603" s="1">
        <v>11</v>
      </c>
      <c r="C2603" s="1" t="s">
        <v>6771</v>
      </c>
      <c r="D2603" s="1" t="s">
        <v>6756</v>
      </c>
      <c r="E2603" s="2">
        <v>45978</v>
      </c>
      <c r="F2603" s="1" t="s">
        <v>6757</v>
      </c>
      <c r="G2603" s="1" t="s">
        <v>6758</v>
      </c>
      <c r="I2603" s="1">
        <v>1</v>
      </c>
      <c r="J2603" s="3">
        <v>31900</v>
      </c>
      <c r="K2603" s="3">
        <v>30514</v>
      </c>
      <c r="L2603" s="1">
        <v>0</v>
      </c>
      <c r="M2603" s="4">
        <v>0</v>
      </c>
      <c r="N2603" s="3">
        <v>1386</v>
      </c>
      <c r="O2603" s="4">
        <v>4.2999999999999997E-2</v>
      </c>
      <c r="P2603" s="1" t="s">
        <v>2723</v>
      </c>
    </row>
    <row r="2604" spans="1:16">
      <c r="A2604" s="1" t="s">
        <v>2193</v>
      </c>
      <c r="B2604" s="1">
        <v>11</v>
      </c>
      <c r="C2604" s="1" t="s">
        <v>6772</v>
      </c>
      <c r="D2604" s="1" t="s">
        <v>6756</v>
      </c>
      <c r="E2604" s="2">
        <v>45978</v>
      </c>
      <c r="F2604" s="1" t="s">
        <v>6757</v>
      </c>
      <c r="G2604" s="1" t="s">
        <v>6758</v>
      </c>
      <c r="I2604" s="1">
        <v>1</v>
      </c>
      <c r="J2604" s="3">
        <v>31900</v>
      </c>
      <c r="K2604" s="3">
        <v>30514</v>
      </c>
      <c r="L2604" s="1">
        <v>0</v>
      </c>
      <c r="M2604" s="4">
        <v>0</v>
      </c>
      <c r="N2604" s="3">
        <v>1386</v>
      </c>
      <c r="O2604" s="4">
        <v>4.2999999999999997E-2</v>
      </c>
      <c r="P2604" s="1" t="s">
        <v>2723</v>
      </c>
    </row>
    <row r="2605" spans="1:16">
      <c r="A2605" s="1" t="s">
        <v>2193</v>
      </c>
      <c r="B2605" s="1">
        <v>11</v>
      </c>
      <c r="C2605" s="1" t="s">
        <v>6773</v>
      </c>
      <c r="D2605" s="1" t="s">
        <v>6756</v>
      </c>
      <c r="E2605" s="2">
        <v>45978</v>
      </c>
      <c r="F2605" s="1" t="s">
        <v>6757</v>
      </c>
      <c r="G2605" s="1" t="s">
        <v>6758</v>
      </c>
      <c r="I2605" s="1">
        <v>1</v>
      </c>
      <c r="J2605" s="3">
        <v>31900</v>
      </c>
      <c r="K2605" s="3">
        <v>30514</v>
      </c>
      <c r="L2605" s="1">
        <v>0</v>
      </c>
      <c r="M2605" s="4">
        <v>0</v>
      </c>
      <c r="N2605" s="3">
        <v>1386</v>
      </c>
      <c r="O2605" s="4">
        <v>4.2999999999999997E-2</v>
      </c>
      <c r="P2605" s="1" t="s">
        <v>2723</v>
      </c>
    </row>
    <row r="2606" spans="1:16">
      <c r="A2606" s="1" t="s">
        <v>2193</v>
      </c>
      <c r="B2606" s="1">
        <v>11</v>
      </c>
      <c r="C2606" s="1" t="s">
        <v>6774</v>
      </c>
      <c r="D2606" s="1" t="s">
        <v>6756</v>
      </c>
      <c r="E2606" s="2">
        <v>45978</v>
      </c>
      <c r="F2606" s="1" t="s">
        <v>6757</v>
      </c>
      <c r="G2606" s="1" t="s">
        <v>6758</v>
      </c>
      <c r="I2606" s="1">
        <v>1</v>
      </c>
      <c r="J2606" s="3">
        <v>31900</v>
      </c>
      <c r="K2606" s="3">
        <v>30514</v>
      </c>
      <c r="L2606" s="1">
        <v>0</v>
      </c>
      <c r="M2606" s="4">
        <v>0</v>
      </c>
      <c r="N2606" s="3">
        <v>1386</v>
      </c>
      <c r="O2606" s="4">
        <v>4.2999999999999997E-2</v>
      </c>
      <c r="P2606" s="1" t="s">
        <v>2723</v>
      </c>
    </row>
    <row r="2607" spans="1:16">
      <c r="A2607" s="1" t="s">
        <v>2193</v>
      </c>
      <c r="B2607" s="1">
        <v>11</v>
      </c>
      <c r="C2607" s="1" t="s">
        <v>6775</v>
      </c>
      <c r="D2607" s="1" t="s">
        <v>6756</v>
      </c>
      <c r="E2607" s="2">
        <v>45978</v>
      </c>
      <c r="F2607" s="1" t="s">
        <v>6757</v>
      </c>
      <c r="G2607" s="1" t="s">
        <v>6758</v>
      </c>
      <c r="I2607" s="1">
        <v>1</v>
      </c>
      <c r="J2607" s="3">
        <v>31900</v>
      </c>
      <c r="K2607" s="3">
        <v>30514</v>
      </c>
      <c r="L2607" s="1">
        <v>0</v>
      </c>
      <c r="M2607" s="4">
        <v>0</v>
      </c>
      <c r="N2607" s="3">
        <v>1386</v>
      </c>
      <c r="O2607" s="4">
        <v>4.2999999999999997E-2</v>
      </c>
      <c r="P2607" s="1" t="s">
        <v>2723</v>
      </c>
    </row>
    <row r="2608" spans="1:16">
      <c r="A2608" s="1" t="s">
        <v>2193</v>
      </c>
      <c r="B2608" s="1">
        <v>11</v>
      </c>
      <c r="C2608" s="1" t="s">
        <v>6776</v>
      </c>
      <c r="D2608" s="1" t="s">
        <v>6756</v>
      </c>
      <c r="E2608" s="2">
        <v>45978</v>
      </c>
      <c r="F2608" s="1" t="s">
        <v>6757</v>
      </c>
      <c r="G2608" s="1" t="s">
        <v>6758</v>
      </c>
      <c r="I2608" s="1">
        <v>1</v>
      </c>
      <c r="J2608" s="3">
        <v>31900</v>
      </c>
      <c r="K2608" s="3">
        <v>30514</v>
      </c>
      <c r="L2608" s="1">
        <v>0</v>
      </c>
      <c r="M2608" s="4">
        <v>0</v>
      </c>
      <c r="N2608" s="3">
        <v>1386</v>
      </c>
      <c r="O2608" s="4">
        <v>4.2999999999999997E-2</v>
      </c>
      <c r="P2608" s="1" t="s">
        <v>2723</v>
      </c>
    </row>
    <row r="2609" spans="1:16">
      <c r="A2609" s="1" t="s">
        <v>2193</v>
      </c>
      <c r="B2609" s="1">
        <v>11</v>
      </c>
      <c r="C2609" s="1" t="s">
        <v>6777</v>
      </c>
      <c r="D2609" s="1" t="s">
        <v>6756</v>
      </c>
      <c r="E2609" s="2">
        <v>45978</v>
      </c>
      <c r="F2609" s="1" t="s">
        <v>6757</v>
      </c>
      <c r="G2609" s="1" t="s">
        <v>6758</v>
      </c>
      <c r="I2609" s="1">
        <v>1</v>
      </c>
      <c r="J2609" s="3">
        <v>31900</v>
      </c>
      <c r="K2609" s="3">
        <v>30514</v>
      </c>
      <c r="L2609" s="1">
        <v>0</v>
      </c>
      <c r="M2609" s="4">
        <v>0</v>
      </c>
      <c r="N2609" s="3">
        <v>1386</v>
      </c>
      <c r="O2609" s="4">
        <v>4.2999999999999997E-2</v>
      </c>
      <c r="P2609" s="1" t="s">
        <v>2723</v>
      </c>
    </row>
    <row r="2610" spans="1:16">
      <c r="A2610" s="1" t="s">
        <v>2193</v>
      </c>
      <c r="B2610" s="1">
        <v>11</v>
      </c>
      <c r="C2610" s="1" t="s">
        <v>6778</v>
      </c>
      <c r="D2610" s="1" t="s">
        <v>6756</v>
      </c>
      <c r="E2610" s="2">
        <v>45978</v>
      </c>
      <c r="F2610" s="1" t="s">
        <v>6757</v>
      </c>
      <c r="G2610" s="1" t="s">
        <v>6758</v>
      </c>
      <c r="I2610" s="1">
        <v>1</v>
      </c>
      <c r="J2610" s="3">
        <v>31900</v>
      </c>
      <c r="K2610" s="3">
        <v>30514</v>
      </c>
      <c r="L2610" s="1">
        <v>0</v>
      </c>
      <c r="M2610" s="4">
        <v>0</v>
      </c>
      <c r="N2610" s="3">
        <v>1386</v>
      </c>
      <c r="O2610" s="4">
        <v>4.2999999999999997E-2</v>
      </c>
      <c r="P2610" s="1" t="s">
        <v>2723</v>
      </c>
    </row>
    <row r="2611" spans="1:16">
      <c r="A2611" s="1" t="s">
        <v>2193</v>
      </c>
      <c r="B2611" s="1">
        <v>11</v>
      </c>
      <c r="C2611" s="1" t="s">
        <v>6779</v>
      </c>
      <c r="D2611" s="1" t="s">
        <v>6756</v>
      </c>
      <c r="E2611" s="2">
        <v>45978</v>
      </c>
      <c r="F2611" s="1" t="s">
        <v>6757</v>
      </c>
      <c r="G2611" s="1" t="s">
        <v>6758</v>
      </c>
      <c r="I2611" s="1">
        <v>1</v>
      </c>
      <c r="J2611" s="3">
        <v>31900</v>
      </c>
      <c r="K2611" s="3">
        <v>30514</v>
      </c>
      <c r="L2611" s="1">
        <v>0</v>
      </c>
      <c r="M2611" s="4">
        <v>0</v>
      </c>
      <c r="N2611" s="3">
        <v>1386</v>
      </c>
      <c r="O2611" s="4">
        <v>4.2999999999999997E-2</v>
      </c>
      <c r="P2611" s="1" t="s">
        <v>2723</v>
      </c>
    </row>
    <row r="2612" spans="1:16">
      <c r="A2612" s="1" t="s">
        <v>2193</v>
      </c>
      <c r="B2612" s="1">
        <v>11</v>
      </c>
      <c r="C2612" s="1" t="s">
        <v>6780</v>
      </c>
      <c r="D2612" s="1" t="s">
        <v>6756</v>
      </c>
      <c r="E2612" s="2">
        <v>45978</v>
      </c>
      <c r="F2612" s="1" t="s">
        <v>6757</v>
      </c>
      <c r="G2612" s="1" t="s">
        <v>6758</v>
      </c>
      <c r="I2612" s="1">
        <v>1</v>
      </c>
      <c r="J2612" s="3">
        <v>31900</v>
      </c>
      <c r="K2612" s="3">
        <v>30514</v>
      </c>
      <c r="L2612" s="1">
        <v>0</v>
      </c>
      <c r="M2612" s="4">
        <v>0</v>
      </c>
      <c r="N2612" s="3">
        <v>1386</v>
      </c>
      <c r="O2612" s="4">
        <v>4.2999999999999997E-2</v>
      </c>
      <c r="P2612" s="1" t="s">
        <v>2723</v>
      </c>
    </row>
    <row r="2613" spans="1:16">
      <c r="A2613" s="1" t="s">
        <v>2193</v>
      </c>
      <c r="B2613" s="1">
        <v>11</v>
      </c>
      <c r="C2613" s="1" t="s">
        <v>6781</v>
      </c>
      <c r="D2613" s="1" t="s">
        <v>6756</v>
      </c>
      <c r="E2613" s="2">
        <v>45978</v>
      </c>
      <c r="F2613" s="1" t="s">
        <v>6757</v>
      </c>
      <c r="G2613" s="1" t="s">
        <v>6758</v>
      </c>
      <c r="I2613" s="1">
        <v>1</v>
      </c>
      <c r="J2613" s="3">
        <v>31900</v>
      </c>
      <c r="K2613" s="3">
        <v>30514</v>
      </c>
      <c r="L2613" s="1">
        <v>0</v>
      </c>
      <c r="M2613" s="4">
        <v>0</v>
      </c>
      <c r="N2613" s="3">
        <v>1386</v>
      </c>
      <c r="O2613" s="4">
        <v>4.2999999999999997E-2</v>
      </c>
      <c r="P2613" s="1" t="s">
        <v>2723</v>
      </c>
    </row>
    <row r="2614" spans="1:16">
      <c r="A2614" s="1" t="s">
        <v>2193</v>
      </c>
      <c r="B2614" s="1">
        <v>11</v>
      </c>
      <c r="C2614" s="1" t="s">
        <v>6782</v>
      </c>
      <c r="D2614" s="1" t="s">
        <v>6756</v>
      </c>
      <c r="E2614" s="2">
        <v>45978</v>
      </c>
      <c r="F2614" s="1" t="s">
        <v>6757</v>
      </c>
      <c r="G2614" s="1" t="s">
        <v>6758</v>
      </c>
      <c r="I2614" s="1">
        <v>1</v>
      </c>
      <c r="J2614" s="3">
        <v>31900</v>
      </c>
      <c r="K2614" s="3">
        <v>30514</v>
      </c>
      <c r="L2614" s="1">
        <v>0</v>
      </c>
      <c r="M2614" s="4">
        <v>0</v>
      </c>
      <c r="N2614" s="3">
        <v>1386</v>
      </c>
      <c r="O2614" s="4">
        <v>4.2999999999999997E-2</v>
      </c>
      <c r="P2614" s="1" t="s">
        <v>2723</v>
      </c>
    </row>
    <row r="2615" spans="1:16">
      <c r="A2615" s="1" t="s">
        <v>2193</v>
      </c>
      <c r="B2615" s="1">
        <v>11</v>
      </c>
      <c r="C2615" s="1" t="s">
        <v>6783</v>
      </c>
      <c r="D2615" s="1" t="s">
        <v>6756</v>
      </c>
      <c r="E2615" s="2">
        <v>45978</v>
      </c>
      <c r="F2615" s="1" t="s">
        <v>6757</v>
      </c>
      <c r="G2615" s="1" t="s">
        <v>6758</v>
      </c>
      <c r="I2615" s="1">
        <v>1</v>
      </c>
      <c r="J2615" s="3">
        <v>31900</v>
      </c>
      <c r="K2615" s="3">
        <v>30514</v>
      </c>
      <c r="L2615" s="1">
        <v>0</v>
      </c>
      <c r="M2615" s="4">
        <v>0</v>
      </c>
      <c r="N2615" s="3">
        <v>1386</v>
      </c>
      <c r="O2615" s="4">
        <v>4.2999999999999997E-2</v>
      </c>
      <c r="P2615" s="1" t="s">
        <v>2723</v>
      </c>
    </row>
    <row r="2616" spans="1:16">
      <c r="A2616" s="1" t="s">
        <v>2193</v>
      </c>
      <c r="B2616" s="1">
        <v>11</v>
      </c>
      <c r="C2616" s="1" t="s">
        <v>6784</v>
      </c>
      <c r="D2616" s="1" t="s">
        <v>6756</v>
      </c>
      <c r="E2616" s="2">
        <v>45978</v>
      </c>
      <c r="F2616" s="1" t="s">
        <v>6757</v>
      </c>
      <c r="G2616" s="1" t="s">
        <v>6758</v>
      </c>
      <c r="I2616" s="1">
        <v>1</v>
      </c>
      <c r="J2616" s="3">
        <v>31900</v>
      </c>
      <c r="K2616" s="3">
        <v>30514</v>
      </c>
      <c r="L2616" s="1">
        <v>0</v>
      </c>
      <c r="M2616" s="4">
        <v>0</v>
      </c>
      <c r="N2616" s="3">
        <v>1386</v>
      </c>
      <c r="O2616" s="4">
        <v>4.2999999999999997E-2</v>
      </c>
      <c r="P2616" s="1" t="s">
        <v>2723</v>
      </c>
    </row>
    <row r="2617" spans="1:16">
      <c r="A2617" s="1" t="s">
        <v>2193</v>
      </c>
      <c r="B2617" s="1">
        <v>11</v>
      </c>
      <c r="C2617" s="1" t="s">
        <v>6785</v>
      </c>
      <c r="D2617" s="1" t="s">
        <v>6756</v>
      </c>
      <c r="E2617" s="2">
        <v>45978</v>
      </c>
      <c r="F2617" s="1" t="s">
        <v>6757</v>
      </c>
      <c r="G2617" s="1" t="s">
        <v>6758</v>
      </c>
      <c r="I2617" s="1">
        <v>1</v>
      </c>
      <c r="J2617" s="3">
        <v>31900</v>
      </c>
      <c r="K2617" s="3">
        <v>30514</v>
      </c>
      <c r="L2617" s="1">
        <v>0</v>
      </c>
      <c r="M2617" s="4">
        <v>0</v>
      </c>
      <c r="N2617" s="3">
        <v>1386</v>
      </c>
      <c r="O2617" s="4">
        <v>4.2999999999999997E-2</v>
      </c>
      <c r="P2617" s="1" t="s">
        <v>2723</v>
      </c>
    </row>
    <row r="2618" spans="1:16">
      <c r="A2618" s="1" t="s">
        <v>2193</v>
      </c>
      <c r="B2618" s="1">
        <v>11</v>
      </c>
      <c r="C2618" s="1" t="s">
        <v>6786</v>
      </c>
      <c r="D2618" s="1" t="s">
        <v>6756</v>
      </c>
      <c r="E2618" s="2">
        <v>45978</v>
      </c>
      <c r="F2618" s="1" t="s">
        <v>6757</v>
      </c>
      <c r="G2618" s="1" t="s">
        <v>6758</v>
      </c>
      <c r="I2618" s="1">
        <v>1</v>
      </c>
      <c r="J2618" s="3">
        <v>31900</v>
      </c>
      <c r="K2618" s="3">
        <v>30514</v>
      </c>
      <c r="L2618" s="1">
        <v>0</v>
      </c>
      <c r="M2618" s="4">
        <v>0</v>
      </c>
      <c r="N2618" s="3">
        <v>1386</v>
      </c>
      <c r="O2618" s="4">
        <v>4.2999999999999997E-2</v>
      </c>
      <c r="P2618" s="1" t="s">
        <v>2723</v>
      </c>
    </row>
    <row r="2619" spans="1:16">
      <c r="A2619" s="1" t="s">
        <v>2193</v>
      </c>
      <c r="B2619" s="1">
        <v>11</v>
      </c>
      <c r="C2619" s="1" t="s">
        <v>6787</v>
      </c>
      <c r="D2619" s="1" t="s">
        <v>6756</v>
      </c>
      <c r="E2619" s="2">
        <v>45978</v>
      </c>
      <c r="F2619" s="1" t="s">
        <v>6757</v>
      </c>
      <c r="G2619" s="1" t="s">
        <v>6758</v>
      </c>
      <c r="I2619" s="1">
        <v>1</v>
      </c>
      <c r="J2619" s="3">
        <v>31900</v>
      </c>
      <c r="K2619" s="3">
        <v>30514</v>
      </c>
      <c r="L2619" s="1">
        <v>0</v>
      </c>
      <c r="M2619" s="4">
        <v>0</v>
      </c>
      <c r="N2619" s="3">
        <v>1386</v>
      </c>
      <c r="O2619" s="4">
        <v>4.2999999999999997E-2</v>
      </c>
      <c r="P2619" s="1" t="s">
        <v>2723</v>
      </c>
    </row>
    <row r="2620" spans="1:16">
      <c r="A2620" s="1" t="s">
        <v>2193</v>
      </c>
      <c r="B2620" s="1">
        <v>11</v>
      </c>
      <c r="C2620" s="1" t="s">
        <v>6788</v>
      </c>
      <c r="D2620" s="1" t="s">
        <v>6756</v>
      </c>
      <c r="E2620" s="2">
        <v>45978</v>
      </c>
      <c r="F2620" s="1" t="s">
        <v>6757</v>
      </c>
      <c r="G2620" s="1" t="s">
        <v>6758</v>
      </c>
      <c r="I2620" s="1">
        <v>1</v>
      </c>
      <c r="J2620" s="3">
        <v>31900</v>
      </c>
      <c r="K2620" s="3">
        <v>30514</v>
      </c>
      <c r="L2620" s="1">
        <v>0</v>
      </c>
      <c r="M2620" s="4">
        <v>0</v>
      </c>
      <c r="N2620" s="3">
        <v>1386</v>
      </c>
      <c r="O2620" s="4">
        <v>4.2999999999999997E-2</v>
      </c>
      <c r="P2620" s="1" t="s">
        <v>2723</v>
      </c>
    </row>
    <row r="2621" spans="1:16">
      <c r="A2621" s="1" t="s">
        <v>2193</v>
      </c>
      <c r="B2621" s="1">
        <v>11</v>
      </c>
      <c r="C2621" s="1" t="s">
        <v>6789</v>
      </c>
      <c r="D2621" s="1" t="s">
        <v>6756</v>
      </c>
      <c r="E2621" s="2">
        <v>45978</v>
      </c>
      <c r="F2621" s="1" t="s">
        <v>6757</v>
      </c>
      <c r="G2621" s="1" t="s">
        <v>6758</v>
      </c>
      <c r="I2621" s="1">
        <v>1</v>
      </c>
      <c r="J2621" s="3">
        <v>31900</v>
      </c>
      <c r="K2621" s="3">
        <v>30514</v>
      </c>
      <c r="L2621" s="1">
        <v>0</v>
      </c>
      <c r="M2621" s="4">
        <v>0</v>
      </c>
      <c r="N2621" s="3">
        <v>1386</v>
      </c>
      <c r="O2621" s="4">
        <v>4.2999999999999997E-2</v>
      </c>
      <c r="P2621" s="1" t="s">
        <v>2723</v>
      </c>
    </row>
    <row r="2622" spans="1:16">
      <c r="A2622" s="1" t="s">
        <v>2193</v>
      </c>
      <c r="B2622" s="1">
        <v>11</v>
      </c>
      <c r="C2622" s="1" t="s">
        <v>6790</v>
      </c>
      <c r="D2622" s="1" t="s">
        <v>6756</v>
      </c>
      <c r="E2622" s="2">
        <v>45978</v>
      </c>
      <c r="F2622" s="1" t="s">
        <v>6757</v>
      </c>
      <c r="G2622" s="1" t="s">
        <v>6758</v>
      </c>
      <c r="I2622" s="1">
        <v>1</v>
      </c>
      <c r="J2622" s="3">
        <v>31900</v>
      </c>
      <c r="K2622" s="3">
        <v>30514</v>
      </c>
      <c r="L2622" s="1">
        <v>0</v>
      </c>
      <c r="M2622" s="4">
        <v>0</v>
      </c>
      <c r="N2622" s="3">
        <v>1386</v>
      </c>
      <c r="O2622" s="4">
        <v>4.2999999999999997E-2</v>
      </c>
      <c r="P2622" s="1" t="s">
        <v>2723</v>
      </c>
    </row>
    <row r="2623" spans="1:16">
      <c r="A2623" s="1" t="s">
        <v>2193</v>
      </c>
      <c r="B2623" s="1">
        <v>11</v>
      </c>
      <c r="C2623" s="1" t="s">
        <v>6791</v>
      </c>
      <c r="D2623" s="1" t="s">
        <v>6756</v>
      </c>
      <c r="E2623" s="2">
        <v>45978</v>
      </c>
      <c r="F2623" s="1" t="s">
        <v>6757</v>
      </c>
      <c r="G2623" s="1" t="s">
        <v>6758</v>
      </c>
      <c r="I2623" s="1">
        <v>1</v>
      </c>
      <c r="J2623" s="3">
        <v>31900</v>
      </c>
      <c r="K2623" s="3">
        <v>30514</v>
      </c>
      <c r="L2623" s="1">
        <v>0</v>
      </c>
      <c r="M2623" s="4">
        <v>0</v>
      </c>
      <c r="N2623" s="3">
        <v>1386</v>
      </c>
      <c r="O2623" s="4">
        <v>4.2999999999999997E-2</v>
      </c>
      <c r="P2623" s="1" t="s">
        <v>2723</v>
      </c>
    </row>
    <row r="2624" spans="1:16">
      <c r="A2624" s="1" t="s">
        <v>2193</v>
      </c>
      <c r="B2624" s="1">
        <v>11</v>
      </c>
      <c r="C2624" s="1" t="s">
        <v>6792</v>
      </c>
      <c r="D2624" s="1" t="s">
        <v>6756</v>
      </c>
      <c r="E2624" s="2">
        <v>45978</v>
      </c>
      <c r="F2624" s="1" t="s">
        <v>6757</v>
      </c>
      <c r="G2624" s="1" t="s">
        <v>6758</v>
      </c>
      <c r="I2624" s="1">
        <v>1</v>
      </c>
      <c r="J2624" s="3">
        <v>31900</v>
      </c>
      <c r="K2624" s="3">
        <v>30514</v>
      </c>
      <c r="L2624" s="1">
        <v>0</v>
      </c>
      <c r="M2624" s="4">
        <v>0</v>
      </c>
      <c r="N2624" s="3">
        <v>1386</v>
      </c>
      <c r="O2624" s="4">
        <v>4.2999999999999997E-2</v>
      </c>
      <c r="P2624" s="1" t="s">
        <v>2723</v>
      </c>
    </row>
    <row r="2625" spans="1:16">
      <c r="A2625" s="1" t="s">
        <v>2193</v>
      </c>
      <c r="B2625" s="1">
        <v>11</v>
      </c>
      <c r="C2625" s="1" t="s">
        <v>6793</v>
      </c>
      <c r="D2625" s="1" t="s">
        <v>6756</v>
      </c>
      <c r="E2625" s="2">
        <v>45978</v>
      </c>
      <c r="F2625" s="1" t="s">
        <v>6757</v>
      </c>
      <c r="G2625" s="1" t="s">
        <v>6758</v>
      </c>
      <c r="I2625" s="1">
        <v>1</v>
      </c>
      <c r="J2625" s="3">
        <v>31900</v>
      </c>
      <c r="K2625" s="3">
        <v>30514</v>
      </c>
      <c r="L2625" s="1">
        <v>0</v>
      </c>
      <c r="M2625" s="4">
        <v>0</v>
      </c>
      <c r="N2625" s="3">
        <v>1386</v>
      </c>
      <c r="O2625" s="4">
        <v>4.2999999999999997E-2</v>
      </c>
      <c r="P2625" s="1" t="s">
        <v>2723</v>
      </c>
    </row>
    <row r="2626" spans="1:16">
      <c r="A2626" s="1" t="s">
        <v>2193</v>
      </c>
      <c r="B2626" s="1">
        <v>11</v>
      </c>
      <c r="C2626" s="1" t="s">
        <v>6794</v>
      </c>
      <c r="D2626" s="1" t="s">
        <v>6756</v>
      </c>
      <c r="E2626" s="2">
        <v>45978</v>
      </c>
      <c r="F2626" s="1" t="s">
        <v>6757</v>
      </c>
      <c r="G2626" s="1" t="s">
        <v>6758</v>
      </c>
      <c r="I2626" s="1">
        <v>1</v>
      </c>
      <c r="J2626" s="3">
        <v>31900</v>
      </c>
      <c r="K2626" s="3">
        <v>30514</v>
      </c>
      <c r="L2626" s="1">
        <v>0</v>
      </c>
      <c r="M2626" s="4">
        <v>0</v>
      </c>
      <c r="N2626" s="3">
        <v>1386</v>
      </c>
      <c r="O2626" s="4">
        <v>4.2999999999999997E-2</v>
      </c>
      <c r="P2626" s="1" t="s">
        <v>2723</v>
      </c>
    </row>
    <row r="2627" spans="1:16">
      <c r="A2627" s="1" t="s">
        <v>2193</v>
      </c>
      <c r="B2627" s="1">
        <v>11</v>
      </c>
      <c r="C2627" s="1" t="s">
        <v>6795</v>
      </c>
      <c r="D2627" s="1" t="s">
        <v>6756</v>
      </c>
      <c r="E2627" s="2">
        <v>45978</v>
      </c>
      <c r="F2627" s="1" t="s">
        <v>6757</v>
      </c>
      <c r="G2627" s="1" t="s">
        <v>6758</v>
      </c>
      <c r="I2627" s="1">
        <v>1</v>
      </c>
      <c r="J2627" s="3">
        <v>31900</v>
      </c>
      <c r="K2627" s="3">
        <v>30514</v>
      </c>
      <c r="L2627" s="1">
        <v>0</v>
      </c>
      <c r="M2627" s="4">
        <v>0</v>
      </c>
      <c r="N2627" s="3">
        <v>1386</v>
      </c>
      <c r="O2627" s="4">
        <v>4.2999999999999997E-2</v>
      </c>
      <c r="P2627" s="1" t="s">
        <v>2723</v>
      </c>
    </row>
    <row r="2628" spans="1:16">
      <c r="A2628" s="1" t="s">
        <v>2193</v>
      </c>
      <c r="B2628" s="1">
        <v>11</v>
      </c>
      <c r="C2628" s="1" t="s">
        <v>6796</v>
      </c>
      <c r="D2628" s="1" t="s">
        <v>6756</v>
      </c>
      <c r="E2628" s="2">
        <v>45978</v>
      </c>
      <c r="F2628" s="1" t="s">
        <v>6757</v>
      </c>
      <c r="G2628" s="1" t="s">
        <v>6758</v>
      </c>
      <c r="I2628" s="1">
        <v>1</v>
      </c>
      <c r="J2628" s="3">
        <v>31900</v>
      </c>
      <c r="K2628" s="3">
        <v>30514</v>
      </c>
      <c r="L2628" s="1">
        <v>0</v>
      </c>
      <c r="M2628" s="4">
        <v>0</v>
      </c>
      <c r="N2628" s="3">
        <v>1386</v>
      </c>
      <c r="O2628" s="4">
        <v>4.2999999999999997E-2</v>
      </c>
      <c r="P2628" s="1" t="s">
        <v>2723</v>
      </c>
    </row>
    <row r="2629" spans="1:16">
      <c r="A2629" s="1" t="s">
        <v>2193</v>
      </c>
      <c r="B2629" s="1">
        <v>11</v>
      </c>
      <c r="C2629" s="1" t="s">
        <v>6797</v>
      </c>
      <c r="D2629" s="1" t="s">
        <v>6756</v>
      </c>
      <c r="E2629" s="2">
        <v>45978</v>
      </c>
      <c r="F2629" s="1" t="s">
        <v>6757</v>
      </c>
      <c r="G2629" s="1" t="s">
        <v>6758</v>
      </c>
      <c r="I2629" s="1">
        <v>1</v>
      </c>
      <c r="J2629" s="3">
        <v>31900</v>
      </c>
      <c r="K2629" s="3">
        <v>30514</v>
      </c>
      <c r="L2629" s="1">
        <v>0</v>
      </c>
      <c r="M2629" s="4">
        <v>0</v>
      </c>
      <c r="N2629" s="3">
        <v>1386</v>
      </c>
      <c r="O2629" s="4">
        <v>4.2999999999999997E-2</v>
      </c>
      <c r="P2629" s="1" t="s">
        <v>2723</v>
      </c>
    </row>
    <row r="2630" spans="1:16">
      <c r="A2630" s="1" t="s">
        <v>2193</v>
      </c>
      <c r="B2630" s="1">
        <v>11</v>
      </c>
      <c r="C2630" s="1" t="s">
        <v>6798</v>
      </c>
      <c r="D2630" s="1" t="s">
        <v>6756</v>
      </c>
      <c r="E2630" s="2">
        <v>45978</v>
      </c>
      <c r="F2630" s="1" t="s">
        <v>6757</v>
      </c>
      <c r="G2630" s="1" t="s">
        <v>6758</v>
      </c>
      <c r="I2630" s="1">
        <v>1</v>
      </c>
      <c r="J2630" s="3">
        <v>31900</v>
      </c>
      <c r="K2630" s="3">
        <v>30514</v>
      </c>
      <c r="L2630" s="1">
        <v>0</v>
      </c>
      <c r="M2630" s="4">
        <v>0</v>
      </c>
      <c r="N2630" s="3">
        <v>1386</v>
      </c>
      <c r="O2630" s="4">
        <v>4.2999999999999997E-2</v>
      </c>
      <c r="P2630" s="1" t="s">
        <v>2723</v>
      </c>
    </row>
    <row r="2631" spans="1:16">
      <c r="A2631" s="1" t="s">
        <v>2193</v>
      </c>
      <c r="B2631" s="1">
        <v>11</v>
      </c>
      <c r="C2631" s="1" t="s">
        <v>6799</v>
      </c>
      <c r="D2631" s="1" t="s">
        <v>6756</v>
      </c>
      <c r="E2631" s="2">
        <v>45978</v>
      </c>
      <c r="F2631" s="1" t="s">
        <v>6757</v>
      </c>
      <c r="G2631" s="1" t="s">
        <v>6758</v>
      </c>
      <c r="I2631" s="1">
        <v>1</v>
      </c>
      <c r="J2631" s="3">
        <v>31900</v>
      </c>
      <c r="K2631" s="3">
        <v>30514</v>
      </c>
      <c r="L2631" s="1">
        <v>0</v>
      </c>
      <c r="M2631" s="4">
        <v>0</v>
      </c>
      <c r="N2631" s="3">
        <v>1386</v>
      </c>
      <c r="O2631" s="4">
        <v>4.2999999999999997E-2</v>
      </c>
      <c r="P2631" s="1" t="s">
        <v>2723</v>
      </c>
    </row>
    <row r="2632" spans="1:16">
      <c r="A2632" s="1" t="s">
        <v>2193</v>
      </c>
      <c r="B2632" s="1">
        <v>11</v>
      </c>
      <c r="C2632" s="1" t="s">
        <v>6800</v>
      </c>
      <c r="D2632" s="1" t="s">
        <v>6756</v>
      </c>
      <c r="E2632" s="2">
        <v>45978</v>
      </c>
      <c r="F2632" s="1" t="s">
        <v>6757</v>
      </c>
      <c r="G2632" s="1" t="s">
        <v>6758</v>
      </c>
      <c r="I2632" s="1">
        <v>1</v>
      </c>
      <c r="J2632" s="3">
        <v>31900</v>
      </c>
      <c r="K2632" s="3">
        <v>30514</v>
      </c>
      <c r="L2632" s="1">
        <v>0</v>
      </c>
      <c r="M2632" s="4">
        <v>0</v>
      </c>
      <c r="N2632" s="3">
        <v>1386</v>
      </c>
      <c r="O2632" s="4">
        <v>4.2999999999999997E-2</v>
      </c>
      <c r="P2632" s="1" t="s">
        <v>2723</v>
      </c>
    </row>
    <row r="2633" spans="1:16">
      <c r="A2633" s="1" t="s">
        <v>2193</v>
      </c>
      <c r="B2633" s="1">
        <v>11</v>
      </c>
      <c r="C2633" s="1" t="s">
        <v>6801</v>
      </c>
      <c r="D2633" s="1" t="s">
        <v>6756</v>
      </c>
      <c r="E2633" s="2">
        <v>45978</v>
      </c>
      <c r="F2633" s="1" t="s">
        <v>6757</v>
      </c>
      <c r="G2633" s="1" t="s">
        <v>6758</v>
      </c>
      <c r="I2633" s="1">
        <v>1</v>
      </c>
      <c r="J2633" s="3">
        <v>31900</v>
      </c>
      <c r="K2633" s="3">
        <v>30514</v>
      </c>
      <c r="L2633" s="1">
        <v>0</v>
      </c>
      <c r="M2633" s="4">
        <v>0</v>
      </c>
      <c r="N2633" s="3">
        <v>1386</v>
      </c>
      <c r="O2633" s="4">
        <v>4.2999999999999997E-2</v>
      </c>
      <c r="P2633" s="1" t="s">
        <v>2723</v>
      </c>
    </row>
    <row r="2634" spans="1:16">
      <c r="A2634" s="1" t="s">
        <v>2193</v>
      </c>
      <c r="B2634" s="1">
        <v>11</v>
      </c>
      <c r="C2634" s="1" t="s">
        <v>6802</v>
      </c>
      <c r="D2634" s="1" t="s">
        <v>6756</v>
      </c>
      <c r="E2634" s="2">
        <v>45978</v>
      </c>
      <c r="F2634" s="1" t="s">
        <v>6757</v>
      </c>
      <c r="G2634" s="1" t="s">
        <v>6758</v>
      </c>
      <c r="I2634" s="1">
        <v>1</v>
      </c>
      <c r="J2634" s="3">
        <v>31900</v>
      </c>
      <c r="K2634" s="3">
        <v>30514</v>
      </c>
      <c r="L2634" s="1">
        <v>0</v>
      </c>
      <c r="M2634" s="4">
        <v>0</v>
      </c>
      <c r="N2634" s="3">
        <v>1386</v>
      </c>
      <c r="O2634" s="4">
        <v>4.2999999999999997E-2</v>
      </c>
      <c r="P2634" s="1" t="s">
        <v>2723</v>
      </c>
    </row>
    <row r="2635" spans="1:16">
      <c r="A2635" s="1" t="s">
        <v>2193</v>
      </c>
      <c r="B2635" s="1">
        <v>11</v>
      </c>
      <c r="C2635" s="1" t="s">
        <v>6803</v>
      </c>
      <c r="D2635" s="1" t="s">
        <v>6756</v>
      </c>
      <c r="E2635" s="2">
        <v>45978</v>
      </c>
      <c r="F2635" s="1" t="s">
        <v>6757</v>
      </c>
      <c r="G2635" s="1" t="s">
        <v>6758</v>
      </c>
      <c r="I2635" s="1">
        <v>1</v>
      </c>
      <c r="J2635" s="3">
        <v>31900</v>
      </c>
      <c r="K2635" s="3">
        <v>30514</v>
      </c>
      <c r="L2635" s="1">
        <v>0</v>
      </c>
      <c r="M2635" s="4">
        <v>0</v>
      </c>
      <c r="N2635" s="3">
        <v>1386</v>
      </c>
      <c r="O2635" s="4">
        <v>4.2999999999999997E-2</v>
      </c>
      <c r="P2635" s="1" t="s">
        <v>2723</v>
      </c>
    </row>
    <row r="2636" spans="1:16">
      <c r="A2636" s="1" t="s">
        <v>2193</v>
      </c>
      <c r="B2636" s="1">
        <v>11</v>
      </c>
      <c r="C2636" s="1" t="s">
        <v>6804</v>
      </c>
      <c r="D2636" s="1" t="s">
        <v>6756</v>
      </c>
      <c r="E2636" s="2">
        <v>45978</v>
      </c>
      <c r="F2636" s="1" t="s">
        <v>6757</v>
      </c>
      <c r="G2636" s="1" t="s">
        <v>6758</v>
      </c>
      <c r="I2636" s="1">
        <v>1</v>
      </c>
      <c r="J2636" s="3">
        <v>31900</v>
      </c>
      <c r="K2636" s="3">
        <v>30514</v>
      </c>
      <c r="L2636" s="1">
        <v>0</v>
      </c>
      <c r="M2636" s="4">
        <v>0</v>
      </c>
      <c r="N2636" s="3">
        <v>1386</v>
      </c>
      <c r="O2636" s="4">
        <v>4.2999999999999997E-2</v>
      </c>
      <c r="P2636" s="1" t="s">
        <v>2723</v>
      </c>
    </row>
    <row r="2637" spans="1:16">
      <c r="A2637" s="1" t="s">
        <v>2193</v>
      </c>
      <c r="B2637" s="1">
        <v>11</v>
      </c>
      <c r="C2637" s="1" t="s">
        <v>6805</v>
      </c>
      <c r="D2637" s="1" t="s">
        <v>6756</v>
      </c>
      <c r="E2637" s="2">
        <v>45978</v>
      </c>
      <c r="F2637" s="1" t="s">
        <v>6757</v>
      </c>
      <c r="G2637" s="1" t="s">
        <v>6758</v>
      </c>
      <c r="I2637" s="1">
        <v>1</v>
      </c>
      <c r="J2637" s="3">
        <v>31900</v>
      </c>
      <c r="K2637" s="3">
        <v>30514</v>
      </c>
      <c r="L2637" s="1">
        <v>0</v>
      </c>
      <c r="M2637" s="4">
        <v>0</v>
      </c>
      <c r="N2637" s="3">
        <v>1386</v>
      </c>
      <c r="O2637" s="4">
        <v>4.2999999999999997E-2</v>
      </c>
      <c r="P2637" s="1" t="s">
        <v>2723</v>
      </c>
    </row>
    <row r="2638" spans="1:16">
      <c r="A2638" s="1" t="s">
        <v>2193</v>
      </c>
      <c r="B2638" s="1">
        <v>11</v>
      </c>
      <c r="C2638" s="1" t="s">
        <v>6806</v>
      </c>
      <c r="D2638" s="1" t="s">
        <v>6756</v>
      </c>
      <c r="E2638" s="2">
        <v>45978</v>
      </c>
      <c r="F2638" s="1" t="s">
        <v>6757</v>
      </c>
      <c r="G2638" s="1" t="s">
        <v>6758</v>
      </c>
      <c r="I2638" s="1">
        <v>1</v>
      </c>
      <c r="J2638" s="3">
        <v>31900</v>
      </c>
      <c r="K2638" s="3">
        <v>30514</v>
      </c>
      <c r="L2638" s="1">
        <v>0</v>
      </c>
      <c r="M2638" s="4">
        <v>0</v>
      </c>
      <c r="N2638" s="3">
        <v>1386</v>
      </c>
      <c r="O2638" s="4">
        <v>4.2999999999999997E-2</v>
      </c>
      <c r="P2638" s="1" t="s">
        <v>2723</v>
      </c>
    </row>
    <row r="2639" spans="1:16">
      <c r="A2639" s="1" t="s">
        <v>2193</v>
      </c>
      <c r="B2639" s="1">
        <v>11</v>
      </c>
      <c r="C2639" s="1" t="s">
        <v>6807</v>
      </c>
      <c r="D2639" s="1" t="s">
        <v>6756</v>
      </c>
      <c r="E2639" s="2">
        <v>45978</v>
      </c>
      <c r="F2639" s="1" t="s">
        <v>6757</v>
      </c>
      <c r="G2639" s="1" t="s">
        <v>6758</v>
      </c>
      <c r="I2639" s="1">
        <v>1</v>
      </c>
      <c r="J2639" s="3">
        <v>31900</v>
      </c>
      <c r="K2639" s="3">
        <v>30514</v>
      </c>
      <c r="L2639" s="1">
        <v>0</v>
      </c>
      <c r="M2639" s="4">
        <v>0</v>
      </c>
      <c r="N2639" s="3">
        <v>1386</v>
      </c>
      <c r="O2639" s="4">
        <v>4.2999999999999997E-2</v>
      </c>
      <c r="P2639" s="1" t="s">
        <v>2723</v>
      </c>
    </row>
    <row r="2640" spans="1:16">
      <c r="A2640" s="1" t="s">
        <v>2193</v>
      </c>
      <c r="B2640" s="1">
        <v>11</v>
      </c>
      <c r="C2640" s="1" t="s">
        <v>6808</v>
      </c>
      <c r="D2640" s="1" t="s">
        <v>6756</v>
      </c>
      <c r="E2640" s="2">
        <v>45978</v>
      </c>
      <c r="F2640" s="1" t="s">
        <v>6757</v>
      </c>
      <c r="G2640" s="1" t="s">
        <v>6758</v>
      </c>
      <c r="I2640" s="1">
        <v>1</v>
      </c>
      <c r="J2640" s="3">
        <v>31900</v>
      </c>
      <c r="K2640" s="3">
        <v>30514</v>
      </c>
      <c r="L2640" s="1">
        <v>0</v>
      </c>
      <c r="M2640" s="4">
        <v>0</v>
      </c>
      <c r="N2640" s="3">
        <v>1386</v>
      </c>
      <c r="O2640" s="4">
        <v>4.2999999999999997E-2</v>
      </c>
      <c r="P2640" s="1" t="s">
        <v>2723</v>
      </c>
    </row>
    <row r="2641" spans="1:16">
      <c r="A2641" s="1" t="s">
        <v>2193</v>
      </c>
      <c r="B2641" s="1">
        <v>11</v>
      </c>
      <c r="C2641" s="1" t="s">
        <v>6809</v>
      </c>
      <c r="D2641" s="1" t="s">
        <v>6756</v>
      </c>
      <c r="E2641" s="2">
        <v>45978</v>
      </c>
      <c r="F2641" s="1" t="s">
        <v>6757</v>
      </c>
      <c r="G2641" s="1" t="s">
        <v>6758</v>
      </c>
      <c r="I2641" s="1">
        <v>1</v>
      </c>
      <c r="J2641" s="3">
        <v>31900</v>
      </c>
      <c r="K2641" s="3">
        <v>30514</v>
      </c>
      <c r="L2641" s="1">
        <v>0</v>
      </c>
      <c r="M2641" s="4">
        <v>0</v>
      </c>
      <c r="N2641" s="3">
        <v>1386</v>
      </c>
      <c r="O2641" s="4">
        <v>4.2999999999999997E-2</v>
      </c>
      <c r="P2641" s="1" t="s">
        <v>2723</v>
      </c>
    </row>
    <row r="2642" spans="1:16">
      <c r="A2642" s="1" t="s">
        <v>2193</v>
      </c>
      <c r="B2642" s="1">
        <v>11</v>
      </c>
      <c r="C2642" s="1" t="s">
        <v>6810</v>
      </c>
      <c r="D2642" s="1" t="s">
        <v>6756</v>
      </c>
      <c r="E2642" s="2">
        <v>45978</v>
      </c>
      <c r="F2642" s="1" t="s">
        <v>6757</v>
      </c>
      <c r="G2642" s="1" t="s">
        <v>6758</v>
      </c>
      <c r="I2642" s="1">
        <v>1</v>
      </c>
      <c r="J2642" s="3">
        <v>31900</v>
      </c>
      <c r="K2642" s="3">
        <v>30514</v>
      </c>
      <c r="L2642" s="1">
        <v>0</v>
      </c>
      <c r="M2642" s="4">
        <v>0</v>
      </c>
      <c r="N2642" s="3">
        <v>1386</v>
      </c>
      <c r="O2642" s="4">
        <v>4.2999999999999997E-2</v>
      </c>
      <c r="P2642" s="1" t="s">
        <v>2723</v>
      </c>
    </row>
    <row r="2643" spans="1:16">
      <c r="A2643" s="1" t="s">
        <v>2193</v>
      </c>
      <c r="B2643" s="1">
        <v>11</v>
      </c>
      <c r="C2643" s="1" t="s">
        <v>6811</v>
      </c>
      <c r="D2643" s="1" t="s">
        <v>6756</v>
      </c>
      <c r="E2643" s="2">
        <v>45978</v>
      </c>
      <c r="F2643" s="1" t="s">
        <v>6757</v>
      </c>
      <c r="G2643" s="1" t="s">
        <v>6758</v>
      </c>
      <c r="I2643" s="1">
        <v>1</v>
      </c>
      <c r="J2643" s="3">
        <v>31900</v>
      </c>
      <c r="K2643" s="3">
        <v>30514</v>
      </c>
      <c r="L2643" s="1">
        <v>0</v>
      </c>
      <c r="M2643" s="4">
        <v>0</v>
      </c>
      <c r="N2643" s="3">
        <v>1386</v>
      </c>
      <c r="O2643" s="4">
        <v>4.2999999999999997E-2</v>
      </c>
      <c r="P2643" s="1" t="s">
        <v>2723</v>
      </c>
    </row>
    <row r="2644" spans="1:16">
      <c r="A2644" s="1" t="s">
        <v>2193</v>
      </c>
      <c r="B2644" s="1">
        <v>11</v>
      </c>
      <c r="C2644" s="1" t="s">
        <v>6812</v>
      </c>
      <c r="D2644" s="1" t="s">
        <v>6756</v>
      </c>
      <c r="E2644" s="2">
        <v>45978</v>
      </c>
      <c r="F2644" s="1" t="s">
        <v>6757</v>
      </c>
      <c r="G2644" s="1" t="s">
        <v>6758</v>
      </c>
      <c r="I2644" s="1">
        <v>1</v>
      </c>
      <c r="J2644" s="3">
        <v>31900</v>
      </c>
      <c r="K2644" s="3">
        <v>30514</v>
      </c>
      <c r="L2644" s="1">
        <v>0</v>
      </c>
      <c r="M2644" s="4">
        <v>0</v>
      </c>
      <c r="N2644" s="3">
        <v>1386</v>
      </c>
      <c r="O2644" s="4">
        <v>4.2999999999999997E-2</v>
      </c>
      <c r="P2644" s="1" t="s">
        <v>2723</v>
      </c>
    </row>
    <row r="2645" spans="1:16">
      <c r="A2645" s="1" t="s">
        <v>2193</v>
      </c>
      <c r="B2645" s="1">
        <v>11</v>
      </c>
      <c r="C2645" s="1" t="s">
        <v>6813</v>
      </c>
      <c r="D2645" s="1" t="s">
        <v>6756</v>
      </c>
      <c r="E2645" s="2">
        <v>45978</v>
      </c>
      <c r="F2645" s="1" t="s">
        <v>6757</v>
      </c>
      <c r="G2645" s="1" t="s">
        <v>6758</v>
      </c>
      <c r="I2645" s="1">
        <v>1</v>
      </c>
      <c r="J2645" s="3">
        <v>31900</v>
      </c>
      <c r="K2645" s="3">
        <v>30514</v>
      </c>
      <c r="L2645" s="1">
        <v>0</v>
      </c>
      <c r="M2645" s="4">
        <v>0</v>
      </c>
      <c r="N2645" s="3">
        <v>1386</v>
      </c>
      <c r="O2645" s="4">
        <v>4.2999999999999997E-2</v>
      </c>
      <c r="P2645" s="1" t="s">
        <v>2723</v>
      </c>
    </row>
    <row r="2646" spans="1:16">
      <c r="A2646" s="1" t="s">
        <v>2193</v>
      </c>
      <c r="B2646" s="1">
        <v>11</v>
      </c>
      <c r="C2646" s="1" t="s">
        <v>6814</v>
      </c>
      <c r="D2646" s="1" t="s">
        <v>6756</v>
      </c>
      <c r="E2646" s="2">
        <v>45978</v>
      </c>
      <c r="F2646" s="1" t="s">
        <v>6757</v>
      </c>
      <c r="G2646" s="1" t="s">
        <v>6758</v>
      </c>
      <c r="I2646" s="1">
        <v>1</v>
      </c>
      <c r="J2646" s="3">
        <v>31900</v>
      </c>
      <c r="K2646" s="3">
        <v>30514</v>
      </c>
      <c r="L2646" s="1">
        <v>0</v>
      </c>
      <c r="M2646" s="4">
        <v>0</v>
      </c>
      <c r="N2646" s="3">
        <v>1386</v>
      </c>
      <c r="O2646" s="4">
        <v>4.2999999999999997E-2</v>
      </c>
      <c r="P2646" s="1" t="s">
        <v>2723</v>
      </c>
    </row>
    <row r="2647" spans="1:16">
      <c r="A2647" s="1" t="s">
        <v>2193</v>
      </c>
      <c r="B2647" s="1">
        <v>11</v>
      </c>
      <c r="C2647" s="1" t="s">
        <v>6815</v>
      </c>
      <c r="D2647" s="1" t="s">
        <v>6756</v>
      </c>
      <c r="E2647" s="2">
        <v>45978</v>
      </c>
      <c r="F2647" s="1" t="s">
        <v>6757</v>
      </c>
      <c r="G2647" s="1" t="s">
        <v>6758</v>
      </c>
      <c r="I2647" s="1">
        <v>1</v>
      </c>
      <c r="J2647" s="3">
        <v>31900</v>
      </c>
      <c r="K2647" s="3">
        <v>30514</v>
      </c>
      <c r="L2647" s="1">
        <v>0</v>
      </c>
      <c r="M2647" s="4">
        <v>0</v>
      </c>
      <c r="N2647" s="3">
        <v>1386</v>
      </c>
      <c r="O2647" s="4">
        <v>4.2999999999999997E-2</v>
      </c>
      <c r="P2647" s="1" t="s">
        <v>2723</v>
      </c>
    </row>
    <row r="2648" spans="1:16">
      <c r="A2648" s="1" t="s">
        <v>2193</v>
      </c>
      <c r="B2648" s="1">
        <v>11</v>
      </c>
      <c r="C2648" s="1" t="s">
        <v>6816</v>
      </c>
      <c r="D2648" s="1" t="s">
        <v>6756</v>
      </c>
      <c r="E2648" s="2">
        <v>45978</v>
      </c>
      <c r="F2648" s="1" t="s">
        <v>6757</v>
      </c>
      <c r="G2648" s="1" t="s">
        <v>6758</v>
      </c>
      <c r="I2648" s="1">
        <v>1</v>
      </c>
      <c r="J2648" s="3">
        <v>31900</v>
      </c>
      <c r="K2648" s="3">
        <v>30514</v>
      </c>
      <c r="L2648" s="1">
        <v>0</v>
      </c>
      <c r="M2648" s="4">
        <v>0</v>
      </c>
      <c r="N2648" s="3">
        <v>1386</v>
      </c>
      <c r="O2648" s="4">
        <v>4.2999999999999997E-2</v>
      </c>
      <c r="P2648" s="1" t="s">
        <v>2723</v>
      </c>
    </row>
    <row r="2649" spans="1:16">
      <c r="A2649" s="1" t="s">
        <v>2193</v>
      </c>
      <c r="B2649" s="1">
        <v>11</v>
      </c>
      <c r="C2649" s="1" t="s">
        <v>6817</v>
      </c>
      <c r="D2649" s="1" t="s">
        <v>6756</v>
      </c>
      <c r="E2649" s="2">
        <v>45978</v>
      </c>
      <c r="F2649" s="1" t="s">
        <v>6757</v>
      </c>
      <c r="G2649" s="1" t="s">
        <v>6758</v>
      </c>
      <c r="I2649" s="1">
        <v>1</v>
      </c>
      <c r="J2649" s="3">
        <v>31900</v>
      </c>
      <c r="K2649" s="3">
        <v>30514</v>
      </c>
      <c r="L2649" s="1">
        <v>0</v>
      </c>
      <c r="M2649" s="4">
        <v>0</v>
      </c>
      <c r="N2649" s="3">
        <v>1386</v>
      </c>
      <c r="O2649" s="4">
        <v>4.2999999999999997E-2</v>
      </c>
      <c r="P2649" s="1" t="s">
        <v>2723</v>
      </c>
    </row>
    <row r="2650" spans="1:16">
      <c r="A2650" s="1" t="s">
        <v>2193</v>
      </c>
      <c r="B2650" s="1">
        <v>11</v>
      </c>
      <c r="C2650" s="1" t="s">
        <v>6818</v>
      </c>
      <c r="D2650" s="1" t="s">
        <v>6756</v>
      </c>
      <c r="E2650" s="2">
        <v>45978</v>
      </c>
      <c r="F2650" s="1" t="s">
        <v>6757</v>
      </c>
      <c r="G2650" s="1" t="s">
        <v>6758</v>
      </c>
      <c r="I2650" s="1">
        <v>1</v>
      </c>
      <c r="J2650" s="3">
        <v>31900</v>
      </c>
      <c r="K2650" s="3">
        <v>30514</v>
      </c>
      <c r="L2650" s="1">
        <v>0</v>
      </c>
      <c r="M2650" s="4">
        <v>0</v>
      </c>
      <c r="N2650" s="3">
        <v>1386</v>
      </c>
      <c r="O2650" s="4">
        <v>4.2999999999999997E-2</v>
      </c>
      <c r="P2650" s="1" t="s">
        <v>2723</v>
      </c>
    </row>
    <row r="2651" spans="1:16">
      <c r="A2651" s="1" t="s">
        <v>2193</v>
      </c>
      <c r="B2651" s="1">
        <v>11</v>
      </c>
      <c r="C2651" s="1" t="s">
        <v>6819</v>
      </c>
      <c r="D2651" s="1" t="s">
        <v>6756</v>
      </c>
      <c r="E2651" s="2">
        <v>45978</v>
      </c>
      <c r="F2651" s="1" t="s">
        <v>6757</v>
      </c>
      <c r="G2651" s="1" t="s">
        <v>6758</v>
      </c>
      <c r="I2651" s="1">
        <v>1</v>
      </c>
      <c r="J2651" s="3">
        <v>31900</v>
      </c>
      <c r="K2651" s="3">
        <v>30514</v>
      </c>
      <c r="L2651" s="1">
        <v>0</v>
      </c>
      <c r="M2651" s="4">
        <v>0</v>
      </c>
      <c r="N2651" s="3">
        <v>1386</v>
      </c>
      <c r="O2651" s="4">
        <v>4.2999999999999997E-2</v>
      </c>
      <c r="P2651" s="1" t="s">
        <v>2723</v>
      </c>
    </row>
    <row r="2652" spans="1:16">
      <c r="A2652" s="1" t="s">
        <v>2193</v>
      </c>
      <c r="B2652" s="1">
        <v>11</v>
      </c>
      <c r="C2652" s="1" t="s">
        <v>6820</v>
      </c>
      <c r="D2652" s="1" t="s">
        <v>6756</v>
      </c>
      <c r="E2652" s="2">
        <v>45978</v>
      </c>
      <c r="F2652" s="1" t="s">
        <v>6757</v>
      </c>
      <c r="G2652" s="1" t="s">
        <v>6758</v>
      </c>
      <c r="I2652" s="1">
        <v>1</v>
      </c>
      <c r="J2652" s="3">
        <v>31900</v>
      </c>
      <c r="K2652" s="3">
        <v>30514</v>
      </c>
      <c r="L2652" s="1">
        <v>0</v>
      </c>
      <c r="M2652" s="4">
        <v>0</v>
      </c>
      <c r="N2652" s="3">
        <v>1386</v>
      </c>
      <c r="O2652" s="4">
        <v>4.2999999999999997E-2</v>
      </c>
      <c r="P2652" s="1" t="s">
        <v>2723</v>
      </c>
    </row>
    <row r="2653" spans="1:16">
      <c r="A2653" s="1" t="s">
        <v>2193</v>
      </c>
      <c r="B2653" s="1">
        <v>11</v>
      </c>
      <c r="C2653" s="1" t="s">
        <v>6821</v>
      </c>
      <c r="D2653" s="1" t="s">
        <v>6756</v>
      </c>
      <c r="E2653" s="2">
        <v>45978</v>
      </c>
      <c r="F2653" s="1" t="s">
        <v>6757</v>
      </c>
      <c r="G2653" s="1" t="s">
        <v>6758</v>
      </c>
      <c r="I2653" s="1">
        <v>1</v>
      </c>
      <c r="J2653" s="3">
        <v>31900</v>
      </c>
      <c r="K2653" s="3">
        <v>30514</v>
      </c>
      <c r="L2653" s="1">
        <v>0</v>
      </c>
      <c r="M2653" s="4">
        <v>0</v>
      </c>
      <c r="N2653" s="3">
        <v>1386</v>
      </c>
      <c r="O2653" s="4">
        <v>4.2999999999999997E-2</v>
      </c>
      <c r="P2653" s="1" t="s">
        <v>2723</v>
      </c>
    </row>
    <row r="2654" spans="1:16">
      <c r="A2654" s="1" t="s">
        <v>2193</v>
      </c>
      <c r="B2654" s="1">
        <v>11</v>
      </c>
      <c r="C2654" s="1" t="s">
        <v>6822</v>
      </c>
      <c r="D2654" s="1" t="s">
        <v>6756</v>
      </c>
      <c r="E2654" s="2">
        <v>45978</v>
      </c>
      <c r="F2654" s="1" t="s">
        <v>6757</v>
      </c>
      <c r="G2654" s="1" t="s">
        <v>6758</v>
      </c>
      <c r="I2654" s="1">
        <v>1</v>
      </c>
      <c r="J2654" s="3">
        <v>31900</v>
      </c>
      <c r="K2654" s="3">
        <v>30514</v>
      </c>
      <c r="L2654" s="1">
        <v>0</v>
      </c>
      <c r="M2654" s="4">
        <v>0</v>
      </c>
      <c r="N2654" s="3">
        <v>1386</v>
      </c>
      <c r="O2654" s="4">
        <v>4.2999999999999997E-2</v>
      </c>
      <c r="P2654" s="1" t="s">
        <v>2723</v>
      </c>
    </row>
    <row r="2655" spans="1:16">
      <c r="A2655" s="1" t="s">
        <v>2193</v>
      </c>
      <c r="B2655" s="1">
        <v>11</v>
      </c>
      <c r="C2655" s="1" t="s">
        <v>6823</v>
      </c>
      <c r="D2655" s="1" t="s">
        <v>6756</v>
      </c>
      <c r="E2655" s="2">
        <v>45978</v>
      </c>
      <c r="F2655" s="1" t="s">
        <v>6757</v>
      </c>
      <c r="G2655" s="1" t="s">
        <v>6758</v>
      </c>
      <c r="I2655" s="1">
        <v>1</v>
      </c>
      <c r="J2655" s="3">
        <v>31900</v>
      </c>
      <c r="K2655" s="3">
        <v>30514</v>
      </c>
      <c r="L2655" s="1">
        <v>0</v>
      </c>
      <c r="M2655" s="4">
        <v>0</v>
      </c>
      <c r="N2655" s="3">
        <v>1386</v>
      </c>
      <c r="O2655" s="4">
        <v>4.2999999999999997E-2</v>
      </c>
      <c r="P2655" s="1" t="s">
        <v>2723</v>
      </c>
    </row>
    <row r="2656" spans="1:16">
      <c r="A2656" s="1" t="s">
        <v>2193</v>
      </c>
      <c r="B2656" s="1">
        <v>11</v>
      </c>
      <c r="C2656" s="1" t="s">
        <v>6824</v>
      </c>
      <c r="D2656" s="1" t="s">
        <v>6756</v>
      </c>
      <c r="E2656" s="2">
        <v>45978</v>
      </c>
      <c r="F2656" s="1" t="s">
        <v>6757</v>
      </c>
      <c r="G2656" s="1" t="s">
        <v>6758</v>
      </c>
      <c r="I2656" s="1">
        <v>1</v>
      </c>
      <c r="J2656" s="3">
        <v>31900</v>
      </c>
      <c r="K2656" s="3">
        <v>30514</v>
      </c>
      <c r="L2656" s="1">
        <v>0</v>
      </c>
      <c r="M2656" s="4">
        <v>0</v>
      </c>
      <c r="N2656" s="3">
        <v>1386</v>
      </c>
      <c r="O2656" s="4">
        <v>4.2999999999999997E-2</v>
      </c>
      <c r="P2656" s="1" t="s">
        <v>2723</v>
      </c>
    </row>
    <row r="2657" spans="1:16">
      <c r="A2657" s="1" t="s">
        <v>2193</v>
      </c>
      <c r="B2657" s="1">
        <v>11</v>
      </c>
      <c r="C2657" s="1" t="s">
        <v>6825</v>
      </c>
      <c r="D2657" s="1" t="s">
        <v>6756</v>
      </c>
      <c r="E2657" s="2">
        <v>45978</v>
      </c>
      <c r="F2657" s="1" t="s">
        <v>6757</v>
      </c>
      <c r="G2657" s="1" t="s">
        <v>6758</v>
      </c>
      <c r="I2657" s="1">
        <v>1</v>
      </c>
      <c r="J2657" s="3">
        <v>31900</v>
      </c>
      <c r="K2657" s="3">
        <v>30514</v>
      </c>
      <c r="L2657" s="1">
        <v>0</v>
      </c>
      <c r="M2657" s="4">
        <v>0</v>
      </c>
      <c r="N2657" s="3">
        <v>1386</v>
      </c>
      <c r="O2657" s="4">
        <v>4.2999999999999997E-2</v>
      </c>
      <c r="P2657" s="1" t="s">
        <v>2723</v>
      </c>
    </row>
    <row r="2658" spans="1:16">
      <c r="A2658" s="1" t="s">
        <v>2193</v>
      </c>
      <c r="B2658" s="1">
        <v>11</v>
      </c>
      <c r="C2658" s="1" t="s">
        <v>6826</v>
      </c>
      <c r="D2658" s="1" t="s">
        <v>6756</v>
      </c>
      <c r="E2658" s="2">
        <v>45978</v>
      </c>
      <c r="F2658" s="1" t="s">
        <v>6757</v>
      </c>
      <c r="G2658" s="1" t="s">
        <v>6758</v>
      </c>
      <c r="I2658" s="1">
        <v>1</v>
      </c>
      <c r="J2658" s="3">
        <v>31900</v>
      </c>
      <c r="K2658" s="3">
        <v>30514</v>
      </c>
      <c r="L2658" s="1">
        <v>0</v>
      </c>
      <c r="M2658" s="4">
        <v>0</v>
      </c>
      <c r="N2658" s="3">
        <v>1386</v>
      </c>
      <c r="O2658" s="4">
        <v>4.2999999999999997E-2</v>
      </c>
      <c r="P2658" s="1" t="s">
        <v>2723</v>
      </c>
    </row>
    <row r="2659" spans="1:16">
      <c r="A2659" s="1" t="s">
        <v>2193</v>
      </c>
      <c r="B2659" s="1">
        <v>11</v>
      </c>
      <c r="C2659" s="1" t="s">
        <v>6827</v>
      </c>
      <c r="D2659" s="1" t="s">
        <v>6756</v>
      </c>
      <c r="E2659" s="2">
        <v>45978</v>
      </c>
      <c r="F2659" s="1" t="s">
        <v>6757</v>
      </c>
      <c r="G2659" s="1" t="s">
        <v>6758</v>
      </c>
      <c r="I2659" s="1">
        <v>1</v>
      </c>
      <c r="J2659" s="3">
        <v>31900</v>
      </c>
      <c r="K2659" s="3">
        <v>30514</v>
      </c>
      <c r="L2659" s="1">
        <v>0</v>
      </c>
      <c r="M2659" s="4">
        <v>0</v>
      </c>
      <c r="N2659" s="3">
        <v>1386</v>
      </c>
      <c r="O2659" s="4">
        <v>4.2999999999999997E-2</v>
      </c>
      <c r="P2659" s="1" t="s">
        <v>2723</v>
      </c>
    </row>
    <row r="2660" spans="1:16">
      <c r="A2660" s="1" t="s">
        <v>2193</v>
      </c>
      <c r="B2660" s="1">
        <v>11</v>
      </c>
      <c r="C2660" s="1" t="s">
        <v>6828</v>
      </c>
      <c r="D2660" s="1" t="s">
        <v>6756</v>
      </c>
      <c r="E2660" s="2">
        <v>45978</v>
      </c>
      <c r="F2660" s="1" t="s">
        <v>6757</v>
      </c>
      <c r="G2660" s="1" t="s">
        <v>6758</v>
      </c>
      <c r="I2660" s="1">
        <v>1</v>
      </c>
      <c r="J2660" s="3">
        <v>31900</v>
      </c>
      <c r="K2660" s="3">
        <v>30514</v>
      </c>
      <c r="L2660" s="1">
        <v>0</v>
      </c>
      <c r="M2660" s="4">
        <v>0</v>
      </c>
      <c r="N2660" s="3">
        <v>1386</v>
      </c>
      <c r="O2660" s="4">
        <v>4.2999999999999997E-2</v>
      </c>
      <c r="P2660" s="1" t="s">
        <v>2723</v>
      </c>
    </row>
    <row r="2661" spans="1:16">
      <c r="A2661" s="1" t="s">
        <v>2193</v>
      </c>
      <c r="B2661" s="1">
        <v>11</v>
      </c>
      <c r="C2661" s="1" t="s">
        <v>6829</v>
      </c>
      <c r="D2661" s="1" t="s">
        <v>6756</v>
      </c>
      <c r="E2661" s="2">
        <v>45978</v>
      </c>
      <c r="F2661" s="1" t="s">
        <v>6757</v>
      </c>
      <c r="G2661" s="1" t="s">
        <v>6758</v>
      </c>
      <c r="I2661" s="1">
        <v>1</v>
      </c>
      <c r="J2661" s="3">
        <v>31900</v>
      </c>
      <c r="K2661" s="3">
        <v>30514</v>
      </c>
      <c r="L2661" s="1">
        <v>0</v>
      </c>
      <c r="M2661" s="4">
        <v>0</v>
      </c>
      <c r="N2661" s="3">
        <v>1386</v>
      </c>
      <c r="O2661" s="4">
        <v>4.2999999999999997E-2</v>
      </c>
      <c r="P2661" s="1" t="s">
        <v>2723</v>
      </c>
    </row>
    <row r="2662" spans="1:16">
      <c r="A2662" s="1" t="s">
        <v>2193</v>
      </c>
      <c r="B2662" s="1">
        <v>11</v>
      </c>
      <c r="C2662" s="1" t="s">
        <v>6830</v>
      </c>
      <c r="D2662" s="1" t="s">
        <v>6756</v>
      </c>
      <c r="E2662" s="2">
        <v>45978</v>
      </c>
      <c r="F2662" s="1" t="s">
        <v>6757</v>
      </c>
      <c r="G2662" s="1" t="s">
        <v>6758</v>
      </c>
      <c r="I2662" s="1">
        <v>1</v>
      </c>
      <c r="J2662" s="3">
        <v>31900</v>
      </c>
      <c r="K2662" s="3">
        <v>30514</v>
      </c>
      <c r="L2662" s="1">
        <v>0</v>
      </c>
      <c r="M2662" s="4">
        <v>0</v>
      </c>
      <c r="N2662" s="3">
        <v>1386</v>
      </c>
      <c r="O2662" s="4">
        <v>4.2999999999999997E-2</v>
      </c>
      <c r="P2662" s="1" t="s">
        <v>2723</v>
      </c>
    </row>
    <row r="2663" spans="1:16">
      <c r="A2663" s="1" t="s">
        <v>2193</v>
      </c>
      <c r="B2663" s="1">
        <v>11</v>
      </c>
      <c r="C2663" s="1" t="s">
        <v>6831</v>
      </c>
      <c r="D2663" s="1" t="s">
        <v>6756</v>
      </c>
      <c r="E2663" s="2">
        <v>45978</v>
      </c>
      <c r="F2663" s="1" t="s">
        <v>6757</v>
      </c>
      <c r="G2663" s="1" t="s">
        <v>6758</v>
      </c>
      <c r="I2663" s="1">
        <v>1</v>
      </c>
      <c r="J2663" s="3">
        <v>31900</v>
      </c>
      <c r="K2663" s="3">
        <v>30514</v>
      </c>
      <c r="L2663" s="1">
        <v>0</v>
      </c>
      <c r="M2663" s="4">
        <v>0</v>
      </c>
      <c r="N2663" s="3">
        <v>1386</v>
      </c>
      <c r="O2663" s="4">
        <v>4.2999999999999997E-2</v>
      </c>
      <c r="P2663" s="1" t="s">
        <v>2723</v>
      </c>
    </row>
    <row r="2664" spans="1:16">
      <c r="A2664" s="1" t="s">
        <v>2193</v>
      </c>
      <c r="B2664" s="1">
        <v>11</v>
      </c>
      <c r="C2664" s="1" t="s">
        <v>6832</v>
      </c>
      <c r="D2664" s="1" t="s">
        <v>6756</v>
      </c>
      <c r="E2664" s="2">
        <v>45978</v>
      </c>
      <c r="F2664" s="1" t="s">
        <v>6757</v>
      </c>
      <c r="G2664" s="1" t="s">
        <v>6758</v>
      </c>
      <c r="I2664" s="1">
        <v>1</v>
      </c>
      <c r="J2664" s="3">
        <v>31900</v>
      </c>
      <c r="K2664" s="3">
        <v>30514</v>
      </c>
      <c r="L2664" s="1">
        <v>0</v>
      </c>
      <c r="M2664" s="4">
        <v>0</v>
      </c>
      <c r="N2664" s="3">
        <v>1386</v>
      </c>
      <c r="O2664" s="4">
        <v>4.2999999999999997E-2</v>
      </c>
      <c r="P2664" s="1" t="s">
        <v>2723</v>
      </c>
    </row>
    <row r="2665" spans="1:16">
      <c r="A2665" s="1" t="s">
        <v>2193</v>
      </c>
      <c r="B2665" s="1">
        <v>11</v>
      </c>
      <c r="C2665" s="1" t="s">
        <v>6833</v>
      </c>
      <c r="D2665" s="1" t="s">
        <v>6756</v>
      </c>
      <c r="E2665" s="2">
        <v>45978</v>
      </c>
      <c r="F2665" s="1" t="s">
        <v>6757</v>
      </c>
      <c r="G2665" s="1" t="s">
        <v>6758</v>
      </c>
      <c r="I2665" s="1">
        <v>1</v>
      </c>
      <c r="J2665" s="3">
        <v>31900</v>
      </c>
      <c r="K2665" s="3">
        <v>30514</v>
      </c>
      <c r="L2665" s="1">
        <v>0</v>
      </c>
      <c r="M2665" s="4">
        <v>0</v>
      </c>
      <c r="N2665" s="3">
        <v>1386</v>
      </c>
      <c r="O2665" s="4">
        <v>4.2999999999999997E-2</v>
      </c>
      <c r="P2665" s="1" t="s">
        <v>2723</v>
      </c>
    </row>
    <row r="2666" spans="1:16">
      <c r="A2666" s="1" t="s">
        <v>2193</v>
      </c>
      <c r="B2666" s="1">
        <v>11</v>
      </c>
      <c r="C2666" s="1" t="s">
        <v>6834</v>
      </c>
      <c r="D2666" s="1" t="s">
        <v>6756</v>
      </c>
      <c r="E2666" s="2">
        <v>45978</v>
      </c>
      <c r="F2666" s="1" t="s">
        <v>6757</v>
      </c>
      <c r="G2666" s="1" t="s">
        <v>6758</v>
      </c>
      <c r="I2666" s="1">
        <v>1</v>
      </c>
      <c r="J2666" s="3">
        <v>31900</v>
      </c>
      <c r="K2666" s="3">
        <v>30514</v>
      </c>
      <c r="L2666" s="1">
        <v>0</v>
      </c>
      <c r="M2666" s="4">
        <v>0</v>
      </c>
      <c r="N2666" s="3">
        <v>1386</v>
      </c>
      <c r="O2666" s="4">
        <v>4.2999999999999997E-2</v>
      </c>
      <c r="P2666" s="1" t="s">
        <v>2723</v>
      </c>
    </row>
    <row r="2667" spans="1:16">
      <c r="A2667" s="1" t="s">
        <v>2193</v>
      </c>
      <c r="B2667" s="1">
        <v>11</v>
      </c>
      <c r="C2667" s="1" t="s">
        <v>6835</v>
      </c>
      <c r="D2667" s="1" t="s">
        <v>6756</v>
      </c>
      <c r="E2667" s="2">
        <v>45978</v>
      </c>
      <c r="F2667" s="1" t="s">
        <v>6757</v>
      </c>
      <c r="G2667" s="1" t="s">
        <v>6758</v>
      </c>
      <c r="I2667" s="1">
        <v>1</v>
      </c>
      <c r="J2667" s="3">
        <v>31900</v>
      </c>
      <c r="K2667" s="3">
        <v>30514</v>
      </c>
      <c r="L2667" s="1">
        <v>0</v>
      </c>
      <c r="M2667" s="4">
        <v>0</v>
      </c>
      <c r="N2667" s="3">
        <v>1386</v>
      </c>
      <c r="O2667" s="4">
        <v>4.2999999999999997E-2</v>
      </c>
      <c r="P2667" s="1" t="s">
        <v>2723</v>
      </c>
    </row>
    <row r="2668" spans="1:16">
      <c r="A2668" s="1" t="s">
        <v>2193</v>
      </c>
      <c r="B2668" s="1">
        <v>11</v>
      </c>
      <c r="C2668" s="1" t="s">
        <v>6836</v>
      </c>
      <c r="D2668" s="1" t="s">
        <v>6756</v>
      </c>
      <c r="E2668" s="2">
        <v>45978</v>
      </c>
      <c r="F2668" s="1" t="s">
        <v>6757</v>
      </c>
      <c r="G2668" s="1" t="s">
        <v>6758</v>
      </c>
      <c r="I2668" s="1">
        <v>1</v>
      </c>
      <c r="J2668" s="3">
        <v>31900</v>
      </c>
      <c r="K2668" s="3">
        <v>30514</v>
      </c>
      <c r="L2668" s="1">
        <v>0</v>
      </c>
      <c r="M2668" s="4">
        <v>0</v>
      </c>
      <c r="N2668" s="3">
        <v>1386</v>
      </c>
      <c r="O2668" s="4">
        <v>4.2999999999999997E-2</v>
      </c>
      <c r="P2668" s="1" t="s">
        <v>2723</v>
      </c>
    </row>
    <row r="2669" spans="1:16">
      <c r="A2669" s="1" t="s">
        <v>2193</v>
      </c>
      <c r="B2669" s="1">
        <v>11</v>
      </c>
      <c r="C2669" s="1" t="s">
        <v>6837</v>
      </c>
      <c r="D2669" s="1" t="s">
        <v>6756</v>
      </c>
      <c r="E2669" s="2">
        <v>45978</v>
      </c>
      <c r="F2669" s="1" t="s">
        <v>6757</v>
      </c>
      <c r="G2669" s="1" t="s">
        <v>6758</v>
      </c>
      <c r="I2669" s="1">
        <v>1</v>
      </c>
      <c r="J2669" s="3">
        <v>31900</v>
      </c>
      <c r="K2669" s="3">
        <v>30514</v>
      </c>
      <c r="L2669" s="1">
        <v>0</v>
      </c>
      <c r="M2669" s="4">
        <v>0</v>
      </c>
      <c r="N2669" s="3">
        <v>1386</v>
      </c>
      <c r="O2669" s="4">
        <v>4.2999999999999997E-2</v>
      </c>
      <c r="P2669" s="1" t="s">
        <v>2723</v>
      </c>
    </row>
    <row r="2670" spans="1:16">
      <c r="A2670" s="1" t="s">
        <v>2193</v>
      </c>
      <c r="B2670" s="1">
        <v>11</v>
      </c>
      <c r="C2670" s="1" t="s">
        <v>6838</v>
      </c>
      <c r="D2670" s="1" t="s">
        <v>6756</v>
      </c>
      <c r="E2670" s="2">
        <v>45978</v>
      </c>
      <c r="F2670" s="1" t="s">
        <v>6757</v>
      </c>
      <c r="G2670" s="1" t="s">
        <v>6758</v>
      </c>
      <c r="I2670" s="1">
        <v>1</v>
      </c>
      <c r="J2670" s="3">
        <v>31900</v>
      </c>
      <c r="K2670" s="3">
        <v>30514</v>
      </c>
      <c r="L2670" s="1">
        <v>0</v>
      </c>
      <c r="M2670" s="4">
        <v>0</v>
      </c>
      <c r="N2670" s="3">
        <v>1386</v>
      </c>
      <c r="O2670" s="4">
        <v>4.2999999999999997E-2</v>
      </c>
      <c r="P2670" s="1" t="s">
        <v>2723</v>
      </c>
    </row>
    <row r="2671" spans="1:16">
      <c r="A2671" s="1" t="s">
        <v>2193</v>
      </c>
      <c r="B2671" s="1">
        <v>11</v>
      </c>
      <c r="C2671" s="1" t="s">
        <v>6839</v>
      </c>
      <c r="D2671" s="1" t="s">
        <v>6756</v>
      </c>
      <c r="E2671" s="2">
        <v>45978</v>
      </c>
      <c r="F2671" s="1" t="s">
        <v>6757</v>
      </c>
      <c r="G2671" s="1" t="s">
        <v>6758</v>
      </c>
      <c r="I2671" s="1">
        <v>1</v>
      </c>
      <c r="J2671" s="3">
        <v>31900</v>
      </c>
      <c r="K2671" s="3">
        <v>30514</v>
      </c>
      <c r="L2671" s="1">
        <v>0</v>
      </c>
      <c r="M2671" s="4">
        <v>0</v>
      </c>
      <c r="N2671" s="3">
        <v>1386</v>
      </c>
      <c r="O2671" s="4">
        <v>4.2999999999999997E-2</v>
      </c>
      <c r="P2671" s="1" t="s">
        <v>2723</v>
      </c>
    </row>
    <row r="2672" spans="1:16">
      <c r="A2672" s="1" t="s">
        <v>2193</v>
      </c>
      <c r="B2672" s="1">
        <v>11</v>
      </c>
      <c r="C2672" s="1" t="s">
        <v>6840</v>
      </c>
      <c r="D2672" s="1" t="s">
        <v>6756</v>
      </c>
      <c r="E2672" s="2">
        <v>45978</v>
      </c>
      <c r="F2672" s="1" t="s">
        <v>6757</v>
      </c>
      <c r="G2672" s="1" t="s">
        <v>6758</v>
      </c>
      <c r="I2672" s="1">
        <v>1</v>
      </c>
      <c r="J2672" s="3">
        <v>31900</v>
      </c>
      <c r="K2672" s="3">
        <v>30514</v>
      </c>
      <c r="L2672" s="1">
        <v>0</v>
      </c>
      <c r="M2672" s="4">
        <v>0</v>
      </c>
      <c r="N2672" s="3">
        <v>1386</v>
      </c>
      <c r="O2672" s="4">
        <v>4.2999999999999997E-2</v>
      </c>
      <c r="P2672" s="1" t="s">
        <v>2723</v>
      </c>
    </row>
    <row r="2673" spans="1:16">
      <c r="A2673" s="1" t="s">
        <v>2193</v>
      </c>
      <c r="B2673" s="1">
        <v>11</v>
      </c>
      <c r="C2673" s="1" t="s">
        <v>6841</v>
      </c>
      <c r="D2673" s="1" t="s">
        <v>6756</v>
      </c>
      <c r="E2673" s="2">
        <v>45978</v>
      </c>
      <c r="F2673" s="1" t="s">
        <v>6757</v>
      </c>
      <c r="G2673" s="1" t="s">
        <v>6758</v>
      </c>
      <c r="I2673" s="1">
        <v>1</v>
      </c>
      <c r="J2673" s="3">
        <v>31900</v>
      </c>
      <c r="K2673" s="3">
        <v>30514</v>
      </c>
      <c r="L2673" s="1">
        <v>0</v>
      </c>
      <c r="M2673" s="4">
        <v>0</v>
      </c>
      <c r="N2673" s="3">
        <v>1386</v>
      </c>
      <c r="O2673" s="4">
        <v>4.2999999999999997E-2</v>
      </c>
      <c r="P2673" s="1" t="s">
        <v>2723</v>
      </c>
    </row>
    <row r="2674" spans="1:16">
      <c r="A2674" s="1" t="s">
        <v>2193</v>
      </c>
      <c r="B2674" s="1">
        <v>11</v>
      </c>
      <c r="C2674" s="1" t="s">
        <v>6842</v>
      </c>
      <c r="D2674" s="1" t="s">
        <v>6756</v>
      </c>
      <c r="E2674" s="2">
        <v>45978</v>
      </c>
      <c r="F2674" s="1" t="s">
        <v>6757</v>
      </c>
      <c r="G2674" s="1" t="s">
        <v>6758</v>
      </c>
      <c r="I2674" s="1">
        <v>1</v>
      </c>
      <c r="J2674" s="3">
        <v>31900</v>
      </c>
      <c r="K2674" s="3">
        <v>30514</v>
      </c>
      <c r="L2674" s="1">
        <v>0</v>
      </c>
      <c r="M2674" s="4">
        <v>0</v>
      </c>
      <c r="N2674" s="3">
        <v>1386</v>
      </c>
      <c r="O2674" s="4">
        <v>4.2999999999999997E-2</v>
      </c>
      <c r="P2674" s="1" t="s">
        <v>2723</v>
      </c>
    </row>
    <row r="2675" spans="1:16">
      <c r="A2675" s="1" t="s">
        <v>2193</v>
      </c>
      <c r="B2675" s="1">
        <v>11</v>
      </c>
      <c r="C2675" s="1" t="s">
        <v>6843</v>
      </c>
      <c r="D2675" s="1" t="s">
        <v>6756</v>
      </c>
      <c r="E2675" s="2">
        <v>45978</v>
      </c>
      <c r="F2675" s="1" t="s">
        <v>6757</v>
      </c>
      <c r="G2675" s="1" t="s">
        <v>6758</v>
      </c>
      <c r="I2675" s="1">
        <v>1</v>
      </c>
      <c r="J2675" s="3">
        <v>31900</v>
      </c>
      <c r="K2675" s="3">
        <v>30514</v>
      </c>
      <c r="L2675" s="1">
        <v>0</v>
      </c>
      <c r="M2675" s="4">
        <v>0</v>
      </c>
      <c r="N2675" s="3">
        <v>1386</v>
      </c>
      <c r="O2675" s="4">
        <v>4.2999999999999997E-2</v>
      </c>
      <c r="P2675" s="1" t="s">
        <v>2723</v>
      </c>
    </row>
    <row r="2676" spans="1:16">
      <c r="A2676" s="1" t="s">
        <v>2193</v>
      </c>
      <c r="B2676" s="1">
        <v>11</v>
      </c>
      <c r="C2676" s="1" t="s">
        <v>6844</v>
      </c>
      <c r="D2676" s="1" t="s">
        <v>6756</v>
      </c>
      <c r="E2676" s="2">
        <v>45978</v>
      </c>
      <c r="F2676" s="1" t="s">
        <v>6757</v>
      </c>
      <c r="G2676" s="1" t="s">
        <v>6758</v>
      </c>
      <c r="I2676" s="1">
        <v>1</v>
      </c>
      <c r="J2676" s="3">
        <v>31900</v>
      </c>
      <c r="K2676" s="3">
        <v>30514</v>
      </c>
      <c r="L2676" s="1">
        <v>0</v>
      </c>
      <c r="M2676" s="4">
        <v>0</v>
      </c>
      <c r="N2676" s="3">
        <v>1386</v>
      </c>
      <c r="O2676" s="4">
        <v>4.2999999999999997E-2</v>
      </c>
      <c r="P2676" s="1" t="s">
        <v>2723</v>
      </c>
    </row>
    <row r="2677" spans="1:16">
      <c r="A2677" s="1" t="s">
        <v>2193</v>
      </c>
      <c r="B2677" s="1">
        <v>11</v>
      </c>
      <c r="C2677" s="1" t="s">
        <v>6845</v>
      </c>
      <c r="D2677" s="1" t="s">
        <v>6756</v>
      </c>
      <c r="E2677" s="2">
        <v>45978</v>
      </c>
      <c r="F2677" s="1" t="s">
        <v>6757</v>
      </c>
      <c r="G2677" s="1" t="s">
        <v>6758</v>
      </c>
      <c r="I2677" s="1">
        <v>1</v>
      </c>
      <c r="J2677" s="3">
        <v>31900</v>
      </c>
      <c r="K2677" s="3">
        <v>30514</v>
      </c>
      <c r="L2677" s="1">
        <v>0</v>
      </c>
      <c r="M2677" s="4">
        <v>0</v>
      </c>
      <c r="N2677" s="3">
        <v>1386</v>
      </c>
      <c r="O2677" s="4">
        <v>4.2999999999999997E-2</v>
      </c>
      <c r="P2677" s="1" t="s">
        <v>2723</v>
      </c>
    </row>
    <row r="2678" spans="1:16">
      <c r="A2678" s="1" t="s">
        <v>2193</v>
      </c>
      <c r="B2678" s="1">
        <v>11</v>
      </c>
      <c r="C2678" s="1" t="s">
        <v>6846</v>
      </c>
      <c r="D2678" s="1" t="s">
        <v>6756</v>
      </c>
      <c r="E2678" s="2">
        <v>45978</v>
      </c>
      <c r="F2678" s="1" t="s">
        <v>6757</v>
      </c>
      <c r="G2678" s="1" t="s">
        <v>6758</v>
      </c>
      <c r="I2678" s="1">
        <v>1</v>
      </c>
      <c r="J2678" s="3">
        <v>31900</v>
      </c>
      <c r="K2678" s="3">
        <v>30514</v>
      </c>
      <c r="L2678" s="1">
        <v>0</v>
      </c>
      <c r="M2678" s="4">
        <v>0</v>
      </c>
      <c r="N2678" s="3">
        <v>1386</v>
      </c>
      <c r="O2678" s="4">
        <v>4.2999999999999997E-2</v>
      </c>
      <c r="P2678" s="1" t="s">
        <v>2723</v>
      </c>
    </row>
    <row r="2679" spans="1:16">
      <c r="A2679" s="1" t="s">
        <v>2193</v>
      </c>
      <c r="B2679" s="1">
        <v>11</v>
      </c>
      <c r="C2679" s="1" t="s">
        <v>6847</v>
      </c>
      <c r="D2679" s="1" t="s">
        <v>6756</v>
      </c>
      <c r="E2679" s="2">
        <v>45978</v>
      </c>
      <c r="F2679" s="1" t="s">
        <v>6757</v>
      </c>
      <c r="G2679" s="1" t="s">
        <v>6758</v>
      </c>
      <c r="I2679" s="1">
        <v>1</v>
      </c>
      <c r="J2679" s="3">
        <v>31900</v>
      </c>
      <c r="K2679" s="3">
        <v>30514</v>
      </c>
      <c r="L2679" s="1">
        <v>0</v>
      </c>
      <c r="M2679" s="4">
        <v>0</v>
      </c>
      <c r="N2679" s="3">
        <v>1386</v>
      </c>
      <c r="O2679" s="4">
        <v>4.2999999999999997E-2</v>
      </c>
      <c r="P2679" s="1" t="s">
        <v>2723</v>
      </c>
    </row>
    <row r="2680" spans="1:16">
      <c r="A2680" s="1" t="s">
        <v>2193</v>
      </c>
      <c r="B2680" s="1">
        <v>11</v>
      </c>
      <c r="C2680" s="1" t="s">
        <v>6848</v>
      </c>
      <c r="D2680" s="1" t="s">
        <v>6756</v>
      </c>
      <c r="E2680" s="2">
        <v>45978</v>
      </c>
      <c r="F2680" s="1" t="s">
        <v>6757</v>
      </c>
      <c r="G2680" s="1" t="s">
        <v>6758</v>
      </c>
      <c r="I2680" s="1">
        <v>1</v>
      </c>
      <c r="J2680" s="3">
        <v>31900</v>
      </c>
      <c r="K2680" s="3">
        <v>30514</v>
      </c>
      <c r="L2680" s="1">
        <v>0</v>
      </c>
      <c r="M2680" s="4">
        <v>0</v>
      </c>
      <c r="N2680" s="3">
        <v>1386</v>
      </c>
      <c r="O2680" s="4">
        <v>4.2999999999999997E-2</v>
      </c>
      <c r="P2680" s="1" t="s">
        <v>2723</v>
      </c>
    </row>
    <row r="2681" spans="1:16">
      <c r="A2681" s="1" t="s">
        <v>2193</v>
      </c>
      <c r="B2681" s="1">
        <v>11</v>
      </c>
      <c r="C2681" s="1" t="s">
        <v>6849</v>
      </c>
      <c r="D2681" s="1" t="s">
        <v>6756</v>
      </c>
      <c r="E2681" s="2">
        <v>45978</v>
      </c>
      <c r="F2681" s="1" t="s">
        <v>6757</v>
      </c>
      <c r="G2681" s="1" t="s">
        <v>6758</v>
      </c>
      <c r="I2681" s="1">
        <v>1</v>
      </c>
      <c r="J2681" s="3">
        <v>31900</v>
      </c>
      <c r="K2681" s="3">
        <v>30514</v>
      </c>
      <c r="L2681" s="1">
        <v>0</v>
      </c>
      <c r="M2681" s="4">
        <v>0</v>
      </c>
      <c r="N2681" s="3">
        <v>1386</v>
      </c>
      <c r="O2681" s="4">
        <v>4.2999999999999997E-2</v>
      </c>
      <c r="P2681" s="1" t="s">
        <v>2723</v>
      </c>
    </row>
    <row r="2682" spans="1:16">
      <c r="A2682" s="1" t="s">
        <v>2193</v>
      </c>
      <c r="B2682" s="1">
        <v>11</v>
      </c>
      <c r="C2682" s="1" t="s">
        <v>6850</v>
      </c>
      <c r="D2682" s="1" t="s">
        <v>6756</v>
      </c>
      <c r="E2682" s="2">
        <v>45978</v>
      </c>
      <c r="F2682" s="1" t="s">
        <v>6757</v>
      </c>
      <c r="G2682" s="1" t="s">
        <v>6758</v>
      </c>
      <c r="I2682" s="1">
        <v>1</v>
      </c>
      <c r="J2682" s="3">
        <v>31900</v>
      </c>
      <c r="K2682" s="3">
        <v>30514</v>
      </c>
      <c r="L2682" s="1">
        <v>0</v>
      </c>
      <c r="M2682" s="4">
        <v>0</v>
      </c>
      <c r="N2682" s="3">
        <v>1386</v>
      </c>
      <c r="O2682" s="4">
        <v>4.2999999999999997E-2</v>
      </c>
      <c r="P2682" s="1" t="s">
        <v>2723</v>
      </c>
    </row>
    <row r="2683" spans="1:16">
      <c r="A2683" s="1" t="s">
        <v>2193</v>
      </c>
      <c r="B2683" s="1">
        <v>11</v>
      </c>
      <c r="C2683" s="1" t="s">
        <v>6851</v>
      </c>
      <c r="D2683" s="1" t="s">
        <v>6756</v>
      </c>
      <c r="E2683" s="2">
        <v>45978</v>
      </c>
      <c r="F2683" s="1" t="s">
        <v>6757</v>
      </c>
      <c r="G2683" s="1" t="s">
        <v>6758</v>
      </c>
      <c r="I2683" s="1">
        <v>1</v>
      </c>
      <c r="J2683" s="3">
        <v>31900</v>
      </c>
      <c r="K2683" s="3">
        <v>30514</v>
      </c>
      <c r="L2683" s="1">
        <v>0</v>
      </c>
      <c r="M2683" s="4">
        <v>0</v>
      </c>
      <c r="N2683" s="3">
        <v>1386</v>
      </c>
      <c r="O2683" s="4">
        <v>4.2999999999999997E-2</v>
      </c>
      <c r="P2683" s="1" t="s">
        <v>2723</v>
      </c>
    </row>
    <row r="2684" spans="1:16">
      <c r="A2684" s="1" t="s">
        <v>2193</v>
      </c>
      <c r="B2684" s="1">
        <v>11</v>
      </c>
      <c r="C2684" s="1" t="s">
        <v>6852</v>
      </c>
      <c r="D2684" s="1" t="s">
        <v>6756</v>
      </c>
      <c r="E2684" s="2">
        <v>45978</v>
      </c>
      <c r="F2684" s="1" t="s">
        <v>6757</v>
      </c>
      <c r="G2684" s="1" t="s">
        <v>6758</v>
      </c>
      <c r="I2684" s="1">
        <v>1</v>
      </c>
      <c r="J2684" s="3">
        <v>31900</v>
      </c>
      <c r="K2684" s="3">
        <v>30514</v>
      </c>
      <c r="L2684" s="1">
        <v>0</v>
      </c>
      <c r="M2684" s="4">
        <v>0</v>
      </c>
      <c r="N2684" s="3">
        <v>1386</v>
      </c>
      <c r="O2684" s="4">
        <v>4.2999999999999997E-2</v>
      </c>
      <c r="P2684" s="1" t="s">
        <v>2723</v>
      </c>
    </row>
    <row r="2685" spans="1:16">
      <c r="A2685" s="1" t="s">
        <v>2193</v>
      </c>
      <c r="B2685" s="1">
        <v>11</v>
      </c>
      <c r="C2685" s="1" t="s">
        <v>6853</v>
      </c>
      <c r="D2685" s="1" t="s">
        <v>6756</v>
      </c>
      <c r="E2685" s="2">
        <v>45978</v>
      </c>
      <c r="F2685" s="1" t="s">
        <v>6757</v>
      </c>
      <c r="G2685" s="1" t="s">
        <v>6758</v>
      </c>
      <c r="I2685" s="1">
        <v>1</v>
      </c>
      <c r="J2685" s="3">
        <v>31900</v>
      </c>
      <c r="K2685" s="3">
        <v>30514</v>
      </c>
      <c r="L2685" s="1">
        <v>0</v>
      </c>
      <c r="M2685" s="4">
        <v>0</v>
      </c>
      <c r="N2685" s="3">
        <v>1386</v>
      </c>
      <c r="O2685" s="4">
        <v>4.2999999999999997E-2</v>
      </c>
      <c r="P2685" s="1" t="s">
        <v>2723</v>
      </c>
    </row>
    <row r="2686" spans="1:16">
      <c r="A2686" s="1" t="s">
        <v>2193</v>
      </c>
      <c r="B2686" s="1">
        <v>11</v>
      </c>
      <c r="C2686" s="1" t="s">
        <v>6854</v>
      </c>
      <c r="D2686" s="1" t="s">
        <v>6756</v>
      </c>
      <c r="E2686" s="2">
        <v>45978</v>
      </c>
      <c r="F2686" s="1" t="s">
        <v>6757</v>
      </c>
      <c r="G2686" s="1" t="s">
        <v>6758</v>
      </c>
      <c r="I2686" s="1">
        <v>1</v>
      </c>
      <c r="J2686" s="3">
        <v>31900</v>
      </c>
      <c r="K2686" s="3">
        <v>30514</v>
      </c>
      <c r="L2686" s="1">
        <v>0</v>
      </c>
      <c r="M2686" s="4">
        <v>0</v>
      </c>
      <c r="N2686" s="3">
        <v>1386</v>
      </c>
      <c r="O2686" s="4">
        <v>4.2999999999999997E-2</v>
      </c>
      <c r="P2686" s="1" t="s">
        <v>2723</v>
      </c>
    </row>
    <row r="2687" spans="1:16">
      <c r="A2687" s="1" t="s">
        <v>2193</v>
      </c>
      <c r="B2687" s="1">
        <v>11</v>
      </c>
      <c r="C2687" s="1" t="s">
        <v>6855</v>
      </c>
      <c r="D2687" s="1" t="s">
        <v>6756</v>
      </c>
      <c r="E2687" s="2">
        <v>45978</v>
      </c>
      <c r="F2687" s="1" t="s">
        <v>6757</v>
      </c>
      <c r="G2687" s="1" t="s">
        <v>6758</v>
      </c>
      <c r="I2687" s="1">
        <v>1</v>
      </c>
      <c r="J2687" s="3">
        <v>31900</v>
      </c>
      <c r="K2687" s="3">
        <v>30514</v>
      </c>
      <c r="L2687" s="1">
        <v>0</v>
      </c>
      <c r="M2687" s="4">
        <v>0</v>
      </c>
      <c r="N2687" s="3">
        <v>1386</v>
      </c>
      <c r="O2687" s="4">
        <v>4.2999999999999997E-2</v>
      </c>
      <c r="P2687" s="1" t="s">
        <v>2723</v>
      </c>
    </row>
    <row r="2688" spans="1:16">
      <c r="A2688" s="1" t="s">
        <v>2193</v>
      </c>
      <c r="B2688" s="1">
        <v>11</v>
      </c>
      <c r="C2688" s="1" t="s">
        <v>6856</v>
      </c>
      <c r="D2688" s="1" t="s">
        <v>6756</v>
      </c>
      <c r="E2688" s="2">
        <v>45978</v>
      </c>
      <c r="F2688" s="1" t="s">
        <v>6757</v>
      </c>
      <c r="G2688" s="1" t="s">
        <v>6758</v>
      </c>
      <c r="I2688" s="1">
        <v>1</v>
      </c>
      <c r="J2688" s="3">
        <v>31900</v>
      </c>
      <c r="K2688" s="3">
        <v>30514</v>
      </c>
      <c r="L2688" s="1">
        <v>0</v>
      </c>
      <c r="M2688" s="4">
        <v>0</v>
      </c>
      <c r="N2688" s="3">
        <v>1386</v>
      </c>
      <c r="O2688" s="4">
        <v>4.2999999999999997E-2</v>
      </c>
      <c r="P2688" s="1" t="s">
        <v>2723</v>
      </c>
    </row>
    <row r="2689" spans="1:16">
      <c r="A2689" s="1" t="s">
        <v>2193</v>
      </c>
      <c r="B2689" s="1">
        <v>11</v>
      </c>
      <c r="C2689" s="1" t="s">
        <v>6857</v>
      </c>
      <c r="D2689" s="1" t="s">
        <v>6756</v>
      </c>
      <c r="E2689" s="2">
        <v>45978</v>
      </c>
      <c r="F2689" s="1" t="s">
        <v>6757</v>
      </c>
      <c r="G2689" s="1" t="s">
        <v>6758</v>
      </c>
      <c r="I2689" s="1">
        <v>1</v>
      </c>
      <c r="J2689" s="3">
        <v>31900</v>
      </c>
      <c r="K2689" s="3">
        <v>30514</v>
      </c>
      <c r="L2689" s="1">
        <v>0</v>
      </c>
      <c r="M2689" s="4">
        <v>0</v>
      </c>
      <c r="N2689" s="3">
        <v>1386</v>
      </c>
      <c r="O2689" s="4">
        <v>4.2999999999999997E-2</v>
      </c>
      <c r="P2689" s="1" t="s">
        <v>2723</v>
      </c>
    </row>
    <row r="2690" spans="1:16">
      <c r="A2690" s="1" t="s">
        <v>2193</v>
      </c>
      <c r="B2690" s="1">
        <v>11</v>
      </c>
      <c r="C2690" s="1" t="s">
        <v>6858</v>
      </c>
      <c r="D2690" s="1" t="s">
        <v>6756</v>
      </c>
      <c r="E2690" s="2">
        <v>45978</v>
      </c>
      <c r="F2690" s="1" t="s">
        <v>6757</v>
      </c>
      <c r="G2690" s="1" t="s">
        <v>6758</v>
      </c>
      <c r="I2690" s="1">
        <v>1</v>
      </c>
      <c r="J2690" s="3">
        <v>31900</v>
      </c>
      <c r="K2690" s="3">
        <v>30514</v>
      </c>
      <c r="L2690" s="1">
        <v>0</v>
      </c>
      <c r="M2690" s="4">
        <v>0</v>
      </c>
      <c r="N2690" s="3">
        <v>1386</v>
      </c>
      <c r="O2690" s="4">
        <v>4.2999999999999997E-2</v>
      </c>
      <c r="P2690" s="1" t="s">
        <v>2723</v>
      </c>
    </row>
    <row r="2691" spans="1:16">
      <c r="A2691" s="1" t="s">
        <v>2193</v>
      </c>
      <c r="B2691" s="1">
        <v>11</v>
      </c>
      <c r="C2691" s="1" t="s">
        <v>6859</v>
      </c>
      <c r="D2691" s="1" t="s">
        <v>6756</v>
      </c>
      <c r="E2691" s="2">
        <v>45978</v>
      </c>
      <c r="F2691" s="1" t="s">
        <v>6757</v>
      </c>
      <c r="G2691" s="1" t="s">
        <v>6758</v>
      </c>
      <c r="I2691" s="1">
        <v>1</v>
      </c>
      <c r="J2691" s="3">
        <v>31900</v>
      </c>
      <c r="K2691" s="3">
        <v>30514</v>
      </c>
      <c r="L2691" s="1">
        <v>0</v>
      </c>
      <c r="M2691" s="4">
        <v>0</v>
      </c>
      <c r="N2691" s="3">
        <v>1386</v>
      </c>
      <c r="O2691" s="4">
        <v>4.2999999999999997E-2</v>
      </c>
      <c r="P2691" s="1" t="s">
        <v>2723</v>
      </c>
    </row>
    <row r="2692" spans="1:16">
      <c r="A2692" s="1" t="s">
        <v>2193</v>
      </c>
      <c r="B2692" s="1">
        <v>11</v>
      </c>
      <c r="C2692" s="1" t="s">
        <v>6860</v>
      </c>
      <c r="D2692" s="1" t="s">
        <v>6756</v>
      </c>
      <c r="E2692" s="2">
        <v>45978</v>
      </c>
      <c r="F2692" s="1" t="s">
        <v>6757</v>
      </c>
      <c r="G2692" s="1" t="s">
        <v>6758</v>
      </c>
      <c r="I2692" s="1">
        <v>1</v>
      </c>
      <c r="J2692" s="3">
        <v>31900</v>
      </c>
      <c r="K2692" s="3">
        <v>30514</v>
      </c>
      <c r="L2692" s="1">
        <v>0</v>
      </c>
      <c r="M2692" s="4">
        <v>0</v>
      </c>
      <c r="N2692" s="3">
        <v>1386</v>
      </c>
      <c r="O2692" s="4">
        <v>4.2999999999999997E-2</v>
      </c>
      <c r="P2692" s="1" t="s">
        <v>2723</v>
      </c>
    </row>
    <row r="2693" spans="1:16">
      <c r="A2693" s="1" t="s">
        <v>2193</v>
      </c>
      <c r="B2693" s="1">
        <v>11</v>
      </c>
      <c r="C2693" s="1" t="s">
        <v>6861</v>
      </c>
      <c r="D2693" s="1" t="s">
        <v>6756</v>
      </c>
      <c r="E2693" s="2">
        <v>45978</v>
      </c>
      <c r="F2693" s="1" t="s">
        <v>6757</v>
      </c>
      <c r="G2693" s="1" t="s">
        <v>6758</v>
      </c>
      <c r="I2693" s="1">
        <v>1</v>
      </c>
      <c r="J2693" s="3">
        <v>31900</v>
      </c>
      <c r="K2693" s="3">
        <v>30514</v>
      </c>
      <c r="L2693" s="1">
        <v>0</v>
      </c>
      <c r="M2693" s="4">
        <v>0</v>
      </c>
      <c r="N2693" s="3">
        <v>1386</v>
      </c>
      <c r="O2693" s="4">
        <v>4.2999999999999997E-2</v>
      </c>
      <c r="P2693" s="1" t="s">
        <v>2723</v>
      </c>
    </row>
    <row r="2694" spans="1:16">
      <c r="A2694" s="1" t="s">
        <v>2193</v>
      </c>
      <c r="B2694" s="1">
        <v>11</v>
      </c>
      <c r="C2694" s="1" t="s">
        <v>6862</v>
      </c>
      <c r="D2694" s="1" t="s">
        <v>6756</v>
      </c>
      <c r="E2694" s="2">
        <v>45978</v>
      </c>
      <c r="F2694" s="1" t="s">
        <v>6757</v>
      </c>
      <c r="G2694" s="1" t="s">
        <v>6758</v>
      </c>
      <c r="I2694" s="1">
        <v>1</v>
      </c>
      <c r="J2694" s="3">
        <v>31900</v>
      </c>
      <c r="K2694" s="3">
        <v>30514</v>
      </c>
      <c r="L2694" s="1">
        <v>0</v>
      </c>
      <c r="M2694" s="4">
        <v>0</v>
      </c>
      <c r="N2694" s="3">
        <v>1386</v>
      </c>
      <c r="O2694" s="4">
        <v>4.2999999999999997E-2</v>
      </c>
      <c r="P2694" s="1" t="s">
        <v>2723</v>
      </c>
    </row>
    <row r="2695" spans="1:16">
      <c r="A2695" s="1" t="s">
        <v>2193</v>
      </c>
      <c r="B2695" s="1">
        <v>11</v>
      </c>
      <c r="C2695" s="1" t="s">
        <v>6863</v>
      </c>
      <c r="D2695" s="1" t="s">
        <v>6756</v>
      </c>
      <c r="E2695" s="2">
        <v>45978</v>
      </c>
      <c r="F2695" s="1" t="s">
        <v>6757</v>
      </c>
      <c r="G2695" s="1" t="s">
        <v>6758</v>
      </c>
      <c r="I2695" s="1">
        <v>1</v>
      </c>
      <c r="J2695" s="3">
        <v>31900</v>
      </c>
      <c r="K2695" s="3">
        <v>30514</v>
      </c>
      <c r="L2695" s="1">
        <v>0</v>
      </c>
      <c r="M2695" s="4">
        <v>0</v>
      </c>
      <c r="N2695" s="3">
        <v>1386</v>
      </c>
      <c r="O2695" s="4">
        <v>4.2999999999999997E-2</v>
      </c>
      <c r="P2695" s="1" t="s">
        <v>2723</v>
      </c>
    </row>
    <row r="2696" spans="1:16">
      <c r="A2696" s="1" t="s">
        <v>2193</v>
      </c>
      <c r="B2696" s="1">
        <v>11</v>
      </c>
      <c r="C2696" s="1" t="s">
        <v>6864</v>
      </c>
      <c r="D2696" s="1" t="s">
        <v>6756</v>
      </c>
      <c r="E2696" s="2">
        <v>45978</v>
      </c>
      <c r="F2696" s="1" t="s">
        <v>6757</v>
      </c>
      <c r="G2696" s="1" t="s">
        <v>6758</v>
      </c>
      <c r="I2696" s="1">
        <v>1</v>
      </c>
      <c r="J2696" s="3">
        <v>31900</v>
      </c>
      <c r="K2696" s="3">
        <v>30514</v>
      </c>
      <c r="L2696" s="1">
        <v>0</v>
      </c>
      <c r="M2696" s="4">
        <v>0</v>
      </c>
      <c r="N2696" s="3">
        <v>1386</v>
      </c>
      <c r="O2696" s="4">
        <v>4.2999999999999997E-2</v>
      </c>
      <c r="P2696" s="1" t="s">
        <v>2723</v>
      </c>
    </row>
    <row r="2697" spans="1:16">
      <c r="A2697" s="1" t="s">
        <v>2193</v>
      </c>
      <c r="B2697" s="1">
        <v>11</v>
      </c>
      <c r="C2697" s="1" t="s">
        <v>6865</v>
      </c>
      <c r="D2697" s="1" t="s">
        <v>6756</v>
      </c>
      <c r="E2697" s="2">
        <v>45978</v>
      </c>
      <c r="F2697" s="1" t="s">
        <v>6757</v>
      </c>
      <c r="G2697" s="1" t="s">
        <v>6758</v>
      </c>
      <c r="I2697" s="1">
        <v>1</v>
      </c>
      <c r="J2697" s="3">
        <v>31900</v>
      </c>
      <c r="K2697" s="3">
        <v>30514</v>
      </c>
      <c r="L2697" s="1">
        <v>0</v>
      </c>
      <c r="M2697" s="4">
        <v>0</v>
      </c>
      <c r="N2697" s="3">
        <v>1386</v>
      </c>
      <c r="O2697" s="4">
        <v>4.2999999999999997E-2</v>
      </c>
      <c r="P2697" s="1" t="s">
        <v>2723</v>
      </c>
    </row>
    <row r="2698" spans="1:16">
      <c r="A2698" s="1" t="s">
        <v>2193</v>
      </c>
      <c r="B2698" s="1">
        <v>11</v>
      </c>
      <c r="C2698" s="1" t="s">
        <v>6866</v>
      </c>
      <c r="D2698" s="1" t="s">
        <v>6756</v>
      </c>
      <c r="E2698" s="2">
        <v>45978</v>
      </c>
      <c r="F2698" s="1" t="s">
        <v>6757</v>
      </c>
      <c r="G2698" s="1" t="s">
        <v>6758</v>
      </c>
      <c r="I2698" s="1">
        <v>1</v>
      </c>
      <c r="J2698" s="3">
        <v>31900</v>
      </c>
      <c r="K2698" s="3">
        <v>30514</v>
      </c>
      <c r="L2698" s="1">
        <v>0</v>
      </c>
      <c r="M2698" s="4">
        <v>0</v>
      </c>
      <c r="N2698" s="3">
        <v>1386</v>
      </c>
      <c r="O2698" s="4">
        <v>4.2999999999999997E-2</v>
      </c>
      <c r="P2698" s="1" t="s">
        <v>2723</v>
      </c>
    </row>
    <row r="2699" spans="1:16">
      <c r="A2699" s="1" t="s">
        <v>2193</v>
      </c>
      <c r="B2699" s="1">
        <v>11</v>
      </c>
      <c r="C2699" s="1" t="s">
        <v>6867</v>
      </c>
      <c r="D2699" s="1" t="s">
        <v>6756</v>
      </c>
      <c r="E2699" s="2">
        <v>45978</v>
      </c>
      <c r="F2699" s="1" t="s">
        <v>6757</v>
      </c>
      <c r="G2699" s="1" t="s">
        <v>6758</v>
      </c>
      <c r="I2699" s="1">
        <v>1</v>
      </c>
      <c r="J2699" s="3">
        <v>31900</v>
      </c>
      <c r="K2699" s="3">
        <v>30514</v>
      </c>
      <c r="L2699" s="1">
        <v>0</v>
      </c>
      <c r="M2699" s="4">
        <v>0</v>
      </c>
      <c r="N2699" s="3">
        <v>1386</v>
      </c>
      <c r="O2699" s="4">
        <v>4.2999999999999997E-2</v>
      </c>
      <c r="P2699" s="1" t="s">
        <v>2723</v>
      </c>
    </row>
    <row r="2700" spans="1:16">
      <c r="A2700" s="1" t="s">
        <v>2193</v>
      </c>
      <c r="B2700" s="1">
        <v>11</v>
      </c>
      <c r="C2700" s="1" t="s">
        <v>6868</v>
      </c>
      <c r="D2700" s="1" t="s">
        <v>6756</v>
      </c>
      <c r="E2700" s="2">
        <v>45978</v>
      </c>
      <c r="F2700" s="1" t="s">
        <v>6757</v>
      </c>
      <c r="G2700" s="1" t="s">
        <v>6758</v>
      </c>
      <c r="I2700" s="1">
        <v>1</v>
      </c>
      <c r="J2700" s="3">
        <v>31900</v>
      </c>
      <c r="K2700" s="3">
        <v>30514</v>
      </c>
      <c r="L2700" s="1">
        <v>0</v>
      </c>
      <c r="M2700" s="4">
        <v>0</v>
      </c>
      <c r="N2700" s="3">
        <v>1386</v>
      </c>
      <c r="O2700" s="4">
        <v>4.2999999999999997E-2</v>
      </c>
      <c r="P2700" s="1" t="s">
        <v>2723</v>
      </c>
    </row>
    <row r="2701" spans="1:16">
      <c r="A2701" s="1" t="s">
        <v>2193</v>
      </c>
      <c r="B2701" s="1">
        <v>11</v>
      </c>
      <c r="C2701" s="1" t="s">
        <v>6869</v>
      </c>
      <c r="D2701" s="1" t="s">
        <v>6756</v>
      </c>
      <c r="E2701" s="2">
        <v>45978</v>
      </c>
      <c r="F2701" s="1" t="s">
        <v>6757</v>
      </c>
      <c r="G2701" s="1" t="s">
        <v>6758</v>
      </c>
      <c r="I2701" s="1">
        <v>1</v>
      </c>
      <c r="J2701" s="3">
        <v>31900</v>
      </c>
      <c r="K2701" s="3">
        <v>30514</v>
      </c>
      <c r="L2701" s="1">
        <v>0</v>
      </c>
      <c r="M2701" s="4">
        <v>0</v>
      </c>
      <c r="N2701" s="3">
        <v>1386</v>
      </c>
      <c r="O2701" s="4">
        <v>4.2999999999999997E-2</v>
      </c>
      <c r="P2701" s="1" t="s">
        <v>2723</v>
      </c>
    </row>
    <row r="2702" spans="1:16">
      <c r="A2702" s="1" t="s">
        <v>2193</v>
      </c>
      <c r="B2702" s="1">
        <v>11</v>
      </c>
      <c r="C2702" s="1" t="s">
        <v>6870</v>
      </c>
      <c r="D2702" s="1" t="s">
        <v>6756</v>
      </c>
      <c r="E2702" s="2">
        <v>45978</v>
      </c>
      <c r="F2702" s="1" t="s">
        <v>6757</v>
      </c>
      <c r="G2702" s="1" t="s">
        <v>6758</v>
      </c>
      <c r="I2702" s="1">
        <v>1</v>
      </c>
      <c r="J2702" s="3">
        <v>31900</v>
      </c>
      <c r="K2702" s="3">
        <v>30514</v>
      </c>
      <c r="L2702" s="1">
        <v>0</v>
      </c>
      <c r="M2702" s="4">
        <v>0</v>
      </c>
      <c r="N2702" s="3">
        <v>1386</v>
      </c>
      <c r="O2702" s="4">
        <v>4.2999999999999997E-2</v>
      </c>
      <c r="P2702" s="1" t="s">
        <v>2723</v>
      </c>
    </row>
    <row r="2703" spans="1:16">
      <c r="A2703" s="1" t="s">
        <v>2193</v>
      </c>
      <c r="B2703" s="1">
        <v>11</v>
      </c>
      <c r="C2703" s="1" t="s">
        <v>6871</v>
      </c>
      <c r="D2703" s="1" t="s">
        <v>6756</v>
      </c>
      <c r="E2703" s="2">
        <v>45978</v>
      </c>
      <c r="F2703" s="1" t="s">
        <v>6757</v>
      </c>
      <c r="G2703" s="1" t="s">
        <v>6758</v>
      </c>
      <c r="I2703" s="1">
        <v>1</v>
      </c>
      <c r="J2703" s="3">
        <v>31900</v>
      </c>
      <c r="K2703" s="3">
        <v>30514</v>
      </c>
      <c r="L2703" s="1">
        <v>0</v>
      </c>
      <c r="M2703" s="4">
        <v>0</v>
      </c>
      <c r="N2703" s="3">
        <v>1386</v>
      </c>
      <c r="O2703" s="4">
        <v>4.2999999999999997E-2</v>
      </c>
      <c r="P2703" s="1" t="s">
        <v>2723</v>
      </c>
    </row>
    <row r="2704" spans="1:16">
      <c r="A2704" s="1" t="s">
        <v>2193</v>
      </c>
      <c r="B2704" s="1">
        <v>11</v>
      </c>
      <c r="C2704" s="1" t="s">
        <v>6872</v>
      </c>
      <c r="D2704" s="1" t="s">
        <v>6756</v>
      </c>
      <c r="E2704" s="2">
        <v>45978</v>
      </c>
      <c r="F2704" s="1" t="s">
        <v>6757</v>
      </c>
      <c r="G2704" s="1" t="s">
        <v>6758</v>
      </c>
      <c r="I2704" s="1">
        <v>1</v>
      </c>
      <c r="J2704" s="3">
        <v>31900</v>
      </c>
      <c r="K2704" s="3">
        <v>30514</v>
      </c>
      <c r="L2704" s="1">
        <v>0</v>
      </c>
      <c r="M2704" s="4">
        <v>0</v>
      </c>
      <c r="N2704" s="3">
        <v>1386</v>
      </c>
      <c r="O2704" s="4">
        <v>4.2999999999999997E-2</v>
      </c>
      <c r="P2704" s="1" t="s">
        <v>2723</v>
      </c>
    </row>
    <row r="2705" spans="1:16">
      <c r="A2705" s="1" t="s">
        <v>2193</v>
      </c>
      <c r="B2705" s="1">
        <v>11</v>
      </c>
      <c r="C2705" s="1" t="s">
        <v>6873</v>
      </c>
      <c r="D2705" s="1" t="s">
        <v>6756</v>
      </c>
      <c r="E2705" s="2">
        <v>45978</v>
      </c>
      <c r="F2705" s="1" t="s">
        <v>6757</v>
      </c>
      <c r="G2705" s="1" t="s">
        <v>6758</v>
      </c>
      <c r="I2705" s="1">
        <v>1</v>
      </c>
      <c r="J2705" s="3">
        <v>31900</v>
      </c>
      <c r="K2705" s="3">
        <v>30514</v>
      </c>
      <c r="L2705" s="1">
        <v>0</v>
      </c>
      <c r="M2705" s="4">
        <v>0</v>
      </c>
      <c r="N2705" s="3">
        <v>1386</v>
      </c>
      <c r="O2705" s="4">
        <v>4.2999999999999997E-2</v>
      </c>
      <c r="P2705" s="1" t="s">
        <v>2723</v>
      </c>
    </row>
    <row r="2706" spans="1:16">
      <c r="A2706" s="1" t="s">
        <v>2193</v>
      </c>
      <c r="B2706" s="1">
        <v>11</v>
      </c>
      <c r="C2706" s="1" t="s">
        <v>6874</v>
      </c>
      <c r="D2706" s="1" t="s">
        <v>6756</v>
      </c>
      <c r="E2706" s="2">
        <v>45978</v>
      </c>
      <c r="F2706" s="1" t="s">
        <v>6757</v>
      </c>
      <c r="G2706" s="1" t="s">
        <v>6758</v>
      </c>
      <c r="I2706" s="1">
        <v>1</v>
      </c>
      <c r="J2706" s="3">
        <v>31900</v>
      </c>
      <c r="K2706" s="3">
        <v>30514</v>
      </c>
      <c r="L2706" s="1">
        <v>0</v>
      </c>
      <c r="M2706" s="4">
        <v>0</v>
      </c>
      <c r="N2706" s="3">
        <v>1386</v>
      </c>
      <c r="O2706" s="4">
        <v>4.2999999999999997E-2</v>
      </c>
      <c r="P2706" s="1" t="s">
        <v>2723</v>
      </c>
    </row>
    <row r="2707" spans="1:16">
      <c r="A2707" s="1" t="s">
        <v>2193</v>
      </c>
      <c r="B2707" s="1">
        <v>11</v>
      </c>
      <c r="C2707" s="1" t="s">
        <v>6875</v>
      </c>
      <c r="D2707" s="1" t="s">
        <v>6756</v>
      </c>
      <c r="E2707" s="2">
        <v>45978</v>
      </c>
      <c r="F2707" s="1" t="s">
        <v>6757</v>
      </c>
      <c r="G2707" s="1" t="s">
        <v>6758</v>
      </c>
      <c r="I2707" s="1">
        <v>1</v>
      </c>
      <c r="J2707" s="3">
        <v>31900</v>
      </c>
      <c r="K2707" s="3">
        <v>30514</v>
      </c>
      <c r="L2707" s="1">
        <v>0</v>
      </c>
      <c r="M2707" s="4">
        <v>0</v>
      </c>
      <c r="N2707" s="3">
        <v>1386</v>
      </c>
      <c r="O2707" s="4">
        <v>4.2999999999999997E-2</v>
      </c>
      <c r="P2707" s="1" t="s">
        <v>2723</v>
      </c>
    </row>
    <row r="2708" spans="1:16">
      <c r="A2708" s="1" t="s">
        <v>2193</v>
      </c>
      <c r="B2708" s="1">
        <v>11</v>
      </c>
      <c r="C2708" s="1" t="s">
        <v>6876</v>
      </c>
      <c r="D2708" s="1" t="s">
        <v>6756</v>
      </c>
      <c r="E2708" s="2">
        <v>45978</v>
      </c>
      <c r="F2708" s="1" t="s">
        <v>6757</v>
      </c>
      <c r="G2708" s="1" t="s">
        <v>6758</v>
      </c>
      <c r="I2708" s="1">
        <v>1</v>
      </c>
      <c r="J2708" s="3">
        <v>31900</v>
      </c>
      <c r="K2708" s="3">
        <v>30514</v>
      </c>
      <c r="L2708" s="1">
        <v>0</v>
      </c>
      <c r="M2708" s="4">
        <v>0</v>
      </c>
      <c r="N2708" s="3">
        <v>1386</v>
      </c>
      <c r="O2708" s="4">
        <v>4.2999999999999997E-2</v>
      </c>
      <c r="P2708" s="1" t="s">
        <v>2723</v>
      </c>
    </row>
    <row r="2709" spans="1:16">
      <c r="A2709" s="1" t="s">
        <v>2193</v>
      </c>
      <c r="B2709" s="1">
        <v>11</v>
      </c>
      <c r="C2709" s="1" t="s">
        <v>6877</v>
      </c>
      <c r="D2709" s="1" t="s">
        <v>6756</v>
      </c>
      <c r="E2709" s="2">
        <v>45978</v>
      </c>
      <c r="F2709" s="1" t="s">
        <v>6757</v>
      </c>
      <c r="G2709" s="1" t="s">
        <v>6758</v>
      </c>
      <c r="I2709" s="1">
        <v>1</v>
      </c>
      <c r="J2709" s="3">
        <v>31900</v>
      </c>
      <c r="K2709" s="3">
        <v>30514</v>
      </c>
      <c r="L2709" s="1">
        <v>0</v>
      </c>
      <c r="M2709" s="4">
        <v>0</v>
      </c>
      <c r="N2709" s="3">
        <v>1386</v>
      </c>
      <c r="O2709" s="4">
        <v>4.2999999999999997E-2</v>
      </c>
      <c r="P2709" s="1" t="s">
        <v>2723</v>
      </c>
    </row>
    <row r="2710" spans="1:16">
      <c r="A2710" s="1" t="s">
        <v>2193</v>
      </c>
      <c r="B2710" s="1">
        <v>11</v>
      </c>
      <c r="C2710" s="1" t="s">
        <v>6878</v>
      </c>
      <c r="D2710" s="1" t="s">
        <v>6756</v>
      </c>
      <c r="E2710" s="2">
        <v>45978</v>
      </c>
      <c r="F2710" s="1" t="s">
        <v>6757</v>
      </c>
      <c r="G2710" s="1" t="s">
        <v>6758</v>
      </c>
      <c r="I2710" s="1">
        <v>1</v>
      </c>
      <c r="J2710" s="3">
        <v>31900</v>
      </c>
      <c r="K2710" s="3">
        <v>30514</v>
      </c>
      <c r="L2710" s="1">
        <v>0</v>
      </c>
      <c r="M2710" s="4">
        <v>0</v>
      </c>
      <c r="N2710" s="3">
        <v>1386</v>
      </c>
      <c r="O2710" s="4">
        <v>4.2999999999999997E-2</v>
      </c>
      <c r="P2710" s="1" t="s">
        <v>2723</v>
      </c>
    </row>
    <row r="2711" spans="1:16">
      <c r="A2711" s="1" t="s">
        <v>2193</v>
      </c>
      <c r="B2711" s="1">
        <v>11</v>
      </c>
      <c r="C2711" s="1" t="s">
        <v>6879</v>
      </c>
      <c r="D2711" s="1" t="s">
        <v>6756</v>
      </c>
      <c r="E2711" s="2">
        <v>45978</v>
      </c>
      <c r="F2711" s="1" t="s">
        <v>6757</v>
      </c>
      <c r="G2711" s="1" t="s">
        <v>6758</v>
      </c>
      <c r="I2711" s="1">
        <v>1</v>
      </c>
      <c r="J2711" s="3">
        <v>31900</v>
      </c>
      <c r="K2711" s="3">
        <v>30514</v>
      </c>
      <c r="L2711" s="1">
        <v>0</v>
      </c>
      <c r="M2711" s="4">
        <v>0</v>
      </c>
      <c r="N2711" s="3">
        <v>1386</v>
      </c>
      <c r="O2711" s="4">
        <v>4.2999999999999997E-2</v>
      </c>
      <c r="P2711" s="1" t="s">
        <v>2723</v>
      </c>
    </row>
    <row r="2712" spans="1:16">
      <c r="A2712" s="1" t="s">
        <v>2193</v>
      </c>
      <c r="B2712" s="1">
        <v>11</v>
      </c>
      <c r="C2712" s="1" t="s">
        <v>6880</v>
      </c>
      <c r="D2712" s="1" t="s">
        <v>6756</v>
      </c>
      <c r="E2712" s="2">
        <v>45978</v>
      </c>
      <c r="F2712" s="1" t="s">
        <v>6757</v>
      </c>
      <c r="G2712" s="1" t="s">
        <v>6758</v>
      </c>
      <c r="I2712" s="1">
        <v>1</v>
      </c>
      <c r="J2712" s="3">
        <v>31900</v>
      </c>
      <c r="K2712" s="3">
        <v>30514</v>
      </c>
      <c r="L2712" s="1">
        <v>0</v>
      </c>
      <c r="M2712" s="4">
        <v>0</v>
      </c>
      <c r="N2712" s="3">
        <v>1386</v>
      </c>
      <c r="O2712" s="4">
        <v>4.2999999999999997E-2</v>
      </c>
      <c r="P2712" s="1" t="s">
        <v>2723</v>
      </c>
    </row>
    <row r="2713" spans="1:16">
      <c r="A2713" s="1" t="s">
        <v>2193</v>
      </c>
      <c r="B2713" s="1">
        <v>11</v>
      </c>
      <c r="C2713" s="1" t="s">
        <v>6881</v>
      </c>
      <c r="D2713" s="1" t="s">
        <v>6756</v>
      </c>
      <c r="E2713" s="2">
        <v>45978</v>
      </c>
      <c r="F2713" s="1" t="s">
        <v>6757</v>
      </c>
      <c r="G2713" s="1" t="s">
        <v>6758</v>
      </c>
      <c r="I2713" s="1">
        <v>1</v>
      </c>
      <c r="J2713" s="3">
        <v>31900</v>
      </c>
      <c r="K2713" s="3">
        <v>30514</v>
      </c>
      <c r="L2713" s="1">
        <v>0</v>
      </c>
      <c r="M2713" s="4">
        <v>0</v>
      </c>
      <c r="N2713" s="3">
        <v>1386</v>
      </c>
      <c r="O2713" s="4">
        <v>4.2999999999999997E-2</v>
      </c>
      <c r="P2713" s="1" t="s">
        <v>2723</v>
      </c>
    </row>
    <row r="2714" spans="1:16">
      <c r="A2714" s="1" t="s">
        <v>2193</v>
      </c>
      <c r="B2714" s="1">
        <v>11</v>
      </c>
      <c r="C2714" s="1" t="s">
        <v>6882</v>
      </c>
      <c r="D2714" s="1" t="s">
        <v>6756</v>
      </c>
      <c r="E2714" s="2">
        <v>45978</v>
      </c>
      <c r="F2714" s="1" t="s">
        <v>6757</v>
      </c>
      <c r="G2714" s="1" t="s">
        <v>6758</v>
      </c>
      <c r="I2714" s="1">
        <v>1</v>
      </c>
      <c r="J2714" s="3">
        <v>31900</v>
      </c>
      <c r="K2714" s="3">
        <v>30514</v>
      </c>
      <c r="L2714" s="1">
        <v>0</v>
      </c>
      <c r="M2714" s="4">
        <v>0</v>
      </c>
      <c r="N2714" s="3">
        <v>1386</v>
      </c>
      <c r="O2714" s="4">
        <v>4.2999999999999997E-2</v>
      </c>
      <c r="P2714" s="1" t="s">
        <v>2723</v>
      </c>
    </row>
    <row r="2715" spans="1:16">
      <c r="A2715" s="1" t="s">
        <v>2193</v>
      </c>
      <c r="B2715" s="1">
        <v>11</v>
      </c>
      <c r="C2715" s="1" t="s">
        <v>6883</v>
      </c>
      <c r="D2715" s="1" t="s">
        <v>6756</v>
      </c>
      <c r="E2715" s="2">
        <v>45978</v>
      </c>
      <c r="F2715" s="1" t="s">
        <v>6757</v>
      </c>
      <c r="G2715" s="1" t="s">
        <v>6758</v>
      </c>
      <c r="I2715" s="1">
        <v>1</v>
      </c>
      <c r="J2715" s="3">
        <v>31900</v>
      </c>
      <c r="K2715" s="3">
        <v>30514</v>
      </c>
      <c r="L2715" s="1">
        <v>0</v>
      </c>
      <c r="M2715" s="4">
        <v>0</v>
      </c>
      <c r="N2715" s="3">
        <v>1386</v>
      </c>
      <c r="O2715" s="4">
        <v>4.2999999999999997E-2</v>
      </c>
      <c r="P2715" s="1" t="s">
        <v>2723</v>
      </c>
    </row>
    <row r="2716" spans="1:16">
      <c r="A2716" s="1" t="s">
        <v>2200</v>
      </c>
      <c r="B2716" s="1">
        <v>11</v>
      </c>
      <c r="C2716" s="1">
        <v>249307449</v>
      </c>
      <c r="D2716" s="1" t="s">
        <v>3098</v>
      </c>
      <c r="E2716" s="2">
        <v>45978</v>
      </c>
      <c r="F2716" s="1" t="s">
        <v>126</v>
      </c>
      <c r="G2716" s="1" t="s">
        <v>3099</v>
      </c>
      <c r="H2716" s="1" t="s">
        <v>6884</v>
      </c>
      <c r="I2716" s="1">
        <v>1</v>
      </c>
      <c r="J2716" s="3">
        <v>22100</v>
      </c>
      <c r="K2716" s="3">
        <v>20542</v>
      </c>
      <c r="L2716" s="1">
        <v>0</v>
      </c>
      <c r="M2716" s="4">
        <v>0</v>
      </c>
      <c r="N2716" s="3">
        <v>1558</v>
      </c>
      <c r="O2716" s="4">
        <v>7.0000000000000007E-2</v>
      </c>
      <c r="P2716" s="1" t="s">
        <v>2723</v>
      </c>
    </row>
    <row r="2717" spans="1:16">
      <c r="A2717" s="1" t="s">
        <v>2200</v>
      </c>
      <c r="B2717" s="1">
        <v>11</v>
      </c>
      <c r="C2717" s="1">
        <v>249307670</v>
      </c>
      <c r="D2717" s="1" t="s">
        <v>6885</v>
      </c>
      <c r="E2717" s="2">
        <v>45978</v>
      </c>
      <c r="F2717" s="1" t="s">
        <v>174</v>
      </c>
      <c r="G2717" s="1" t="s">
        <v>6886</v>
      </c>
      <c r="H2717" s="1" t="s">
        <v>6887</v>
      </c>
      <c r="I2717" s="1">
        <v>1</v>
      </c>
      <c r="J2717" s="3">
        <v>49520</v>
      </c>
      <c r="K2717" s="3">
        <v>45962</v>
      </c>
      <c r="L2717" s="1">
        <v>0</v>
      </c>
      <c r="M2717" s="4">
        <v>0</v>
      </c>
      <c r="N2717" s="3">
        <v>3558</v>
      </c>
      <c r="O2717" s="4">
        <v>7.1999999999999995E-2</v>
      </c>
      <c r="P2717" s="1" t="s">
        <v>2723</v>
      </c>
    </row>
    <row r="2718" spans="1:16">
      <c r="A2718" s="1" t="s">
        <v>2200</v>
      </c>
      <c r="B2718" s="1">
        <v>11</v>
      </c>
      <c r="C2718" s="1">
        <v>249316066</v>
      </c>
      <c r="D2718" s="1" t="s">
        <v>6888</v>
      </c>
      <c r="E2718" s="2">
        <v>45978</v>
      </c>
      <c r="F2718" s="1" t="s">
        <v>126</v>
      </c>
      <c r="G2718" s="1" t="s">
        <v>6889</v>
      </c>
      <c r="H2718" s="1" t="s">
        <v>6890</v>
      </c>
      <c r="I2718" s="1">
        <v>1</v>
      </c>
      <c r="J2718" s="3">
        <v>30500</v>
      </c>
      <c r="K2718" s="3">
        <v>28328</v>
      </c>
      <c r="L2718" s="1">
        <v>0</v>
      </c>
      <c r="M2718" s="4">
        <v>0</v>
      </c>
      <c r="N2718" s="3">
        <v>2172</v>
      </c>
      <c r="O2718" s="4">
        <v>7.0999999999999994E-2</v>
      </c>
      <c r="P2718" s="1" t="s">
        <v>2723</v>
      </c>
    </row>
    <row r="2719" spans="1:16">
      <c r="A2719" s="1" t="s">
        <v>2200</v>
      </c>
      <c r="B2719" s="1">
        <v>11</v>
      </c>
      <c r="C2719" s="1">
        <v>249316066</v>
      </c>
      <c r="D2719" s="1" t="s">
        <v>3515</v>
      </c>
      <c r="E2719" s="2">
        <v>45978</v>
      </c>
      <c r="F2719" s="1" t="s">
        <v>53</v>
      </c>
      <c r="G2719" s="1" t="s">
        <v>3516</v>
      </c>
      <c r="I2719" s="1">
        <v>1</v>
      </c>
      <c r="J2719" s="3">
        <v>14800</v>
      </c>
      <c r="K2719" s="3">
        <v>13676</v>
      </c>
      <c r="L2719" s="1">
        <v>0</v>
      </c>
      <c r="M2719" s="4">
        <v>0</v>
      </c>
      <c r="N2719" s="3">
        <v>1124</v>
      </c>
      <c r="O2719" s="4">
        <v>7.5999999999999998E-2</v>
      </c>
      <c r="P2719" s="1" t="s">
        <v>2723</v>
      </c>
    </row>
    <row r="2720" spans="1:16">
      <c r="A2720" s="1" t="s">
        <v>2200</v>
      </c>
      <c r="B2720" s="1">
        <v>11</v>
      </c>
      <c r="C2720" s="1">
        <v>249341054</v>
      </c>
      <c r="D2720" s="1" t="s">
        <v>3098</v>
      </c>
      <c r="E2720" s="2">
        <v>45978</v>
      </c>
      <c r="F2720" s="1" t="s">
        <v>126</v>
      </c>
      <c r="G2720" s="1" t="s">
        <v>3099</v>
      </c>
      <c r="H2720" s="1" t="s">
        <v>6884</v>
      </c>
      <c r="I2720" s="1">
        <v>1</v>
      </c>
      <c r="J2720" s="3">
        <v>22100</v>
      </c>
      <c r="K2720" s="3">
        <v>20542</v>
      </c>
      <c r="L2720" s="1">
        <v>0</v>
      </c>
      <c r="M2720" s="4">
        <v>0</v>
      </c>
      <c r="N2720" s="3">
        <v>1558</v>
      </c>
      <c r="O2720" s="4">
        <v>7.0000000000000007E-2</v>
      </c>
      <c r="P2720" s="1" t="s">
        <v>2723</v>
      </c>
    </row>
    <row r="2721" spans="1:16">
      <c r="A2721" s="1" t="s">
        <v>763</v>
      </c>
      <c r="B2721" s="1">
        <v>11</v>
      </c>
      <c r="C2721" s="1" t="s">
        <v>6891</v>
      </c>
      <c r="D2721" s="1" t="s">
        <v>715</v>
      </c>
      <c r="E2721" s="2">
        <v>45978</v>
      </c>
      <c r="F2721" s="1" t="s">
        <v>500</v>
      </c>
      <c r="G2721" s="1" t="s">
        <v>716</v>
      </c>
      <c r="I2721" s="1">
        <v>2</v>
      </c>
      <c r="J2721" s="3">
        <v>242760</v>
      </c>
      <c r="K2721" s="3">
        <v>222400</v>
      </c>
      <c r="L2721" s="1">
        <v>0</v>
      </c>
      <c r="M2721" s="4">
        <v>0</v>
      </c>
      <c r="N2721" s="3">
        <v>20360</v>
      </c>
      <c r="O2721" s="4">
        <v>8.4000000000000005E-2</v>
      </c>
      <c r="P2721" s="1" t="s">
        <v>2723</v>
      </c>
    </row>
    <row r="2722" spans="1:16">
      <c r="A2722" s="1" t="s">
        <v>763</v>
      </c>
      <c r="B2722" s="1">
        <v>11</v>
      </c>
      <c r="C2722" s="1" t="s">
        <v>6892</v>
      </c>
      <c r="D2722" s="1" t="s">
        <v>2210</v>
      </c>
      <c r="E2722" s="2">
        <v>45978</v>
      </c>
      <c r="F2722" s="1" t="s">
        <v>554</v>
      </c>
      <c r="G2722" s="1" t="s">
        <v>2211</v>
      </c>
      <c r="H2722" s="1" t="s">
        <v>2212</v>
      </c>
      <c r="I2722" s="1">
        <v>1</v>
      </c>
      <c r="J2722" s="3">
        <v>16070</v>
      </c>
      <c r="K2722" s="3">
        <v>14539</v>
      </c>
      <c r="L2722" s="1">
        <v>0</v>
      </c>
      <c r="M2722" s="4">
        <v>0</v>
      </c>
      <c r="N2722" s="3">
        <v>1531</v>
      </c>
      <c r="O2722" s="4">
        <v>9.5000000000000001E-2</v>
      </c>
      <c r="P2722" s="1" t="s">
        <v>2723</v>
      </c>
    </row>
    <row r="2723" spans="1:16">
      <c r="A2723" s="1" t="s">
        <v>763</v>
      </c>
      <c r="B2723" s="1">
        <v>11</v>
      </c>
      <c r="C2723" s="1" t="s">
        <v>6893</v>
      </c>
      <c r="D2723" s="1" t="s">
        <v>4588</v>
      </c>
      <c r="E2723" s="2">
        <v>45978</v>
      </c>
      <c r="F2723" s="1" t="s">
        <v>53</v>
      </c>
      <c r="G2723" s="1" t="s">
        <v>4589</v>
      </c>
      <c r="H2723" s="1" t="s">
        <v>4590</v>
      </c>
      <c r="I2723" s="1">
        <v>1</v>
      </c>
      <c r="J2723" s="3">
        <v>16920</v>
      </c>
      <c r="K2723" s="3">
        <v>15396</v>
      </c>
      <c r="L2723" s="1">
        <v>0</v>
      </c>
      <c r="M2723" s="4">
        <v>0</v>
      </c>
      <c r="N2723" s="3">
        <v>1524</v>
      </c>
      <c r="O2723" s="4">
        <v>0.09</v>
      </c>
      <c r="P2723" s="1" t="s">
        <v>2723</v>
      </c>
    </row>
    <row r="2724" spans="1:16">
      <c r="A2724" s="1" t="s">
        <v>763</v>
      </c>
      <c r="B2724" s="1">
        <v>11</v>
      </c>
      <c r="C2724" s="1" t="s">
        <v>6894</v>
      </c>
      <c r="D2724" s="1" t="s">
        <v>2214</v>
      </c>
      <c r="E2724" s="2">
        <v>45978</v>
      </c>
      <c r="F2724" s="1" t="s">
        <v>2188</v>
      </c>
      <c r="G2724" s="1" t="s">
        <v>2215</v>
      </c>
      <c r="H2724" s="1" t="s">
        <v>4571</v>
      </c>
      <c r="I2724" s="1">
        <v>1</v>
      </c>
      <c r="J2724" s="3">
        <v>23500</v>
      </c>
      <c r="K2724" s="3">
        <v>21500</v>
      </c>
      <c r="L2724" s="1">
        <v>0</v>
      </c>
      <c r="M2724" s="4">
        <v>0</v>
      </c>
      <c r="N2724" s="3">
        <v>2000</v>
      </c>
      <c r="O2724" s="4">
        <v>8.5000000000000006E-2</v>
      </c>
      <c r="P2724" s="1" t="s">
        <v>2723</v>
      </c>
    </row>
    <row r="2725" spans="1:16">
      <c r="A2725" s="1" t="s">
        <v>763</v>
      </c>
      <c r="B2725" s="1">
        <v>11</v>
      </c>
      <c r="C2725" s="1" t="s">
        <v>6895</v>
      </c>
      <c r="D2725" s="1" t="s">
        <v>4603</v>
      </c>
      <c r="E2725" s="2">
        <v>45978</v>
      </c>
      <c r="F2725" s="1" t="s">
        <v>2188</v>
      </c>
      <c r="G2725" s="1" t="s">
        <v>4604</v>
      </c>
      <c r="I2725" s="1">
        <v>1</v>
      </c>
      <c r="J2725" s="3">
        <v>13800</v>
      </c>
      <c r="K2725" s="3">
        <v>11000</v>
      </c>
      <c r="L2725" s="1">
        <v>0</v>
      </c>
      <c r="M2725" s="4">
        <v>0</v>
      </c>
      <c r="N2725" s="3">
        <v>2800</v>
      </c>
      <c r="O2725" s="4">
        <v>0.20300000000000001</v>
      </c>
      <c r="P2725" s="1" t="s">
        <v>2723</v>
      </c>
    </row>
    <row r="2726" spans="1:16">
      <c r="A2726" s="1" t="s">
        <v>763</v>
      </c>
      <c r="B2726" s="1">
        <v>11</v>
      </c>
      <c r="C2726" s="1" t="s">
        <v>6896</v>
      </c>
      <c r="D2726" s="1" t="s">
        <v>6897</v>
      </c>
      <c r="E2726" s="2">
        <v>45978</v>
      </c>
      <c r="F2726" s="1" t="s">
        <v>2188</v>
      </c>
      <c r="G2726" s="1" t="s">
        <v>6898</v>
      </c>
      <c r="H2726" s="1" t="s">
        <v>6899</v>
      </c>
      <c r="I2726" s="1">
        <v>1</v>
      </c>
      <c r="J2726" s="3">
        <v>15600</v>
      </c>
      <c r="K2726" s="3">
        <v>13800</v>
      </c>
      <c r="L2726" s="1">
        <v>0</v>
      </c>
      <c r="M2726" s="4">
        <v>0</v>
      </c>
      <c r="N2726" s="3">
        <v>1800</v>
      </c>
      <c r="O2726" s="4">
        <v>0.115</v>
      </c>
      <c r="P2726" s="1" t="s">
        <v>2723</v>
      </c>
    </row>
    <row r="2727" spans="1:16">
      <c r="A2727" s="1" t="s">
        <v>763</v>
      </c>
      <c r="B2727" s="1">
        <v>11</v>
      </c>
      <c r="C2727" s="1" t="s">
        <v>6900</v>
      </c>
      <c r="D2727" s="1" t="s">
        <v>2257</v>
      </c>
      <c r="E2727" s="2">
        <v>45978</v>
      </c>
      <c r="F2727" s="1" t="s">
        <v>2206</v>
      </c>
      <c r="G2727" s="1" t="s">
        <v>2258</v>
      </c>
      <c r="H2727" s="1" t="s">
        <v>2259</v>
      </c>
      <c r="I2727" s="1">
        <v>1</v>
      </c>
      <c r="J2727" s="3">
        <v>37320</v>
      </c>
      <c r="K2727" s="3">
        <v>33800</v>
      </c>
      <c r="L2727" s="1">
        <v>0</v>
      </c>
      <c r="M2727" s="4">
        <v>0</v>
      </c>
      <c r="N2727" s="3">
        <v>3520</v>
      </c>
      <c r="O2727" s="4">
        <v>9.4E-2</v>
      </c>
      <c r="P2727" s="1" t="s">
        <v>2723</v>
      </c>
    </row>
    <row r="2728" spans="1:16">
      <c r="A2728" s="1" t="s">
        <v>763</v>
      </c>
      <c r="B2728" s="1">
        <v>11</v>
      </c>
      <c r="C2728" s="1" t="s">
        <v>6901</v>
      </c>
      <c r="D2728" s="1" t="s">
        <v>6902</v>
      </c>
      <c r="E2728" s="2">
        <v>45978</v>
      </c>
      <c r="F2728" s="1" t="s">
        <v>500</v>
      </c>
      <c r="G2728" s="1" t="s">
        <v>6903</v>
      </c>
      <c r="I2728" s="1">
        <v>1</v>
      </c>
      <c r="J2728" s="3">
        <v>119170</v>
      </c>
      <c r="K2728" s="3">
        <v>108000</v>
      </c>
      <c r="L2728" s="1">
        <v>0</v>
      </c>
      <c r="M2728" s="4">
        <v>0</v>
      </c>
      <c r="N2728" s="3">
        <v>11170</v>
      </c>
      <c r="O2728" s="4">
        <v>9.4E-2</v>
      </c>
      <c r="P2728" s="1" t="s">
        <v>2723</v>
      </c>
    </row>
    <row r="2729" spans="1:16">
      <c r="A2729" s="1" t="s">
        <v>763</v>
      </c>
      <c r="B2729" s="1">
        <v>11</v>
      </c>
      <c r="C2729" s="1" t="s">
        <v>6904</v>
      </c>
      <c r="D2729" s="1" t="s">
        <v>2210</v>
      </c>
      <c r="E2729" s="2">
        <v>45978</v>
      </c>
      <c r="F2729" s="1" t="s">
        <v>554</v>
      </c>
      <c r="G2729" s="1" t="s">
        <v>2211</v>
      </c>
      <c r="H2729" s="1" t="s">
        <v>2212</v>
      </c>
      <c r="I2729" s="1">
        <v>1</v>
      </c>
      <c r="J2729" s="3">
        <v>16070</v>
      </c>
      <c r="K2729" s="3">
        <v>14539</v>
      </c>
      <c r="L2729" s="1">
        <v>0</v>
      </c>
      <c r="M2729" s="4">
        <v>0</v>
      </c>
      <c r="N2729" s="3">
        <v>1531</v>
      </c>
      <c r="O2729" s="4">
        <v>9.5000000000000001E-2</v>
      </c>
      <c r="P2729" s="1" t="s">
        <v>2723</v>
      </c>
    </row>
    <row r="2730" spans="1:16">
      <c r="A2730" s="1" t="s">
        <v>763</v>
      </c>
      <c r="B2730" s="1">
        <v>11</v>
      </c>
      <c r="C2730" s="1" t="s">
        <v>6905</v>
      </c>
      <c r="D2730" s="1" t="s">
        <v>2696</v>
      </c>
      <c r="E2730" s="2">
        <v>45978</v>
      </c>
      <c r="F2730" s="1" t="s">
        <v>1935</v>
      </c>
      <c r="G2730" s="1" t="s">
        <v>2697</v>
      </c>
      <c r="I2730" s="1">
        <v>1</v>
      </c>
      <c r="J2730" s="3">
        <v>12410</v>
      </c>
      <c r="K2730" s="3">
        <v>11247</v>
      </c>
      <c r="L2730" s="1">
        <v>0</v>
      </c>
      <c r="M2730" s="4">
        <v>0</v>
      </c>
      <c r="N2730" s="3">
        <v>1163</v>
      </c>
      <c r="O2730" s="4">
        <v>9.4E-2</v>
      </c>
      <c r="P2730" s="1" t="s">
        <v>2723</v>
      </c>
    </row>
    <row r="2731" spans="1:16">
      <c r="A2731" s="1" t="s">
        <v>763</v>
      </c>
      <c r="B2731" s="1">
        <v>11</v>
      </c>
      <c r="C2731" s="1" t="s">
        <v>6906</v>
      </c>
      <c r="D2731" s="1" t="s">
        <v>2696</v>
      </c>
      <c r="E2731" s="2">
        <v>45978</v>
      </c>
      <c r="F2731" s="1" t="s">
        <v>1935</v>
      </c>
      <c r="G2731" s="1" t="s">
        <v>2697</v>
      </c>
      <c r="I2731" s="1">
        <v>1</v>
      </c>
      <c r="J2731" s="3">
        <v>12410</v>
      </c>
      <c r="K2731" s="3">
        <v>11247</v>
      </c>
      <c r="L2731" s="1">
        <v>0</v>
      </c>
      <c r="M2731" s="4">
        <v>0</v>
      </c>
      <c r="N2731" s="3">
        <v>1163</v>
      </c>
      <c r="O2731" s="4">
        <v>9.4E-2</v>
      </c>
      <c r="P2731" s="1" t="s">
        <v>2723</v>
      </c>
    </row>
    <row r="2732" spans="1:16">
      <c r="A2732" s="1" t="s">
        <v>763</v>
      </c>
      <c r="B2732" s="1">
        <v>11</v>
      </c>
      <c r="C2732" s="1" t="s">
        <v>6907</v>
      </c>
      <c r="D2732" s="1" t="s">
        <v>6902</v>
      </c>
      <c r="E2732" s="2">
        <v>45978</v>
      </c>
      <c r="F2732" s="1" t="s">
        <v>500</v>
      </c>
      <c r="G2732" s="1" t="s">
        <v>6903</v>
      </c>
      <c r="I2732" s="1">
        <v>1</v>
      </c>
      <c r="J2732" s="3">
        <v>119170</v>
      </c>
      <c r="K2732" s="3">
        <v>108000</v>
      </c>
      <c r="L2732" s="1">
        <v>0</v>
      </c>
      <c r="M2732" s="4">
        <v>0</v>
      </c>
      <c r="N2732" s="3">
        <v>11170</v>
      </c>
      <c r="O2732" s="4">
        <v>9.4E-2</v>
      </c>
      <c r="P2732" s="1" t="s">
        <v>2723</v>
      </c>
    </row>
    <row r="2733" spans="1:16">
      <c r="A2733" s="1" t="s">
        <v>763</v>
      </c>
      <c r="B2733" s="1">
        <v>11</v>
      </c>
      <c r="C2733" s="1" t="s">
        <v>6908</v>
      </c>
      <c r="D2733" s="1" t="s">
        <v>4581</v>
      </c>
      <c r="E2733" s="2">
        <v>45978</v>
      </c>
      <c r="F2733" s="1" t="s">
        <v>53</v>
      </c>
      <c r="G2733" s="1" t="s">
        <v>4582</v>
      </c>
      <c r="H2733" s="1" t="s">
        <v>4583</v>
      </c>
      <c r="I2733" s="1">
        <v>1</v>
      </c>
      <c r="J2733" s="3">
        <v>16070</v>
      </c>
      <c r="K2733" s="3">
        <v>14536</v>
      </c>
      <c r="L2733" s="1">
        <v>0</v>
      </c>
      <c r="M2733" s="4">
        <v>0</v>
      </c>
      <c r="N2733" s="3">
        <v>1534</v>
      </c>
      <c r="O2733" s="4">
        <v>9.5000000000000001E-2</v>
      </c>
      <c r="P2733" s="1" t="s">
        <v>2723</v>
      </c>
    </row>
    <row r="2734" spans="1:16">
      <c r="A2734" s="1" t="s">
        <v>763</v>
      </c>
      <c r="B2734" s="1">
        <v>11</v>
      </c>
      <c r="C2734" s="1" t="s">
        <v>6909</v>
      </c>
      <c r="D2734" s="1" t="s">
        <v>2160</v>
      </c>
      <c r="E2734" s="2">
        <v>45978</v>
      </c>
      <c r="F2734" s="1" t="s">
        <v>126</v>
      </c>
      <c r="G2734" s="1" t="s">
        <v>2161</v>
      </c>
      <c r="H2734" s="1" t="s">
        <v>6910</v>
      </c>
      <c r="I2734" s="1">
        <v>1</v>
      </c>
      <c r="J2734" s="3">
        <v>18960</v>
      </c>
      <c r="K2734" s="3">
        <v>17165</v>
      </c>
      <c r="L2734" s="1">
        <v>0</v>
      </c>
      <c r="M2734" s="4">
        <v>0</v>
      </c>
      <c r="N2734" s="3">
        <v>1795</v>
      </c>
      <c r="O2734" s="4">
        <v>9.5000000000000001E-2</v>
      </c>
      <c r="P2734" s="1" t="s">
        <v>2723</v>
      </c>
    </row>
    <row r="2735" spans="1:16">
      <c r="A2735" s="1" t="s">
        <v>763</v>
      </c>
      <c r="B2735" s="1">
        <v>11</v>
      </c>
      <c r="C2735" s="1" t="s">
        <v>6911</v>
      </c>
      <c r="D2735" s="1" t="s">
        <v>6912</v>
      </c>
      <c r="E2735" s="2">
        <v>45978</v>
      </c>
      <c r="F2735" s="1" t="s">
        <v>53</v>
      </c>
      <c r="G2735" s="1" t="s">
        <v>6913</v>
      </c>
      <c r="H2735" s="1" t="s">
        <v>6914</v>
      </c>
      <c r="I2735" s="1">
        <v>1</v>
      </c>
      <c r="J2735" s="3">
        <v>9440</v>
      </c>
      <c r="K2735" s="3">
        <v>8515</v>
      </c>
      <c r="L2735" s="1">
        <v>0</v>
      </c>
      <c r="M2735" s="4">
        <v>0</v>
      </c>
      <c r="N2735" s="1">
        <v>925</v>
      </c>
      <c r="O2735" s="4">
        <v>9.8000000000000004E-2</v>
      </c>
      <c r="P2735" s="1" t="s">
        <v>2723</v>
      </c>
    </row>
    <row r="2736" spans="1:16">
      <c r="A2736" s="1" t="s">
        <v>763</v>
      </c>
      <c r="B2736" s="1">
        <v>11</v>
      </c>
      <c r="C2736" s="1" t="s">
        <v>6915</v>
      </c>
      <c r="D2736" s="1" t="s">
        <v>6916</v>
      </c>
      <c r="E2736" s="2">
        <v>45978</v>
      </c>
      <c r="F2736" s="1" t="s">
        <v>2188</v>
      </c>
      <c r="G2736" s="1" t="s">
        <v>6917</v>
      </c>
      <c r="H2736" s="1" t="s">
        <v>6918</v>
      </c>
      <c r="I2736" s="1">
        <v>1</v>
      </c>
      <c r="J2736" s="3">
        <v>26000</v>
      </c>
      <c r="K2736" s="3">
        <v>24700</v>
      </c>
      <c r="L2736" s="1">
        <v>0</v>
      </c>
      <c r="M2736" s="4">
        <v>0</v>
      </c>
      <c r="N2736" s="3">
        <v>1300</v>
      </c>
      <c r="O2736" s="4">
        <v>0.05</v>
      </c>
      <c r="P2736" s="1" t="s">
        <v>2723</v>
      </c>
    </row>
    <row r="2737" spans="1:16">
      <c r="A2737" s="1" t="s">
        <v>763</v>
      </c>
      <c r="B2737" s="1">
        <v>11</v>
      </c>
      <c r="C2737" s="1" t="s">
        <v>6919</v>
      </c>
      <c r="D2737" s="1" t="s">
        <v>2034</v>
      </c>
      <c r="E2737" s="2">
        <v>45978</v>
      </c>
      <c r="F2737" s="1" t="s">
        <v>554</v>
      </c>
      <c r="G2737" s="1" t="s">
        <v>2035</v>
      </c>
      <c r="H2737" s="1" t="s">
        <v>4606</v>
      </c>
      <c r="I2737" s="1">
        <v>1</v>
      </c>
      <c r="J2737" s="3">
        <v>9520</v>
      </c>
      <c r="K2737" s="3">
        <v>8630</v>
      </c>
      <c r="L2737" s="1">
        <v>0</v>
      </c>
      <c r="M2737" s="4">
        <v>0</v>
      </c>
      <c r="N2737" s="1">
        <v>890</v>
      </c>
      <c r="O2737" s="4">
        <v>9.2999999999999999E-2</v>
      </c>
      <c r="P2737" s="1" t="s">
        <v>2723</v>
      </c>
    </row>
    <row r="2738" spans="1:16">
      <c r="A2738" s="1" t="s">
        <v>616</v>
      </c>
      <c r="B2738" s="1">
        <v>11</v>
      </c>
      <c r="C2738" s="1">
        <v>2025111780745460</v>
      </c>
      <c r="D2738" s="1" t="s">
        <v>4360</v>
      </c>
      <c r="E2738" s="2">
        <v>45978</v>
      </c>
      <c r="F2738" s="1" t="s">
        <v>604</v>
      </c>
      <c r="G2738" s="1" t="s">
        <v>4361</v>
      </c>
      <c r="I2738" s="1">
        <v>3</v>
      </c>
      <c r="J2738" s="3">
        <v>93000</v>
      </c>
      <c r="K2738" s="3">
        <v>28900</v>
      </c>
      <c r="L2738" s="3">
        <v>3720</v>
      </c>
      <c r="M2738" s="4">
        <v>0.04</v>
      </c>
      <c r="N2738" s="3">
        <v>60380</v>
      </c>
      <c r="O2738" s="4">
        <v>0.64900000000000002</v>
      </c>
      <c r="P2738" s="1" t="s">
        <v>2721</v>
      </c>
    </row>
    <row r="2739" spans="1:16">
      <c r="A2739" s="1" t="s">
        <v>2730</v>
      </c>
      <c r="B2739" s="1">
        <v>11</v>
      </c>
      <c r="C2739" s="1">
        <v>2025111781880240</v>
      </c>
      <c r="D2739" s="1" t="s">
        <v>610</v>
      </c>
      <c r="E2739" s="2">
        <v>45978</v>
      </c>
      <c r="F2739" s="1" t="s">
        <v>604</v>
      </c>
      <c r="G2739" s="1" t="s">
        <v>611</v>
      </c>
      <c r="H2739" s="1" t="s">
        <v>6920</v>
      </c>
      <c r="I2739" s="1">
        <v>5</v>
      </c>
      <c r="J2739" s="3">
        <v>49800</v>
      </c>
      <c r="K2739" s="3">
        <v>38250</v>
      </c>
      <c r="L2739" s="3">
        <v>1992</v>
      </c>
      <c r="M2739" s="4">
        <v>0.04</v>
      </c>
      <c r="N2739" s="3">
        <v>9558</v>
      </c>
      <c r="O2739" s="4">
        <v>0.192</v>
      </c>
      <c r="P2739" s="1" t="s">
        <v>2721</v>
      </c>
    </row>
    <row r="2740" spans="1:16">
      <c r="A2740" s="1" t="s">
        <v>626</v>
      </c>
      <c r="B2740" s="1">
        <v>11</v>
      </c>
      <c r="C2740" s="1">
        <v>69201484</v>
      </c>
      <c r="D2740" s="1" t="s">
        <v>627</v>
      </c>
      <c r="E2740" s="2">
        <v>45978</v>
      </c>
      <c r="F2740" s="1" t="s">
        <v>604</v>
      </c>
      <c r="G2740" s="1" t="s">
        <v>628</v>
      </c>
      <c r="H2740" s="1" t="s">
        <v>2271</v>
      </c>
      <c r="I2740" s="1">
        <v>2</v>
      </c>
      <c r="J2740" s="3">
        <v>12800</v>
      </c>
      <c r="K2740" s="3">
        <v>3600</v>
      </c>
      <c r="L2740" s="3">
        <v>1408</v>
      </c>
      <c r="M2740" s="4">
        <v>0.11</v>
      </c>
      <c r="N2740" s="3">
        <v>7792</v>
      </c>
      <c r="O2740" s="4">
        <v>0.60899999999999999</v>
      </c>
      <c r="P2740" s="1" t="s">
        <v>2721</v>
      </c>
    </row>
    <row r="2741" spans="1:16">
      <c r="A2741" s="1" t="s">
        <v>626</v>
      </c>
      <c r="B2741" s="1">
        <v>11</v>
      </c>
      <c r="C2741" s="1">
        <v>69201410</v>
      </c>
      <c r="D2741" s="1" t="s">
        <v>627</v>
      </c>
      <c r="E2741" s="2">
        <v>45978</v>
      </c>
      <c r="F2741" s="1" t="s">
        <v>604</v>
      </c>
      <c r="G2741" s="1" t="s">
        <v>628</v>
      </c>
      <c r="H2741" s="1" t="s">
        <v>5282</v>
      </c>
      <c r="I2741" s="1">
        <v>3</v>
      </c>
      <c r="J2741" s="3">
        <v>17700</v>
      </c>
      <c r="K2741" s="3">
        <v>5400</v>
      </c>
      <c r="L2741" s="3">
        <v>1947</v>
      </c>
      <c r="M2741" s="4">
        <v>0.11</v>
      </c>
      <c r="N2741" s="3">
        <v>10353</v>
      </c>
      <c r="O2741" s="4">
        <v>0.58499999999999996</v>
      </c>
      <c r="P2741" s="1" t="s">
        <v>2721</v>
      </c>
    </row>
    <row r="2742" spans="1:16">
      <c r="A2742" s="1" t="s">
        <v>630</v>
      </c>
      <c r="B2742" s="1">
        <v>11</v>
      </c>
      <c r="C2742" s="1">
        <v>1117281288396370</v>
      </c>
      <c r="D2742" s="1" t="s">
        <v>627</v>
      </c>
      <c r="E2742" s="2">
        <v>45978</v>
      </c>
      <c r="F2742" s="1" t="s">
        <v>604</v>
      </c>
      <c r="G2742" s="1" t="s">
        <v>628</v>
      </c>
      <c r="H2742" s="1" t="s">
        <v>1848</v>
      </c>
      <c r="I2742" s="1">
        <v>1</v>
      </c>
      <c r="J2742" s="3">
        <v>6750</v>
      </c>
      <c r="K2742" s="3">
        <v>4300</v>
      </c>
      <c r="L2742" s="1">
        <v>446</v>
      </c>
      <c r="M2742" s="4">
        <v>6.6000000000000003E-2</v>
      </c>
      <c r="N2742" s="3">
        <v>2005</v>
      </c>
      <c r="O2742" s="4">
        <v>0.29699999999999999</v>
      </c>
      <c r="P2742" s="1" t="s">
        <v>2721</v>
      </c>
    </row>
    <row r="2743" spans="1:16">
      <c r="A2743" s="1" t="s">
        <v>630</v>
      </c>
      <c r="B2743" s="1">
        <v>11</v>
      </c>
      <c r="C2743" s="1">
        <v>1117258732576080</v>
      </c>
      <c r="D2743" s="1" t="s">
        <v>627</v>
      </c>
      <c r="E2743" s="2">
        <v>45978</v>
      </c>
      <c r="F2743" s="1" t="s">
        <v>604</v>
      </c>
      <c r="G2743" s="1" t="s">
        <v>628</v>
      </c>
      <c r="H2743" s="1" t="s">
        <v>1848</v>
      </c>
      <c r="I2743" s="1">
        <v>2</v>
      </c>
      <c r="J2743" s="3">
        <v>13500</v>
      </c>
      <c r="K2743" s="3">
        <v>6100</v>
      </c>
      <c r="L2743" s="1">
        <v>891</v>
      </c>
      <c r="M2743" s="4">
        <v>6.6000000000000003E-2</v>
      </c>
      <c r="N2743" s="3">
        <v>6509</v>
      </c>
      <c r="O2743" s="4">
        <v>0.48199999999999998</v>
      </c>
      <c r="P2743" s="1" t="s">
        <v>2721</v>
      </c>
    </row>
    <row r="2744" spans="1:16">
      <c r="A2744" s="1" t="s">
        <v>15</v>
      </c>
      <c r="B2744" s="1">
        <v>11</v>
      </c>
      <c r="C2744" s="1" t="s">
        <v>6921</v>
      </c>
      <c r="D2744" s="1" t="s">
        <v>797</v>
      </c>
      <c r="E2744" s="2">
        <v>45979</v>
      </c>
      <c r="F2744" s="1" t="s">
        <v>798</v>
      </c>
      <c r="G2744" s="1" t="s">
        <v>799</v>
      </c>
      <c r="H2744" s="1" t="s">
        <v>6922</v>
      </c>
      <c r="I2744" s="1">
        <v>1</v>
      </c>
      <c r="J2744" s="3">
        <v>13271</v>
      </c>
      <c r="K2744" s="3">
        <v>12663</v>
      </c>
      <c r="L2744" s="1">
        <v>0</v>
      </c>
      <c r="M2744" s="4">
        <v>0</v>
      </c>
      <c r="N2744" s="1">
        <v>608</v>
      </c>
      <c r="O2744" s="4">
        <v>4.5999999999999999E-2</v>
      </c>
      <c r="P2744" s="1" t="s">
        <v>2721</v>
      </c>
    </row>
    <row r="2745" spans="1:16">
      <c r="A2745" s="1" t="s">
        <v>15</v>
      </c>
      <c r="B2745" s="1">
        <v>11</v>
      </c>
      <c r="C2745" s="1" t="s">
        <v>6923</v>
      </c>
      <c r="D2745" s="1" t="s">
        <v>482</v>
      </c>
      <c r="E2745" s="2">
        <v>45979</v>
      </c>
      <c r="F2745" s="1" t="s">
        <v>483</v>
      </c>
      <c r="G2745" s="1" t="s">
        <v>484</v>
      </c>
      <c r="H2745" s="1" t="s">
        <v>860</v>
      </c>
      <c r="I2745" s="1">
        <v>1</v>
      </c>
      <c r="J2745" s="3">
        <v>27426</v>
      </c>
      <c r="K2745" s="3">
        <v>26170</v>
      </c>
      <c r="L2745" s="1">
        <v>0</v>
      </c>
      <c r="M2745" s="4">
        <v>0</v>
      </c>
      <c r="N2745" s="3">
        <v>1256</v>
      </c>
      <c r="O2745" s="4">
        <v>4.5999999999999999E-2</v>
      </c>
      <c r="P2745" s="1" t="s">
        <v>2721</v>
      </c>
    </row>
    <row r="2746" spans="1:16">
      <c r="A2746" s="1" t="s">
        <v>15</v>
      </c>
      <c r="B2746" s="1">
        <v>11</v>
      </c>
      <c r="C2746" s="1" t="s">
        <v>6924</v>
      </c>
      <c r="D2746" s="1" t="s">
        <v>931</v>
      </c>
      <c r="E2746" s="2">
        <v>45979</v>
      </c>
      <c r="F2746" s="1" t="s">
        <v>932</v>
      </c>
      <c r="G2746" s="1" t="s">
        <v>933</v>
      </c>
      <c r="H2746" s="1" t="s">
        <v>934</v>
      </c>
      <c r="I2746" s="1">
        <v>1</v>
      </c>
      <c r="J2746" s="3">
        <v>19660</v>
      </c>
      <c r="K2746" s="3">
        <v>18760</v>
      </c>
      <c r="L2746" s="1">
        <v>0</v>
      </c>
      <c r="M2746" s="4">
        <v>0</v>
      </c>
      <c r="N2746" s="1">
        <v>900</v>
      </c>
      <c r="O2746" s="4">
        <v>4.5999999999999999E-2</v>
      </c>
      <c r="P2746" s="1" t="s">
        <v>2721</v>
      </c>
    </row>
    <row r="2747" spans="1:16">
      <c r="A2747" s="1" t="s">
        <v>15</v>
      </c>
      <c r="B2747" s="1">
        <v>11</v>
      </c>
      <c r="C2747" s="1" t="s">
        <v>6924</v>
      </c>
      <c r="D2747" s="1" t="s">
        <v>931</v>
      </c>
      <c r="E2747" s="2">
        <v>45979</v>
      </c>
      <c r="F2747" s="1" t="s">
        <v>932</v>
      </c>
      <c r="G2747" s="1" t="s">
        <v>933</v>
      </c>
      <c r="H2747" s="1" t="s">
        <v>1037</v>
      </c>
      <c r="I2747" s="1">
        <v>1</v>
      </c>
      <c r="J2747" s="3">
        <v>19660</v>
      </c>
      <c r="K2747" s="3">
        <v>18760</v>
      </c>
      <c r="L2747" s="1">
        <v>0</v>
      </c>
      <c r="M2747" s="4">
        <v>0</v>
      </c>
      <c r="N2747" s="1">
        <v>900</v>
      </c>
      <c r="O2747" s="4">
        <v>4.5999999999999999E-2</v>
      </c>
      <c r="P2747" s="1" t="s">
        <v>2721</v>
      </c>
    </row>
    <row r="2748" spans="1:16">
      <c r="A2748" s="1" t="s">
        <v>15</v>
      </c>
      <c r="B2748" s="1">
        <v>11</v>
      </c>
      <c r="C2748" s="1" t="s">
        <v>6925</v>
      </c>
      <c r="D2748" s="1" t="s">
        <v>95</v>
      </c>
      <c r="E2748" s="2">
        <v>45979</v>
      </c>
      <c r="F2748" s="1" t="s">
        <v>96</v>
      </c>
      <c r="G2748" s="1" t="s">
        <v>97</v>
      </c>
      <c r="H2748" s="1" t="s">
        <v>97</v>
      </c>
      <c r="I2748" s="1">
        <v>1</v>
      </c>
      <c r="J2748" s="3">
        <v>12571</v>
      </c>
      <c r="K2748" s="3">
        <v>11995</v>
      </c>
      <c r="L2748" s="1">
        <v>0</v>
      </c>
      <c r="M2748" s="4">
        <v>0</v>
      </c>
      <c r="N2748" s="1">
        <v>576</v>
      </c>
      <c r="O2748" s="4">
        <v>4.5999999999999999E-2</v>
      </c>
      <c r="P2748" s="1" t="s">
        <v>2721</v>
      </c>
    </row>
    <row r="2749" spans="1:16">
      <c r="A2749" s="1" t="s">
        <v>15</v>
      </c>
      <c r="B2749" s="1">
        <v>11</v>
      </c>
      <c r="C2749" s="1" t="s">
        <v>6926</v>
      </c>
      <c r="D2749" s="1" t="s">
        <v>1153</v>
      </c>
      <c r="E2749" s="2">
        <v>45979</v>
      </c>
      <c r="F2749" s="1" t="s">
        <v>235</v>
      </c>
      <c r="G2749" s="1" t="s">
        <v>1154</v>
      </c>
      <c r="H2749" s="1" t="s">
        <v>1155</v>
      </c>
      <c r="I2749" s="1">
        <v>40</v>
      </c>
      <c r="J2749" s="3">
        <v>570140</v>
      </c>
      <c r="K2749" s="3">
        <v>544040</v>
      </c>
      <c r="L2749" s="1">
        <v>0</v>
      </c>
      <c r="M2749" s="4">
        <v>0</v>
      </c>
      <c r="N2749" s="3">
        <v>26100</v>
      </c>
      <c r="O2749" s="4">
        <v>4.5999999999999999E-2</v>
      </c>
      <c r="P2749" s="1" t="s">
        <v>2721</v>
      </c>
    </row>
    <row r="2750" spans="1:16">
      <c r="A2750" s="1" t="s">
        <v>15</v>
      </c>
      <c r="B2750" s="1">
        <v>11</v>
      </c>
      <c r="C2750" s="1" t="s">
        <v>6927</v>
      </c>
      <c r="D2750" s="1" t="s">
        <v>6928</v>
      </c>
      <c r="E2750" s="2">
        <v>45979</v>
      </c>
      <c r="F2750" s="1" t="s">
        <v>58</v>
      </c>
      <c r="G2750" s="1" t="s">
        <v>6929</v>
      </c>
      <c r="H2750" s="1" t="s">
        <v>6930</v>
      </c>
      <c r="I2750" s="1">
        <v>1</v>
      </c>
      <c r="J2750" s="3">
        <v>26050</v>
      </c>
      <c r="K2750" s="3">
        <v>24857</v>
      </c>
      <c r="L2750" s="1">
        <v>0</v>
      </c>
      <c r="M2750" s="4">
        <v>0</v>
      </c>
      <c r="N2750" s="3">
        <v>1193</v>
      </c>
      <c r="O2750" s="4">
        <v>4.5999999999999999E-2</v>
      </c>
      <c r="P2750" s="1" t="s">
        <v>2721</v>
      </c>
    </row>
    <row r="2751" spans="1:16">
      <c r="A2751" s="1" t="s">
        <v>15</v>
      </c>
      <c r="B2751" s="1">
        <v>11</v>
      </c>
      <c r="C2751" s="1" t="s">
        <v>6931</v>
      </c>
      <c r="D2751" s="1" t="s">
        <v>1467</v>
      </c>
      <c r="E2751" s="2">
        <v>45979</v>
      </c>
      <c r="F2751" s="1" t="s">
        <v>126</v>
      </c>
      <c r="G2751" s="1" t="s">
        <v>1468</v>
      </c>
      <c r="H2751" s="1" t="s">
        <v>1469</v>
      </c>
      <c r="I2751" s="1">
        <v>2</v>
      </c>
      <c r="J2751" s="3">
        <v>35978</v>
      </c>
      <c r="K2751" s="3">
        <v>34331</v>
      </c>
      <c r="L2751" s="1">
        <v>0</v>
      </c>
      <c r="M2751" s="4">
        <v>0</v>
      </c>
      <c r="N2751" s="3">
        <v>1647</v>
      </c>
      <c r="O2751" s="4">
        <v>4.5999999999999999E-2</v>
      </c>
      <c r="P2751" s="1" t="s">
        <v>2721</v>
      </c>
    </row>
    <row r="2752" spans="1:16">
      <c r="A2752" s="1" t="s">
        <v>15</v>
      </c>
      <c r="B2752" s="1">
        <v>11</v>
      </c>
      <c r="C2752" s="1" t="s">
        <v>6932</v>
      </c>
      <c r="D2752" s="1" t="s">
        <v>221</v>
      </c>
      <c r="E2752" s="2">
        <v>45979</v>
      </c>
      <c r="F2752" s="1" t="s">
        <v>96</v>
      </c>
      <c r="G2752" s="1" t="s">
        <v>222</v>
      </c>
      <c r="H2752" s="1" t="s">
        <v>509</v>
      </c>
      <c r="I2752" s="1">
        <v>1</v>
      </c>
      <c r="J2752" s="3">
        <v>12571</v>
      </c>
      <c r="K2752" s="3">
        <v>11995</v>
      </c>
      <c r="L2752" s="1">
        <v>0</v>
      </c>
      <c r="M2752" s="4">
        <v>0</v>
      </c>
      <c r="N2752" s="1">
        <v>576</v>
      </c>
      <c r="O2752" s="4">
        <v>4.5999999999999999E-2</v>
      </c>
      <c r="P2752" s="1" t="s">
        <v>2721</v>
      </c>
    </row>
    <row r="2753" spans="1:16">
      <c r="A2753" s="1" t="s">
        <v>15</v>
      </c>
      <c r="B2753" s="1">
        <v>11</v>
      </c>
      <c r="C2753" s="1" t="s">
        <v>6932</v>
      </c>
      <c r="D2753" s="1" t="s">
        <v>224</v>
      </c>
      <c r="E2753" s="2">
        <v>45979</v>
      </c>
      <c r="F2753" s="1" t="s">
        <v>96</v>
      </c>
      <c r="G2753" s="1" t="s">
        <v>225</v>
      </c>
      <c r="H2753" s="1" t="s">
        <v>896</v>
      </c>
      <c r="I2753" s="1">
        <v>1</v>
      </c>
      <c r="J2753" s="3">
        <v>12571</v>
      </c>
      <c r="K2753" s="3">
        <v>11995</v>
      </c>
      <c r="L2753" s="1">
        <v>0</v>
      </c>
      <c r="M2753" s="4">
        <v>0</v>
      </c>
      <c r="N2753" s="1">
        <v>576</v>
      </c>
      <c r="O2753" s="4">
        <v>4.5999999999999999E-2</v>
      </c>
      <c r="P2753" s="1" t="s">
        <v>2721</v>
      </c>
    </row>
    <row r="2754" spans="1:16">
      <c r="A2754" s="1" t="s">
        <v>15</v>
      </c>
      <c r="B2754" s="1">
        <v>11</v>
      </c>
      <c r="C2754" s="1" t="s">
        <v>6933</v>
      </c>
      <c r="D2754" s="1" t="s">
        <v>169</v>
      </c>
      <c r="E2754" s="2">
        <v>45979</v>
      </c>
      <c r="F2754" s="1" t="s">
        <v>53</v>
      </c>
      <c r="G2754" s="1" t="s">
        <v>170</v>
      </c>
      <c r="H2754" s="1" t="s">
        <v>171</v>
      </c>
      <c r="I2754" s="1">
        <v>1</v>
      </c>
      <c r="J2754" s="3">
        <v>14332</v>
      </c>
      <c r="K2754" s="3">
        <v>13676</v>
      </c>
      <c r="L2754" s="1">
        <v>0</v>
      </c>
      <c r="M2754" s="4">
        <v>0</v>
      </c>
      <c r="N2754" s="1">
        <v>656</v>
      </c>
      <c r="O2754" s="4">
        <v>4.5999999999999999E-2</v>
      </c>
      <c r="P2754" s="1" t="s">
        <v>2721</v>
      </c>
    </row>
    <row r="2755" spans="1:16">
      <c r="A2755" s="1" t="s">
        <v>15</v>
      </c>
      <c r="B2755" s="1">
        <v>11</v>
      </c>
      <c r="C2755" s="1" t="s">
        <v>6934</v>
      </c>
      <c r="D2755" s="1" t="s">
        <v>841</v>
      </c>
      <c r="E2755" s="2">
        <v>45979</v>
      </c>
      <c r="F2755" s="1" t="s">
        <v>839</v>
      </c>
      <c r="G2755" s="1" t="s">
        <v>842</v>
      </c>
      <c r="H2755" s="1" t="s">
        <v>843</v>
      </c>
      <c r="I2755" s="1">
        <v>1</v>
      </c>
      <c r="J2755" s="3">
        <v>31653</v>
      </c>
      <c r="K2755" s="3">
        <v>30204</v>
      </c>
      <c r="L2755" s="1">
        <v>0</v>
      </c>
      <c r="M2755" s="4">
        <v>0</v>
      </c>
      <c r="N2755" s="3">
        <v>1449</v>
      </c>
      <c r="O2755" s="4">
        <v>4.5999999999999999E-2</v>
      </c>
      <c r="P2755" s="1" t="s">
        <v>2721</v>
      </c>
    </row>
    <row r="2756" spans="1:16">
      <c r="A2756" s="1" t="s">
        <v>15</v>
      </c>
      <c r="B2756" s="1">
        <v>11</v>
      </c>
      <c r="C2756" s="1" t="s">
        <v>6935</v>
      </c>
      <c r="D2756" s="1" t="s">
        <v>4134</v>
      </c>
      <c r="E2756" s="2">
        <v>45979</v>
      </c>
      <c r="F2756" s="1" t="s">
        <v>534</v>
      </c>
      <c r="G2756" s="1" t="s">
        <v>4135</v>
      </c>
      <c r="H2756" s="1" t="s">
        <v>4136</v>
      </c>
      <c r="I2756" s="1">
        <v>1</v>
      </c>
      <c r="J2756" s="3">
        <v>13035</v>
      </c>
      <c r="K2756" s="3">
        <v>12438</v>
      </c>
      <c r="L2756" s="1">
        <v>0</v>
      </c>
      <c r="M2756" s="4">
        <v>0</v>
      </c>
      <c r="N2756" s="1">
        <v>597</v>
      </c>
      <c r="O2756" s="4">
        <v>4.5999999999999999E-2</v>
      </c>
      <c r="P2756" s="1" t="s">
        <v>2721</v>
      </c>
    </row>
    <row r="2757" spans="1:16">
      <c r="A2757" s="1" t="s">
        <v>15</v>
      </c>
      <c r="B2757" s="1">
        <v>11</v>
      </c>
      <c r="C2757" s="1" t="s">
        <v>6936</v>
      </c>
      <c r="D2757" s="1" t="s">
        <v>169</v>
      </c>
      <c r="E2757" s="2">
        <v>45979</v>
      </c>
      <c r="F2757" s="1" t="s">
        <v>53</v>
      </c>
      <c r="G2757" s="1" t="s">
        <v>170</v>
      </c>
      <c r="H2757" s="1" t="s">
        <v>171</v>
      </c>
      <c r="I2757" s="1">
        <v>1</v>
      </c>
      <c r="J2757" s="3">
        <v>14332</v>
      </c>
      <c r="K2757" s="3">
        <v>13676</v>
      </c>
      <c r="L2757" s="1">
        <v>0</v>
      </c>
      <c r="M2757" s="4">
        <v>0</v>
      </c>
      <c r="N2757" s="1">
        <v>656</v>
      </c>
      <c r="O2757" s="4">
        <v>4.5999999999999999E-2</v>
      </c>
      <c r="P2757" s="1" t="s">
        <v>2721</v>
      </c>
    </row>
    <row r="2758" spans="1:16">
      <c r="A2758" s="1" t="s">
        <v>15</v>
      </c>
      <c r="B2758" s="1">
        <v>11</v>
      </c>
      <c r="C2758" s="1" t="s">
        <v>6937</v>
      </c>
      <c r="D2758" s="1" t="s">
        <v>3607</v>
      </c>
      <c r="E2758" s="2">
        <v>45979</v>
      </c>
      <c r="F2758" s="1" t="s">
        <v>58</v>
      </c>
      <c r="G2758" s="1" t="s">
        <v>3608</v>
      </c>
      <c r="H2758" s="1" t="s">
        <v>3609</v>
      </c>
      <c r="I2758" s="1">
        <v>1</v>
      </c>
      <c r="J2758" s="3">
        <v>21842</v>
      </c>
      <c r="K2758" s="3">
        <v>20842</v>
      </c>
      <c r="L2758" s="1">
        <v>0</v>
      </c>
      <c r="M2758" s="4">
        <v>0</v>
      </c>
      <c r="N2758" s="3">
        <v>1000</v>
      </c>
      <c r="O2758" s="4">
        <v>4.5999999999999999E-2</v>
      </c>
      <c r="P2758" s="1" t="s">
        <v>2721</v>
      </c>
    </row>
    <row r="2759" spans="1:16">
      <c r="A2759" s="1" t="s">
        <v>15</v>
      </c>
      <c r="B2759" s="1">
        <v>11</v>
      </c>
      <c r="C2759" s="1" t="s">
        <v>6938</v>
      </c>
      <c r="D2759" s="1" t="s">
        <v>2398</v>
      </c>
      <c r="E2759" s="2">
        <v>45979</v>
      </c>
      <c r="F2759" s="1" t="s">
        <v>63</v>
      </c>
      <c r="G2759" s="1" t="s">
        <v>2399</v>
      </c>
      <c r="H2759" s="1" t="s">
        <v>2400</v>
      </c>
      <c r="I2759" s="1">
        <v>1</v>
      </c>
      <c r="J2759" s="3">
        <v>32001</v>
      </c>
      <c r="K2759" s="3">
        <v>30536</v>
      </c>
      <c r="L2759" s="1">
        <v>0</v>
      </c>
      <c r="M2759" s="4">
        <v>0</v>
      </c>
      <c r="N2759" s="3">
        <v>1465</v>
      </c>
      <c r="O2759" s="4">
        <v>4.5999999999999999E-2</v>
      </c>
      <c r="P2759" s="1" t="s">
        <v>2721</v>
      </c>
    </row>
    <row r="2760" spans="1:16">
      <c r="A2760" s="1" t="s">
        <v>15</v>
      </c>
      <c r="B2760" s="1">
        <v>11</v>
      </c>
      <c r="C2760" s="1" t="s">
        <v>6939</v>
      </c>
      <c r="D2760" s="1" t="s">
        <v>1346</v>
      </c>
      <c r="E2760" s="2">
        <v>45979</v>
      </c>
      <c r="F2760" s="1" t="s">
        <v>317</v>
      </c>
      <c r="G2760" s="1" t="s">
        <v>1347</v>
      </c>
      <c r="H2760" s="1" t="s">
        <v>3848</v>
      </c>
      <c r="I2760" s="1">
        <v>1</v>
      </c>
      <c r="J2760" s="3">
        <v>29982</v>
      </c>
      <c r="K2760" s="3">
        <v>28609</v>
      </c>
      <c r="L2760" s="1">
        <v>0</v>
      </c>
      <c r="M2760" s="4">
        <v>0</v>
      </c>
      <c r="N2760" s="3">
        <v>1373</v>
      </c>
      <c r="O2760" s="4">
        <v>4.5999999999999999E-2</v>
      </c>
      <c r="P2760" s="1" t="s">
        <v>2721</v>
      </c>
    </row>
    <row r="2761" spans="1:16">
      <c r="A2761" s="1" t="s">
        <v>15</v>
      </c>
      <c r="B2761" s="1">
        <v>11</v>
      </c>
      <c r="C2761" s="1" t="s">
        <v>6939</v>
      </c>
      <c r="D2761" s="1" t="s">
        <v>1088</v>
      </c>
      <c r="E2761" s="2">
        <v>45979</v>
      </c>
      <c r="F2761" s="1" t="s">
        <v>317</v>
      </c>
      <c r="G2761" s="1" t="s">
        <v>1089</v>
      </c>
      <c r="H2761" s="1" t="s">
        <v>1090</v>
      </c>
      <c r="I2761" s="1">
        <v>1</v>
      </c>
      <c r="J2761" s="3">
        <v>39615</v>
      </c>
      <c r="K2761" s="3">
        <v>37801</v>
      </c>
      <c r="L2761" s="1">
        <v>0</v>
      </c>
      <c r="M2761" s="4">
        <v>0</v>
      </c>
      <c r="N2761" s="3">
        <v>1814</v>
      </c>
      <c r="O2761" s="4">
        <v>4.5999999999999999E-2</v>
      </c>
      <c r="P2761" s="1" t="s">
        <v>2721</v>
      </c>
    </row>
    <row r="2762" spans="1:16">
      <c r="A2762" s="1" t="s">
        <v>15</v>
      </c>
      <c r="B2762" s="1">
        <v>11</v>
      </c>
      <c r="C2762" s="1" t="s">
        <v>6940</v>
      </c>
      <c r="D2762" s="1" t="s">
        <v>6350</v>
      </c>
      <c r="E2762" s="2">
        <v>45979</v>
      </c>
      <c r="F2762" s="1" t="s">
        <v>126</v>
      </c>
      <c r="G2762" s="1" t="s">
        <v>6351</v>
      </c>
      <c r="H2762" s="1" t="s">
        <v>6352</v>
      </c>
      <c r="I2762" s="1">
        <v>1</v>
      </c>
      <c r="J2762" s="3">
        <v>10813</v>
      </c>
      <c r="K2762" s="3">
        <v>10318</v>
      </c>
      <c r="L2762" s="1">
        <v>0</v>
      </c>
      <c r="M2762" s="4">
        <v>0</v>
      </c>
      <c r="N2762" s="1">
        <v>495</v>
      </c>
      <c r="O2762" s="4">
        <v>4.5999999999999999E-2</v>
      </c>
      <c r="P2762" s="1" t="s">
        <v>2721</v>
      </c>
    </row>
    <row r="2763" spans="1:16">
      <c r="A2763" s="1" t="s">
        <v>15</v>
      </c>
      <c r="B2763" s="1">
        <v>11</v>
      </c>
      <c r="C2763" s="1" t="s">
        <v>6941</v>
      </c>
      <c r="D2763" s="1" t="s">
        <v>878</v>
      </c>
      <c r="E2763" s="2">
        <v>45979</v>
      </c>
      <c r="F2763" s="1" t="s">
        <v>856</v>
      </c>
      <c r="G2763" s="1" t="s">
        <v>879</v>
      </c>
      <c r="H2763" s="1" t="s">
        <v>880</v>
      </c>
      <c r="I2763" s="1">
        <v>1</v>
      </c>
      <c r="J2763" s="3">
        <v>89453</v>
      </c>
      <c r="K2763" s="3">
        <v>85358</v>
      </c>
      <c r="L2763" s="1">
        <v>0</v>
      </c>
      <c r="M2763" s="4">
        <v>0</v>
      </c>
      <c r="N2763" s="3">
        <v>4095</v>
      </c>
      <c r="O2763" s="4">
        <v>4.5999999999999999E-2</v>
      </c>
      <c r="P2763" s="1" t="s">
        <v>2721</v>
      </c>
    </row>
    <row r="2764" spans="1:16">
      <c r="A2764" s="1" t="s">
        <v>15</v>
      </c>
      <c r="B2764" s="1">
        <v>11</v>
      </c>
      <c r="C2764" s="1" t="s">
        <v>6942</v>
      </c>
      <c r="D2764" s="1" t="s">
        <v>865</v>
      </c>
      <c r="E2764" s="2">
        <v>45979</v>
      </c>
      <c r="F2764" s="1" t="s">
        <v>334</v>
      </c>
      <c r="G2764" s="1" t="s">
        <v>866</v>
      </c>
      <c r="H2764" s="1" t="s">
        <v>6943</v>
      </c>
      <c r="I2764" s="1">
        <v>2</v>
      </c>
      <c r="J2764" s="3">
        <v>18087</v>
      </c>
      <c r="K2764" s="3">
        <v>17259</v>
      </c>
      <c r="L2764" s="1">
        <v>0</v>
      </c>
      <c r="M2764" s="4">
        <v>0</v>
      </c>
      <c r="N2764" s="1">
        <v>828</v>
      </c>
      <c r="O2764" s="4">
        <v>4.5999999999999999E-2</v>
      </c>
      <c r="P2764" s="1" t="s">
        <v>2721</v>
      </c>
    </row>
    <row r="2765" spans="1:16">
      <c r="A2765" s="1" t="s">
        <v>15</v>
      </c>
      <c r="B2765" s="1">
        <v>11</v>
      </c>
      <c r="C2765" s="1" t="s">
        <v>6944</v>
      </c>
      <c r="D2765" s="1" t="s">
        <v>359</v>
      </c>
      <c r="E2765" s="2">
        <v>45979</v>
      </c>
      <c r="F2765" s="1" t="s">
        <v>360</v>
      </c>
      <c r="G2765" s="1" t="s">
        <v>361</v>
      </c>
      <c r="H2765" s="1" t="s">
        <v>6945</v>
      </c>
      <c r="I2765" s="1">
        <v>1</v>
      </c>
      <c r="J2765" s="3">
        <v>10223</v>
      </c>
      <c r="K2765" s="3">
        <v>9755</v>
      </c>
      <c r="L2765" s="1">
        <v>0</v>
      </c>
      <c r="M2765" s="4">
        <v>0</v>
      </c>
      <c r="N2765" s="1">
        <v>468</v>
      </c>
      <c r="O2765" s="4">
        <v>4.5999999999999999E-2</v>
      </c>
      <c r="P2765" s="1" t="s">
        <v>2721</v>
      </c>
    </row>
    <row r="2766" spans="1:16">
      <c r="A2766" s="1" t="s">
        <v>15</v>
      </c>
      <c r="B2766" s="1">
        <v>11</v>
      </c>
      <c r="C2766" s="1" t="s">
        <v>6946</v>
      </c>
      <c r="D2766" s="1" t="s">
        <v>6947</v>
      </c>
      <c r="E2766" s="2">
        <v>45979</v>
      </c>
      <c r="F2766" s="1" t="s">
        <v>53</v>
      </c>
      <c r="G2766" s="1" t="s">
        <v>6948</v>
      </c>
      <c r="H2766" s="1" t="s">
        <v>6949</v>
      </c>
      <c r="I2766" s="1">
        <v>1</v>
      </c>
      <c r="J2766" s="3">
        <v>6219</v>
      </c>
      <c r="K2766" s="3">
        <v>5935</v>
      </c>
      <c r="L2766" s="1">
        <v>0</v>
      </c>
      <c r="M2766" s="4">
        <v>0</v>
      </c>
      <c r="N2766" s="1">
        <v>284</v>
      </c>
      <c r="O2766" s="4">
        <v>4.5999999999999999E-2</v>
      </c>
      <c r="P2766" s="1" t="s">
        <v>2721</v>
      </c>
    </row>
    <row r="2767" spans="1:16">
      <c r="A2767" s="1" t="s">
        <v>15</v>
      </c>
      <c r="B2767" s="1">
        <v>11</v>
      </c>
      <c r="C2767" s="1" t="s">
        <v>6950</v>
      </c>
      <c r="D2767" s="1" t="s">
        <v>1250</v>
      </c>
      <c r="E2767" s="2">
        <v>45979</v>
      </c>
      <c r="F2767" s="1" t="s">
        <v>18</v>
      </c>
      <c r="G2767" s="1" t="s">
        <v>1251</v>
      </c>
      <c r="H2767" s="1" t="s">
        <v>1252</v>
      </c>
      <c r="I2767" s="1">
        <v>1</v>
      </c>
      <c r="J2767" s="3">
        <v>8395</v>
      </c>
      <c r="K2767" s="3">
        <v>8011</v>
      </c>
      <c r="L2767" s="1">
        <v>0</v>
      </c>
      <c r="M2767" s="4">
        <v>0</v>
      </c>
      <c r="N2767" s="1">
        <v>384</v>
      </c>
      <c r="O2767" s="4">
        <v>4.5999999999999999E-2</v>
      </c>
      <c r="P2767" s="1" t="s">
        <v>2721</v>
      </c>
    </row>
    <row r="2768" spans="1:16">
      <c r="A2768" s="1" t="s">
        <v>15</v>
      </c>
      <c r="B2768" s="1">
        <v>11</v>
      </c>
      <c r="C2768" s="1" t="s">
        <v>6951</v>
      </c>
      <c r="D2768" s="1" t="s">
        <v>1467</v>
      </c>
      <c r="E2768" s="2">
        <v>45979</v>
      </c>
      <c r="F2768" s="1" t="s">
        <v>126</v>
      </c>
      <c r="G2768" s="1" t="s">
        <v>1468</v>
      </c>
      <c r="H2768" s="1" t="s">
        <v>1469</v>
      </c>
      <c r="I2768" s="1">
        <v>1</v>
      </c>
      <c r="J2768" s="3">
        <v>17989</v>
      </c>
      <c r="K2768" s="3">
        <v>17165</v>
      </c>
      <c r="L2768" s="1">
        <v>0</v>
      </c>
      <c r="M2768" s="4">
        <v>0</v>
      </c>
      <c r="N2768" s="1">
        <v>824</v>
      </c>
      <c r="O2768" s="4">
        <v>4.5999999999999999E-2</v>
      </c>
      <c r="P2768" s="1" t="s">
        <v>2721</v>
      </c>
    </row>
    <row r="2769" spans="1:16">
      <c r="A2769" s="1" t="s">
        <v>15</v>
      </c>
      <c r="B2769" s="1">
        <v>11</v>
      </c>
      <c r="C2769" s="1" t="s">
        <v>6952</v>
      </c>
      <c r="D2769" s="1" t="s">
        <v>492</v>
      </c>
      <c r="E2769" s="2">
        <v>45979</v>
      </c>
      <c r="F2769" s="1" t="s">
        <v>493</v>
      </c>
      <c r="G2769" s="1" t="s">
        <v>494</v>
      </c>
      <c r="H2769" s="1" t="s">
        <v>1120</v>
      </c>
      <c r="I2769" s="1">
        <v>1</v>
      </c>
      <c r="J2769" s="3">
        <v>7569</v>
      </c>
      <c r="K2769" s="3">
        <v>7223</v>
      </c>
      <c r="L2769" s="1">
        <v>0</v>
      </c>
      <c r="M2769" s="4">
        <v>0</v>
      </c>
      <c r="N2769" s="1">
        <v>346</v>
      </c>
      <c r="O2769" s="4">
        <v>4.5999999999999999E-2</v>
      </c>
      <c r="P2769" s="1" t="s">
        <v>2721</v>
      </c>
    </row>
    <row r="2770" spans="1:16">
      <c r="A2770" s="1" t="s">
        <v>15</v>
      </c>
      <c r="B2770" s="1">
        <v>11</v>
      </c>
      <c r="C2770" s="1" t="s">
        <v>6952</v>
      </c>
      <c r="D2770" s="1" t="s">
        <v>492</v>
      </c>
      <c r="E2770" s="2">
        <v>45979</v>
      </c>
      <c r="F2770" s="1" t="s">
        <v>493</v>
      </c>
      <c r="G2770" s="1" t="s">
        <v>494</v>
      </c>
      <c r="H2770" s="1" t="s">
        <v>3769</v>
      </c>
      <c r="I2770" s="1">
        <v>1</v>
      </c>
      <c r="J2770" s="3">
        <v>7569</v>
      </c>
      <c r="K2770" s="3">
        <v>7223</v>
      </c>
      <c r="L2770" s="1">
        <v>0</v>
      </c>
      <c r="M2770" s="4">
        <v>0</v>
      </c>
      <c r="N2770" s="1">
        <v>346</v>
      </c>
      <c r="O2770" s="4">
        <v>4.5999999999999999E-2</v>
      </c>
      <c r="P2770" s="1" t="s">
        <v>2721</v>
      </c>
    </row>
    <row r="2771" spans="1:16">
      <c r="A2771" s="1" t="s">
        <v>15</v>
      </c>
      <c r="B2771" s="1">
        <v>11</v>
      </c>
      <c r="C2771" s="1" t="s">
        <v>6953</v>
      </c>
      <c r="D2771" s="1" t="s">
        <v>291</v>
      </c>
      <c r="E2771" s="2">
        <v>45979</v>
      </c>
      <c r="F2771" s="1" t="s">
        <v>292</v>
      </c>
      <c r="G2771" s="1" t="s">
        <v>293</v>
      </c>
      <c r="H2771" s="1" t="s">
        <v>294</v>
      </c>
      <c r="I2771" s="1">
        <v>1</v>
      </c>
      <c r="J2771" s="3">
        <v>13271</v>
      </c>
      <c r="K2771" s="3">
        <v>12663</v>
      </c>
      <c r="L2771" s="1">
        <v>0</v>
      </c>
      <c r="M2771" s="4">
        <v>0</v>
      </c>
      <c r="N2771" s="1">
        <v>608</v>
      </c>
      <c r="O2771" s="4">
        <v>4.5999999999999999E-2</v>
      </c>
      <c r="P2771" s="1" t="s">
        <v>2721</v>
      </c>
    </row>
    <row r="2772" spans="1:16">
      <c r="A2772" s="1" t="s">
        <v>15</v>
      </c>
      <c r="B2772" s="1">
        <v>11</v>
      </c>
      <c r="C2772" s="1" t="s">
        <v>6954</v>
      </c>
      <c r="D2772" s="1" t="s">
        <v>1246</v>
      </c>
      <c r="E2772" s="2">
        <v>45979</v>
      </c>
      <c r="F2772" s="1" t="s">
        <v>53</v>
      </c>
      <c r="G2772" s="1" t="s">
        <v>1247</v>
      </c>
      <c r="H2772" s="1" t="s">
        <v>1366</v>
      </c>
      <c r="I2772" s="1">
        <v>1</v>
      </c>
      <c r="J2772" s="3">
        <v>8383</v>
      </c>
      <c r="K2772" s="3">
        <v>7999</v>
      </c>
      <c r="L2772" s="1">
        <v>0</v>
      </c>
      <c r="M2772" s="4">
        <v>0</v>
      </c>
      <c r="N2772" s="1">
        <v>384</v>
      </c>
      <c r="O2772" s="4">
        <v>4.5999999999999999E-2</v>
      </c>
      <c r="P2772" s="1" t="s">
        <v>2721</v>
      </c>
    </row>
    <row r="2773" spans="1:16">
      <c r="A2773" s="1" t="s">
        <v>15</v>
      </c>
      <c r="B2773" s="1">
        <v>11</v>
      </c>
      <c r="C2773" s="1" t="s">
        <v>6955</v>
      </c>
      <c r="D2773" s="1" t="s">
        <v>1431</v>
      </c>
      <c r="E2773" s="2">
        <v>45979</v>
      </c>
      <c r="F2773" s="1" t="s">
        <v>500</v>
      </c>
      <c r="G2773" s="1" t="s">
        <v>1432</v>
      </c>
      <c r="H2773" s="1" t="s">
        <v>1433</v>
      </c>
      <c r="I2773" s="1">
        <v>1</v>
      </c>
      <c r="J2773" s="3">
        <v>155625</v>
      </c>
      <c r="K2773" s="3">
        <v>148500</v>
      </c>
      <c r="L2773" s="1">
        <v>0</v>
      </c>
      <c r="M2773" s="4">
        <v>0</v>
      </c>
      <c r="N2773" s="3">
        <v>7125</v>
      </c>
      <c r="O2773" s="4">
        <v>4.5999999999999999E-2</v>
      </c>
      <c r="P2773" s="1" t="s">
        <v>2721</v>
      </c>
    </row>
    <row r="2774" spans="1:16">
      <c r="A2774" s="1" t="s">
        <v>15</v>
      </c>
      <c r="B2774" s="1">
        <v>11</v>
      </c>
      <c r="C2774" s="1" t="s">
        <v>6956</v>
      </c>
      <c r="D2774" s="1" t="s">
        <v>95</v>
      </c>
      <c r="E2774" s="2">
        <v>45979</v>
      </c>
      <c r="F2774" s="1" t="s">
        <v>96</v>
      </c>
      <c r="G2774" s="1" t="s">
        <v>97</v>
      </c>
      <c r="H2774" s="1" t="s">
        <v>97</v>
      </c>
      <c r="I2774" s="1">
        <v>1</v>
      </c>
      <c r="J2774" s="3">
        <v>12571</v>
      </c>
      <c r="K2774" s="3">
        <v>11995</v>
      </c>
      <c r="L2774" s="1">
        <v>0</v>
      </c>
      <c r="M2774" s="4">
        <v>0</v>
      </c>
      <c r="N2774" s="1">
        <v>576</v>
      </c>
      <c r="O2774" s="4">
        <v>4.5999999999999999E-2</v>
      </c>
      <c r="P2774" s="1" t="s">
        <v>2721</v>
      </c>
    </row>
    <row r="2775" spans="1:16">
      <c r="A2775" s="1" t="s">
        <v>15</v>
      </c>
      <c r="B2775" s="1">
        <v>11</v>
      </c>
      <c r="C2775" s="1" t="s">
        <v>6957</v>
      </c>
      <c r="D2775" s="1" t="s">
        <v>499</v>
      </c>
      <c r="E2775" s="2">
        <v>45979</v>
      </c>
      <c r="F2775" s="1" t="s">
        <v>500</v>
      </c>
      <c r="G2775" s="1" t="s">
        <v>501</v>
      </c>
      <c r="H2775" s="1" t="s">
        <v>502</v>
      </c>
      <c r="I2775" s="1">
        <v>1</v>
      </c>
      <c r="J2775" s="3">
        <v>227073</v>
      </c>
      <c r="K2775" s="3">
        <v>216678</v>
      </c>
      <c r="L2775" s="1">
        <v>0</v>
      </c>
      <c r="M2775" s="4">
        <v>0</v>
      </c>
      <c r="N2775" s="3">
        <v>10395</v>
      </c>
      <c r="O2775" s="4">
        <v>4.5999999999999999E-2</v>
      </c>
      <c r="P2775" s="1" t="s">
        <v>2721</v>
      </c>
    </row>
    <row r="2776" spans="1:16">
      <c r="A2776" s="1" t="s">
        <v>15</v>
      </c>
      <c r="B2776" s="1">
        <v>11</v>
      </c>
      <c r="C2776" s="1" t="s">
        <v>6958</v>
      </c>
      <c r="D2776" s="1" t="s">
        <v>178</v>
      </c>
      <c r="E2776" s="2">
        <v>45979</v>
      </c>
      <c r="F2776" s="1" t="s">
        <v>96</v>
      </c>
      <c r="G2776" s="1" t="s">
        <v>179</v>
      </c>
      <c r="H2776" s="1" t="s">
        <v>180</v>
      </c>
      <c r="I2776" s="1">
        <v>1</v>
      </c>
      <c r="J2776" s="3">
        <v>15284</v>
      </c>
      <c r="K2776" s="3">
        <v>14584</v>
      </c>
      <c r="L2776" s="1">
        <v>0</v>
      </c>
      <c r="M2776" s="4">
        <v>0</v>
      </c>
      <c r="N2776" s="1">
        <v>700</v>
      </c>
      <c r="O2776" s="4">
        <v>4.5999999999999999E-2</v>
      </c>
      <c r="P2776" s="1" t="s">
        <v>2721</v>
      </c>
    </row>
    <row r="2777" spans="1:16">
      <c r="A2777" s="1" t="s">
        <v>15</v>
      </c>
      <c r="B2777" s="1">
        <v>11</v>
      </c>
      <c r="C2777" s="1" t="s">
        <v>6959</v>
      </c>
      <c r="D2777" s="1" t="s">
        <v>2398</v>
      </c>
      <c r="E2777" s="2">
        <v>45979</v>
      </c>
      <c r="F2777" s="1" t="s">
        <v>63</v>
      </c>
      <c r="G2777" s="1" t="s">
        <v>2399</v>
      </c>
      <c r="H2777" s="1" t="s">
        <v>2400</v>
      </c>
      <c r="I2777" s="1">
        <v>1</v>
      </c>
      <c r="J2777" s="3">
        <v>32001</v>
      </c>
      <c r="K2777" s="3">
        <v>30536</v>
      </c>
      <c r="L2777" s="1">
        <v>0</v>
      </c>
      <c r="M2777" s="4">
        <v>0</v>
      </c>
      <c r="N2777" s="3">
        <v>1465</v>
      </c>
      <c r="O2777" s="4">
        <v>4.5999999999999999E-2</v>
      </c>
      <c r="P2777" s="1" t="s">
        <v>2721</v>
      </c>
    </row>
    <row r="2778" spans="1:16">
      <c r="A2778" s="1" t="s">
        <v>15</v>
      </c>
      <c r="B2778" s="1">
        <v>11</v>
      </c>
      <c r="C2778" s="1" t="s">
        <v>6960</v>
      </c>
      <c r="D2778" s="1" t="s">
        <v>4125</v>
      </c>
      <c r="E2778" s="2">
        <v>45979</v>
      </c>
      <c r="F2778" s="1" t="s">
        <v>334</v>
      </c>
      <c r="G2778" s="1" t="s">
        <v>3168</v>
      </c>
      <c r="H2778" s="1" t="s">
        <v>6961</v>
      </c>
      <c r="I2778" s="1">
        <v>1</v>
      </c>
      <c r="J2778" s="3">
        <v>52394</v>
      </c>
      <c r="K2778" s="3">
        <v>49995</v>
      </c>
      <c r="L2778" s="1">
        <v>0</v>
      </c>
      <c r="M2778" s="4">
        <v>0</v>
      </c>
      <c r="N2778" s="3">
        <v>2399</v>
      </c>
      <c r="O2778" s="4">
        <v>4.5999999999999999E-2</v>
      </c>
      <c r="P2778" s="1" t="s">
        <v>2721</v>
      </c>
    </row>
    <row r="2779" spans="1:16">
      <c r="A2779" s="1" t="s">
        <v>15</v>
      </c>
      <c r="B2779" s="1">
        <v>11</v>
      </c>
      <c r="C2779" s="1" t="s">
        <v>6962</v>
      </c>
      <c r="D2779" s="1" t="s">
        <v>878</v>
      </c>
      <c r="E2779" s="2">
        <v>45979</v>
      </c>
      <c r="F2779" s="1" t="s">
        <v>856</v>
      </c>
      <c r="G2779" s="1" t="s">
        <v>879</v>
      </c>
      <c r="H2779" s="1" t="s">
        <v>880</v>
      </c>
      <c r="I2779" s="1">
        <v>1</v>
      </c>
      <c r="J2779" s="3">
        <v>89453</v>
      </c>
      <c r="K2779" s="3">
        <v>85358</v>
      </c>
      <c r="L2779" s="1">
        <v>0</v>
      </c>
      <c r="M2779" s="4">
        <v>0</v>
      </c>
      <c r="N2779" s="3">
        <v>4095</v>
      </c>
      <c r="O2779" s="4">
        <v>4.5999999999999999E-2</v>
      </c>
      <c r="P2779" s="1" t="s">
        <v>2721</v>
      </c>
    </row>
    <row r="2780" spans="1:16">
      <c r="A2780" s="1" t="s">
        <v>15</v>
      </c>
      <c r="B2780" s="1">
        <v>11</v>
      </c>
      <c r="C2780" s="1" t="s">
        <v>6963</v>
      </c>
      <c r="D2780" s="1" t="s">
        <v>504</v>
      </c>
      <c r="E2780" s="2">
        <v>45979</v>
      </c>
      <c r="F2780" s="1" t="s">
        <v>407</v>
      </c>
      <c r="G2780" s="1" t="s">
        <v>505</v>
      </c>
      <c r="H2780" s="1" t="s">
        <v>1131</v>
      </c>
      <c r="I2780" s="1">
        <v>1</v>
      </c>
      <c r="J2780" s="3">
        <v>54065</v>
      </c>
      <c r="K2780" s="3">
        <v>51590</v>
      </c>
      <c r="L2780" s="1">
        <v>0</v>
      </c>
      <c r="M2780" s="4">
        <v>0</v>
      </c>
      <c r="N2780" s="3">
        <v>2475</v>
      </c>
      <c r="O2780" s="4">
        <v>4.5999999999999999E-2</v>
      </c>
      <c r="P2780" s="1" t="s">
        <v>2721</v>
      </c>
    </row>
    <row r="2781" spans="1:16">
      <c r="A2781" s="1" t="s">
        <v>15</v>
      </c>
      <c r="B2781" s="1">
        <v>11</v>
      </c>
      <c r="C2781" s="1" t="s">
        <v>6964</v>
      </c>
      <c r="D2781" s="1" t="s">
        <v>2398</v>
      </c>
      <c r="E2781" s="2">
        <v>45979</v>
      </c>
      <c r="F2781" s="1" t="s">
        <v>63</v>
      </c>
      <c r="G2781" s="1" t="s">
        <v>2399</v>
      </c>
      <c r="H2781" s="1" t="s">
        <v>2400</v>
      </c>
      <c r="I2781" s="1">
        <v>1</v>
      </c>
      <c r="J2781" s="3">
        <v>32001</v>
      </c>
      <c r="K2781" s="3">
        <v>30536</v>
      </c>
      <c r="L2781" s="1">
        <v>0</v>
      </c>
      <c r="M2781" s="4">
        <v>0</v>
      </c>
      <c r="N2781" s="3">
        <v>1465</v>
      </c>
      <c r="O2781" s="4">
        <v>4.5999999999999999E-2</v>
      </c>
      <c r="P2781" s="1" t="s">
        <v>2721</v>
      </c>
    </row>
    <row r="2782" spans="1:16">
      <c r="A2782" s="1" t="s">
        <v>15</v>
      </c>
      <c r="B2782" s="1">
        <v>11</v>
      </c>
      <c r="C2782" s="1" t="s">
        <v>6965</v>
      </c>
      <c r="D2782" s="1" t="s">
        <v>132</v>
      </c>
      <c r="E2782" s="2">
        <v>45979</v>
      </c>
      <c r="F2782" s="1" t="s">
        <v>53</v>
      </c>
      <c r="G2782" s="1" t="s">
        <v>133</v>
      </c>
      <c r="H2782" s="1" t="s">
        <v>88</v>
      </c>
      <c r="I2782" s="1">
        <v>1</v>
      </c>
      <c r="J2782" s="3">
        <v>17036</v>
      </c>
      <c r="K2782" s="3">
        <v>16256</v>
      </c>
      <c r="L2782" s="1">
        <v>0</v>
      </c>
      <c r="M2782" s="4">
        <v>0</v>
      </c>
      <c r="N2782" s="1">
        <v>780</v>
      </c>
      <c r="O2782" s="4">
        <v>4.5999999999999999E-2</v>
      </c>
      <c r="P2782" s="1" t="s">
        <v>2721</v>
      </c>
    </row>
    <row r="2783" spans="1:16">
      <c r="A2783" s="1" t="s">
        <v>15</v>
      </c>
      <c r="B2783" s="1">
        <v>11</v>
      </c>
      <c r="C2783" s="1" t="s">
        <v>6966</v>
      </c>
      <c r="D2783" s="1" t="s">
        <v>390</v>
      </c>
      <c r="E2783" s="2">
        <v>45979</v>
      </c>
      <c r="F2783" s="1" t="s">
        <v>256</v>
      </c>
      <c r="G2783" s="1" t="s">
        <v>391</v>
      </c>
      <c r="H2783" s="1" t="s">
        <v>392</v>
      </c>
      <c r="I2783" s="1">
        <v>1</v>
      </c>
      <c r="J2783" s="3">
        <v>12799</v>
      </c>
      <c r="K2783" s="3">
        <v>12213</v>
      </c>
      <c r="L2783" s="1">
        <v>0</v>
      </c>
      <c r="M2783" s="4">
        <v>0</v>
      </c>
      <c r="N2783" s="1">
        <v>586</v>
      </c>
      <c r="O2783" s="4">
        <v>4.5999999999999999E-2</v>
      </c>
      <c r="P2783" s="1" t="s">
        <v>2721</v>
      </c>
    </row>
    <row r="2784" spans="1:16">
      <c r="A2784" s="1" t="s">
        <v>15</v>
      </c>
      <c r="B2784" s="1">
        <v>11</v>
      </c>
      <c r="C2784" s="1" t="s">
        <v>6967</v>
      </c>
      <c r="D2784" s="1" t="s">
        <v>3728</v>
      </c>
      <c r="E2784" s="2">
        <v>45979</v>
      </c>
      <c r="F2784" s="1" t="s">
        <v>96</v>
      </c>
      <c r="G2784" s="1" t="s">
        <v>3729</v>
      </c>
      <c r="H2784" s="1" t="s">
        <v>3730</v>
      </c>
      <c r="I2784" s="1">
        <v>1</v>
      </c>
      <c r="J2784" s="3">
        <v>11305</v>
      </c>
      <c r="K2784" s="3">
        <v>10787</v>
      </c>
      <c r="L2784" s="1">
        <v>0</v>
      </c>
      <c r="M2784" s="4">
        <v>0</v>
      </c>
      <c r="N2784" s="1">
        <v>518</v>
      </c>
      <c r="O2784" s="4">
        <v>4.5999999999999999E-2</v>
      </c>
      <c r="P2784" s="1" t="s">
        <v>2721</v>
      </c>
    </row>
    <row r="2785" spans="1:16">
      <c r="A2785" s="1" t="s">
        <v>15</v>
      </c>
      <c r="B2785" s="1">
        <v>11</v>
      </c>
      <c r="C2785" s="1" t="s">
        <v>6968</v>
      </c>
      <c r="D2785" s="1" t="s">
        <v>6969</v>
      </c>
      <c r="E2785" s="2">
        <v>45979</v>
      </c>
      <c r="F2785" s="1" t="s">
        <v>2173</v>
      </c>
      <c r="G2785" s="1" t="s">
        <v>6970</v>
      </c>
      <c r="H2785" s="1" t="s">
        <v>6971</v>
      </c>
      <c r="I2785" s="1">
        <v>1</v>
      </c>
      <c r="J2785" s="3">
        <v>10813</v>
      </c>
      <c r="K2785" s="3">
        <v>10318</v>
      </c>
      <c r="L2785" s="1">
        <v>0</v>
      </c>
      <c r="M2785" s="4">
        <v>0</v>
      </c>
      <c r="N2785" s="1">
        <v>495</v>
      </c>
      <c r="O2785" s="4">
        <v>4.5999999999999999E-2</v>
      </c>
      <c r="P2785" s="1" t="s">
        <v>2721</v>
      </c>
    </row>
    <row r="2786" spans="1:16">
      <c r="A2786" s="1" t="s">
        <v>15</v>
      </c>
      <c r="B2786" s="1">
        <v>11</v>
      </c>
      <c r="C2786" s="1" t="s">
        <v>6972</v>
      </c>
      <c r="D2786" s="1" t="s">
        <v>108</v>
      </c>
      <c r="E2786" s="2">
        <v>45979</v>
      </c>
      <c r="F2786" s="1" t="s">
        <v>96</v>
      </c>
      <c r="G2786" s="1" t="s">
        <v>109</v>
      </c>
      <c r="H2786" s="1" t="s">
        <v>110</v>
      </c>
      <c r="I2786" s="1">
        <v>2</v>
      </c>
      <c r="J2786" s="3">
        <v>21524</v>
      </c>
      <c r="K2786" s="3">
        <v>20538</v>
      </c>
      <c r="L2786" s="1">
        <v>0</v>
      </c>
      <c r="M2786" s="4">
        <v>0</v>
      </c>
      <c r="N2786" s="1">
        <v>986</v>
      </c>
      <c r="O2786" s="4">
        <v>4.5999999999999999E-2</v>
      </c>
      <c r="P2786" s="1" t="s">
        <v>2721</v>
      </c>
    </row>
    <row r="2787" spans="1:16">
      <c r="A2787" s="1" t="s">
        <v>15</v>
      </c>
      <c r="B2787" s="1">
        <v>11</v>
      </c>
      <c r="C2787" s="1" t="s">
        <v>6973</v>
      </c>
      <c r="D2787" s="1" t="s">
        <v>169</v>
      </c>
      <c r="E2787" s="2">
        <v>45979</v>
      </c>
      <c r="F2787" s="1" t="s">
        <v>53</v>
      </c>
      <c r="G2787" s="1" t="s">
        <v>170</v>
      </c>
      <c r="H2787" s="1" t="s">
        <v>171</v>
      </c>
      <c r="I2787" s="1">
        <v>1</v>
      </c>
      <c r="J2787" s="3">
        <v>14332</v>
      </c>
      <c r="K2787" s="3">
        <v>13676</v>
      </c>
      <c r="L2787" s="1">
        <v>0</v>
      </c>
      <c r="M2787" s="4">
        <v>0</v>
      </c>
      <c r="N2787" s="1">
        <v>656</v>
      </c>
      <c r="O2787" s="4">
        <v>4.5999999999999999E-2</v>
      </c>
      <c r="P2787" s="1" t="s">
        <v>2721</v>
      </c>
    </row>
    <row r="2788" spans="1:16">
      <c r="A2788" s="1" t="s">
        <v>15</v>
      </c>
      <c r="B2788" s="1">
        <v>11</v>
      </c>
      <c r="C2788" s="1" t="s">
        <v>6974</v>
      </c>
      <c r="D2788" s="1" t="s">
        <v>5679</v>
      </c>
      <c r="E2788" s="2">
        <v>45979</v>
      </c>
      <c r="F2788" s="1" t="s">
        <v>96</v>
      </c>
      <c r="G2788" s="1" t="s">
        <v>5680</v>
      </c>
      <c r="H2788" s="1" t="s">
        <v>4938</v>
      </c>
      <c r="I2788" s="1">
        <v>2</v>
      </c>
      <c r="J2788" s="3">
        <v>18811</v>
      </c>
      <c r="K2788" s="3">
        <v>17950</v>
      </c>
      <c r="L2788" s="1">
        <v>0</v>
      </c>
      <c r="M2788" s="4">
        <v>0</v>
      </c>
      <c r="N2788" s="1">
        <v>861</v>
      </c>
      <c r="O2788" s="4">
        <v>4.5999999999999999E-2</v>
      </c>
      <c r="P2788" s="1" t="s">
        <v>2721</v>
      </c>
    </row>
    <row r="2789" spans="1:16">
      <c r="A2789" s="1" t="s">
        <v>15</v>
      </c>
      <c r="B2789" s="1">
        <v>11</v>
      </c>
      <c r="C2789" s="1" t="s">
        <v>6974</v>
      </c>
      <c r="D2789" s="1" t="s">
        <v>224</v>
      </c>
      <c r="E2789" s="2">
        <v>45979</v>
      </c>
      <c r="F2789" s="1" t="s">
        <v>96</v>
      </c>
      <c r="G2789" s="1" t="s">
        <v>225</v>
      </c>
      <c r="H2789" s="1" t="s">
        <v>896</v>
      </c>
      <c r="I2789" s="1">
        <v>1</v>
      </c>
      <c r="J2789" s="3">
        <v>12571</v>
      </c>
      <c r="K2789" s="3">
        <v>11995</v>
      </c>
      <c r="L2789" s="1">
        <v>0</v>
      </c>
      <c r="M2789" s="4">
        <v>0</v>
      </c>
      <c r="N2789" s="1">
        <v>576</v>
      </c>
      <c r="O2789" s="4">
        <v>4.5999999999999999E-2</v>
      </c>
      <c r="P2789" s="1" t="s">
        <v>2721</v>
      </c>
    </row>
    <row r="2790" spans="1:16">
      <c r="A2790" s="1" t="s">
        <v>15</v>
      </c>
      <c r="B2790" s="1">
        <v>11</v>
      </c>
      <c r="C2790" s="1" t="s">
        <v>6975</v>
      </c>
      <c r="D2790" s="1" t="s">
        <v>169</v>
      </c>
      <c r="E2790" s="2">
        <v>45979</v>
      </c>
      <c r="F2790" s="1" t="s">
        <v>53</v>
      </c>
      <c r="G2790" s="1" t="s">
        <v>170</v>
      </c>
      <c r="H2790" s="1" t="s">
        <v>171</v>
      </c>
      <c r="I2790" s="1">
        <v>1</v>
      </c>
      <c r="J2790" s="3">
        <v>14332</v>
      </c>
      <c r="K2790" s="3">
        <v>13676</v>
      </c>
      <c r="L2790" s="1">
        <v>0</v>
      </c>
      <c r="M2790" s="4">
        <v>0</v>
      </c>
      <c r="N2790" s="1">
        <v>656</v>
      </c>
      <c r="O2790" s="4">
        <v>4.5999999999999999E-2</v>
      </c>
      <c r="P2790" s="1" t="s">
        <v>2721</v>
      </c>
    </row>
    <row r="2791" spans="1:16">
      <c r="A2791" s="1" t="s">
        <v>15</v>
      </c>
      <c r="B2791" s="1">
        <v>11</v>
      </c>
      <c r="C2791" s="1" t="s">
        <v>6976</v>
      </c>
      <c r="D2791" s="1" t="s">
        <v>72</v>
      </c>
      <c r="E2791" s="2">
        <v>45979</v>
      </c>
      <c r="F2791" s="1" t="s">
        <v>63</v>
      </c>
      <c r="G2791" s="1" t="s">
        <v>73</v>
      </c>
      <c r="H2791" s="1" t="s">
        <v>74</v>
      </c>
      <c r="I2791" s="1">
        <v>1</v>
      </c>
      <c r="J2791" s="3">
        <v>10456</v>
      </c>
      <c r="K2791" s="3">
        <v>9978</v>
      </c>
      <c r="L2791" s="1">
        <v>0</v>
      </c>
      <c r="M2791" s="4">
        <v>0</v>
      </c>
      <c r="N2791" s="1">
        <v>478</v>
      </c>
      <c r="O2791" s="4">
        <v>4.5999999999999999E-2</v>
      </c>
      <c r="P2791" s="1" t="s">
        <v>2721</v>
      </c>
    </row>
    <row r="2792" spans="1:16">
      <c r="A2792" s="1" t="s">
        <v>15</v>
      </c>
      <c r="B2792" s="1">
        <v>11</v>
      </c>
      <c r="C2792" s="1" t="s">
        <v>6977</v>
      </c>
      <c r="D2792" s="1" t="s">
        <v>878</v>
      </c>
      <c r="E2792" s="2">
        <v>45979</v>
      </c>
      <c r="F2792" s="1" t="s">
        <v>856</v>
      </c>
      <c r="G2792" s="1" t="s">
        <v>879</v>
      </c>
      <c r="H2792" s="1" t="s">
        <v>880</v>
      </c>
      <c r="I2792" s="1">
        <v>1</v>
      </c>
      <c r="J2792" s="3">
        <v>89453</v>
      </c>
      <c r="K2792" s="3">
        <v>85358</v>
      </c>
      <c r="L2792" s="1">
        <v>0</v>
      </c>
      <c r="M2792" s="4">
        <v>0</v>
      </c>
      <c r="N2792" s="3">
        <v>4095</v>
      </c>
      <c r="O2792" s="4">
        <v>4.5999999999999999E-2</v>
      </c>
      <c r="P2792" s="1" t="s">
        <v>2721</v>
      </c>
    </row>
    <row r="2793" spans="1:16">
      <c r="A2793" s="1" t="s">
        <v>15</v>
      </c>
      <c r="B2793" s="1">
        <v>11</v>
      </c>
      <c r="C2793" s="1" t="s">
        <v>6978</v>
      </c>
      <c r="D2793" s="1" t="s">
        <v>538</v>
      </c>
      <c r="E2793" s="2">
        <v>45979</v>
      </c>
      <c r="F2793" s="1" t="s">
        <v>53</v>
      </c>
      <c r="G2793" s="1" t="s">
        <v>539</v>
      </c>
      <c r="H2793" s="1" t="s">
        <v>540</v>
      </c>
      <c r="I2793" s="1">
        <v>1</v>
      </c>
      <c r="J2793" s="3">
        <v>14332</v>
      </c>
      <c r="K2793" s="3">
        <v>13676</v>
      </c>
      <c r="L2793" s="1">
        <v>0</v>
      </c>
      <c r="M2793" s="4">
        <v>0</v>
      </c>
      <c r="N2793" s="1">
        <v>656</v>
      </c>
      <c r="O2793" s="4">
        <v>4.5999999999999999E-2</v>
      </c>
      <c r="P2793" s="1" t="s">
        <v>2721</v>
      </c>
    </row>
    <row r="2794" spans="1:16">
      <c r="A2794" s="1" t="s">
        <v>15</v>
      </c>
      <c r="B2794" s="1">
        <v>11</v>
      </c>
      <c r="C2794" s="1" t="s">
        <v>6979</v>
      </c>
      <c r="D2794" s="1" t="s">
        <v>169</v>
      </c>
      <c r="E2794" s="2">
        <v>45979</v>
      </c>
      <c r="F2794" s="1" t="s">
        <v>53</v>
      </c>
      <c r="G2794" s="1" t="s">
        <v>170</v>
      </c>
      <c r="H2794" s="1" t="s">
        <v>171</v>
      </c>
      <c r="I2794" s="1">
        <v>1</v>
      </c>
      <c r="J2794" s="3">
        <v>14332</v>
      </c>
      <c r="K2794" s="3">
        <v>13676</v>
      </c>
      <c r="L2794" s="1">
        <v>0</v>
      </c>
      <c r="M2794" s="4">
        <v>0</v>
      </c>
      <c r="N2794" s="1">
        <v>656</v>
      </c>
      <c r="O2794" s="4">
        <v>4.5999999999999999E-2</v>
      </c>
      <c r="P2794" s="1" t="s">
        <v>2721</v>
      </c>
    </row>
    <row r="2795" spans="1:16">
      <c r="A2795" s="1" t="s">
        <v>15</v>
      </c>
      <c r="B2795" s="1">
        <v>11</v>
      </c>
      <c r="C2795" s="1" t="s">
        <v>6980</v>
      </c>
      <c r="D2795" s="1" t="s">
        <v>228</v>
      </c>
      <c r="E2795" s="2">
        <v>45979</v>
      </c>
      <c r="F2795" s="1" t="s">
        <v>53</v>
      </c>
      <c r="G2795" s="1" t="s">
        <v>229</v>
      </c>
      <c r="H2795" s="1" t="s">
        <v>230</v>
      </c>
      <c r="I2795" s="1">
        <v>1</v>
      </c>
      <c r="J2795" s="3">
        <v>9825</v>
      </c>
      <c r="K2795" s="3">
        <v>9375</v>
      </c>
      <c r="L2795" s="1">
        <v>0</v>
      </c>
      <c r="M2795" s="4">
        <v>0</v>
      </c>
      <c r="N2795" s="1">
        <v>450</v>
      </c>
      <c r="O2795" s="4">
        <v>4.5999999999999999E-2</v>
      </c>
      <c r="P2795" s="1" t="s">
        <v>2721</v>
      </c>
    </row>
    <row r="2796" spans="1:16">
      <c r="A2796" s="1" t="s">
        <v>15</v>
      </c>
      <c r="B2796" s="1">
        <v>11</v>
      </c>
      <c r="C2796" s="1" t="s">
        <v>6981</v>
      </c>
      <c r="D2796" s="1" t="s">
        <v>1254</v>
      </c>
      <c r="E2796" s="2">
        <v>45979</v>
      </c>
      <c r="F2796" s="1" t="s">
        <v>1255</v>
      </c>
      <c r="G2796" s="1" t="s">
        <v>1256</v>
      </c>
      <c r="H2796" s="1" t="s">
        <v>4768</v>
      </c>
      <c r="I2796" s="1">
        <v>1</v>
      </c>
      <c r="J2796" s="3">
        <v>49642</v>
      </c>
      <c r="K2796" s="3">
        <v>47369</v>
      </c>
      <c r="L2796" s="1">
        <v>0</v>
      </c>
      <c r="M2796" s="4">
        <v>0</v>
      </c>
      <c r="N2796" s="3">
        <v>2273</v>
      </c>
      <c r="O2796" s="4">
        <v>4.5999999999999999E-2</v>
      </c>
      <c r="P2796" s="1" t="s">
        <v>2721</v>
      </c>
    </row>
    <row r="2797" spans="1:16">
      <c r="A2797" s="1" t="s">
        <v>15</v>
      </c>
      <c r="B2797" s="1">
        <v>11</v>
      </c>
      <c r="C2797" s="1" t="s">
        <v>6982</v>
      </c>
      <c r="D2797" s="1" t="s">
        <v>238</v>
      </c>
      <c r="E2797" s="2">
        <v>45979</v>
      </c>
      <c r="F2797" s="1" t="s">
        <v>239</v>
      </c>
      <c r="G2797" s="1" t="s">
        <v>240</v>
      </c>
      <c r="H2797" s="1" t="s">
        <v>241</v>
      </c>
      <c r="I2797" s="1">
        <v>1</v>
      </c>
      <c r="J2797" s="3">
        <v>11305</v>
      </c>
      <c r="K2797" s="3">
        <v>10787</v>
      </c>
      <c r="L2797" s="1">
        <v>0</v>
      </c>
      <c r="M2797" s="4">
        <v>0</v>
      </c>
      <c r="N2797" s="1">
        <v>518</v>
      </c>
      <c r="O2797" s="4">
        <v>4.5999999999999999E-2</v>
      </c>
      <c r="P2797" s="1" t="s">
        <v>2721</v>
      </c>
    </row>
    <row r="2798" spans="1:16">
      <c r="A2798" s="1" t="s">
        <v>15</v>
      </c>
      <c r="B2798" s="1">
        <v>11</v>
      </c>
      <c r="C2798" s="1" t="s">
        <v>6983</v>
      </c>
      <c r="D2798" s="1" t="s">
        <v>169</v>
      </c>
      <c r="E2798" s="2">
        <v>45979</v>
      </c>
      <c r="F2798" s="1" t="s">
        <v>53</v>
      </c>
      <c r="G2798" s="1" t="s">
        <v>170</v>
      </c>
      <c r="H2798" s="1" t="s">
        <v>171</v>
      </c>
      <c r="I2798" s="1">
        <v>1</v>
      </c>
      <c r="J2798" s="3">
        <v>14332</v>
      </c>
      <c r="K2798" s="3">
        <v>13676</v>
      </c>
      <c r="L2798" s="1">
        <v>0</v>
      </c>
      <c r="M2798" s="4">
        <v>0</v>
      </c>
      <c r="N2798" s="1">
        <v>656</v>
      </c>
      <c r="O2798" s="4">
        <v>4.5999999999999999E-2</v>
      </c>
      <c r="P2798" s="1" t="s">
        <v>2721</v>
      </c>
    </row>
    <row r="2799" spans="1:16">
      <c r="A2799" s="1" t="s">
        <v>15</v>
      </c>
      <c r="B2799" s="1">
        <v>11</v>
      </c>
      <c r="C2799" s="1" t="s">
        <v>6984</v>
      </c>
      <c r="D2799" s="1" t="s">
        <v>862</v>
      </c>
      <c r="E2799" s="2">
        <v>45979</v>
      </c>
      <c r="F2799" s="1" t="s">
        <v>334</v>
      </c>
      <c r="G2799" s="1" t="s">
        <v>863</v>
      </c>
      <c r="H2799" s="1" t="s">
        <v>2958</v>
      </c>
      <c r="I2799" s="1">
        <v>1</v>
      </c>
      <c r="J2799" s="3">
        <v>16220</v>
      </c>
      <c r="K2799" s="3">
        <v>15477</v>
      </c>
      <c r="L2799" s="1">
        <v>0</v>
      </c>
      <c r="M2799" s="4">
        <v>0</v>
      </c>
      <c r="N2799" s="1">
        <v>743</v>
      </c>
      <c r="O2799" s="4">
        <v>4.5999999999999999E-2</v>
      </c>
      <c r="P2799" s="1" t="s">
        <v>2721</v>
      </c>
    </row>
    <row r="2800" spans="1:16">
      <c r="A2800" s="1" t="s">
        <v>15</v>
      </c>
      <c r="B2800" s="1">
        <v>11</v>
      </c>
      <c r="C2800" s="1" t="s">
        <v>6985</v>
      </c>
      <c r="D2800" s="1" t="s">
        <v>838</v>
      </c>
      <c r="E2800" s="2">
        <v>45979</v>
      </c>
      <c r="F2800" s="1" t="s">
        <v>839</v>
      </c>
      <c r="G2800" s="1" t="s">
        <v>840</v>
      </c>
      <c r="I2800" s="1">
        <v>1</v>
      </c>
      <c r="J2800" s="3">
        <v>21135</v>
      </c>
      <c r="K2800" s="3">
        <v>20167</v>
      </c>
      <c r="L2800" s="1">
        <v>0</v>
      </c>
      <c r="M2800" s="4">
        <v>0</v>
      </c>
      <c r="N2800" s="1">
        <v>968</v>
      </c>
      <c r="O2800" s="4">
        <v>4.5999999999999999E-2</v>
      </c>
      <c r="P2800" s="1" t="s">
        <v>2721</v>
      </c>
    </row>
    <row r="2801" spans="1:16">
      <c r="A2801" s="1" t="s">
        <v>15</v>
      </c>
      <c r="B2801" s="1">
        <v>11</v>
      </c>
      <c r="C2801" s="1" t="s">
        <v>6986</v>
      </c>
      <c r="D2801" s="1" t="s">
        <v>1346</v>
      </c>
      <c r="E2801" s="2">
        <v>45979</v>
      </c>
      <c r="F2801" s="1" t="s">
        <v>317</v>
      </c>
      <c r="G2801" s="1" t="s">
        <v>1347</v>
      </c>
      <c r="H2801" s="1" t="s">
        <v>742</v>
      </c>
      <c r="I2801" s="1">
        <v>1</v>
      </c>
      <c r="J2801" s="3">
        <v>27524</v>
      </c>
      <c r="K2801" s="3">
        <v>26264</v>
      </c>
      <c r="L2801" s="1">
        <v>0</v>
      </c>
      <c r="M2801" s="4">
        <v>0</v>
      </c>
      <c r="N2801" s="3">
        <v>1260</v>
      </c>
      <c r="O2801" s="4">
        <v>4.5999999999999999E-2</v>
      </c>
      <c r="P2801" s="1" t="s">
        <v>2721</v>
      </c>
    </row>
    <row r="2802" spans="1:16">
      <c r="A2802" s="1" t="s">
        <v>15</v>
      </c>
      <c r="B2802" s="1">
        <v>11</v>
      </c>
      <c r="C2802" s="1" t="s">
        <v>6987</v>
      </c>
      <c r="D2802" s="1" t="s">
        <v>3244</v>
      </c>
      <c r="E2802" s="2">
        <v>45979</v>
      </c>
      <c r="F2802" s="1" t="s">
        <v>151</v>
      </c>
      <c r="G2802" s="1" t="s">
        <v>3245</v>
      </c>
      <c r="H2802" s="1" t="s">
        <v>3245</v>
      </c>
      <c r="I2802" s="1">
        <v>2</v>
      </c>
      <c r="J2802" s="3">
        <v>50133</v>
      </c>
      <c r="K2802" s="3">
        <v>47838</v>
      </c>
      <c r="L2802" s="1">
        <v>0</v>
      </c>
      <c r="M2802" s="4">
        <v>0</v>
      </c>
      <c r="N2802" s="3">
        <v>2295</v>
      </c>
      <c r="O2802" s="4">
        <v>4.5999999999999999E-2</v>
      </c>
      <c r="P2802" s="1" t="s">
        <v>2721</v>
      </c>
    </row>
    <row r="2803" spans="1:16">
      <c r="A2803" s="1" t="s">
        <v>15</v>
      </c>
      <c r="B2803" s="1">
        <v>11</v>
      </c>
      <c r="C2803" s="1" t="s">
        <v>6988</v>
      </c>
      <c r="D2803" s="1" t="s">
        <v>1355</v>
      </c>
      <c r="E2803" s="2">
        <v>45979</v>
      </c>
      <c r="F2803" s="1" t="s">
        <v>256</v>
      </c>
      <c r="G2803" s="1" t="s">
        <v>1356</v>
      </c>
      <c r="H2803" s="1" t="s">
        <v>4639</v>
      </c>
      <c r="I2803" s="1">
        <v>1</v>
      </c>
      <c r="J2803" s="3">
        <v>13676</v>
      </c>
      <c r="K2803" s="3">
        <v>13050</v>
      </c>
      <c r="L2803" s="1">
        <v>0</v>
      </c>
      <c r="M2803" s="4">
        <v>0</v>
      </c>
      <c r="N2803" s="1">
        <v>626</v>
      </c>
      <c r="O2803" s="4">
        <v>4.5999999999999999E-2</v>
      </c>
      <c r="P2803" s="1" t="s">
        <v>2721</v>
      </c>
    </row>
    <row r="2804" spans="1:16">
      <c r="A2804" s="1" t="s">
        <v>15</v>
      </c>
      <c r="B2804" s="1">
        <v>11</v>
      </c>
      <c r="C2804" s="1" t="s">
        <v>6989</v>
      </c>
      <c r="D2804" s="1" t="s">
        <v>1467</v>
      </c>
      <c r="E2804" s="2">
        <v>45979</v>
      </c>
      <c r="F2804" s="1" t="s">
        <v>126</v>
      </c>
      <c r="G2804" s="1" t="s">
        <v>1468</v>
      </c>
      <c r="H2804" s="1" t="s">
        <v>1469</v>
      </c>
      <c r="I2804" s="1">
        <v>1</v>
      </c>
      <c r="J2804" s="3">
        <v>17989</v>
      </c>
      <c r="K2804" s="3">
        <v>17165</v>
      </c>
      <c r="L2804" s="1">
        <v>0</v>
      </c>
      <c r="M2804" s="4">
        <v>0</v>
      </c>
      <c r="N2804" s="1">
        <v>824</v>
      </c>
      <c r="O2804" s="4">
        <v>4.5999999999999999E-2</v>
      </c>
      <c r="P2804" s="1" t="s">
        <v>2721</v>
      </c>
    </row>
    <row r="2805" spans="1:16">
      <c r="A2805" s="1" t="s">
        <v>15</v>
      </c>
      <c r="B2805" s="1">
        <v>11</v>
      </c>
      <c r="C2805" s="1" t="s">
        <v>6990</v>
      </c>
      <c r="D2805" s="1" t="s">
        <v>228</v>
      </c>
      <c r="E2805" s="2">
        <v>45979</v>
      </c>
      <c r="F2805" s="1" t="s">
        <v>53</v>
      </c>
      <c r="G2805" s="1" t="s">
        <v>229</v>
      </c>
      <c r="H2805" s="1" t="s">
        <v>230</v>
      </c>
      <c r="I2805" s="1">
        <v>1</v>
      </c>
      <c r="J2805" s="3">
        <v>9825</v>
      </c>
      <c r="K2805" s="3">
        <v>9375</v>
      </c>
      <c r="L2805" s="1">
        <v>0</v>
      </c>
      <c r="M2805" s="4">
        <v>0</v>
      </c>
      <c r="N2805" s="1">
        <v>450</v>
      </c>
      <c r="O2805" s="4">
        <v>4.5999999999999999E-2</v>
      </c>
      <c r="P2805" s="1" t="s">
        <v>2721</v>
      </c>
    </row>
    <row r="2806" spans="1:16">
      <c r="A2806" s="1" t="s">
        <v>15</v>
      </c>
      <c r="B2806" s="1">
        <v>11</v>
      </c>
      <c r="C2806" s="1" t="s">
        <v>6991</v>
      </c>
      <c r="D2806" s="1" t="s">
        <v>425</v>
      </c>
      <c r="E2806" s="2">
        <v>45979</v>
      </c>
      <c r="F2806" s="1" t="s">
        <v>426</v>
      </c>
      <c r="G2806" s="1" t="s">
        <v>427</v>
      </c>
      <c r="H2806" s="1" t="s">
        <v>1568</v>
      </c>
      <c r="I2806" s="1">
        <v>1</v>
      </c>
      <c r="J2806" s="3">
        <v>24575</v>
      </c>
      <c r="K2806" s="3">
        <v>23450</v>
      </c>
      <c r="L2806" s="1">
        <v>0</v>
      </c>
      <c r="M2806" s="4">
        <v>0</v>
      </c>
      <c r="N2806" s="3">
        <v>1125</v>
      </c>
      <c r="O2806" s="4">
        <v>4.5999999999999999E-2</v>
      </c>
      <c r="P2806" s="1" t="s">
        <v>2721</v>
      </c>
    </row>
    <row r="2807" spans="1:16">
      <c r="A2807" s="1" t="s">
        <v>15</v>
      </c>
      <c r="B2807" s="1">
        <v>11</v>
      </c>
      <c r="C2807" s="1" t="s">
        <v>6992</v>
      </c>
      <c r="D2807" s="1" t="s">
        <v>6169</v>
      </c>
      <c r="E2807" s="2">
        <v>45979</v>
      </c>
      <c r="F2807" s="1" t="s">
        <v>317</v>
      </c>
      <c r="G2807" s="1" t="s">
        <v>6170</v>
      </c>
      <c r="H2807" s="1" t="s">
        <v>6993</v>
      </c>
      <c r="I2807" s="1">
        <v>1</v>
      </c>
      <c r="J2807" s="3">
        <v>62322</v>
      </c>
      <c r="K2807" s="3">
        <v>59469</v>
      </c>
      <c r="L2807" s="1">
        <v>0</v>
      </c>
      <c r="M2807" s="4">
        <v>0</v>
      </c>
      <c r="N2807" s="3">
        <v>2853</v>
      </c>
      <c r="O2807" s="4">
        <v>4.5999999999999999E-2</v>
      </c>
      <c r="P2807" s="1" t="s">
        <v>2721</v>
      </c>
    </row>
    <row r="2808" spans="1:16">
      <c r="A2808" s="1" t="s">
        <v>15</v>
      </c>
      <c r="B2808" s="1">
        <v>11</v>
      </c>
      <c r="C2808" s="1" t="s">
        <v>6994</v>
      </c>
      <c r="D2808" s="1" t="s">
        <v>3585</v>
      </c>
      <c r="E2808" s="2">
        <v>45979</v>
      </c>
      <c r="F2808" s="1" t="s">
        <v>856</v>
      </c>
      <c r="G2808" s="1" t="s">
        <v>3586</v>
      </c>
      <c r="H2808" s="1" t="s">
        <v>3587</v>
      </c>
      <c r="I2808" s="1">
        <v>1</v>
      </c>
      <c r="J2808" s="3">
        <v>103215</v>
      </c>
      <c r="K2808" s="3">
        <v>98490</v>
      </c>
      <c r="L2808" s="1">
        <v>0</v>
      </c>
      <c r="M2808" s="4">
        <v>0</v>
      </c>
      <c r="N2808" s="3">
        <v>4725</v>
      </c>
      <c r="O2808" s="4">
        <v>4.5999999999999999E-2</v>
      </c>
      <c r="P2808" s="1" t="s">
        <v>2721</v>
      </c>
    </row>
    <row r="2809" spans="1:16">
      <c r="A2809" s="1" t="s">
        <v>15</v>
      </c>
      <c r="B2809" s="1">
        <v>11</v>
      </c>
      <c r="C2809" s="1" t="s">
        <v>6995</v>
      </c>
      <c r="D2809" s="1" t="s">
        <v>504</v>
      </c>
      <c r="E2809" s="2">
        <v>45979</v>
      </c>
      <c r="F2809" s="1" t="s">
        <v>407</v>
      </c>
      <c r="G2809" s="1" t="s">
        <v>505</v>
      </c>
      <c r="H2809" s="1" t="s">
        <v>1131</v>
      </c>
      <c r="I2809" s="1">
        <v>1</v>
      </c>
      <c r="J2809" s="3">
        <v>54065</v>
      </c>
      <c r="K2809" s="3">
        <v>51590</v>
      </c>
      <c r="L2809" s="1">
        <v>0</v>
      </c>
      <c r="M2809" s="4">
        <v>0</v>
      </c>
      <c r="N2809" s="3">
        <v>2475</v>
      </c>
      <c r="O2809" s="4">
        <v>4.5999999999999999E-2</v>
      </c>
      <c r="P2809" s="1" t="s">
        <v>2721</v>
      </c>
    </row>
    <row r="2810" spans="1:16">
      <c r="A2810" s="1" t="s">
        <v>15</v>
      </c>
      <c r="B2810" s="1">
        <v>11</v>
      </c>
      <c r="C2810" s="1" t="s">
        <v>6996</v>
      </c>
      <c r="D2810" s="1" t="s">
        <v>504</v>
      </c>
      <c r="E2810" s="2">
        <v>45979</v>
      </c>
      <c r="F2810" s="1" t="s">
        <v>407</v>
      </c>
      <c r="G2810" s="1" t="s">
        <v>505</v>
      </c>
      <c r="H2810" s="1" t="s">
        <v>1131</v>
      </c>
      <c r="I2810" s="1">
        <v>1</v>
      </c>
      <c r="J2810" s="3">
        <v>54065</v>
      </c>
      <c r="K2810" s="3">
        <v>51590</v>
      </c>
      <c r="L2810" s="1">
        <v>0</v>
      </c>
      <c r="M2810" s="4">
        <v>0</v>
      </c>
      <c r="N2810" s="3">
        <v>2475</v>
      </c>
      <c r="O2810" s="4">
        <v>4.5999999999999999E-2</v>
      </c>
      <c r="P2810" s="1" t="s">
        <v>2721</v>
      </c>
    </row>
    <row r="2811" spans="1:16">
      <c r="A2811" s="1" t="s">
        <v>15</v>
      </c>
      <c r="B2811" s="1">
        <v>11</v>
      </c>
      <c r="C2811" s="1" t="s">
        <v>6996</v>
      </c>
      <c r="D2811" s="1" t="s">
        <v>1452</v>
      </c>
      <c r="E2811" s="2">
        <v>45979</v>
      </c>
      <c r="F2811" s="1" t="s">
        <v>407</v>
      </c>
      <c r="G2811" s="1" t="s">
        <v>1453</v>
      </c>
      <c r="H2811" s="1" t="s">
        <v>4530</v>
      </c>
      <c r="I2811" s="1">
        <v>1</v>
      </c>
      <c r="J2811" s="3">
        <v>41286</v>
      </c>
      <c r="K2811" s="3">
        <v>39396</v>
      </c>
      <c r="L2811" s="1">
        <v>0</v>
      </c>
      <c r="M2811" s="4">
        <v>0</v>
      </c>
      <c r="N2811" s="3">
        <v>1890</v>
      </c>
      <c r="O2811" s="4">
        <v>4.5999999999999999E-2</v>
      </c>
      <c r="P2811" s="1" t="s">
        <v>2721</v>
      </c>
    </row>
    <row r="2812" spans="1:16">
      <c r="A2812" s="1" t="s">
        <v>15</v>
      </c>
      <c r="B2812" s="1">
        <v>11</v>
      </c>
      <c r="C2812" s="1" t="s">
        <v>6997</v>
      </c>
      <c r="D2812" s="1" t="s">
        <v>52</v>
      </c>
      <c r="E2812" s="2">
        <v>45979</v>
      </c>
      <c r="F2812" s="1" t="s">
        <v>53</v>
      </c>
      <c r="G2812" s="1" t="s">
        <v>54</v>
      </c>
      <c r="H2812" s="1" t="s">
        <v>55</v>
      </c>
      <c r="I2812" s="1">
        <v>1</v>
      </c>
      <c r="J2812" s="3">
        <v>16135</v>
      </c>
      <c r="K2812" s="3">
        <v>15396</v>
      </c>
      <c r="L2812" s="1">
        <v>0</v>
      </c>
      <c r="M2812" s="4">
        <v>0</v>
      </c>
      <c r="N2812" s="1">
        <v>739</v>
      </c>
      <c r="O2812" s="4">
        <v>4.5999999999999999E-2</v>
      </c>
      <c r="P2812" s="1" t="s">
        <v>2721</v>
      </c>
    </row>
    <row r="2813" spans="1:16">
      <c r="A2813" s="1" t="s">
        <v>15</v>
      </c>
      <c r="B2813" s="1">
        <v>11</v>
      </c>
      <c r="C2813" s="1" t="s">
        <v>6998</v>
      </c>
      <c r="D2813" s="1" t="s">
        <v>5049</v>
      </c>
      <c r="E2813" s="2">
        <v>45979</v>
      </c>
      <c r="F2813" s="1" t="s">
        <v>251</v>
      </c>
      <c r="G2813" s="1" t="s">
        <v>600</v>
      </c>
      <c r="H2813" s="1" t="s">
        <v>601</v>
      </c>
      <c r="I2813" s="1">
        <v>1</v>
      </c>
      <c r="J2813" s="3">
        <v>11599</v>
      </c>
      <c r="K2813" s="3">
        <v>11068</v>
      </c>
      <c r="L2813" s="1">
        <v>0</v>
      </c>
      <c r="M2813" s="4">
        <v>0</v>
      </c>
      <c r="N2813" s="1">
        <v>531</v>
      </c>
      <c r="O2813" s="4">
        <v>4.5999999999999999E-2</v>
      </c>
      <c r="P2813" s="1" t="s">
        <v>2721</v>
      </c>
    </row>
    <row r="2814" spans="1:16">
      <c r="A2814" s="1" t="s">
        <v>15</v>
      </c>
      <c r="B2814" s="1">
        <v>11</v>
      </c>
      <c r="C2814" s="1" t="s">
        <v>6998</v>
      </c>
      <c r="D2814" s="1" t="s">
        <v>5049</v>
      </c>
      <c r="E2814" s="2">
        <v>45979</v>
      </c>
      <c r="F2814" s="1" t="s">
        <v>251</v>
      </c>
      <c r="G2814" s="1" t="s">
        <v>600</v>
      </c>
      <c r="H2814" s="1" t="s">
        <v>6999</v>
      </c>
      <c r="I2814" s="1">
        <v>1</v>
      </c>
      <c r="J2814" s="3">
        <v>12582</v>
      </c>
      <c r="K2814" s="3">
        <v>12006</v>
      </c>
      <c r="L2814" s="1">
        <v>0</v>
      </c>
      <c r="M2814" s="4">
        <v>0</v>
      </c>
      <c r="N2814" s="1">
        <v>576</v>
      </c>
      <c r="O2814" s="4">
        <v>4.5999999999999999E-2</v>
      </c>
      <c r="P2814" s="1" t="s">
        <v>2721</v>
      </c>
    </row>
    <row r="2815" spans="1:16">
      <c r="A2815" s="1" t="s">
        <v>15</v>
      </c>
      <c r="B2815" s="1">
        <v>11</v>
      </c>
      <c r="C2815" s="1" t="s">
        <v>7000</v>
      </c>
      <c r="D2815" s="1" t="s">
        <v>4785</v>
      </c>
      <c r="E2815" s="2">
        <v>45979</v>
      </c>
      <c r="F2815" s="1" t="s">
        <v>554</v>
      </c>
      <c r="G2815" s="1" t="s">
        <v>4786</v>
      </c>
      <c r="H2815" s="1" t="s">
        <v>4787</v>
      </c>
      <c r="I2815" s="1">
        <v>1</v>
      </c>
      <c r="J2815" s="3">
        <v>13418</v>
      </c>
      <c r="K2815" s="3">
        <v>12804</v>
      </c>
      <c r="L2815" s="1">
        <v>0</v>
      </c>
      <c r="M2815" s="4">
        <v>0</v>
      </c>
      <c r="N2815" s="1">
        <v>614</v>
      </c>
      <c r="O2815" s="4">
        <v>4.5999999999999999E-2</v>
      </c>
      <c r="P2815" s="1" t="s">
        <v>2721</v>
      </c>
    </row>
    <row r="2816" spans="1:16">
      <c r="A2816" s="1" t="s">
        <v>15</v>
      </c>
      <c r="B2816" s="1">
        <v>11</v>
      </c>
      <c r="C2816" s="1" t="s">
        <v>7001</v>
      </c>
      <c r="D2816" s="1" t="s">
        <v>2876</v>
      </c>
      <c r="E2816" s="2">
        <v>45979</v>
      </c>
      <c r="F2816" s="1" t="s">
        <v>441</v>
      </c>
      <c r="G2816" s="1" t="s">
        <v>2877</v>
      </c>
      <c r="H2816" s="1" t="s">
        <v>2878</v>
      </c>
      <c r="I2816" s="1">
        <v>1</v>
      </c>
      <c r="J2816" s="3">
        <v>49150</v>
      </c>
      <c r="K2816" s="3">
        <v>46900</v>
      </c>
      <c r="L2816" s="1">
        <v>0</v>
      </c>
      <c r="M2816" s="4">
        <v>0</v>
      </c>
      <c r="N2816" s="3">
        <v>2250</v>
      </c>
      <c r="O2816" s="4">
        <v>4.5999999999999999E-2</v>
      </c>
      <c r="P2816" s="1" t="s">
        <v>2721</v>
      </c>
    </row>
    <row r="2817" spans="1:16">
      <c r="A2817" s="1" t="s">
        <v>15</v>
      </c>
      <c r="B2817" s="1">
        <v>11</v>
      </c>
      <c r="C2817" s="1" t="s">
        <v>7002</v>
      </c>
      <c r="D2817" s="1" t="s">
        <v>1410</v>
      </c>
      <c r="E2817" s="2">
        <v>45979</v>
      </c>
      <c r="F2817" s="1" t="s">
        <v>1411</v>
      </c>
      <c r="G2817" s="1" t="s">
        <v>1412</v>
      </c>
      <c r="H2817" s="1" t="s">
        <v>3011</v>
      </c>
      <c r="I2817" s="1">
        <v>1</v>
      </c>
      <c r="J2817" s="3">
        <v>26186</v>
      </c>
      <c r="K2817" s="3">
        <v>24987</v>
      </c>
      <c r="L2817" s="1">
        <v>0</v>
      </c>
      <c r="M2817" s="4">
        <v>0</v>
      </c>
      <c r="N2817" s="3">
        <v>1199</v>
      </c>
      <c r="O2817" s="4">
        <v>4.5999999999999999E-2</v>
      </c>
      <c r="P2817" s="1" t="s">
        <v>2721</v>
      </c>
    </row>
    <row r="2818" spans="1:16">
      <c r="A2818" s="1" t="s">
        <v>15</v>
      </c>
      <c r="B2818" s="1">
        <v>11</v>
      </c>
      <c r="C2818" s="1" t="s">
        <v>7003</v>
      </c>
      <c r="D2818" s="1" t="s">
        <v>3950</v>
      </c>
      <c r="E2818" s="2">
        <v>45979</v>
      </c>
      <c r="F2818" s="1" t="s">
        <v>3484</v>
      </c>
      <c r="G2818" s="1" t="s">
        <v>3951</v>
      </c>
      <c r="H2818" s="1" t="s">
        <v>7004</v>
      </c>
      <c r="I2818" s="1">
        <v>1</v>
      </c>
      <c r="J2818" s="3">
        <v>28016</v>
      </c>
      <c r="K2818" s="3">
        <v>26733</v>
      </c>
      <c r="L2818" s="1">
        <v>0</v>
      </c>
      <c r="M2818" s="4">
        <v>0</v>
      </c>
      <c r="N2818" s="3">
        <v>1283</v>
      </c>
      <c r="O2818" s="4">
        <v>4.5999999999999999E-2</v>
      </c>
      <c r="P2818" s="1" t="s">
        <v>2721</v>
      </c>
    </row>
    <row r="2819" spans="1:16">
      <c r="A2819" s="1" t="s">
        <v>15</v>
      </c>
      <c r="B2819" s="1">
        <v>11</v>
      </c>
      <c r="C2819" s="1" t="s">
        <v>7005</v>
      </c>
      <c r="D2819" s="1" t="s">
        <v>1261</v>
      </c>
      <c r="E2819" s="2">
        <v>45979</v>
      </c>
      <c r="F2819" s="1" t="s">
        <v>33</v>
      </c>
      <c r="G2819" s="1" t="s">
        <v>1262</v>
      </c>
      <c r="H2819" s="1" t="s">
        <v>7006</v>
      </c>
      <c r="I2819" s="1">
        <v>1</v>
      </c>
      <c r="J2819" s="3">
        <v>73061</v>
      </c>
      <c r="K2819" s="3">
        <v>69717</v>
      </c>
      <c r="L2819" s="1">
        <v>0</v>
      </c>
      <c r="M2819" s="4">
        <v>0</v>
      </c>
      <c r="N2819" s="3">
        <v>3344</v>
      </c>
      <c r="O2819" s="4">
        <v>4.5999999999999999E-2</v>
      </c>
      <c r="P2819" s="1" t="s">
        <v>2721</v>
      </c>
    </row>
    <row r="2820" spans="1:16">
      <c r="A2820" s="1" t="s">
        <v>15</v>
      </c>
      <c r="B2820" s="1">
        <v>11</v>
      </c>
      <c r="C2820" s="1" t="s">
        <v>7007</v>
      </c>
      <c r="D2820" s="1" t="s">
        <v>3967</v>
      </c>
      <c r="E2820" s="2">
        <v>45979</v>
      </c>
      <c r="F2820" s="1" t="s">
        <v>187</v>
      </c>
      <c r="G2820" s="1" t="s">
        <v>3968</v>
      </c>
      <c r="H2820" s="1" t="s">
        <v>3969</v>
      </c>
      <c r="I2820" s="1">
        <v>1</v>
      </c>
      <c r="J2820" s="3">
        <v>27524</v>
      </c>
      <c r="K2820" s="3">
        <v>26264</v>
      </c>
      <c r="L2820" s="1">
        <v>0</v>
      </c>
      <c r="M2820" s="4">
        <v>0</v>
      </c>
      <c r="N2820" s="3">
        <v>1260</v>
      </c>
      <c r="O2820" s="4">
        <v>4.5999999999999999E-2</v>
      </c>
      <c r="P2820" s="1" t="s">
        <v>2721</v>
      </c>
    </row>
    <row r="2821" spans="1:16">
      <c r="A2821" s="1" t="s">
        <v>15</v>
      </c>
      <c r="B2821" s="1">
        <v>11</v>
      </c>
      <c r="C2821" s="1" t="s">
        <v>7008</v>
      </c>
      <c r="D2821" s="1" t="s">
        <v>838</v>
      </c>
      <c r="E2821" s="2">
        <v>45979</v>
      </c>
      <c r="F2821" s="1" t="s">
        <v>839</v>
      </c>
      <c r="G2821" s="1" t="s">
        <v>840</v>
      </c>
      <c r="I2821" s="1">
        <v>1</v>
      </c>
      <c r="J2821" s="3">
        <v>21135</v>
      </c>
      <c r="K2821" s="3">
        <v>20167</v>
      </c>
      <c r="L2821" s="1">
        <v>0</v>
      </c>
      <c r="M2821" s="4">
        <v>0</v>
      </c>
      <c r="N2821" s="1">
        <v>968</v>
      </c>
      <c r="O2821" s="4">
        <v>4.5999999999999999E-2</v>
      </c>
      <c r="P2821" s="1" t="s">
        <v>2721</v>
      </c>
    </row>
    <row r="2822" spans="1:16">
      <c r="A2822" s="1" t="s">
        <v>15</v>
      </c>
      <c r="B2822" s="1">
        <v>11</v>
      </c>
      <c r="C2822" s="1" t="s">
        <v>7009</v>
      </c>
      <c r="D2822" s="1" t="s">
        <v>468</v>
      </c>
      <c r="E2822" s="2">
        <v>45979</v>
      </c>
      <c r="F2822" s="1" t="s">
        <v>469</v>
      </c>
      <c r="G2822" s="1" t="s">
        <v>470</v>
      </c>
      <c r="H2822" s="1" t="s">
        <v>471</v>
      </c>
      <c r="I2822" s="1">
        <v>1</v>
      </c>
      <c r="J2822" s="3">
        <v>24477</v>
      </c>
      <c r="K2822" s="3">
        <v>23356</v>
      </c>
      <c r="L2822" s="1">
        <v>0</v>
      </c>
      <c r="M2822" s="4">
        <v>0</v>
      </c>
      <c r="N2822" s="3">
        <v>1121</v>
      </c>
      <c r="O2822" s="4">
        <v>4.5999999999999999E-2</v>
      </c>
      <c r="P2822" s="1" t="s">
        <v>2721</v>
      </c>
    </row>
    <row r="2823" spans="1:16">
      <c r="A2823" s="1" t="s">
        <v>15</v>
      </c>
      <c r="B2823" s="1">
        <v>11</v>
      </c>
      <c r="C2823" s="1" t="s">
        <v>7008</v>
      </c>
      <c r="D2823" s="1" t="s">
        <v>841</v>
      </c>
      <c r="E2823" s="2">
        <v>45979</v>
      </c>
      <c r="F2823" s="1" t="s">
        <v>839</v>
      </c>
      <c r="G2823" s="1" t="s">
        <v>842</v>
      </c>
      <c r="H2823" s="1" t="s">
        <v>843</v>
      </c>
      <c r="I2823" s="1">
        <v>1</v>
      </c>
      <c r="J2823" s="3">
        <v>31653</v>
      </c>
      <c r="K2823" s="3">
        <v>30204</v>
      </c>
      <c r="L2823" s="1">
        <v>0</v>
      </c>
      <c r="M2823" s="4">
        <v>0</v>
      </c>
      <c r="N2823" s="3">
        <v>1449</v>
      </c>
      <c r="O2823" s="4">
        <v>4.5999999999999999E-2</v>
      </c>
      <c r="P2823" s="1" t="s">
        <v>2721</v>
      </c>
    </row>
    <row r="2824" spans="1:16">
      <c r="A2824" s="1" t="s">
        <v>15</v>
      </c>
      <c r="B2824" s="1">
        <v>11</v>
      </c>
      <c r="C2824" s="1" t="s">
        <v>7010</v>
      </c>
      <c r="D2824" s="1" t="s">
        <v>80</v>
      </c>
      <c r="E2824" s="2">
        <v>45979</v>
      </c>
      <c r="F2824" s="1" t="s">
        <v>58</v>
      </c>
      <c r="G2824" s="1" t="s">
        <v>81</v>
      </c>
      <c r="H2824" s="1" t="s">
        <v>2416</v>
      </c>
      <c r="I2824" s="1">
        <v>1</v>
      </c>
      <c r="J2824" s="3">
        <v>17301</v>
      </c>
      <c r="K2824" s="3">
        <v>16509</v>
      </c>
      <c r="L2824" s="1">
        <v>0</v>
      </c>
      <c r="M2824" s="4">
        <v>0</v>
      </c>
      <c r="N2824" s="1">
        <v>792</v>
      </c>
      <c r="O2824" s="4">
        <v>4.5999999999999999E-2</v>
      </c>
      <c r="P2824" s="1" t="s">
        <v>2721</v>
      </c>
    </row>
    <row r="2825" spans="1:16">
      <c r="A2825" s="1" t="s">
        <v>15</v>
      </c>
      <c r="B2825" s="1">
        <v>11</v>
      </c>
      <c r="C2825" s="1" t="s">
        <v>7011</v>
      </c>
      <c r="D2825" s="1" t="s">
        <v>3709</v>
      </c>
      <c r="E2825" s="2">
        <v>45979</v>
      </c>
      <c r="F2825" s="1" t="s">
        <v>3710</v>
      </c>
      <c r="G2825" s="1" t="s">
        <v>3711</v>
      </c>
      <c r="H2825" s="1" t="s">
        <v>5129</v>
      </c>
      <c r="I2825" s="1">
        <v>1</v>
      </c>
      <c r="J2825" s="3">
        <v>31456</v>
      </c>
      <c r="K2825" s="3">
        <v>30016</v>
      </c>
      <c r="L2825" s="1">
        <v>0</v>
      </c>
      <c r="M2825" s="4">
        <v>0</v>
      </c>
      <c r="N2825" s="3">
        <v>1440</v>
      </c>
      <c r="O2825" s="4">
        <v>4.5999999999999999E-2</v>
      </c>
      <c r="P2825" s="1" t="s">
        <v>2721</v>
      </c>
    </row>
    <row r="2826" spans="1:16">
      <c r="A2826" s="1" t="s">
        <v>15</v>
      </c>
      <c r="B2826" s="1">
        <v>11</v>
      </c>
      <c r="C2826" s="1" t="s">
        <v>7012</v>
      </c>
      <c r="D2826" s="1" t="s">
        <v>777</v>
      </c>
      <c r="E2826" s="2">
        <v>45979</v>
      </c>
      <c r="F2826" s="1" t="s">
        <v>256</v>
      </c>
      <c r="G2826" s="1" t="s">
        <v>778</v>
      </c>
      <c r="H2826" s="1" t="s">
        <v>779</v>
      </c>
      <c r="I2826" s="1">
        <v>1</v>
      </c>
      <c r="J2826" s="3">
        <v>11010</v>
      </c>
      <c r="K2826" s="3">
        <v>10506</v>
      </c>
      <c r="L2826" s="1">
        <v>0</v>
      </c>
      <c r="M2826" s="4">
        <v>0</v>
      </c>
      <c r="N2826" s="1">
        <v>504</v>
      </c>
      <c r="O2826" s="4">
        <v>4.5999999999999999E-2</v>
      </c>
      <c r="P2826" s="1" t="s">
        <v>2721</v>
      </c>
    </row>
    <row r="2827" spans="1:16">
      <c r="A2827" s="1" t="s">
        <v>15</v>
      </c>
      <c r="B2827" s="1">
        <v>11</v>
      </c>
      <c r="C2827" s="1" t="s">
        <v>7013</v>
      </c>
      <c r="D2827" s="1" t="s">
        <v>7014</v>
      </c>
      <c r="E2827" s="2">
        <v>45979</v>
      </c>
      <c r="F2827" s="1" t="s">
        <v>276</v>
      </c>
      <c r="G2827" s="1" t="s">
        <v>7015</v>
      </c>
      <c r="H2827" s="1" t="s">
        <v>7016</v>
      </c>
      <c r="I2827" s="1">
        <v>1</v>
      </c>
      <c r="J2827" s="3">
        <v>17501</v>
      </c>
      <c r="K2827" s="3">
        <v>16700</v>
      </c>
      <c r="L2827" s="1">
        <v>0</v>
      </c>
      <c r="M2827" s="4">
        <v>0</v>
      </c>
      <c r="N2827" s="1">
        <v>801</v>
      </c>
      <c r="O2827" s="4">
        <v>4.5999999999999999E-2</v>
      </c>
      <c r="P2827" s="1" t="s">
        <v>2721</v>
      </c>
    </row>
    <row r="2828" spans="1:16">
      <c r="A2828" s="1" t="s">
        <v>15</v>
      </c>
      <c r="B2828" s="1">
        <v>11</v>
      </c>
      <c r="C2828" s="1" t="s">
        <v>7017</v>
      </c>
      <c r="D2828" s="1" t="s">
        <v>132</v>
      </c>
      <c r="E2828" s="2">
        <v>45979</v>
      </c>
      <c r="F2828" s="1" t="s">
        <v>53</v>
      </c>
      <c r="G2828" s="1" t="s">
        <v>133</v>
      </c>
      <c r="H2828" s="1" t="s">
        <v>88</v>
      </c>
      <c r="I2828" s="1">
        <v>1</v>
      </c>
      <c r="J2828" s="3">
        <v>17036</v>
      </c>
      <c r="K2828" s="3">
        <v>16256</v>
      </c>
      <c r="L2828" s="1">
        <v>0</v>
      </c>
      <c r="M2828" s="4">
        <v>0</v>
      </c>
      <c r="N2828" s="1">
        <v>780</v>
      </c>
      <c r="O2828" s="4">
        <v>4.5999999999999999E-2</v>
      </c>
      <c r="P2828" s="1" t="s">
        <v>2721</v>
      </c>
    </row>
    <row r="2829" spans="1:16">
      <c r="A2829" s="1" t="s">
        <v>15</v>
      </c>
      <c r="B2829" s="1">
        <v>11</v>
      </c>
      <c r="C2829" s="1" t="s">
        <v>7018</v>
      </c>
      <c r="D2829" s="1" t="s">
        <v>250</v>
      </c>
      <c r="E2829" s="2">
        <v>45979</v>
      </c>
      <c r="F2829" s="1" t="s">
        <v>251</v>
      </c>
      <c r="G2829" s="1" t="s">
        <v>252</v>
      </c>
      <c r="H2829" s="1" t="s">
        <v>365</v>
      </c>
      <c r="I2829" s="1">
        <v>1</v>
      </c>
      <c r="J2829" s="3">
        <v>16220</v>
      </c>
      <c r="K2829" s="3">
        <v>15477</v>
      </c>
      <c r="L2829" s="1">
        <v>0</v>
      </c>
      <c r="M2829" s="4">
        <v>0</v>
      </c>
      <c r="N2829" s="1">
        <v>743</v>
      </c>
      <c r="O2829" s="4">
        <v>4.5999999999999999E-2</v>
      </c>
      <c r="P2829" s="1" t="s">
        <v>2721</v>
      </c>
    </row>
    <row r="2830" spans="1:16">
      <c r="A2830" s="1" t="s">
        <v>15</v>
      </c>
      <c r="B2830" s="1">
        <v>11</v>
      </c>
      <c r="C2830" s="1" t="s">
        <v>7019</v>
      </c>
      <c r="D2830" s="1" t="s">
        <v>52</v>
      </c>
      <c r="E2830" s="2">
        <v>45979</v>
      </c>
      <c r="F2830" s="1" t="s">
        <v>53</v>
      </c>
      <c r="G2830" s="1" t="s">
        <v>54</v>
      </c>
      <c r="H2830" s="1" t="s">
        <v>55</v>
      </c>
      <c r="I2830" s="1">
        <v>1</v>
      </c>
      <c r="J2830" s="3">
        <v>16135</v>
      </c>
      <c r="K2830" s="3">
        <v>15396</v>
      </c>
      <c r="L2830" s="1">
        <v>0</v>
      </c>
      <c r="M2830" s="4">
        <v>0</v>
      </c>
      <c r="N2830" s="1">
        <v>739</v>
      </c>
      <c r="O2830" s="4">
        <v>4.5999999999999999E-2</v>
      </c>
      <c r="P2830" s="1" t="s">
        <v>2721</v>
      </c>
    </row>
    <row r="2831" spans="1:16">
      <c r="A2831" s="1" t="s">
        <v>15</v>
      </c>
      <c r="B2831" s="1">
        <v>11</v>
      </c>
      <c r="C2831" s="1" t="s">
        <v>7020</v>
      </c>
      <c r="D2831" s="1" t="s">
        <v>2458</v>
      </c>
      <c r="E2831" s="2">
        <v>45979</v>
      </c>
      <c r="F2831" s="1" t="s">
        <v>235</v>
      </c>
      <c r="G2831" s="1" t="s">
        <v>2459</v>
      </c>
      <c r="H2831" s="1" t="s">
        <v>7021</v>
      </c>
      <c r="I2831" s="1">
        <v>1</v>
      </c>
      <c r="J2831" s="3">
        <v>18186</v>
      </c>
      <c r="K2831" s="3">
        <v>17353</v>
      </c>
      <c r="L2831" s="1">
        <v>0</v>
      </c>
      <c r="M2831" s="4">
        <v>0</v>
      </c>
      <c r="N2831" s="1">
        <v>833</v>
      </c>
      <c r="O2831" s="4">
        <v>4.5999999999999999E-2</v>
      </c>
      <c r="P2831" s="1" t="s">
        <v>2721</v>
      </c>
    </row>
    <row r="2832" spans="1:16">
      <c r="A2832" s="1" t="s">
        <v>15</v>
      </c>
      <c r="B2832" s="1">
        <v>11</v>
      </c>
      <c r="C2832" s="1" t="s">
        <v>7022</v>
      </c>
      <c r="D2832" s="1" t="s">
        <v>7023</v>
      </c>
      <c r="E2832" s="2">
        <v>45979</v>
      </c>
      <c r="F2832" s="1" t="s">
        <v>276</v>
      </c>
      <c r="G2832" s="1" t="s">
        <v>7024</v>
      </c>
      <c r="H2832" s="1" t="s">
        <v>7025</v>
      </c>
      <c r="I2832" s="1">
        <v>1</v>
      </c>
      <c r="J2832" s="3">
        <v>20330</v>
      </c>
      <c r="K2832" s="3">
        <v>19400</v>
      </c>
      <c r="L2832" s="1">
        <v>0</v>
      </c>
      <c r="M2832" s="4">
        <v>0</v>
      </c>
      <c r="N2832" s="1">
        <v>930</v>
      </c>
      <c r="O2832" s="4">
        <v>4.5999999999999999E-2</v>
      </c>
      <c r="P2832" s="1" t="s">
        <v>2721</v>
      </c>
    </row>
    <row r="2833" spans="1:16">
      <c r="A2833" s="1" t="s">
        <v>15</v>
      </c>
      <c r="B2833" s="1">
        <v>11</v>
      </c>
      <c r="C2833" s="1" t="s">
        <v>7026</v>
      </c>
      <c r="D2833" s="1" t="s">
        <v>238</v>
      </c>
      <c r="E2833" s="2">
        <v>45979</v>
      </c>
      <c r="F2833" s="1" t="s">
        <v>239</v>
      </c>
      <c r="G2833" s="1" t="s">
        <v>240</v>
      </c>
      <c r="H2833" s="1" t="s">
        <v>241</v>
      </c>
      <c r="I2833" s="1">
        <v>1</v>
      </c>
      <c r="J2833" s="3">
        <v>11305</v>
      </c>
      <c r="K2833" s="3">
        <v>10787</v>
      </c>
      <c r="L2833" s="1">
        <v>0</v>
      </c>
      <c r="M2833" s="4">
        <v>0</v>
      </c>
      <c r="N2833" s="1">
        <v>518</v>
      </c>
      <c r="O2833" s="4">
        <v>4.5999999999999999E-2</v>
      </c>
      <c r="P2833" s="1" t="s">
        <v>2721</v>
      </c>
    </row>
    <row r="2834" spans="1:16">
      <c r="A2834" s="1" t="s">
        <v>15</v>
      </c>
      <c r="B2834" s="1">
        <v>11</v>
      </c>
      <c r="C2834" s="1" t="s">
        <v>7027</v>
      </c>
      <c r="D2834" s="1" t="s">
        <v>169</v>
      </c>
      <c r="E2834" s="2">
        <v>45979</v>
      </c>
      <c r="F2834" s="1" t="s">
        <v>53</v>
      </c>
      <c r="G2834" s="1" t="s">
        <v>170</v>
      </c>
      <c r="H2834" s="1" t="s">
        <v>171</v>
      </c>
      <c r="I2834" s="1">
        <v>1</v>
      </c>
      <c r="J2834" s="3">
        <v>14332</v>
      </c>
      <c r="K2834" s="3">
        <v>13676</v>
      </c>
      <c r="L2834" s="1">
        <v>0</v>
      </c>
      <c r="M2834" s="4">
        <v>0</v>
      </c>
      <c r="N2834" s="1">
        <v>656</v>
      </c>
      <c r="O2834" s="4">
        <v>4.5999999999999999E-2</v>
      </c>
      <c r="P2834" s="1" t="s">
        <v>2721</v>
      </c>
    </row>
    <row r="2835" spans="1:16">
      <c r="A2835" s="1" t="s">
        <v>15</v>
      </c>
      <c r="B2835" s="1">
        <v>11</v>
      </c>
      <c r="C2835" s="1" t="s">
        <v>7028</v>
      </c>
      <c r="D2835" s="1" t="s">
        <v>169</v>
      </c>
      <c r="E2835" s="2">
        <v>45979</v>
      </c>
      <c r="F2835" s="1" t="s">
        <v>53</v>
      </c>
      <c r="G2835" s="1" t="s">
        <v>170</v>
      </c>
      <c r="H2835" s="1" t="s">
        <v>171</v>
      </c>
      <c r="I2835" s="1">
        <v>1</v>
      </c>
      <c r="J2835" s="3">
        <v>14332</v>
      </c>
      <c r="K2835" s="3">
        <v>13676</v>
      </c>
      <c r="L2835" s="1">
        <v>0</v>
      </c>
      <c r="M2835" s="4">
        <v>0</v>
      </c>
      <c r="N2835" s="1">
        <v>656</v>
      </c>
      <c r="O2835" s="4">
        <v>4.5999999999999999E-2</v>
      </c>
      <c r="P2835" s="1" t="s">
        <v>2721</v>
      </c>
    </row>
    <row r="2836" spans="1:16">
      <c r="A2836" s="1" t="s">
        <v>15</v>
      </c>
      <c r="B2836" s="1">
        <v>11</v>
      </c>
      <c r="C2836" s="1" t="s">
        <v>7029</v>
      </c>
      <c r="D2836" s="1" t="s">
        <v>7030</v>
      </c>
      <c r="E2836" s="2">
        <v>45979</v>
      </c>
      <c r="F2836" s="1" t="s">
        <v>96</v>
      </c>
      <c r="G2836" s="1" t="s">
        <v>7031</v>
      </c>
      <c r="H2836" s="1" t="s">
        <v>7032</v>
      </c>
      <c r="I2836" s="1">
        <v>1</v>
      </c>
      <c r="J2836" s="3">
        <v>14379</v>
      </c>
      <c r="K2836" s="3">
        <v>13721</v>
      </c>
      <c r="L2836" s="1">
        <v>0</v>
      </c>
      <c r="M2836" s="4">
        <v>0</v>
      </c>
      <c r="N2836" s="1">
        <v>658</v>
      </c>
      <c r="O2836" s="4">
        <v>4.5999999999999999E-2</v>
      </c>
      <c r="P2836" s="1" t="s">
        <v>2721</v>
      </c>
    </row>
    <row r="2837" spans="1:16">
      <c r="A2837" s="1" t="s">
        <v>15</v>
      </c>
      <c r="B2837" s="1">
        <v>11</v>
      </c>
      <c r="C2837" s="1" t="s">
        <v>7029</v>
      </c>
      <c r="D2837" s="1" t="s">
        <v>7033</v>
      </c>
      <c r="E2837" s="2">
        <v>45979</v>
      </c>
      <c r="F2837" s="1" t="s">
        <v>96</v>
      </c>
      <c r="G2837" s="1" t="s">
        <v>7034</v>
      </c>
      <c r="H2837" s="1" t="s">
        <v>7035</v>
      </c>
      <c r="I2837" s="1">
        <v>1</v>
      </c>
      <c r="J2837" s="3">
        <v>13023</v>
      </c>
      <c r="K2837" s="3">
        <v>12427</v>
      </c>
      <c r="L2837" s="1">
        <v>0</v>
      </c>
      <c r="M2837" s="4">
        <v>0</v>
      </c>
      <c r="N2837" s="1">
        <v>596</v>
      </c>
      <c r="O2837" s="4">
        <v>4.5999999999999999E-2</v>
      </c>
      <c r="P2837" s="1" t="s">
        <v>2721</v>
      </c>
    </row>
    <row r="2838" spans="1:16">
      <c r="A2838" s="1" t="s">
        <v>15</v>
      </c>
      <c r="B2838" s="1">
        <v>11</v>
      </c>
      <c r="C2838" s="1" t="s">
        <v>7036</v>
      </c>
      <c r="D2838" s="1" t="s">
        <v>2478</v>
      </c>
      <c r="E2838" s="2">
        <v>45979</v>
      </c>
      <c r="F2838" s="1" t="s">
        <v>53</v>
      </c>
      <c r="G2838" s="1" t="s">
        <v>2479</v>
      </c>
      <c r="H2838" s="1" t="s">
        <v>2480</v>
      </c>
      <c r="I2838" s="1">
        <v>1</v>
      </c>
      <c r="J2838" s="3">
        <v>10726</v>
      </c>
      <c r="K2838" s="3">
        <v>10235</v>
      </c>
      <c r="L2838" s="1">
        <v>0</v>
      </c>
      <c r="M2838" s="4">
        <v>0</v>
      </c>
      <c r="N2838" s="1">
        <v>491</v>
      </c>
      <c r="O2838" s="4">
        <v>4.5999999999999999E-2</v>
      </c>
      <c r="P2838" s="1" t="s">
        <v>2721</v>
      </c>
    </row>
    <row r="2839" spans="1:16">
      <c r="A2839" s="1" t="s">
        <v>15</v>
      </c>
      <c r="B2839" s="1">
        <v>11</v>
      </c>
      <c r="C2839" s="1" t="s">
        <v>7037</v>
      </c>
      <c r="D2839" s="1" t="s">
        <v>6184</v>
      </c>
      <c r="E2839" s="2">
        <v>45979</v>
      </c>
      <c r="F2839" s="1" t="s">
        <v>4309</v>
      </c>
      <c r="G2839" s="1" t="s">
        <v>6185</v>
      </c>
      <c r="H2839" s="1" t="s">
        <v>6186</v>
      </c>
      <c r="I2839" s="1">
        <v>1</v>
      </c>
      <c r="J2839" s="3">
        <v>12386</v>
      </c>
      <c r="K2839" s="3">
        <v>11819</v>
      </c>
      <c r="L2839" s="1">
        <v>0</v>
      </c>
      <c r="M2839" s="4">
        <v>0</v>
      </c>
      <c r="N2839" s="1">
        <v>567</v>
      </c>
      <c r="O2839" s="4">
        <v>4.5999999999999999E-2</v>
      </c>
      <c r="P2839" s="1" t="s">
        <v>2721</v>
      </c>
    </row>
    <row r="2840" spans="1:16">
      <c r="A2840" s="1" t="s">
        <v>15</v>
      </c>
      <c r="B2840" s="1">
        <v>11</v>
      </c>
      <c r="C2840" s="1" t="s">
        <v>7038</v>
      </c>
      <c r="D2840" s="1" t="s">
        <v>4629</v>
      </c>
      <c r="E2840" s="2">
        <v>45979</v>
      </c>
      <c r="F2840" s="1" t="s">
        <v>63</v>
      </c>
      <c r="G2840" s="1" t="s">
        <v>4630</v>
      </c>
      <c r="H2840" s="1" t="s">
        <v>1655</v>
      </c>
      <c r="I2840" s="1">
        <v>2</v>
      </c>
      <c r="J2840" s="3">
        <v>12018</v>
      </c>
      <c r="K2840" s="3">
        <v>11468</v>
      </c>
      <c r="L2840" s="1">
        <v>0</v>
      </c>
      <c r="M2840" s="4">
        <v>0</v>
      </c>
      <c r="N2840" s="1">
        <v>550</v>
      </c>
      <c r="O2840" s="4">
        <v>4.5999999999999999E-2</v>
      </c>
      <c r="P2840" s="1" t="s">
        <v>2721</v>
      </c>
    </row>
    <row r="2841" spans="1:16">
      <c r="A2841" s="1" t="s">
        <v>15</v>
      </c>
      <c r="B2841" s="1">
        <v>11</v>
      </c>
      <c r="C2841" s="1" t="s">
        <v>7039</v>
      </c>
      <c r="D2841" s="1" t="s">
        <v>307</v>
      </c>
      <c r="E2841" s="2">
        <v>45979</v>
      </c>
      <c r="F2841" s="1" t="s">
        <v>256</v>
      </c>
      <c r="G2841" s="1" t="s">
        <v>308</v>
      </c>
      <c r="H2841" s="1" t="s">
        <v>4150</v>
      </c>
      <c r="I2841" s="1">
        <v>1</v>
      </c>
      <c r="J2841" s="3">
        <v>11226</v>
      </c>
      <c r="K2841" s="3">
        <v>10712</v>
      </c>
      <c r="L2841" s="1">
        <v>0</v>
      </c>
      <c r="M2841" s="4">
        <v>0</v>
      </c>
      <c r="N2841" s="1">
        <v>514</v>
      </c>
      <c r="O2841" s="4">
        <v>4.5999999999999999E-2</v>
      </c>
      <c r="P2841" s="1" t="s">
        <v>2721</v>
      </c>
    </row>
    <row r="2842" spans="1:16">
      <c r="A2842" s="1" t="s">
        <v>15</v>
      </c>
      <c r="B2842" s="1">
        <v>11</v>
      </c>
      <c r="C2842" s="1" t="s">
        <v>7040</v>
      </c>
      <c r="D2842" s="1" t="s">
        <v>4079</v>
      </c>
      <c r="E2842" s="2">
        <v>45979</v>
      </c>
      <c r="F2842" s="1" t="s">
        <v>96</v>
      </c>
      <c r="G2842" s="1" t="s">
        <v>4080</v>
      </c>
      <c r="H2842" s="1" t="s">
        <v>7041</v>
      </c>
      <c r="I2842" s="1">
        <v>1</v>
      </c>
      <c r="J2842" s="3">
        <v>12571</v>
      </c>
      <c r="K2842" s="3">
        <v>11995</v>
      </c>
      <c r="L2842" s="1">
        <v>0</v>
      </c>
      <c r="M2842" s="4">
        <v>0</v>
      </c>
      <c r="N2842" s="1">
        <v>576</v>
      </c>
      <c r="O2842" s="4">
        <v>4.5999999999999999E-2</v>
      </c>
      <c r="P2842" s="1" t="s">
        <v>2721</v>
      </c>
    </row>
    <row r="2843" spans="1:16">
      <c r="A2843" s="1" t="s">
        <v>15</v>
      </c>
      <c r="B2843" s="1">
        <v>11</v>
      </c>
      <c r="C2843" s="1" t="s">
        <v>7042</v>
      </c>
      <c r="D2843" s="1" t="s">
        <v>80</v>
      </c>
      <c r="E2843" s="2">
        <v>45979</v>
      </c>
      <c r="F2843" s="1" t="s">
        <v>58</v>
      </c>
      <c r="G2843" s="1" t="s">
        <v>81</v>
      </c>
      <c r="H2843" s="1" t="s">
        <v>2297</v>
      </c>
      <c r="I2843" s="1">
        <v>1</v>
      </c>
      <c r="J2843" s="3">
        <v>17301</v>
      </c>
      <c r="K2843" s="3">
        <v>16509</v>
      </c>
      <c r="L2843" s="1">
        <v>0</v>
      </c>
      <c r="M2843" s="4">
        <v>0</v>
      </c>
      <c r="N2843" s="1">
        <v>792</v>
      </c>
      <c r="O2843" s="4">
        <v>4.5999999999999999E-2</v>
      </c>
      <c r="P2843" s="1" t="s">
        <v>2721</v>
      </c>
    </row>
    <row r="2844" spans="1:16">
      <c r="A2844" s="1" t="s">
        <v>15</v>
      </c>
      <c r="B2844" s="1">
        <v>11</v>
      </c>
      <c r="C2844" s="1" t="s">
        <v>7043</v>
      </c>
      <c r="D2844" s="1" t="s">
        <v>789</v>
      </c>
      <c r="E2844" s="2">
        <v>45979</v>
      </c>
      <c r="F2844" s="1" t="s">
        <v>53</v>
      </c>
      <c r="G2844" s="1" t="s">
        <v>790</v>
      </c>
      <c r="H2844" s="1" t="s">
        <v>1141</v>
      </c>
      <c r="I2844" s="1">
        <v>1</v>
      </c>
      <c r="J2844" s="3">
        <v>8924</v>
      </c>
      <c r="K2844" s="3">
        <v>8515</v>
      </c>
      <c r="L2844" s="1">
        <v>0</v>
      </c>
      <c r="M2844" s="4">
        <v>0</v>
      </c>
      <c r="N2844" s="1">
        <v>409</v>
      </c>
      <c r="O2844" s="4">
        <v>4.5999999999999999E-2</v>
      </c>
      <c r="P2844" s="1" t="s">
        <v>2721</v>
      </c>
    </row>
    <row r="2845" spans="1:16">
      <c r="A2845" s="1" t="s">
        <v>15</v>
      </c>
      <c r="B2845" s="1">
        <v>11</v>
      </c>
      <c r="C2845" s="1" t="s">
        <v>7044</v>
      </c>
      <c r="D2845" s="1" t="s">
        <v>2312</v>
      </c>
      <c r="E2845" s="2">
        <v>45979</v>
      </c>
      <c r="F2845" s="1" t="s">
        <v>1772</v>
      </c>
      <c r="G2845" s="1" t="s">
        <v>1773</v>
      </c>
      <c r="H2845" s="1" t="s">
        <v>2313</v>
      </c>
      <c r="I2845" s="1">
        <v>1</v>
      </c>
      <c r="J2845" s="3">
        <v>23395</v>
      </c>
      <c r="K2845" s="3">
        <v>22324</v>
      </c>
      <c r="L2845" s="1">
        <v>0</v>
      </c>
      <c r="M2845" s="4">
        <v>0</v>
      </c>
      <c r="N2845" s="3">
        <v>1071</v>
      </c>
      <c r="O2845" s="4">
        <v>4.5999999999999999E-2</v>
      </c>
      <c r="P2845" s="1" t="s">
        <v>2721</v>
      </c>
    </row>
    <row r="2846" spans="1:16">
      <c r="A2846" s="1" t="s">
        <v>15</v>
      </c>
      <c r="B2846" s="1">
        <v>11</v>
      </c>
      <c r="C2846" s="1" t="s">
        <v>7045</v>
      </c>
      <c r="D2846" s="1" t="s">
        <v>150</v>
      </c>
      <c r="E2846" s="2">
        <v>45979</v>
      </c>
      <c r="F2846" s="1" t="s">
        <v>151</v>
      </c>
      <c r="G2846" s="1" t="s">
        <v>152</v>
      </c>
      <c r="H2846" s="1" t="s">
        <v>152</v>
      </c>
      <c r="I2846" s="1">
        <v>1</v>
      </c>
      <c r="J2846" s="3">
        <v>36371</v>
      </c>
      <c r="K2846" s="3">
        <v>34706</v>
      </c>
      <c r="L2846" s="1">
        <v>0</v>
      </c>
      <c r="M2846" s="4">
        <v>0</v>
      </c>
      <c r="N2846" s="3">
        <v>1665</v>
      </c>
      <c r="O2846" s="4">
        <v>4.5999999999999999E-2</v>
      </c>
      <c r="P2846" s="1" t="s">
        <v>2721</v>
      </c>
    </row>
    <row r="2847" spans="1:16">
      <c r="A2847" s="1" t="s">
        <v>15</v>
      </c>
      <c r="B2847" s="1">
        <v>11</v>
      </c>
      <c r="C2847" s="1" t="s">
        <v>7046</v>
      </c>
      <c r="D2847" s="1" t="s">
        <v>3256</v>
      </c>
      <c r="E2847" s="2">
        <v>45979</v>
      </c>
      <c r="F2847" s="1" t="s">
        <v>77</v>
      </c>
      <c r="G2847" s="1" t="s">
        <v>3257</v>
      </c>
      <c r="H2847" s="1" t="s">
        <v>3257</v>
      </c>
      <c r="I2847" s="1">
        <v>1</v>
      </c>
      <c r="J2847" s="3">
        <v>11231</v>
      </c>
      <c r="K2847" s="3">
        <v>10717</v>
      </c>
      <c r="L2847" s="1">
        <v>0</v>
      </c>
      <c r="M2847" s="4">
        <v>0</v>
      </c>
      <c r="N2847" s="1">
        <v>514</v>
      </c>
      <c r="O2847" s="4">
        <v>4.5999999999999999E-2</v>
      </c>
      <c r="P2847" s="1" t="s">
        <v>2721</v>
      </c>
    </row>
    <row r="2848" spans="1:16">
      <c r="A2848" s="1" t="s">
        <v>15</v>
      </c>
      <c r="B2848" s="1">
        <v>11</v>
      </c>
      <c r="C2848" s="1" t="s">
        <v>7047</v>
      </c>
      <c r="D2848" s="1" t="s">
        <v>504</v>
      </c>
      <c r="E2848" s="2">
        <v>45979</v>
      </c>
      <c r="F2848" s="1" t="s">
        <v>407</v>
      </c>
      <c r="G2848" s="1" t="s">
        <v>505</v>
      </c>
      <c r="H2848" s="1" t="s">
        <v>1004</v>
      </c>
      <c r="I2848" s="1">
        <v>1</v>
      </c>
      <c r="J2848" s="3">
        <v>9339</v>
      </c>
      <c r="K2848" s="3">
        <v>8911</v>
      </c>
      <c r="L2848" s="1">
        <v>0</v>
      </c>
      <c r="M2848" s="4">
        <v>0</v>
      </c>
      <c r="N2848" s="1">
        <v>428</v>
      </c>
      <c r="O2848" s="4">
        <v>4.5999999999999999E-2</v>
      </c>
      <c r="P2848" s="1" t="s">
        <v>2721</v>
      </c>
    </row>
    <row r="2849" spans="1:16">
      <c r="A2849" s="1" t="s">
        <v>15</v>
      </c>
      <c r="B2849" s="1">
        <v>11</v>
      </c>
      <c r="C2849" s="1" t="s">
        <v>7048</v>
      </c>
      <c r="D2849" s="1" t="s">
        <v>1457</v>
      </c>
      <c r="E2849" s="2">
        <v>45979</v>
      </c>
      <c r="F2849" s="1" t="s">
        <v>347</v>
      </c>
      <c r="G2849" s="1" t="s">
        <v>1458</v>
      </c>
      <c r="H2849" s="1" t="s">
        <v>7049</v>
      </c>
      <c r="I2849" s="1">
        <v>1</v>
      </c>
      <c r="J2849" s="3">
        <v>21705</v>
      </c>
      <c r="K2849" s="3">
        <v>20711</v>
      </c>
      <c r="L2849" s="1">
        <v>0</v>
      </c>
      <c r="M2849" s="4">
        <v>0</v>
      </c>
      <c r="N2849" s="1">
        <v>994</v>
      </c>
      <c r="O2849" s="4">
        <v>4.5999999999999999E-2</v>
      </c>
      <c r="P2849" s="1" t="s">
        <v>2721</v>
      </c>
    </row>
    <row r="2850" spans="1:16">
      <c r="A2850" s="1" t="s">
        <v>15</v>
      </c>
      <c r="B2850" s="1">
        <v>11</v>
      </c>
      <c r="C2850" s="1" t="s">
        <v>7048</v>
      </c>
      <c r="D2850" s="1" t="s">
        <v>1457</v>
      </c>
      <c r="E2850" s="2">
        <v>45979</v>
      </c>
      <c r="F2850" s="1" t="s">
        <v>347</v>
      </c>
      <c r="G2850" s="1" t="s">
        <v>1458</v>
      </c>
      <c r="H2850" s="1" t="s">
        <v>7050</v>
      </c>
      <c r="I2850" s="1">
        <v>1</v>
      </c>
      <c r="J2850" s="3">
        <v>19935</v>
      </c>
      <c r="K2850" s="3">
        <v>19023</v>
      </c>
      <c r="L2850" s="1">
        <v>0</v>
      </c>
      <c r="M2850" s="4">
        <v>0</v>
      </c>
      <c r="N2850" s="1">
        <v>912</v>
      </c>
      <c r="O2850" s="4">
        <v>4.5999999999999999E-2</v>
      </c>
      <c r="P2850" s="1" t="s">
        <v>2721</v>
      </c>
    </row>
    <row r="2851" spans="1:16">
      <c r="A2851" s="1" t="s">
        <v>15</v>
      </c>
      <c r="B2851" s="1">
        <v>11</v>
      </c>
      <c r="C2851" s="1" t="s">
        <v>7048</v>
      </c>
      <c r="D2851" s="1" t="s">
        <v>7051</v>
      </c>
      <c r="E2851" s="2">
        <v>45979</v>
      </c>
      <c r="F2851" s="1" t="s">
        <v>96</v>
      </c>
      <c r="G2851" s="1" t="s">
        <v>7052</v>
      </c>
      <c r="H2851" s="1" t="s">
        <v>7053</v>
      </c>
      <c r="I2851" s="1">
        <v>2</v>
      </c>
      <c r="J2851" s="3">
        <v>26046</v>
      </c>
      <c r="K2851" s="3">
        <v>24853</v>
      </c>
      <c r="L2851" s="1">
        <v>0</v>
      </c>
      <c r="M2851" s="4">
        <v>0</v>
      </c>
      <c r="N2851" s="3">
        <v>1193</v>
      </c>
      <c r="O2851" s="4">
        <v>4.5999999999999999E-2</v>
      </c>
      <c r="P2851" s="1" t="s">
        <v>2721</v>
      </c>
    </row>
    <row r="2852" spans="1:16">
      <c r="A2852" s="1" t="s">
        <v>15</v>
      </c>
      <c r="B2852" s="1">
        <v>11</v>
      </c>
      <c r="C2852" s="1" t="s">
        <v>7054</v>
      </c>
      <c r="D2852" s="1" t="s">
        <v>27</v>
      </c>
      <c r="E2852" s="2">
        <v>45979</v>
      </c>
      <c r="F2852" s="1" t="s">
        <v>28</v>
      </c>
      <c r="G2852" s="1" t="s">
        <v>29</v>
      </c>
      <c r="H2852" s="1" t="s">
        <v>352</v>
      </c>
      <c r="I2852" s="1">
        <v>1</v>
      </c>
      <c r="J2852" s="3">
        <v>27033</v>
      </c>
      <c r="K2852" s="3">
        <v>25795</v>
      </c>
      <c r="L2852" s="1">
        <v>0</v>
      </c>
      <c r="M2852" s="4">
        <v>0</v>
      </c>
      <c r="N2852" s="3">
        <v>1238</v>
      </c>
      <c r="O2852" s="4">
        <v>4.5999999999999999E-2</v>
      </c>
      <c r="P2852" s="1" t="s">
        <v>2721</v>
      </c>
    </row>
    <row r="2853" spans="1:16">
      <c r="A2853" s="1" t="s">
        <v>15</v>
      </c>
      <c r="B2853" s="1">
        <v>11</v>
      </c>
      <c r="C2853" s="1" t="s">
        <v>7055</v>
      </c>
      <c r="D2853" s="1" t="s">
        <v>182</v>
      </c>
      <c r="E2853" s="2">
        <v>45979</v>
      </c>
      <c r="F2853" s="1" t="s">
        <v>53</v>
      </c>
      <c r="G2853" s="1" t="s">
        <v>183</v>
      </c>
      <c r="H2853" s="1" t="s">
        <v>7056</v>
      </c>
      <c r="I2853" s="1">
        <v>1</v>
      </c>
      <c r="J2853" s="3">
        <v>6219</v>
      </c>
      <c r="K2853" s="3">
        <v>5935</v>
      </c>
      <c r="L2853" s="1">
        <v>0</v>
      </c>
      <c r="M2853" s="4">
        <v>0</v>
      </c>
      <c r="N2853" s="1">
        <v>284</v>
      </c>
      <c r="O2853" s="4">
        <v>4.5999999999999999E-2</v>
      </c>
      <c r="P2853" s="1" t="s">
        <v>2721</v>
      </c>
    </row>
    <row r="2854" spans="1:16">
      <c r="A2854" s="1" t="s">
        <v>15</v>
      </c>
      <c r="B2854" s="1">
        <v>11</v>
      </c>
      <c r="C2854" s="1" t="s">
        <v>7057</v>
      </c>
      <c r="D2854" s="1" t="s">
        <v>1181</v>
      </c>
      <c r="E2854" s="2">
        <v>45979</v>
      </c>
      <c r="F2854" s="1" t="s">
        <v>524</v>
      </c>
      <c r="G2854" s="1" t="s">
        <v>1182</v>
      </c>
      <c r="H2854" s="1" t="s">
        <v>1183</v>
      </c>
      <c r="I2854" s="1">
        <v>1</v>
      </c>
      <c r="J2854" s="3">
        <v>20121</v>
      </c>
      <c r="K2854" s="3">
        <v>19200</v>
      </c>
      <c r="L2854" s="1">
        <v>0</v>
      </c>
      <c r="M2854" s="4">
        <v>0</v>
      </c>
      <c r="N2854" s="1">
        <v>921</v>
      </c>
      <c r="O2854" s="4">
        <v>4.5999999999999999E-2</v>
      </c>
      <c r="P2854" s="1" t="s">
        <v>2721</v>
      </c>
    </row>
    <row r="2855" spans="1:16">
      <c r="A2855" s="1" t="s">
        <v>15</v>
      </c>
      <c r="B2855" s="1">
        <v>11</v>
      </c>
      <c r="C2855" s="1" t="s">
        <v>7058</v>
      </c>
      <c r="D2855" s="1" t="s">
        <v>224</v>
      </c>
      <c r="E2855" s="2">
        <v>45979</v>
      </c>
      <c r="F2855" s="1" t="s">
        <v>96</v>
      </c>
      <c r="G2855" s="1" t="s">
        <v>225</v>
      </c>
      <c r="H2855" s="1" t="s">
        <v>896</v>
      </c>
      <c r="I2855" s="1">
        <v>1</v>
      </c>
      <c r="J2855" s="3">
        <v>12571</v>
      </c>
      <c r="K2855" s="3">
        <v>11995</v>
      </c>
      <c r="L2855" s="1">
        <v>0</v>
      </c>
      <c r="M2855" s="4">
        <v>0</v>
      </c>
      <c r="N2855" s="1">
        <v>576</v>
      </c>
      <c r="O2855" s="4">
        <v>4.5999999999999999E-2</v>
      </c>
      <c r="P2855" s="1" t="s">
        <v>2721</v>
      </c>
    </row>
    <row r="2856" spans="1:16">
      <c r="A2856" s="1" t="s">
        <v>15</v>
      </c>
      <c r="B2856" s="1">
        <v>11</v>
      </c>
      <c r="C2856" s="1" t="s">
        <v>7059</v>
      </c>
      <c r="D2856" s="1" t="s">
        <v>3256</v>
      </c>
      <c r="E2856" s="2">
        <v>45979</v>
      </c>
      <c r="F2856" s="1" t="s">
        <v>77</v>
      </c>
      <c r="G2856" s="1" t="s">
        <v>3257</v>
      </c>
      <c r="H2856" s="1" t="s">
        <v>3257</v>
      </c>
      <c r="I2856" s="1">
        <v>1</v>
      </c>
      <c r="J2856" s="3">
        <v>11231</v>
      </c>
      <c r="K2856" s="3">
        <v>10717</v>
      </c>
      <c r="L2856" s="1">
        <v>0</v>
      </c>
      <c r="M2856" s="4">
        <v>0</v>
      </c>
      <c r="N2856" s="1">
        <v>514</v>
      </c>
      <c r="O2856" s="4">
        <v>4.5999999999999999E-2</v>
      </c>
      <c r="P2856" s="1" t="s">
        <v>2721</v>
      </c>
    </row>
    <row r="2857" spans="1:16">
      <c r="A2857" s="1" t="s">
        <v>15</v>
      </c>
      <c r="B2857" s="1">
        <v>11</v>
      </c>
      <c r="C2857" s="1" t="s">
        <v>7060</v>
      </c>
      <c r="D2857" s="1" t="s">
        <v>5155</v>
      </c>
      <c r="E2857" s="2">
        <v>45979</v>
      </c>
      <c r="F2857" s="1" t="s">
        <v>1798</v>
      </c>
      <c r="G2857" s="1" t="s">
        <v>5156</v>
      </c>
      <c r="H2857" s="1" t="s">
        <v>5157</v>
      </c>
      <c r="I2857" s="1">
        <v>1</v>
      </c>
      <c r="J2857" s="3">
        <v>31948</v>
      </c>
      <c r="K2857" s="3">
        <v>30485</v>
      </c>
      <c r="L2857" s="1">
        <v>0</v>
      </c>
      <c r="M2857" s="4">
        <v>0</v>
      </c>
      <c r="N2857" s="3">
        <v>1463</v>
      </c>
      <c r="O2857" s="4">
        <v>4.5999999999999999E-2</v>
      </c>
      <c r="P2857" s="1" t="s">
        <v>2721</v>
      </c>
    </row>
    <row r="2858" spans="1:16">
      <c r="A2858" s="1" t="s">
        <v>15</v>
      </c>
      <c r="B2858" s="1">
        <v>11</v>
      </c>
      <c r="C2858" s="1" t="s">
        <v>7061</v>
      </c>
      <c r="D2858" s="1" t="s">
        <v>1246</v>
      </c>
      <c r="E2858" s="2">
        <v>45979</v>
      </c>
      <c r="F2858" s="1" t="s">
        <v>53</v>
      </c>
      <c r="G2858" s="1" t="s">
        <v>1247</v>
      </c>
      <c r="H2858" s="1" t="s">
        <v>1366</v>
      </c>
      <c r="I2858" s="1">
        <v>1</v>
      </c>
      <c r="J2858" s="3">
        <v>8383</v>
      </c>
      <c r="K2858" s="3">
        <v>7999</v>
      </c>
      <c r="L2858" s="1">
        <v>0</v>
      </c>
      <c r="M2858" s="4">
        <v>0</v>
      </c>
      <c r="N2858" s="1">
        <v>384</v>
      </c>
      <c r="O2858" s="4">
        <v>4.5999999999999999E-2</v>
      </c>
      <c r="P2858" s="1" t="s">
        <v>2721</v>
      </c>
    </row>
    <row r="2859" spans="1:16">
      <c r="A2859" s="1" t="s">
        <v>15</v>
      </c>
      <c r="B2859" s="1">
        <v>11</v>
      </c>
      <c r="C2859" s="1" t="s">
        <v>7062</v>
      </c>
      <c r="D2859" s="1" t="s">
        <v>7063</v>
      </c>
      <c r="E2859" s="2">
        <v>45979</v>
      </c>
      <c r="F2859" s="1" t="s">
        <v>783</v>
      </c>
      <c r="G2859" s="1" t="s">
        <v>1768</v>
      </c>
      <c r="H2859" s="1" t="s">
        <v>1769</v>
      </c>
      <c r="I2859" s="1">
        <v>1</v>
      </c>
      <c r="J2859" s="3">
        <v>21626</v>
      </c>
      <c r="K2859" s="3">
        <v>20636</v>
      </c>
      <c r="L2859" s="1">
        <v>0</v>
      </c>
      <c r="M2859" s="4">
        <v>0</v>
      </c>
      <c r="N2859" s="1">
        <v>990</v>
      </c>
      <c r="O2859" s="4">
        <v>4.5999999999999999E-2</v>
      </c>
      <c r="P2859" s="1" t="s">
        <v>2721</v>
      </c>
    </row>
    <row r="2860" spans="1:16">
      <c r="A2860" s="1" t="s">
        <v>15</v>
      </c>
      <c r="B2860" s="1">
        <v>11</v>
      </c>
      <c r="C2860" s="1" t="s">
        <v>7064</v>
      </c>
      <c r="D2860" s="1" t="s">
        <v>238</v>
      </c>
      <c r="E2860" s="2">
        <v>45979</v>
      </c>
      <c r="F2860" s="1" t="s">
        <v>239</v>
      </c>
      <c r="G2860" s="1" t="s">
        <v>240</v>
      </c>
      <c r="H2860" s="1" t="s">
        <v>241</v>
      </c>
      <c r="I2860" s="1">
        <v>1</v>
      </c>
      <c r="J2860" s="3">
        <v>11305</v>
      </c>
      <c r="K2860" s="3">
        <v>10787</v>
      </c>
      <c r="L2860" s="1">
        <v>0</v>
      </c>
      <c r="M2860" s="4">
        <v>0</v>
      </c>
      <c r="N2860" s="1">
        <v>518</v>
      </c>
      <c r="O2860" s="4">
        <v>4.5999999999999999E-2</v>
      </c>
      <c r="P2860" s="1" t="s">
        <v>2721</v>
      </c>
    </row>
    <row r="2861" spans="1:16">
      <c r="A2861" s="1" t="s">
        <v>15</v>
      </c>
      <c r="B2861" s="1">
        <v>11</v>
      </c>
      <c r="C2861" s="1" t="s">
        <v>7065</v>
      </c>
      <c r="D2861" s="1" t="s">
        <v>504</v>
      </c>
      <c r="E2861" s="2">
        <v>45979</v>
      </c>
      <c r="F2861" s="1" t="s">
        <v>407</v>
      </c>
      <c r="G2861" s="1" t="s">
        <v>505</v>
      </c>
      <c r="H2861" s="1" t="s">
        <v>963</v>
      </c>
      <c r="I2861" s="1">
        <v>1</v>
      </c>
      <c r="J2861" s="3">
        <v>35880</v>
      </c>
      <c r="K2861" s="3">
        <v>34237</v>
      </c>
      <c r="L2861" s="1">
        <v>0</v>
      </c>
      <c r="M2861" s="4">
        <v>0</v>
      </c>
      <c r="N2861" s="3">
        <v>1643</v>
      </c>
      <c r="O2861" s="4">
        <v>4.5999999999999999E-2</v>
      </c>
      <c r="P2861" s="1" t="s">
        <v>2721</v>
      </c>
    </row>
    <row r="2862" spans="1:16">
      <c r="A2862" s="1" t="s">
        <v>15</v>
      </c>
      <c r="B2862" s="1">
        <v>11</v>
      </c>
      <c r="C2862" s="1" t="s">
        <v>7066</v>
      </c>
      <c r="D2862" s="1" t="s">
        <v>918</v>
      </c>
      <c r="E2862" s="2">
        <v>45979</v>
      </c>
      <c r="F2862" s="1" t="s">
        <v>753</v>
      </c>
      <c r="G2862" s="1" t="s">
        <v>919</v>
      </c>
      <c r="H2862" s="1" t="s">
        <v>920</v>
      </c>
      <c r="I2862" s="1">
        <v>1</v>
      </c>
      <c r="J2862" s="3">
        <v>25774</v>
      </c>
      <c r="K2862" s="3">
        <v>24594</v>
      </c>
      <c r="L2862" s="1">
        <v>0</v>
      </c>
      <c r="M2862" s="4">
        <v>0</v>
      </c>
      <c r="N2862" s="3">
        <v>1180</v>
      </c>
      <c r="O2862" s="4">
        <v>4.5999999999999999E-2</v>
      </c>
      <c r="P2862" s="1" t="s">
        <v>2721</v>
      </c>
    </row>
    <row r="2863" spans="1:16">
      <c r="A2863" s="1" t="s">
        <v>15</v>
      </c>
      <c r="B2863" s="1">
        <v>11</v>
      </c>
      <c r="C2863" s="1" t="s">
        <v>7067</v>
      </c>
      <c r="D2863" s="1" t="s">
        <v>569</v>
      </c>
      <c r="E2863" s="2">
        <v>45979</v>
      </c>
      <c r="F2863" s="1" t="s">
        <v>570</v>
      </c>
      <c r="G2863" s="1" t="s">
        <v>571</v>
      </c>
      <c r="H2863" s="1" t="s">
        <v>572</v>
      </c>
      <c r="I2863" s="1">
        <v>1</v>
      </c>
      <c r="J2863" s="3">
        <v>19660</v>
      </c>
      <c r="K2863" s="3">
        <v>18760</v>
      </c>
      <c r="L2863" s="1">
        <v>0</v>
      </c>
      <c r="M2863" s="4">
        <v>0</v>
      </c>
      <c r="N2863" s="1">
        <v>900</v>
      </c>
      <c r="O2863" s="4">
        <v>4.5999999999999999E-2</v>
      </c>
      <c r="P2863" s="1" t="s">
        <v>2721</v>
      </c>
    </row>
    <row r="2864" spans="1:16">
      <c r="A2864" s="1" t="s">
        <v>15</v>
      </c>
      <c r="B2864" s="1">
        <v>11</v>
      </c>
      <c r="C2864" s="1" t="s">
        <v>7068</v>
      </c>
      <c r="D2864" s="1" t="s">
        <v>52</v>
      </c>
      <c r="E2864" s="2">
        <v>45979</v>
      </c>
      <c r="F2864" s="1" t="s">
        <v>53</v>
      </c>
      <c r="G2864" s="1" t="s">
        <v>54</v>
      </c>
      <c r="H2864" s="1" t="s">
        <v>55</v>
      </c>
      <c r="I2864" s="1">
        <v>1</v>
      </c>
      <c r="J2864" s="3">
        <v>16135</v>
      </c>
      <c r="K2864" s="3">
        <v>15396</v>
      </c>
      <c r="L2864" s="1">
        <v>0</v>
      </c>
      <c r="M2864" s="4">
        <v>0</v>
      </c>
      <c r="N2864" s="1">
        <v>739</v>
      </c>
      <c r="O2864" s="4">
        <v>4.5999999999999999E-2</v>
      </c>
      <c r="P2864" s="1" t="s">
        <v>2721</v>
      </c>
    </row>
    <row r="2865" spans="1:16">
      <c r="A2865" s="1" t="s">
        <v>15</v>
      </c>
      <c r="B2865" s="1">
        <v>11</v>
      </c>
      <c r="C2865" s="1" t="s">
        <v>7069</v>
      </c>
      <c r="D2865" s="1" t="s">
        <v>333</v>
      </c>
      <c r="E2865" s="2">
        <v>45979</v>
      </c>
      <c r="F2865" s="1" t="s">
        <v>334</v>
      </c>
      <c r="G2865" s="1" t="s">
        <v>335</v>
      </c>
      <c r="H2865" s="1" t="s">
        <v>1408</v>
      </c>
      <c r="I2865" s="1">
        <v>1</v>
      </c>
      <c r="J2865" s="3">
        <v>5505</v>
      </c>
      <c r="K2865" s="3">
        <v>5253</v>
      </c>
      <c r="L2865" s="1">
        <v>0</v>
      </c>
      <c r="M2865" s="4">
        <v>0</v>
      </c>
      <c r="N2865" s="1">
        <v>252</v>
      </c>
      <c r="O2865" s="4">
        <v>4.5999999999999999E-2</v>
      </c>
      <c r="P2865" s="1" t="s">
        <v>2721</v>
      </c>
    </row>
    <row r="2866" spans="1:16">
      <c r="A2866" s="1" t="s">
        <v>15</v>
      </c>
      <c r="B2866" s="1">
        <v>11</v>
      </c>
      <c r="C2866" s="1" t="s">
        <v>7069</v>
      </c>
      <c r="D2866" s="1" t="s">
        <v>7070</v>
      </c>
      <c r="E2866" s="2">
        <v>45979</v>
      </c>
      <c r="F2866" s="1" t="s">
        <v>256</v>
      </c>
      <c r="G2866" s="1" t="s">
        <v>7071</v>
      </c>
      <c r="H2866" s="1" t="s">
        <v>7072</v>
      </c>
      <c r="I2866" s="1">
        <v>1</v>
      </c>
      <c r="J2866" s="3">
        <v>9191</v>
      </c>
      <c r="K2866" s="3">
        <v>8770</v>
      </c>
      <c r="L2866" s="1">
        <v>0</v>
      </c>
      <c r="M2866" s="4">
        <v>0</v>
      </c>
      <c r="N2866" s="1">
        <v>421</v>
      </c>
      <c r="O2866" s="4">
        <v>4.5999999999999999E-2</v>
      </c>
      <c r="P2866" s="1" t="s">
        <v>2721</v>
      </c>
    </row>
    <row r="2867" spans="1:16">
      <c r="A2867" s="1" t="s">
        <v>15</v>
      </c>
      <c r="B2867" s="1">
        <v>11</v>
      </c>
      <c r="C2867" s="1" t="s">
        <v>7073</v>
      </c>
      <c r="D2867" s="1" t="s">
        <v>1521</v>
      </c>
      <c r="E2867" s="2">
        <v>45979</v>
      </c>
      <c r="F2867" s="1" t="s">
        <v>235</v>
      </c>
      <c r="G2867" s="1" t="s">
        <v>1522</v>
      </c>
      <c r="H2867" s="1" t="s">
        <v>1523</v>
      </c>
      <c r="I2867" s="1">
        <v>2</v>
      </c>
      <c r="J2867" s="3">
        <v>37110</v>
      </c>
      <c r="K2867" s="3">
        <v>35411</v>
      </c>
      <c r="L2867" s="1">
        <v>0</v>
      </c>
      <c r="M2867" s="4">
        <v>0</v>
      </c>
      <c r="N2867" s="3">
        <v>1699</v>
      </c>
      <c r="O2867" s="4">
        <v>4.5999999999999999E-2</v>
      </c>
      <c r="P2867" s="1" t="s">
        <v>2721</v>
      </c>
    </row>
    <row r="2868" spans="1:16">
      <c r="A2868" s="1" t="s">
        <v>15</v>
      </c>
      <c r="B2868" s="1">
        <v>11</v>
      </c>
      <c r="C2868" s="1" t="s">
        <v>7074</v>
      </c>
      <c r="D2868" s="1" t="s">
        <v>217</v>
      </c>
      <c r="E2868" s="2">
        <v>45979</v>
      </c>
      <c r="F2868" s="1" t="s">
        <v>63</v>
      </c>
      <c r="G2868" s="1" t="s">
        <v>218</v>
      </c>
      <c r="H2868" s="1" t="s">
        <v>7075</v>
      </c>
      <c r="I2868" s="1">
        <v>1</v>
      </c>
      <c r="J2868" s="3">
        <v>9105</v>
      </c>
      <c r="K2868" s="3">
        <v>8688</v>
      </c>
      <c r="L2868" s="1">
        <v>0</v>
      </c>
      <c r="M2868" s="4">
        <v>0</v>
      </c>
      <c r="N2868" s="1">
        <v>417</v>
      </c>
      <c r="O2868" s="4">
        <v>4.5999999999999999E-2</v>
      </c>
      <c r="P2868" s="1" t="s">
        <v>2721</v>
      </c>
    </row>
    <row r="2869" spans="1:16">
      <c r="A2869" s="1" t="s">
        <v>15</v>
      </c>
      <c r="B2869" s="1">
        <v>11</v>
      </c>
      <c r="C2869" s="1" t="s">
        <v>7076</v>
      </c>
      <c r="D2869" s="1" t="s">
        <v>1531</v>
      </c>
      <c r="E2869" s="2">
        <v>45979</v>
      </c>
      <c r="F2869" s="1" t="s">
        <v>53</v>
      </c>
      <c r="G2869" s="1" t="s">
        <v>1532</v>
      </c>
      <c r="H2869" s="1" t="s">
        <v>1533</v>
      </c>
      <c r="I2869" s="1">
        <v>2</v>
      </c>
      <c r="J2869" s="3">
        <v>16045</v>
      </c>
      <c r="K2869" s="3">
        <v>15310</v>
      </c>
      <c r="L2869" s="1">
        <v>0</v>
      </c>
      <c r="M2869" s="4">
        <v>0</v>
      </c>
      <c r="N2869" s="1">
        <v>735</v>
      </c>
      <c r="O2869" s="4">
        <v>4.5999999999999999E-2</v>
      </c>
      <c r="P2869" s="1" t="s">
        <v>2721</v>
      </c>
    </row>
    <row r="2870" spans="1:16">
      <c r="A2870" s="1" t="s">
        <v>15</v>
      </c>
      <c r="B2870" s="1">
        <v>11</v>
      </c>
      <c r="C2870" s="1" t="s">
        <v>7077</v>
      </c>
      <c r="D2870" s="1" t="s">
        <v>17</v>
      </c>
      <c r="E2870" s="2">
        <v>45979</v>
      </c>
      <c r="F2870" s="1" t="s">
        <v>18</v>
      </c>
      <c r="G2870" s="1" t="s">
        <v>19</v>
      </c>
      <c r="H2870" s="1" t="s">
        <v>1252</v>
      </c>
      <c r="I2870" s="1">
        <v>1</v>
      </c>
      <c r="J2870" s="3">
        <v>7166</v>
      </c>
      <c r="K2870" s="3">
        <v>6838</v>
      </c>
      <c r="L2870" s="1">
        <v>0</v>
      </c>
      <c r="M2870" s="4">
        <v>0</v>
      </c>
      <c r="N2870" s="1">
        <v>328</v>
      </c>
      <c r="O2870" s="4">
        <v>4.5999999999999999E-2</v>
      </c>
      <c r="P2870" s="1" t="s">
        <v>2721</v>
      </c>
    </row>
    <row r="2871" spans="1:16">
      <c r="A2871" s="1" t="s">
        <v>15</v>
      </c>
      <c r="B2871" s="1">
        <v>11</v>
      </c>
      <c r="C2871" s="1" t="s">
        <v>7077</v>
      </c>
      <c r="D2871" s="1" t="s">
        <v>1250</v>
      </c>
      <c r="E2871" s="2">
        <v>45979</v>
      </c>
      <c r="F2871" s="1" t="s">
        <v>18</v>
      </c>
      <c r="G2871" s="1" t="s">
        <v>1251</v>
      </c>
      <c r="H2871" s="1" t="s">
        <v>1252</v>
      </c>
      <c r="I2871" s="1">
        <v>1</v>
      </c>
      <c r="J2871" s="3">
        <v>8395</v>
      </c>
      <c r="K2871" s="3">
        <v>8011</v>
      </c>
      <c r="L2871" s="1">
        <v>0</v>
      </c>
      <c r="M2871" s="4">
        <v>0</v>
      </c>
      <c r="N2871" s="1">
        <v>384</v>
      </c>
      <c r="O2871" s="4">
        <v>4.5999999999999999E-2</v>
      </c>
      <c r="P2871" s="1" t="s">
        <v>2721</v>
      </c>
    </row>
    <row r="2872" spans="1:16">
      <c r="A2872" s="1" t="s">
        <v>15</v>
      </c>
      <c r="B2872" s="1">
        <v>11</v>
      </c>
      <c r="C2872" s="1" t="s">
        <v>7078</v>
      </c>
      <c r="D2872" s="1" t="s">
        <v>37</v>
      </c>
      <c r="E2872" s="2">
        <v>45979</v>
      </c>
      <c r="F2872" s="1" t="s">
        <v>38</v>
      </c>
      <c r="G2872" s="1" t="s">
        <v>39</v>
      </c>
      <c r="H2872" s="1" t="s">
        <v>40</v>
      </c>
      <c r="I2872" s="1">
        <v>1</v>
      </c>
      <c r="J2872" s="3">
        <v>89453</v>
      </c>
      <c r="K2872" s="3">
        <v>85358</v>
      </c>
      <c r="L2872" s="1">
        <v>0</v>
      </c>
      <c r="M2872" s="4">
        <v>0</v>
      </c>
      <c r="N2872" s="3">
        <v>4095</v>
      </c>
      <c r="O2872" s="4">
        <v>4.5999999999999999E-2</v>
      </c>
      <c r="P2872" s="1" t="s">
        <v>2721</v>
      </c>
    </row>
    <row r="2873" spans="1:16">
      <c r="A2873" s="1" t="s">
        <v>15</v>
      </c>
      <c r="B2873" s="1">
        <v>11</v>
      </c>
      <c r="C2873" s="1" t="s">
        <v>7079</v>
      </c>
      <c r="D2873" s="1" t="s">
        <v>212</v>
      </c>
      <c r="E2873" s="2">
        <v>45979</v>
      </c>
      <c r="F2873" s="1" t="s">
        <v>213</v>
      </c>
      <c r="G2873" s="1" t="s">
        <v>214</v>
      </c>
      <c r="H2873" s="1" t="s">
        <v>3551</v>
      </c>
      <c r="I2873" s="1">
        <v>1</v>
      </c>
      <c r="J2873" s="3">
        <v>29490</v>
      </c>
      <c r="K2873" s="3">
        <v>28140</v>
      </c>
      <c r="L2873" s="1">
        <v>0</v>
      </c>
      <c r="M2873" s="4">
        <v>0</v>
      </c>
      <c r="N2873" s="3">
        <v>1350</v>
      </c>
      <c r="O2873" s="4">
        <v>4.5999999999999999E-2</v>
      </c>
      <c r="P2873" s="1" t="s">
        <v>2721</v>
      </c>
    </row>
    <row r="2874" spans="1:16">
      <c r="A2874" s="1" t="s">
        <v>15</v>
      </c>
      <c r="B2874" s="1">
        <v>11</v>
      </c>
      <c r="C2874" s="1" t="s">
        <v>7080</v>
      </c>
      <c r="D2874" s="1" t="s">
        <v>95</v>
      </c>
      <c r="E2874" s="2">
        <v>45979</v>
      </c>
      <c r="F2874" s="1" t="s">
        <v>96</v>
      </c>
      <c r="G2874" s="1" t="s">
        <v>97</v>
      </c>
      <c r="H2874" s="1" t="s">
        <v>97</v>
      </c>
      <c r="I2874" s="1">
        <v>1</v>
      </c>
      <c r="J2874" s="3">
        <v>12571</v>
      </c>
      <c r="K2874" s="3">
        <v>11995</v>
      </c>
      <c r="L2874" s="1">
        <v>0</v>
      </c>
      <c r="M2874" s="4">
        <v>0</v>
      </c>
      <c r="N2874" s="1">
        <v>576</v>
      </c>
      <c r="O2874" s="4">
        <v>4.5999999999999999E-2</v>
      </c>
      <c r="P2874" s="1" t="s">
        <v>2721</v>
      </c>
    </row>
    <row r="2875" spans="1:16">
      <c r="A2875" s="1" t="s">
        <v>15</v>
      </c>
      <c r="B2875" s="1">
        <v>11</v>
      </c>
      <c r="C2875" s="1" t="s">
        <v>7080</v>
      </c>
      <c r="D2875" s="1" t="s">
        <v>834</v>
      </c>
      <c r="E2875" s="2">
        <v>45979</v>
      </c>
      <c r="F2875" s="1" t="s">
        <v>96</v>
      </c>
      <c r="G2875" s="1" t="s">
        <v>835</v>
      </c>
      <c r="H2875" s="1" t="s">
        <v>836</v>
      </c>
      <c r="I2875" s="1">
        <v>1</v>
      </c>
      <c r="J2875" s="3">
        <v>13475</v>
      </c>
      <c r="K2875" s="3">
        <v>12858</v>
      </c>
      <c r="L2875" s="1">
        <v>0</v>
      </c>
      <c r="M2875" s="4">
        <v>0</v>
      </c>
      <c r="N2875" s="1">
        <v>617</v>
      </c>
      <c r="O2875" s="4">
        <v>4.5999999999999999E-2</v>
      </c>
      <c r="P2875" s="1" t="s">
        <v>2721</v>
      </c>
    </row>
    <row r="2876" spans="1:16">
      <c r="A2876" s="1" t="s">
        <v>15</v>
      </c>
      <c r="B2876" s="1">
        <v>11</v>
      </c>
      <c r="C2876" s="1" t="s">
        <v>7080</v>
      </c>
      <c r="D2876" s="1" t="s">
        <v>939</v>
      </c>
      <c r="E2876" s="2">
        <v>45979</v>
      </c>
      <c r="F2876" s="1" t="s">
        <v>96</v>
      </c>
      <c r="G2876" s="1" t="s">
        <v>940</v>
      </c>
      <c r="H2876" s="1" t="s">
        <v>941</v>
      </c>
      <c r="I2876" s="1">
        <v>1</v>
      </c>
      <c r="J2876" s="3">
        <v>13475</v>
      </c>
      <c r="K2876" s="3">
        <v>12858</v>
      </c>
      <c r="L2876" s="1">
        <v>0</v>
      </c>
      <c r="M2876" s="4">
        <v>0</v>
      </c>
      <c r="N2876" s="1">
        <v>617</v>
      </c>
      <c r="O2876" s="4">
        <v>4.5999999999999999E-2</v>
      </c>
      <c r="P2876" s="1" t="s">
        <v>2721</v>
      </c>
    </row>
    <row r="2877" spans="1:16">
      <c r="A2877" s="1" t="s">
        <v>15</v>
      </c>
      <c r="B2877" s="1">
        <v>11</v>
      </c>
      <c r="C2877" s="1" t="s">
        <v>7080</v>
      </c>
      <c r="D2877" s="1" t="s">
        <v>7051</v>
      </c>
      <c r="E2877" s="2">
        <v>45979</v>
      </c>
      <c r="F2877" s="1" t="s">
        <v>96</v>
      </c>
      <c r="G2877" s="1" t="s">
        <v>7052</v>
      </c>
      <c r="H2877" s="1" t="s">
        <v>7053</v>
      </c>
      <c r="I2877" s="1">
        <v>1</v>
      </c>
      <c r="J2877" s="3">
        <v>13023</v>
      </c>
      <c r="K2877" s="3">
        <v>12427</v>
      </c>
      <c r="L2877" s="1">
        <v>0</v>
      </c>
      <c r="M2877" s="4">
        <v>0</v>
      </c>
      <c r="N2877" s="1">
        <v>596</v>
      </c>
      <c r="O2877" s="4">
        <v>4.5999999999999999E-2</v>
      </c>
      <c r="P2877" s="1" t="s">
        <v>2721</v>
      </c>
    </row>
    <row r="2878" spans="1:16">
      <c r="A2878" s="1" t="s">
        <v>15</v>
      </c>
      <c r="B2878" s="1">
        <v>11</v>
      </c>
      <c r="C2878" s="1" t="s">
        <v>7081</v>
      </c>
      <c r="D2878" s="1" t="s">
        <v>7082</v>
      </c>
      <c r="E2878" s="2">
        <v>45979</v>
      </c>
      <c r="F2878" s="1" t="s">
        <v>2173</v>
      </c>
      <c r="G2878" s="1" t="s">
        <v>7083</v>
      </c>
      <c r="H2878" s="1" t="s">
        <v>7084</v>
      </c>
      <c r="I2878" s="1">
        <v>1</v>
      </c>
      <c r="J2878" s="3">
        <v>20348</v>
      </c>
      <c r="K2878" s="3">
        <v>19417</v>
      </c>
      <c r="L2878" s="1">
        <v>0</v>
      </c>
      <c r="M2878" s="4">
        <v>0</v>
      </c>
      <c r="N2878" s="1">
        <v>931</v>
      </c>
      <c r="O2878" s="4">
        <v>4.5999999999999999E-2</v>
      </c>
      <c r="P2878" s="1" t="s">
        <v>2721</v>
      </c>
    </row>
    <row r="2879" spans="1:16">
      <c r="A2879" s="1" t="s">
        <v>15</v>
      </c>
      <c r="B2879" s="1">
        <v>11</v>
      </c>
      <c r="C2879" s="1" t="s">
        <v>7085</v>
      </c>
      <c r="D2879" s="1" t="s">
        <v>1346</v>
      </c>
      <c r="E2879" s="2">
        <v>45979</v>
      </c>
      <c r="F2879" s="1" t="s">
        <v>317</v>
      </c>
      <c r="G2879" s="1" t="s">
        <v>1347</v>
      </c>
      <c r="H2879" s="1" t="s">
        <v>3848</v>
      </c>
      <c r="I2879" s="1">
        <v>1</v>
      </c>
      <c r="J2879" s="3">
        <v>29982</v>
      </c>
      <c r="K2879" s="3">
        <v>28609</v>
      </c>
      <c r="L2879" s="1">
        <v>0</v>
      </c>
      <c r="M2879" s="4">
        <v>0</v>
      </c>
      <c r="N2879" s="3">
        <v>1373</v>
      </c>
      <c r="O2879" s="4">
        <v>4.5999999999999999E-2</v>
      </c>
      <c r="P2879" s="1" t="s">
        <v>2721</v>
      </c>
    </row>
    <row r="2880" spans="1:16">
      <c r="A2880" s="1" t="s">
        <v>15</v>
      </c>
      <c r="B2880" s="1">
        <v>11</v>
      </c>
      <c r="C2880" s="1" t="s">
        <v>7086</v>
      </c>
      <c r="D2880" s="1" t="s">
        <v>7087</v>
      </c>
      <c r="E2880" s="2">
        <v>45979</v>
      </c>
      <c r="F2880" s="1" t="s">
        <v>7088</v>
      </c>
      <c r="G2880" s="1" t="s">
        <v>7089</v>
      </c>
      <c r="H2880" s="1" t="s">
        <v>7090</v>
      </c>
      <c r="I2880" s="1">
        <v>1</v>
      </c>
      <c r="J2880" s="3">
        <v>15237</v>
      </c>
      <c r="K2880" s="3">
        <v>14539</v>
      </c>
      <c r="L2880" s="1">
        <v>0</v>
      </c>
      <c r="M2880" s="4">
        <v>0</v>
      </c>
      <c r="N2880" s="1">
        <v>698</v>
      </c>
      <c r="O2880" s="4">
        <v>4.5999999999999999E-2</v>
      </c>
      <c r="P2880" s="1" t="s">
        <v>2721</v>
      </c>
    </row>
    <row r="2881" spans="1:16">
      <c r="A2881" s="1" t="s">
        <v>15</v>
      </c>
      <c r="B2881" s="1">
        <v>11</v>
      </c>
      <c r="C2881" s="1" t="s">
        <v>7091</v>
      </c>
      <c r="D2881" s="1" t="s">
        <v>1153</v>
      </c>
      <c r="E2881" s="2">
        <v>45979</v>
      </c>
      <c r="F2881" s="1" t="s">
        <v>235</v>
      </c>
      <c r="G2881" s="1" t="s">
        <v>1154</v>
      </c>
      <c r="H2881" s="1" t="s">
        <v>1155</v>
      </c>
      <c r="I2881" s="1">
        <v>1</v>
      </c>
      <c r="J2881" s="3">
        <v>14254</v>
      </c>
      <c r="K2881" s="3">
        <v>13601</v>
      </c>
      <c r="L2881" s="1">
        <v>0</v>
      </c>
      <c r="M2881" s="4">
        <v>0</v>
      </c>
      <c r="N2881" s="1">
        <v>653</v>
      </c>
      <c r="O2881" s="4">
        <v>4.5999999999999999E-2</v>
      </c>
      <c r="P2881" s="1" t="s">
        <v>2721</v>
      </c>
    </row>
    <row r="2882" spans="1:16">
      <c r="A2882" s="1" t="s">
        <v>15</v>
      </c>
      <c r="B2882" s="1">
        <v>11</v>
      </c>
      <c r="C2882" s="1" t="s">
        <v>7092</v>
      </c>
      <c r="D2882" s="1" t="s">
        <v>238</v>
      </c>
      <c r="E2882" s="2">
        <v>45979</v>
      </c>
      <c r="F2882" s="1" t="s">
        <v>239</v>
      </c>
      <c r="G2882" s="1" t="s">
        <v>240</v>
      </c>
      <c r="H2882" s="1" t="s">
        <v>242</v>
      </c>
      <c r="I2882" s="1">
        <v>1</v>
      </c>
      <c r="J2882" s="3">
        <v>11305</v>
      </c>
      <c r="K2882" s="3">
        <v>10787</v>
      </c>
      <c r="L2882" s="1">
        <v>0</v>
      </c>
      <c r="M2882" s="4">
        <v>0</v>
      </c>
      <c r="N2882" s="1">
        <v>518</v>
      </c>
      <c r="O2882" s="4">
        <v>4.5999999999999999E-2</v>
      </c>
      <c r="P2882" s="1" t="s">
        <v>2721</v>
      </c>
    </row>
    <row r="2883" spans="1:16">
      <c r="A2883" s="1" t="s">
        <v>15</v>
      </c>
      <c r="B2883" s="1">
        <v>11</v>
      </c>
      <c r="C2883" s="1" t="s">
        <v>7093</v>
      </c>
      <c r="D2883" s="1" t="s">
        <v>394</v>
      </c>
      <c r="E2883" s="2">
        <v>45979</v>
      </c>
      <c r="F2883" s="1" t="s">
        <v>395</v>
      </c>
      <c r="G2883" s="1" t="s">
        <v>396</v>
      </c>
      <c r="H2883" s="1" t="s">
        <v>397</v>
      </c>
      <c r="I2883" s="1">
        <v>1</v>
      </c>
      <c r="J2883" s="3">
        <v>18874</v>
      </c>
      <c r="K2883" s="3">
        <v>18010</v>
      </c>
      <c r="L2883" s="1">
        <v>0</v>
      </c>
      <c r="M2883" s="4">
        <v>0</v>
      </c>
      <c r="N2883" s="1">
        <v>864</v>
      </c>
      <c r="O2883" s="4">
        <v>4.5999999999999999E-2</v>
      </c>
      <c r="P2883" s="1" t="s">
        <v>2721</v>
      </c>
    </row>
    <row r="2884" spans="1:16">
      <c r="A2884" s="1" t="s">
        <v>15</v>
      </c>
      <c r="B2884" s="1">
        <v>11</v>
      </c>
      <c r="C2884" s="1" t="s">
        <v>7094</v>
      </c>
      <c r="D2884" s="1" t="s">
        <v>3212</v>
      </c>
      <c r="E2884" s="2">
        <v>45979</v>
      </c>
      <c r="F2884" s="1" t="s">
        <v>96</v>
      </c>
      <c r="G2884" s="1" t="s">
        <v>3213</v>
      </c>
      <c r="H2884" s="1" t="s">
        <v>3214</v>
      </c>
      <c r="I2884" s="1">
        <v>1</v>
      </c>
      <c r="J2884" s="3">
        <v>12571</v>
      </c>
      <c r="K2884" s="3">
        <v>11995</v>
      </c>
      <c r="L2884" s="1">
        <v>0</v>
      </c>
      <c r="M2884" s="4">
        <v>0</v>
      </c>
      <c r="N2884" s="1">
        <v>576</v>
      </c>
      <c r="O2884" s="4">
        <v>4.5999999999999999E-2</v>
      </c>
      <c r="P2884" s="1" t="s">
        <v>2721</v>
      </c>
    </row>
    <row r="2885" spans="1:16">
      <c r="A2885" s="1" t="s">
        <v>15</v>
      </c>
      <c r="B2885" s="1">
        <v>11</v>
      </c>
      <c r="C2885" s="1" t="s">
        <v>7095</v>
      </c>
      <c r="D2885" s="1" t="s">
        <v>3394</v>
      </c>
      <c r="E2885" s="2">
        <v>45979</v>
      </c>
      <c r="F2885" s="1" t="s">
        <v>500</v>
      </c>
      <c r="G2885" s="1" t="s">
        <v>3395</v>
      </c>
      <c r="H2885" s="1" t="s">
        <v>4174</v>
      </c>
      <c r="I2885" s="1">
        <v>1</v>
      </c>
      <c r="J2885" s="3">
        <v>71587</v>
      </c>
      <c r="K2885" s="3">
        <v>68310</v>
      </c>
      <c r="L2885" s="1">
        <v>0</v>
      </c>
      <c r="M2885" s="4">
        <v>0</v>
      </c>
      <c r="N2885" s="3">
        <v>3277</v>
      </c>
      <c r="O2885" s="4">
        <v>4.5999999999999999E-2</v>
      </c>
      <c r="P2885" s="1" t="s">
        <v>2721</v>
      </c>
    </row>
    <row r="2886" spans="1:16">
      <c r="A2886" s="1" t="s">
        <v>15</v>
      </c>
      <c r="B2886" s="1">
        <v>11</v>
      </c>
      <c r="C2886" s="1" t="s">
        <v>7095</v>
      </c>
      <c r="D2886" s="1" t="s">
        <v>3394</v>
      </c>
      <c r="E2886" s="2">
        <v>45979</v>
      </c>
      <c r="F2886" s="1" t="s">
        <v>500</v>
      </c>
      <c r="G2886" s="1" t="s">
        <v>3395</v>
      </c>
      <c r="H2886" s="1" t="s">
        <v>7096</v>
      </c>
      <c r="I2886" s="1">
        <v>1</v>
      </c>
      <c r="J2886" s="3">
        <v>122309</v>
      </c>
      <c r="K2886" s="3">
        <v>116710</v>
      </c>
      <c r="L2886" s="1">
        <v>0</v>
      </c>
      <c r="M2886" s="4">
        <v>0</v>
      </c>
      <c r="N2886" s="3">
        <v>5599</v>
      </c>
      <c r="O2886" s="4">
        <v>4.5999999999999999E-2</v>
      </c>
      <c r="P2886" s="1" t="s">
        <v>2721</v>
      </c>
    </row>
    <row r="2887" spans="1:16">
      <c r="A2887" s="1" t="s">
        <v>15</v>
      </c>
      <c r="B2887" s="1">
        <v>11</v>
      </c>
      <c r="C2887" s="1" t="s">
        <v>7097</v>
      </c>
      <c r="D2887" s="1" t="s">
        <v>1060</v>
      </c>
      <c r="E2887" s="2">
        <v>45979</v>
      </c>
      <c r="F2887" s="1" t="s">
        <v>48</v>
      </c>
      <c r="G2887" s="1" t="s">
        <v>1061</v>
      </c>
      <c r="H2887" s="1" t="s">
        <v>1062</v>
      </c>
      <c r="I2887" s="1">
        <v>1</v>
      </c>
      <c r="J2887" s="3">
        <v>8049</v>
      </c>
      <c r="K2887" s="3">
        <v>7680</v>
      </c>
      <c r="L2887" s="1">
        <v>0</v>
      </c>
      <c r="M2887" s="4">
        <v>0</v>
      </c>
      <c r="N2887" s="1">
        <v>369</v>
      </c>
      <c r="O2887" s="4">
        <v>4.5999999999999999E-2</v>
      </c>
      <c r="P2887" s="1" t="s">
        <v>2721</v>
      </c>
    </row>
    <row r="2888" spans="1:16">
      <c r="A2888" s="1" t="s">
        <v>15</v>
      </c>
      <c r="B2888" s="1">
        <v>11</v>
      </c>
      <c r="C2888" s="1" t="s">
        <v>7098</v>
      </c>
      <c r="D2888" s="1" t="s">
        <v>955</v>
      </c>
      <c r="E2888" s="2">
        <v>45979</v>
      </c>
      <c r="F2888" s="1" t="s">
        <v>554</v>
      </c>
      <c r="G2888" s="1" t="s">
        <v>956</v>
      </c>
      <c r="H2888" s="1" t="s">
        <v>957</v>
      </c>
      <c r="I2888" s="1">
        <v>1</v>
      </c>
      <c r="J2888" s="3">
        <v>17596</v>
      </c>
      <c r="K2888" s="3">
        <v>16790</v>
      </c>
      <c r="L2888" s="1">
        <v>0</v>
      </c>
      <c r="M2888" s="4">
        <v>0</v>
      </c>
      <c r="N2888" s="1">
        <v>806</v>
      </c>
      <c r="O2888" s="4">
        <v>4.5999999999999999E-2</v>
      </c>
      <c r="P2888" s="1" t="s">
        <v>2721</v>
      </c>
    </row>
    <row r="2889" spans="1:16">
      <c r="A2889" s="1" t="s">
        <v>15</v>
      </c>
      <c r="B2889" s="1">
        <v>11</v>
      </c>
      <c r="C2889" s="1" t="s">
        <v>7098</v>
      </c>
      <c r="D2889" s="1" t="s">
        <v>906</v>
      </c>
      <c r="E2889" s="2">
        <v>45979</v>
      </c>
      <c r="F2889" s="1" t="s">
        <v>554</v>
      </c>
      <c r="G2889" s="1" t="s">
        <v>907</v>
      </c>
      <c r="H2889" s="1" t="s">
        <v>3875</v>
      </c>
      <c r="I2889" s="1">
        <v>1</v>
      </c>
      <c r="J2889" s="3">
        <v>13565</v>
      </c>
      <c r="K2889" s="3">
        <v>12944</v>
      </c>
      <c r="L2889" s="1">
        <v>0</v>
      </c>
      <c r="M2889" s="4">
        <v>0</v>
      </c>
      <c r="N2889" s="1">
        <v>621</v>
      </c>
      <c r="O2889" s="4">
        <v>4.5999999999999999E-2</v>
      </c>
      <c r="P2889" s="1" t="s">
        <v>2721</v>
      </c>
    </row>
    <row r="2890" spans="1:16">
      <c r="A2890" s="1" t="s">
        <v>15</v>
      </c>
      <c r="B2890" s="1">
        <v>11</v>
      </c>
      <c r="C2890" s="1" t="s">
        <v>7099</v>
      </c>
      <c r="D2890" s="1" t="s">
        <v>1457</v>
      </c>
      <c r="E2890" s="2">
        <v>45979</v>
      </c>
      <c r="F2890" s="1" t="s">
        <v>347</v>
      </c>
      <c r="G2890" s="1" t="s">
        <v>1458</v>
      </c>
      <c r="H2890" s="1" t="s">
        <v>7100</v>
      </c>
      <c r="I2890" s="1">
        <v>1</v>
      </c>
      <c r="J2890" s="3">
        <v>24241</v>
      </c>
      <c r="K2890" s="3">
        <v>23131</v>
      </c>
      <c r="L2890" s="1">
        <v>0</v>
      </c>
      <c r="M2890" s="4">
        <v>0</v>
      </c>
      <c r="N2890" s="3">
        <v>1110</v>
      </c>
      <c r="O2890" s="4">
        <v>4.5999999999999999E-2</v>
      </c>
      <c r="P2890" s="1" t="s">
        <v>2721</v>
      </c>
    </row>
    <row r="2891" spans="1:16">
      <c r="A2891" s="1" t="s">
        <v>15</v>
      </c>
      <c r="B2891" s="1">
        <v>11</v>
      </c>
      <c r="C2891" s="1" t="s">
        <v>7101</v>
      </c>
      <c r="D2891" s="1" t="s">
        <v>169</v>
      </c>
      <c r="E2891" s="2">
        <v>45979</v>
      </c>
      <c r="F2891" s="1" t="s">
        <v>53</v>
      </c>
      <c r="G2891" s="1" t="s">
        <v>170</v>
      </c>
      <c r="H2891" s="1" t="s">
        <v>171</v>
      </c>
      <c r="I2891" s="1">
        <v>1</v>
      </c>
      <c r="J2891" s="3">
        <v>14332</v>
      </c>
      <c r="K2891" s="3">
        <v>13676</v>
      </c>
      <c r="L2891" s="1">
        <v>0</v>
      </c>
      <c r="M2891" s="4">
        <v>0</v>
      </c>
      <c r="N2891" s="1">
        <v>656</v>
      </c>
      <c r="O2891" s="4">
        <v>4.5999999999999999E-2</v>
      </c>
      <c r="P2891" s="1" t="s">
        <v>2721</v>
      </c>
    </row>
    <row r="2892" spans="1:16">
      <c r="A2892" s="1" t="s">
        <v>15</v>
      </c>
      <c r="B2892" s="1">
        <v>11</v>
      </c>
      <c r="C2892" s="1" t="s">
        <v>7102</v>
      </c>
      <c r="D2892" s="1" t="s">
        <v>346</v>
      </c>
      <c r="E2892" s="2">
        <v>45979</v>
      </c>
      <c r="F2892" s="1" t="s">
        <v>347</v>
      </c>
      <c r="G2892" s="1" t="s">
        <v>348</v>
      </c>
      <c r="H2892" s="1" t="s">
        <v>1703</v>
      </c>
      <c r="I2892" s="1">
        <v>1</v>
      </c>
      <c r="J2892" s="3">
        <v>18677</v>
      </c>
      <c r="K2892" s="3">
        <v>17822</v>
      </c>
      <c r="L2892" s="1">
        <v>0</v>
      </c>
      <c r="M2892" s="4">
        <v>0</v>
      </c>
      <c r="N2892" s="1">
        <v>855</v>
      </c>
      <c r="O2892" s="4">
        <v>4.5999999999999999E-2</v>
      </c>
      <c r="P2892" s="1" t="s">
        <v>2721</v>
      </c>
    </row>
    <row r="2893" spans="1:16">
      <c r="A2893" s="1" t="s">
        <v>15</v>
      </c>
      <c r="B2893" s="1">
        <v>11</v>
      </c>
      <c r="C2893" s="1" t="s">
        <v>7102</v>
      </c>
      <c r="D2893" s="1" t="s">
        <v>346</v>
      </c>
      <c r="E2893" s="2">
        <v>45979</v>
      </c>
      <c r="F2893" s="1" t="s">
        <v>347</v>
      </c>
      <c r="G2893" s="1" t="s">
        <v>348</v>
      </c>
      <c r="H2893" s="1" t="s">
        <v>3288</v>
      </c>
      <c r="I2893" s="1">
        <v>1</v>
      </c>
      <c r="J2893" s="3">
        <v>20152</v>
      </c>
      <c r="K2893" s="3">
        <v>19229</v>
      </c>
      <c r="L2893" s="1">
        <v>0</v>
      </c>
      <c r="M2893" s="4">
        <v>0</v>
      </c>
      <c r="N2893" s="1">
        <v>923</v>
      </c>
      <c r="O2893" s="4">
        <v>4.5999999999999999E-2</v>
      </c>
      <c r="P2893" s="1" t="s">
        <v>2721</v>
      </c>
    </row>
    <row r="2894" spans="1:16">
      <c r="A2894" s="1" t="s">
        <v>15</v>
      </c>
      <c r="B2894" s="1">
        <v>11</v>
      </c>
      <c r="C2894" s="1" t="s">
        <v>7103</v>
      </c>
      <c r="D2894" s="1" t="s">
        <v>793</v>
      </c>
      <c r="E2894" s="2">
        <v>45979</v>
      </c>
      <c r="F2894" s="1" t="s">
        <v>126</v>
      </c>
      <c r="G2894" s="1" t="s">
        <v>794</v>
      </c>
      <c r="H2894" s="1" t="s">
        <v>3854</v>
      </c>
      <c r="I2894" s="1">
        <v>1</v>
      </c>
      <c r="J2894" s="3">
        <v>18186</v>
      </c>
      <c r="K2894" s="3">
        <v>17353</v>
      </c>
      <c r="L2894" s="1">
        <v>0</v>
      </c>
      <c r="M2894" s="4">
        <v>0</v>
      </c>
      <c r="N2894" s="1">
        <v>833</v>
      </c>
      <c r="O2894" s="4">
        <v>4.5999999999999999E-2</v>
      </c>
      <c r="P2894" s="1" t="s">
        <v>2721</v>
      </c>
    </row>
    <row r="2895" spans="1:16">
      <c r="A2895" s="1" t="s">
        <v>15</v>
      </c>
      <c r="B2895" s="1">
        <v>11</v>
      </c>
      <c r="C2895" s="1" t="s">
        <v>7104</v>
      </c>
      <c r="D2895" s="1" t="s">
        <v>169</v>
      </c>
      <c r="E2895" s="2">
        <v>45979</v>
      </c>
      <c r="F2895" s="1" t="s">
        <v>53</v>
      </c>
      <c r="G2895" s="1" t="s">
        <v>170</v>
      </c>
      <c r="H2895" s="1" t="s">
        <v>171</v>
      </c>
      <c r="I2895" s="1">
        <v>1</v>
      </c>
      <c r="J2895" s="3">
        <v>14332</v>
      </c>
      <c r="K2895" s="3">
        <v>13676</v>
      </c>
      <c r="L2895" s="1">
        <v>0</v>
      </c>
      <c r="M2895" s="4">
        <v>0</v>
      </c>
      <c r="N2895" s="1">
        <v>656</v>
      </c>
      <c r="O2895" s="4">
        <v>4.5999999999999999E-2</v>
      </c>
      <c r="P2895" s="1" t="s">
        <v>2721</v>
      </c>
    </row>
    <row r="2896" spans="1:16">
      <c r="A2896" s="1" t="s">
        <v>15</v>
      </c>
      <c r="B2896" s="1">
        <v>11</v>
      </c>
      <c r="C2896" s="1" t="s">
        <v>7105</v>
      </c>
      <c r="D2896" s="1" t="s">
        <v>777</v>
      </c>
      <c r="E2896" s="2">
        <v>45979</v>
      </c>
      <c r="F2896" s="1" t="s">
        <v>256</v>
      </c>
      <c r="G2896" s="1" t="s">
        <v>778</v>
      </c>
      <c r="H2896" s="1" t="s">
        <v>779</v>
      </c>
      <c r="I2896" s="1">
        <v>1</v>
      </c>
      <c r="J2896" s="3">
        <v>11010</v>
      </c>
      <c r="K2896" s="3">
        <v>10506</v>
      </c>
      <c r="L2896" s="1">
        <v>0</v>
      </c>
      <c r="M2896" s="4">
        <v>0</v>
      </c>
      <c r="N2896" s="1">
        <v>504</v>
      </c>
      <c r="O2896" s="4">
        <v>4.5999999999999999E-2</v>
      </c>
      <c r="P2896" s="1" t="s">
        <v>2721</v>
      </c>
    </row>
    <row r="2897" spans="1:16">
      <c r="A2897" s="1" t="s">
        <v>15</v>
      </c>
      <c r="B2897" s="1">
        <v>11</v>
      </c>
      <c r="C2897" s="1" t="s">
        <v>7106</v>
      </c>
      <c r="D2897" s="1" t="s">
        <v>1452</v>
      </c>
      <c r="E2897" s="2">
        <v>45979</v>
      </c>
      <c r="F2897" s="1" t="s">
        <v>407</v>
      </c>
      <c r="G2897" s="1" t="s">
        <v>1453</v>
      </c>
      <c r="H2897" s="1" t="s">
        <v>1454</v>
      </c>
      <c r="I2897" s="1">
        <v>1</v>
      </c>
      <c r="J2897" s="3">
        <v>10715</v>
      </c>
      <c r="K2897" s="3">
        <v>10224</v>
      </c>
      <c r="L2897" s="1">
        <v>0</v>
      </c>
      <c r="M2897" s="4">
        <v>0</v>
      </c>
      <c r="N2897" s="1">
        <v>491</v>
      </c>
      <c r="O2897" s="4">
        <v>4.5999999999999999E-2</v>
      </c>
      <c r="P2897" s="1" t="s">
        <v>2721</v>
      </c>
    </row>
    <row r="2898" spans="1:16">
      <c r="A2898" s="1" t="s">
        <v>15</v>
      </c>
      <c r="B2898" s="1">
        <v>11</v>
      </c>
      <c r="C2898" s="1" t="s">
        <v>7107</v>
      </c>
      <c r="D2898" s="1" t="s">
        <v>1261</v>
      </c>
      <c r="E2898" s="2">
        <v>45979</v>
      </c>
      <c r="F2898" s="1" t="s">
        <v>33</v>
      </c>
      <c r="G2898" s="1" t="s">
        <v>1262</v>
      </c>
      <c r="H2898" s="1" t="s">
        <v>7108</v>
      </c>
      <c r="I2898" s="1">
        <v>1</v>
      </c>
      <c r="J2898" s="3">
        <v>133637</v>
      </c>
      <c r="K2898" s="3">
        <v>127519</v>
      </c>
      <c r="L2898" s="1">
        <v>0</v>
      </c>
      <c r="M2898" s="4">
        <v>0</v>
      </c>
      <c r="N2898" s="3">
        <v>6118</v>
      </c>
      <c r="O2898" s="4">
        <v>4.5999999999999999E-2</v>
      </c>
      <c r="P2898" s="1" t="s">
        <v>2721</v>
      </c>
    </row>
    <row r="2899" spans="1:16">
      <c r="A2899" s="1" t="s">
        <v>15</v>
      </c>
      <c r="B2899" s="1">
        <v>11</v>
      </c>
      <c r="C2899" s="1" t="s">
        <v>7107</v>
      </c>
      <c r="D2899" s="1" t="s">
        <v>1261</v>
      </c>
      <c r="E2899" s="2">
        <v>45979</v>
      </c>
      <c r="F2899" s="1" t="s">
        <v>33</v>
      </c>
      <c r="G2899" s="1" t="s">
        <v>1262</v>
      </c>
      <c r="H2899" s="1" t="s">
        <v>7109</v>
      </c>
      <c r="I2899" s="1">
        <v>1</v>
      </c>
      <c r="J2899" s="3">
        <v>125810</v>
      </c>
      <c r="K2899" s="3">
        <v>120051</v>
      </c>
      <c r="L2899" s="1">
        <v>0</v>
      </c>
      <c r="M2899" s="4">
        <v>0</v>
      </c>
      <c r="N2899" s="3">
        <v>5759</v>
      </c>
      <c r="O2899" s="4">
        <v>4.5999999999999999E-2</v>
      </c>
      <c r="P2899" s="1" t="s">
        <v>2721</v>
      </c>
    </row>
    <row r="2900" spans="1:16">
      <c r="A2900" s="1" t="s">
        <v>15</v>
      </c>
      <c r="B2900" s="1">
        <v>11</v>
      </c>
      <c r="C2900" s="1" t="s">
        <v>7110</v>
      </c>
      <c r="D2900" s="1" t="s">
        <v>7111</v>
      </c>
      <c r="E2900" s="2">
        <v>45979</v>
      </c>
      <c r="F2900" s="1" t="s">
        <v>33</v>
      </c>
      <c r="G2900" s="1" t="s">
        <v>7112</v>
      </c>
      <c r="H2900" s="1" t="s">
        <v>7113</v>
      </c>
      <c r="I2900" s="1">
        <v>1</v>
      </c>
      <c r="J2900" s="3">
        <v>21720</v>
      </c>
      <c r="K2900" s="3">
        <v>20726</v>
      </c>
      <c r="L2900" s="1">
        <v>0</v>
      </c>
      <c r="M2900" s="4">
        <v>0</v>
      </c>
      <c r="N2900" s="1">
        <v>994</v>
      </c>
      <c r="O2900" s="4">
        <v>4.5999999999999999E-2</v>
      </c>
      <c r="P2900" s="1" t="s">
        <v>2721</v>
      </c>
    </row>
    <row r="2901" spans="1:16">
      <c r="A2901" s="1" t="s">
        <v>15</v>
      </c>
      <c r="B2901" s="1">
        <v>11</v>
      </c>
      <c r="C2901" s="1" t="s">
        <v>7114</v>
      </c>
      <c r="D2901" s="1" t="s">
        <v>5532</v>
      </c>
      <c r="E2901" s="2">
        <v>45979</v>
      </c>
      <c r="F2901" s="1" t="s">
        <v>426</v>
      </c>
      <c r="G2901" s="1" t="s">
        <v>5533</v>
      </c>
      <c r="H2901" s="1" t="s">
        <v>7115</v>
      </c>
      <c r="I2901" s="1">
        <v>1</v>
      </c>
      <c r="J2901" s="3">
        <v>47184</v>
      </c>
      <c r="K2901" s="3">
        <v>45024</v>
      </c>
      <c r="L2901" s="1">
        <v>0</v>
      </c>
      <c r="M2901" s="4">
        <v>0</v>
      </c>
      <c r="N2901" s="3">
        <v>2160</v>
      </c>
      <c r="O2901" s="4">
        <v>4.5999999999999999E-2</v>
      </c>
      <c r="P2901" s="1" t="s">
        <v>2721</v>
      </c>
    </row>
    <row r="2902" spans="1:16">
      <c r="A2902" s="1" t="s">
        <v>15</v>
      </c>
      <c r="B2902" s="1">
        <v>11</v>
      </c>
      <c r="C2902" s="1" t="s">
        <v>7116</v>
      </c>
      <c r="D2902" s="1" t="s">
        <v>862</v>
      </c>
      <c r="E2902" s="2">
        <v>45979</v>
      </c>
      <c r="F2902" s="1" t="s">
        <v>334</v>
      </c>
      <c r="G2902" s="1" t="s">
        <v>863</v>
      </c>
      <c r="H2902" s="1" t="s">
        <v>3206</v>
      </c>
      <c r="I2902" s="1">
        <v>1</v>
      </c>
      <c r="J2902" s="3">
        <v>16220</v>
      </c>
      <c r="K2902" s="3">
        <v>15477</v>
      </c>
      <c r="L2902" s="1">
        <v>0</v>
      </c>
      <c r="M2902" s="4">
        <v>0</v>
      </c>
      <c r="N2902" s="1">
        <v>743</v>
      </c>
      <c r="O2902" s="4">
        <v>4.5999999999999999E-2</v>
      </c>
      <c r="P2902" s="1" t="s">
        <v>2721</v>
      </c>
    </row>
    <row r="2903" spans="1:16">
      <c r="A2903" s="1" t="s">
        <v>15</v>
      </c>
      <c r="B2903" s="1">
        <v>11</v>
      </c>
      <c r="C2903" s="1" t="s">
        <v>7116</v>
      </c>
      <c r="D2903" s="1" t="s">
        <v>862</v>
      </c>
      <c r="E2903" s="2">
        <v>45979</v>
      </c>
      <c r="F2903" s="1" t="s">
        <v>334</v>
      </c>
      <c r="G2903" s="1" t="s">
        <v>863</v>
      </c>
      <c r="H2903" s="1" t="s">
        <v>7117</v>
      </c>
      <c r="I2903" s="1">
        <v>1</v>
      </c>
      <c r="J2903" s="3">
        <v>16220</v>
      </c>
      <c r="K2903" s="3">
        <v>15477</v>
      </c>
      <c r="L2903" s="1">
        <v>0</v>
      </c>
      <c r="M2903" s="4">
        <v>0</v>
      </c>
      <c r="N2903" s="1">
        <v>743</v>
      </c>
      <c r="O2903" s="4">
        <v>4.5999999999999999E-2</v>
      </c>
      <c r="P2903" s="1" t="s">
        <v>2721</v>
      </c>
    </row>
    <row r="2904" spans="1:16">
      <c r="A2904" s="1" t="s">
        <v>15</v>
      </c>
      <c r="B2904" s="1">
        <v>11</v>
      </c>
      <c r="C2904" s="1" t="s">
        <v>7118</v>
      </c>
      <c r="D2904" s="1" t="s">
        <v>80</v>
      </c>
      <c r="E2904" s="2">
        <v>45979</v>
      </c>
      <c r="F2904" s="1" t="s">
        <v>58</v>
      </c>
      <c r="G2904" s="1" t="s">
        <v>81</v>
      </c>
      <c r="H2904" s="1" t="s">
        <v>7119</v>
      </c>
      <c r="I2904" s="1">
        <v>1</v>
      </c>
      <c r="J2904" s="3">
        <v>17301</v>
      </c>
      <c r="K2904" s="3">
        <v>16509</v>
      </c>
      <c r="L2904" s="1">
        <v>0</v>
      </c>
      <c r="M2904" s="4">
        <v>0</v>
      </c>
      <c r="N2904" s="1">
        <v>792</v>
      </c>
      <c r="O2904" s="4">
        <v>4.5999999999999999E-2</v>
      </c>
      <c r="P2904" s="1" t="s">
        <v>2721</v>
      </c>
    </row>
    <row r="2905" spans="1:16">
      <c r="A2905" s="1" t="s">
        <v>15</v>
      </c>
      <c r="B2905" s="1">
        <v>11</v>
      </c>
      <c r="C2905" s="1" t="s">
        <v>7120</v>
      </c>
      <c r="D2905" s="1" t="s">
        <v>260</v>
      </c>
      <c r="E2905" s="2">
        <v>45979</v>
      </c>
      <c r="F2905" s="1" t="s">
        <v>261</v>
      </c>
      <c r="G2905" s="1" t="s">
        <v>262</v>
      </c>
      <c r="H2905" s="1" t="s">
        <v>263</v>
      </c>
      <c r="I2905" s="1">
        <v>1</v>
      </c>
      <c r="J2905" s="3">
        <v>44235</v>
      </c>
      <c r="K2905" s="3">
        <v>42210</v>
      </c>
      <c r="L2905" s="1">
        <v>0</v>
      </c>
      <c r="M2905" s="4">
        <v>0</v>
      </c>
      <c r="N2905" s="3">
        <v>2025</v>
      </c>
      <c r="O2905" s="4">
        <v>4.5999999999999999E-2</v>
      </c>
      <c r="P2905" s="1" t="s">
        <v>2721</v>
      </c>
    </row>
    <row r="2906" spans="1:16">
      <c r="A2906" s="1" t="s">
        <v>15</v>
      </c>
      <c r="B2906" s="1">
        <v>11</v>
      </c>
      <c r="C2906" s="1" t="s">
        <v>7121</v>
      </c>
      <c r="D2906" s="1" t="s">
        <v>52</v>
      </c>
      <c r="E2906" s="2">
        <v>45979</v>
      </c>
      <c r="F2906" s="1" t="s">
        <v>53</v>
      </c>
      <c r="G2906" s="1" t="s">
        <v>54</v>
      </c>
      <c r="H2906" s="1" t="s">
        <v>248</v>
      </c>
      <c r="I2906" s="1">
        <v>1</v>
      </c>
      <c r="J2906" s="3">
        <v>16135</v>
      </c>
      <c r="K2906" s="3">
        <v>15396</v>
      </c>
      <c r="L2906" s="1">
        <v>0</v>
      </c>
      <c r="M2906" s="4">
        <v>0</v>
      </c>
      <c r="N2906" s="1">
        <v>739</v>
      </c>
      <c r="O2906" s="4">
        <v>4.5999999999999999E-2</v>
      </c>
      <c r="P2906" s="1" t="s">
        <v>2721</v>
      </c>
    </row>
    <row r="2907" spans="1:16">
      <c r="A2907" s="1" t="s">
        <v>15</v>
      </c>
      <c r="B2907" s="1">
        <v>11</v>
      </c>
      <c r="C2907" s="1" t="s">
        <v>7121</v>
      </c>
      <c r="D2907" s="1" t="s">
        <v>52</v>
      </c>
      <c r="E2907" s="2">
        <v>45979</v>
      </c>
      <c r="F2907" s="1" t="s">
        <v>53</v>
      </c>
      <c r="G2907" s="1" t="s">
        <v>54</v>
      </c>
      <c r="H2907" s="1" t="s">
        <v>55</v>
      </c>
      <c r="I2907" s="1">
        <v>1</v>
      </c>
      <c r="J2907" s="3">
        <v>16135</v>
      </c>
      <c r="K2907" s="3">
        <v>15396</v>
      </c>
      <c r="L2907" s="1">
        <v>0</v>
      </c>
      <c r="M2907" s="4">
        <v>0</v>
      </c>
      <c r="N2907" s="1">
        <v>739</v>
      </c>
      <c r="O2907" s="4">
        <v>4.5999999999999999E-2</v>
      </c>
      <c r="P2907" s="1" t="s">
        <v>2721</v>
      </c>
    </row>
    <row r="2908" spans="1:16">
      <c r="A2908" s="1" t="s">
        <v>15</v>
      </c>
      <c r="B2908" s="1">
        <v>11</v>
      </c>
      <c r="C2908" s="1" t="s">
        <v>7122</v>
      </c>
      <c r="D2908" s="1" t="s">
        <v>4261</v>
      </c>
      <c r="E2908" s="2">
        <v>45979</v>
      </c>
      <c r="F2908" s="1" t="s">
        <v>1075</v>
      </c>
      <c r="G2908" s="1" t="s">
        <v>4262</v>
      </c>
      <c r="H2908" s="1" t="s">
        <v>7123</v>
      </c>
      <c r="I2908" s="1">
        <v>1</v>
      </c>
      <c r="J2908" s="3">
        <v>20665</v>
      </c>
      <c r="K2908" s="3">
        <v>19719</v>
      </c>
      <c r="L2908" s="1">
        <v>0</v>
      </c>
      <c r="M2908" s="4">
        <v>0</v>
      </c>
      <c r="N2908" s="1">
        <v>946</v>
      </c>
      <c r="O2908" s="4">
        <v>4.5999999999999999E-2</v>
      </c>
      <c r="P2908" s="1" t="s">
        <v>2721</v>
      </c>
    </row>
    <row r="2909" spans="1:16">
      <c r="A2909" s="1" t="s">
        <v>15</v>
      </c>
      <c r="B2909" s="1">
        <v>11</v>
      </c>
      <c r="C2909" s="1" t="s">
        <v>7122</v>
      </c>
      <c r="D2909" s="1" t="s">
        <v>4261</v>
      </c>
      <c r="E2909" s="2">
        <v>45979</v>
      </c>
      <c r="F2909" s="1" t="s">
        <v>1075</v>
      </c>
      <c r="G2909" s="1" t="s">
        <v>4262</v>
      </c>
      <c r="H2909" s="1" t="s">
        <v>7124</v>
      </c>
      <c r="I2909" s="1">
        <v>1</v>
      </c>
      <c r="J2909" s="3">
        <v>20665</v>
      </c>
      <c r="K2909" s="3">
        <v>19719</v>
      </c>
      <c r="L2909" s="1">
        <v>0</v>
      </c>
      <c r="M2909" s="4">
        <v>0</v>
      </c>
      <c r="N2909" s="1">
        <v>946</v>
      </c>
      <c r="O2909" s="4">
        <v>4.5999999999999999E-2</v>
      </c>
      <c r="P2909" s="1" t="s">
        <v>2721</v>
      </c>
    </row>
    <row r="2910" spans="1:16">
      <c r="A2910" s="1" t="s">
        <v>15</v>
      </c>
      <c r="B2910" s="1">
        <v>11</v>
      </c>
      <c r="C2910" s="1" t="s">
        <v>7125</v>
      </c>
      <c r="D2910" s="1" t="s">
        <v>549</v>
      </c>
      <c r="E2910" s="2">
        <v>45979</v>
      </c>
      <c r="F2910" s="1" t="s">
        <v>63</v>
      </c>
      <c r="G2910" s="1" t="s">
        <v>550</v>
      </c>
      <c r="H2910" s="1" t="s">
        <v>551</v>
      </c>
      <c r="I2910" s="1">
        <v>1</v>
      </c>
      <c r="J2910" s="3">
        <v>15422</v>
      </c>
      <c r="K2910" s="3">
        <v>14716</v>
      </c>
      <c r="L2910" s="1">
        <v>0</v>
      </c>
      <c r="M2910" s="4">
        <v>0</v>
      </c>
      <c r="N2910" s="1">
        <v>706</v>
      </c>
      <c r="O2910" s="4">
        <v>4.5999999999999999E-2</v>
      </c>
      <c r="P2910" s="1" t="s">
        <v>2721</v>
      </c>
    </row>
    <row r="2911" spans="1:16">
      <c r="A2911" s="1" t="s">
        <v>15</v>
      </c>
      <c r="B2911" s="1">
        <v>11</v>
      </c>
      <c r="C2911" s="1" t="s">
        <v>7126</v>
      </c>
      <c r="D2911" s="1" t="s">
        <v>32</v>
      </c>
      <c r="E2911" s="2">
        <v>45979</v>
      </c>
      <c r="F2911" s="1" t="s">
        <v>33</v>
      </c>
      <c r="G2911" s="1" t="s">
        <v>34</v>
      </c>
      <c r="H2911" s="1" t="s">
        <v>7127</v>
      </c>
      <c r="I2911" s="1">
        <v>1</v>
      </c>
      <c r="J2911" s="3">
        <v>89650</v>
      </c>
      <c r="K2911" s="3">
        <v>85546</v>
      </c>
      <c r="L2911" s="1">
        <v>0</v>
      </c>
      <c r="M2911" s="4">
        <v>0</v>
      </c>
      <c r="N2911" s="3">
        <v>4104</v>
      </c>
      <c r="O2911" s="4">
        <v>4.5999999999999999E-2</v>
      </c>
      <c r="P2911" s="1" t="s">
        <v>2721</v>
      </c>
    </row>
    <row r="2912" spans="1:16">
      <c r="A2912" s="1" t="s">
        <v>15</v>
      </c>
      <c r="B2912" s="1">
        <v>11</v>
      </c>
      <c r="C2912" s="1" t="s">
        <v>7128</v>
      </c>
      <c r="D2912" s="1" t="s">
        <v>32</v>
      </c>
      <c r="E2912" s="2">
        <v>45979</v>
      </c>
      <c r="F2912" s="1" t="s">
        <v>33</v>
      </c>
      <c r="G2912" s="1" t="s">
        <v>34</v>
      </c>
      <c r="H2912" s="1" t="s">
        <v>7129</v>
      </c>
      <c r="I2912" s="1">
        <v>1</v>
      </c>
      <c r="J2912" s="3">
        <v>102549</v>
      </c>
      <c r="K2912" s="3">
        <v>97854</v>
      </c>
      <c r="L2912" s="1">
        <v>0</v>
      </c>
      <c r="M2912" s="4">
        <v>0</v>
      </c>
      <c r="N2912" s="3">
        <v>4695</v>
      </c>
      <c r="O2912" s="4">
        <v>4.5999999999999999E-2</v>
      </c>
      <c r="P2912" s="1" t="s">
        <v>2721</v>
      </c>
    </row>
    <row r="2913" spans="1:16">
      <c r="A2913" s="1" t="s">
        <v>15</v>
      </c>
      <c r="B2913" s="1">
        <v>11</v>
      </c>
      <c r="C2913" s="1" t="s">
        <v>7130</v>
      </c>
      <c r="D2913" s="1" t="s">
        <v>1355</v>
      </c>
      <c r="E2913" s="2">
        <v>45979</v>
      </c>
      <c r="F2913" s="1" t="s">
        <v>256</v>
      </c>
      <c r="G2913" s="1" t="s">
        <v>1356</v>
      </c>
      <c r="H2913" s="1" t="s">
        <v>4639</v>
      </c>
      <c r="I2913" s="1">
        <v>1</v>
      </c>
      <c r="J2913" s="3">
        <v>13676</v>
      </c>
      <c r="K2913" s="3">
        <v>13050</v>
      </c>
      <c r="L2913" s="1">
        <v>0</v>
      </c>
      <c r="M2913" s="4">
        <v>0</v>
      </c>
      <c r="N2913" s="1">
        <v>626</v>
      </c>
      <c r="O2913" s="4">
        <v>4.5999999999999999E-2</v>
      </c>
      <c r="P2913" s="1" t="s">
        <v>2721</v>
      </c>
    </row>
    <row r="2914" spans="1:16">
      <c r="A2914" s="1" t="s">
        <v>15</v>
      </c>
      <c r="B2914" s="1">
        <v>11</v>
      </c>
      <c r="C2914" s="1" t="s">
        <v>7131</v>
      </c>
      <c r="D2914" s="1" t="s">
        <v>411</v>
      </c>
      <c r="E2914" s="2">
        <v>45979</v>
      </c>
      <c r="F2914" s="1" t="s">
        <v>312</v>
      </c>
      <c r="G2914" s="1" t="s">
        <v>412</v>
      </c>
      <c r="H2914" s="1" t="s">
        <v>7132</v>
      </c>
      <c r="I2914" s="1">
        <v>1</v>
      </c>
      <c r="J2914" s="3">
        <v>24575</v>
      </c>
      <c r="K2914" s="3">
        <v>23450</v>
      </c>
      <c r="L2914" s="1">
        <v>0</v>
      </c>
      <c r="M2914" s="4">
        <v>0</v>
      </c>
      <c r="N2914" s="3">
        <v>1125</v>
      </c>
      <c r="O2914" s="4">
        <v>4.5999999999999999E-2</v>
      </c>
      <c r="P2914" s="1" t="s">
        <v>2721</v>
      </c>
    </row>
    <row r="2915" spans="1:16">
      <c r="A2915" s="1" t="s">
        <v>15</v>
      </c>
      <c r="B2915" s="1">
        <v>11</v>
      </c>
      <c r="C2915" s="1" t="s">
        <v>7133</v>
      </c>
      <c r="D2915" s="1" t="s">
        <v>482</v>
      </c>
      <c r="E2915" s="2">
        <v>45979</v>
      </c>
      <c r="F2915" s="1" t="s">
        <v>483</v>
      </c>
      <c r="G2915" s="1" t="s">
        <v>484</v>
      </c>
      <c r="H2915" s="1" t="s">
        <v>860</v>
      </c>
      <c r="I2915" s="1">
        <v>1</v>
      </c>
      <c r="J2915" s="3">
        <v>27426</v>
      </c>
      <c r="K2915" s="3">
        <v>26170</v>
      </c>
      <c r="L2915" s="1">
        <v>0</v>
      </c>
      <c r="M2915" s="4">
        <v>0</v>
      </c>
      <c r="N2915" s="3">
        <v>1256</v>
      </c>
      <c r="O2915" s="4">
        <v>4.5999999999999999E-2</v>
      </c>
      <c r="P2915" s="1" t="s">
        <v>2721</v>
      </c>
    </row>
    <row r="2916" spans="1:16">
      <c r="A2916" s="1" t="s">
        <v>15</v>
      </c>
      <c r="B2916" s="1">
        <v>11</v>
      </c>
      <c r="C2916" s="1" t="s">
        <v>7134</v>
      </c>
      <c r="D2916" s="1" t="s">
        <v>7135</v>
      </c>
      <c r="E2916" s="2">
        <v>45979</v>
      </c>
      <c r="F2916" s="1" t="s">
        <v>68</v>
      </c>
      <c r="G2916" s="1" t="s">
        <v>7136</v>
      </c>
      <c r="H2916" s="1" t="s">
        <v>7137</v>
      </c>
      <c r="I2916" s="1">
        <v>1</v>
      </c>
      <c r="J2916" s="3">
        <v>28310</v>
      </c>
      <c r="K2916" s="3">
        <v>27014</v>
      </c>
      <c r="L2916" s="1">
        <v>0</v>
      </c>
      <c r="M2916" s="4">
        <v>0</v>
      </c>
      <c r="N2916" s="3">
        <v>1296</v>
      </c>
      <c r="O2916" s="4">
        <v>4.5999999999999999E-2</v>
      </c>
      <c r="P2916" s="1" t="s">
        <v>2721</v>
      </c>
    </row>
    <row r="2917" spans="1:16">
      <c r="A2917" s="1" t="s">
        <v>15</v>
      </c>
      <c r="B2917" s="1">
        <v>11</v>
      </c>
      <c r="C2917" s="1" t="s">
        <v>7138</v>
      </c>
      <c r="D2917" s="1" t="s">
        <v>169</v>
      </c>
      <c r="E2917" s="2">
        <v>45979</v>
      </c>
      <c r="F2917" s="1" t="s">
        <v>53</v>
      </c>
      <c r="G2917" s="1" t="s">
        <v>170</v>
      </c>
      <c r="H2917" s="1" t="s">
        <v>171</v>
      </c>
      <c r="I2917" s="1">
        <v>1</v>
      </c>
      <c r="J2917" s="3">
        <v>14332</v>
      </c>
      <c r="K2917" s="3">
        <v>13676</v>
      </c>
      <c r="L2917" s="1">
        <v>0</v>
      </c>
      <c r="M2917" s="4">
        <v>0</v>
      </c>
      <c r="N2917" s="1">
        <v>656</v>
      </c>
      <c r="O2917" s="4">
        <v>4.5999999999999999E-2</v>
      </c>
      <c r="P2917" s="1" t="s">
        <v>2721</v>
      </c>
    </row>
    <row r="2918" spans="1:16">
      <c r="A2918" s="1" t="s">
        <v>15</v>
      </c>
      <c r="B2918" s="1">
        <v>11</v>
      </c>
      <c r="C2918" s="1" t="s">
        <v>7139</v>
      </c>
      <c r="D2918" s="1" t="s">
        <v>569</v>
      </c>
      <c r="E2918" s="2">
        <v>45979</v>
      </c>
      <c r="F2918" s="1" t="s">
        <v>570</v>
      </c>
      <c r="G2918" s="1" t="s">
        <v>571</v>
      </c>
      <c r="H2918" s="1" t="s">
        <v>572</v>
      </c>
      <c r="I2918" s="1">
        <v>1</v>
      </c>
      <c r="J2918" s="3">
        <v>19660</v>
      </c>
      <c r="K2918" s="3">
        <v>18760</v>
      </c>
      <c r="L2918" s="1">
        <v>0</v>
      </c>
      <c r="M2918" s="4">
        <v>0</v>
      </c>
      <c r="N2918" s="1">
        <v>900</v>
      </c>
      <c r="O2918" s="4">
        <v>4.5999999999999999E-2</v>
      </c>
      <c r="P2918" s="1" t="s">
        <v>2721</v>
      </c>
    </row>
    <row r="2919" spans="1:16">
      <c r="A2919" s="1" t="s">
        <v>15</v>
      </c>
      <c r="B2919" s="1">
        <v>11</v>
      </c>
      <c r="C2919" s="1" t="s">
        <v>7140</v>
      </c>
      <c r="D2919" s="1" t="s">
        <v>558</v>
      </c>
      <c r="E2919" s="2">
        <v>45979</v>
      </c>
      <c r="F2919" s="1" t="s">
        <v>256</v>
      </c>
      <c r="G2919" s="1" t="s">
        <v>559</v>
      </c>
      <c r="H2919" s="1" t="s">
        <v>4418</v>
      </c>
      <c r="I2919" s="1">
        <v>1</v>
      </c>
      <c r="J2919" s="3">
        <v>9339</v>
      </c>
      <c r="K2919" s="3">
        <v>8911</v>
      </c>
      <c r="L2919" s="1">
        <v>0</v>
      </c>
      <c r="M2919" s="4">
        <v>0</v>
      </c>
      <c r="N2919" s="1">
        <v>428</v>
      </c>
      <c r="O2919" s="4">
        <v>4.5999999999999999E-2</v>
      </c>
      <c r="P2919" s="1" t="s">
        <v>2721</v>
      </c>
    </row>
    <row r="2920" spans="1:16">
      <c r="A2920" s="1" t="s">
        <v>15</v>
      </c>
      <c r="B2920" s="1">
        <v>11</v>
      </c>
      <c r="C2920" s="1" t="s">
        <v>7141</v>
      </c>
      <c r="D2920" s="1" t="s">
        <v>17</v>
      </c>
      <c r="E2920" s="2">
        <v>45979</v>
      </c>
      <c r="F2920" s="1" t="s">
        <v>18</v>
      </c>
      <c r="G2920" s="1" t="s">
        <v>19</v>
      </c>
      <c r="H2920" s="1" t="s">
        <v>2787</v>
      </c>
      <c r="I2920" s="1">
        <v>1</v>
      </c>
      <c r="J2920" s="3">
        <v>7166</v>
      </c>
      <c r="K2920" s="3">
        <v>6838</v>
      </c>
      <c r="L2920" s="1">
        <v>0</v>
      </c>
      <c r="M2920" s="4">
        <v>0</v>
      </c>
      <c r="N2920" s="1">
        <v>328</v>
      </c>
      <c r="O2920" s="4">
        <v>4.5999999999999999E-2</v>
      </c>
      <c r="P2920" s="1" t="s">
        <v>2721</v>
      </c>
    </row>
    <row r="2921" spans="1:16">
      <c r="A2921" s="1" t="s">
        <v>15</v>
      </c>
      <c r="B2921" s="1">
        <v>11</v>
      </c>
      <c r="C2921" s="1" t="s">
        <v>7142</v>
      </c>
      <c r="D2921" s="1" t="s">
        <v>32</v>
      </c>
      <c r="E2921" s="2">
        <v>45979</v>
      </c>
      <c r="F2921" s="1" t="s">
        <v>33</v>
      </c>
      <c r="G2921" s="1" t="s">
        <v>34</v>
      </c>
      <c r="H2921" s="1" t="s">
        <v>7143</v>
      </c>
      <c r="I2921" s="1">
        <v>1</v>
      </c>
      <c r="J2921" s="3">
        <v>116467</v>
      </c>
      <c r="K2921" s="3">
        <v>111135</v>
      </c>
      <c r="L2921" s="1">
        <v>0</v>
      </c>
      <c r="M2921" s="4">
        <v>0</v>
      </c>
      <c r="N2921" s="3">
        <v>5332</v>
      </c>
      <c r="O2921" s="4">
        <v>4.5999999999999999E-2</v>
      </c>
      <c r="P2921" s="1" t="s">
        <v>2721</v>
      </c>
    </row>
    <row r="2922" spans="1:16">
      <c r="A2922" s="1" t="s">
        <v>15</v>
      </c>
      <c r="B2922" s="1">
        <v>11</v>
      </c>
      <c r="C2922" s="1" t="s">
        <v>7144</v>
      </c>
      <c r="D2922" s="1" t="s">
        <v>52</v>
      </c>
      <c r="E2922" s="2">
        <v>45979</v>
      </c>
      <c r="F2922" s="1" t="s">
        <v>53</v>
      </c>
      <c r="G2922" s="1" t="s">
        <v>54</v>
      </c>
      <c r="H2922" s="1" t="s">
        <v>55</v>
      </c>
      <c r="I2922" s="1">
        <v>1</v>
      </c>
      <c r="J2922" s="3">
        <v>16135</v>
      </c>
      <c r="K2922" s="3">
        <v>15396</v>
      </c>
      <c r="L2922" s="1">
        <v>0</v>
      </c>
      <c r="M2922" s="4">
        <v>0</v>
      </c>
      <c r="N2922" s="1">
        <v>739</v>
      </c>
      <c r="O2922" s="4">
        <v>4.5999999999999999E-2</v>
      </c>
      <c r="P2922" s="1" t="s">
        <v>2721</v>
      </c>
    </row>
    <row r="2923" spans="1:16">
      <c r="A2923" s="1" t="s">
        <v>15</v>
      </c>
      <c r="B2923" s="1">
        <v>11</v>
      </c>
      <c r="C2923" s="1" t="s">
        <v>7145</v>
      </c>
      <c r="D2923" s="1" t="s">
        <v>132</v>
      </c>
      <c r="E2923" s="2">
        <v>45979</v>
      </c>
      <c r="F2923" s="1" t="s">
        <v>53</v>
      </c>
      <c r="G2923" s="1" t="s">
        <v>133</v>
      </c>
      <c r="H2923" s="1" t="s">
        <v>88</v>
      </c>
      <c r="I2923" s="1">
        <v>1</v>
      </c>
      <c r="J2923" s="3">
        <v>17036</v>
      </c>
      <c r="K2923" s="3">
        <v>16256</v>
      </c>
      <c r="L2923" s="1">
        <v>0</v>
      </c>
      <c r="M2923" s="4">
        <v>0</v>
      </c>
      <c r="N2923" s="1">
        <v>780</v>
      </c>
      <c r="O2923" s="4">
        <v>4.5999999999999999E-2</v>
      </c>
      <c r="P2923" s="1" t="s">
        <v>2721</v>
      </c>
    </row>
    <row r="2924" spans="1:16">
      <c r="A2924" s="1" t="s">
        <v>15</v>
      </c>
      <c r="B2924" s="1">
        <v>11</v>
      </c>
      <c r="C2924" s="1" t="s">
        <v>7146</v>
      </c>
      <c r="D2924" s="1" t="s">
        <v>212</v>
      </c>
      <c r="E2924" s="2">
        <v>45979</v>
      </c>
      <c r="F2924" s="1" t="s">
        <v>213</v>
      </c>
      <c r="G2924" s="1" t="s">
        <v>214</v>
      </c>
      <c r="H2924" s="1" t="s">
        <v>215</v>
      </c>
      <c r="I2924" s="1">
        <v>1</v>
      </c>
      <c r="J2924" s="3">
        <v>16220</v>
      </c>
      <c r="K2924" s="3">
        <v>15477</v>
      </c>
      <c r="L2924" s="1">
        <v>0</v>
      </c>
      <c r="M2924" s="4">
        <v>0</v>
      </c>
      <c r="N2924" s="1">
        <v>743</v>
      </c>
      <c r="O2924" s="4">
        <v>4.5999999999999999E-2</v>
      </c>
      <c r="P2924" s="1" t="s">
        <v>2721</v>
      </c>
    </row>
    <row r="2925" spans="1:16">
      <c r="A2925" s="1" t="s">
        <v>15</v>
      </c>
      <c r="B2925" s="1">
        <v>11</v>
      </c>
      <c r="C2925" s="1" t="s">
        <v>7147</v>
      </c>
      <c r="D2925" s="1" t="s">
        <v>238</v>
      </c>
      <c r="E2925" s="2">
        <v>45979</v>
      </c>
      <c r="F2925" s="1" t="s">
        <v>239</v>
      </c>
      <c r="G2925" s="1" t="s">
        <v>240</v>
      </c>
      <c r="H2925" s="1" t="s">
        <v>241</v>
      </c>
      <c r="I2925" s="1">
        <v>1</v>
      </c>
      <c r="J2925" s="3">
        <v>11305</v>
      </c>
      <c r="K2925" s="3">
        <v>10787</v>
      </c>
      <c r="L2925" s="1">
        <v>0</v>
      </c>
      <c r="M2925" s="4">
        <v>0</v>
      </c>
      <c r="N2925" s="1">
        <v>518</v>
      </c>
      <c r="O2925" s="4">
        <v>4.5999999999999999E-2</v>
      </c>
      <c r="P2925" s="1" t="s">
        <v>2721</v>
      </c>
    </row>
    <row r="2926" spans="1:16">
      <c r="A2926" s="1" t="s">
        <v>15</v>
      </c>
      <c r="B2926" s="1">
        <v>11</v>
      </c>
      <c r="C2926" s="1" t="s">
        <v>7148</v>
      </c>
      <c r="D2926" s="1" t="s">
        <v>818</v>
      </c>
      <c r="E2926" s="2">
        <v>45979</v>
      </c>
      <c r="F2926" s="1" t="s">
        <v>235</v>
      </c>
      <c r="G2926" s="1" t="s">
        <v>819</v>
      </c>
      <c r="H2926" s="1" t="s">
        <v>822</v>
      </c>
      <c r="I2926" s="1">
        <v>1</v>
      </c>
      <c r="J2926" s="3">
        <v>8061</v>
      </c>
      <c r="K2926" s="3">
        <v>7692</v>
      </c>
      <c r="L2926" s="1">
        <v>0</v>
      </c>
      <c r="M2926" s="4">
        <v>0</v>
      </c>
      <c r="N2926" s="1">
        <v>369</v>
      </c>
      <c r="O2926" s="4">
        <v>4.5999999999999999E-2</v>
      </c>
      <c r="P2926" s="1" t="s">
        <v>2721</v>
      </c>
    </row>
    <row r="2927" spans="1:16">
      <c r="A2927" s="1" t="s">
        <v>15</v>
      </c>
      <c r="B2927" s="1">
        <v>11</v>
      </c>
      <c r="C2927" s="1" t="s">
        <v>7149</v>
      </c>
      <c r="D2927" s="1" t="s">
        <v>1410</v>
      </c>
      <c r="E2927" s="2">
        <v>45979</v>
      </c>
      <c r="F2927" s="1" t="s">
        <v>1411</v>
      </c>
      <c r="G2927" s="1" t="s">
        <v>1412</v>
      </c>
      <c r="H2927" s="1" t="s">
        <v>1413</v>
      </c>
      <c r="I2927" s="1">
        <v>1</v>
      </c>
      <c r="J2927" s="3">
        <v>15214</v>
      </c>
      <c r="K2927" s="3">
        <v>14517</v>
      </c>
      <c r="L2927" s="1">
        <v>0</v>
      </c>
      <c r="M2927" s="4">
        <v>0</v>
      </c>
      <c r="N2927" s="1">
        <v>697</v>
      </c>
      <c r="O2927" s="4">
        <v>4.5999999999999999E-2</v>
      </c>
      <c r="P2927" s="1" t="s">
        <v>2721</v>
      </c>
    </row>
    <row r="2928" spans="1:16">
      <c r="A2928" s="1" t="s">
        <v>15</v>
      </c>
      <c r="B2928" s="1">
        <v>11</v>
      </c>
      <c r="C2928" s="1" t="s">
        <v>7150</v>
      </c>
      <c r="D2928" s="1" t="s">
        <v>7151</v>
      </c>
      <c r="E2928" s="2">
        <v>45979</v>
      </c>
      <c r="F2928" s="1" t="s">
        <v>524</v>
      </c>
      <c r="G2928" s="1" t="s">
        <v>7152</v>
      </c>
      <c r="H2928" s="1" t="s">
        <v>7153</v>
      </c>
      <c r="I2928" s="1">
        <v>1</v>
      </c>
      <c r="J2928" s="3">
        <v>25298</v>
      </c>
      <c r="K2928" s="3">
        <v>24140</v>
      </c>
      <c r="L2928" s="1">
        <v>0</v>
      </c>
      <c r="M2928" s="4">
        <v>0</v>
      </c>
      <c r="N2928" s="3">
        <v>1158</v>
      </c>
      <c r="O2928" s="4">
        <v>4.5999999999999999E-2</v>
      </c>
      <c r="P2928" s="1" t="s">
        <v>2721</v>
      </c>
    </row>
    <row r="2929" spans="1:16">
      <c r="A2929" s="1" t="s">
        <v>15</v>
      </c>
      <c r="B2929" s="1">
        <v>11</v>
      </c>
      <c r="C2929" s="1" t="s">
        <v>7154</v>
      </c>
      <c r="D2929" s="1" t="s">
        <v>3592</v>
      </c>
      <c r="E2929" s="2">
        <v>45979</v>
      </c>
      <c r="F2929" s="1" t="s">
        <v>261</v>
      </c>
      <c r="G2929" s="1" t="s">
        <v>3593</v>
      </c>
      <c r="H2929" s="1" t="s">
        <v>3593</v>
      </c>
      <c r="I2929" s="1">
        <v>1</v>
      </c>
      <c r="J2929" s="3">
        <v>70776</v>
      </c>
      <c r="K2929" s="3">
        <v>67536</v>
      </c>
      <c r="L2929" s="1">
        <v>0</v>
      </c>
      <c r="M2929" s="4">
        <v>0</v>
      </c>
      <c r="N2929" s="3">
        <v>3240</v>
      </c>
      <c r="O2929" s="4">
        <v>4.5999999999999999E-2</v>
      </c>
      <c r="P2929" s="1" t="s">
        <v>2721</v>
      </c>
    </row>
    <row r="2930" spans="1:16">
      <c r="A2930" s="1" t="s">
        <v>15</v>
      </c>
      <c r="B2930" s="1">
        <v>11</v>
      </c>
      <c r="C2930" s="1" t="s">
        <v>7155</v>
      </c>
      <c r="D2930" s="1" t="s">
        <v>375</v>
      </c>
      <c r="E2930" s="2">
        <v>45979</v>
      </c>
      <c r="F2930" s="1" t="s">
        <v>96</v>
      </c>
      <c r="G2930" s="1" t="s">
        <v>376</v>
      </c>
      <c r="H2930" s="1" t="s">
        <v>377</v>
      </c>
      <c r="I2930" s="1">
        <v>1</v>
      </c>
      <c r="J2930" s="3">
        <v>10762</v>
      </c>
      <c r="K2930" s="3">
        <v>10269</v>
      </c>
      <c r="L2930" s="1">
        <v>0</v>
      </c>
      <c r="M2930" s="4">
        <v>0</v>
      </c>
      <c r="N2930" s="1">
        <v>493</v>
      </c>
      <c r="O2930" s="4">
        <v>4.5999999999999999E-2</v>
      </c>
      <c r="P2930" s="1" t="s">
        <v>2721</v>
      </c>
    </row>
    <row r="2931" spans="1:16">
      <c r="A2931" s="1" t="s">
        <v>15</v>
      </c>
      <c r="B2931" s="1">
        <v>11</v>
      </c>
      <c r="C2931" s="1" t="s">
        <v>7156</v>
      </c>
      <c r="D2931" s="1" t="s">
        <v>1346</v>
      </c>
      <c r="E2931" s="2">
        <v>45979</v>
      </c>
      <c r="F2931" s="1" t="s">
        <v>317</v>
      </c>
      <c r="G2931" s="1" t="s">
        <v>1347</v>
      </c>
      <c r="H2931" s="1" t="s">
        <v>1348</v>
      </c>
      <c r="I2931" s="1">
        <v>1</v>
      </c>
      <c r="J2931" s="3">
        <v>32439</v>
      </c>
      <c r="K2931" s="3">
        <v>30954</v>
      </c>
      <c r="L2931" s="1">
        <v>0</v>
      </c>
      <c r="M2931" s="4">
        <v>0</v>
      </c>
      <c r="N2931" s="3">
        <v>1485</v>
      </c>
      <c r="O2931" s="4">
        <v>4.5999999999999999E-2</v>
      </c>
      <c r="P2931" s="1" t="s">
        <v>2721</v>
      </c>
    </row>
    <row r="2932" spans="1:16">
      <c r="A2932" s="1" t="s">
        <v>15</v>
      </c>
      <c r="B2932" s="1">
        <v>11</v>
      </c>
      <c r="C2932" s="1" t="s">
        <v>7157</v>
      </c>
      <c r="D2932" s="1" t="s">
        <v>1452</v>
      </c>
      <c r="E2932" s="2">
        <v>45979</v>
      </c>
      <c r="F2932" s="1" t="s">
        <v>407</v>
      </c>
      <c r="G2932" s="1" t="s">
        <v>1453</v>
      </c>
      <c r="H2932" s="1" t="s">
        <v>1474</v>
      </c>
      <c r="I2932" s="1">
        <v>1</v>
      </c>
      <c r="J2932" s="3">
        <v>11305</v>
      </c>
      <c r="K2932" s="3">
        <v>10787</v>
      </c>
      <c r="L2932" s="1">
        <v>0</v>
      </c>
      <c r="M2932" s="4">
        <v>0</v>
      </c>
      <c r="N2932" s="1">
        <v>518</v>
      </c>
      <c r="O2932" s="4">
        <v>4.5999999999999999E-2</v>
      </c>
      <c r="P2932" s="1" t="s">
        <v>2721</v>
      </c>
    </row>
    <row r="2933" spans="1:16">
      <c r="A2933" s="1" t="s">
        <v>15</v>
      </c>
      <c r="B2933" s="1">
        <v>11</v>
      </c>
      <c r="C2933" s="1" t="s">
        <v>7157</v>
      </c>
      <c r="D2933" s="1" t="s">
        <v>406</v>
      </c>
      <c r="E2933" s="2">
        <v>45979</v>
      </c>
      <c r="F2933" s="1" t="s">
        <v>407</v>
      </c>
      <c r="G2933" s="1" t="s">
        <v>408</v>
      </c>
      <c r="H2933" s="1" t="s">
        <v>409</v>
      </c>
      <c r="I2933" s="1">
        <v>1</v>
      </c>
      <c r="J2933" s="3">
        <v>10715</v>
      </c>
      <c r="K2933" s="3">
        <v>10224</v>
      </c>
      <c r="L2933" s="1">
        <v>0</v>
      </c>
      <c r="M2933" s="4">
        <v>0</v>
      </c>
      <c r="N2933" s="1">
        <v>491</v>
      </c>
      <c r="O2933" s="4">
        <v>4.5999999999999999E-2</v>
      </c>
      <c r="P2933" s="1" t="s">
        <v>2721</v>
      </c>
    </row>
    <row r="2934" spans="1:16">
      <c r="A2934" s="1" t="s">
        <v>15</v>
      </c>
      <c r="B2934" s="1">
        <v>11</v>
      </c>
      <c r="C2934" s="1" t="s">
        <v>7158</v>
      </c>
      <c r="D2934" s="1" t="s">
        <v>3302</v>
      </c>
      <c r="E2934" s="2">
        <v>45979</v>
      </c>
      <c r="F2934" s="1" t="s">
        <v>3303</v>
      </c>
      <c r="G2934" s="1" t="s">
        <v>3304</v>
      </c>
      <c r="H2934" s="1" t="s">
        <v>3305</v>
      </c>
      <c r="I2934" s="1">
        <v>2</v>
      </c>
      <c r="J2934" s="3">
        <v>32439</v>
      </c>
      <c r="K2934" s="3">
        <v>30954</v>
      </c>
      <c r="L2934" s="1">
        <v>0</v>
      </c>
      <c r="M2934" s="4">
        <v>0</v>
      </c>
      <c r="N2934" s="3">
        <v>1485</v>
      </c>
      <c r="O2934" s="4">
        <v>4.5999999999999999E-2</v>
      </c>
      <c r="P2934" s="1" t="s">
        <v>2721</v>
      </c>
    </row>
    <row r="2935" spans="1:16">
      <c r="A2935" s="1" t="s">
        <v>15</v>
      </c>
      <c r="B2935" s="1">
        <v>11</v>
      </c>
      <c r="C2935" s="1" t="s">
        <v>7159</v>
      </c>
      <c r="D2935" s="1" t="s">
        <v>238</v>
      </c>
      <c r="E2935" s="2">
        <v>45979</v>
      </c>
      <c r="F2935" s="1" t="s">
        <v>239</v>
      </c>
      <c r="G2935" s="1" t="s">
        <v>240</v>
      </c>
      <c r="H2935" s="1" t="s">
        <v>241</v>
      </c>
      <c r="I2935" s="1">
        <v>1</v>
      </c>
      <c r="J2935" s="3">
        <v>11305</v>
      </c>
      <c r="K2935" s="3">
        <v>10787</v>
      </c>
      <c r="L2935" s="1">
        <v>0</v>
      </c>
      <c r="M2935" s="4">
        <v>0</v>
      </c>
      <c r="N2935" s="1">
        <v>518</v>
      </c>
      <c r="O2935" s="4">
        <v>4.5999999999999999E-2</v>
      </c>
      <c r="P2935" s="1" t="s">
        <v>2721</v>
      </c>
    </row>
    <row r="2936" spans="1:16">
      <c r="A2936" s="1" t="s">
        <v>15</v>
      </c>
      <c r="B2936" s="1">
        <v>11</v>
      </c>
      <c r="C2936" s="1" t="s">
        <v>7160</v>
      </c>
      <c r="D2936" s="1" t="s">
        <v>52</v>
      </c>
      <c r="E2936" s="2">
        <v>45979</v>
      </c>
      <c r="F2936" s="1" t="s">
        <v>53</v>
      </c>
      <c r="G2936" s="1" t="s">
        <v>54</v>
      </c>
      <c r="H2936" s="1" t="s">
        <v>55</v>
      </c>
      <c r="I2936" s="1">
        <v>1</v>
      </c>
      <c r="J2936" s="3">
        <v>16135</v>
      </c>
      <c r="K2936" s="3">
        <v>15396</v>
      </c>
      <c r="L2936" s="1">
        <v>0</v>
      </c>
      <c r="M2936" s="4">
        <v>0</v>
      </c>
      <c r="N2936" s="1">
        <v>739</v>
      </c>
      <c r="O2936" s="4">
        <v>4.5999999999999999E-2</v>
      </c>
      <c r="P2936" s="1" t="s">
        <v>2721</v>
      </c>
    </row>
    <row r="2937" spans="1:16">
      <c r="A2937" s="1" t="s">
        <v>15</v>
      </c>
      <c r="B2937" s="1">
        <v>11</v>
      </c>
      <c r="C2937" s="1" t="s">
        <v>7160</v>
      </c>
      <c r="D2937" s="1" t="s">
        <v>52</v>
      </c>
      <c r="E2937" s="2">
        <v>45979</v>
      </c>
      <c r="F2937" s="1" t="s">
        <v>53</v>
      </c>
      <c r="G2937" s="1" t="s">
        <v>54</v>
      </c>
      <c r="H2937" s="1" t="s">
        <v>248</v>
      </c>
      <c r="I2937" s="1">
        <v>1</v>
      </c>
      <c r="J2937" s="3">
        <v>16135</v>
      </c>
      <c r="K2937" s="3">
        <v>15396</v>
      </c>
      <c r="L2937" s="1">
        <v>0</v>
      </c>
      <c r="M2937" s="4">
        <v>0</v>
      </c>
      <c r="N2937" s="1">
        <v>739</v>
      </c>
      <c r="O2937" s="4">
        <v>4.5999999999999999E-2</v>
      </c>
      <c r="P2937" s="1" t="s">
        <v>2721</v>
      </c>
    </row>
    <row r="2938" spans="1:16">
      <c r="A2938" s="1" t="s">
        <v>15</v>
      </c>
      <c r="B2938" s="1">
        <v>11</v>
      </c>
      <c r="C2938" s="1" t="s">
        <v>7161</v>
      </c>
      <c r="D2938" s="1" t="s">
        <v>132</v>
      </c>
      <c r="E2938" s="2">
        <v>45979</v>
      </c>
      <c r="F2938" s="1" t="s">
        <v>53</v>
      </c>
      <c r="G2938" s="1" t="s">
        <v>133</v>
      </c>
      <c r="H2938" s="1" t="s">
        <v>88</v>
      </c>
      <c r="I2938" s="1">
        <v>1</v>
      </c>
      <c r="J2938" s="3">
        <v>17036</v>
      </c>
      <c r="K2938" s="3">
        <v>16256</v>
      </c>
      <c r="L2938" s="1">
        <v>0</v>
      </c>
      <c r="M2938" s="4">
        <v>0</v>
      </c>
      <c r="N2938" s="1">
        <v>780</v>
      </c>
      <c r="O2938" s="4">
        <v>4.5999999999999999E-2</v>
      </c>
      <c r="P2938" s="1" t="s">
        <v>2721</v>
      </c>
    </row>
    <row r="2939" spans="1:16">
      <c r="A2939" s="1" t="s">
        <v>15</v>
      </c>
      <c r="B2939" s="1">
        <v>11</v>
      </c>
      <c r="C2939" s="1" t="s">
        <v>7162</v>
      </c>
      <c r="D2939" s="1" t="s">
        <v>2764</v>
      </c>
      <c r="E2939" s="2">
        <v>45979</v>
      </c>
      <c r="F2939" s="1" t="s">
        <v>53</v>
      </c>
      <c r="G2939" s="1" t="s">
        <v>2765</v>
      </c>
      <c r="H2939" s="1" t="s">
        <v>3611</v>
      </c>
      <c r="I2939" s="1">
        <v>1</v>
      </c>
      <c r="J2939" s="3">
        <v>17938</v>
      </c>
      <c r="K2939" s="3">
        <v>17117</v>
      </c>
      <c r="L2939" s="1">
        <v>0</v>
      </c>
      <c r="M2939" s="4">
        <v>0</v>
      </c>
      <c r="N2939" s="1">
        <v>821</v>
      </c>
      <c r="O2939" s="4">
        <v>4.5999999999999999E-2</v>
      </c>
      <c r="P2939" s="1" t="s">
        <v>2721</v>
      </c>
    </row>
    <row r="2940" spans="1:16">
      <c r="A2940" s="1" t="s">
        <v>15</v>
      </c>
      <c r="B2940" s="1">
        <v>11</v>
      </c>
      <c r="C2940" s="1" t="s">
        <v>7163</v>
      </c>
      <c r="D2940" s="1" t="s">
        <v>5226</v>
      </c>
      <c r="E2940" s="2">
        <v>45979</v>
      </c>
      <c r="F2940" s="1" t="s">
        <v>1888</v>
      </c>
      <c r="G2940" s="1" t="s">
        <v>5227</v>
      </c>
      <c r="H2940" s="1" t="s">
        <v>7164</v>
      </c>
      <c r="I2940" s="1">
        <v>1</v>
      </c>
      <c r="J2940" s="3">
        <v>9044</v>
      </c>
      <c r="K2940" s="3">
        <v>8630</v>
      </c>
      <c r="L2940" s="1">
        <v>0</v>
      </c>
      <c r="M2940" s="4">
        <v>0</v>
      </c>
      <c r="N2940" s="1">
        <v>414</v>
      </c>
      <c r="O2940" s="4">
        <v>4.5999999999999999E-2</v>
      </c>
      <c r="P2940" s="1" t="s">
        <v>2721</v>
      </c>
    </row>
    <row r="2941" spans="1:16">
      <c r="A2941" s="1" t="s">
        <v>15</v>
      </c>
      <c r="B2941" s="1">
        <v>11</v>
      </c>
      <c r="C2941" s="1" t="s">
        <v>7165</v>
      </c>
      <c r="D2941" s="1" t="s">
        <v>504</v>
      </c>
      <c r="E2941" s="2">
        <v>45979</v>
      </c>
      <c r="F2941" s="1" t="s">
        <v>407</v>
      </c>
      <c r="G2941" s="1" t="s">
        <v>505</v>
      </c>
      <c r="H2941" s="1" t="s">
        <v>1004</v>
      </c>
      <c r="I2941" s="1">
        <v>1</v>
      </c>
      <c r="J2941" s="3">
        <v>9339</v>
      </c>
      <c r="K2941" s="3">
        <v>8911</v>
      </c>
      <c r="L2941" s="1">
        <v>0</v>
      </c>
      <c r="M2941" s="4">
        <v>0</v>
      </c>
      <c r="N2941" s="1">
        <v>428</v>
      </c>
      <c r="O2941" s="4">
        <v>4.5999999999999999E-2</v>
      </c>
      <c r="P2941" s="1" t="s">
        <v>2721</v>
      </c>
    </row>
    <row r="2942" spans="1:16">
      <c r="A2942" s="1" t="s">
        <v>15</v>
      </c>
      <c r="B2942" s="1">
        <v>11</v>
      </c>
      <c r="C2942" s="1" t="s">
        <v>7165</v>
      </c>
      <c r="D2942" s="1" t="s">
        <v>960</v>
      </c>
      <c r="E2942" s="2">
        <v>45979</v>
      </c>
      <c r="F2942" s="1" t="s">
        <v>407</v>
      </c>
      <c r="G2942" s="1" t="s">
        <v>961</v>
      </c>
      <c r="H2942" s="1" t="s">
        <v>2830</v>
      </c>
      <c r="I2942" s="1">
        <v>1</v>
      </c>
      <c r="J2942" s="3">
        <v>16711</v>
      </c>
      <c r="K2942" s="3">
        <v>15946</v>
      </c>
      <c r="L2942" s="1">
        <v>0</v>
      </c>
      <c r="M2942" s="4">
        <v>0</v>
      </c>
      <c r="N2942" s="1">
        <v>765</v>
      </c>
      <c r="O2942" s="4">
        <v>4.5999999999999999E-2</v>
      </c>
      <c r="P2942" s="1" t="s">
        <v>2721</v>
      </c>
    </row>
    <row r="2943" spans="1:16" ht="99">
      <c r="A2943" s="1" t="s">
        <v>15</v>
      </c>
      <c r="B2943" s="1">
        <v>11</v>
      </c>
      <c r="C2943" s="1" t="s">
        <v>7166</v>
      </c>
      <c r="D2943" s="1" t="s">
        <v>5426</v>
      </c>
      <c r="E2943" s="2">
        <v>45979</v>
      </c>
      <c r="F2943" s="1" t="s">
        <v>5427</v>
      </c>
      <c r="G2943" s="1" t="s">
        <v>5428</v>
      </c>
      <c r="H2943" s="6" t="s">
        <v>7167</v>
      </c>
      <c r="I2943" s="1">
        <v>2</v>
      </c>
      <c r="J2943" s="3">
        <v>58980</v>
      </c>
      <c r="K2943" s="3">
        <v>56280</v>
      </c>
      <c r="L2943" s="1">
        <v>0</v>
      </c>
      <c r="M2943" s="4">
        <v>0</v>
      </c>
      <c r="N2943" s="3">
        <v>2700</v>
      </c>
      <c r="O2943" s="4">
        <v>4.5999999999999999E-2</v>
      </c>
      <c r="P2943" s="1" t="s">
        <v>2721</v>
      </c>
    </row>
    <row r="2944" spans="1:16">
      <c r="A2944" s="1" t="s">
        <v>15</v>
      </c>
      <c r="B2944" s="1">
        <v>11</v>
      </c>
      <c r="C2944" s="1" t="s">
        <v>7168</v>
      </c>
      <c r="D2944" s="1" t="s">
        <v>52</v>
      </c>
      <c r="E2944" s="2">
        <v>45979</v>
      </c>
      <c r="F2944" s="1" t="s">
        <v>53</v>
      </c>
      <c r="G2944" s="1" t="s">
        <v>54</v>
      </c>
      <c r="H2944" s="1" t="s">
        <v>55</v>
      </c>
      <c r="I2944" s="1">
        <v>1</v>
      </c>
      <c r="J2944" s="3">
        <v>16135</v>
      </c>
      <c r="K2944" s="3">
        <v>15396</v>
      </c>
      <c r="L2944" s="1">
        <v>0</v>
      </c>
      <c r="M2944" s="4">
        <v>0</v>
      </c>
      <c r="N2944" s="1">
        <v>739</v>
      </c>
      <c r="O2944" s="4">
        <v>4.5999999999999999E-2</v>
      </c>
      <c r="P2944" s="1" t="s">
        <v>2721</v>
      </c>
    </row>
    <row r="2945" spans="1:16">
      <c r="A2945" s="1" t="s">
        <v>15</v>
      </c>
      <c r="B2945" s="1">
        <v>11</v>
      </c>
      <c r="C2945" s="1" t="s">
        <v>7169</v>
      </c>
      <c r="D2945" s="1" t="s">
        <v>2799</v>
      </c>
      <c r="E2945" s="2">
        <v>45979</v>
      </c>
      <c r="F2945" s="1" t="s">
        <v>58</v>
      </c>
      <c r="G2945" s="1" t="s">
        <v>2800</v>
      </c>
      <c r="H2945" s="1" t="s">
        <v>2801</v>
      </c>
      <c r="I2945" s="1">
        <v>1</v>
      </c>
      <c r="J2945" s="3">
        <v>27524</v>
      </c>
      <c r="K2945" s="3">
        <v>26264</v>
      </c>
      <c r="L2945" s="1">
        <v>0</v>
      </c>
      <c r="M2945" s="4">
        <v>0</v>
      </c>
      <c r="N2945" s="3">
        <v>1260</v>
      </c>
      <c r="O2945" s="4">
        <v>4.5999999999999999E-2</v>
      </c>
      <c r="P2945" s="1" t="s">
        <v>2721</v>
      </c>
    </row>
    <row r="2946" spans="1:16">
      <c r="A2946" s="1" t="s">
        <v>577</v>
      </c>
      <c r="B2946" s="1">
        <v>11</v>
      </c>
      <c r="C2946" s="1" t="s">
        <v>7170</v>
      </c>
      <c r="D2946" s="1" t="s">
        <v>1741</v>
      </c>
      <c r="E2946" s="2">
        <v>45979</v>
      </c>
      <c r="F2946" s="1" t="s">
        <v>500</v>
      </c>
      <c r="G2946" s="1" t="s">
        <v>900</v>
      </c>
      <c r="H2946" s="1" t="s">
        <v>901</v>
      </c>
      <c r="I2946" s="1">
        <v>1</v>
      </c>
      <c r="J2946" s="3">
        <v>105846</v>
      </c>
      <c r="K2946" s="3">
        <v>101000</v>
      </c>
      <c r="L2946" s="1">
        <v>0</v>
      </c>
      <c r="M2946" s="4">
        <v>0</v>
      </c>
      <c r="N2946" s="3">
        <v>4846</v>
      </c>
      <c r="O2946" s="4">
        <v>4.5999999999999999E-2</v>
      </c>
      <c r="P2946" s="1" t="s">
        <v>2721</v>
      </c>
    </row>
    <row r="2947" spans="1:16">
      <c r="A2947" s="1" t="s">
        <v>577</v>
      </c>
      <c r="B2947" s="1">
        <v>11</v>
      </c>
      <c r="C2947" s="1" t="s">
        <v>7171</v>
      </c>
      <c r="D2947" s="1" t="s">
        <v>6562</v>
      </c>
      <c r="E2947" s="2">
        <v>45979</v>
      </c>
      <c r="F2947" s="1" t="s">
        <v>1075</v>
      </c>
      <c r="G2947" s="1" t="s">
        <v>6563</v>
      </c>
      <c r="H2947" s="1" t="s">
        <v>6564</v>
      </c>
      <c r="I2947" s="1">
        <v>1</v>
      </c>
      <c r="J2947" s="3">
        <v>16121</v>
      </c>
      <c r="K2947" s="3">
        <v>15383</v>
      </c>
      <c r="L2947" s="1">
        <v>0</v>
      </c>
      <c r="M2947" s="4">
        <v>0</v>
      </c>
      <c r="N2947" s="1">
        <v>738</v>
      </c>
      <c r="O2947" s="4">
        <v>4.5999999999999999E-2</v>
      </c>
      <c r="P2947" s="1" t="s">
        <v>2721</v>
      </c>
    </row>
    <row r="2948" spans="1:16">
      <c r="A2948" s="1" t="s">
        <v>577</v>
      </c>
      <c r="B2948" s="1">
        <v>11</v>
      </c>
      <c r="C2948" s="1" t="s">
        <v>7172</v>
      </c>
      <c r="D2948" s="1" t="s">
        <v>7173</v>
      </c>
      <c r="E2948" s="2">
        <v>45979</v>
      </c>
      <c r="F2948" s="1" t="s">
        <v>1075</v>
      </c>
      <c r="G2948" s="1" t="s">
        <v>3818</v>
      </c>
      <c r="H2948" s="1" t="s">
        <v>3819</v>
      </c>
      <c r="I2948" s="1">
        <v>1</v>
      </c>
      <c r="J2948" s="3">
        <v>27426</v>
      </c>
      <c r="K2948" s="3">
        <v>26170</v>
      </c>
      <c r="L2948" s="1">
        <v>0</v>
      </c>
      <c r="M2948" s="4">
        <v>0</v>
      </c>
      <c r="N2948" s="3">
        <v>1256</v>
      </c>
      <c r="O2948" s="4">
        <v>4.5999999999999999E-2</v>
      </c>
      <c r="P2948" s="1" t="s">
        <v>2721</v>
      </c>
    </row>
    <row r="2949" spans="1:16">
      <c r="A2949" s="1" t="s">
        <v>577</v>
      </c>
      <c r="B2949" s="1">
        <v>11</v>
      </c>
      <c r="C2949" s="1" t="s">
        <v>7174</v>
      </c>
      <c r="D2949" s="1" t="s">
        <v>4908</v>
      </c>
      <c r="E2949" s="2">
        <v>45979</v>
      </c>
      <c r="F2949" s="1" t="s">
        <v>407</v>
      </c>
      <c r="G2949" s="1" t="s">
        <v>505</v>
      </c>
      <c r="H2949" s="1" t="s">
        <v>1334</v>
      </c>
      <c r="I2949" s="1">
        <v>1</v>
      </c>
      <c r="J2949" s="3">
        <v>8552</v>
      </c>
      <c r="K2949" s="3">
        <v>8161</v>
      </c>
      <c r="L2949" s="1">
        <v>0</v>
      </c>
      <c r="M2949" s="4">
        <v>0</v>
      </c>
      <c r="N2949" s="1">
        <v>391</v>
      </c>
      <c r="O2949" s="4">
        <v>4.5999999999999999E-2</v>
      </c>
      <c r="P2949" s="1" t="s">
        <v>2721</v>
      </c>
    </row>
    <row r="2950" spans="1:16">
      <c r="A2950" s="1" t="s">
        <v>577</v>
      </c>
      <c r="B2950" s="1">
        <v>11</v>
      </c>
      <c r="C2950" s="1" t="s">
        <v>7175</v>
      </c>
      <c r="D2950" s="1" t="s">
        <v>2616</v>
      </c>
      <c r="E2950" s="2">
        <v>45979</v>
      </c>
      <c r="F2950" s="1" t="s">
        <v>407</v>
      </c>
      <c r="G2950" s="1" t="s">
        <v>961</v>
      </c>
      <c r="H2950" s="1" t="s">
        <v>962</v>
      </c>
      <c r="I2950" s="1">
        <v>1</v>
      </c>
      <c r="J2950" s="3">
        <v>14745</v>
      </c>
      <c r="K2950" s="3">
        <v>14070</v>
      </c>
      <c r="L2950" s="1">
        <v>0</v>
      </c>
      <c r="M2950" s="4">
        <v>0</v>
      </c>
      <c r="N2950" s="1">
        <v>675</v>
      </c>
      <c r="O2950" s="4">
        <v>4.5999999999999999E-2</v>
      </c>
      <c r="P2950" s="1" t="s">
        <v>2721</v>
      </c>
    </row>
    <row r="2951" spans="1:16">
      <c r="A2951" s="1" t="s">
        <v>577</v>
      </c>
      <c r="B2951" s="1">
        <v>11</v>
      </c>
      <c r="C2951" s="1" t="s">
        <v>7176</v>
      </c>
      <c r="D2951" s="1" t="s">
        <v>5871</v>
      </c>
      <c r="E2951" s="2">
        <v>45979</v>
      </c>
      <c r="F2951" s="1" t="s">
        <v>312</v>
      </c>
      <c r="G2951" s="1" t="s">
        <v>313</v>
      </c>
      <c r="H2951" s="1" t="s">
        <v>3723</v>
      </c>
      <c r="I2951" s="1">
        <v>1</v>
      </c>
      <c r="J2951" s="3">
        <v>28310</v>
      </c>
      <c r="K2951" s="3">
        <v>27014</v>
      </c>
      <c r="L2951" s="1">
        <v>0</v>
      </c>
      <c r="M2951" s="4">
        <v>0</v>
      </c>
      <c r="N2951" s="3">
        <v>1296</v>
      </c>
      <c r="O2951" s="4">
        <v>4.5999999999999999E-2</v>
      </c>
      <c r="P2951" s="1" t="s">
        <v>2721</v>
      </c>
    </row>
    <row r="2952" spans="1:16">
      <c r="A2952" s="1" t="s">
        <v>577</v>
      </c>
      <c r="B2952" s="1">
        <v>11</v>
      </c>
      <c r="C2952" s="1" t="s">
        <v>7177</v>
      </c>
      <c r="D2952" s="1" t="s">
        <v>6541</v>
      </c>
      <c r="E2952" s="2">
        <v>45979</v>
      </c>
      <c r="F2952" s="1" t="s">
        <v>96</v>
      </c>
      <c r="G2952" s="1" t="s">
        <v>6542</v>
      </c>
      <c r="H2952" s="1" t="s">
        <v>6543</v>
      </c>
      <c r="I2952" s="1">
        <v>1</v>
      </c>
      <c r="J2952" s="3">
        <v>12118</v>
      </c>
      <c r="K2952" s="3">
        <v>11564</v>
      </c>
      <c r="L2952" s="1">
        <v>0</v>
      </c>
      <c r="M2952" s="4">
        <v>0</v>
      </c>
      <c r="N2952" s="1">
        <v>554</v>
      </c>
      <c r="O2952" s="4">
        <v>4.5999999999999999E-2</v>
      </c>
      <c r="P2952" s="1" t="s">
        <v>2721</v>
      </c>
    </row>
    <row r="2953" spans="1:16">
      <c r="A2953" s="1" t="s">
        <v>577</v>
      </c>
      <c r="B2953" s="1">
        <v>11</v>
      </c>
      <c r="C2953" s="1" t="s">
        <v>7177</v>
      </c>
      <c r="D2953" s="1" t="s">
        <v>1781</v>
      </c>
      <c r="E2953" s="2">
        <v>45979</v>
      </c>
      <c r="F2953" s="1" t="s">
        <v>96</v>
      </c>
      <c r="G2953" s="1" t="s">
        <v>222</v>
      </c>
      <c r="H2953" s="1" t="s">
        <v>509</v>
      </c>
      <c r="I2953" s="1">
        <v>1</v>
      </c>
      <c r="J2953" s="3">
        <v>12571</v>
      </c>
      <c r="K2953" s="3">
        <v>11995</v>
      </c>
      <c r="L2953" s="1">
        <v>0</v>
      </c>
      <c r="M2953" s="4">
        <v>0</v>
      </c>
      <c r="N2953" s="1">
        <v>576</v>
      </c>
      <c r="O2953" s="4">
        <v>4.5999999999999999E-2</v>
      </c>
      <c r="P2953" s="1" t="s">
        <v>2721</v>
      </c>
    </row>
    <row r="2954" spans="1:16">
      <c r="A2954" s="1" t="s">
        <v>577</v>
      </c>
      <c r="B2954" s="1">
        <v>11</v>
      </c>
      <c r="C2954" s="1" t="s">
        <v>7177</v>
      </c>
      <c r="D2954" s="1" t="s">
        <v>1782</v>
      </c>
      <c r="E2954" s="2">
        <v>45979</v>
      </c>
      <c r="F2954" s="1" t="s">
        <v>96</v>
      </c>
      <c r="G2954" s="1" t="s">
        <v>225</v>
      </c>
      <c r="H2954" s="1" t="s">
        <v>896</v>
      </c>
      <c r="I2954" s="1">
        <v>1</v>
      </c>
      <c r="J2954" s="3">
        <v>12571</v>
      </c>
      <c r="K2954" s="3">
        <v>11995</v>
      </c>
      <c r="L2954" s="1">
        <v>0</v>
      </c>
      <c r="M2954" s="4">
        <v>0</v>
      </c>
      <c r="N2954" s="1">
        <v>576</v>
      </c>
      <c r="O2954" s="4">
        <v>4.5999999999999999E-2</v>
      </c>
      <c r="P2954" s="1" t="s">
        <v>2721</v>
      </c>
    </row>
    <row r="2955" spans="1:16">
      <c r="A2955" s="1" t="s">
        <v>577</v>
      </c>
      <c r="B2955" s="1">
        <v>11</v>
      </c>
      <c r="C2955" s="1" t="s">
        <v>7178</v>
      </c>
      <c r="D2955" s="1" t="s">
        <v>2616</v>
      </c>
      <c r="E2955" s="2">
        <v>45979</v>
      </c>
      <c r="F2955" s="1" t="s">
        <v>407</v>
      </c>
      <c r="G2955" s="1" t="s">
        <v>961</v>
      </c>
      <c r="H2955" s="1" t="s">
        <v>2830</v>
      </c>
      <c r="I2955" s="1">
        <v>1</v>
      </c>
      <c r="J2955" s="3">
        <v>16711</v>
      </c>
      <c r="K2955" s="3">
        <v>15946</v>
      </c>
      <c r="L2955" s="1">
        <v>0</v>
      </c>
      <c r="M2955" s="4">
        <v>0</v>
      </c>
      <c r="N2955" s="1">
        <v>765</v>
      </c>
      <c r="O2955" s="4">
        <v>4.5999999999999999E-2</v>
      </c>
      <c r="P2955" s="1" t="s">
        <v>2721</v>
      </c>
    </row>
    <row r="2956" spans="1:16">
      <c r="A2956" s="1" t="s">
        <v>577</v>
      </c>
      <c r="B2956" s="1">
        <v>11</v>
      </c>
      <c r="C2956" s="1" t="s">
        <v>7179</v>
      </c>
      <c r="D2956" s="1" t="s">
        <v>1741</v>
      </c>
      <c r="E2956" s="2">
        <v>45979</v>
      </c>
      <c r="F2956" s="1" t="s">
        <v>500</v>
      </c>
      <c r="G2956" s="1" t="s">
        <v>900</v>
      </c>
      <c r="H2956" s="1" t="s">
        <v>1678</v>
      </c>
      <c r="I2956" s="1">
        <v>1</v>
      </c>
      <c r="J2956" s="3">
        <v>102702</v>
      </c>
      <c r="K2956" s="3">
        <v>98000</v>
      </c>
      <c r="L2956" s="1">
        <v>0</v>
      </c>
      <c r="M2956" s="4">
        <v>0</v>
      </c>
      <c r="N2956" s="3">
        <v>4702</v>
      </c>
      <c r="O2956" s="4">
        <v>4.5999999999999999E-2</v>
      </c>
      <c r="P2956" s="1" t="s">
        <v>2721</v>
      </c>
    </row>
    <row r="2957" spans="1:16">
      <c r="A2957" s="1" t="s">
        <v>577</v>
      </c>
      <c r="B2957" s="1">
        <v>11</v>
      </c>
      <c r="C2957" s="1" t="s">
        <v>7180</v>
      </c>
      <c r="D2957" s="1" t="s">
        <v>1776</v>
      </c>
      <c r="E2957" s="2">
        <v>45979</v>
      </c>
      <c r="F2957" s="1" t="s">
        <v>483</v>
      </c>
      <c r="G2957" s="1" t="s">
        <v>484</v>
      </c>
      <c r="H2957" s="1" t="s">
        <v>1777</v>
      </c>
      <c r="I2957" s="1">
        <v>1</v>
      </c>
      <c r="J2957" s="3">
        <v>27426</v>
      </c>
      <c r="K2957" s="3">
        <v>26170</v>
      </c>
      <c r="L2957" s="1">
        <v>0</v>
      </c>
      <c r="M2957" s="4">
        <v>0</v>
      </c>
      <c r="N2957" s="3">
        <v>1256</v>
      </c>
      <c r="O2957" s="4">
        <v>4.5999999999999999E-2</v>
      </c>
      <c r="P2957" s="1" t="s">
        <v>2721</v>
      </c>
    </row>
    <row r="2958" spans="1:16">
      <c r="A2958" s="1" t="s">
        <v>577</v>
      </c>
      <c r="B2958" s="1">
        <v>11</v>
      </c>
      <c r="C2958" s="1" t="s">
        <v>7181</v>
      </c>
      <c r="D2958" s="1" t="s">
        <v>7182</v>
      </c>
      <c r="E2958" s="2">
        <v>45979</v>
      </c>
      <c r="F2958" s="1" t="s">
        <v>1101</v>
      </c>
      <c r="G2958" s="1" t="s">
        <v>7183</v>
      </c>
      <c r="H2958" s="1" t="s">
        <v>4686</v>
      </c>
      <c r="I2958" s="1">
        <v>1</v>
      </c>
      <c r="J2958" s="3">
        <v>15630</v>
      </c>
      <c r="K2958" s="3">
        <v>14914</v>
      </c>
      <c r="L2958" s="1">
        <v>0</v>
      </c>
      <c r="M2958" s="4">
        <v>0</v>
      </c>
      <c r="N2958" s="1">
        <v>716</v>
      </c>
      <c r="O2958" s="4">
        <v>4.5999999999999999E-2</v>
      </c>
      <c r="P2958" s="1" t="s">
        <v>2721</v>
      </c>
    </row>
    <row r="2959" spans="1:16">
      <c r="A2959" s="1" t="s">
        <v>577</v>
      </c>
      <c r="B2959" s="1">
        <v>11</v>
      </c>
      <c r="C2959" s="1" t="s">
        <v>7184</v>
      </c>
      <c r="D2959" s="1" t="s">
        <v>4305</v>
      </c>
      <c r="E2959" s="2">
        <v>45979</v>
      </c>
      <c r="F2959" s="1" t="s">
        <v>426</v>
      </c>
      <c r="G2959" s="1" t="s">
        <v>427</v>
      </c>
      <c r="H2959" s="1" t="s">
        <v>1568</v>
      </c>
      <c r="I2959" s="1">
        <v>1</v>
      </c>
      <c r="J2959" s="3">
        <v>24575</v>
      </c>
      <c r="K2959" s="3">
        <v>23450</v>
      </c>
      <c r="L2959" s="1">
        <v>0</v>
      </c>
      <c r="M2959" s="4">
        <v>0</v>
      </c>
      <c r="N2959" s="3">
        <v>1125</v>
      </c>
      <c r="O2959" s="4">
        <v>4.5999999999999999E-2</v>
      </c>
      <c r="P2959" s="1" t="s">
        <v>2721</v>
      </c>
    </row>
    <row r="2960" spans="1:16">
      <c r="A2960" s="1" t="s">
        <v>577</v>
      </c>
      <c r="B2960" s="1">
        <v>11</v>
      </c>
      <c r="C2960" s="1" t="s">
        <v>7185</v>
      </c>
      <c r="D2960" s="1" t="s">
        <v>586</v>
      </c>
      <c r="E2960" s="2">
        <v>45979</v>
      </c>
      <c r="F2960" s="1" t="s">
        <v>23</v>
      </c>
      <c r="G2960" s="1" t="s">
        <v>587</v>
      </c>
      <c r="H2960" s="1" t="s">
        <v>588</v>
      </c>
      <c r="I2960" s="1">
        <v>2</v>
      </c>
      <c r="J2960" s="3">
        <v>27524</v>
      </c>
      <c r="K2960" s="3">
        <v>26264</v>
      </c>
      <c r="L2960" s="1">
        <v>0</v>
      </c>
      <c r="M2960" s="4">
        <v>0</v>
      </c>
      <c r="N2960" s="3">
        <v>1260</v>
      </c>
      <c r="O2960" s="4">
        <v>4.5999999999999999E-2</v>
      </c>
      <c r="P2960" s="1" t="s">
        <v>2721</v>
      </c>
    </row>
    <row r="2961" spans="1:16">
      <c r="A2961" s="1" t="s">
        <v>577</v>
      </c>
      <c r="B2961" s="1">
        <v>11</v>
      </c>
      <c r="C2961" s="1" t="s">
        <v>7186</v>
      </c>
      <c r="D2961" s="1" t="s">
        <v>7187</v>
      </c>
      <c r="E2961" s="2">
        <v>45979</v>
      </c>
      <c r="F2961" s="1" t="s">
        <v>1310</v>
      </c>
      <c r="G2961" s="1" t="s">
        <v>7188</v>
      </c>
      <c r="H2961" s="1" t="s">
        <v>7189</v>
      </c>
      <c r="I2961" s="1">
        <v>1</v>
      </c>
      <c r="J2961" s="3">
        <v>19660</v>
      </c>
      <c r="K2961" s="3">
        <v>18760</v>
      </c>
      <c r="L2961" s="1">
        <v>0</v>
      </c>
      <c r="M2961" s="4">
        <v>0</v>
      </c>
      <c r="N2961" s="1">
        <v>900</v>
      </c>
      <c r="O2961" s="4">
        <v>4.5999999999999999E-2</v>
      </c>
      <c r="P2961" s="1" t="s">
        <v>2721</v>
      </c>
    </row>
    <row r="2962" spans="1:16">
      <c r="A2962" s="1" t="s">
        <v>577</v>
      </c>
      <c r="B2962" s="1">
        <v>11</v>
      </c>
      <c r="C2962" s="1" t="s">
        <v>7190</v>
      </c>
      <c r="D2962" s="1" t="s">
        <v>1797</v>
      </c>
      <c r="E2962" s="2">
        <v>45979</v>
      </c>
      <c r="F2962" s="1" t="s">
        <v>1798</v>
      </c>
      <c r="G2962" s="1" t="s">
        <v>1799</v>
      </c>
      <c r="H2962" s="1" t="s">
        <v>1800</v>
      </c>
      <c r="I2962" s="1">
        <v>2</v>
      </c>
      <c r="J2962" s="3">
        <v>41483</v>
      </c>
      <c r="K2962" s="3">
        <v>39584</v>
      </c>
      <c r="L2962" s="1">
        <v>0</v>
      </c>
      <c r="M2962" s="4">
        <v>0</v>
      </c>
      <c r="N2962" s="3">
        <v>1899</v>
      </c>
      <c r="O2962" s="4">
        <v>4.5999999999999999E-2</v>
      </c>
      <c r="P2962" s="1" t="s">
        <v>2721</v>
      </c>
    </row>
    <row r="2963" spans="1:16">
      <c r="A2963" s="1" t="s">
        <v>577</v>
      </c>
      <c r="B2963" s="1">
        <v>11</v>
      </c>
      <c r="C2963" s="1" t="s">
        <v>7191</v>
      </c>
      <c r="D2963" s="1" t="s">
        <v>1826</v>
      </c>
      <c r="E2963" s="2">
        <v>45979</v>
      </c>
      <c r="F2963" s="1" t="s">
        <v>500</v>
      </c>
      <c r="G2963" s="1" t="s">
        <v>1827</v>
      </c>
      <c r="H2963" s="1" t="s">
        <v>1828</v>
      </c>
      <c r="I2963" s="1">
        <v>1</v>
      </c>
      <c r="J2963" s="3">
        <v>141099</v>
      </c>
      <c r="K2963" s="3">
        <v>134640</v>
      </c>
      <c r="L2963" s="1">
        <v>0</v>
      </c>
      <c r="M2963" s="4">
        <v>0</v>
      </c>
      <c r="N2963" s="3">
        <v>6459</v>
      </c>
      <c r="O2963" s="4">
        <v>4.5999999999999999E-2</v>
      </c>
      <c r="P2963" s="1" t="s">
        <v>2721</v>
      </c>
    </row>
    <row r="2964" spans="1:16">
      <c r="A2964" s="1" t="s">
        <v>577</v>
      </c>
      <c r="B2964" s="1">
        <v>11</v>
      </c>
      <c r="C2964" s="1" t="s">
        <v>7192</v>
      </c>
      <c r="D2964" s="1" t="s">
        <v>7193</v>
      </c>
      <c r="E2964" s="2">
        <v>45979</v>
      </c>
      <c r="F2964" s="1" t="s">
        <v>96</v>
      </c>
      <c r="G2964" s="1" t="s">
        <v>7194</v>
      </c>
      <c r="H2964" s="1" t="s">
        <v>7195</v>
      </c>
      <c r="I2964" s="1">
        <v>1</v>
      </c>
      <c r="J2964" s="3">
        <v>14379</v>
      </c>
      <c r="K2964" s="3">
        <v>13721</v>
      </c>
      <c r="L2964" s="1">
        <v>0</v>
      </c>
      <c r="M2964" s="4">
        <v>0</v>
      </c>
      <c r="N2964" s="1">
        <v>658</v>
      </c>
      <c r="O2964" s="4">
        <v>4.5999999999999999E-2</v>
      </c>
      <c r="P2964" s="1" t="s">
        <v>2721</v>
      </c>
    </row>
    <row r="2965" spans="1:16">
      <c r="A2965" s="1" t="s">
        <v>577</v>
      </c>
      <c r="B2965" s="1">
        <v>11</v>
      </c>
      <c r="C2965" s="1" t="s">
        <v>7196</v>
      </c>
      <c r="D2965" s="1" t="s">
        <v>6566</v>
      </c>
      <c r="E2965" s="2">
        <v>45979</v>
      </c>
      <c r="F2965" s="1" t="s">
        <v>524</v>
      </c>
      <c r="G2965" s="1" t="s">
        <v>6567</v>
      </c>
      <c r="H2965" s="1" t="s">
        <v>5641</v>
      </c>
      <c r="I2965" s="1">
        <v>1</v>
      </c>
      <c r="J2965" s="3">
        <v>56538</v>
      </c>
      <c r="K2965" s="3">
        <v>53950</v>
      </c>
      <c r="L2965" s="1">
        <v>0</v>
      </c>
      <c r="M2965" s="4">
        <v>0</v>
      </c>
      <c r="N2965" s="3">
        <v>2588</v>
      </c>
      <c r="O2965" s="4">
        <v>4.5999999999999999E-2</v>
      </c>
      <c r="P2965" s="1" t="s">
        <v>2721</v>
      </c>
    </row>
    <row r="2966" spans="1:16">
      <c r="A2966" s="1" t="s">
        <v>577</v>
      </c>
      <c r="B2966" s="1">
        <v>11</v>
      </c>
      <c r="C2966" s="1" t="s">
        <v>7197</v>
      </c>
      <c r="D2966" s="1" t="s">
        <v>7198</v>
      </c>
      <c r="E2966" s="2">
        <v>45979</v>
      </c>
      <c r="F2966" s="1" t="s">
        <v>7199</v>
      </c>
      <c r="G2966" s="1" t="s">
        <v>7200</v>
      </c>
      <c r="H2966" s="1" t="s">
        <v>7201</v>
      </c>
      <c r="I2966" s="1">
        <v>1</v>
      </c>
      <c r="J2966" s="3">
        <v>29490</v>
      </c>
      <c r="K2966" s="3">
        <v>28140</v>
      </c>
      <c r="L2966" s="1">
        <v>0</v>
      </c>
      <c r="M2966" s="4">
        <v>0</v>
      </c>
      <c r="N2966" s="3">
        <v>1350</v>
      </c>
      <c r="O2966" s="4">
        <v>4.5999999999999999E-2</v>
      </c>
      <c r="P2966" s="1" t="s">
        <v>2721</v>
      </c>
    </row>
    <row r="2967" spans="1:16">
      <c r="A2967" s="1" t="s">
        <v>577</v>
      </c>
      <c r="B2967" s="1">
        <v>11</v>
      </c>
      <c r="C2967" s="1" t="s">
        <v>7202</v>
      </c>
      <c r="D2967" s="1" t="s">
        <v>7203</v>
      </c>
      <c r="E2967" s="2">
        <v>45979</v>
      </c>
      <c r="F2967" s="1" t="s">
        <v>53</v>
      </c>
      <c r="G2967" s="1" t="s">
        <v>4695</v>
      </c>
      <c r="H2967" s="1" t="s">
        <v>4696</v>
      </c>
      <c r="I2967" s="1">
        <v>1</v>
      </c>
      <c r="J2967" s="3">
        <v>12529</v>
      </c>
      <c r="K2967" s="3">
        <v>11956</v>
      </c>
      <c r="L2967" s="1">
        <v>0</v>
      </c>
      <c r="M2967" s="4">
        <v>0</v>
      </c>
      <c r="N2967" s="1">
        <v>573</v>
      </c>
      <c r="O2967" s="4">
        <v>4.5999999999999999E-2</v>
      </c>
      <c r="P2967" s="1" t="s">
        <v>2721</v>
      </c>
    </row>
    <row r="2968" spans="1:16">
      <c r="A2968" s="1" t="s">
        <v>577</v>
      </c>
      <c r="B2968" s="1">
        <v>11</v>
      </c>
      <c r="C2968" s="1" t="s">
        <v>7204</v>
      </c>
      <c r="D2968" s="1" t="s">
        <v>7205</v>
      </c>
      <c r="E2968" s="2">
        <v>45979</v>
      </c>
      <c r="F2968" s="1" t="s">
        <v>96</v>
      </c>
      <c r="G2968" s="1" t="s">
        <v>2504</v>
      </c>
      <c r="H2968" s="1" t="s">
        <v>3897</v>
      </c>
      <c r="I2968" s="1">
        <v>1</v>
      </c>
      <c r="J2968" s="3">
        <v>9405</v>
      </c>
      <c r="K2968" s="3">
        <v>8975</v>
      </c>
      <c r="L2968" s="1">
        <v>0</v>
      </c>
      <c r="M2968" s="4">
        <v>0</v>
      </c>
      <c r="N2968" s="1">
        <v>430</v>
      </c>
      <c r="O2968" s="4">
        <v>4.5999999999999999E-2</v>
      </c>
      <c r="P2968" s="1" t="s">
        <v>2721</v>
      </c>
    </row>
    <row r="2969" spans="1:16">
      <c r="A2969" s="1" t="s">
        <v>577</v>
      </c>
      <c r="B2969" s="1">
        <v>11</v>
      </c>
      <c r="C2969" s="1" t="s">
        <v>7204</v>
      </c>
      <c r="D2969" s="1" t="s">
        <v>7206</v>
      </c>
      <c r="E2969" s="2">
        <v>45979</v>
      </c>
      <c r="F2969" s="1" t="s">
        <v>96</v>
      </c>
      <c r="G2969" s="1" t="s">
        <v>376</v>
      </c>
      <c r="H2969" s="1" t="s">
        <v>377</v>
      </c>
      <c r="I2969" s="1">
        <v>1</v>
      </c>
      <c r="J2969" s="3">
        <v>10762</v>
      </c>
      <c r="K2969" s="3">
        <v>10269</v>
      </c>
      <c r="L2969" s="1">
        <v>0</v>
      </c>
      <c r="M2969" s="4">
        <v>0</v>
      </c>
      <c r="N2969" s="1">
        <v>493</v>
      </c>
      <c r="O2969" s="4">
        <v>4.5999999999999999E-2</v>
      </c>
      <c r="P2969" s="1" t="s">
        <v>2721</v>
      </c>
    </row>
    <row r="2970" spans="1:16">
      <c r="A2970" s="1" t="s">
        <v>577</v>
      </c>
      <c r="B2970" s="1">
        <v>11</v>
      </c>
      <c r="C2970" s="1" t="s">
        <v>7207</v>
      </c>
      <c r="D2970" s="1" t="s">
        <v>5253</v>
      </c>
      <c r="E2970" s="2">
        <v>45979</v>
      </c>
      <c r="F2970" s="1" t="s">
        <v>524</v>
      </c>
      <c r="G2970" s="1" t="s">
        <v>1185</v>
      </c>
      <c r="H2970" s="1" t="s">
        <v>5254</v>
      </c>
      <c r="I2970" s="1">
        <v>1</v>
      </c>
      <c r="J2970" s="3">
        <v>18654</v>
      </c>
      <c r="K2970" s="3">
        <v>17800</v>
      </c>
      <c r="L2970" s="1">
        <v>0</v>
      </c>
      <c r="M2970" s="4">
        <v>0</v>
      </c>
      <c r="N2970" s="1">
        <v>854</v>
      </c>
      <c r="O2970" s="4">
        <v>4.5999999999999999E-2</v>
      </c>
      <c r="P2970" s="1" t="s">
        <v>2721</v>
      </c>
    </row>
    <row r="2971" spans="1:16">
      <c r="A2971" s="1" t="s">
        <v>602</v>
      </c>
      <c r="B2971" s="1">
        <v>11</v>
      </c>
      <c r="C2971" s="1">
        <v>26100153429628</v>
      </c>
      <c r="D2971" s="1" t="s">
        <v>613</v>
      </c>
      <c r="E2971" s="2">
        <v>45979</v>
      </c>
      <c r="F2971" s="1" t="s">
        <v>604</v>
      </c>
      <c r="G2971" s="1" t="s">
        <v>614</v>
      </c>
      <c r="H2971" s="1" t="s">
        <v>4363</v>
      </c>
      <c r="I2971" s="1">
        <v>3</v>
      </c>
      <c r="J2971" s="3">
        <v>33800</v>
      </c>
      <c r="K2971" s="3">
        <v>23950</v>
      </c>
      <c r="L2971" s="3">
        <v>3921</v>
      </c>
      <c r="M2971" s="4">
        <v>0.11600000000000001</v>
      </c>
      <c r="N2971" s="3">
        <v>5929</v>
      </c>
      <c r="O2971" s="4">
        <v>0.17499999999999999</v>
      </c>
      <c r="P2971" s="1" t="s">
        <v>2721</v>
      </c>
    </row>
    <row r="2972" spans="1:16">
      <c r="A2972" s="1" t="s">
        <v>626</v>
      </c>
      <c r="B2972" s="1">
        <v>11</v>
      </c>
      <c r="C2972" s="1">
        <v>69224536</v>
      </c>
      <c r="D2972" s="1" t="s">
        <v>627</v>
      </c>
      <c r="E2972" s="2">
        <v>45979</v>
      </c>
      <c r="F2972" s="1" t="s">
        <v>604</v>
      </c>
      <c r="G2972" s="1" t="s">
        <v>628</v>
      </c>
      <c r="H2972" s="1" t="s">
        <v>5282</v>
      </c>
      <c r="I2972" s="1">
        <v>3</v>
      </c>
      <c r="J2972" s="3">
        <v>17700</v>
      </c>
      <c r="K2972" s="3">
        <v>5400</v>
      </c>
      <c r="L2972" s="3">
        <v>1947</v>
      </c>
      <c r="M2972" s="4">
        <v>0.11</v>
      </c>
      <c r="N2972" s="3">
        <v>10353</v>
      </c>
      <c r="O2972" s="4">
        <v>0.58499999999999996</v>
      </c>
      <c r="P2972" s="1" t="s">
        <v>2721</v>
      </c>
    </row>
    <row r="2973" spans="1:16">
      <c r="A2973" s="1" t="s">
        <v>630</v>
      </c>
      <c r="B2973" s="1">
        <v>11</v>
      </c>
      <c r="C2973" s="1">
        <v>1117327893448060</v>
      </c>
      <c r="D2973" s="1" t="s">
        <v>627</v>
      </c>
      <c r="E2973" s="2">
        <v>45979</v>
      </c>
      <c r="F2973" s="1" t="s">
        <v>604</v>
      </c>
      <c r="G2973" s="1" t="s">
        <v>628</v>
      </c>
      <c r="H2973" s="1" t="s">
        <v>1848</v>
      </c>
      <c r="I2973" s="1">
        <v>2</v>
      </c>
      <c r="J2973" s="3">
        <v>13500</v>
      </c>
      <c r="K2973" s="3">
        <v>6100</v>
      </c>
      <c r="L2973" s="1">
        <v>891</v>
      </c>
      <c r="M2973" s="4">
        <v>6.6000000000000003E-2</v>
      </c>
      <c r="N2973" s="3">
        <v>6509</v>
      </c>
      <c r="O2973" s="4">
        <v>0.48199999999999998</v>
      </c>
      <c r="P2973" s="1" t="s">
        <v>2721</v>
      </c>
    </row>
    <row r="2974" spans="1:16">
      <c r="A2974" s="1" t="s">
        <v>630</v>
      </c>
      <c r="B2974" s="1">
        <v>11</v>
      </c>
      <c r="C2974" s="1">
        <v>1117292648003970</v>
      </c>
      <c r="D2974" s="1" t="s">
        <v>627</v>
      </c>
      <c r="E2974" s="2">
        <v>45979</v>
      </c>
      <c r="F2974" s="1" t="s">
        <v>604</v>
      </c>
      <c r="G2974" s="1" t="s">
        <v>628</v>
      </c>
      <c r="H2974" s="1" t="s">
        <v>1848</v>
      </c>
      <c r="I2974" s="1">
        <v>1</v>
      </c>
      <c r="J2974" s="3">
        <v>6750</v>
      </c>
      <c r="K2974" s="3">
        <v>4300</v>
      </c>
      <c r="L2974" s="1">
        <v>446</v>
      </c>
      <c r="M2974" s="4">
        <v>6.6000000000000003E-2</v>
      </c>
      <c r="N2974" s="3">
        <v>2005</v>
      </c>
      <c r="O2974" s="4">
        <v>0.29699999999999999</v>
      </c>
      <c r="P2974" s="1" t="s">
        <v>2721</v>
      </c>
    </row>
    <row r="2975" spans="1:16">
      <c r="A2975" s="1" t="s">
        <v>630</v>
      </c>
      <c r="B2975" s="1">
        <v>11</v>
      </c>
      <c r="C2975" s="1">
        <v>1117398875710660</v>
      </c>
      <c r="D2975" s="1" t="s">
        <v>617</v>
      </c>
      <c r="E2975" s="2">
        <v>45979</v>
      </c>
      <c r="F2975" s="1" t="s">
        <v>604</v>
      </c>
      <c r="G2975" s="1" t="s">
        <v>618</v>
      </c>
      <c r="H2975" s="1" t="s">
        <v>7208</v>
      </c>
      <c r="I2975" s="1">
        <v>6</v>
      </c>
      <c r="J2975" s="3">
        <v>33300</v>
      </c>
      <c r="K2975" s="3">
        <v>19300</v>
      </c>
      <c r="L2975" s="3">
        <v>2198</v>
      </c>
      <c r="M2975" s="4">
        <v>6.6000000000000003E-2</v>
      </c>
      <c r="N2975" s="3">
        <v>11802</v>
      </c>
      <c r="O2975" s="4">
        <v>0.35399999999999998</v>
      </c>
      <c r="P2975" s="1" t="s">
        <v>2721</v>
      </c>
    </row>
    <row r="2976" spans="1:16">
      <c r="A2976" s="1" t="s">
        <v>739</v>
      </c>
      <c r="B2976" s="1">
        <v>11</v>
      </c>
      <c r="C2976" s="1">
        <v>31452505</v>
      </c>
      <c r="D2976" s="1" t="s">
        <v>3420</v>
      </c>
      <c r="E2976" s="2">
        <v>45979</v>
      </c>
      <c r="F2976" s="1" t="s">
        <v>604</v>
      </c>
      <c r="G2976" s="1" t="s">
        <v>3421</v>
      </c>
      <c r="H2976" s="1" t="s">
        <v>3422</v>
      </c>
      <c r="I2976" s="1">
        <v>2</v>
      </c>
      <c r="J2976" s="3">
        <v>17800</v>
      </c>
      <c r="K2976" s="3">
        <v>7552</v>
      </c>
      <c r="L2976" s="3">
        <v>2350</v>
      </c>
      <c r="M2976" s="4">
        <v>0.13200000000000001</v>
      </c>
      <c r="N2976" s="3">
        <v>7898</v>
      </c>
      <c r="O2976" s="4">
        <v>0.44400000000000001</v>
      </c>
      <c r="P2976" s="1" t="s">
        <v>2721</v>
      </c>
    </row>
    <row r="2977" spans="1:16">
      <c r="A2977" s="1" t="s">
        <v>739</v>
      </c>
      <c r="B2977" s="1">
        <v>11</v>
      </c>
      <c r="C2977" s="1">
        <v>31452537</v>
      </c>
      <c r="D2977" s="1" t="s">
        <v>3420</v>
      </c>
      <c r="E2977" s="2">
        <v>45979</v>
      </c>
      <c r="F2977" s="1" t="s">
        <v>604</v>
      </c>
      <c r="G2977" s="1" t="s">
        <v>3421</v>
      </c>
      <c r="H2977" s="1" t="s">
        <v>3422</v>
      </c>
      <c r="I2977" s="1">
        <v>4</v>
      </c>
      <c r="J2977" s="3">
        <v>35600</v>
      </c>
      <c r="K2977" s="3">
        <v>12604</v>
      </c>
      <c r="L2977" s="3">
        <v>4699</v>
      </c>
      <c r="M2977" s="4">
        <v>0.13200000000000001</v>
      </c>
      <c r="N2977" s="3">
        <v>18297</v>
      </c>
      <c r="O2977" s="4">
        <v>0.51400000000000001</v>
      </c>
      <c r="P2977" s="1" t="s">
        <v>2721</v>
      </c>
    </row>
    <row r="2978" spans="1:16">
      <c r="A2978" s="1" t="s">
        <v>2179</v>
      </c>
      <c r="B2978" s="1">
        <v>11</v>
      </c>
      <c r="C2978" s="1">
        <v>2.0251117130722099E+18</v>
      </c>
      <c r="D2978" s="1" t="s">
        <v>617</v>
      </c>
      <c r="E2978" s="2">
        <v>45979</v>
      </c>
      <c r="F2978" s="1" t="s">
        <v>604</v>
      </c>
      <c r="G2978" s="1" t="s">
        <v>618</v>
      </c>
      <c r="I2978" s="1">
        <v>6</v>
      </c>
      <c r="J2978" s="3">
        <v>25400</v>
      </c>
      <c r="K2978" s="3">
        <v>19300</v>
      </c>
      <c r="L2978" s="1">
        <v>0</v>
      </c>
      <c r="M2978" s="4">
        <v>0</v>
      </c>
      <c r="N2978" s="3">
        <v>6100</v>
      </c>
      <c r="O2978" s="4">
        <v>0.24</v>
      </c>
      <c r="P2978" s="1" t="s">
        <v>2723</v>
      </c>
    </row>
    <row r="2979" spans="1:16">
      <c r="A2979" s="1" t="s">
        <v>649</v>
      </c>
      <c r="B2979" s="1">
        <v>11</v>
      </c>
      <c r="C2979" s="1">
        <v>25111722062902</v>
      </c>
      <c r="D2979" s="1" t="s">
        <v>3429</v>
      </c>
      <c r="E2979" s="2">
        <v>45979</v>
      </c>
      <c r="F2979" s="1" t="s">
        <v>48</v>
      </c>
      <c r="G2979" s="1" t="s">
        <v>3430</v>
      </c>
      <c r="H2979" s="1" t="s">
        <v>3431</v>
      </c>
      <c r="I2979" s="1">
        <v>1</v>
      </c>
      <c r="J2979" s="3">
        <v>12997</v>
      </c>
      <c r="K2979" s="3">
        <v>11068</v>
      </c>
      <c r="L2979" s="1">
        <v>0</v>
      </c>
      <c r="M2979" s="4">
        <v>0</v>
      </c>
      <c r="N2979" s="3">
        <v>1929</v>
      </c>
      <c r="O2979" s="4">
        <v>0.14799999999999999</v>
      </c>
      <c r="P2979" s="1" t="s">
        <v>2721</v>
      </c>
    </row>
    <row r="2980" spans="1:16">
      <c r="A2980" s="1" t="s">
        <v>649</v>
      </c>
      <c r="B2980" s="1">
        <v>11</v>
      </c>
      <c r="C2980" s="1">
        <v>25111717462274</v>
      </c>
      <c r="D2980" s="1" t="s">
        <v>5284</v>
      </c>
      <c r="E2980" s="2">
        <v>45979</v>
      </c>
      <c r="F2980" s="1" t="s">
        <v>1513</v>
      </c>
      <c r="G2980" s="1" t="s">
        <v>5285</v>
      </c>
      <c r="H2980" s="1" t="s">
        <v>5286</v>
      </c>
      <c r="I2980" s="1">
        <v>1</v>
      </c>
      <c r="J2980" s="3">
        <v>16745</v>
      </c>
      <c r="K2980" s="3">
        <v>15150</v>
      </c>
      <c r="L2980" s="1">
        <v>0</v>
      </c>
      <c r="M2980" s="4">
        <v>0</v>
      </c>
      <c r="N2980" s="3">
        <v>1595</v>
      </c>
      <c r="O2980" s="4">
        <v>9.5000000000000001E-2</v>
      </c>
      <c r="P2980" s="1" t="s">
        <v>2721</v>
      </c>
    </row>
    <row r="2981" spans="1:16">
      <c r="A2981" s="1" t="s">
        <v>649</v>
      </c>
      <c r="B2981" s="1">
        <v>11</v>
      </c>
      <c r="C2981" s="1">
        <v>25111716474236</v>
      </c>
      <c r="D2981" s="1" t="s">
        <v>773</v>
      </c>
      <c r="E2981" s="2">
        <v>45979</v>
      </c>
      <c r="F2981" s="1" t="s">
        <v>48</v>
      </c>
      <c r="G2981" s="1" t="s">
        <v>774</v>
      </c>
      <c r="H2981" s="1" t="s">
        <v>1891</v>
      </c>
      <c r="I2981" s="1">
        <v>1</v>
      </c>
      <c r="J2981" s="3">
        <v>10379</v>
      </c>
      <c r="K2981" s="3">
        <v>8802</v>
      </c>
      <c r="L2981" s="1">
        <v>0</v>
      </c>
      <c r="M2981" s="4">
        <v>0</v>
      </c>
      <c r="N2981" s="3">
        <v>1577</v>
      </c>
      <c r="O2981" s="4">
        <v>0.152</v>
      </c>
      <c r="P2981" s="1" t="s">
        <v>2721</v>
      </c>
    </row>
    <row r="2982" spans="1:16">
      <c r="A2982" s="1" t="s">
        <v>649</v>
      </c>
      <c r="B2982" s="1">
        <v>11</v>
      </c>
      <c r="C2982" s="1">
        <v>25111716474236</v>
      </c>
      <c r="D2982" s="1" t="s">
        <v>769</v>
      </c>
      <c r="E2982" s="2">
        <v>45979</v>
      </c>
      <c r="F2982" s="1" t="s">
        <v>48</v>
      </c>
      <c r="G2982" s="1" t="s">
        <v>770</v>
      </c>
      <c r="H2982" s="1" t="s">
        <v>5898</v>
      </c>
      <c r="I2982" s="1">
        <v>1</v>
      </c>
      <c r="J2982" s="3">
        <v>14680</v>
      </c>
      <c r="K2982" s="3">
        <v>12513</v>
      </c>
      <c r="L2982" s="1">
        <v>0</v>
      </c>
      <c r="M2982" s="4">
        <v>0</v>
      </c>
      <c r="N2982" s="3">
        <v>2167</v>
      </c>
      <c r="O2982" s="4">
        <v>0.14799999999999999</v>
      </c>
      <c r="P2982" s="1" t="s">
        <v>2721</v>
      </c>
    </row>
    <row r="2983" spans="1:16">
      <c r="A2983" s="1" t="s">
        <v>649</v>
      </c>
      <c r="B2983" s="1">
        <v>11</v>
      </c>
      <c r="C2983" s="1">
        <v>25111714465157</v>
      </c>
      <c r="D2983" s="1" t="s">
        <v>3023</v>
      </c>
      <c r="E2983" s="2">
        <v>45979</v>
      </c>
      <c r="F2983" s="1" t="s">
        <v>235</v>
      </c>
      <c r="G2983" s="1" t="s">
        <v>3024</v>
      </c>
      <c r="H2983" s="1" t="s">
        <v>5904</v>
      </c>
      <c r="I2983" s="1">
        <v>1</v>
      </c>
      <c r="J2983" s="3">
        <v>22780</v>
      </c>
      <c r="K2983" s="3">
        <v>21340</v>
      </c>
      <c r="L2983" s="1">
        <v>0</v>
      </c>
      <c r="M2983" s="4">
        <v>0</v>
      </c>
      <c r="N2983" s="3">
        <v>1440</v>
      </c>
      <c r="O2983" s="4">
        <v>6.3E-2</v>
      </c>
      <c r="P2983" s="1" t="s">
        <v>2721</v>
      </c>
    </row>
    <row r="2984" spans="1:16">
      <c r="A2984" s="1" t="s">
        <v>649</v>
      </c>
      <c r="B2984" s="1">
        <v>11</v>
      </c>
      <c r="C2984" s="1">
        <v>25111715025634</v>
      </c>
      <c r="D2984" s="1" t="s">
        <v>7209</v>
      </c>
      <c r="E2984" s="2">
        <v>45979</v>
      </c>
      <c r="F2984" s="1" t="s">
        <v>856</v>
      </c>
      <c r="G2984" s="1" t="s">
        <v>7210</v>
      </c>
      <c r="H2984" s="1" t="s">
        <v>7211</v>
      </c>
      <c r="I2984" s="1">
        <v>1</v>
      </c>
      <c r="J2984" s="3">
        <v>105060</v>
      </c>
      <c r="K2984" s="3">
        <v>98490</v>
      </c>
      <c r="L2984" s="1">
        <v>0</v>
      </c>
      <c r="M2984" s="4">
        <v>0</v>
      </c>
      <c r="N2984" s="3">
        <v>6570</v>
      </c>
      <c r="O2984" s="4">
        <v>6.3E-2</v>
      </c>
      <c r="P2984" s="1" t="s">
        <v>2721</v>
      </c>
    </row>
    <row r="2985" spans="1:16">
      <c r="A2985" s="1" t="s">
        <v>649</v>
      </c>
      <c r="B2985" s="1">
        <v>11</v>
      </c>
      <c r="C2985" s="1">
        <v>25111714513516</v>
      </c>
      <c r="D2985" s="1" t="s">
        <v>7212</v>
      </c>
      <c r="E2985" s="2">
        <v>45979</v>
      </c>
      <c r="F2985" s="1" t="s">
        <v>235</v>
      </c>
      <c r="G2985" s="1" t="s">
        <v>7213</v>
      </c>
      <c r="H2985" s="1" t="s">
        <v>7214</v>
      </c>
      <c r="I2985" s="1">
        <v>1</v>
      </c>
      <c r="J2985" s="3">
        <v>12410</v>
      </c>
      <c r="K2985" s="3">
        <v>11602</v>
      </c>
      <c r="L2985" s="1">
        <v>0</v>
      </c>
      <c r="M2985" s="4">
        <v>0</v>
      </c>
      <c r="N2985" s="1">
        <v>808</v>
      </c>
      <c r="O2985" s="4">
        <v>6.5000000000000002E-2</v>
      </c>
      <c r="P2985" s="1" t="s">
        <v>2721</v>
      </c>
    </row>
    <row r="2986" spans="1:16">
      <c r="A2986" s="1" t="s">
        <v>649</v>
      </c>
      <c r="B2986" s="1">
        <v>11</v>
      </c>
      <c r="C2986" s="1">
        <v>25111714513516</v>
      </c>
      <c r="D2986" s="1" t="s">
        <v>7215</v>
      </c>
      <c r="E2986" s="2">
        <v>45979</v>
      </c>
      <c r="F2986" s="1" t="s">
        <v>235</v>
      </c>
      <c r="G2986" s="1" t="s">
        <v>7216</v>
      </c>
      <c r="H2986" s="1" t="s">
        <v>7217</v>
      </c>
      <c r="I2986" s="1">
        <v>1</v>
      </c>
      <c r="J2986" s="3">
        <v>12410</v>
      </c>
      <c r="K2986" s="3">
        <v>11602</v>
      </c>
      <c r="L2986" s="1">
        <v>0</v>
      </c>
      <c r="M2986" s="4">
        <v>0</v>
      </c>
      <c r="N2986" s="1">
        <v>808</v>
      </c>
      <c r="O2986" s="4">
        <v>6.5000000000000002E-2</v>
      </c>
      <c r="P2986" s="1" t="s">
        <v>2721</v>
      </c>
    </row>
    <row r="2987" spans="1:16">
      <c r="A2987" s="1" t="s">
        <v>1917</v>
      </c>
      <c r="B2987" s="1">
        <v>11</v>
      </c>
      <c r="C2987" s="1">
        <v>1.17261763361315E+20</v>
      </c>
      <c r="D2987" s="1" t="s">
        <v>7218</v>
      </c>
      <c r="E2987" s="2">
        <v>45979</v>
      </c>
      <c r="F2987" s="1" t="s">
        <v>500</v>
      </c>
      <c r="G2987" s="1" t="s">
        <v>7219</v>
      </c>
      <c r="H2987" s="1" t="s">
        <v>7220</v>
      </c>
      <c r="I2987" s="1">
        <v>1</v>
      </c>
      <c r="J2987" s="3">
        <v>328500</v>
      </c>
      <c r="K2987" s="3">
        <v>291500</v>
      </c>
      <c r="L2987" s="1">
        <v>0</v>
      </c>
      <c r="M2987" s="4">
        <v>0</v>
      </c>
      <c r="N2987" s="3">
        <v>37000</v>
      </c>
      <c r="O2987" s="4">
        <v>0.113</v>
      </c>
      <c r="P2987" s="1" t="s">
        <v>2721</v>
      </c>
    </row>
    <row r="2988" spans="1:16">
      <c r="A2988" s="1" t="s">
        <v>1917</v>
      </c>
      <c r="B2988" s="1">
        <v>11</v>
      </c>
      <c r="C2988" s="1">
        <v>1.1725176335367301E+20</v>
      </c>
      <c r="D2988" s="1" t="s">
        <v>7221</v>
      </c>
      <c r="E2988" s="2">
        <v>45979</v>
      </c>
      <c r="F2988" s="1" t="s">
        <v>347</v>
      </c>
      <c r="G2988" s="1" t="s">
        <v>7222</v>
      </c>
      <c r="H2988" s="1" t="s">
        <v>7223</v>
      </c>
      <c r="I2988" s="1">
        <v>1</v>
      </c>
      <c r="J2988" s="3">
        <v>19710</v>
      </c>
      <c r="K2988" s="3">
        <v>17447</v>
      </c>
      <c r="L2988" s="1">
        <v>0</v>
      </c>
      <c r="M2988" s="4">
        <v>0</v>
      </c>
      <c r="N2988" s="3">
        <v>2263</v>
      </c>
      <c r="O2988" s="4">
        <v>0.115</v>
      </c>
      <c r="P2988" s="1" t="s">
        <v>2721</v>
      </c>
    </row>
    <row r="2989" spans="1:16">
      <c r="A2989" s="1" t="s">
        <v>1849</v>
      </c>
      <c r="B2989" s="1">
        <v>11</v>
      </c>
      <c r="C2989" s="1">
        <v>6940443</v>
      </c>
      <c r="D2989" s="1" t="s">
        <v>7224</v>
      </c>
      <c r="E2989" s="2">
        <v>45979</v>
      </c>
      <c r="F2989" s="1" t="s">
        <v>3861</v>
      </c>
      <c r="G2989" s="1" t="s">
        <v>7225</v>
      </c>
      <c r="H2989" s="1" t="s">
        <v>7226</v>
      </c>
      <c r="I2989" s="1">
        <v>1</v>
      </c>
      <c r="J2989" s="3">
        <v>48700</v>
      </c>
      <c r="K2989" s="3">
        <v>25232</v>
      </c>
      <c r="L2989" s="3">
        <v>7305</v>
      </c>
      <c r="M2989" s="4">
        <v>0.15</v>
      </c>
      <c r="N2989" s="3">
        <v>16163</v>
      </c>
      <c r="O2989" s="4">
        <v>0.33200000000000002</v>
      </c>
      <c r="P2989" s="1" t="s">
        <v>2721</v>
      </c>
    </row>
    <row r="2990" spans="1:16">
      <c r="A2990" s="1" t="s">
        <v>692</v>
      </c>
      <c r="B2990" s="1">
        <v>11</v>
      </c>
      <c r="C2990" s="1" t="s">
        <v>7227</v>
      </c>
      <c r="D2990" s="1" t="s">
        <v>7228</v>
      </c>
      <c r="E2990" s="2">
        <v>45979</v>
      </c>
      <c r="F2990" s="1" t="s">
        <v>33</v>
      </c>
      <c r="G2990" s="1" t="s">
        <v>7229</v>
      </c>
      <c r="H2990" s="1" t="s">
        <v>7230</v>
      </c>
      <c r="I2990" s="1">
        <v>1</v>
      </c>
      <c r="J2990" s="3">
        <v>100980</v>
      </c>
      <c r="K2990" s="3">
        <v>84608</v>
      </c>
      <c r="L2990" s="1">
        <v>0</v>
      </c>
      <c r="M2990" s="4">
        <v>0</v>
      </c>
      <c r="N2990" s="3">
        <v>16372</v>
      </c>
      <c r="O2990" s="4">
        <v>0.16200000000000001</v>
      </c>
      <c r="P2990" s="1" t="s">
        <v>2721</v>
      </c>
    </row>
    <row r="2991" spans="1:16">
      <c r="A2991" s="1" t="s">
        <v>692</v>
      </c>
      <c r="B2991" s="1">
        <v>11</v>
      </c>
      <c r="C2991" s="1" t="s">
        <v>7231</v>
      </c>
      <c r="D2991" s="1" t="s">
        <v>2041</v>
      </c>
      <c r="E2991" s="2">
        <v>45979</v>
      </c>
      <c r="F2991" s="1" t="s">
        <v>96</v>
      </c>
      <c r="G2991" s="1" t="s">
        <v>2042</v>
      </c>
      <c r="H2991" s="1" t="s">
        <v>2043</v>
      </c>
      <c r="I2991" s="1">
        <v>1</v>
      </c>
      <c r="J2991" s="3">
        <v>9064</v>
      </c>
      <c r="K2991" s="3">
        <v>8112</v>
      </c>
      <c r="L2991" s="1">
        <v>0</v>
      </c>
      <c r="M2991" s="4">
        <v>0</v>
      </c>
      <c r="N2991" s="1">
        <v>952</v>
      </c>
      <c r="O2991" s="4">
        <v>0.105</v>
      </c>
      <c r="P2991" s="1" t="s">
        <v>2721</v>
      </c>
    </row>
    <row r="2992" spans="1:16">
      <c r="A2992" s="1" t="s">
        <v>692</v>
      </c>
      <c r="B2992" s="1">
        <v>11</v>
      </c>
      <c r="C2992" s="1" t="s">
        <v>7232</v>
      </c>
      <c r="D2992" s="1" t="s">
        <v>2041</v>
      </c>
      <c r="E2992" s="2">
        <v>45979</v>
      </c>
      <c r="F2992" s="1" t="s">
        <v>96</v>
      </c>
      <c r="G2992" s="1" t="s">
        <v>2042</v>
      </c>
      <c r="H2992" s="1" t="s">
        <v>2043</v>
      </c>
      <c r="I2992" s="1">
        <v>1</v>
      </c>
      <c r="J2992" s="3">
        <v>9064</v>
      </c>
      <c r="K2992" s="3">
        <v>8112</v>
      </c>
      <c r="L2992" s="1">
        <v>0</v>
      </c>
      <c r="M2992" s="4">
        <v>0</v>
      </c>
      <c r="N2992" s="1">
        <v>952</v>
      </c>
      <c r="O2992" s="4">
        <v>0.105</v>
      </c>
      <c r="P2992" s="1" t="s">
        <v>2721</v>
      </c>
    </row>
    <row r="2993" spans="1:16">
      <c r="A2993" s="1" t="s">
        <v>692</v>
      </c>
      <c r="B2993" s="1">
        <v>11</v>
      </c>
      <c r="C2993" s="1" t="s">
        <v>7233</v>
      </c>
      <c r="D2993" s="1" t="s">
        <v>7234</v>
      </c>
      <c r="E2993" s="2">
        <v>45979</v>
      </c>
      <c r="F2993" s="1" t="s">
        <v>2008</v>
      </c>
      <c r="G2993" s="1" t="s">
        <v>7235</v>
      </c>
      <c r="H2993" s="1" t="s">
        <v>7236</v>
      </c>
      <c r="I2993" s="1">
        <v>1</v>
      </c>
      <c r="J2993" s="3">
        <v>75650</v>
      </c>
      <c r="K2993" s="3">
        <v>69412</v>
      </c>
      <c r="L2993" s="1">
        <v>0</v>
      </c>
      <c r="M2993" s="4">
        <v>0</v>
      </c>
      <c r="N2993" s="3">
        <v>6238</v>
      </c>
      <c r="O2993" s="4">
        <v>8.2000000000000003E-2</v>
      </c>
      <c r="P2993" s="1" t="s">
        <v>2721</v>
      </c>
    </row>
    <row r="2994" spans="1:16">
      <c r="A2994" s="1" t="s">
        <v>692</v>
      </c>
      <c r="B2994" s="1">
        <v>11</v>
      </c>
      <c r="C2994" s="1" t="s">
        <v>7237</v>
      </c>
      <c r="D2994" s="1" t="s">
        <v>694</v>
      </c>
      <c r="E2994" s="2">
        <v>45979</v>
      </c>
      <c r="F2994" s="1" t="s">
        <v>96</v>
      </c>
      <c r="G2994" s="1" t="s">
        <v>695</v>
      </c>
      <c r="H2994" s="1" t="s">
        <v>696</v>
      </c>
      <c r="I2994" s="1">
        <v>1</v>
      </c>
      <c r="J2994" s="3">
        <v>16065</v>
      </c>
      <c r="K2994" s="3">
        <v>14584</v>
      </c>
      <c r="L2994" s="1">
        <v>0</v>
      </c>
      <c r="M2994" s="4">
        <v>0</v>
      </c>
      <c r="N2994" s="3">
        <v>1481</v>
      </c>
      <c r="O2994" s="4">
        <v>9.1999999999999998E-2</v>
      </c>
      <c r="P2994" s="1" t="s">
        <v>2721</v>
      </c>
    </row>
    <row r="2995" spans="1:16">
      <c r="A2995" s="1" t="s">
        <v>702</v>
      </c>
      <c r="B2995" s="1">
        <v>11</v>
      </c>
      <c r="C2995" s="1" t="s">
        <v>7238</v>
      </c>
      <c r="D2995" s="1" t="s">
        <v>699</v>
      </c>
      <c r="E2995" s="2">
        <v>45979</v>
      </c>
      <c r="F2995" s="1" t="s">
        <v>96</v>
      </c>
      <c r="G2995" s="1" t="s">
        <v>700</v>
      </c>
      <c r="H2995" s="1" t="s">
        <v>701</v>
      </c>
      <c r="I2995" s="1">
        <v>1</v>
      </c>
      <c r="J2995" s="3">
        <v>14500</v>
      </c>
      <c r="K2995" s="3">
        <v>9488</v>
      </c>
      <c r="L2995" s="1">
        <v>0</v>
      </c>
      <c r="M2995" s="4">
        <v>0</v>
      </c>
      <c r="N2995" s="3">
        <v>5012</v>
      </c>
      <c r="O2995" s="4">
        <v>0.34599999999999997</v>
      </c>
      <c r="P2995" s="1" t="s">
        <v>2721</v>
      </c>
    </row>
    <row r="2996" spans="1:16">
      <c r="A2996" s="1" t="s">
        <v>702</v>
      </c>
      <c r="B2996" s="1">
        <v>11</v>
      </c>
      <c r="C2996" s="1" t="s">
        <v>7239</v>
      </c>
      <c r="D2996" s="1" t="s">
        <v>7240</v>
      </c>
      <c r="E2996" s="2">
        <v>45979</v>
      </c>
      <c r="F2996" s="1" t="s">
        <v>53</v>
      </c>
      <c r="G2996" s="1" t="s">
        <v>7241</v>
      </c>
      <c r="H2996" s="1" t="s">
        <v>6075</v>
      </c>
      <c r="I2996" s="1">
        <v>1</v>
      </c>
      <c r="J2996" s="3">
        <v>12200</v>
      </c>
      <c r="K2996" s="3">
        <v>9375</v>
      </c>
      <c r="L2996" s="1">
        <v>0</v>
      </c>
      <c r="M2996" s="4">
        <v>0</v>
      </c>
      <c r="N2996" s="3">
        <v>2825</v>
      </c>
      <c r="O2996" s="4">
        <v>0.23200000000000001</v>
      </c>
      <c r="P2996" s="1" t="s">
        <v>2721</v>
      </c>
    </row>
    <row r="2997" spans="1:16">
      <c r="A2997" s="1" t="s">
        <v>702</v>
      </c>
      <c r="B2997" s="1">
        <v>11</v>
      </c>
      <c r="C2997" s="1" t="s">
        <v>7242</v>
      </c>
      <c r="D2997" s="1" t="s">
        <v>7243</v>
      </c>
      <c r="E2997" s="2">
        <v>45979</v>
      </c>
      <c r="F2997" s="1" t="s">
        <v>783</v>
      </c>
      <c r="G2997" s="1" t="s">
        <v>7244</v>
      </c>
      <c r="H2997" s="1" t="s">
        <v>785</v>
      </c>
      <c r="I2997" s="1">
        <v>1</v>
      </c>
      <c r="J2997" s="3">
        <v>19800</v>
      </c>
      <c r="K2997" s="3">
        <v>15196</v>
      </c>
      <c r="L2997" s="1">
        <v>0</v>
      </c>
      <c r="M2997" s="4">
        <v>0</v>
      </c>
      <c r="N2997" s="3">
        <v>4604</v>
      </c>
      <c r="O2997" s="4">
        <v>0.23300000000000001</v>
      </c>
      <c r="P2997" s="1" t="s">
        <v>2721</v>
      </c>
    </row>
    <row r="2998" spans="1:16">
      <c r="A2998" s="1" t="s">
        <v>707</v>
      </c>
      <c r="B2998" s="1">
        <v>11</v>
      </c>
      <c r="C2998" s="1">
        <v>2.0251117123823002E+17</v>
      </c>
      <c r="D2998" s="1" t="s">
        <v>7245</v>
      </c>
      <c r="E2998" s="2">
        <v>45979</v>
      </c>
      <c r="F2998" s="1" t="s">
        <v>33</v>
      </c>
      <c r="G2998" s="1" t="s">
        <v>7246</v>
      </c>
      <c r="H2998" s="1" t="s">
        <v>7247</v>
      </c>
      <c r="I2998" s="1">
        <v>1</v>
      </c>
      <c r="J2998" s="3">
        <v>123000</v>
      </c>
      <c r="K2998" s="3">
        <v>85371</v>
      </c>
      <c r="L2998" s="3">
        <v>18450</v>
      </c>
      <c r="M2998" s="4">
        <v>0.15</v>
      </c>
      <c r="N2998" s="3">
        <v>19179</v>
      </c>
      <c r="O2998" s="4">
        <v>0.156</v>
      </c>
      <c r="P2998" s="1" t="s">
        <v>2721</v>
      </c>
    </row>
    <row r="2999" spans="1:16">
      <c r="A2999" s="1" t="s">
        <v>707</v>
      </c>
      <c r="B2999" s="1">
        <v>11</v>
      </c>
      <c r="C2999" s="1">
        <v>2.02511171339372E+17</v>
      </c>
      <c r="D2999" s="1" t="s">
        <v>2079</v>
      </c>
      <c r="E2999" s="2">
        <v>45979</v>
      </c>
      <c r="F2999" s="1" t="s">
        <v>235</v>
      </c>
      <c r="G2999" s="1" t="s">
        <v>2080</v>
      </c>
      <c r="H2999" s="1" t="s">
        <v>2081</v>
      </c>
      <c r="I2999" s="1">
        <v>1</v>
      </c>
      <c r="J2999" s="3">
        <v>14600</v>
      </c>
      <c r="K2999" s="3">
        <v>10010</v>
      </c>
      <c r="L2999" s="3">
        <v>2190</v>
      </c>
      <c r="M2999" s="4">
        <v>0.15</v>
      </c>
      <c r="N2999" s="3">
        <v>2400</v>
      </c>
      <c r="O2999" s="4">
        <v>0.16400000000000001</v>
      </c>
      <c r="P2999" s="1" t="s">
        <v>2721</v>
      </c>
    </row>
    <row r="3000" spans="1:16">
      <c r="A3000" s="1" t="s">
        <v>707</v>
      </c>
      <c r="B3000" s="1">
        <v>11</v>
      </c>
      <c r="C3000" s="1">
        <v>2.02511171339372E+17</v>
      </c>
      <c r="D3000" s="1" t="s">
        <v>3466</v>
      </c>
      <c r="E3000" s="2">
        <v>45979</v>
      </c>
      <c r="F3000" s="1" t="s">
        <v>235</v>
      </c>
      <c r="G3000" s="1" t="s">
        <v>3467</v>
      </c>
      <c r="H3000" s="1" t="s">
        <v>3468</v>
      </c>
      <c r="I3000" s="1">
        <v>1</v>
      </c>
      <c r="J3000" s="3">
        <v>14600</v>
      </c>
      <c r="K3000" s="3">
        <v>10010</v>
      </c>
      <c r="L3000" s="3">
        <v>2190</v>
      </c>
      <c r="M3000" s="4">
        <v>0.15</v>
      </c>
      <c r="N3000" s="3">
        <v>2400</v>
      </c>
      <c r="O3000" s="4">
        <v>0.16400000000000001</v>
      </c>
      <c r="P3000" s="1" t="s">
        <v>2721</v>
      </c>
    </row>
    <row r="3001" spans="1:16">
      <c r="A3001" s="1" t="s">
        <v>707</v>
      </c>
      <c r="B3001" s="1">
        <v>11</v>
      </c>
      <c r="C3001" s="1">
        <v>2.0251117160619002E+17</v>
      </c>
      <c r="D3001" s="1" t="s">
        <v>2071</v>
      </c>
      <c r="E3001" s="2">
        <v>45979</v>
      </c>
      <c r="F3001" s="1" t="s">
        <v>235</v>
      </c>
      <c r="G3001" s="1" t="s">
        <v>2072</v>
      </c>
      <c r="H3001" s="1" t="s">
        <v>2073</v>
      </c>
      <c r="I3001" s="1">
        <v>1</v>
      </c>
      <c r="J3001" s="3">
        <v>9800</v>
      </c>
      <c r="K3001" s="3">
        <v>7739</v>
      </c>
      <c r="L3001" s="3">
        <v>1470</v>
      </c>
      <c r="M3001" s="4">
        <v>0.15</v>
      </c>
      <c r="N3001" s="1">
        <v>591</v>
      </c>
      <c r="O3001" s="4">
        <v>0.06</v>
      </c>
      <c r="P3001" s="1" t="s">
        <v>2721</v>
      </c>
    </row>
    <row r="3002" spans="1:16">
      <c r="A3002" s="1" t="s">
        <v>707</v>
      </c>
      <c r="B3002" s="1">
        <v>11</v>
      </c>
      <c r="C3002" s="1">
        <v>2.0251118075127101E+17</v>
      </c>
      <c r="D3002" s="1" t="s">
        <v>2071</v>
      </c>
      <c r="E3002" s="2">
        <v>45979</v>
      </c>
      <c r="F3002" s="1" t="s">
        <v>235</v>
      </c>
      <c r="G3002" s="1" t="s">
        <v>2072</v>
      </c>
      <c r="H3002" s="1" t="s">
        <v>2073</v>
      </c>
      <c r="I3002" s="1">
        <v>1</v>
      </c>
      <c r="J3002" s="3">
        <v>9800</v>
      </c>
      <c r="K3002" s="3">
        <v>7739</v>
      </c>
      <c r="L3002" s="3">
        <v>1470</v>
      </c>
      <c r="M3002" s="4">
        <v>0.15</v>
      </c>
      <c r="N3002" s="1">
        <v>591</v>
      </c>
      <c r="O3002" s="4">
        <v>0.06</v>
      </c>
      <c r="P3002" s="1" t="s">
        <v>2721</v>
      </c>
    </row>
    <row r="3003" spans="1:16">
      <c r="A3003" s="1" t="s">
        <v>711</v>
      </c>
      <c r="B3003" s="1">
        <v>11</v>
      </c>
      <c r="C3003" s="1">
        <v>2.02511172203412E+17</v>
      </c>
      <c r="D3003" s="1" t="s">
        <v>7248</v>
      </c>
      <c r="E3003" s="2">
        <v>45979</v>
      </c>
      <c r="F3003" s="1" t="s">
        <v>1562</v>
      </c>
      <c r="G3003" s="1" t="s">
        <v>7249</v>
      </c>
      <c r="H3003" s="1" t="s">
        <v>7250</v>
      </c>
      <c r="I3003" s="1">
        <v>1</v>
      </c>
      <c r="J3003" s="3">
        <v>131000</v>
      </c>
      <c r="K3003" s="3">
        <v>103180</v>
      </c>
      <c r="L3003" s="3">
        <v>19650</v>
      </c>
      <c r="M3003" s="4">
        <v>0.15</v>
      </c>
      <c r="N3003" s="3">
        <v>8170</v>
      </c>
      <c r="O3003" s="4">
        <v>6.2E-2</v>
      </c>
      <c r="P3003" s="1" t="s">
        <v>2721</v>
      </c>
    </row>
    <row r="3004" spans="1:16">
      <c r="A3004" s="1" t="s">
        <v>718</v>
      </c>
      <c r="B3004" s="1">
        <v>11</v>
      </c>
      <c r="C3004" s="1">
        <v>2.0251118082024701E+17</v>
      </c>
      <c r="D3004" s="1" t="s">
        <v>1941</v>
      </c>
      <c r="E3004" s="2">
        <v>45979</v>
      </c>
      <c r="F3004" s="1" t="s">
        <v>235</v>
      </c>
      <c r="G3004" s="1" t="s">
        <v>1942</v>
      </c>
      <c r="H3004" s="1" t="s">
        <v>7251</v>
      </c>
      <c r="I3004" s="1">
        <v>1</v>
      </c>
      <c r="J3004" s="3">
        <v>24900</v>
      </c>
      <c r="K3004" s="3">
        <v>21340</v>
      </c>
      <c r="L3004" s="3">
        <v>2490</v>
      </c>
      <c r="M3004" s="4">
        <v>0.1</v>
      </c>
      <c r="N3004" s="3">
        <v>1070</v>
      </c>
      <c r="O3004" s="4">
        <v>4.2999999999999997E-2</v>
      </c>
      <c r="P3004" s="1" t="s">
        <v>2721</v>
      </c>
    </row>
    <row r="3005" spans="1:16">
      <c r="A3005" s="1" t="s">
        <v>718</v>
      </c>
      <c r="B3005" s="1">
        <v>11</v>
      </c>
      <c r="C3005" s="1">
        <v>2.02511180026508E+17</v>
      </c>
      <c r="D3005" s="1" t="s">
        <v>7252</v>
      </c>
      <c r="E3005" s="2">
        <v>45979</v>
      </c>
      <c r="F3005" s="1" t="s">
        <v>235</v>
      </c>
      <c r="G3005" s="1" t="s">
        <v>7253</v>
      </c>
      <c r="H3005" s="1" t="s">
        <v>7254</v>
      </c>
      <c r="I3005" s="1">
        <v>1</v>
      </c>
      <c r="J3005" s="3">
        <v>31000</v>
      </c>
      <c r="K3005" s="3">
        <v>21668</v>
      </c>
      <c r="L3005" s="3">
        <v>3100</v>
      </c>
      <c r="M3005" s="4">
        <v>0.1</v>
      </c>
      <c r="N3005" s="3">
        <v>6232</v>
      </c>
      <c r="O3005" s="4">
        <v>0.20100000000000001</v>
      </c>
      <c r="P3005" s="1" t="s">
        <v>2721</v>
      </c>
    </row>
    <row r="3006" spans="1:16">
      <c r="A3006" s="1" t="s">
        <v>718</v>
      </c>
      <c r="B3006" s="1">
        <v>11</v>
      </c>
      <c r="C3006" s="1">
        <v>2.0251117224154E+17</v>
      </c>
      <c r="D3006" s="1" t="s">
        <v>1941</v>
      </c>
      <c r="E3006" s="2">
        <v>45979</v>
      </c>
      <c r="F3006" s="1" t="s">
        <v>235</v>
      </c>
      <c r="G3006" s="1" t="s">
        <v>1942</v>
      </c>
      <c r="H3006" s="1" t="s">
        <v>7251</v>
      </c>
      <c r="I3006" s="1">
        <v>1</v>
      </c>
      <c r="J3006" s="3">
        <v>24900</v>
      </c>
      <c r="K3006" s="3">
        <v>21340</v>
      </c>
      <c r="L3006" s="3">
        <v>2490</v>
      </c>
      <c r="M3006" s="4">
        <v>0.1</v>
      </c>
      <c r="N3006" s="3">
        <v>1070</v>
      </c>
      <c r="O3006" s="4">
        <v>4.2999999999999997E-2</v>
      </c>
      <c r="P3006" s="1" t="s">
        <v>2721</v>
      </c>
    </row>
    <row r="3007" spans="1:16">
      <c r="A3007" s="1" t="s">
        <v>718</v>
      </c>
      <c r="B3007" s="1">
        <v>11</v>
      </c>
      <c r="C3007" s="1">
        <v>2.0251117224116198E+17</v>
      </c>
      <c r="D3007" s="1" t="s">
        <v>2093</v>
      </c>
      <c r="E3007" s="2">
        <v>45979</v>
      </c>
      <c r="F3007" s="1" t="s">
        <v>1935</v>
      </c>
      <c r="G3007" s="1" t="s">
        <v>2094</v>
      </c>
      <c r="H3007" s="1" t="s">
        <v>2095</v>
      </c>
      <c r="I3007" s="1">
        <v>1</v>
      </c>
      <c r="J3007" s="3">
        <v>16000</v>
      </c>
      <c r="K3007" s="3">
        <v>11247</v>
      </c>
      <c r="L3007" s="3">
        <v>1600</v>
      </c>
      <c r="M3007" s="4">
        <v>0.1</v>
      </c>
      <c r="N3007" s="3">
        <v>3153</v>
      </c>
      <c r="O3007" s="4">
        <v>0.19700000000000001</v>
      </c>
      <c r="P3007" s="1" t="s">
        <v>2721</v>
      </c>
    </row>
    <row r="3008" spans="1:16">
      <c r="A3008" s="1" t="s">
        <v>718</v>
      </c>
      <c r="B3008" s="1">
        <v>11</v>
      </c>
      <c r="C3008" s="1">
        <v>2.0251117213647299E+17</v>
      </c>
      <c r="D3008" s="1" t="s">
        <v>1941</v>
      </c>
      <c r="E3008" s="2">
        <v>45979</v>
      </c>
      <c r="F3008" s="1" t="s">
        <v>235</v>
      </c>
      <c r="G3008" s="1" t="s">
        <v>1942</v>
      </c>
      <c r="H3008" s="1" t="s">
        <v>7251</v>
      </c>
      <c r="I3008" s="1">
        <v>1</v>
      </c>
      <c r="J3008" s="3">
        <v>24900</v>
      </c>
      <c r="K3008" s="3">
        <v>21340</v>
      </c>
      <c r="L3008" s="3">
        <v>2490</v>
      </c>
      <c r="M3008" s="4">
        <v>0.1</v>
      </c>
      <c r="N3008" s="3">
        <v>1070</v>
      </c>
      <c r="O3008" s="4">
        <v>4.2999999999999997E-2</v>
      </c>
      <c r="P3008" s="1" t="s">
        <v>2721</v>
      </c>
    </row>
    <row r="3009" spans="1:16">
      <c r="A3009" s="1" t="s">
        <v>718</v>
      </c>
      <c r="B3009" s="1">
        <v>11</v>
      </c>
      <c r="C3009" s="1">
        <v>2.0251117203914899E+17</v>
      </c>
      <c r="D3009" s="1" t="s">
        <v>1941</v>
      </c>
      <c r="E3009" s="2">
        <v>45979</v>
      </c>
      <c r="F3009" s="1" t="s">
        <v>235</v>
      </c>
      <c r="G3009" s="1" t="s">
        <v>1942</v>
      </c>
      <c r="H3009" s="1" t="s">
        <v>7251</v>
      </c>
      <c r="I3009" s="1">
        <v>1</v>
      </c>
      <c r="J3009" s="3">
        <v>24900</v>
      </c>
      <c r="K3009" s="3">
        <v>21340</v>
      </c>
      <c r="L3009" s="3">
        <v>2490</v>
      </c>
      <c r="M3009" s="4">
        <v>0.1</v>
      </c>
      <c r="N3009" s="3">
        <v>1070</v>
      </c>
      <c r="O3009" s="4">
        <v>4.2999999999999997E-2</v>
      </c>
      <c r="P3009" s="1" t="s">
        <v>2721</v>
      </c>
    </row>
    <row r="3010" spans="1:16">
      <c r="A3010" s="1" t="s">
        <v>718</v>
      </c>
      <c r="B3010" s="1">
        <v>11</v>
      </c>
      <c r="C3010" s="1">
        <v>2.0251117183301101E+17</v>
      </c>
      <c r="D3010" s="1" t="s">
        <v>1941</v>
      </c>
      <c r="E3010" s="2">
        <v>45979</v>
      </c>
      <c r="F3010" s="1" t="s">
        <v>235</v>
      </c>
      <c r="G3010" s="1" t="s">
        <v>1942</v>
      </c>
      <c r="H3010" s="1" t="s">
        <v>7251</v>
      </c>
      <c r="I3010" s="1">
        <v>1</v>
      </c>
      <c r="J3010" s="3">
        <v>24900</v>
      </c>
      <c r="K3010" s="3">
        <v>21340</v>
      </c>
      <c r="L3010" s="3">
        <v>2490</v>
      </c>
      <c r="M3010" s="4">
        <v>0.1</v>
      </c>
      <c r="N3010" s="3">
        <v>1070</v>
      </c>
      <c r="O3010" s="4">
        <v>4.2999999999999997E-2</v>
      </c>
      <c r="P3010" s="1" t="s">
        <v>2721</v>
      </c>
    </row>
    <row r="3011" spans="1:16">
      <c r="A3011" s="1" t="s">
        <v>718</v>
      </c>
      <c r="B3011" s="1">
        <v>11</v>
      </c>
      <c r="C3011" s="1">
        <v>2.0251117141647699E+17</v>
      </c>
      <c r="D3011" s="1" t="s">
        <v>1941</v>
      </c>
      <c r="E3011" s="2">
        <v>45979</v>
      </c>
      <c r="F3011" s="1" t="s">
        <v>235</v>
      </c>
      <c r="G3011" s="1" t="s">
        <v>1942</v>
      </c>
      <c r="H3011" s="1" t="s">
        <v>7251</v>
      </c>
      <c r="I3011" s="1">
        <v>1</v>
      </c>
      <c r="J3011" s="3">
        <v>24900</v>
      </c>
      <c r="K3011" s="3">
        <v>21340</v>
      </c>
      <c r="L3011" s="3">
        <v>2490</v>
      </c>
      <c r="M3011" s="4">
        <v>0.1</v>
      </c>
      <c r="N3011" s="3">
        <v>1070</v>
      </c>
      <c r="O3011" s="4">
        <v>4.2999999999999997E-2</v>
      </c>
      <c r="P3011" s="1" t="s">
        <v>2721</v>
      </c>
    </row>
    <row r="3012" spans="1:16">
      <c r="A3012" s="1" t="s">
        <v>722</v>
      </c>
      <c r="B3012" s="1">
        <v>11</v>
      </c>
      <c r="C3012" s="1" t="s">
        <v>7255</v>
      </c>
      <c r="D3012" s="1" t="s">
        <v>7256</v>
      </c>
      <c r="E3012" s="2">
        <v>45979</v>
      </c>
      <c r="F3012" s="1" t="s">
        <v>3343</v>
      </c>
      <c r="G3012" s="1" t="s">
        <v>7257</v>
      </c>
      <c r="I3012" s="1">
        <v>1</v>
      </c>
      <c r="J3012" s="3">
        <v>37125</v>
      </c>
      <c r="K3012" s="3">
        <v>33580</v>
      </c>
      <c r="L3012" s="1">
        <v>0</v>
      </c>
      <c r="M3012" s="4">
        <v>0</v>
      </c>
      <c r="N3012" s="3">
        <v>3545</v>
      </c>
      <c r="O3012" s="4">
        <v>9.5000000000000001E-2</v>
      </c>
      <c r="P3012" s="1" t="s">
        <v>2721</v>
      </c>
    </row>
    <row r="3013" spans="1:16">
      <c r="A3013" s="1" t="s">
        <v>722</v>
      </c>
      <c r="B3013" s="1">
        <v>11</v>
      </c>
      <c r="C3013" s="1" t="s">
        <v>7258</v>
      </c>
      <c r="D3013" s="1" t="s">
        <v>728</v>
      </c>
      <c r="E3013" s="2">
        <v>45979</v>
      </c>
      <c r="F3013" s="1" t="s">
        <v>534</v>
      </c>
      <c r="G3013" s="1" t="s">
        <v>729</v>
      </c>
      <c r="H3013" s="1" t="s">
        <v>730</v>
      </c>
      <c r="I3013" s="1">
        <v>1</v>
      </c>
      <c r="J3013" s="3">
        <v>32925</v>
      </c>
      <c r="K3013" s="3">
        <v>31500</v>
      </c>
      <c r="L3013" s="1">
        <v>0</v>
      </c>
      <c r="M3013" s="4">
        <v>0</v>
      </c>
      <c r="N3013" s="3">
        <v>1425</v>
      </c>
      <c r="O3013" s="4">
        <v>4.2999999999999997E-2</v>
      </c>
      <c r="P3013" s="1" t="s">
        <v>2721</v>
      </c>
    </row>
    <row r="3014" spans="1:16">
      <c r="A3014" s="1" t="s">
        <v>722</v>
      </c>
      <c r="B3014" s="1">
        <v>11</v>
      </c>
      <c r="C3014" s="1" t="s">
        <v>7259</v>
      </c>
      <c r="D3014" s="1" t="s">
        <v>7260</v>
      </c>
      <c r="E3014" s="2">
        <v>45979</v>
      </c>
      <c r="F3014" s="1" t="s">
        <v>1271</v>
      </c>
      <c r="G3014" s="1" t="s">
        <v>7261</v>
      </c>
      <c r="H3014" s="1" t="s">
        <v>5779</v>
      </c>
      <c r="I3014" s="1">
        <v>1</v>
      </c>
      <c r="J3014" s="3">
        <v>10350</v>
      </c>
      <c r="K3014" s="3">
        <v>9380</v>
      </c>
      <c r="L3014" s="1">
        <v>0</v>
      </c>
      <c r="M3014" s="4">
        <v>0</v>
      </c>
      <c r="N3014" s="1">
        <v>970</v>
      </c>
      <c r="O3014" s="4">
        <v>9.4E-2</v>
      </c>
      <c r="P3014" s="1" t="s">
        <v>2721</v>
      </c>
    </row>
    <row r="3015" spans="1:16">
      <c r="A3015" s="1" t="s">
        <v>733</v>
      </c>
      <c r="B3015" s="1">
        <v>11</v>
      </c>
      <c r="C3015" s="1" t="s">
        <v>7262</v>
      </c>
      <c r="D3015" s="1" t="s">
        <v>694</v>
      </c>
      <c r="E3015" s="2">
        <v>45979</v>
      </c>
      <c r="F3015" s="1" t="s">
        <v>96</v>
      </c>
      <c r="G3015" s="1" t="s">
        <v>695</v>
      </c>
      <c r="I3015" s="1">
        <v>1</v>
      </c>
      <c r="J3015" s="3">
        <v>17001</v>
      </c>
      <c r="K3015" s="3">
        <v>14584</v>
      </c>
      <c r="L3015" s="1">
        <v>0</v>
      </c>
      <c r="M3015" s="4">
        <v>0</v>
      </c>
      <c r="N3015" s="3">
        <v>2417</v>
      </c>
      <c r="O3015" s="4">
        <v>0.14199999999999999</v>
      </c>
      <c r="P3015" s="1" t="s">
        <v>2721</v>
      </c>
    </row>
    <row r="3016" spans="1:16">
      <c r="A3016" s="1" t="s">
        <v>739</v>
      </c>
      <c r="B3016" s="1">
        <v>11</v>
      </c>
      <c r="C3016" s="1">
        <v>31447110</v>
      </c>
      <c r="D3016" s="1" t="s">
        <v>7263</v>
      </c>
      <c r="E3016" s="2">
        <v>45979</v>
      </c>
      <c r="F3016" s="1" t="s">
        <v>187</v>
      </c>
      <c r="G3016" s="1" t="s">
        <v>7264</v>
      </c>
      <c r="H3016" s="1" t="s">
        <v>7265</v>
      </c>
      <c r="I3016" s="1">
        <v>1</v>
      </c>
      <c r="J3016" s="3">
        <v>54900</v>
      </c>
      <c r="K3016" s="3">
        <v>42210</v>
      </c>
      <c r="L3016" s="3">
        <v>7247</v>
      </c>
      <c r="M3016" s="4">
        <v>0.13200000000000001</v>
      </c>
      <c r="N3016" s="3">
        <v>5443</v>
      </c>
      <c r="O3016" s="4">
        <v>9.9000000000000005E-2</v>
      </c>
      <c r="P3016" s="1" t="s">
        <v>2721</v>
      </c>
    </row>
    <row r="3017" spans="1:16">
      <c r="A3017" s="1" t="s">
        <v>739</v>
      </c>
      <c r="B3017" s="1">
        <v>11</v>
      </c>
      <c r="C3017" s="1">
        <v>31447110</v>
      </c>
      <c r="D3017" s="1" t="s">
        <v>7266</v>
      </c>
      <c r="E3017" s="2">
        <v>45979</v>
      </c>
      <c r="F3017" s="1" t="s">
        <v>187</v>
      </c>
      <c r="G3017" s="1" t="s">
        <v>7267</v>
      </c>
      <c r="H3017" s="1" t="s">
        <v>7268</v>
      </c>
      <c r="I3017" s="1">
        <v>1</v>
      </c>
      <c r="J3017" s="3">
        <v>54900</v>
      </c>
      <c r="K3017" s="3">
        <v>42210</v>
      </c>
      <c r="L3017" s="3">
        <v>7247</v>
      </c>
      <c r="M3017" s="4">
        <v>0.13200000000000001</v>
      </c>
      <c r="N3017" s="3">
        <v>5443</v>
      </c>
      <c r="O3017" s="4">
        <v>9.9000000000000005E-2</v>
      </c>
      <c r="P3017" s="1" t="s">
        <v>2721</v>
      </c>
    </row>
    <row r="3018" spans="1:16">
      <c r="A3018" s="1" t="s">
        <v>739</v>
      </c>
      <c r="B3018" s="1">
        <v>11</v>
      </c>
      <c r="C3018" s="1">
        <v>31452122</v>
      </c>
      <c r="D3018" s="1" t="s">
        <v>3502</v>
      </c>
      <c r="E3018" s="2">
        <v>45979</v>
      </c>
      <c r="F3018" s="1" t="s">
        <v>483</v>
      </c>
      <c r="G3018" s="1" t="s">
        <v>3503</v>
      </c>
      <c r="H3018" s="1" t="s">
        <v>1039</v>
      </c>
      <c r="I3018" s="1">
        <v>1</v>
      </c>
      <c r="J3018" s="3">
        <v>32800</v>
      </c>
      <c r="K3018" s="3">
        <v>26170</v>
      </c>
      <c r="L3018" s="3">
        <v>4330</v>
      </c>
      <c r="M3018" s="4">
        <v>0.13200000000000001</v>
      </c>
      <c r="N3018" s="3">
        <v>2300</v>
      </c>
      <c r="O3018" s="4">
        <v>7.0000000000000007E-2</v>
      </c>
      <c r="P3018" s="1" t="s">
        <v>2721</v>
      </c>
    </row>
    <row r="3019" spans="1:16">
      <c r="A3019" s="1" t="s">
        <v>756</v>
      </c>
      <c r="B3019" s="1">
        <v>11</v>
      </c>
      <c r="C3019" s="1" t="s">
        <v>7269</v>
      </c>
      <c r="D3019" s="1" t="s">
        <v>7270</v>
      </c>
      <c r="E3019" s="2">
        <v>45979</v>
      </c>
      <c r="F3019" s="1" t="s">
        <v>524</v>
      </c>
      <c r="G3019" s="1" t="s">
        <v>7271</v>
      </c>
      <c r="H3019" s="1" t="s">
        <v>7272</v>
      </c>
      <c r="I3019" s="1">
        <v>1</v>
      </c>
      <c r="J3019" s="3">
        <v>11350</v>
      </c>
      <c r="K3019" s="3">
        <v>9520</v>
      </c>
      <c r="L3019" s="1">
        <v>0</v>
      </c>
      <c r="M3019" s="4">
        <v>0</v>
      </c>
      <c r="N3019" s="3">
        <v>1830</v>
      </c>
      <c r="O3019" s="4">
        <v>0.161</v>
      </c>
      <c r="P3019" s="1" t="s">
        <v>2723</v>
      </c>
    </row>
    <row r="3020" spans="1:16">
      <c r="A3020" s="1" t="s">
        <v>756</v>
      </c>
      <c r="B3020" s="1">
        <v>11</v>
      </c>
      <c r="C3020" s="1" t="s">
        <v>7269</v>
      </c>
      <c r="D3020" s="1" t="s">
        <v>7273</v>
      </c>
      <c r="E3020" s="2">
        <v>45979</v>
      </c>
      <c r="F3020" s="1" t="s">
        <v>524</v>
      </c>
      <c r="G3020" s="1" t="s">
        <v>7274</v>
      </c>
      <c r="H3020" s="1" t="s">
        <v>7275</v>
      </c>
      <c r="I3020" s="1">
        <v>1</v>
      </c>
      <c r="J3020" s="3">
        <v>11350</v>
      </c>
      <c r="K3020" s="3">
        <v>9520</v>
      </c>
      <c r="L3020" s="1">
        <v>0</v>
      </c>
      <c r="M3020" s="4">
        <v>0</v>
      </c>
      <c r="N3020" s="3">
        <v>1830</v>
      </c>
      <c r="O3020" s="4">
        <v>0.161</v>
      </c>
      <c r="P3020" s="1" t="s">
        <v>2723</v>
      </c>
    </row>
    <row r="3021" spans="1:16">
      <c r="A3021" s="1" t="s">
        <v>756</v>
      </c>
      <c r="B3021" s="1">
        <v>11</v>
      </c>
      <c r="C3021" s="1" t="s">
        <v>7276</v>
      </c>
      <c r="D3021" s="1" t="s">
        <v>7277</v>
      </c>
      <c r="E3021" s="2">
        <v>45979</v>
      </c>
      <c r="F3021" s="1" t="s">
        <v>7278</v>
      </c>
      <c r="G3021" s="1" t="s">
        <v>7279</v>
      </c>
      <c r="H3021" s="1" t="s">
        <v>7280</v>
      </c>
      <c r="I3021" s="1">
        <v>1</v>
      </c>
      <c r="J3021" s="3">
        <v>187610</v>
      </c>
      <c r="K3021" s="3">
        <v>159460</v>
      </c>
      <c r="L3021" s="1">
        <v>0</v>
      </c>
      <c r="M3021" s="4">
        <v>0</v>
      </c>
      <c r="N3021" s="3">
        <v>28150</v>
      </c>
      <c r="O3021" s="4">
        <v>0.15</v>
      </c>
      <c r="P3021" s="1" t="s">
        <v>2723</v>
      </c>
    </row>
    <row r="3022" spans="1:16">
      <c r="A3022" s="1" t="s">
        <v>2193</v>
      </c>
      <c r="B3022" s="1">
        <v>11</v>
      </c>
      <c r="C3022" s="1">
        <v>30404600</v>
      </c>
      <c r="D3022" s="1" t="s">
        <v>7281</v>
      </c>
      <c r="E3022" s="2">
        <v>45979</v>
      </c>
      <c r="F3022" s="1" t="s">
        <v>126</v>
      </c>
      <c r="G3022" s="1" t="s">
        <v>7282</v>
      </c>
      <c r="H3022" s="1" t="s">
        <v>7283</v>
      </c>
      <c r="I3022" s="1">
        <v>1</v>
      </c>
      <c r="J3022" s="3">
        <v>12943</v>
      </c>
      <c r="K3022" s="3">
        <v>11913</v>
      </c>
      <c r="L3022" s="1">
        <v>0</v>
      </c>
      <c r="M3022" s="4">
        <v>0</v>
      </c>
      <c r="N3022" s="3">
        <v>1030</v>
      </c>
      <c r="O3022" s="4">
        <v>0.08</v>
      </c>
      <c r="P3022" s="1" t="s">
        <v>2723</v>
      </c>
    </row>
    <row r="3023" spans="1:16">
      <c r="A3023" s="1" t="s">
        <v>763</v>
      </c>
      <c r="B3023" s="1">
        <v>11</v>
      </c>
      <c r="C3023" s="1" t="s">
        <v>7284</v>
      </c>
      <c r="D3023" s="1" t="s">
        <v>7285</v>
      </c>
      <c r="E3023" s="2">
        <v>45979</v>
      </c>
      <c r="F3023" s="1" t="s">
        <v>53</v>
      </c>
      <c r="G3023" s="1" t="s">
        <v>7286</v>
      </c>
      <c r="H3023" s="1" t="s">
        <v>7287</v>
      </c>
      <c r="I3023" s="1">
        <v>1</v>
      </c>
      <c r="J3023" s="3">
        <v>8420</v>
      </c>
      <c r="K3023" s="3">
        <v>7655</v>
      </c>
      <c r="L3023" s="1">
        <v>0</v>
      </c>
      <c r="M3023" s="4">
        <v>0</v>
      </c>
      <c r="N3023" s="1">
        <v>765</v>
      </c>
      <c r="O3023" s="4">
        <v>9.0999999999999998E-2</v>
      </c>
      <c r="P3023" s="1" t="s">
        <v>2723</v>
      </c>
    </row>
    <row r="3024" spans="1:16">
      <c r="A3024" s="1" t="s">
        <v>763</v>
      </c>
      <c r="B3024" s="1">
        <v>11</v>
      </c>
      <c r="C3024" s="1" t="s">
        <v>7284</v>
      </c>
      <c r="D3024" s="1" t="s">
        <v>7288</v>
      </c>
      <c r="E3024" s="2">
        <v>45979</v>
      </c>
      <c r="F3024" s="1" t="s">
        <v>53</v>
      </c>
      <c r="G3024" s="1" t="s">
        <v>7289</v>
      </c>
      <c r="H3024" s="1" t="s">
        <v>7290</v>
      </c>
      <c r="I3024" s="1">
        <v>1</v>
      </c>
      <c r="J3024" s="3">
        <v>16920</v>
      </c>
      <c r="K3024" s="3">
        <v>15396</v>
      </c>
      <c r="L3024" s="1">
        <v>0</v>
      </c>
      <c r="M3024" s="4">
        <v>0</v>
      </c>
      <c r="N3024" s="3">
        <v>1524</v>
      </c>
      <c r="O3024" s="4">
        <v>0.09</v>
      </c>
      <c r="P3024" s="1" t="s">
        <v>2723</v>
      </c>
    </row>
    <row r="3025" spans="1:16">
      <c r="A3025" s="1" t="s">
        <v>763</v>
      </c>
      <c r="B3025" s="1">
        <v>11</v>
      </c>
      <c r="C3025" s="1" t="s">
        <v>7291</v>
      </c>
      <c r="D3025" s="1" t="s">
        <v>7292</v>
      </c>
      <c r="E3025" s="2">
        <v>45979</v>
      </c>
      <c r="F3025" s="1" t="s">
        <v>151</v>
      </c>
      <c r="G3025" s="1" t="s">
        <v>7293</v>
      </c>
      <c r="I3025" s="1">
        <v>1</v>
      </c>
      <c r="J3025" s="3">
        <v>25500</v>
      </c>
      <c r="K3025" s="3">
        <v>23919</v>
      </c>
      <c r="L3025" s="1">
        <v>0</v>
      </c>
      <c r="M3025" s="4">
        <v>0</v>
      </c>
      <c r="N3025" s="3">
        <v>1581</v>
      </c>
      <c r="O3025" s="4">
        <v>6.2E-2</v>
      </c>
      <c r="P3025" s="1" t="s">
        <v>2723</v>
      </c>
    </row>
    <row r="3026" spans="1:16">
      <c r="A3026" s="1" t="s">
        <v>763</v>
      </c>
      <c r="B3026" s="1">
        <v>11</v>
      </c>
      <c r="C3026" s="1" t="s">
        <v>7294</v>
      </c>
      <c r="D3026" s="1" t="s">
        <v>7292</v>
      </c>
      <c r="E3026" s="2">
        <v>45979</v>
      </c>
      <c r="F3026" s="1" t="s">
        <v>151</v>
      </c>
      <c r="G3026" s="1" t="s">
        <v>7293</v>
      </c>
      <c r="I3026" s="1">
        <v>1</v>
      </c>
      <c r="J3026" s="3">
        <v>25500</v>
      </c>
      <c r="K3026" s="3">
        <v>23919</v>
      </c>
      <c r="L3026" s="1">
        <v>0</v>
      </c>
      <c r="M3026" s="4">
        <v>0</v>
      </c>
      <c r="N3026" s="3">
        <v>1581</v>
      </c>
      <c r="O3026" s="4">
        <v>6.2E-2</v>
      </c>
      <c r="P3026" s="1" t="s">
        <v>2723</v>
      </c>
    </row>
    <row r="3027" spans="1:16">
      <c r="A3027" s="1" t="s">
        <v>763</v>
      </c>
      <c r="B3027" s="1">
        <v>11</v>
      </c>
      <c r="C3027" s="1" t="s">
        <v>7295</v>
      </c>
      <c r="D3027" s="1" t="s">
        <v>7292</v>
      </c>
      <c r="E3027" s="2">
        <v>45979</v>
      </c>
      <c r="F3027" s="1" t="s">
        <v>151</v>
      </c>
      <c r="G3027" s="1" t="s">
        <v>7293</v>
      </c>
      <c r="I3027" s="1">
        <v>1</v>
      </c>
      <c r="J3027" s="3">
        <v>25500</v>
      </c>
      <c r="K3027" s="3">
        <v>23919</v>
      </c>
      <c r="L3027" s="1">
        <v>0</v>
      </c>
      <c r="M3027" s="4">
        <v>0</v>
      </c>
      <c r="N3027" s="3">
        <v>1581</v>
      </c>
      <c r="O3027" s="4">
        <v>6.2E-2</v>
      </c>
      <c r="P3027" s="1" t="s">
        <v>2723</v>
      </c>
    </row>
    <row r="3028" spans="1:16">
      <c r="A3028" s="1" t="s">
        <v>763</v>
      </c>
      <c r="B3028" s="1">
        <v>11</v>
      </c>
      <c r="C3028" s="1" t="s">
        <v>7296</v>
      </c>
      <c r="D3028" s="1" t="s">
        <v>7292</v>
      </c>
      <c r="E3028" s="2">
        <v>45979</v>
      </c>
      <c r="F3028" s="1" t="s">
        <v>151</v>
      </c>
      <c r="G3028" s="1" t="s">
        <v>7293</v>
      </c>
      <c r="I3028" s="1">
        <v>1</v>
      </c>
      <c r="J3028" s="3">
        <v>25500</v>
      </c>
      <c r="K3028" s="3">
        <v>23919</v>
      </c>
      <c r="L3028" s="1">
        <v>0</v>
      </c>
      <c r="M3028" s="4">
        <v>0</v>
      </c>
      <c r="N3028" s="3">
        <v>1581</v>
      </c>
      <c r="O3028" s="4">
        <v>6.2E-2</v>
      </c>
      <c r="P3028" s="1" t="s">
        <v>2723</v>
      </c>
    </row>
    <row r="3029" spans="1:16">
      <c r="A3029" s="1" t="s">
        <v>763</v>
      </c>
      <c r="B3029" s="1">
        <v>11</v>
      </c>
      <c r="C3029" s="1" t="s">
        <v>7297</v>
      </c>
      <c r="D3029" s="1" t="s">
        <v>7292</v>
      </c>
      <c r="E3029" s="2">
        <v>45979</v>
      </c>
      <c r="F3029" s="1" t="s">
        <v>151</v>
      </c>
      <c r="G3029" s="1" t="s">
        <v>7293</v>
      </c>
      <c r="I3029" s="1">
        <v>1</v>
      </c>
      <c r="J3029" s="3">
        <v>25500</v>
      </c>
      <c r="K3029" s="3">
        <v>23919</v>
      </c>
      <c r="L3029" s="1">
        <v>0</v>
      </c>
      <c r="M3029" s="4">
        <v>0</v>
      </c>
      <c r="N3029" s="3">
        <v>1581</v>
      </c>
      <c r="O3029" s="4">
        <v>6.2E-2</v>
      </c>
      <c r="P3029" s="1" t="s">
        <v>2723</v>
      </c>
    </row>
    <row r="3030" spans="1:16">
      <c r="A3030" s="1" t="s">
        <v>763</v>
      </c>
      <c r="B3030" s="1">
        <v>11</v>
      </c>
      <c r="C3030" s="1" t="s">
        <v>7298</v>
      </c>
      <c r="D3030" s="1" t="s">
        <v>2205</v>
      </c>
      <c r="E3030" s="2">
        <v>45979</v>
      </c>
      <c r="F3030" s="1" t="s">
        <v>2206</v>
      </c>
      <c r="G3030" s="1" t="s">
        <v>2207</v>
      </c>
      <c r="H3030" s="1" t="s">
        <v>2208</v>
      </c>
      <c r="I3030" s="1">
        <v>1</v>
      </c>
      <c r="J3030" s="3">
        <v>22610</v>
      </c>
      <c r="K3030" s="3">
        <v>20437</v>
      </c>
      <c r="L3030" s="1">
        <v>0</v>
      </c>
      <c r="M3030" s="4">
        <v>0</v>
      </c>
      <c r="N3030" s="3">
        <v>2173</v>
      </c>
      <c r="O3030" s="4">
        <v>9.6000000000000002E-2</v>
      </c>
      <c r="P3030" s="1" t="s">
        <v>2723</v>
      </c>
    </row>
    <row r="3031" spans="1:16">
      <c r="A3031" s="1" t="s">
        <v>763</v>
      </c>
      <c r="B3031" s="1">
        <v>11</v>
      </c>
      <c r="C3031" s="1" t="s">
        <v>7299</v>
      </c>
      <c r="D3031" s="1" t="s">
        <v>7292</v>
      </c>
      <c r="E3031" s="2">
        <v>45979</v>
      </c>
      <c r="F3031" s="1" t="s">
        <v>151</v>
      </c>
      <c r="G3031" s="1" t="s">
        <v>7293</v>
      </c>
      <c r="I3031" s="1">
        <v>1</v>
      </c>
      <c r="J3031" s="3">
        <v>25500</v>
      </c>
      <c r="K3031" s="3">
        <v>23919</v>
      </c>
      <c r="L3031" s="1">
        <v>0</v>
      </c>
      <c r="M3031" s="4">
        <v>0</v>
      </c>
      <c r="N3031" s="3">
        <v>1581</v>
      </c>
      <c r="O3031" s="4">
        <v>6.2E-2</v>
      </c>
      <c r="P3031" s="1" t="s">
        <v>2723</v>
      </c>
    </row>
    <row r="3032" spans="1:16">
      <c r="A3032" s="1" t="s">
        <v>763</v>
      </c>
      <c r="B3032" s="1">
        <v>11</v>
      </c>
      <c r="C3032" s="1" t="s">
        <v>7300</v>
      </c>
      <c r="D3032" s="1" t="s">
        <v>5364</v>
      </c>
      <c r="E3032" s="2">
        <v>45979</v>
      </c>
      <c r="F3032" s="1" t="s">
        <v>187</v>
      </c>
      <c r="G3032" s="1" t="s">
        <v>5365</v>
      </c>
      <c r="I3032" s="1">
        <v>1</v>
      </c>
      <c r="J3032" s="3">
        <v>26180</v>
      </c>
      <c r="K3032" s="3">
        <v>23733</v>
      </c>
      <c r="L3032" s="1">
        <v>0</v>
      </c>
      <c r="M3032" s="4">
        <v>0</v>
      </c>
      <c r="N3032" s="3">
        <v>2447</v>
      </c>
      <c r="O3032" s="4">
        <v>9.2999999999999999E-2</v>
      </c>
      <c r="P3032" s="1" t="s">
        <v>2723</v>
      </c>
    </row>
    <row r="3033" spans="1:16">
      <c r="A3033" s="1" t="s">
        <v>763</v>
      </c>
      <c r="B3033" s="1">
        <v>11</v>
      </c>
      <c r="C3033" s="1" t="s">
        <v>7301</v>
      </c>
      <c r="D3033" s="1" t="s">
        <v>2663</v>
      </c>
      <c r="E3033" s="2">
        <v>45979</v>
      </c>
      <c r="F3033" s="1" t="s">
        <v>151</v>
      </c>
      <c r="G3033" s="1" t="s">
        <v>2664</v>
      </c>
      <c r="I3033" s="1">
        <v>1</v>
      </c>
      <c r="J3033" s="3">
        <v>15560</v>
      </c>
      <c r="K3033" s="3">
        <v>14070</v>
      </c>
      <c r="L3033" s="1">
        <v>0</v>
      </c>
      <c r="M3033" s="4">
        <v>0</v>
      </c>
      <c r="N3033" s="3">
        <v>1490</v>
      </c>
      <c r="O3033" s="4">
        <v>9.6000000000000002E-2</v>
      </c>
      <c r="P3033" s="1" t="s">
        <v>2723</v>
      </c>
    </row>
    <row r="3034" spans="1:16">
      <c r="A3034" s="1" t="s">
        <v>763</v>
      </c>
      <c r="B3034" s="1">
        <v>11</v>
      </c>
      <c r="C3034" s="1" t="s">
        <v>7302</v>
      </c>
      <c r="D3034" s="1" t="s">
        <v>7292</v>
      </c>
      <c r="E3034" s="2">
        <v>45979</v>
      </c>
      <c r="F3034" s="1" t="s">
        <v>151</v>
      </c>
      <c r="G3034" s="1" t="s">
        <v>7293</v>
      </c>
      <c r="I3034" s="1">
        <v>1</v>
      </c>
      <c r="J3034" s="3">
        <v>25500</v>
      </c>
      <c r="K3034" s="3">
        <v>23919</v>
      </c>
      <c r="L3034" s="1">
        <v>0</v>
      </c>
      <c r="M3034" s="4">
        <v>0</v>
      </c>
      <c r="N3034" s="3">
        <v>1581</v>
      </c>
      <c r="O3034" s="4">
        <v>6.2E-2</v>
      </c>
      <c r="P3034" s="1" t="s">
        <v>2723</v>
      </c>
    </row>
    <row r="3035" spans="1:16">
      <c r="A3035" s="1" t="s">
        <v>763</v>
      </c>
      <c r="B3035" s="1">
        <v>11</v>
      </c>
      <c r="C3035" s="1" t="s">
        <v>7303</v>
      </c>
      <c r="D3035" s="1" t="s">
        <v>7304</v>
      </c>
      <c r="E3035" s="2">
        <v>45979</v>
      </c>
      <c r="F3035" s="1" t="s">
        <v>3740</v>
      </c>
      <c r="G3035" s="1" t="s">
        <v>7305</v>
      </c>
      <c r="H3035" s="1" t="s">
        <v>7306</v>
      </c>
      <c r="I3035" s="1">
        <v>1</v>
      </c>
      <c r="J3035" s="3">
        <v>27120</v>
      </c>
      <c r="K3035" s="3">
        <v>21236</v>
      </c>
      <c r="L3035" s="1">
        <v>0</v>
      </c>
      <c r="M3035" s="4">
        <v>0</v>
      </c>
      <c r="N3035" s="3">
        <v>5884</v>
      </c>
      <c r="O3035" s="4">
        <v>0.217</v>
      </c>
      <c r="P3035" s="1" t="s">
        <v>2723</v>
      </c>
    </row>
    <row r="3036" spans="1:16">
      <c r="A3036" s="1" t="s">
        <v>763</v>
      </c>
      <c r="B3036" s="1">
        <v>11</v>
      </c>
      <c r="C3036" s="1" t="s">
        <v>7307</v>
      </c>
      <c r="D3036" s="1" t="s">
        <v>2257</v>
      </c>
      <c r="E3036" s="2">
        <v>45979</v>
      </c>
      <c r="F3036" s="1" t="s">
        <v>2206</v>
      </c>
      <c r="G3036" s="1" t="s">
        <v>2258</v>
      </c>
      <c r="H3036" s="1" t="s">
        <v>2259</v>
      </c>
      <c r="I3036" s="1">
        <v>1</v>
      </c>
      <c r="J3036" s="3">
        <v>37320</v>
      </c>
      <c r="K3036" s="3">
        <v>33800</v>
      </c>
      <c r="L3036" s="1">
        <v>0</v>
      </c>
      <c r="M3036" s="4">
        <v>0</v>
      </c>
      <c r="N3036" s="3">
        <v>3520</v>
      </c>
      <c r="O3036" s="4">
        <v>9.4E-2</v>
      </c>
      <c r="P3036" s="1" t="s">
        <v>2723</v>
      </c>
    </row>
    <row r="3037" spans="1:16">
      <c r="A3037" s="1" t="s">
        <v>602</v>
      </c>
      <c r="B3037" s="1">
        <v>11</v>
      </c>
      <c r="C3037" s="1">
        <v>8100153966925</v>
      </c>
      <c r="D3037" s="1" t="s">
        <v>610</v>
      </c>
      <c r="E3037" s="2">
        <v>45979</v>
      </c>
      <c r="F3037" s="1" t="s">
        <v>604</v>
      </c>
      <c r="G3037" s="1" t="s">
        <v>611</v>
      </c>
      <c r="H3037" s="1" t="s">
        <v>6611</v>
      </c>
      <c r="I3037" s="1">
        <v>5</v>
      </c>
      <c r="J3037" s="3">
        <v>50800</v>
      </c>
      <c r="K3037" s="3">
        <v>38250</v>
      </c>
      <c r="L3037" s="3">
        <v>5893</v>
      </c>
      <c r="M3037" s="4">
        <v>0.11600000000000001</v>
      </c>
      <c r="N3037" s="3">
        <v>6657</v>
      </c>
      <c r="O3037" s="4">
        <v>0.13100000000000001</v>
      </c>
      <c r="P3037" s="1" t="s">
        <v>2721</v>
      </c>
    </row>
    <row r="3038" spans="1:16">
      <c r="A3038" s="1" t="s">
        <v>602</v>
      </c>
      <c r="B3038" s="1">
        <v>11</v>
      </c>
      <c r="C3038" s="1">
        <v>14100153790095</v>
      </c>
      <c r="D3038" s="1" t="s">
        <v>610</v>
      </c>
      <c r="E3038" s="2">
        <v>45979</v>
      </c>
      <c r="F3038" s="1" t="s">
        <v>604</v>
      </c>
      <c r="G3038" s="1" t="s">
        <v>611</v>
      </c>
      <c r="H3038" s="1" t="s">
        <v>6611</v>
      </c>
      <c r="I3038" s="1">
        <v>5</v>
      </c>
      <c r="J3038" s="3">
        <v>50800</v>
      </c>
      <c r="K3038" s="3">
        <v>38250</v>
      </c>
      <c r="L3038" s="3">
        <v>5893</v>
      </c>
      <c r="M3038" s="4">
        <v>0.11600000000000001</v>
      </c>
      <c r="N3038" s="3">
        <v>6657</v>
      </c>
      <c r="O3038" s="4">
        <v>0.13100000000000001</v>
      </c>
      <c r="P3038" s="1" t="s">
        <v>2721</v>
      </c>
    </row>
    <row r="3039" spans="1:16">
      <c r="A3039" s="1" t="s">
        <v>15</v>
      </c>
      <c r="B3039" s="1">
        <v>11</v>
      </c>
      <c r="C3039" s="1" t="s">
        <v>7308</v>
      </c>
      <c r="D3039" s="1" t="s">
        <v>955</v>
      </c>
      <c r="E3039" s="2">
        <v>45980</v>
      </c>
      <c r="F3039" s="1" t="s">
        <v>554</v>
      </c>
      <c r="G3039" s="1" t="s">
        <v>956</v>
      </c>
      <c r="H3039" s="1" t="s">
        <v>2654</v>
      </c>
      <c r="I3039" s="1">
        <v>1</v>
      </c>
      <c r="J3039" s="3">
        <v>31653</v>
      </c>
      <c r="K3039" s="3">
        <v>30204</v>
      </c>
      <c r="L3039" s="1">
        <v>0</v>
      </c>
      <c r="M3039" s="4">
        <v>0</v>
      </c>
      <c r="N3039" s="3">
        <v>1449</v>
      </c>
      <c r="O3039" s="4">
        <v>4.5999999999999999E-2</v>
      </c>
      <c r="P3039" s="1" t="s">
        <v>2721</v>
      </c>
    </row>
    <row r="3040" spans="1:16">
      <c r="A3040" s="1" t="s">
        <v>15</v>
      </c>
      <c r="B3040" s="1">
        <v>11</v>
      </c>
      <c r="C3040" s="1" t="s">
        <v>7308</v>
      </c>
      <c r="D3040" s="1" t="s">
        <v>3180</v>
      </c>
      <c r="E3040" s="2">
        <v>45980</v>
      </c>
      <c r="F3040" s="1" t="s">
        <v>554</v>
      </c>
      <c r="G3040" s="1" t="s">
        <v>3181</v>
      </c>
      <c r="H3040" s="1" t="s">
        <v>7309</v>
      </c>
      <c r="I3040" s="1">
        <v>1</v>
      </c>
      <c r="J3040" s="3">
        <v>19070</v>
      </c>
      <c r="K3040" s="3">
        <v>18197</v>
      </c>
      <c r="L3040" s="1">
        <v>0</v>
      </c>
      <c r="M3040" s="4">
        <v>0</v>
      </c>
      <c r="N3040" s="1">
        <v>873</v>
      </c>
      <c r="O3040" s="4">
        <v>4.5999999999999999E-2</v>
      </c>
      <c r="P3040" s="1" t="s">
        <v>2721</v>
      </c>
    </row>
    <row r="3041" spans="1:16">
      <c r="A3041" s="1" t="s">
        <v>15</v>
      </c>
      <c r="B3041" s="1">
        <v>11</v>
      </c>
      <c r="C3041" s="1" t="s">
        <v>7308</v>
      </c>
      <c r="D3041" s="1" t="s">
        <v>906</v>
      </c>
      <c r="E3041" s="2">
        <v>45980</v>
      </c>
      <c r="F3041" s="1" t="s">
        <v>554</v>
      </c>
      <c r="G3041" s="1" t="s">
        <v>907</v>
      </c>
      <c r="H3041" s="1" t="s">
        <v>2935</v>
      </c>
      <c r="I3041" s="1">
        <v>1</v>
      </c>
      <c r="J3041" s="3">
        <v>23936</v>
      </c>
      <c r="K3041" s="3">
        <v>22840</v>
      </c>
      <c r="L3041" s="1">
        <v>0</v>
      </c>
      <c r="M3041" s="4">
        <v>0</v>
      </c>
      <c r="N3041" s="3">
        <v>1096</v>
      </c>
      <c r="O3041" s="4">
        <v>4.5999999999999999E-2</v>
      </c>
      <c r="P3041" s="1" t="s">
        <v>2721</v>
      </c>
    </row>
    <row r="3042" spans="1:16">
      <c r="A3042" s="1" t="s">
        <v>15</v>
      </c>
      <c r="B3042" s="1">
        <v>11</v>
      </c>
      <c r="C3042" s="1" t="s">
        <v>7310</v>
      </c>
      <c r="D3042" s="1" t="s">
        <v>7311</v>
      </c>
      <c r="E3042" s="2">
        <v>45980</v>
      </c>
      <c r="F3042" s="1" t="s">
        <v>646</v>
      </c>
      <c r="G3042" s="1" t="s">
        <v>7312</v>
      </c>
      <c r="H3042" s="1" t="s">
        <v>7313</v>
      </c>
      <c r="I3042" s="1">
        <v>1</v>
      </c>
      <c r="J3042" s="3">
        <v>135654</v>
      </c>
      <c r="K3042" s="3">
        <v>129444</v>
      </c>
      <c r="L3042" s="1">
        <v>0</v>
      </c>
      <c r="M3042" s="4">
        <v>0</v>
      </c>
      <c r="N3042" s="3">
        <v>6210</v>
      </c>
      <c r="O3042" s="4">
        <v>4.5999999999999999E-2</v>
      </c>
      <c r="P3042" s="1" t="s">
        <v>2721</v>
      </c>
    </row>
    <row r="3043" spans="1:16">
      <c r="A3043" s="1" t="s">
        <v>15</v>
      </c>
      <c r="B3043" s="1">
        <v>11</v>
      </c>
      <c r="C3043" s="1" t="s">
        <v>7314</v>
      </c>
      <c r="D3043" s="1" t="s">
        <v>2559</v>
      </c>
      <c r="E3043" s="2">
        <v>45980</v>
      </c>
      <c r="F3043" s="1" t="s">
        <v>276</v>
      </c>
      <c r="G3043" s="1" t="s">
        <v>2560</v>
      </c>
      <c r="H3043" s="1" t="s">
        <v>2561</v>
      </c>
      <c r="I3043" s="1">
        <v>1</v>
      </c>
      <c r="J3043" s="3">
        <v>28505</v>
      </c>
      <c r="K3043" s="3">
        <v>27200</v>
      </c>
      <c r="L3043" s="1">
        <v>0</v>
      </c>
      <c r="M3043" s="4">
        <v>0</v>
      </c>
      <c r="N3043" s="3">
        <v>1305</v>
      </c>
      <c r="O3043" s="4">
        <v>4.5999999999999999E-2</v>
      </c>
      <c r="P3043" s="1" t="s">
        <v>2721</v>
      </c>
    </row>
    <row r="3044" spans="1:16">
      <c r="A3044" s="1" t="s">
        <v>15</v>
      </c>
      <c r="B3044" s="1">
        <v>11</v>
      </c>
      <c r="C3044" s="1" t="s">
        <v>7315</v>
      </c>
      <c r="D3044" s="1" t="s">
        <v>52</v>
      </c>
      <c r="E3044" s="2">
        <v>45980</v>
      </c>
      <c r="F3044" s="1" t="s">
        <v>53</v>
      </c>
      <c r="G3044" s="1" t="s">
        <v>54</v>
      </c>
      <c r="H3044" s="1" t="s">
        <v>55</v>
      </c>
      <c r="I3044" s="1">
        <v>1</v>
      </c>
      <c r="J3044" s="3">
        <v>16135</v>
      </c>
      <c r="K3044" s="3">
        <v>15396</v>
      </c>
      <c r="L3044" s="1">
        <v>0</v>
      </c>
      <c r="M3044" s="4">
        <v>0</v>
      </c>
      <c r="N3044" s="1">
        <v>739</v>
      </c>
      <c r="O3044" s="4">
        <v>4.5999999999999999E-2</v>
      </c>
      <c r="P3044" s="1" t="s">
        <v>2721</v>
      </c>
    </row>
    <row r="3045" spans="1:16">
      <c r="A3045" s="1" t="s">
        <v>15</v>
      </c>
      <c r="B3045" s="1">
        <v>11</v>
      </c>
      <c r="C3045" s="1" t="s">
        <v>7316</v>
      </c>
      <c r="D3045" s="1" t="s">
        <v>86</v>
      </c>
      <c r="E3045" s="2">
        <v>45980</v>
      </c>
      <c r="F3045" s="1" t="s">
        <v>53</v>
      </c>
      <c r="G3045" s="1" t="s">
        <v>87</v>
      </c>
      <c r="H3045" s="1" t="s">
        <v>88</v>
      </c>
      <c r="I3045" s="1">
        <v>1</v>
      </c>
      <c r="J3045" s="3">
        <v>14956</v>
      </c>
      <c r="K3045" s="3">
        <v>14272</v>
      </c>
      <c r="L3045" s="1">
        <v>0</v>
      </c>
      <c r="M3045" s="4">
        <v>0</v>
      </c>
      <c r="N3045" s="1">
        <v>684</v>
      </c>
      <c r="O3045" s="4">
        <v>4.5999999999999999E-2</v>
      </c>
      <c r="P3045" s="1" t="s">
        <v>2721</v>
      </c>
    </row>
    <row r="3046" spans="1:16">
      <c r="A3046" s="1" t="s">
        <v>15</v>
      </c>
      <c r="B3046" s="1">
        <v>11</v>
      </c>
      <c r="C3046" s="1" t="s">
        <v>7317</v>
      </c>
      <c r="D3046" s="1" t="s">
        <v>504</v>
      </c>
      <c r="E3046" s="2">
        <v>45980</v>
      </c>
      <c r="F3046" s="1" t="s">
        <v>407</v>
      </c>
      <c r="G3046" s="1" t="s">
        <v>505</v>
      </c>
      <c r="H3046" s="1" t="s">
        <v>1004</v>
      </c>
      <c r="I3046" s="1">
        <v>1</v>
      </c>
      <c r="J3046" s="3">
        <v>9339</v>
      </c>
      <c r="K3046" s="3">
        <v>8911</v>
      </c>
      <c r="L3046" s="1">
        <v>0</v>
      </c>
      <c r="M3046" s="4">
        <v>0</v>
      </c>
      <c r="N3046" s="1">
        <v>428</v>
      </c>
      <c r="O3046" s="4">
        <v>4.5999999999999999E-2</v>
      </c>
      <c r="P3046" s="1" t="s">
        <v>2721</v>
      </c>
    </row>
    <row r="3047" spans="1:16">
      <c r="A3047" s="1" t="s">
        <v>15</v>
      </c>
      <c r="B3047" s="1">
        <v>11</v>
      </c>
      <c r="C3047" s="1" t="s">
        <v>7317</v>
      </c>
      <c r="D3047" s="1" t="s">
        <v>960</v>
      </c>
      <c r="E3047" s="2">
        <v>45980</v>
      </c>
      <c r="F3047" s="1" t="s">
        <v>407</v>
      </c>
      <c r="G3047" s="1" t="s">
        <v>961</v>
      </c>
      <c r="H3047" s="1" t="s">
        <v>2830</v>
      </c>
      <c r="I3047" s="1">
        <v>1</v>
      </c>
      <c r="J3047" s="3">
        <v>16711</v>
      </c>
      <c r="K3047" s="3">
        <v>15946</v>
      </c>
      <c r="L3047" s="1">
        <v>0</v>
      </c>
      <c r="M3047" s="4">
        <v>0</v>
      </c>
      <c r="N3047" s="1">
        <v>765</v>
      </c>
      <c r="O3047" s="4">
        <v>4.5999999999999999E-2</v>
      </c>
      <c r="P3047" s="1" t="s">
        <v>2721</v>
      </c>
    </row>
    <row r="3048" spans="1:16">
      <c r="A3048" s="1" t="s">
        <v>15</v>
      </c>
      <c r="B3048" s="1">
        <v>11</v>
      </c>
      <c r="C3048" s="1" t="s">
        <v>7318</v>
      </c>
      <c r="D3048" s="1" t="s">
        <v>169</v>
      </c>
      <c r="E3048" s="2">
        <v>45980</v>
      </c>
      <c r="F3048" s="1" t="s">
        <v>53</v>
      </c>
      <c r="G3048" s="1" t="s">
        <v>170</v>
      </c>
      <c r="H3048" s="1" t="s">
        <v>171</v>
      </c>
      <c r="I3048" s="1">
        <v>1</v>
      </c>
      <c r="J3048" s="3">
        <v>14332</v>
      </c>
      <c r="K3048" s="3">
        <v>13676</v>
      </c>
      <c r="L3048" s="1">
        <v>0</v>
      </c>
      <c r="M3048" s="4">
        <v>0</v>
      </c>
      <c r="N3048" s="1">
        <v>656</v>
      </c>
      <c r="O3048" s="4">
        <v>4.5999999999999999E-2</v>
      </c>
      <c r="P3048" s="1" t="s">
        <v>2721</v>
      </c>
    </row>
    <row r="3049" spans="1:16">
      <c r="A3049" s="1" t="s">
        <v>15</v>
      </c>
      <c r="B3049" s="1">
        <v>11</v>
      </c>
      <c r="C3049" s="1" t="s">
        <v>7319</v>
      </c>
      <c r="D3049" s="1" t="s">
        <v>169</v>
      </c>
      <c r="E3049" s="2">
        <v>45980</v>
      </c>
      <c r="F3049" s="1" t="s">
        <v>53</v>
      </c>
      <c r="G3049" s="1" t="s">
        <v>170</v>
      </c>
      <c r="H3049" s="1" t="s">
        <v>171</v>
      </c>
      <c r="I3049" s="1">
        <v>1</v>
      </c>
      <c r="J3049" s="3">
        <v>14332</v>
      </c>
      <c r="K3049" s="3">
        <v>13676</v>
      </c>
      <c r="L3049" s="1">
        <v>0</v>
      </c>
      <c r="M3049" s="4">
        <v>0</v>
      </c>
      <c r="N3049" s="1">
        <v>656</v>
      </c>
      <c r="O3049" s="4">
        <v>4.5999999999999999E-2</v>
      </c>
      <c r="P3049" s="1" t="s">
        <v>2721</v>
      </c>
    </row>
    <row r="3050" spans="1:16">
      <c r="A3050" s="1" t="s">
        <v>15</v>
      </c>
      <c r="B3050" s="1">
        <v>11</v>
      </c>
      <c r="C3050" s="1" t="s">
        <v>7320</v>
      </c>
      <c r="D3050" s="1" t="s">
        <v>22</v>
      </c>
      <c r="E3050" s="2">
        <v>45980</v>
      </c>
      <c r="F3050" s="1" t="s">
        <v>23</v>
      </c>
      <c r="G3050" s="1" t="s">
        <v>24</v>
      </c>
      <c r="H3050" s="1" t="s">
        <v>25</v>
      </c>
      <c r="I3050" s="1">
        <v>4</v>
      </c>
      <c r="J3050" s="3">
        <v>45218</v>
      </c>
      <c r="K3050" s="3">
        <v>43148</v>
      </c>
      <c r="L3050" s="1">
        <v>0</v>
      </c>
      <c r="M3050" s="4">
        <v>0</v>
      </c>
      <c r="N3050" s="3">
        <v>2070</v>
      </c>
      <c r="O3050" s="4">
        <v>4.5999999999999999E-2</v>
      </c>
      <c r="P3050" s="1" t="s">
        <v>2721</v>
      </c>
    </row>
    <row r="3051" spans="1:16">
      <c r="A3051" s="1" t="s">
        <v>15</v>
      </c>
      <c r="B3051" s="1">
        <v>11</v>
      </c>
      <c r="C3051" s="1" t="s">
        <v>7321</v>
      </c>
      <c r="D3051" s="1" t="s">
        <v>169</v>
      </c>
      <c r="E3051" s="2">
        <v>45980</v>
      </c>
      <c r="F3051" s="1" t="s">
        <v>53</v>
      </c>
      <c r="G3051" s="1" t="s">
        <v>170</v>
      </c>
      <c r="H3051" s="1" t="s">
        <v>171</v>
      </c>
      <c r="I3051" s="1">
        <v>1</v>
      </c>
      <c r="J3051" s="3">
        <v>14332</v>
      </c>
      <c r="K3051" s="3">
        <v>13676</v>
      </c>
      <c r="L3051" s="1">
        <v>0</v>
      </c>
      <c r="M3051" s="4">
        <v>0</v>
      </c>
      <c r="N3051" s="1">
        <v>656</v>
      </c>
      <c r="O3051" s="4">
        <v>4.5999999999999999E-2</v>
      </c>
      <c r="P3051" s="1" t="s">
        <v>2721</v>
      </c>
    </row>
    <row r="3052" spans="1:16">
      <c r="A3052" s="1" t="s">
        <v>15</v>
      </c>
      <c r="B3052" s="1">
        <v>11</v>
      </c>
      <c r="C3052" s="1" t="s">
        <v>7322</v>
      </c>
      <c r="D3052" s="1" t="s">
        <v>27</v>
      </c>
      <c r="E3052" s="2">
        <v>45980</v>
      </c>
      <c r="F3052" s="1" t="s">
        <v>28</v>
      </c>
      <c r="G3052" s="1" t="s">
        <v>29</v>
      </c>
      <c r="H3052" s="1" t="s">
        <v>352</v>
      </c>
      <c r="I3052" s="1">
        <v>1</v>
      </c>
      <c r="J3052" s="3">
        <v>27033</v>
      </c>
      <c r="K3052" s="3">
        <v>25795</v>
      </c>
      <c r="L3052" s="1">
        <v>0</v>
      </c>
      <c r="M3052" s="4">
        <v>0</v>
      </c>
      <c r="N3052" s="3">
        <v>1238</v>
      </c>
      <c r="O3052" s="4">
        <v>4.5999999999999999E-2</v>
      </c>
      <c r="P3052" s="1" t="s">
        <v>2721</v>
      </c>
    </row>
    <row r="3053" spans="1:16">
      <c r="A3053" s="1" t="s">
        <v>15</v>
      </c>
      <c r="B3053" s="1">
        <v>11</v>
      </c>
      <c r="C3053" s="1" t="s">
        <v>7323</v>
      </c>
      <c r="D3053" s="1" t="s">
        <v>1088</v>
      </c>
      <c r="E3053" s="2">
        <v>45980</v>
      </c>
      <c r="F3053" s="1" t="s">
        <v>317</v>
      </c>
      <c r="G3053" s="1" t="s">
        <v>1089</v>
      </c>
      <c r="H3053" s="1" t="s">
        <v>7324</v>
      </c>
      <c r="I3053" s="1">
        <v>1</v>
      </c>
      <c r="J3053" s="3">
        <v>39615</v>
      </c>
      <c r="K3053" s="3">
        <v>37801</v>
      </c>
      <c r="L3053" s="1">
        <v>0</v>
      </c>
      <c r="M3053" s="4">
        <v>0</v>
      </c>
      <c r="N3053" s="3">
        <v>1814</v>
      </c>
      <c r="O3053" s="4">
        <v>4.5999999999999999E-2</v>
      </c>
      <c r="P3053" s="1" t="s">
        <v>2721</v>
      </c>
    </row>
    <row r="3054" spans="1:16">
      <c r="A3054" s="1" t="s">
        <v>15</v>
      </c>
      <c r="B3054" s="1">
        <v>11</v>
      </c>
      <c r="C3054" s="1" t="s">
        <v>7325</v>
      </c>
      <c r="D3054" s="1" t="s">
        <v>899</v>
      </c>
      <c r="E3054" s="2">
        <v>45980</v>
      </c>
      <c r="F3054" s="1" t="s">
        <v>500</v>
      </c>
      <c r="G3054" s="1" t="s">
        <v>900</v>
      </c>
      <c r="H3054" s="1" t="s">
        <v>1678</v>
      </c>
      <c r="I3054" s="1">
        <v>1</v>
      </c>
      <c r="J3054" s="3">
        <v>102702</v>
      </c>
      <c r="K3054" s="3">
        <v>98000</v>
      </c>
      <c r="L3054" s="1">
        <v>0</v>
      </c>
      <c r="M3054" s="4">
        <v>0</v>
      </c>
      <c r="N3054" s="3">
        <v>4702</v>
      </c>
      <c r="O3054" s="4">
        <v>4.5999999999999999E-2</v>
      </c>
      <c r="P3054" s="1" t="s">
        <v>2721</v>
      </c>
    </row>
    <row r="3055" spans="1:16">
      <c r="A3055" s="1" t="s">
        <v>15</v>
      </c>
      <c r="B3055" s="1">
        <v>11</v>
      </c>
      <c r="C3055" s="1" t="s">
        <v>7326</v>
      </c>
      <c r="D3055" s="1" t="s">
        <v>311</v>
      </c>
      <c r="E3055" s="2">
        <v>45980</v>
      </c>
      <c r="F3055" s="1" t="s">
        <v>312</v>
      </c>
      <c r="G3055" s="1" t="s">
        <v>313</v>
      </c>
      <c r="H3055" s="1" t="s">
        <v>339</v>
      </c>
      <c r="I3055" s="1">
        <v>1</v>
      </c>
      <c r="J3055" s="3">
        <v>28310</v>
      </c>
      <c r="K3055" s="3">
        <v>27014</v>
      </c>
      <c r="L3055" s="1">
        <v>0</v>
      </c>
      <c r="M3055" s="4">
        <v>0</v>
      </c>
      <c r="N3055" s="3">
        <v>1296</v>
      </c>
      <c r="O3055" s="4">
        <v>4.5999999999999999E-2</v>
      </c>
      <c r="P3055" s="1" t="s">
        <v>2721</v>
      </c>
    </row>
    <row r="3056" spans="1:16">
      <c r="A3056" s="1" t="s">
        <v>15</v>
      </c>
      <c r="B3056" s="1">
        <v>11</v>
      </c>
      <c r="C3056" s="1" t="s">
        <v>7327</v>
      </c>
      <c r="D3056" s="1" t="s">
        <v>1064</v>
      </c>
      <c r="E3056" s="2">
        <v>45980</v>
      </c>
      <c r="F3056" s="1" t="s">
        <v>53</v>
      </c>
      <c r="G3056" s="1" t="s">
        <v>1065</v>
      </c>
      <c r="H3056" s="1" t="s">
        <v>1066</v>
      </c>
      <c r="I3056" s="1">
        <v>1</v>
      </c>
      <c r="J3056" s="3">
        <v>7572</v>
      </c>
      <c r="K3056" s="3">
        <v>7225</v>
      </c>
      <c r="L3056" s="1">
        <v>0</v>
      </c>
      <c r="M3056" s="4">
        <v>0</v>
      </c>
      <c r="N3056" s="1">
        <v>347</v>
      </c>
      <c r="O3056" s="4">
        <v>4.5999999999999999E-2</v>
      </c>
      <c r="P3056" s="1" t="s">
        <v>2721</v>
      </c>
    </row>
    <row r="3057" spans="1:16">
      <c r="A3057" s="1" t="s">
        <v>15</v>
      </c>
      <c r="B3057" s="1">
        <v>11</v>
      </c>
      <c r="C3057" s="1" t="s">
        <v>7328</v>
      </c>
      <c r="D3057" s="1" t="s">
        <v>5092</v>
      </c>
      <c r="E3057" s="2">
        <v>45980</v>
      </c>
      <c r="F3057" s="1" t="s">
        <v>347</v>
      </c>
      <c r="G3057" s="1" t="s">
        <v>5093</v>
      </c>
      <c r="H3057" s="1" t="s">
        <v>7329</v>
      </c>
      <c r="I3057" s="1">
        <v>1</v>
      </c>
      <c r="J3057" s="3">
        <v>20790</v>
      </c>
      <c r="K3057" s="3">
        <v>19839</v>
      </c>
      <c r="L3057" s="1">
        <v>0</v>
      </c>
      <c r="M3057" s="4">
        <v>0</v>
      </c>
      <c r="N3057" s="1">
        <v>951</v>
      </c>
      <c r="O3057" s="4">
        <v>4.5999999999999999E-2</v>
      </c>
      <c r="P3057" s="1" t="s">
        <v>2721</v>
      </c>
    </row>
    <row r="3058" spans="1:16">
      <c r="A3058" s="1" t="s">
        <v>15</v>
      </c>
      <c r="B3058" s="1">
        <v>11</v>
      </c>
      <c r="C3058" s="1" t="s">
        <v>7330</v>
      </c>
      <c r="D3058" s="1" t="s">
        <v>132</v>
      </c>
      <c r="E3058" s="2">
        <v>45980</v>
      </c>
      <c r="F3058" s="1" t="s">
        <v>53</v>
      </c>
      <c r="G3058" s="1" t="s">
        <v>133</v>
      </c>
      <c r="H3058" s="1" t="s">
        <v>88</v>
      </c>
      <c r="I3058" s="1">
        <v>1</v>
      </c>
      <c r="J3058" s="3">
        <v>17036</v>
      </c>
      <c r="K3058" s="3">
        <v>16256</v>
      </c>
      <c r="L3058" s="1">
        <v>0</v>
      </c>
      <c r="M3058" s="4">
        <v>0</v>
      </c>
      <c r="N3058" s="1">
        <v>780</v>
      </c>
      <c r="O3058" s="4">
        <v>4.5999999999999999E-2</v>
      </c>
      <c r="P3058" s="1" t="s">
        <v>2721</v>
      </c>
    </row>
    <row r="3059" spans="1:16">
      <c r="A3059" s="1" t="s">
        <v>15</v>
      </c>
      <c r="B3059" s="1">
        <v>11</v>
      </c>
      <c r="C3059" s="1" t="s">
        <v>7331</v>
      </c>
      <c r="D3059" s="1" t="s">
        <v>797</v>
      </c>
      <c r="E3059" s="2">
        <v>45980</v>
      </c>
      <c r="F3059" s="1" t="s">
        <v>798</v>
      </c>
      <c r="G3059" s="1" t="s">
        <v>799</v>
      </c>
      <c r="H3059" s="1" t="s">
        <v>800</v>
      </c>
      <c r="I3059" s="1">
        <v>1</v>
      </c>
      <c r="J3059" s="3">
        <v>19660</v>
      </c>
      <c r="K3059" s="3">
        <v>18760</v>
      </c>
      <c r="L3059" s="1">
        <v>0</v>
      </c>
      <c r="M3059" s="4">
        <v>0</v>
      </c>
      <c r="N3059" s="1">
        <v>900</v>
      </c>
      <c r="O3059" s="4">
        <v>4.5999999999999999E-2</v>
      </c>
      <c r="P3059" s="1" t="s">
        <v>2721</v>
      </c>
    </row>
    <row r="3060" spans="1:16">
      <c r="A3060" s="1" t="s">
        <v>15</v>
      </c>
      <c r="B3060" s="1">
        <v>11</v>
      </c>
      <c r="C3060" s="1" t="s">
        <v>7331</v>
      </c>
      <c r="D3060" s="1" t="s">
        <v>797</v>
      </c>
      <c r="E3060" s="2">
        <v>45980</v>
      </c>
      <c r="F3060" s="1" t="s">
        <v>798</v>
      </c>
      <c r="G3060" s="1" t="s">
        <v>799</v>
      </c>
      <c r="H3060" s="1" t="s">
        <v>7332</v>
      </c>
      <c r="I3060" s="1">
        <v>1</v>
      </c>
      <c r="J3060" s="3">
        <v>19660</v>
      </c>
      <c r="K3060" s="3">
        <v>18760</v>
      </c>
      <c r="L3060" s="1">
        <v>0</v>
      </c>
      <c r="M3060" s="4">
        <v>0</v>
      </c>
      <c r="N3060" s="1">
        <v>900</v>
      </c>
      <c r="O3060" s="4">
        <v>4.5999999999999999E-2</v>
      </c>
      <c r="P3060" s="1" t="s">
        <v>2721</v>
      </c>
    </row>
    <row r="3061" spans="1:16">
      <c r="A3061" s="1" t="s">
        <v>15</v>
      </c>
      <c r="B3061" s="1">
        <v>11</v>
      </c>
      <c r="C3061" s="1" t="s">
        <v>7333</v>
      </c>
      <c r="D3061" s="1" t="s">
        <v>474</v>
      </c>
      <c r="E3061" s="2">
        <v>45980</v>
      </c>
      <c r="F3061" s="1" t="s">
        <v>53</v>
      </c>
      <c r="G3061" s="1" t="s">
        <v>475</v>
      </c>
      <c r="H3061" s="1" t="s">
        <v>476</v>
      </c>
      <c r="I3061" s="1">
        <v>1</v>
      </c>
      <c r="J3061" s="3">
        <v>10726</v>
      </c>
      <c r="K3061" s="3">
        <v>10235</v>
      </c>
      <c r="L3061" s="1">
        <v>0</v>
      </c>
      <c r="M3061" s="4">
        <v>0</v>
      </c>
      <c r="N3061" s="1">
        <v>491</v>
      </c>
      <c r="O3061" s="4">
        <v>4.5999999999999999E-2</v>
      </c>
      <c r="P3061" s="1" t="s">
        <v>2721</v>
      </c>
    </row>
    <row r="3062" spans="1:16">
      <c r="A3062" s="1" t="s">
        <v>15</v>
      </c>
      <c r="B3062" s="1">
        <v>11</v>
      </c>
      <c r="C3062" s="1" t="s">
        <v>7334</v>
      </c>
      <c r="D3062" s="1" t="s">
        <v>3585</v>
      </c>
      <c r="E3062" s="2">
        <v>45980</v>
      </c>
      <c r="F3062" s="1" t="s">
        <v>856</v>
      </c>
      <c r="G3062" s="1" t="s">
        <v>3586</v>
      </c>
      <c r="H3062" s="1" t="s">
        <v>3587</v>
      </c>
      <c r="I3062" s="1">
        <v>1</v>
      </c>
      <c r="J3062" s="3">
        <v>103215</v>
      </c>
      <c r="K3062" s="3">
        <v>98490</v>
      </c>
      <c r="L3062" s="1">
        <v>0</v>
      </c>
      <c r="M3062" s="4">
        <v>0</v>
      </c>
      <c r="N3062" s="3">
        <v>4725</v>
      </c>
      <c r="O3062" s="4">
        <v>4.5999999999999999E-2</v>
      </c>
      <c r="P3062" s="1" t="s">
        <v>2721</v>
      </c>
    </row>
    <row r="3063" spans="1:16">
      <c r="A3063" s="1" t="s">
        <v>15</v>
      </c>
      <c r="B3063" s="1">
        <v>11</v>
      </c>
      <c r="C3063" s="1" t="s">
        <v>7335</v>
      </c>
      <c r="D3063" s="1" t="s">
        <v>390</v>
      </c>
      <c r="E3063" s="2">
        <v>45980</v>
      </c>
      <c r="F3063" s="1" t="s">
        <v>256</v>
      </c>
      <c r="G3063" s="1" t="s">
        <v>391</v>
      </c>
      <c r="H3063" s="1" t="s">
        <v>392</v>
      </c>
      <c r="I3063" s="1">
        <v>1</v>
      </c>
      <c r="J3063" s="3">
        <v>12799</v>
      </c>
      <c r="K3063" s="3">
        <v>12213</v>
      </c>
      <c r="L3063" s="1">
        <v>0</v>
      </c>
      <c r="M3063" s="4">
        <v>0</v>
      </c>
      <c r="N3063" s="1">
        <v>586</v>
      </c>
      <c r="O3063" s="4">
        <v>4.5999999999999999E-2</v>
      </c>
      <c r="P3063" s="1" t="s">
        <v>2721</v>
      </c>
    </row>
    <row r="3064" spans="1:16">
      <c r="A3064" s="1" t="s">
        <v>15</v>
      </c>
      <c r="B3064" s="1">
        <v>11</v>
      </c>
      <c r="C3064" s="1" t="s">
        <v>7336</v>
      </c>
      <c r="D3064" s="1" t="s">
        <v>32</v>
      </c>
      <c r="E3064" s="2">
        <v>45980</v>
      </c>
      <c r="F3064" s="1" t="s">
        <v>33</v>
      </c>
      <c r="G3064" s="1" t="s">
        <v>34</v>
      </c>
      <c r="H3064" s="1" t="s">
        <v>5742</v>
      </c>
      <c r="I3064" s="1">
        <v>1</v>
      </c>
      <c r="J3064" s="3">
        <v>94370</v>
      </c>
      <c r="K3064" s="3">
        <v>90050</v>
      </c>
      <c r="L3064" s="1">
        <v>0</v>
      </c>
      <c r="M3064" s="4">
        <v>0</v>
      </c>
      <c r="N3064" s="3">
        <v>4320</v>
      </c>
      <c r="O3064" s="4">
        <v>4.5999999999999999E-2</v>
      </c>
      <c r="P3064" s="1" t="s">
        <v>2721</v>
      </c>
    </row>
    <row r="3065" spans="1:16">
      <c r="A3065" s="1" t="s">
        <v>15</v>
      </c>
      <c r="B3065" s="1">
        <v>11</v>
      </c>
      <c r="C3065" s="1" t="s">
        <v>7337</v>
      </c>
      <c r="D3065" s="1" t="s">
        <v>574</v>
      </c>
      <c r="E3065" s="2">
        <v>45980</v>
      </c>
      <c r="F3065" s="1" t="s">
        <v>126</v>
      </c>
      <c r="G3065" s="1" t="s">
        <v>575</v>
      </c>
      <c r="H3065" s="1" t="s">
        <v>576</v>
      </c>
      <c r="I3065" s="1">
        <v>3</v>
      </c>
      <c r="J3065" s="3">
        <v>45710</v>
      </c>
      <c r="K3065" s="3">
        <v>43617</v>
      </c>
      <c r="L3065" s="1">
        <v>0</v>
      </c>
      <c r="M3065" s="4">
        <v>0</v>
      </c>
      <c r="N3065" s="3">
        <v>2093</v>
      </c>
      <c r="O3065" s="4">
        <v>4.5999999999999999E-2</v>
      </c>
      <c r="P3065" s="1" t="s">
        <v>2721</v>
      </c>
    </row>
    <row r="3066" spans="1:16">
      <c r="A3066" s="1" t="s">
        <v>15</v>
      </c>
      <c r="B3066" s="1">
        <v>11</v>
      </c>
      <c r="C3066" s="1" t="s">
        <v>7338</v>
      </c>
      <c r="D3066" s="1" t="s">
        <v>3554</v>
      </c>
      <c r="E3066" s="2">
        <v>45980</v>
      </c>
      <c r="F3066" s="1" t="s">
        <v>96</v>
      </c>
      <c r="G3066" s="1" t="s">
        <v>3555</v>
      </c>
      <c r="H3066" s="1" t="s">
        <v>2022</v>
      </c>
      <c r="I3066" s="1">
        <v>1</v>
      </c>
      <c r="J3066" s="3">
        <v>9405</v>
      </c>
      <c r="K3066" s="3">
        <v>8975</v>
      </c>
      <c r="L3066" s="1">
        <v>0</v>
      </c>
      <c r="M3066" s="4">
        <v>0</v>
      </c>
      <c r="N3066" s="1">
        <v>430</v>
      </c>
      <c r="O3066" s="4">
        <v>4.5999999999999999E-2</v>
      </c>
      <c r="P3066" s="1" t="s">
        <v>2721</v>
      </c>
    </row>
    <row r="3067" spans="1:16">
      <c r="A3067" s="1" t="s">
        <v>15</v>
      </c>
      <c r="B3067" s="1">
        <v>11</v>
      </c>
      <c r="C3067" s="1" t="s">
        <v>7339</v>
      </c>
      <c r="D3067" s="1" t="s">
        <v>985</v>
      </c>
      <c r="E3067" s="2">
        <v>45980</v>
      </c>
      <c r="F3067" s="1" t="s">
        <v>187</v>
      </c>
      <c r="G3067" s="1" t="s">
        <v>986</v>
      </c>
      <c r="H3067" s="1" t="s">
        <v>987</v>
      </c>
      <c r="I3067" s="1">
        <v>1</v>
      </c>
      <c r="J3067" s="3">
        <v>23592</v>
      </c>
      <c r="K3067" s="3">
        <v>22512</v>
      </c>
      <c r="L3067" s="1">
        <v>0</v>
      </c>
      <c r="M3067" s="4">
        <v>0</v>
      </c>
      <c r="N3067" s="3">
        <v>1080</v>
      </c>
      <c r="O3067" s="4">
        <v>4.5999999999999999E-2</v>
      </c>
      <c r="P3067" s="1" t="s">
        <v>2721</v>
      </c>
    </row>
    <row r="3068" spans="1:16">
      <c r="A3068" s="1" t="s">
        <v>15</v>
      </c>
      <c r="B3068" s="1">
        <v>11</v>
      </c>
      <c r="C3068" s="1" t="s">
        <v>7339</v>
      </c>
      <c r="D3068" s="1" t="s">
        <v>985</v>
      </c>
      <c r="E3068" s="2">
        <v>45980</v>
      </c>
      <c r="F3068" s="1" t="s">
        <v>187</v>
      </c>
      <c r="G3068" s="1" t="s">
        <v>986</v>
      </c>
      <c r="H3068" s="1" t="s">
        <v>4632</v>
      </c>
      <c r="I3068" s="1">
        <v>1</v>
      </c>
      <c r="J3068" s="3">
        <v>23592</v>
      </c>
      <c r="K3068" s="3">
        <v>22512</v>
      </c>
      <c r="L3068" s="1">
        <v>0</v>
      </c>
      <c r="M3068" s="4">
        <v>0</v>
      </c>
      <c r="N3068" s="3">
        <v>1080</v>
      </c>
      <c r="O3068" s="4">
        <v>4.5999999999999999E-2</v>
      </c>
      <c r="P3068" s="1" t="s">
        <v>2721</v>
      </c>
    </row>
    <row r="3069" spans="1:16">
      <c r="A3069" s="1" t="s">
        <v>15</v>
      </c>
      <c r="B3069" s="1">
        <v>11</v>
      </c>
      <c r="C3069" s="1" t="s">
        <v>7339</v>
      </c>
      <c r="D3069" s="1" t="s">
        <v>7340</v>
      </c>
      <c r="E3069" s="2">
        <v>45980</v>
      </c>
      <c r="F3069" s="1" t="s">
        <v>2173</v>
      </c>
      <c r="G3069" s="1" t="s">
        <v>7341</v>
      </c>
      <c r="H3069" s="1" t="s">
        <v>7342</v>
      </c>
      <c r="I3069" s="1">
        <v>1</v>
      </c>
      <c r="J3069" s="3">
        <v>23297</v>
      </c>
      <c r="K3069" s="3">
        <v>22231</v>
      </c>
      <c r="L3069" s="1">
        <v>0</v>
      </c>
      <c r="M3069" s="4">
        <v>0</v>
      </c>
      <c r="N3069" s="3">
        <v>1066</v>
      </c>
      <c r="O3069" s="4">
        <v>4.5999999999999999E-2</v>
      </c>
      <c r="P3069" s="1" t="s">
        <v>2721</v>
      </c>
    </row>
    <row r="3070" spans="1:16">
      <c r="A3070" s="1" t="s">
        <v>15</v>
      </c>
      <c r="B3070" s="1">
        <v>11</v>
      </c>
      <c r="C3070" s="1" t="s">
        <v>7343</v>
      </c>
      <c r="D3070" s="1" t="s">
        <v>132</v>
      </c>
      <c r="E3070" s="2">
        <v>45980</v>
      </c>
      <c r="F3070" s="1" t="s">
        <v>53</v>
      </c>
      <c r="G3070" s="1" t="s">
        <v>133</v>
      </c>
      <c r="H3070" s="1" t="s">
        <v>88</v>
      </c>
      <c r="I3070" s="1">
        <v>1</v>
      </c>
      <c r="J3070" s="3">
        <v>17036</v>
      </c>
      <c r="K3070" s="3">
        <v>16256</v>
      </c>
      <c r="L3070" s="1">
        <v>0</v>
      </c>
      <c r="M3070" s="4">
        <v>0</v>
      </c>
      <c r="N3070" s="1">
        <v>780</v>
      </c>
      <c r="O3070" s="4">
        <v>4.5999999999999999E-2</v>
      </c>
      <c r="P3070" s="1" t="s">
        <v>2721</v>
      </c>
    </row>
    <row r="3071" spans="1:16">
      <c r="A3071" s="1" t="s">
        <v>15</v>
      </c>
      <c r="B3071" s="1">
        <v>11</v>
      </c>
      <c r="C3071" s="1" t="s">
        <v>7344</v>
      </c>
      <c r="D3071" s="1" t="s">
        <v>86</v>
      </c>
      <c r="E3071" s="2">
        <v>45980</v>
      </c>
      <c r="F3071" s="1" t="s">
        <v>53</v>
      </c>
      <c r="G3071" s="1" t="s">
        <v>87</v>
      </c>
      <c r="H3071" s="1" t="s">
        <v>88</v>
      </c>
      <c r="I3071" s="1">
        <v>2</v>
      </c>
      <c r="J3071" s="3">
        <v>29913</v>
      </c>
      <c r="K3071" s="3">
        <v>28543</v>
      </c>
      <c r="L3071" s="1">
        <v>0</v>
      </c>
      <c r="M3071" s="4">
        <v>0</v>
      </c>
      <c r="N3071" s="3">
        <v>1370</v>
      </c>
      <c r="O3071" s="4">
        <v>4.5999999999999999E-2</v>
      </c>
      <c r="P3071" s="1" t="s">
        <v>2721</v>
      </c>
    </row>
    <row r="3072" spans="1:16">
      <c r="A3072" s="1" t="s">
        <v>15</v>
      </c>
      <c r="B3072" s="1">
        <v>11</v>
      </c>
      <c r="C3072" s="1" t="s">
        <v>7345</v>
      </c>
      <c r="D3072" s="1" t="s">
        <v>777</v>
      </c>
      <c r="E3072" s="2">
        <v>45980</v>
      </c>
      <c r="F3072" s="1" t="s">
        <v>256</v>
      </c>
      <c r="G3072" s="1" t="s">
        <v>778</v>
      </c>
      <c r="H3072" s="1" t="s">
        <v>779</v>
      </c>
      <c r="I3072" s="1">
        <v>1</v>
      </c>
      <c r="J3072" s="3">
        <v>11010</v>
      </c>
      <c r="K3072" s="3">
        <v>10506</v>
      </c>
      <c r="L3072" s="1">
        <v>0</v>
      </c>
      <c r="M3072" s="4">
        <v>0</v>
      </c>
      <c r="N3072" s="1">
        <v>504</v>
      </c>
      <c r="O3072" s="4">
        <v>4.5999999999999999E-2</v>
      </c>
      <c r="P3072" s="1" t="s">
        <v>2721</v>
      </c>
    </row>
    <row r="3073" spans="1:16">
      <c r="A3073" s="1" t="s">
        <v>15</v>
      </c>
      <c r="B3073" s="1">
        <v>11</v>
      </c>
      <c r="C3073" s="1" t="s">
        <v>7346</v>
      </c>
      <c r="D3073" s="1" t="s">
        <v>341</v>
      </c>
      <c r="E3073" s="2">
        <v>45980</v>
      </c>
      <c r="F3073" s="1" t="s">
        <v>53</v>
      </c>
      <c r="G3073" s="1" t="s">
        <v>342</v>
      </c>
      <c r="H3073" s="1" t="s">
        <v>343</v>
      </c>
      <c r="I3073" s="1">
        <v>1</v>
      </c>
      <c r="J3073" s="3">
        <v>16135</v>
      </c>
      <c r="K3073" s="3">
        <v>15396</v>
      </c>
      <c r="L3073" s="1">
        <v>0</v>
      </c>
      <c r="M3073" s="4">
        <v>0</v>
      </c>
      <c r="N3073" s="1">
        <v>739</v>
      </c>
      <c r="O3073" s="4">
        <v>4.5999999999999999E-2</v>
      </c>
      <c r="P3073" s="1" t="s">
        <v>2721</v>
      </c>
    </row>
    <row r="3074" spans="1:16">
      <c r="A3074" s="1" t="s">
        <v>15</v>
      </c>
      <c r="B3074" s="1">
        <v>11</v>
      </c>
      <c r="C3074" s="1" t="s">
        <v>7347</v>
      </c>
      <c r="D3074" s="1" t="s">
        <v>3944</v>
      </c>
      <c r="E3074" s="2">
        <v>45980</v>
      </c>
      <c r="F3074" s="1" t="s">
        <v>292</v>
      </c>
      <c r="G3074" s="1" t="s">
        <v>3945</v>
      </c>
      <c r="H3074" s="1" t="s">
        <v>3946</v>
      </c>
      <c r="I3074" s="1">
        <v>1</v>
      </c>
      <c r="J3074" s="3">
        <v>32832</v>
      </c>
      <c r="K3074" s="3">
        <v>31329</v>
      </c>
      <c r="L3074" s="1">
        <v>0</v>
      </c>
      <c r="M3074" s="4">
        <v>0</v>
      </c>
      <c r="N3074" s="3">
        <v>1503</v>
      </c>
      <c r="O3074" s="4">
        <v>4.5999999999999999E-2</v>
      </c>
      <c r="P3074" s="1" t="s">
        <v>2721</v>
      </c>
    </row>
    <row r="3075" spans="1:16">
      <c r="A3075" s="1" t="s">
        <v>15</v>
      </c>
      <c r="B3075" s="1">
        <v>11</v>
      </c>
      <c r="C3075" s="1" t="s">
        <v>7348</v>
      </c>
      <c r="D3075" s="1" t="s">
        <v>7349</v>
      </c>
      <c r="E3075" s="2">
        <v>45980</v>
      </c>
      <c r="F3075" s="1" t="s">
        <v>1255</v>
      </c>
      <c r="G3075" s="1" t="s">
        <v>7350</v>
      </c>
      <c r="H3075" s="1" t="s">
        <v>7351</v>
      </c>
      <c r="I3075" s="1">
        <v>1</v>
      </c>
      <c r="J3075" s="3">
        <v>16908</v>
      </c>
      <c r="K3075" s="3">
        <v>16134</v>
      </c>
      <c r="L3075" s="1">
        <v>0</v>
      </c>
      <c r="M3075" s="4">
        <v>0</v>
      </c>
      <c r="N3075" s="1">
        <v>774</v>
      </c>
      <c r="O3075" s="4">
        <v>4.5999999999999999E-2</v>
      </c>
      <c r="P3075" s="1" t="s">
        <v>2721</v>
      </c>
    </row>
    <row r="3076" spans="1:16">
      <c r="A3076" s="1" t="s">
        <v>15</v>
      </c>
      <c r="B3076" s="1">
        <v>11</v>
      </c>
      <c r="C3076" s="1" t="s">
        <v>7348</v>
      </c>
      <c r="D3076" s="1" t="s">
        <v>112</v>
      </c>
      <c r="E3076" s="2">
        <v>45980</v>
      </c>
      <c r="F3076" s="1" t="s">
        <v>63</v>
      </c>
      <c r="G3076" s="1" t="s">
        <v>113</v>
      </c>
      <c r="H3076" s="1" t="s">
        <v>74</v>
      </c>
      <c r="I3076" s="1">
        <v>2</v>
      </c>
      <c r="J3076" s="3">
        <v>20912</v>
      </c>
      <c r="K3076" s="3">
        <v>19955</v>
      </c>
      <c r="L3076" s="1">
        <v>0</v>
      </c>
      <c r="M3076" s="4">
        <v>0</v>
      </c>
      <c r="N3076" s="1">
        <v>957</v>
      </c>
      <c r="O3076" s="4">
        <v>4.5999999999999999E-2</v>
      </c>
      <c r="P3076" s="1" t="s">
        <v>2721</v>
      </c>
    </row>
    <row r="3077" spans="1:16">
      <c r="A3077" s="1" t="s">
        <v>15</v>
      </c>
      <c r="B3077" s="1">
        <v>11</v>
      </c>
      <c r="C3077" s="1" t="s">
        <v>7352</v>
      </c>
      <c r="D3077" s="1" t="s">
        <v>7353</v>
      </c>
      <c r="E3077" s="2">
        <v>45980</v>
      </c>
      <c r="F3077" s="1" t="s">
        <v>43</v>
      </c>
      <c r="G3077" s="1" t="s">
        <v>7354</v>
      </c>
      <c r="H3077" s="1" t="s">
        <v>7355</v>
      </c>
      <c r="I3077" s="1">
        <v>1</v>
      </c>
      <c r="J3077" s="3">
        <v>21528</v>
      </c>
      <c r="K3077" s="3">
        <v>20542</v>
      </c>
      <c r="L3077" s="1">
        <v>0</v>
      </c>
      <c r="M3077" s="4">
        <v>0</v>
      </c>
      <c r="N3077" s="1">
        <v>986</v>
      </c>
      <c r="O3077" s="4">
        <v>4.5999999999999999E-2</v>
      </c>
      <c r="P3077" s="1" t="s">
        <v>2721</v>
      </c>
    </row>
    <row r="3078" spans="1:16">
      <c r="A3078" s="1" t="s">
        <v>15</v>
      </c>
      <c r="B3078" s="1">
        <v>11</v>
      </c>
      <c r="C3078" s="1" t="s">
        <v>7356</v>
      </c>
      <c r="D3078" s="1" t="s">
        <v>1250</v>
      </c>
      <c r="E3078" s="2">
        <v>45980</v>
      </c>
      <c r="F3078" s="1" t="s">
        <v>18</v>
      </c>
      <c r="G3078" s="1" t="s">
        <v>1251</v>
      </c>
      <c r="H3078" s="1" t="s">
        <v>20</v>
      </c>
      <c r="I3078" s="1">
        <v>1</v>
      </c>
      <c r="J3078" s="3">
        <v>8395</v>
      </c>
      <c r="K3078" s="3">
        <v>8011</v>
      </c>
      <c r="L3078" s="1">
        <v>0</v>
      </c>
      <c r="M3078" s="4">
        <v>0</v>
      </c>
      <c r="N3078" s="1">
        <v>384</v>
      </c>
      <c r="O3078" s="4">
        <v>4.5999999999999999E-2</v>
      </c>
      <c r="P3078" s="1" t="s">
        <v>2721</v>
      </c>
    </row>
    <row r="3079" spans="1:16">
      <c r="A3079" s="1" t="s">
        <v>15</v>
      </c>
      <c r="B3079" s="1">
        <v>11</v>
      </c>
      <c r="C3079" s="1" t="s">
        <v>7357</v>
      </c>
      <c r="D3079" s="1" t="s">
        <v>542</v>
      </c>
      <c r="E3079" s="2">
        <v>45980</v>
      </c>
      <c r="F3079" s="1" t="s">
        <v>543</v>
      </c>
      <c r="G3079" s="1" t="s">
        <v>544</v>
      </c>
      <c r="H3079" s="1" t="s">
        <v>545</v>
      </c>
      <c r="I3079" s="1">
        <v>1</v>
      </c>
      <c r="J3079" s="3">
        <v>36371</v>
      </c>
      <c r="K3079" s="3">
        <v>34706</v>
      </c>
      <c r="L3079" s="1">
        <v>0</v>
      </c>
      <c r="M3079" s="4">
        <v>0</v>
      </c>
      <c r="N3079" s="3">
        <v>1665</v>
      </c>
      <c r="O3079" s="4">
        <v>4.5999999999999999E-2</v>
      </c>
      <c r="P3079" s="1" t="s">
        <v>2721</v>
      </c>
    </row>
    <row r="3080" spans="1:16">
      <c r="A3080" s="1" t="s">
        <v>15</v>
      </c>
      <c r="B3080" s="1">
        <v>11</v>
      </c>
      <c r="C3080" s="1" t="s">
        <v>7358</v>
      </c>
      <c r="D3080" s="1" t="s">
        <v>887</v>
      </c>
      <c r="E3080" s="2">
        <v>45980</v>
      </c>
      <c r="F3080" s="1" t="s">
        <v>53</v>
      </c>
      <c r="G3080" s="1" t="s">
        <v>888</v>
      </c>
      <c r="H3080" s="1" t="s">
        <v>889</v>
      </c>
      <c r="I3080" s="1">
        <v>1</v>
      </c>
      <c r="J3080" s="3">
        <v>10726</v>
      </c>
      <c r="K3080" s="3">
        <v>10235</v>
      </c>
      <c r="L3080" s="1">
        <v>0</v>
      </c>
      <c r="M3080" s="4">
        <v>0</v>
      </c>
      <c r="N3080" s="1">
        <v>491</v>
      </c>
      <c r="O3080" s="4">
        <v>4.5999999999999999E-2</v>
      </c>
      <c r="P3080" s="1" t="s">
        <v>2721</v>
      </c>
    </row>
    <row r="3081" spans="1:16">
      <c r="A3081" s="1" t="s">
        <v>15</v>
      </c>
      <c r="B3081" s="1">
        <v>11</v>
      </c>
      <c r="C3081" s="1" t="s">
        <v>7359</v>
      </c>
      <c r="D3081" s="1" t="s">
        <v>52</v>
      </c>
      <c r="E3081" s="2">
        <v>45980</v>
      </c>
      <c r="F3081" s="1" t="s">
        <v>53</v>
      </c>
      <c r="G3081" s="1" t="s">
        <v>54</v>
      </c>
      <c r="H3081" s="1" t="s">
        <v>55</v>
      </c>
      <c r="I3081" s="1">
        <v>1</v>
      </c>
      <c r="J3081" s="3">
        <v>16135</v>
      </c>
      <c r="K3081" s="3">
        <v>15396</v>
      </c>
      <c r="L3081" s="1">
        <v>0</v>
      </c>
      <c r="M3081" s="4">
        <v>0</v>
      </c>
      <c r="N3081" s="1">
        <v>739</v>
      </c>
      <c r="O3081" s="4">
        <v>4.5999999999999999E-2</v>
      </c>
      <c r="P3081" s="1" t="s">
        <v>2721</v>
      </c>
    </row>
    <row r="3082" spans="1:16">
      <c r="A3082" s="1" t="s">
        <v>15</v>
      </c>
      <c r="B3082" s="1">
        <v>11</v>
      </c>
      <c r="C3082" s="1" t="s">
        <v>7360</v>
      </c>
      <c r="D3082" s="1" t="s">
        <v>574</v>
      </c>
      <c r="E3082" s="2">
        <v>45980</v>
      </c>
      <c r="F3082" s="1" t="s">
        <v>126</v>
      </c>
      <c r="G3082" s="1" t="s">
        <v>575</v>
      </c>
      <c r="H3082" s="1" t="s">
        <v>576</v>
      </c>
      <c r="I3082" s="1">
        <v>1</v>
      </c>
      <c r="J3082" s="3">
        <v>15237</v>
      </c>
      <c r="K3082" s="3">
        <v>14539</v>
      </c>
      <c r="L3082" s="1">
        <v>0</v>
      </c>
      <c r="M3082" s="4">
        <v>0</v>
      </c>
      <c r="N3082" s="1">
        <v>698</v>
      </c>
      <c r="O3082" s="4">
        <v>4.5999999999999999E-2</v>
      </c>
      <c r="P3082" s="1" t="s">
        <v>2721</v>
      </c>
    </row>
    <row r="3083" spans="1:16">
      <c r="A3083" s="1" t="s">
        <v>15</v>
      </c>
      <c r="B3083" s="1">
        <v>11</v>
      </c>
      <c r="C3083" s="1" t="s">
        <v>7361</v>
      </c>
      <c r="D3083" s="1" t="s">
        <v>7362</v>
      </c>
      <c r="E3083" s="2">
        <v>45980</v>
      </c>
      <c r="F3083" s="1" t="s">
        <v>7363</v>
      </c>
      <c r="G3083" s="1" t="s">
        <v>7364</v>
      </c>
      <c r="H3083" s="1" t="s">
        <v>7365</v>
      </c>
      <c r="I3083" s="1">
        <v>1</v>
      </c>
      <c r="J3083" s="3">
        <v>44235</v>
      </c>
      <c r="K3083" s="3">
        <v>42210</v>
      </c>
      <c r="L3083" s="1">
        <v>0</v>
      </c>
      <c r="M3083" s="4">
        <v>0</v>
      </c>
      <c r="N3083" s="3">
        <v>2025</v>
      </c>
      <c r="O3083" s="4">
        <v>4.5999999999999999E-2</v>
      </c>
      <c r="P3083" s="1" t="s">
        <v>2721</v>
      </c>
    </row>
    <row r="3084" spans="1:16">
      <c r="A3084" s="1" t="s">
        <v>15</v>
      </c>
      <c r="B3084" s="1">
        <v>11</v>
      </c>
      <c r="C3084" s="1" t="s">
        <v>7366</v>
      </c>
      <c r="D3084" s="1" t="s">
        <v>228</v>
      </c>
      <c r="E3084" s="2">
        <v>45980</v>
      </c>
      <c r="F3084" s="1" t="s">
        <v>53</v>
      </c>
      <c r="G3084" s="1" t="s">
        <v>229</v>
      </c>
      <c r="H3084" s="1" t="s">
        <v>230</v>
      </c>
      <c r="I3084" s="1">
        <v>1</v>
      </c>
      <c r="J3084" s="3">
        <v>9825</v>
      </c>
      <c r="K3084" s="3">
        <v>9375</v>
      </c>
      <c r="L3084" s="1">
        <v>0</v>
      </c>
      <c r="M3084" s="4">
        <v>0</v>
      </c>
      <c r="N3084" s="1">
        <v>450</v>
      </c>
      <c r="O3084" s="4">
        <v>4.5999999999999999E-2</v>
      </c>
      <c r="P3084" s="1" t="s">
        <v>2721</v>
      </c>
    </row>
    <row r="3085" spans="1:16">
      <c r="A3085" s="1" t="s">
        <v>15</v>
      </c>
      <c r="B3085" s="1">
        <v>11</v>
      </c>
      <c r="C3085" s="1" t="s">
        <v>7367</v>
      </c>
      <c r="D3085" s="1" t="s">
        <v>7368</v>
      </c>
      <c r="E3085" s="2">
        <v>45980</v>
      </c>
      <c r="F3085" s="1" t="s">
        <v>68</v>
      </c>
      <c r="G3085" s="1" t="s">
        <v>7369</v>
      </c>
      <c r="H3085" s="1" t="s">
        <v>7370</v>
      </c>
      <c r="I3085" s="1">
        <v>1</v>
      </c>
      <c r="J3085" s="3">
        <v>33520</v>
      </c>
      <c r="K3085" s="3">
        <v>31986</v>
      </c>
      <c r="L3085" s="1">
        <v>0</v>
      </c>
      <c r="M3085" s="4">
        <v>0</v>
      </c>
      <c r="N3085" s="3">
        <v>1534</v>
      </c>
      <c r="O3085" s="4">
        <v>4.5999999999999999E-2</v>
      </c>
      <c r="P3085" s="1" t="s">
        <v>2721</v>
      </c>
    </row>
    <row r="3086" spans="1:16">
      <c r="A3086" s="1" t="s">
        <v>15</v>
      </c>
      <c r="B3086" s="1">
        <v>11</v>
      </c>
      <c r="C3086" s="1" t="s">
        <v>7371</v>
      </c>
      <c r="D3086" s="1" t="s">
        <v>32</v>
      </c>
      <c r="E3086" s="2">
        <v>45980</v>
      </c>
      <c r="F3086" s="1" t="s">
        <v>33</v>
      </c>
      <c r="G3086" s="1" t="s">
        <v>34</v>
      </c>
      <c r="H3086" s="1" t="s">
        <v>3865</v>
      </c>
      <c r="I3086" s="1">
        <v>1</v>
      </c>
      <c r="J3086" s="3">
        <v>101104</v>
      </c>
      <c r="K3086" s="3">
        <v>96476</v>
      </c>
      <c r="L3086" s="1">
        <v>0</v>
      </c>
      <c r="M3086" s="4">
        <v>0</v>
      </c>
      <c r="N3086" s="3">
        <v>4628</v>
      </c>
      <c r="O3086" s="4">
        <v>4.5999999999999999E-2</v>
      </c>
      <c r="P3086" s="1" t="s">
        <v>2721</v>
      </c>
    </row>
    <row r="3087" spans="1:16">
      <c r="A3087" s="1" t="s">
        <v>15</v>
      </c>
      <c r="B3087" s="1">
        <v>11</v>
      </c>
      <c r="C3087" s="1" t="s">
        <v>7372</v>
      </c>
      <c r="D3087" s="1" t="s">
        <v>7373</v>
      </c>
      <c r="E3087" s="2">
        <v>45980</v>
      </c>
      <c r="F3087" s="1" t="s">
        <v>500</v>
      </c>
      <c r="G3087" s="1" t="s">
        <v>7374</v>
      </c>
      <c r="H3087" s="1" t="s">
        <v>7375</v>
      </c>
      <c r="I3087" s="1">
        <v>1</v>
      </c>
      <c r="J3087" s="3">
        <v>224790</v>
      </c>
      <c r="K3087" s="3">
        <v>214500</v>
      </c>
      <c r="L3087" s="1">
        <v>0</v>
      </c>
      <c r="M3087" s="4">
        <v>0</v>
      </c>
      <c r="N3087" s="3">
        <v>10290</v>
      </c>
      <c r="O3087" s="4">
        <v>4.5999999999999999E-2</v>
      </c>
      <c r="P3087" s="1" t="s">
        <v>2721</v>
      </c>
    </row>
    <row r="3088" spans="1:16">
      <c r="A3088" s="1" t="s">
        <v>15</v>
      </c>
      <c r="B3088" s="1">
        <v>11</v>
      </c>
      <c r="C3088" s="1" t="s">
        <v>7376</v>
      </c>
      <c r="D3088" s="1" t="s">
        <v>224</v>
      </c>
      <c r="E3088" s="2">
        <v>45980</v>
      </c>
      <c r="F3088" s="1" t="s">
        <v>96</v>
      </c>
      <c r="G3088" s="1" t="s">
        <v>225</v>
      </c>
      <c r="H3088" s="1" t="s">
        <v>897</v>
      </c>
      <c r="I3088" s="1">
        <v>1</v>
      </c>
      <c r="J3088" s="3">
        <v>12571</v>
      </c>
      <c r="K3088" s="3">
        <v>11995</v>
      </c>
      <c r="L3088" s="1">
        <v>0</v>
      </c>
      <c r="M3088" s="4">
        <v>0</v>
      </c>
      <c r="N3088" s="1">
        <v>576</v>
      </c>
      <c r="O3088" s="4">
        <v>4.5999999999999999E-2</v>
      </c>
      <c r="P3088" s="1" t="s">
        <v>2721</v>
      </c>
    </row>
    <row r="3089" spans="1:16">
      <c r="A3089" s="1" t="s">
        <v>15</v>
      </c>
      <c r="B3089" s="1">
        <v>11</v>
      </c>
      <c r="C3089" s="1" t="s">
        <v>7377</v>
      </c>
      <c r="D3089" s="1" t="s">
        <v>5092</v>
      </c>
      <c r="E3089" s="2">
        <v>45980</v>
      </c>
      <c r="F3089" s="1" t="s">
        <v>347</v>
      </c>
      <c r="G3089" s="1" t="s">
        <v>5093</v>
      </c>
      <c r="H3089" s="1" t="s">
        <v>7378</v>
      </c>
      <c r="I3089" s="1">
        <v>1</v>
      </c>
      <c r="J3089" s="3">
        <v>28605</v>
      </c>
      <c r="K3089" s="3">
        <v>27296</v>
      </c>
      <c r="L3089" s="1">
        <v>0</v>
      </c>
      <c r="M3089" s="4">
        <v>0</v>
      </c>
      <c r="N3089" s="3">
        <v>1309</v>
      </c>
      <c r="O3089" s="4">
        <v>4.5999999999999999E-2</v>
      </c>
      <c r="P3089" s="1" t="s">
        <v>2721</v>
      </c>
    </row>
    <row r="3090" spans="1:16">
      <c r="A3090" s="1" t="s">
        <v>15</v>
      </c>
      <c r="B3090" s="1">
        <v>11</v>
      </c>
      <c r="C3090" s="1" t="s">
        <v>7379</v>
      </c>
      <c r="D3090" s="1" t="s">
        <v>845</v>
      </c>
      <c r="E3090" s="2">
        <v>45980</v>
      </c>
      <c r="F3090" s="1" t="s">
        <v>846</v>
      </c>
      <c r="G3090" s="1" t="s">
        <v>847</v>
      </c>
      <c r="H3090" s="1" t="s">
        <v>848</v>
      </c>
      <c r="I3090" s="1">
        <v>1</v>
      </c>
      <c r="J3090" s="3">
        <v>112554</v>
      </c>
      <c r="K3090" s="3">
        <v>107401</v>
      </c>
      <c r="L3090" s="1">
        <v>0</v>
      </c>
      <c r="M3090" s="4">
        <v>0</v>
      </c>
      <c r="N3090" s="3">
        <v>5153</v>
      </c>
      <c r="O3090" s="4">
        <v>4.5999999999999999E-2</v>
      </c>
      <c r="P3090" s="1" t="s">
        <v>2721</v>
      </c>
    </row>
    <row r="3091" spans="1:16">
      <c r="A3091" s="1" t="s">
        <v>15</v>
      </c>
      <c r="B3091" s="1">
        <v>11</v>
      </c>
      <c r="C3091" s="1" t="s">
        <v>7380</v>
      </c>
      <c r="D3091" s="1" t="s">
        <v>1147</v>
      </c>
      <c r="E3091" s="2">
        <v>45980</v>
      </c>
      <c r="F3091" s="1" t="s">
        <v>126</v>
      </c>
      <c r="G3091" s="1" t="s">
        <v>1148</v>
      </c>
      <c r="H3091" s="1" t="s">
        <v>1149</v>
      </c>
      <c r="I3091" s="1">
        <v>1</v>
      </c>
      <c r="J3091" s="3">
        <v>13762</v>
      </c>
      <c r="K3091" s="3">
        <v>13132</v>
      </c>
      <c r="L3091" s="1">
        <v>0</v>
      </c>
      <c r="M3091" s="4">
        <v>0</v>
      </c>
      <c r="N3091" s="1">
        <v>630</v>
      </c>
      <c r="O3091" s="4">
        <v>4.5999999999999999E-2</v>
      </c>
      <c r="P3091" s="1" t="s">
        <v>2721</v>
      </c>
    </row>
    <row r="3092" spans="1:16">
      <c r="A3092" s="1" t="s">
        <v>15</v>
      </c>
      <c r="B3092" s="1">
        <v>11</v>
      </c>
      <c r="C3092" s="1" t="s">
        <v>7381</v>
      </c>
      <c r="D3092" s="1" t="s">
        <v>52</v>
      </c>
      <c r="E3092" s="2">
        <v>45980</v>
      </c>
      <c r="F3092" s="1" t="s">
        <v>53</v>
      </c>
      <c r="G3092" s="1" t="s">
        <v>54</v>
      </c>
      <c r="H3092" s="1" t="s">
        <v>248</v>
      </c>
      <c r="I3092" s="1">
        <v>2</v>
      </c>
      <c r="J3092" s="3">
        <v>32270</v>
      </c>
      <c r="K3092" s="3">
        <v>30793</v>
      </c>
      <c r="L3092" s="1">
        <v>0</v>
      </c>
      <c r="M3092" s="4">
        <v>0</v>
      </c>
      <c r="N3092" s="3">
        <v>1477</v>
      </c>
      <c r="O3092" s="4">
        <v>4.5999999999999999E-2</v>
      </c>
      <c r="P3092" s="1" t="s">
        <v>2721</v>
      </c>
    </row>
    <row r="3093" spans="1:16">
      <c r="A3093" s="1" t="s">
        <v>15</v>
      </c>
      <c r="B3093" s="1">
        <v>11</v>
      </c>
      <c r="C3093" s="1" t="s">
        <v>7382</v>
      </c>
      <c r="D3093" s="1" t="s">
        <v>112</v>
      </c>
      <c r="E3093" s="2">
        <v>45980</v>
      </c>
      <c r="F3093" s="1" t="s">
        <v>63</v>
      </c>
      <c r="G3093" s="1" t="s">
        <v>113</v>
      </c>
      <c r="H3093" s="1" t="s">
        <v>1655</v>
      </c>
      <c r="I3093" s="1">
        <v>1</v>
      </c>
      <c r="J3093" s="3">
        <v>6009</v>
      </c>
      <c r="K3093" s="3">
        <v>5734</v>
      </c>
      <c r="L3093" s="1">
        <v>0</v>
      </c>
      <c r="M3093" s="4">
        <v>0</v>
      </c>
      <c r="N3093" s="1">
        <v>275</v>
      </c>
      <c r="O3093" s="4">
        <v>4.5999999999999999E-2</v>
      </c>
      <c r="P3093" s="1" t="s">
        <v>2721</v>
      </c>
    </row>
    <row r="3094" spans="1:16">
      <c r="A3094" s="1" t="s">
        <v>15</v>
      </c>
      <c r="B3094" s="1">
        <v>11</v>
      </c>
      <c r="C3094" s="1" t="s">
        <v>7383</v>
      </c>
      <c r="D3094" s="1" t="s">
        <v>5755</v>
      </c>
      <c r="E3094" s="2">
        <v>45980</v>
      </c>
      <c r="F3094" s="1" t="s">
        <v>43</v>
      </c>
      <c r="G3094" s="1" t="s">
        <v>5756</v>
      </c>
      <c r="H3094" s="1" t="s">
        <v>7384</v>
      </c>
      <c r="I3094" s="1">
        <v>1</v>
      </c>
      <c r="J3094" s="3">
        <v>18874</v>
      </c>
      <c r="K3094" s="3">
        <v>18010</v>
      </c>
      <c r="L3094" s="1">
        <v>0</v>
      </c>
      <c r="M3094" s="4">
        <v>0</v>
      </c>
      <c r="N3094" s="1">
        <v>864</v>
      </c>
      <c r="O3094" s="4">
        <v>4.5999999999999999E-2</v>
      </c>
      <c r="P3094" s="1" t="s">
        <v>2721</v>
      </c>
    </row>
    <row r="3095" spans="1:16">
      <c r="A3095" s="1" t="s">
        <v>15</v>
      </c>
      <c r="B3095" s="1">
        <v>11</v>
      </c>
      <c r="C3095" s="1" t="s">
        <v>7385</v>
      </c>
      <c r="D3095" s="1" t="s">
        <v>291</v>
      </c>
      <c r="E3095" s="2">
        <v>45980</v>
      </c>
      <c r="F3095" s="1" t="s">
        <v>292</v>
      </c>
      <c r="G3095" s="1" t="s">
        <v>293</v>
      </c>
      <c r="H3095" s="1" t="s">
        <v>294</v>
      </c>
      <c r="I3095" s="1">
        <v>1</v>
      </c>
      <c r="J3095" s="3">
        <v>13271</v>
      </c>
      <c r="K3095" s="3">
        <v>12663</v>
      </c>
      <c r="L3095" s="1">
        <v>0</v>
      </c>
      <c r="M3095" s="4">
        <v>0</v>
      </c>
      <c r="N3095" s="1">
        <v>608</v>
      </c>
      <c r="O3095" s="4">
        <v>4.5999999999999999E-2</v>
      </c>
      <c r="P3095" s="1" t="s">
        <v>2721</v>
      </c>
    </row>
    <row r="3096" spans="1:16">
      <c r="A3096" s="1" t="s">
        <v>15</v>
      </c>
      <c r="B3096" s="1">
        <v>11</v>
      </c>
      <c r="C3096" s="1" t="s">
        <v>7386</v>
      </c>
      <c r="D3096" s="1" t="s">
        <v>2495</v>
      </c>
      <c r="E3096" s="2">
        <v>45980</v>
      </c>
      <c r="F3096" s="1" t="s">
        <v>1888</v>
      </c>
      <c r="G3096" s="1" t="s">
        <v>2496</v>
      </c>
      <c r="H3096" s="1" t="s">
        <v>2497</v>
      </c>
      <c r="I3096" s="1">
        <v>1</v>
      </c>
      <c r="J3096" s="3">
        <v>14745</v>
      </c>
      <c r="K3096" s="3">
        <v>14070</v>
      </c>
      <c r="L3096" s="1">
        <v>0</v>
      </c>
      <c r="M3096" s="4">
        <v>0</v>
      </c>
      <c r="N3096" s="1">
        <v>675</v>
      </c>
      <c r="O3096" s="4">
        <v>4.5999999999999999E-2</v>
      </c>
      <c r="P3096" s="1" t="s">
        <v>2721</v>
      </c>
    </row>
    <row r="3097" spans="1:16">
      <c r="A3097" s="1" t="s">
        <v>15</v>
      </c>
      <c r="B3097" s="1">
        <v>11</v>
      </c>
      <c r="C3097" s="1" t="s">
        <v>7387</v>
      </c>
      <c r="D3097" s="1" t="s">
        <v>17</v>
      </c>
      <c r="E3097" s="2">
        <v>45980</v>
      </c>
      <c r="F3097" s="1" t="s">
        <v>18</v>
      </c>
      <c r="G3097" s="1" t="s">
        <v>19</v>
      </c>
      <c r="H3097" s="1" t="s">
        <v>1252</v>
      </c>
      <c r="I3097" s="1">
        <v>1</v>
      </c>
      <c r="J3097" s="3">
        <v>7166</v>
      </c>
      <c r="K3097" s="3">
        <v>6838</v>
      </c>
      <c r="L3097" s="1">
        <v>0</v>
      </c>
      <c r="M3097" s="4">
        <v>0</v>
      </c>
      <c r="N3097" s="1">
        <v>328</v>
      </c>
      <c r="O3097" s="4">
        <v>4.5999999999999999E-2</v>
      </c>
      <c r="P3097" s="1" t="s">
        <v>2721</v>
      </c>
    </row>
    <row r="3098" spans="1:16">
      <c r="A3098" s="1" t="s">
        <v>15</v>
      </c>
      <c r="B3098" s="1">
        <v>11</v>
      </c>
      <c r="C3098" s="1" t="s">
        <v>7388</v>
      </c>
      <c r="D3098" s="1" t="s">
        <v>1254</v>
      </c>
      <c r="E3098" s="2">
        <v>45980</v>
      </c>
      <c r="F3098" s="1" t="s">
        <v>1255</v>
      </c>
      <c r="G3098" s="1" t="s">
        <v>1256</v>
      </c>
      <c r="H3098" s="1" t="s">
        <v>7389</v>
      </c>
      <c r="I3098" s="1">
        <v>1</v>
      </c>
      <c r="J3098" s="3">
        <v>68122</v>
      </c>
      <c r="K3098" s="3">
        <v>65003</v>
      </c>
      <c r="L3098" s="1">
        <v>0</v>
      </c>
      <c r="M3098" s="4">
        <v>0</v>
      </c>
      <c r="N3098" s="3">
        <v>3119</v>
      </c>
      <c r="O3098" s="4">
        <v>4.5999999999999999E-2</v>
      </c>
      <c r="P3098" s="1" t="s">
        <v>2721</v>
      </c>
    </row>
    <row r="3099" spans="1:16">
      <c r="A3099" s="1" t="s">
        <v>15</v>
      </c>
      <c r="B3099" s="1">
        <v>11</v>
      </c>
      <c r="C3099" s="1" t="s">
        <v>7390</v>
      </c>
      <c r="D3099" s="1" t="s">
        <v>4039</v>
      </c>
      <c r="E3099" s="2">
        <v>45980</v>
      </c>
      <c r="F3099" s="1" t="s">
        <v>53</v>
      </c>
      <c r="G3099" s="1" t="s">
        <v>4040</v>
      </c>
      <c r="H3099" s="1" t="s">
        <v>4074</v>
      </c>
      <c r="I3099" s="1">
        <v>1</v>
      </c>
      <c r="J3099" s="3">
        <v>9825</v>
      </c>
      <c r="K3099" s="3">
        <v>9375</v>
      </c>
      <c r="L3099" s="1">
        <v>0</v>
      </c>
      <c r="M3099" s="4">
        <v>0</v>
      </c>
      <c r="N3099" s="1">
        <v>450</v>
      </c>
      <c r="O3099" s="4">
        <v>4.5999999999999999E-2</v>
      </c>
      <c r="P3099" s="1" t="s">
        <v>2721</v>
      </c>
    </row>
    <row r="3100" spans="1:16">
      <c r="A3100" s="1" t="s">
        <v>15</v>
      </c>
      <c r="B3100" s="1">
        <v>11</v>
      </c>
      <c r="C3100" s="1" t="s">
        <v>7391</v>
      </c>
      <c r="D3100" s="1" t="s">
        <v>228</v>
      </c>
      <c r="E3100" s="2">
        <v>45980</v>
      </c>
      <c r="F3100" s="1" t="s">
        <v>53</v>
      </c>
      <c r="G3100" s="1" t="s">
        <v>229</v>
      </c>
      <c r="H3100" s="1" t="s">
        <v>230</v>
      </c>
      <c r="I3100" s="1">
        <v>1</v>
      </c>
      <c r="J3100" s="3">
        <v>9825</v>
      </c>
      <c r="K3100" s="3">
        <v>9375</v>
      </c>
      <c r="L3100" s="1">
        <v>0</v>
      </c>
      <c r="M3100" s="4">
        <v>0</v>
      </c>
      <c r="N3100" s="1">
        <v>450</v>
      </c>
      <c r="O3100" s="4">
        <v>4.5999999999999999E-2</v>
      </c>
      <c r="P3100" s="1" t="s">
        <v>2721</v>
      </c>
    </row>
    <row r="3101" spans="1:16">
      <c r="A3101" s="1" t="s">
        <v>15</v>
      </c>
      <c r="B3101" s="1">
        <v>11</v>
      </c>
      <c r="C3101" s="1" t="s">
        <v>7392</v>
      </c>
      <c r="D3101" s="1" t="s">
        <v>504</v>
      </c>
      <c r="E3101" s="2">
        <v>45980</v>
      </c>
      <c r="F3101" s="1" t="s">
        <v>407</v>
      </c>
      <c r="G3101" s="1" t="s">
        <v>505</v>
      </c>
      <c r="H3101" s="1" t="s">
        <v>1004</v>
      </c>
      <c r="I3101" s="1">
        <v>1</v>
      </c>
      <c r="J3101" s="3">
        <v>9339</v>
      </c>
      <c r="K3101" s="3">
        <v>8911</v>
      </c>
      <c r="L3101" s="1">
        <v>0</v>
      </c>
      <c r="M3101" s="4">
        <v>0</v>
      </c>
      <c r="N3101" s="1">
        <v>428</v>
      </c>
      <c r="O3101" s="4">
        <v>4.5999999999999999E-2</v>
      </c>
      <c r="P3101" s="1" t="s">
        <v>2721</v>
      </c>
    </row>
    <row r="3102" spans="1:16">
      <c r="A3102" s="1" t="s">
        <v>15</v>
      </c>
      <c r="B3102" s="1">
        <v>11</v>
      </c>
      <c r="C3102" s="1" t="s">
        <v>7393</v>
      </c>
      <c r="D3102" s="1" t="s">
        <v>5155</v>
      </c>
      <c r="E3102" s="2">
        <v>45980</v>
      </c>
      <c r="F3102" s="1" t="s">
        <v>1798</v>
      </c>
      <c r="G3102" s="1" t="s">
        <v>5156</v>
      </c>
      <c r="H3102" s="1" t="s">
        <v>5157</v>
      </c>
      <c r="I3102" s="1">
        <v>1</v>
      </c>
      <c r="J3102" s="3">
        <v>31948</v>
      </c>
      <c r="K3102" s="3">
        <v>30485</v>
      </c>
      <c r="L3102" s="1">
        <v>0</v>
      </c>
      <c r="M3102" s="4">
        <v>0</v>
      </c>
      <c r="N3102" s="3">
        <v>1463</v>
      </c>
      <c r="O3102" s="4">
        <v>4.5999999999999999E-2</v>
      </c>
      <c r="P3102" s="1" t="s">
        <v>2721</v>
      </c>
    </row>
    <row r="3103" spans="1:16">
      <c r="A3103" s="1" t="s">
        <v>15</v>
      </c>
      <c r="B3103" s="1">
        <v>11</v>
      </c>
      <c r="C3103" s="1" t="s">
        <v>7394</v>
      </c>
      <c r="D3103" s="1" t="s">
        <v>989</v>
      </c>
      <c r="E3103" s="2">
        <v>45980</v>
      </c>
      <c r="F3103" s="1" t="s">
        <v>48</v>
      </c>
      <c r="G3103" s="1" t="s">
        <v>990</v>
      </c>
      <c r="H3103" s="1" t="s">
        <v>991</v>
      </c>
      <c r="I3103" s="1">
        <v>1</v>
      </c>
      <c r="J3103" s="3">
        <v>13113</v>
      </c>
      <c r="K3103" s="3">
        <v>12513</v>
      </c>
      <c r="L3103" s="1">
        <v>0</v>
      </c>
      <c r="M3103" s="4">
        <v>0</v>
      </c>
      <c r="N3103" s="1">
        <v>600</v>
      </c>
      <c r="O3103" s="4">
        <v>4.5999999999999999E-2</v>
      </c>
      <c r="P3103" s="1" t="s">
        <v>2721</v>
      </c>
    </row>
    <row r="3104" spans="1:16">
      <c r="A3104" s="1" t="s">
        <v>15</v>
      </c>
      <c r="B3104" s="1">
        <v>11</v>
      </c>
      <c r="C3104" s="1" t="s">
        <v>7395</v>
      </c>
      <c r="D3104" s="1" t="s">
        <v>1531</v>
      </c>
      <c r="E3104" s="2">
        <v>45980</v>
      </c>
      <c r="F3104" s="1" t="s">
        <v>53</v>
      </c>
      <c r="G3104" s="1" t="s">
        <v>1532</v>
      </c>
      <c r="H3104" s="1" t="s">
        <v>1533</v>
      </c>
      <c r="I3104" s="1">
        <v>1</v>
      </c>
      <c r="J3104" s="3">
        <v>8022</v>
      </c>
      <c r="K3104" s="3">
        <v>7655</v>
      </c>
      <c r="L3104" s="1">
        <v>0</v>
      </c>
      <c r="M3104" s="4">
        <v>0</v>
      </c>
      <c r="N3104" s="1">
        <v>367</v>
      </c>
      <c r="O3104" s="4">
        <v>4.5999999999999999E-2</v>
      </c>
      <c r="P3104" s="1" t="s">
        <v>2721</v>
      </c>
    </row>
    <row r="3105" spans="1:16">
      <c r="A3105" s="1" t="s">
        <v>15</v>
      </c>
      <c r="B3105" s="1">
        <v>11</v>
      </c>
      <c r="C3105" s="1" t="s">
        <v>7396</v>
      </c>
      <c r="D3105" s="1" t="s">
        <v>777</v>
      </c>
      <c r="E3105" s="2">
        <v>45980</v>
      </c>
      <c r="F3105" s="1" t="s">
        <v>256</v>
      </c>
      <c r="G3105" s="1" t="s">
        <v>778</v>
      </c>
      <c r="H3105" s="1" t="s">
        <v>779</v>
      </c>
      <c r="I3105" s="1">
        <v>1</v>
      </c>
      <c r="J3105" s="3">
        <v>11010</v>
      </c>
      <c r="K3105" s="3">
        <v>10506</v>
      </c>
      <c r="L3105" s="1">
        <v>0</v>
      </c>
      <c r="M3105" s="4">
        <v>0</v>
      </c>
      <c r="N3105" s="1">
        <v>504</v>
      </c>
      <c r="O3105" s="4">
        <v>4.5999999999999999E-2</v>
      </c>
      <c r="P3105" s="1" t="s">
        <v>2721</v>
      </c>
    </row>
    <row r="3106" spans="1:16">
      <c r="A3106" s="1" t="s">
        <v>15</v>
      </c>
      <c r="B3106" s="1">
        <v>11</v>
      </c>
      <c r="C3106" s="1" t="s">
        <v>7397</v>
      </c>
      <c r="D3106" s="1" t="s">
        <v>1250</v>
      </c>
      <c r="E3106" s="2">
        <v>45980</v>
      </c>
      <c r="F3106" s="1" t="s">
        <v>18</v>
      </c>
      <c r="G3106" s="1" t="s">
        <v>1251</v>
      </c>
      <c r="H3106" s="1" t="s">
        <v>1428</v>
      </c>
      <c r="I3106" s="1">
        <v>1</v>
      </c>
      <c r="J3106" s="3">
        <v>8395</v>
      </c>
      <c r="K3106" s="3">
        <v>8011</v>
      </c>
      <c r="L3106" s="1">
        <v>0</v>
      </c>
      <c r="M3106" s="4">
        <v>0</v>
      </c>
      <c r="N3106" s="1">
        <v>384</v>
      </c>
      <c r="O3106" s="4">
        <v>4.5999999999999999E-2</v>
      </c>
      <c r="P3106" s="1" t="s">
        <v>2721</v>
      </c>
    </row>
    <row r="3107" spans="1:16">
      <c r="A3107" s="1" t="s">
        <v>15</v>
      </c>
      <c r="B3107" s="1">
        <v>11</v>
      </c>
      <c r="C3107" s="1" t="s">
        <v>7397</v>
      </c>
      <c r="D3107" s="1" t="s">
        <v>1250</v>
      </c>
      <c r="E3107" s="2">
        <v>45980</v>
      </c>
      <c r="F3107" s="1" t="s">
        <v>18</v>
      </c>
      <c r="G3107" s="1" t="s">
        <v>1251</v>
      </c>
      <c r="H3107" s="1" t="s">
        <v>5190</v>
      </c>
      <c r="I3107" s="1">
        <v>1</v>
      </c>
      <c r="J3107" s="3">
        <v>8395</v>
      </c>
      <c r="K3107" s="3">
        <v>8011</v>
      </c>
      <c r="L3107" s="1">
        <v>0</v>
      </c>
      <c r="M3107" s="4">
        <v>0</v>
      </c>
      <c r="N3107" s="1">
        <v>384</v>
      </c>
      <c r="O3107" s="4">
        <v>4.5999999999999999E-2</v>
      </c>
      <c r="P3107" s="1" t="s">
        <v>2721</v>
      </c>
    </row>
    <row r="3108" spans="1:16">
      <c r="A3108" s="1" t="s">
        <v>15</v>
      </c>
      <c r="B3108" s="1">
        <v>11</v>
      </c>
      <c r="C3108" s="1" t="s">
        <v>7398</v>
      </c>
      <c r="D3108" s="1" t="s">
        <v>238</v>
      </c>
      <c r="E3108" s="2">
        <v>45980</v>
      </c>
      <c r="F3108" s="1" t="s">
        <v>239</v>
      </c>
      <c r="G3108" s="1" t="s">
        <v>240</v>
      </c>
      <c r="H3108" s="1" t="s">
        <v>242</v>
      </c>
      <c r="I3108" s="1">
        <v>1</v>
      </c>
      <c r="J3108" s="3">
        <v>11305</v>
      </c>
      <c r="K3108" s="3">
        <v>10787</v>
      </c>
      <c r="L3108" s="1">
        <v>0</v>
      </c>
      <c r="M3108" s="4">
        <v>0</v>
      </c>
      <c r="N3108" s="1">
        <v>518</v>
      </c>
      <c r="O3108" s="4">
        <v>4.5999999999999999E-2</v>
      </c>
      <c r="P3108" s="1" t="s">
        <v>2721</v>
      </c>
    </row>
    <row r="3109" spans="1:16">
      <c r="A3109" s="1" t="s">
        <v>15</v>
      </c>
      <c r="B3109" s="1">
        <v>11</v>
      </c>
      <c r="C3109" s="1" t="s">
        <v>7399</v>
      </c>
      <c r="D3109" s="1" t="s">
        <v>862</v>
      </c>
      <c r="E3109" s="2">
        <v>45980</v>
      </c>
      <c r="F3109" s="1" t="s">
        <v>334</v>
      </c>
      <c r="G3109" s="1" t="s">
        <v>863</v>
      </c>
      <c r="H3109" s="1" t="s">
        <v>1549</v>
      </c>
      <c r="I3109" s="1">
        <v>1</v>
      </c>
      <c r="J3109" s="3">
        <v>16220</v>
      </c>
      <c r="K3109" s="3">
        <v>15477</v>
      </c>
      <c r="L3109" s="1">
        <v>0</v>
      </c>
      <c r="M3109" s="4">
        <v>0</v>
      </c>
      <c r="N3109" s="1">
        <v>743</v>
      </c>
      <c r="O3109" s="4">
        <v>4.5999999999999999E-2</v>
      </c>
      <c r="P3109" s="1" t="s">
        <v>2721</v>
      </c>
    </row>
    <row r="3110" spans="1:16">
      <c r="A3110" s="1" t="s">
        <v>15</v>
      </c>
      <c r="B3110" s="1">
        <v>11</v>
      </c>
      <c r="C3110" s="1" t="s">
        <v>7400</v>
      </c>
      <c r="D3110" s="1" t="s">
        <v>238</v>
      </c>
      <c r="E3110" s="2">
        <v>45980</v>
      </c>
      <c r="F3110" s="1" t="s">
        <v>239</v>
      </c>
      <c r="G3110" s="1" t="s">
        <v>240</v>
      </c>
      <c r="H3110" s="1" t="s">
        <v>242</v>
      </c>
      <c r="I3110" s="1">
        <v>1</v>
      </c>
      <c r="J3110" s="3">
        <v>11305</v>
      </c>
      <c r="K3110" s="3">
        <v>10787</v>
      </c>
      <c r="L3110" s="1">
        <v>0</v>
      </c>
      <c r="M3110" s="4">
        <v>0</v>
      </c>
      <c r="N3110" s="1">
        <v>518</v>
      </c>
      <c r="O3110" s="4">
        <v>4.5999999999999999E-2</v>
      </c>
      <c r="P3110" s="1" t="s">
        <v>2721</v>
      </c>
    </row>
    <row r="3111" spans="1:16">
      <c r="A3111" s="1" t="s">
        <v>15</v>
      </c>
      <c r="B3111" s="1">
        <v>11</v>
      </c>
      <c r="C3111" s="1" t="s">
        <v>7401</v>
      </c>
      <c r="D3111" s="1" t="s">
        <v>7402</v>
      </c>
      <c r="E3111" s="2">
        <v>45980</v>
      </c>
      <c r="F3111" s="1" t="s">
        <v>524</v>
      </c>
      <c r="G3111" s="1" t="s">
        <v>7403</v>
      </c>
      <c r="H3111" s="1" t="s">
        <v>7404</v>
      </c>
      <c r="I3111" s="1">
        <v>1</v>
      </c>
      <c r="J3111" s="3">
        <v>66565</v>
      </c>
      <c r="K3111" s="3">
        <v>63518</v>
      </c>
      <c r="L3111" s="1">
        <v>0</v>
      </c>
      <c r="M3111" s="4">
        <v>0</v>
      </c>
      <c r="N3111" s="3">
        <v>3047</v>
      </c>
      <c r="O3111" s="4">
        <v>4.5999999999999999E-2</v>
      </c>
      <c r="P3111" s="1" t="s">
        <v>2721</v>
      </c>
    </row>
    <row r="3112" spans="1:16">
      <c r="A3112" s="1" t="s">
        <v>15</v>
      </c>
      <c r="B3112" s="1">
        <v>11</v>
      </c>
      <c r="C3112" s="1" t="s">
        <v>7405</v>
      </c>
      <c r="D3112" s="1" t="s">
        <v>52</v>
      </c>
      <c r="E3112" s="2">
        <v>45980</v>
      </c>
      <c r="F3112" s="1" t="s">
        <v>53</v>
      </c>
      <c r="G3112" s="1" t="s">
        <v>54</v>
      </c>
      <c r="H3112" s="1" t="s">
        <v>55</v>
      </c>
      <c r="I3112" s="1">
        <v>1</v>
      </c>
      <c r="J3112" s="3">
        <v>16135</v>
      </c>
      <c r="K3112" s="3">
        <v>15396</v>
      </c>
      <c r="L3112" s="1">
        <v>0</v>
      </c>
      <c r="M3112" s="4">
        <v>0</v>
      </c>
      <c r="N3112" s="1">
        <v>739</v>
      </c>
      <c r="O3112" s="4">
        <v>4.5999999999999999E-2</v>
      </c>
      <c r="P3112" s="1" t="s">
        <v>2721</v>
      </c>
    </row>
    <row r="3113" spans="1:16">
      <c r="A3113" s="1" t="s">
        <v>15</v>
      </c>
      <c r="B3113" s="1">
        <v>11</v>
      </c>
      <c r="C3113" s="1" t="s">
        <v>7406</v>
      </c>
      <c r="D3113" s="1" t="s">
        <v>178</v>
      </c>
      <c r="E3113" s="2">
        <v>45980</v>
      </c>
      <c r="F3113" s="1" t="s">
        <v>96</v>
      </c>
      <c r="G3113" s="1" t="s">
        <v>179</v>
      </c>
      <c r="H3113" s="1" t="s">
        <v>180</v>
      </c>
      <c r="I3113" s="1">
        <v>1</v>
      </c>
      <c r="J3113" s="3">
        <v>15284</v>
      </c>
      <c r="K3113" s="3">
        <v>14584</v>
      </c>
      <c r="L3113" s="1">
        <v>0</v>
      </c>
      <c r="M3113" s="4">
        <v>0</v>
      </c>
      <c r="N3113" s="1">
        <v>700</v>
      </c>
      <c r="O3113" s="4">
        <v>4.5999999999999999E-2</v>
      </c>
      <c r="P3113" s="1" t="s">
        <v>2721</v>
      </c>
    </row>
    <row r="3114" spans="1:16">
      <c r="A3114" s="1" t="s">
        <v>15</v>
      </c>
      <c r="B3114" s="1">
        <v>11</v>
      </c>
      <c r="C3114" s="1" t="s">
        <v>7407</v>
      </c>
      <c r="D3114" s="1" t="s">
        <v>4253</v>
      </c>
      <c r="E3114" s="2">
        <v>45980</v>
      </c>
      <c r="F3114" s="1" t="s">
        <v>312</v>
      </c>
      <c r="G3114" s="1" t="s">
        <v>4254</v>
      </c>
      <c r="H3114" s="1" t="s">
        <v>7408</v>
      </c>
      <c r="I3114" s="1">
        <v>2</v>
      </c>
      <c r="J3114" s="3">
        <v>56621</v>
      </c>
      <c r="K3114" s="3">
        <v>54029</v>
      </c>
      <c r="L3114" s="1">
        <v>0</v>
      </c>
      <c r="M3114" s="4">
        <v>0</v>
      </c>
      <c r="N3114" s="3">
        <v>2592</v>
      </c>
      <c r="O3114" s="4">
        <v>4.5999999999999999E-2</v>
      </c>
      <c r="P3114" s="1" t="s">
        <v>2721</v>
      </c>
    </row>
    <row r="3115" spans="1:16">
      <c r="A3115" s="1" t="s">
        <v>15</v>
      </c>
      <c r="B3115" s="1">
        <v>11</v>
      </c>
      <c r="C3115" s="1" t="s">
        <v>7409</v>
      </c>
      <c r="D3115" s="1" t="s">
        <v>989</v>
      </c>
      <c r="E3115" s="2">
        <v>45980</v>
      </c>
      <c r="F3115" s="1" t="s">
        <v>48</v>
      </c>
      <c r="G3115" s="1" t="s">
        <v>990</v>
      </c>
      <c r="H3115" s="1" t="s">
        <v>7410</v>
      </c>
      <c r="I3115" s="1">
        <v>1</v>
      </c>
      <c r="J3115" s="3">
        <v>7144</v>
      </c>
      <c r="K3115" s="3">
        <v>6817</v>
      </c>
      <c r="L3115" s="1">
        <v>0</v>
      </c>
      <c r="M3115" s="4">
        <v>0</v>
      </c>
      <c r="N3115" s="1">
        <v>327</v>
      </c>
      <c r="O3115" s="4">
        <v>4.5999999999999999E-2</v>
      </c>
      <c r="P3115" s="1" t="s">
        <v>2721</v>
      </c>
    </row>
    <row r="3116" spans="1:16">
      <c r="A3116" s="1" t="s">
        <v>15</v>
      </c>
      <c r="B3116" s="1">
        <v>11</v>
      </c>
      <c r="C3116" s="1" t="s">
        <v>7411</v>
      </c>
      <c r="D3116" s="1" t="s">
        <v>27</v>
      </c>
      <c r="E3116" s="2">
        <v>45980</v>
      </c>
      <c r="F3116" s="1" t="s">
        <v>28</v>
      </c>
      <c r="G3116" s="1" t="s">
        <v>29</v>
      </c>
      <c r="H3116" s="1" t="s">
        <v>352</v>
      </c>
      <c r="I3116" s="1">
        <v>1</v>
      </c>
      <c r="J3116" s="3">
        <v>27033</v>
      </c>
      <c r="K3116" s="3">
        <v>25795</v>
      </c>
      <c r="L3116" s="1">
        <v>0</v>
      </c>
      <c r="M3116" s="4">
        <v>0</v>
      </c>
      <c r="N3116" s="3">
        <v>1238</v>
      </c>
      <c r="O3116" s="4">
        <v>4.5999999999999999E-2</v>
      </c>
      <c r="P3116" s="1" t="s">
        <v>2721</v>
      </c>
    </row>
    <row r="3117" spans="1:16">
      <c r="A3117" s="1" t="s">
        <v>15</v>
      </c>
      <c r="B3117" s="1">
        <v>11</v>
      </c>
      <c r="C3117" s="1" t="s">
        <v>7412</v>
      </c>
      <c r="D3117" s="1" t="s">
        <v>445</v>
      </c>
      <c r="E3117" s="2">
        <v>45980</v>
      </c>
      <c r="F3117" s="1" t="s">
        <v>446</v>
      </c>
      <c r="G3117" s="1" t="s">
        <v>447</v>
      </c>
      <c r="H3117" s="1" t="s">
        <v>6361</v>
      </c>
      <c r="I3117" s="1">
        <v>1</v>
      </c>
      <c r="J3117" s="3">
        <v>4915</v>
      </c>
      <c r="K3117" s="3">
        <v>4690</v>
      </c>
      <c r="L3117" s="1">
        <v>0</v>
      </c>
      <c r="M3117" s="4">
        <v>0</v>
      </c>
      <c r="N3117" s="1">
        <v>225</v>
      </c>
      <c r="O3117" s="4">
        <v>4.5999999999999999E-2</v>
      </c>
      <c r="P3117" s="1" t="s">
        <v>2721</v>
      </c>
    </row>
    <row r="3118" spans="1:16">
      <c r="A3118" s="1" t="s">
        <v>15</v>
      </c>
      <c r="B3118" s="1">
        <v>11</v>
      </c>
      <c r="C3118" s="1" t="s">
        <v>7413</v>
      </c>
      <c r="D3118" s="1" t="s">
        <v>221</v>
      </c>
      <c r="E3118" s="2">
        <v>45980</v>
      </c>
      <c r="F3118" s="1" t="s">
        <v>96</v>
      </c>
      <c r="G3118" s="1" t="s">
        <v>222</v>
      </c>
      <c r="H3118" s="1" t="s">
        <v>509</v>
      </c>
      <c r="I3118" s="1">
        <v>1</v>
      </c>
      <c r="J3118" s="3">
        <v>12571</v>
      </c>
      <c r="K3118" s="3">
        <v>11995</v>
      </c>
      <c r="L3118" s="1">
        <v>0</v>
      </c>
      <c r="M3118" s="4">
        <v>0</v>
      </c>
      <c r="N3118" s="1">
        <v>576</v>
      </c>
      <c r="O3118" s="4">
        <v>4.5999999999999999E-2</v>
      </c>
      <c r="P3118" s="1" t="s">
        <v>2721</v>
      </c>
    </row>
    <row r="3119" spans="1:16">
      <c r="A3119" s="1" t="s">
        <v>15</v>
      </c>
      <c r="B3119" s="1">
        <v>11</v>
      </c>
      <c r="C3119" s="1" t="s">
        <v>7414</v>
      </c>
      <c r="D3119" s="1" t="s">
        <v>22</v>
      </c>
      <c r="E3119" s="2">
        <v>45980</v>
      </c>
      <c r="F3119" s="1" t="s">
        <v>23</v>
      </c>
      <c r="G3119" s="1" t="s">
        <v>24</v>
      </c>
      <c r="H3119" s="1" t="s">
        <v>25</v>
      </c>
      <c r="I3119" s="1">
        <v>1</v>
      </c>
      <c r="J3119" s="3">
        <v>11305</v>
      </c>
      <c r="K3119" s="3">
        <v>10787</v>
      </c>
      <c r="L3119" s="1">
        <v>0</v>
      </c>
      <c r="M3119" s="4">
        <v>0</v>
      </c>
      <c r="N3119" s="1">
        <v>518</v>
      </c>
      <c r="O3119" s="4">
        <v>4.5999999999999999E-2</v>
      </c>
      <c r="P3119" s="1" t="s">
        <v>2721</v>
      </c>
    </row>
    <row r="3120" spans="1:16">
      <c r="A3120" s="1" t="s">
        <v>15</v>
      </c>
      <c r="B3120" s="1">
        <v>11</v>
      </c>
      <c r="C3120" s="1" t="s">
        <v>7415</v>
      </c>
      <c r="D3120" s="1" t="s">
        <v>3328</v>
      </c>
      <c r="E3120" s="2">
        <v>45980</v>
      </c>
      <c r="F3120" s="1" t="s">
        <v>488</v>
      </c>
      <c r="G3120" s="1" t="s">
        <v>3329</v>
      </c>
      <c r="H3120" s="1" t="s">
        <v>3330</v>
      </c>
      <c r="I3120" s="1">
        <v>3</v>
      </c>
      <c r="J3120" s="3">
        <v>53082</v>
      </c>
      <c r="K3120" s="3">
        <v>50652</v>
      </c>
      <c r="L3120" s="1">
        <v>0</v>
      </c>
      <c r="M3120" s="4">
        <v>0</v>
      </c>
      <c r="N3120" s="3">
        <v>2430</v>
      </c>
      <c r="O3120" s="4">
        <v>4.5999999999999999E-2</v>
      </c>
      <c r="P3120" s="1" t="s">
        <v>2721</v>
      </c>
    </row>
    <row r="3121" spans="1:16">
      <c r="A3121" s="1" t="s">
        <v>15</v>
      </c>
      <c r="B3121" s="1">
        <v>11</v>
      </c>
      <c r="C3121" s="1" t="s">
        <v>7416</v>
      </c>
      <c r="D3121" s="1" t="s">
        <v>6386</v>
      </c>
      <c r="E3121" s="2">
        <v>45980</v>
      </c>
      <c r="F3121" s="1" t="s">
        <v>524</v>
      </c>
      <c r="G3121" s="1" t="s">
        <v>6387</v>
      </c>
      <c r="H3121" s="1" t="s">
        <v>6388</v>
      </c>
      <c r="I3121" s="1">
        <v>1</v>
      </c>
      <c r="J3121" s="3">
        <v>13285</v>
      </c>
      <c r="K3121" s="3">
        <v>12677</v>
      </c>
      <c r="L3121" s="1">
        <v>0</v>
      </c>
      <c r="M3121" s="4">
        <v>0</v>
      </c>
      <c r="N3121" s="1">
        <v>608</v>
      </c>
      <c r="O3121" s="4">
        <v>4.5999999999999999E-2</v>
      </c>
      <c r="P3121" s="1" t="s">
        <v>2721</v>
      </c>
    </row>
    <row r="3122" spans="1:16">
      <c r="A3122" s="1" t="s">
        <v>15</v>
      </c>
      <c r="B3122" s="1">
        <v>11</v>
      </c>
      <c r="C3122" s="1" t="s">
        <v>7417</v>
      </c>
      <c r="D3122" s="1" t="s">
        <v>169</v>
      </c>
      <c r="E3122" s="2">
        <v>45980</v>
      </c>
      <c r="F3122" s="1" t="s">
        <v>53</v>
      </c>
      <c r="G3122" s="1" t="s">
        <v>170</v>
      </c>
      <c r="H3122" s="1" t="s">
        <v>171</v>
      </c>
      <c r="I3122" s="1">
        <v>1</v>
      </c>
      <c r="J3122" s="3">
        <v>14332</v>
      </c>
      <c r="K3122" s="3">
        <v>13676</v>
      </c>
      <c r="L3122" s="1">
        <v>0</v>
      </c>
      <c r="M3122" s="4">
        <v>0</v>
      </c>
      <c r="N3122" s="1">
        <v>656</v>
      </c>
      <c r="O3122" s="4">
        <v>4.5999999999999999E-2</v>
      </c>
      <c r="P3122" s="1" t="s">
        <v>2721</v>
      </c>
    </row>
    <row r="3123" spans="1:16">
      <c r="A3123" s="1" t="s">
        <v>15</v>
      </c>
      <c r="B3123" s="1">
        <v>11</v>
      </c>
      <c r="C3123" s="1" t="s">
        <v>7418</v>
      </c>
      <c r="D3123" s="1" t="s">
        <v>5092</v>
      </c>
      <c r="E3123" s="2">
        <v>45980</v>
      </c>
      <c r="F3123" s="1" t="s">
        <v>347</v>
      </c>
      <c r="G3123" s="1" t="s">
        <v>5093</v>
      </c>
      <c r="H3123" s="1" t="s">
        <v>7419</v>
      </c>
      <c r="I3123" s="1">
        <v>1</v>
      </c>
      <c r="J3123" s="3">
        <v>23002</v>
      </c>
      <c r="K3123" s="3">
        <v>21949</v>
      </c>
      <c r="L3123" s="1">
        <v>0</v>
      </c>
      <c r="M3123" s="4">
        <v>0</v>
      </c>
      <c r="N3123" s="3">
        <v>1053</v>
      </c>
      <c r="O3123" s="4">
        <v>4.5999999999999999E-2</v>
      </c>
      <c r="P3123" s="1" t="s">
        <v>2721</v>
      </c>
    </row>
    <row r="3124" spans="1:16">
      <c r="A3124" s="1" t="s">
        <v>15</v>
      </c>
      <c r="B3124" s="1">
        <v>11</v>
      </c>
      <c r="C3124" s="1" t="s">
        <v>7420</v>
      </c>
      <c r="D3124" s="1" t="s">
        <v>1342</v>
      </c>
      <c r="E3124" s="2">
        <v>45980</v>
      </c>
      <c r="F3124" s="1" t="s">
        <v>63</v>
      </c>
      <c r="G3124" s="1" t="s">
        <v>1343</v>
      </c>
      <c r="H3124" s="1" t="s">
        <v>1344</v>
      </c>
      <c r="I3124" s="1">
        <v>1</v>
      </c>
      <c r="J3124" s="3">
        <v>28034</v>
      </c>
      <c r="K3124" s="3">
        <v>26751</v>
      </c>
      <c r="L3124" s="1">
        <v>0</v>
      </c>
      <c r="M3124" s="4">
        <v>0</v>
      </c>
      <c r="N3124" s="3">
        <v>1283</v>
      </c>
      <c r="O3124" s="4">
        <v>4.5999999999999999E-2</v>
      </c>
      <c r="P3124" s="1" t="s">
        <v>2721</v>
      </c>
    </row>
    <row r="3125" spans="1:16">
      <c r="A3125" s="1" t="s">
        <v>15</v>
      </c>
      <c r="B3125" s="1">
        <v>11</v>
      </c>
      <c r="C3125" s="1" t="s">
        <v>7421</v>
      </c>
      <c r="D3125" s="1" t="s">
        <v>1250</v>
      </c>
      <c r="E3125" s="2">
        <v>45980</v>
      </c>
      <c r="F3125" s="1" t="s">
        <v>18</v>
      </c>
      <c r="G3125" s="1" t="s">
        <v>1251</v>
      </c>
      <c r="H3125" s="1" t="s">
        <v>20</v>
      </c>
      <c r="I3125" s="1">
        <v>1</v>
      </c>
      <c r="J3125" s="3">
        <v>8395</v>
      </c>
      <c r="K3125" s="3">
        <v>8011</v>
      </c>
      <c r="L3125" s="1">
        <v>0</v>
      </c>
      <c r="M3125" s="4">
        <v>0</v>
      </c>
      <c r="N3125" s="1">
        <v>384</v>
      </c>
      <c r="O3125" s="4">
        <v>4.5999999999999999E-2</v>
      </c>
      <c r="P3125" s="1" t="s">
        <v>2721</v>
      </c>
    </row>
    <row r="3126" spans="1:16">
      <c r="A3126" s="1" t="s">
        <v>15</v>
      </c>
      <c r="B3126" s="1">
        <v>11</v>
      </c>
      <c r="C3126" s="1" t="s">
        <v>7422</v>
      </c>
      <c r="D3126" s="1" t="s">
        <v>2976</v>
      </c>
      <c r="E3126" s="2">
        <v>45980</v>
      </c>
      <c r="F3126" s="1" t="s">
        <v>256</v>
      </c>
      <c r="G3126" s="1" t="s">
        <v>2977</v>
      </c>
      <c r="H3126" s="1" t="s">
        <v>2978</v>
      </c>
      <c r="I3126" s="1">
        <v>1</v>
      </c>
      <c r="J3126" s="3">
        <v>12209</v>
      </c>
      <c r="K3126" s="3">
        <v>11650</v>
      </c>
      <c r="L3126" s="1">
        <v>0</v>
      </c>
      <c r="M3126" s="4">
        <v>0</v>
      </c>
      <c r="N3126" s="1">
        <v>559</v>
      </c>
      <c r="O3126" s="4">
        <v>4.5999999999999999E-2</v>
      </c>
      <c r="P3126" s="1" t="s">
        <v>2721</v>
      </c>
    </row>
    <row r="3127" spans="1:16">
      <c r="A3127" s="1" t="s">
        <v>15</v>
      </c>
      <c r="B3127" s="1">
        <v>11</v>
      </c>
      <c r="C3127" s="1" t="s">
        <v>7423</v>
      </c>
      <c r="D3127" s="1" t="s">
        <v>154</v>
      </c>
      <c r="E3127" s="2">
        <v>45980</v>
      </c>
      <c r="F3127" s="1" t="s">
        <v>155</v>
      </c>
      <c r="G3127" s="1" t="s">
        <v>156</v>
      </c>
      <c r="H3127" s="1" t="s">
        <v>193</v>
      </c>
      <c r="I3127" s="1">
        <v>2</v>
      </c>
      <c r="J3127" s="3">
        <v>27131</v>
      </c>
      <c r="K3127" s="3">
        <v>25889</v>
      </c>
      <c r="L3127" s="1">
        <v>0</v>
      </c>
      <c r="M3127" s="4">
        <v>0</v>
      </c>
      <c r="N3127" s="3">
        <v>1242</v>
      </c>
      <c r="O3127" s="4">
        <v>4.5999999999999999E-2</v>
      </c>
      <c r="P3127" s="1" t="s">
        <v>2721</v>
      </c>
    </row>
    <row r="3128" spans="1:16">
      <c r="A3128" s="1" t="s">
        <v>15</v>
      </c>
      <c r="B3128" s="1">
        <v>11</v>
      </c>
      <c r="C3128" s="1" t="s">
        <v>7424</v>
      </c>
      <c r="D3128" s="1" t="s">
        <v>3754</v>
      </c>
      <c r="E3128" s="2">
        <v>45980</v>
      </c>
      <c r="F3128" s="1" t="s">
        <v>63</v>
      </c>
      <c r="G3128" s="1" t="s">
        <v>3755</v>
      </c>
      <c r="H3128" s="1" t="s">
        <v>3756</v>
      </c>
      <c r="I3128" s="1">
        <v>1</v>
      </c>
      <c r="J3128" s="3">
        <v>5138</v>
      </c>
      <c r="K3128" s="3">
        <v>4903</v>
      </c>
      <c r="L3128" s="1">
        <v>0</v>
      </c>
      <c r="M3128" s="4">
        <v>0</v>
      </c>
      <c r="N3128" s="1">
        <v>235</v>
      </c>
      <c r="O3128" s="4">
        <v>4.5999999999999999E-2</v>
      </c>
      <c r="P3128" s="1" t="s">
        <v>2721</v>
      </c>
    </row>
    <row r="3129" spans="1:16">
      <c r="A3129" s="1" t="s">
        <v>15</v>
      </c>
      <c r="B3129" s="1">
        <v>11</v>
      </c>
      <c r="C3129" s="1" t="s">
        <v>7425</v>
      </c>
      <c r="D3129" s="1" t="s">
        <v>238</v>
      </c>
      <c r="E3129" s="2">
        <v>45980</v>
      </c>
      <c r="F3129" s="1" t="s">
        <v>239</v>
      </c>
      <c r="G3129" s="1" t="s">
        <v>240</v>
      </c>
      <c r="H3129" s="1" t="s">
        <v>241</v>
      </c>
      <c r="I3129" s="1">
        <v>3</v>
      </c>
      <c r="J3129" s="3">
        <v>33914</v>
      </c>
      <c r="K3129" s="3">
        <v>32361</v>
      </c>
      <c r="L3129" s="1">
        <v>0</v>
      </c>
      <c r="M3129" s="4">
        <v>0</v>
      </c>
      <c r="N3129" s="3">
        <v>1553</v>
      </c>
      <c r="O3129" s="4">
        <v>4.5999999999999999E-2</v>
      </c>
      <c r="P3129" s="1" t="s">
        <v>2721</v>
      </c>
    </row>
    <row r="3130" spans="1:16">
      <c r="A3130" s="1" t="s">
        <v>15</v>
      </c>
      <c r="B3130" s="1">
        <v>11</v>
      </c>
      <c r="C3130" s="1" t="s">
        <v>7426</v>
      </c>
      <c r="D3130" s="1" t="s">
        <v>47</v>
      </c>
      <c r="E3130" s="2">
        <v>45980</v>
      </c>
      <c r="F3130" s="1" t="s">
        <v>48</v>
      </c>
      <c r="G3130" s="1" t="s">
        <v>49</v>
      </c>
      <c r="H3130" s="1" t="s">
        <v>50</v>
      </c>
      <c r="I3130" s="1">
        <v>1</v>
      </c>
      <c r="J3130" s="3">
        <v>18901</v>
      </c>
      <c r="K3130" s="3">
        <v>18036</v>
      </c>
      <c r="L3130" s="1">
        <v>0</v>
      </c>
      <c r="M3130" s="4">
        <v>0</v>
      </c>
      <c r="N3130" s="1">
        <v>865</v>
      </c>
      <c r="O3130" s="4">
        <v>4.5999999999999999E-2</v>
      </c>
      <c r="P3130" s="1" t="s">
        <v>2721</v>
      </c>
    </row>
    <row r="3131" spans="1:16">
      <c r="A3131" s="1" t="s">
        <v>15</v>
      </c>
      <c r="B3131" s="1">
        <v>11</v>
      </c>
      <c r="C3131" s="1" t="s">
        <v>7427</v>
      </c>
      <c r="D3131" s="1" t="s">
        <v>482</v>
      </c>
      <c r="E3131" s="2">
        <v>45980</v>
      </c>
      <c r="F3131" s="1" t="s">
        <v>483</v>
      </c>
      <c r="G3131" s="1" t="s">
        <v>484</v>
      </c>
      <c r="H3131" s="1" t="s">
        <v>1777</v>
      </c>
      <c r="I3131" s="1">
        <v>1</v>
      </c>
      <c r="J3131" s="3">
        <v>27426</v>
      </c>
      <c r="K3131" s="3">
        <v>26170</v>
      </c>
      <c r="L3131" s="1">
        <v>0</v>
      </c>
      <c r="M3131" s="4">
        <v>0</v>
      </c>
      <c r="N3131" s="3">
        <v>1256</v>
      </c>
      <c r="O3131" s="4">
        <v>4.5999999999999999E-2</v>
      </c>
      <c r="P3131" s="1" t="s">
        <v>2721</v>
      </c>
    </row>
    <row r="3132" spans="1:16">
      <c r="A3132" s="1" t="s">
        <v>15</v>
      </c>
      <c r="B3132" s="1">
        <v>11</v>
      </c>
      <c r="C3132" s="1" t="s">
        <v>7428</v>
      </c>
      <c r="D3132" s="1" t="s">
        <v>221</v>
      </c>
      <c r="E3132" s="2">
        <v>45980</v>
      </c>
      <c r="F3132" s="1" t="s">
        <v>96</v>
      </c>
      <c r="G3132" s="1" t="s">
        <v>222</v>
      </c>
      <c r="H3132" s="1" t="s">
        <v>509</v>
      </c>
      <c r="I3132" s="1">
        <v>1</v>
      </c>
      <c r="J3132" s="3">
        <v>12571</v>
      </c>
      <c r="K3132" s="3">
        <v>11995</v>
      </c>
      <c r="L3132" s="1">
        <v>0</v>
      </c>
      <c r="M3132" s="4">
        <v>0</v>
      </c>
      <c r="N3132" s="1">
        <v>576</v>
      </c>
      <c r="O3132" s="4">
        <v>4.5999999999999999E-2</v>
      </c>
      <c r="P3132" s="1" t="s">
        <v>2721</v>
      </c>
    </row>
    <row r="3133" spans="1:16">
      <c r="A3133" s="1" t="s">
        <v>15</v>
      </c>
      <c r="B3133" s="1">
        <v>11</v>
      </c>
      <c r="C3133" s="1" t="s">
        <v>7428</v>
      </c>
      <c r="D3133" s="1" t="s">
        <v>224</v>
      </c>
      <c r="E3133" s="2">
        <v>45980</v>
      </c>
      <c r="F3133" s="1" t="s">
        <v>96</v>
      </c>
      <c r="G3133" s="1" t="s">
        <v>225</v>
      </c>
      <c r="H3133" s="1" t="s">
        <v>972</v>
      </c>
      <c r="I3133" s="1">
        <v>1</v>
      </c>
      <c r="J3133" s="3">
        <v>12571</v>
      </c>
      <c r="K3133" s="3">
        <v>11995</v>
      </c>
      <c r="L3133" s="1">
        <v>0</v>
      </c>
      <c r="M3133" s="4">
        <v>0</v>
      </c>
      <c r="N3133" s="1">
        <v>576</v>
      </c>
      <c r="O3133" s="4">
        <v>4.5999999999999999E-2</v>
      </c>
      <c r="P3133" s="1" t="s">
        <v>2721</v>
      </c>
    </row>
    <row r="3134" spans="1:16">
      <c r="A3134" s="1" t="s">
        <v>15</v>
      </c>
      <c r="B3134" s="1">
        <v>11</v>
      </c>
      <c r="C3134" s="1" t="s">
        <v>7429</v>
      </c>
      <c r="D3134" s="1" t="s">
        <v>228</v>
      </c>
      <c r="E3134" s="2">
        <v>45980</v>
      </c>
      <c r="F3134" s="1" t="s">
        <v>53</v>
      </c>
      <c r="G3134" s="1" t="s">
        <v>229</v>
      </c>
      <c r="H3134" s="1" t="s">
        <v>230</v>
      </c>
      <c r="I3134" s="1">
        <v>1</v>
      </c>
      <c r="J3134" s="3">
        <v>9825</v>
      </c>
      <c r="K3134" s="3">
        <v>9375</v>
      </c>
      <c r="L3134" s="1">
        <v>0</v>
      </c>
      <c r="M3134" s="4">
        <v>0</v>
      </c>
      <c r="N3134" s="1">
        <v>450</v>
      </c>
      <c r="O3134" s="4">
        <v>4.5999999999999999E-2</v>
      </c>
      <c r="P3134" s="1" t="s">
        <v>2721</v>
      </c>
    </row>
    <row r="3135" spans="1:16">
      <c r="A3135" s="1" t="s">
        <v>15</v>
      </c>
      <c r="B3135" s="1">
        <v>11</v>
      </c>
      <c r="C3135" s="1" t="s">
        <v>7430</v>
      </c>
      <c r="D3135" s="1" t="s">
        <v>1261</v>
      </c>
      <c r="E3135" s="2">
        <v>45980</v>
      </c>
      <c r="F3135" s="1" t="s">
        <v>33</v>
      </c>
      <c r="G3135" s="1" t="s">
        <v>1262</v>
      </c>
      <c r="H3135" s="1" t="s">
        <v>7431</v>
      </c>
      <c r="I3135" s="1">
        <v>1</v>
      </c>
      <c r="J3135" s="3">
        <v>97440</v>
      </c>
      <c r="K3135" s="3">
        <v>92979</v>
      </c>
      <c r="L3135" s="1">
        <v>0</v>
      </c>
      <c r="M3135" s="4">
        <v>0</v>
      </c>
      <c r="N3135" s="3">
        <v>4461</v>
      </c>
      <c r="O3135" s="4">
        <v>4.5999999999999999E-2</v>
      </c>
      <c r="P3135" s="1" t="s">
        <v>2721</v>
      </c>
    </row>
    <row r="3136" spans="1:16">
      <c r="A3136" s="1" t="s">
        <v>15</v>
      </c>
      <c r="B3136" s="1">
        <v>11</v>
      </c>
      <c r="C3136" s="1" t="s">
        <v>7432</v>
      </c>
      <c r="D3136" s="1" t="s">
        <v>270</v>
      </c>
      <c r="E3136" s="2">
        <v>45980</v>
      </c>
      <c r="F3136" s="1" t="s">
        <v>271</v>
      </c>
      <c r="G3136" s="1" t="s">
        <v>272</v>
      </c>
      <c r="H3136" s="1" t="s">
        <v>273</v>
      </c>
      <c r="I3136" s="1">
        <v>1</v>
      </c>
      <c r="J3136" s="3">
        <v>25067</v>
      </c>
      <c r="K3136" s="3">
        <v>23919</v>
      </c>
      <c r="L3136" s="1">
        <v>0</v>
      </c>
      <c r="M3136" s="4">
        <v>0</v>
      </c>
      <c r="N3136" s="3">
        <v>1148</v>
      </c>
      <c r="O3136" s="4">
        <v>4.5999999999999999E-2</v>
      </c>
      <c r="P3136" s="1" t="s">
        <v>2721</v>
      </c>
    </row>
    <row r="3137" spans="1:16">
      <c r="A3137" s="1" t="s">
        <v>15</v>
      </c>
      <c r="B3137" s="1">
        <v>11</v>
      </c>
      <c r="C3137" s="1" t="s">
        <v>7433</v>
      </c>
      <c r="D3137" s="1" t="s">
        <v>169</v>
      </c>
      <c r="E3137" s="2">
        <v>45980</v>
      </c>
      <c r="F3137" s="1" t="s">
        <v>53</v>
      </c>
      <c r="G3137" s="1" t="s">
        <v>170</v>
      </c>
      <c r="H3137" s="1" t="s">
        <v>171</v>
      </c>
      <c r="I3137" s="1">
        <v>1</v>
      </c>
      <c r="J3137" s="3">
        <v>14332</v>
      </c>
      <c r="K3137" s="3">
        <v>13676</v>
      </c>
      <c r="L3137" s="1">
        <v>0</v>
      </c>
      <c r="M3137" s="4">
        <v>0</v>
      </c>
      <c r="N3137" s="1">
        <v>656</v>
      </c>
      <c r="O3137" s="4">
        <v>4.5999999999999999E-2</v>
      </c>
      <c r="P3137" s="1" t="s">
        <v>2721</v>
      </c>
    </row>
    <row r="3138" spans="1:16">
      <c r="A3138" s="1" t="s">
        <v>15</v>
      </c>
      <c r="B3138" s="1">
        <v>11</v>
      </c>
      <c r="C3138" s="1" t="s">
        <v>7434</v>
      </c>
      <c r="D3138" s="1" t="s">
        <v>7435</v>
      </c>
      <c r="E3138" s="2">
        <v>45980</v>
      </c>
      <c r="F3138" s="1" t="s">
        <v>839</v>
      </c>
      <c r="G3138" s="1" t="s">
        <v>7436</v>
      </c>
      <c r="H3138" s="1" t="s">
        <v>7437</v>
      </c>
      <c r="I3138" s="1">
        <v>1</v>
      </c>
      <c r="J3138" s="3">
        <v>12288</v>
      </c>
      <c r="K3138" s="3">
        <v>11725</v>
      </c>
      <c r="L3138" s="1">
        <v>0</v>
      </c>
      <c r="M3138" s="4">
        <v>0</v>
      </c>
      <c r="N3138" s="1">
        <v>563</v>
      </c>
      <c r="O3138" s="4">
        <v>4.5999999999999999E-2</v>
      </c>
      <c r="P3138" s="1" t="s">
        <v>2721</v>
      </c>
    </row>
    <row r="3139" spans="1:16">
      <c r="A3139" s="1" t="s">
        <v>15</v>
      </c>
      <c r="B3139" s="1">
        <v>11</v>
      </c>
      <c r="C3139" s="1" t="s">
        <v>7438</v>
      </c>
      <c r="D3139" s="1" t="s">
        <v>72</v>
      </c>
      <c r="E3139" s="2">
        <v>45980</v>
      </c>
      <c r="F3139" s="1" t="s">
        <v>63</v>
      </c>
      <c r="G3139" s="1" t="s">
        <v>73</v>
      </c>
      <c r="H3139" s="1" t="s">
        <v>74</v>
      </c>
      <c r="I3139" s="1">
        <v>1</v>
      </c>
      <c r="J3139" s="3">
        <v>10456</v>
      </c>
      <c r="K3139" s="3">
        <v>9978</v>
      </c>
      <c r="L3139" s="1">
        <v>0</v>
      </c>
      <c r="M3139" s="4">
        <v>0</v>
      </c>
      <c r="N3139" s="1">
        <v>478</v>
      </c>
      <c r="O3139" s="4">
        <v>4.5999999999999999E-2</v>
      </c>
      <c r="P3139" s="1" t="s">
        <v>2721</v>
      </c>
    </row>
    <row r="3140" spans="1:16">
      <c r="A3140" s="1" t="s">
        <v>15</v>
      </c>
      <c r="B3140" s="1">
        <v>11</v>
      </c>
      <c r="C3140" s="1" t="s">
        <v>7439</v>
      </c>
      <c r="D3140" s="1" t="s">
        <v>1669</v>
      </c>
      <c r="E3140" s="2">
        <v>45980</v>
      </c>
      <c r="F3140" s="1" t="s">
        <v>266</v>
      </c>
      <c r="G3140" s="1" t="s">
        <v>1670</v>
      </c>
      <c r="H3140" s="1" t="s">
        <v>268</v>
      </c>
      <c r="I3140" s="1">
        <v>1</v>
      </c>
      <c r="J3140" s="3">
        <v>29490</v>
      </c>
      <c r="K3140" s="3">
        <v>28140</v>
      </c>
      <c r="L3140" s="1">
        <v>0</v>
      </c>
      <c r="M3140" s="4">
        <v>0</v>
      </c>
      <c r="N3140" s="3">
        <v>1350</v>
      </c>
      <c r="O3140" s="4">
        <v>4.5999999999999999E-2</v>
      </c>
      <c r="P3140" s="1" t="s">
        <v>2721</v>
      </c>
    </row>
    <row r="3141" spans="1:16">
      <c r="A3141" s="1" t="s">
        <v>15</v>
      </c>
      <c r="B3141" s="1">
        <v>11</v>
      </c>
      <c r="C3141" s="1" t="s">
        <v>7440</v>
      </c>
      <c r="D3141" s="1" t="s">
        <v>22</v>
      </c>
      <c r="E3141" s="2">
        <v>45980</v>
      </c>
      <c r="F3141" s="1" t="s">
        <v>23</v>
      </c>
      <c r="G3141" s="1" t="s">
        <v>24</v>
      </c>
      <c r="H3141" s="1" t="s">
        <v>25</v>
      </c>
      <c r="I3141" s="1">
        <v>1</v>
      </c>
      <c r="J3141" s="3">
        <v>11305</v>
      </c>
      <c r="K3141" s="3">
        <v>10787</v>
      </c>
      <c r="L3141" s="1">
        <v>0</v>
      </c>
      <c r="M3141" s="4">
        <v>0</v>
      </c>
      <c r="N3141" s="1">
        <v>518</v>
      </c>
      <c r="O3141" s="4">
        <v>4.5999999999999999E-2</v>
      </c>
      <c r="P3141" s="1" t="s">
        <v>2721</v>
      </c>
    </row>
    <row r="3142" spans="1:16">
      <c r="A3142" s="1" t="s">
        <v>15</v>
      </c>
      <c r="B3142" s="1">
        <v>11</v>
      </c>
      <c r="C3142" s="1" t="s">
        <v>7441</v>
      </c>
      <c r="D3142" s="1" t="s">
        <v>549</v>
      </c>
      <c r="E3142" s="2">
        <v>45980</v>
      </c>
      <c r="F3142" s="1" t="s">
        <v>63</v>
      </c>
      <c r="G3142" s="1" t="s">
        <v>550</v>
      </c>
      <c r="H3142" s="1" t="s">
        <v>551</v>
      </c>
      <c r="I3142" s="1">
        <v>2</v>
      </c>
      <c r="J3142" s="3">
        <v>30845</v>
      </c>
      <c r="K3142" s="3">
        <v>29433</v>
      </c>
      <c r="L3142" s="1">
        <v>0</v>
      </c>
      <c r="M3142" s="4">
        <v>0</v>
      </c>
      <c r="N3142" s="3">
        <v>1412</v>
      </c>
      <c r="O3142" s="4">
        <v>4.5999999999999999E-2</v>
      </c>
      <c r="P3142" s="1" t="s">
        <v>2721</v>
      </c>
    </row>
    <row r="3143" spans="1:16">
      <c r="A3143" s="1" t="s">
        <v>15</v>
      </c>
      <c r="B3143" s="1">
        <v>11</v>
      </c>
      <c r="C3143" s="1" t="s">
        <v>7442</v>
      </c>
      <c r="D3143" s="1" t="s">
        <v>72</v>
      </c>
      <c r="E3143" s="2">
        <v>45980</v>
      </c>
      <c r="F3143" s="1" t="s">
        <v>63</v>
      </c>
      <c r="G3143" s="1" t="s">
        <v>73</v>
      </c>
      <c r="H3143" s="1" t="s">
        <v>74</v>
      </c>
      <c r="I3143" s="1">
        <v>1</v>
      </c>
      <c r="J3143" s="3">
        <v>10456</v>
      </c>
      <c r="K3143" s="3">
        <v>9978</v>
      </c>
      <c r="L3143" s="1">
        <v>0</v>
      </c>
      <c r="M3143" s="4">
        <v>0</v>
      </c>
      <c r="N3143" s="1">
        <v>478</v>
      </c>
      <c r="O3143" s="4">
        <v>4.5999999999999999E-2</v>
      </c>
      <c r="P3143" s="1" t="s">
        <v>2721</v>
      </c>
    </row>
    <row r="3144" spans="1:16">
      <c r="A3144" s="1" t="s">
        <v>15</v>
      </c>
      <c r="B3144" s="1">
        <v>11</v>
      </c>
      <c r="C3144" s="1" t="s">
        <v>7443</v>
      </c>
      <c r="D3144" s="1" t="s">
        <v>86</v>
      </c>
      <c r="E3144" s="2">
        <v>45980</v>
      </c>
      <c r="F3144" s="1" t="s">
        <v>53</v>
      </c>
      <c r="G3144" s="1" t="s">
        <v>87</v>
      </c>
      <c r="H3144" s="1" t="s">
        <v>88</v>
      </c>
      <c r="I3144" s="1">
        <v>5</v>
      </c>
      <c r="J3144" s="3">
        <v>74782</v>
      </c>
      <c r="K3144" s="3">
        <v>71358</v>
      </c>
      <c r="L3144" s="1">
        <v>0</v>
      </c>
      <c r="M3144" s="4">
        <v>0</v>
      </c>
      <c r="N3144" s="3">
        <v>3424</v>
      </c>
      <c r="O3144" s="4">
        <v>4.5999999999999999E-2</v>
      </c>
      <c r="P3144" s="1" t="s">
        <v>2721</v>
      </c>
    </row>
    <row r="3145" spans="1:16">
      <c r="A3145" s="1" t="s">
        <v>15</v>
      </c>
      <c r="B3145" s="1">
        <v>11</v>
      </c>
      <c r="C3145" s="1" t="s">
        <v>7444</v>
      </c>
      <c r="D3145" s="1" t="s">
        <v>165</v>
      </c>
      <c r="E3145" s="2">
        <v>45980</v>
      </c>
      <c r="F3145" s="1" t="s">
        <v>48</v>
      </c>
      <c r="G3145" s="1" t="s">
        <v>166</v>
      </c>
      <c r="H3145" s="1" t="s">
        <v>167</v>
      </c>
      <c r="I3145" s="1">
        <v>1</v>
      </c>
      <c r="J3145" s="3">
        <v>31562</v>
      </c>
      <c r="K3145" s="3">
        <v>30117</v>
      </c>
      <c r="L3145" s="1">
        <v>0</v>
      </c>
      <c r="M3145" s="4">
        <v>0</v>
      </c>
      <c r="N3145" s="3">
        <v>1445</v>
      </c>
      <c r="O3145" s="4">
        <v>4.5999999999999999E-2</v>
      </c>
      <c r="P3145" s="1" t="s">
        <v>2721</v>
      </c>
    </row>
    <row r="3146" spans="1:16">
      <c r="A3146" s="1" t="s">
        <v>15</v>
      </c>
      <c r="B3146" s="1">
        <v>11</v>
      </c>
      <c r="C3146" s="1" t="s">
        <v>7445</v>
      </c>
      <c r="D3146" s="1" t="s">
        <v>283</v>
      </c>
      <c r="E3146" s="2">
        <v>45980</v>
      </c>
      <c r="F3146" s="1" t="s">
        <v>200</v>
      </c>
      <c r="G3146" s="1" t="s">
        <v>284</v>
      </c>
      <c r="H3146" s="1" t="s">
        <v>7446</v>
      </c>
      <c r="I3146" s="1">
        <v>1</v>
      </c>
      <c r="J3146" s="3">
        <v>12779</v>
      </c>
      <c r="K3146" s="3">
        <v>12194</v>
      </c>
      <c r="L3146" s="1">
        <v>0</v>
      </c>
      <c r="M3146" s="4">
        <v>0</v>
      </c>
      <c r="N3146" s="1">
        <v>585</v>
      </c>
      <c r="O3146" s="4">
        <v>4.5999999999999999E-2</v>
      </c>
      <c r="P3146" s="1" t="s">
        <v>2721</v>
      </c>
    </row>
    <row r="3147" spans="1:16">
      <c r="A3147" s="1" t="s">
        <v>15</v>
      </c>
      <c r="B3147" s="1">
        <v>11</v>
      </c>
      <c r="C3147" s="1" t="s">
        <v>7447</v>
      </c>
      <c r="D3147" s="1" t="s">
        <v>346</v>
      </c>
      <c r="E3147" s="2">
        <v>45980</v>
      </c>
      <c r="F3147" s="1" t="s">
        <v>347</v>
      </c>
      <c r="G3147" s="1" t="s">
        <v>348</v>
      </c>
      <c r="H3147" s="1" t="s">
        <v>1703</v>
      </c>
      <c r="I3147" s="1">
        <v>1</v>
      </c>
      <c r="J3147" s="3">
        <v>18677</v>
      </c>
      <c r="K3147" s="3">
        <v>17822</v>
      </c>
      <c r="L3147" s="1">
        <v>0</v>
      </c>
      <c r="M3147" s="4">
        <v>0</v>
      </c>
      <c r="N3147" s="1">
        <v>855</v>
      </c>
      <c r="O3147" s="4">
        <v>4.5999999999999999E-2</v>
      </c>
      <c r="P3147" s="1" t="s">
        <v>2721</v>
      </c>
    </row>
    <row r="3148" spans="1:16">
      <c r="A3148" s="1" t="s">
        <v>15</v>
      </c>
      <c r="B3148" s="1">
        <v>11</v>
      </c>
      <c r="C3148" s="1" t="s">
        <v>7448</v>
      </c>
      <c r="D3148" s="1" t="s">
        <v>411</v>
      </c>
      <c r="E3148" s="2">
        <v>45980</v>
      </c>
      <c r="F3148" s="1" t="s">
        <v>312</v>
      </c>
      <c r="G3148" s="1" t="s">
        <v>412</v>
      </c>
      <c r="H3148" s="1" t="s">
        <v>7449</v>
      </c>
      <c r="I3148" s="1">
        <v>1</v>
      </c>
      <c r="J3148" s="3">
        <v>27524</v>
      </c>
      <c r="K3148" s="3">
        <v>26264</v>
      </c>
      <c r="L3148" s="1">
        <v>0</v>
      </c>
      <c r="M3148" s="4">
        <v>0</v>
      </c>
      <c r="N3148" s="3">
        <v>1260</v>
      </c>
      <c r="O3148" s="4">
        <v>4.5999999999999999E-2</v>
      </c>
      <c r="P3148" s="1" t="s">
        <v>2721</v>
      </c>
    </row>
    <row r="3149" spans="1:16">
      <c r="A3149" s="1" t="s">
        <v>15</v>
      </c>
      <c r="B3149" s="1">
        <v>11</v>
      </c>
      <c r="C3149" s="1" t="s">
        <v>7450</v>
      </c>
      <c r="D3149" s="1" t="s">
        <v>504</v>
      </c>
      <c r="E3149" s="2">
        <v>45980</v>
      </c>
      <c r="F3149" s="1" t="s">
        <v>407</v>
      </c>
      <c r="G3149" s="1" t="s">
        <v>505</v>
      </c>
      <c r="H3149" s="1" t="s">
        <v>1322</v>
      </c>
      <c r="I3149" s="1">
        <v>1</v>
      </c>
      <c r="J3149" s="3">
        <v>23592</v>
      </c>
      <c r="K3149" s="3">
        <v>22512</v>
      </c>
      <c r="L3149" s="1">
        <v>0</v>
      </c>
      <c r="M3149" s="4">
        <v>0</v>
      </c>
      <c r="N3149" s="3">
        <v>1080</v>
      </c>
      <c r="O3149" s="4">
        <v>4.5999999999999999E-2</v>
      </c>
      <c r="P3149" s="1" t="s">
        <v>2721</v>
      </c>
    </row>
    <row r="3150" spans="1:16">
      <c r="A3150" s="1" t="s">
        <v>15</v>
      </c>
      <c r="B3150" s="1">
        <v>11</v>
      </c>
      <c r="C3150" s="1" t="s">
        <v>7451</v>
      </c>
      <c r="D3150" s="1" t="s">
        <v>95</v>
      </c>
      <c r="E3150" s="2">
        <v>45980</v>
      </c>
      <c r="F3150" s="1" t="s">
        <v>96</v>
      </c>
      <c r="G3150" s="1" t="s">
        <v>97</v>
      </c>
      <c r="H3150" s="1" t="s">
        <v>97</v>
      </c>
      <c r="I3150" s="1">
        <v>1</v>
      </c>
      <c r="J3150" s="3">
        <v>12571</v>
      </c>
      <c r="K3150" s="3">
        <v>11995</v>
      </c>
      <c r="L3150" s="1">
        <v>0</v>
      </c>
      <c r="M3150" s="4">
        <v>0</v>
      </c>
      <c r="N3150" s="1">
        <v>576</v>
      </c>
      <c r="O3150" s="4">
        <v>4.5999999999999999E-2</v>
      </c>
      <c r="P3150" s="1" t="s">
        <v>2721</v>
      </c>
    </row>
    <row r="3151" spans="1:16">
      <c r="A3151" s="1" t="s">
        <v>15</v>
      </c>
      <c r="B3151" s="1">
        <v>11</v>
      </c>
      <c r="C3151" s="1" t="s">
        <v>7451</v>
      </c>
      <c r="D3151" s="1" t="s">
        <v>939</v>
      </c>
      <c r="E3151" s="2">
        <v>45980</v>
      </c>
      <c r="F3151" s="1" t="s">
        <v>96</v>
      </c>
      <c r="G3151" s="1" t="s">
        <v>940</v>
      </c>
      <c r="H3151" s="1" t="s">
        <v>941</v>
      </c>
      <c r="I3151" s="1">
        <v>1</v>
      </c>
      <c r="J3151" s="3">
        <v>13475</v>
      </c>
      <c r="K3151" s="3">
        <v>12858</v>
      </c>
      <c r="L3151" s="1">
        <v>0</v>
      </c>
      <c r="M3151" s="4">
        <v>0</v>
      </c>
      <c r="N3151" s="1">
        <v>617</v>
      </c>
      <c r="O3151" s="4">
        <v>4.5999999999999999E-2</v>
      </c>
      <c r="P3151" s="1" t="s">
        <v>2721</v>
      </c>
    </row>
    <row r="3152" spans="1:16">
      <c r="A3152" s="1" t="s">
        <v>15</v>
      </c>
      <c r="B3152" s="1">
        <v>11</v>
      </c>
      <c r="C3152" s="1" t="s">
        <v>7452</v>
      </c>
      <c r="D3152" s="1" t="s">
        <v>7453</v>
      </c>
      <c r="E3152" s="2">
        <v>45980</v>
      </c>
      <c r="F3152" s="1" t="s">
        <v>96</v>
      </c>
      <c r="G3152" s="1" t="s">
        <v>1714</v>
      </c>
      <c r="H3152" s="1" t="s">
        <v>1715</v>
      </c>
      <c r="I3152" s="1">
        <v>1</v>
      </c>
      <c r="J3152" s="3">
        <v>16190</v>
      </c>
      <c r="K3152" s="3">
        <v>15449</v>
      </c>
      <c r="L3152" s="1">
        <v>0</v>
      </c>
      <c r="M3152" s="4">
        <v>0</v>
      </c>
      <c r="N3152" s="1">
        <v>741</v>
      </c>
      <c r="O3152" s="4">
        <v>4.5999999999999999E-2</v>
      </c>
      <c r="P3152" s="1" t="s">
        <v>2721</v>
      </c>
    </row>
    <row r="3153" spans="1:16">
      <c r="A3153" s="1" t="s">
        <v>15</v>
      </c>
      <c r="B3153" s="1">
        <v>11</v>
      </c>
      <c r="C3153" s="1" t="s">
        <v>7454</v>
      </c>
      <c r="D3153" s="1" t="s">
        <v>1546</v>
      </c>
      <c r="E3153" s="2">
        <v>45980</v>
      </c>
      <c r="F3153" s="1" t="s">
        <v>261</v>
      </c>
      <c r="G3153" s="1" t="s">
        <v>706</v>
      </c>
      <c r="H3153" s="1" t="s">
        <v>706</v>
      </c>
      <c r="I3153" s="1">
        <v>1</v>
      </c>
      <c r="J3153" s="3">
        <v>32439</v>
      </c>
      <c r="K3153" s="3">
        <v>30954</v>
      </c>
      <c r="L3153" s="1">
        <v>0</v>
      </c>
      <c r="M3153" s="4">
        <v>0</v>
      </c>
      <c r="N3153" s="3">
        <v>1485</v>
      </c>
      <c r="O3153" s="4">
        <v>4.5999999999999999E-2</v>
      </c>
      <c r="P3153" s="1" t="s">
        <v>2721</v>
      </c>
    </row>
    <row r="3154" spans="1:16">
      <c r="A3154" s="1" t="s">
        <v>15</v>
      </c>
      <c r="B3154" s="1">
        <v>11</v>
      </c>
      <c r="C3154" s="1" t="s">
        <v>7455</v>
      </c>
      <c r="D3154" s="1" t="s">
        <v>160</v>
      </c>
      <c r="E3154" s="2">
        <v>45980</v>
      </c>
      <c r="F3154" s="1" t="s">
        <v>161</v>
      </c>
      <c r="G3154" s="1" t="s">
        <v>162</v>
      </c>
      <c r="H3154" s="1" t="s">
        <v>810</v>
      </c>
      <c r="I3154" s="1">
        <v>1</v>
      </c>
      <c r="J3154" s="3">
        <v>9928</v>
      </c>
      <c r="K3154" s="3">
        <v>9474</v>
      </c>
      <c r="L3154" s="1">
        <v>0</v>
      </c>
      <c r="M3154" s="4">
        <v>0</v>
      </c>
      <c r="N3154" s="1">
        <v>454</v>
      </c>
      <c r="O3154" s="4">
        <v>4.5999999999999999E-2</v>
      </c>
      <c r="P3154" s="1" t="s">
        <v>2721</v>
      </c>
    </row>
    <row r="3155" spans="1:16">
      <c r="A3155" s="1" t="s">
        <v>15</v>
      </c>
      <c r="B3155" s="1">
        <v>11</v>
      </c>
      <c r="C3155" s="1" t="s">
        <v>7456</v>
      </c>
      <c r="D3155" s="1" t="s">
        <v>394</v>
      </c>
      <c r="E3155" s="2">
        <v>45980</v>
      </c>
      <c r="F3155" s="1" t="s">
        <v>395</v>
      </c>
      <c r="G3155" s="1" t="s">
        <v>396</v>
      </c>
      <c r="H3155" s="1" t="s">
        <v>397</v>
      </c>
      <c r="I3155" s="1">
        <v>1</v>
      </c>
      <c r="J3155" s="3">
        <v>18874</v>
      </c>
      <c r="K3155" s="3">
        <v>18010</v>
      </c>
      <c r="L3155" s="1">
        <v>0</v>
      </c>
      <c r="M3155" s="4">
        <v>0</v>
      </c>
      <c r="N3155" s="1">
        <v>864</v>
      </c>
      <c r="O3155" s="4">
        <v>4.5999999999999999E-2</v>
      </c>
      <c r="P3155" s="1" t="s">
        <v>2721</v>
      </c>
    </row>
    <row r="3156" spans="1:16">
      <c r="A3156" s="1" t="s">
        <v>15</v>
      </c>
      <c r="B3156" s="1">
        <v>11</v>
      </c>
      <c r="C3156" s="1" t="s">
        <v>7457</v>
      </c>
      <c r="D3156" s="1" t="s">
        <v>558</v>
      </c>
      <c r="E3156" s="2">
        <v>45980</v>
      </c>
      <c r="F3156" s="1" t="s">
        <v>256</v>
      </c>
      <c r="G3156" s="1" t="s">
        <v>559</v>
      </c>
      <c r="H3156" s="1" t="s">
        <v>560</v>
      </c>
      <c r="I3156" s="1">
        <v>1</v>
      </c>
      <c r="J3156" s="3">
        <v>9339</v>
      </c>
      <c r="K3156" s="3">
        <v>8911</v>
      </c>
      <c r="L3156" s="1">
        <v>0</v>
      </c>
      <c r="M3156" s="4">
        <v>0</v>
      </c>
      <c r="N3156" s="1">
        <v>428</v>
      </c>
      <c r="O3156" s="4">
        <v>4.5999999999999999E-2</v>
      </c>
      <c r="P3156" s="1" t="s">
        <v>2721</v>
      </c>
    </row>
    <row r="3157" spans="1:16">
      <c r="A3157" s="1" t="s">
        <v>15</v>
      </c>
      <c r="B3157" s="1">
        <v>11</v>
      </c>
      <c r="C3157" s="1" t="s">
        <v>7458</v>
      </c>
      <c r="D3157" s="1" t="s">
        <v>492</v>
      </c>
      <c r="E3157" s="2">
        <v>45980</v>
      </c>
      <c r="F3157" s="1" t="s">
        <v>493</v>
      </c>
      <c r="G3157" s="1" t="s">
        <v>494</v>
      </c>
      <c r="H3157" s="1" t="s">
        <v>1120</v>
      </c>
      <c r="I3157" s="1">
        <v>1</v>
      </c>
      <c r="J3157" s="3">
        <v>7569</v>
      </c>
      <c r="K3157" s="3">
        <v>7223</v>
      </c>
      <c r="L3157" s="1">
        <v>0</v>
      </c>
      <c r="M3157" s="4">
        <v>0</v>
      </c>
      <c r="N3157" s="1">
        <v>346</v>
      </c>
      <c r="O3157" s="4">
        <v>4.5999999999999999E-2</v>
      </c>
      <c r="P3157" s="1" t="s">
        <v>2721</v>
      </c>
    </row>
    <row r="3158" spans="1:16">
      <c r="A3158" s="1" t="s">
        <v>15</v>
      </c>
      <c r="B3158" s="1">
        <v>11</v>
      </c>
      <c r="C3158" s="1" t="s">
        <v>7459</v>
      </c>
      <c r="D3158" s="1" t="s">
        <v>228</v>
      </c>
      <c r="E3158" s="2">
        <v>45980</v>
      </c>
      <c r="F3158" s="1" t="s">
        <v>53</v>
      </c>
      <c r="G3158" s="1" t="s">
        <v>229</v>
      </c>
      <c r="H3158" s="1" t="s">
        <v>230</v>
      </c>
      <c r="I3158" s="1">
        <v>1</v>
      </c>
      <c r="J3158" s="3">
        <v>9825</v>
      </c>
      <c r="K3158" s="3">
        <v>9375</v>
      </c>
      <c r="L3158" s="1">
        <v>0</v>
      </c>
      <c r="M3158" s="4">
        <v>0</v>
      </c>
      <c r="N3158" s="1">
        <v>450</v>
      </c>
      <c r="O3158" s="4">
        <v>4.5999999999999999E-2</v>
      </c>
      <c r="P3158" s="1" t="s">
        <v>2721</v>
      </c>
    </row>
    <row r="3159" spans="1:16">
      <c r="A3159" s="1" t="s">
        <v>15</v>
      </c>
      <c r="B3159" s="1">
        <v>11</v>
      </c>
      <c r="C3159" s="1" t="s">
        <v>7460</v>
      </c>
      <c r="D3159" s="1" t="s">
        <v>86</v>
      </c>
      <c r="E3159" s="2">
        <v>45980</v>
      </c>
      <c r="F3159" s="1" t="s">
        <v>53</v>
      </c>
      <c r="G3159" s="1" t="s">
        <v>87</v>
      </c>
      <c r="H3159" s="1" t="s">
        <v>88</v>
      </c>
      <c r="I3159" s="1">
        <v>1</v>
      </c>
      <c r="J3159" s="3">
        <v>14956</v>
      </c>
      <c r="K3159" s="3">
        <v>14272</v>
      </c>
      <c r="L3159" s="1">
        <v>0</v>
      </c>
      <c r="M3159" s="4">
        <v>0</v>
      </c>
      <c r="N3159" s="1">
        <v>684</v>
      </c>
      <c r="O3159" s="4">
        <v>4.5999999999999999E-2</v>
      </c>
      <c r="P3159" s="1" t="s">
        <v>2721</v>
      </c>
    </row>
    <row r="3160" spans="1:16">
      <c r="A3160" s="1" t="s">
        <v>15</v>
      </c>
      <c r="B3160" s="1">
        <v>11</v>
      </c>
      <c r="C3160" s="1" t="s">
        <v>7460</v>
      </c>
      <c r="D3160" s="1" t="s">
        <v>86</v>
      </c>
      <c r="E3160" s="2">
        <v>45980</v>
      </c>
      <c r="F3160" s="1" t="s">
        <v>53</v>
      </c>
      <c r="G3160" s="1" t="s">
        <v>87</v>
      </c>
      <c r="H3160" s="1" t="s">
        <v>88</v>
      </c>
      <c r="I3160" s="1">
        <v>1</v>
      </c>
      <c r="J3160" s="3">
        <v>14956</v>
      </c>
      <c r="K3160" s="3">
        <v>14272</v>
      </c>
      <c r="L3160" s="1">
        <v>0</v>
      </c>
      <c r="M3160" s="4">
        <v>0</v>
      </c>
      <c r="N3160" s="1">
        <v>684</v>
      </c>
      <c r="O3160" s="4">
        <v>4.5999999999999999E-2</v>
      </c>
      <c r="P3160" s="1" t="s">
        <v>2721</v>
      </c>
    </row>
    <row r="3161" spans="1:16">
      <c r="A3161" s="1" t="s">
        <v>15</v>
      </c>
      <c r="B3161" s="1">
        <v>11</v>
      </c>
      <c r="C3161" s="1" t="s">
        <v>7461</v>
      </c>
      <c r="D3161" s="1" t="s">
        <v>178</v>
      </c>
      <c r="E3161" s="2">
        <v>45980</v>
      </c>
      <c r="F3161" s="1" t="s">
        <v>96</v>
      </c>
      <c r="G3161" s="1" t="s">
        <v>179</v>
      </c>
      <c r="H3161" s="1" t="s">
        <v>180</v>
      </c>
      <c r="I3161" s="1">
        <v>1</v>
      </c>
      <c r="J3161" s="3">
        <v>15284</v>
      </c>
      <c r="K3161" s="3">
        <v>14584</v>
      </c>
      <c r="L3161" s="1">
        <v>0</v>
      </c>
      <c r="M3161" s="4">
        <v>0</v>
      </c>
      <c r="N3161" s="1">
        <v>700</v>
      </c>
      <c r="O3161" s="4">
        <v>4.5999999999999999E-2</v>
      </c>
      <c r="P3161" s="1" t="s">
        <v>2721</v>
      </c>
    </row>
    <row r="3162" spans="1:16">
      <c r="A3162" s="1" t="s">
        <v>15</v>
      </c>
      <c r="B3162" s="1">
        <v>11</v>
      </c>
      <c r="C3162" s="1" t="s">
        <v>7462</v>
      </c>
      <c r="D3162" s="1" t="s">
        <v>169</v>
      </c>
      <c r="E3162" s="2">
        <v>45980</v>
      </c>
      <c r="F3162" s="1" t="s">
        <v>53</v>
      </c>
      <c r="G3162" s="1" t="s">
        <v>170</v>
      </c>
      <c r="H3162" s="1" t="s">
        <v>171</v>
      </c>
      <c r="I3162" s="1">
        <v>1</v>
      </c>
      <c r="J3162" s="3">
        <v>14332</v>
      </c>
      <c r="K3162" s="3">
        <v>13676</v>
      </c>
      <c r="L3162" s="1">
        <v>0</v>
      </c>
      <c r="M3162" s="4">
        <v>0</v>
      </c>
      <c r="N3162" s="1">
        <v>656</v>
      </c>
      <c r="O3162" s="4">
        <v>4.5999999999999999E-2</v>
      </c>
      <c r="P3162" s="1" t="s">
        <v>2721</v>
      </c>
    </row>
    <row r="3163" spans="1:16">
      <c r="A3163" s="1" t="s">
        <v>15</v>
      </c>
      <c r="B3163" s="1">
        <v>11</v>
      </c>
      <c r="C3163" s="1" t="s">
        <v>7463</v>
      </c>
      <c r="D3163" s="1" t="s">
        <v>125</v>
      </c>
      <c r="E3163" s="2">
        <v>45980</v>
      </c>
      <c r="F3163" s="1" t="s">
        <v>126</v>
      </c>
      <c r="G3163" s="1" t="s">
        <v>127</v>
      </c>
      <c r="H3163" s="1" t="s">
        <v>1658</v>
      </c>
      <c r="I3163" s="1">
        <v>1</v>
      </c>
      <c r="J3163" s="3">
        <v>19758</v>
      </c>
      <c r="K3163" s="3">
        <v>18854</v>
      </c>
      <c r="L3163" s="1">
        <v>0</v>
      </c>
      <c r="M3163" s="4">
        <v>0</v>
      </c>
      <c r="N3163" s="1">
        <v>904</v>
      </c>
      <c r="O3163" s="4">
        <v>4.5999999999999999E-2</v>
      </c>
      <c r="P3163" s="1" t="s">
        <v>2721</v>
      </c>
    </row>
    <row r="3164" spans="1:16">
      <c r="A3164" s="1" t="s">
        <v>15</v>
      </c>
      <c r="B3164" s="1">
        <v>11</v>
      </c>
      <c r="C3164" s="1" t="s">
        <v>7464</v>
      </c>
      <c r="D3164" s="1" t="s">
        <v>72</v>
      </c>
      <c r="E3164" s="2">
        <v>45980</v>
      </c>
      <c r="F3164" s="1" t="s">
        <v>63</v>
      </c>
      <c r="G3164" s="1" t="s">
        <v>73</v>
      </c>
      <c r="H3164" s="1" t="s">
        <v>74</v>
      </c>
      <c r="I3164" s="1">
        <v>1</v>
      </c>
      <c r="J3164" s="3">
        <v>10456</v>
      </c>
      <c r="K3164" s="3">
        <v>9978</v>
      </c>
      <c r="L3164" s="1">
        <v>0</v>
      </c>
      <c r="M3164" s="4">
        <v>0</v>
      </c>
      <c r="N3164" s="1">
        <v>478</v>
      </c>
      <c r="O3164" s="4">
        <v>4.5999999999999999E-2</v>
      </c>
      <c r="P3164" s="1" t="s">
        <v>2721</v>
      </c>
    </row>
    <row r="3165" spans="1:16">
      <c r="A3165" s="1" t="s">
        <v>15</v>
      </c>
      <c r="B3165" s="1">
        <v>11</v>
      </c>
      <c r="C3165" s="1" t="s">
        <v>7465</v>
      </c>
      <c r="D3165" s="1" t="s">
        <v>482</v>
      </c>
      <c r="E3165" s="2">
        <v>45980</v>
      </c>
      <c r="F3165" s="1" t="s">
        <v>483</v>
      </c>
      <c r="G3165" s="1" t="s">
        <v>484</v>
      </c>
      <c r="H3165" s="1" t="s">
        <v>485</v>
      </c>
      <c r="I3165" s="1">
        <v>1</v>
      </c>
      <c r="J3165" s="3">
        <v>16501</v>
      </c>
      <c r="K3165" s="3">
        <v>15745</v>
      </c>
      <c r="L3165" s="1">
        <v>0</v>
      </c>
      <c r="M3165" s="4">
        <v>0</v>
      </c>
      <c r="N3165" s="1">
        <v>756</v>
      </c>
      <c r="O3165" s="4">
        <v>4.5999999999999999E-2</v>
      </c>
      <c r="P3165" s="1" t="s">
        <v>2721</v>
      </c>
    </row>
    <row r="3166" spans="1:16">
      <c r="A3166" s="1" t="s">
        <v>15</v>
      </c>
      <c r="B3166" s="1">
        <v>11</v>
      </c>
      <c r="C3166" s="1" t="s">
        <v>7466</v>
      </c>
      <c r="D3166" s="1" t="s">
        <v>228</v>
      </c>
      <c r="E3166" s="2">
        <v>45980</v>
      </c>
      <c r="F3166" s="1" t="s">
        <v>53</v>
      </c>
      <c r="G3166" s="1" t="s">
        <v>229</v>
      </c>
      <c r="H3166" s="1" t="s">
        <v>230</v>
      </c>
      <c r="I3166" s="1">
        <v>1</v>
      </c>
      <c r="J3166" s="3">
        <v>9825</v>
      </c>
      <c r="K3166" s="3">
        <v>9375</v>
      </c>
      <c r="L3166" s="1">
        <v>0</v>
      </c>
      <c r="M3166" s="4">
        <v>0</v>
      </c>
      <c r="N3166" s="1">
        <v>450</v>
      </c>
      <c r="O3166" s="4">
        <v>4.5999999999999999E-2</v>
      </c>
      <c r="P3166" s="1" t="s">
        <v>2721</v>
      </c>
    </row>
    <row r="3167" spans="1:16">
      <c r="A3167" s="1" t="s">
        <v>15</v>
      </c>
      <c r="B3167" s="1">
        <v>11</v>
      </c>
      <c r="C3167" s="1" t="s">
        <v>7467</v>
      </c>
      <c r="D3167" s="1" t="s">
        <v>569</v>
      </c>
      <c r="E3167" s="2">
        <v>45980</v>
      </c>
      <c r="F3167" s="1" t="s">
        <v>570</v>
      </c>
      <c r="G3167" s="1" t="s">
        <v>571</v>
      </c>
      <c r="H3167" s="1" t="s">
        <v>572</v>
      </c>
      <c r="I3167" s="1">
        <v>1</v>
      </c>
      <c r="J3167" s="3">
        <v>19660</v>
      </c>
      <c r="K3167" s="3">
        <v>18760</v>
      </c>
      <c r="L3167" s="1">
        <v>0</v>
      </c>
      <c r="M3167" s="4">
        <v>0</v>
      </c>
      <c r="N3167" s="1">
        <v>900</v>
      </c>
      <c r="O3167" s="4">
        <v>4.5999999999999999E-2</v>
      </c>
      <c r="P3167" s="1" t="s">
        <v>2721</v>
      </c>
    </row>
    <row r="3168" spans="1:16">
      <c r="A3168" s="1" t="s">
        <v>15</v>
      </c>
      <c r="B3168" s="1">
        <v>11</v>
      </c>
      <c r="C3168" s="1" t="s">
        <v>7468</v>
      </c>
      <c r="D3168" s="1" t="s">
        <v>3585</v>
      </c>
      <c r="E3168" s="2">
        <v>45980</v>
      </c>
      <c r="F3168" s="1" t="s">
        <v>856</v>
      </c>
      <c r="G3168" s="1" t="s">
        <v>3586</v>
      </c>
      <c r="H3168" s="1" t="s">
        <v>3587</v>
      </c>
      <c r="I3168" s="1">
        <v>1</v>
      </c>
      <c r="J3168" s="3">
        <v>103215</v>
      </c>
      <c r="K3168" s="3">
        <v>98490</v>
      </c>
      <c r="L3168" s="1">
        <v>0</v>
      </c>
      <c r="M3168" s="4">
        <v>0</v>
      </c>
      <c r="N3168" s="3">
        <v>4725</v>
      </c>
      <c r="O3168" s="4">
        <v>4.5999999999999999E-2</v>
      </c>
      <c r="P3168" s="1" t="s">
        <v>2721</v>
      </c>
    </row>
    <row r="3169" spans="1:16">
      <c r="A3169" s="1" t="s">
        <v>15</v>
      </c>
      <c r="B3169" s="1">
        <v>11</v>
      </c>
      <c r="C3169" s="1" t="s">
        <v>7469</v>
      </c>
      <c r="D3169" s="1" t="s">
        <v>165</v>
      </c>
      <c r="E3169" s="2">
        <v>45980</v>
      </c>
      <c r="F3169" s="1" t="s">
        <v>48</v>
      </c>
      <c r="G3169" s="1" t="s">
        <v>166</v>
      </c>
      <c r="H3169" s="1" t="s">
        <v>1543</v>
      </c>
      <c r="I3169" s="1">
        <v>1</v>
      </c>
      <c r="J3169" s="3">
        <v>17997</v>
      </c>
      <c r="K3169" s="3">
        <v>17173</v>
      </c>
      <c r="L3169" s="1">
        <v>0</v>
      </c>
      <c r="M3169" s="4">
        <v>0</v>
      </c>
      <c r="N3169" s="1">
        <v>824</v>
      </c>
      <c r="O3169" s="4">
        <v>4.5999999999999999E-2</v>
      </c>
      <c r="P3169" s="1" t="s">
        <v>2721</v>
      </c>
    </row>
    <row r="3170" spans="1:16">
      <c r="A3170" s="1" t="s">
        <v>15</v>
      </c>
      <c r="B3170" s="1">
        <v>11</v>
      </c>
      <c r="C3170" s="1" t="s">
        <v>7470</v>
      </c>
      <c r="D3170" s="1" t="s">
        <v>1375</v>
      </c>
      <c r="E3170" s="2">
        <v>45980</v>
      </c>
      <c r="F3170" s="1" t="s">
        <v>256</v>
      </c>
      <c r="G3170" s="1" t="s">
        <v>1376</v>
      </c>
      <c r="H3170" s="1" t="s">
        <v>2376</v>
      </c>
      <c r="I3170" s="1">
        <v>1</v>
      </c>
      <c r="J3170" s="3">
        <v>5161</v>
      </c>
      <c r="K3170" s="3">
        <v>4925</v>
      </c>
      <c r="L3170" s="1">
        <v>0</v>
      </c>
      <c r="M3170" s="4">
        <v>0</v>
      </c>
      <c r="N3170" s="1">
        <v>236</v>
      </c>
      <c r="O3170" s="4">
        <v>4.5999999999999999E-2</v>
      </c>
      <c r="P3170" s="1" t="s">
        <v>2721</v>
      </c>
    </row>
    <row r="3171" spans="1:16">
      <c r="A3171" s="1" t="s">
        <v>15</v>
      </c>
      <c r="B3171" s="1">
        <v>11</v>
      </c>
      <c r="C3171" s="1" t="s">
        <v>7471</v>
      </c>
      <c r="D3171" s="1" t="s">
        <v>985</v>
      </c>
      <c r="E3171" s="2">
        <v>45980</v>
      </c>
      <c r="F3171" s="1" t="s">
        <v>187</v>
      </c>
      <c r="G3171" s="1" t="s">
        <v>986</v>
      </c>
      <c r="H3171" s="1" t="s">
        <v>4632</v>
      </c>
      <c r="I3171" s="1">
        <v>1</v>
      </c>
      <c r="J3171" s="3">
        <v>23592</v>
      </c>
      <c r="K3171" s="3">
        <v>22512</v>
      </c>
      <c r="L3171" s="1">
        <v>0</v>
      </c>
      <c r="M3171" s="4">
        <v>0</v>
      </c>
      <c r="N3171" s="3">
        <v>1080</v>
      </c>
      <c r="O3171" s="4">
        <v>4.5999999999999999E-2</v>
      </c>
      <c r="P3171" s="1" t="s">
        <v>2721</v>
      </c>
    </row>
    <row r="3172" spans="1:16">
      <c r="A3172" s="1" t="s">
        <v>15</v>
      </c>
      <c r="B3172" s="1">
        <v>11</v>
      </c>
      <c r="C3172" s="1" t="s">
        <v>7472</v>
      </c>
      <c r="D3172" s="1" t="s">
        <v>1319</v>
      </c>
      <c r="E3172" s="2">
        <v>45980</v>
      </c>
      <c r="F3172" s="1" t="s">
        <v>96</v>
      </c>
      <c r="G3172" s="1" t="s">
        <v>1320</v>
      </c>
      <c r="H3172" s="1" t="s">
        <v>1321</v>
      </c>
      <c r="I3172" s="1">
        <v>1</v>
      </c>
      <c r="J3172" s="3">
        <v>8501</v>
      </c>
      <c r="K3172" s="3">
        <v>8112</v>
      </c>
      <c r="L3172" s="1">
        <v>0</v>
      </c>
      <c r="M3172" s="4">
        <v>0</v>
      </c>
      <c r="N3172" s="1">
        <v>389</v>
      </c>
      <c r="O3172" s="4">
        <v>4.5999999999999999E-2</v>
      </c>
      <c r="P3172" s="1" t="s">
        <v>2721</v>
      </c>
    </row>
    <row r="3173" spans="1:16">
      <c r="A3173" s="1" t="s">
        <v>15</v>
      </c>
      <c r="B3173" s="1">
        <v>11</v>
      </c>
      <c r="C3173" s="1" t="s">
        <v>7473</v>
      </c>
      <c r="D3173" s="1" t="s">
        <v>542</v>
      </c>
      <c r="E3173" s="2">
        <v>45980</v>
      </c>
      <c r="F3173" s="1" t="s">
        <v>543</v>
      </c>
      <c r="G3173" s="1" t="s">
        <v>544</v>
      </c>
      <c r="H3173" s="1" t="s">
        <v>545</v>
      </c>
      <c r="I3173" s="1">
        <v>1</v>
      </c>
      <c r="J3173" s="3">
        <v>36371</v>
      </c>
      <c r="K3173" s="3">
        <v>34706</v>
      </c>
      <c r="L3173" s="1">
        <v>0</v>
      </c>
      <c r="M3173" s="4">
        <v>0</v>
      </c>
      <c r="N3173" s="3">
        <v>1665</v>
      </c>
      <c r="O3173" s="4">
        <v>4.5999999999999999E-2</v>
      </c>
      <c r="P3173" s="1" t="s">
        <v>2721</v>
      </c>
    </row>
    <row r="3174" spans="1:16">
      <c r="A3174" s="1" t="s">
        <v>15</v>
      </c>
      <c r="B3174" s="1">
        <v>11</v>
      </c>
      <c r="C3174" s="1" t="s">
        <v>7474</v>
      </c>
      <c r="D3174" s="1" t="s">
        <v>394</v>
      </c>
      <c r="E3174" s="2">
        <v>45980</v>
      </c>
      <c r="F3174" s="1" t="s">
        <v>395</v>
      </c>
      <c r="G3174" s="1" t="s">
        <v>396</v>
      </c>
      <c r="H3174" s="1" t="s">
        <v>397</v>
      </c>
      <c r="I3174" s="1">
        <v>1</v>
      </c>
      <c r="J3174" s="3">
        <v>18874</v>
      </c>
      <c r="K3174" s="3">
        <v>18010</v>
      </c>
      <c r="L3174" s="1">
        <v>0</v>
      </c>
      <c r="M3174" s="4">
        <v>0</v>
      </c>
      <c r="N3174" s="1">
        <v>864</v>
      </c>
      <c r="O3174" s="4">
        <v>4.5999999999999999E-2</v>
      </c>
      <c r="P3174" s="1" t="s">
        <v>2721</v>
      </c>
    </row>
    <row r="3175" spans="1:16">
      <c r="A3175" s="1" t="s">
        <v>15</v>
      </c>
      <c r="B3175" s="1">
        <v>11</v>
      </c>
      <c r="C3175" s="1" t="s">
        <v>7475</v>
      </c>
      <c r="D3175" s="1" t="s">
        <v>62</v>
      </c>
      <c r="E3175" s="2">
        <v>45980</v>
      </c>
      <c r="F3175" s="1" t="s">
        <v>63</v>
      </c>
      <c r="G3175" s="1" t="s">
        <v>64</v>
      </c>
      <c r="H3175" s="1" t="s">
        <v>65</v>
      </c>
      <c r="I3175" s="1">
        <v>1</v>
      </c>
      <c r="J3175" s="3">
        <v>11809</v>
      </c>
      <c r="K3175" s="3">
        <v>11268</v>
      </c>
      <c r="L3175" s="1">
        <v>0</v>
      </c>
      <c r="M3175" s="4">
        <v>0</v>
      </c>
      <c r="N3175" s="1">
        <v>541</v>
      </c>
      <c r="O3175" s="4">
        <v>4.5999999999999999E-2</v>
      </c>
      <c r="P3175" s="1" t="s">
        <v>2721</v>
      </c>
    </row>
    <row r="3176" spans="1:16">
      <c r="A3176" s="1" t="s">
        <v>15</v>
      </c>
      <c r="B3176" s="1">
        <v>11</v>
      </c>
      <c r="C3176" s="1" t="s">
        <v>7476</v>
      </c>
      <c r="D3176" s="1" t="s">
        <v>7477</v>
      </c>
      <c r="E3176" s="2">
        <v>45980</v>
      </c>
      <c r="F3176" s="1" t="s">
        <v>23</v>
      </c>
      <c r="G3176" s="1" t="s">
        <v>7478</v>
      </c>
      <c r="H3176" s="1" t="s">
        <v>7479</v>
      </c>
      <c r="I3176" s="1">
        <v>1</v>
      </c>
      <c r="J3176" s="3">
        <v>15728</v>
      </c>
      <c r="K3176" s="3">
        <v>15008</v>
      </c>
      <c r="L3176" s="1">
        <v>0</v>
      </c>
      <c r="M3176" s="4">
        <v>0</v>
      </c>
      <c r="N3176" s="1">
        <v>720</v>
      </c>
      <c r="O3176" s="4">
        <v>4.5999999999999999E-2</v>
      </c>
      <c r="P3176" s="1" t="s">
        <v>2721</v>
      </c>
    </row>
    <row r="3177" spans="1:16">
      <c r="A3177" s="1" t="s">
        <v>15</v>
      </c>
      <c r="B3177" s="1">
        <v>11</v>
      </c>
      <c r="C3177" s="1" t="s">
        <v>7480</v>
      </c>
      <c r="D3177" s="1" t="s">
        <v>311</v>
      </c>
      <c r="E3177" s="2">
        <v>45980</v>
      </c>
      <c r="F3177" s="1" t="s">
        <v>312</v>
      </c>
      <c r="G3177" s="1" t="s">
        <v>313</v>
      </c>
      <c r="H3177" s="1" t="s">
        <v>7481</v>
      </c>
      <c r="I3177" s="1">
        <v>1</v>
      </c>
      <c r="J3177" s="3">
        <v>28310</v>
      </c>
      <c r="K3177" s="3">
        <v>27014</v>
      </c>
      <c r="L3177" s="1">
        <v>0</v>
      </c>
      <c r="M3177" s="4">
        <v>0</v>
      </c>
      <c r="N3177" s="3">
        <v>1296</v>
      </c>
      <c r="O3177" s="4">
        <v>4.5999999999999999E-2</v>
      </c>
      <c r="P3177" s="1" t="s">
        <v>2721</v>
      </c>
    </row>
    <row r="3178" spans="1:16">
      <c r="A3178" s="1" t="s">
        <v>15</v>
      </c>
      <c r="B3178" s="1">
        <v>11</v>
      </c>
      <c r="C3178" s="1" t="s">
        <v>7482</v>
      </c>
      <c r="D3178" s="1" t="s">
        <v>72</v>
      </c>
      <c r="E3178" s="2">
        <v>45980</v>
      </c>
      <c r="F3178" s="1" t="s">
        <v>63</v>
      </c>
      <c r="G3178" s="1" t="s">
        <v>73</v>
      </c>
      <c r="H3178" s="1" t="s">
        <v>74</v>
      </c>
      <c r="I3178" s="1">
        <v>1</v>
      </c>
      <c r="J3178" s="3">
        <v>10456</v>
      </c>
      <c r="K3178" s="3">
        <v>9978</v>
      </c>
      <c r="L3178" s="1">
        <v>0</v>
      </c>
      <c r="M3178" s="4">
        <v>0</v>
      </c>
      <c r="N3178" s="1">
        <v>478</v>
      </c>
      <c r="O3178" s="4">
        <v>4.5999999999999999E-2</v>
      </c>
      <c r="P3178" s="1" t="s">
        <v>2721</v>
      </c>
    </row>
    <row r="3179" spans="1:16">
      <c r="A3179" s="1" t="s">
        <v>15</v>
      </c>
      <c r="B3179" s="1">
        <v>11</v>
      </c>
      <c r="C3179" s="1" t="s">
        <v>7483</v>
      </c>
      <c r="D3179" s="1" t="s">
        <v>125</v>
      </c>
      <c r="E3179" s="2">
        <v>45980</v>
      </c>
      <c r="F3179" s="1" t="s">
        <v>126</v>
      </c>
      <c r="G3179" s="1" t="s">
        <v>127</v>
      </c>
      <c r="H3179" s="1" t="s">
        <v>128</v>
      </c>
      <c r="I3179" s="1">
        <v>1</v>
      </c>
      <c r="J3179" s="3">
        <v>13959</v>
      </c>
      <c r="K3179" s="3">
        <v>13320</v>
      </c>
      <c r="L3179" s="1">
        <v>0</v>
      </c>
      <c r="M3179" s="4">
        <v>0</v>
      </c>
      <c r="N3179" s="1">
        <v>639</v>
      </c>
      <c r="O3179" s="4">
        <v>4.5999999999999999E-2</v>
      </c>
      <c r="P3179" s="1" t="s">
        <v>2721</v>
      </c>
    </row>
    <row r="3180" spans="1:16">
      <c r="A3180" s="1" t="s">
        <v>15</v>
      </c>
      <c r="B3180" s="1">
        <v>11</v>
      </c>
      <c r="C3180" s="1" t="s">
        <v>7484</v>
      </c>
      <c r="D3180" s="1" t="s">
        <v>32</v>
      </c>
      <c r="E3180" s="2">
        <v>45980</v>
      </c>
      <c r="F3180" s="1" t="s">
        <v>33</v>
      </c>
      <c r="G3180" s="1" t="s">
        <v>34</v>
      </c>
      <c r="H3180" s="1" t="s">
        <v>7485</v>
      </c>
      <c r="I3180" s="1">
        <v>1</v>
      </c>
      <c r="J3180" s="3">
        <v>76071</v>
      </c>
      <c r="K3180" s="3">
        <v>72589</v>
      </c>
      <c r="L3180" s="1">
        <v>0</v>
      </c>
      <c r="M3180" s="4">
        <v>0</v>
      </c>
      <c r="N3180" s="3">
        <v>3482</v>
      </c>
      <c r="O3180" s="4">
        <v>4.5999999999999999E-2</v>
      </c>
      <c r="P3180" s="1" t="s">
        <v>2721</v>
      </c>
    </row>
    <row r="3181" spans="1:16">
      <c r="A3181" s="1" t="s">
        <v>15</v>
      </c>
      <c r="B3181" s="1">
        <v>11</v>
      </c>
      <c r="C3181" s="1" t="s">
        <v>7484</v>
      </c>
      <c r="D3181" s="1" t="s">
        <v>32</v>
      </c>
      <c r="E3181" s="2">
        <v>45980</v>
      </c>
      <c r="F3181" s="1" t="s">
        <v>33</v>
      </c>
      <c r="G3181" s="1" t="s">
        <v>34</v>
      </c>
      <c r="H3181" s="1" t="s">
        <v>7486</v>
      </c>
      <c r="I3181" s="1">
        <v>1</v>
      </c>
      <c r="J3181" s="3">
        <v>57590</v>
      </c>
      <c r="K3181" s="3">
        <v>54954</v>
      </c>
      <c r="L3181" s="1">
        <v>0</v>
      </c>
      <c r="M3181" s="4">
        <v>0</v>
      </c>
      <c r="N3181" s="3">
        <v>2636</v>
      </c>
      <c r="O3181" s="4">
        <v>4.5999999999999999E-2</v>
      </c>
      <c r="P3181" s="1" t="s">
        <v>2721</v>
      </c>
    </row>
    <row r="3182" spans="1:16">
      <c r="A3182" s="1" t="s">
        <v>15</v>
      </c>
      <c r="B3182" s="1">
        <v>11</v>
      </c>
      <c r="C3182" s="1" t="s">
        <v>7484</v>
      </c>
      <c r="D3182" s="1" t="s">
        <v>32</v>
      </c>
      <c r="E3182" s="2">
        <v>45980</v>
      </c>
      <c r="F3182" s="1" t="s">
        <v>33</v>
      </c>
      <c r="G3182" s="1" t="s">
        <v>34</v>
      </c>
      <c r="H3182" s="1" t="s">
        <v>7487</v>
      </c>
      <c r="I3182" s="1">
        <v>1</v>
      </c>
      <c r="J3182" s="3">
        <v>53112</v>
      </c>
      <c r="K3182" s="3">
        <v>50681</v>
      </c>
      <c r="L3182" s="1">
        <v>0</v>
      </c>
      <c r="M3182" s="4">
        <v>0</v>
      </c>
      <c r="N3182" s="3">
        <v>2431</v>
      </c>
      <c r="O3182" s="4">
        <v>4.5999999999999999E-2</v>
      </c>
      <c r="P3182" s="1" t="s">
        <v>2721</v>
      </c>
    </row>
    <row r="3183" spans="1:16">
      <c r="A3183" s="1" t="s">
        <v>15</v>
      </c>
      <c r="B3183" s="1">
        <v>11</v>
      </c>
      <c r="C3183" s="1" t="s">
        <v>7488</v>
      </c>
      <c r="D3183" s="1" t="s">
        <v>224</v>
      </c>
      <c r="E3183" s="2">
        <v>45980</v>
      </c>
      <c r="F3183" s="1" t="s">
        <v>96</v>
      </c>
      <c r="G3183" s="1" t="s">
        <v>225</v>
      </c>
      <c r="H3183" s="1" t="s">
        <v>896</v>
      </c>
      <c r="I3183" s="1">
        <v>1</v>
      </c>
      <c r="J3183" s="3">
        <v>12571</v>
      </c>
      <c r="K3183" s="3">
        <v>11995</v>
      </c>
      <c r="L3183" s="1">
        <v>0</v>
      </c>
      <c r="M3183" s="4">
        <v>0</v>
      </c>
      <c r="N3183" s="1">
        <v>576</v>
      </c>
      <c r="O3183" s="4">
        <v>4.5999999999999999E-2</v>
      </c>
      <c r="P3183" s="1" t="s">
        <v>2721</v>
      </c>
    </row>
    <row r="3184" spans="1:16">
      <c r="A3184" s="1" t="s">
        <v>15</v>
      </c>
      <c r="B3184" s="1">
        <v>11</v>
      </c>
      <c r="C3184" s="1" t="s">
        <v>7488</v>
      </c>
      <c r="D3184" s="1" t="s">
        <v>221</v>
      </c>
      <c r="E3184" s="2">
        <v>45980</v>
      </c>
      <c r="F3184" s="1" t="s">
        <v>96</v>
      </c>
      <c r="G3184" s="1" t="s">
        <v>222</v>
      </c>
      <c r="H3184" s="1" t="s">
        <v>509</v>
      </c>
      <c r="I3184" s="1">
        <v>1</v>
      </c>
      <c r="J3184" s="3">
        <v>12571</v>
      </c>
      <c r="K3184" s="3">
        <v>11995</v>
      </c>
      <c r="L3184" s="1">
        <v>0</v>
      </c>
      <c r="M3184" s="4">
        <v>0</v>
      </c>
      <c r="N3184" s="1">
        <v>576</v>
      </c>
      <c r="O3184" s="4">
        <v>4.5999999999999999E-2</v>
      </c>
      <c r="P3184" s="1" t="s">
        <v>2721</v>
      </c>
    </row>
    <row r="3185" spans="1:16">
      <c r="A3185" s="1" t="s">
        <v>15</v>
      </c>
      <c r="B3185" s="1">
        <v>11</v>
      </c>
      <c r="C3185" s="1" t="s">
        <v>7489</v>
      </c>
      <c r="D3185" s="1" t="s">
        <v>558</v>
      </c>
      <c r="E3185" s="2">
        <v>45980</v>
      </c>
      <c r="F3185" s="1" t="s">
        <v>256</v>
      </c>
      <c r="G3185" s="1" t="s">
        <v>559</v>
      </c>
      <c r="H3185" s="1" t="s">
        <v>560</v>
      </c>
      <c r="I3185" s="1">
        <v>1</v>
      </c>
      <c r="J3185" s="3">
        <v>9339</v>
      </c>
      <c r="K3185" s="3">
        <v>8911</v>
      </c>
      <c r="L3185" s="1">
        <v>0</v>
      </c>
      <c r="M3185" s="4">
        <v>0</v>
      </c>
      <c r="N3185" s="1">
        <v>428</v>
      </c>
      <c r="O3185" s="4">
        <v>4.5999999999999999E-2</v>
      </c>
      <c r="P3185" s="1" t="s">
        <v>2721</v>
      </c>
    </row>
    <row r="3186" spans="1:16">
      <c r="A3186" s="1" t="s">
        <v>15</v>
      </c>
      <c r="B3186" s="1">
        <v>11</v>
      </c>
      <c r="C3186" s="1" t="s">
        <v>7490</v>
      </c>
      <c r="D3186" s="1" t="s">
        <v>411</v>
      </c>
      <c r="E3186" s="2">
        <v>45980</v>
      </c>
      <c r="F3186" s="1" t="s">
        <v>312</v>
      </c>
      <c r="G3186" s="1" t="s">
        <v>412</v>
      </c>
      <c r="H3186" s="1" t="s">
        <v>7491</v>
      </c>
      <c r="I3186" s="1">
        <v>1</v>
      </c>
      <c r="J3186" s="3">
        <v>24575</v>
      </c>
      <c r="K3186" s="3">
        <v>23450</v>
      </c>
      <c r="L3186" s="1">
        <v>0</v>
      </c>
      <c r="M3186" s="4">
        <v>0</v>
      </c>
      <c r="N3186" s="3">
        <v>1125</v>
      </c>
      <c r="O3186" s="4">
        <v>4.5999999999999999E-2</v>
      </c>
      <c r="P3186" s="1" t="s">
        <v>2721</v>
      </c>
    </row>
    <row r="3187" spans="1:16">
      <c r="A3187" s="1" t="s">
        <v>15</v>
      </c>
      <c r="B3187" s="1">
        <v>11</v>
      </c>
      <c r="C3187" s="1" t="s">
        <v>7492</v>
      </c>
      <c r="D3187" s="1" t="s">
        <v>238</v>
      </c>
      <c r="E3187" s="2">
        <v>45980</v>
      </c>
      <c r="F3187" s="1" t="s">
        <v>239</v>
      </c>
      <c r="G3187" s="1" t="s">
        <v>240</v>
      </c>
      <c r="H3187" s="1" t="s">
        <v>242</v>
      </c>
      <c r="I3187" s="1">
        <v>1</v>
      </c>
      <c r="J3187" s="3">
        <v>11305</v>
      </c>
      <c r="K3187" s="3">
        <v>10787</v>
      </c>
      <c r="L3187" s="1">
        <v>0</v>
      </c>
      <c r="M3187" s="4">
        <v>0</v>
      </c>
      <c r="N3187" s="1">
        <v>518</v>
      </c>
      <c r="O3187" s="4">
        <v>4.5999999999999999E-2</v>
      </c>
      <c r="P3187" s="1" t="s">
        <v>2721</v>
      </c>
    </row>
    <row r="3188" spans="1:16">
      <c r="A3188" s="1" t="s">
        <v>15</v>
      </c>
      <c r="B3188" s="1">
        <v>11</v>
      </c>
      <c r="C3188" s="1" t="s">
        <v>7493</v>
      </c>
      <c r="D3188" s="1" t="s">
        <v>346</v>
      </c>
      <c r="E3188" s="2">
        <v>45980</v>
      </c>
      <c r="F3188" s="1" t="s">
        <v>347</v>
      </c>
      <c r="G3188" s="1" t="s">
        <v>348</v>
      </c>
      <c r="H3188" s="1" t="s">
        <v>3931</v>
      </c>
      <c r="I3188" s="1">
        <v>1</v>
      </c>
      <c r="J3188" s="3">
        <v>18677</v>
      </c>
      <c r="K3188" s="3">
        <v>17822</v>
      </c>
      <c r="L3188" s="1">
        <v>0</v>
      </c>
      <c r="M3188" s="4">
        <v>0</v>
      </c>
      <c r="N3188" s="1">
        <v>855</v>
      </c>
      <c r="O3188" s="4">
        <v>4.5999999999999999E-2</v>
      </c>
      <c r="P3188" s="1" t="s">
        <v>2721</v>
      </c>
    </row>
    <row r="3189" spans="1:16">
      <c r="A3189" s="1" t="s">
        <v>15</v>
      </c>
      <c r="B3189" s="1">
        <v>11</v>
      </c>
      <c r="C3189" s="1" t="s">
        <v>7494</v>
      </c>
      <c r="D3189" s="1" t="s">
        <v>1452</v>
      </c>
      <c r="E3189" s="2">
        <v>45980</v>
      </c>
      <c r="F3189" s="1" t="s">
        <v>407</v>
      </c>
      <c r="G3189" s="1" t="s">
        <v>1453</v>
      </c>
      <c r="H3189" s="1" t="s">
        <v>1739</v>
      </c>
      <c r="I3189" s="1">
        <v>1</v>
      </c>
      <c r="J3189" s="3">
        <v>26050</v>
      </c>
      <c r="K3189" s="3">
        <v>24857</v>
      </c>
      <c r="L3189" s="1">
        <v>0</v>
      </c>
      <c r="M3189" s="4">
        <v>0</v>
      </c>
      <c r="N3189" s="3">
        <v>1193</v>
      </c>
      <c r="O3189" s="4">
        <v>4.5999999999999999E-2</v>
      </c>
      <c r="P3189" s="1" t="s">
        <v>2721</v>
      </c>
    </row>
    <row r="3190" spans="1:16">
      <c r="A3190" s="1" t="s">
        <v>15</v>
      </c>
      <c r="B3190" s="1">
        <v>11</v>
      </c>
      <c r="C3190" s="1" t="s">
        <v>7495</v>
      </c>
      <c r="D3190" s="1" t="s">
        <v>160</v>
      </c>
      <c r="E3190" s="2">
        <v>45980</v>
      </c>
      <c r="F3190" s="1" t="s">
        <v>161</v>
      </c>
      <c r="G3190" s="1" t="s">
        <v>162</v>
      </c>
      <c r="H3190" s="1" t="s">
        <v>810</v>
      </c>
      <c r="I3190" s="1">
        <v>1</v>
      </c>
      <c r="J3190" s="3">
        <v>9928</v>
      </c>
      <c r="K3190" s="3">
        <v>9474</v>
      </c>
      <c r="L3190" s="1">
        <v>0</v>
      </c>
      <c r="M3190" s="4">
        <v>0</v>
      </c>
      <c r="N3190" s="1">
        <v>454</v>
      </c>
      <c r="O3190" s="4">
        <v>4.5999999999999999E-2</v>
      </c>
      <c r="P3190" s="1" t="s">
        <v>2721</v>
      </c>
    </row>
    <row r="3191" spans="1:16">
      <c r="A3191" s="1" t="s">
        <v>15</v>
      </c>
      <c r="B3191" s="1">
        <v>11</v>
      </c>
      <c r="C3191" s="1" t="s">
        <v>7496</v>
      </c>
      <c r="D3191" s="1" t="s">
        <v>2855</v>
      </c>
      <c r="E3191" s="2">
        <v>45980</v>
      </c>
      <c r="F3191" s="1" t="s">
        <v>58</v>
      </c>
      <c r="G3191" s="1" t="s">
        <v>2856</v>
      </c>
      <c r="H3191" s="1" t="s">
        <v>2857</v>
      </c>
      <c r="I3191" s="1">
        <v>1</v>
      </c>
      <c r="J3191" s="3">
        <v>21842</v>
      </c>
      <c r="K3191" s="3">
        <v>20842</v>
      </c>
      <c r="L3191" s="1">
        <v>0</v>
      </c>
      <c r="M3191" s="4">
        <v>0</v>
      </c>
      <c r="N3191" s="3">
        <v>1000</v>
      </c>
      <c r="O3191" s="4">
        <v>4.5999999999999999E-2</v>
      </c>
      <c r="P3191" s="1" t="s">
        <v>2721</v>
      </c>
    </row>
    <row r="3192" spans="1:16">
      <c r="A3192" s="1" t="s">
        <v>15</v>
      </c>
      <c r="B3192" s="1">
        <v>11</v>
      </c>
      <c r="C3192" s="1" t="s">
        <v>7497</v>
      </c>
      <c r="D3192" s="1" t="s">
        <v>4095</v>
      </c>
      <c r="E3192" s="2">
        <v>45980</v>
      </c>
      <c r="F3192" s="1" t="s">
        <v>58</v>
      </c>
      <c r="G3192" s="1" t="s">
        <v>4096</v>
      </c>
      <c r="H3192" s="1" t="s">
        <v>4097</v>
      </c>
      <c r="I3192" s="1">
        <v>1</v>
      </c>
      <c r="J3192" s="3">
        <v>21842</v>
      </c>
      <c r="K3192" s="3">
        <v>20842</v>
      </c>
      <c r="L3192" s="1">
        <v>0</v>
      </c>
      <c r="M3192" s="4">
        <v>0</v>
      </c>
      <c r="N3192" s="3">
        <v>1000</v>
      </c>
      <c r="O3192" s="4">
        <v>4.5999999999999999E-2</v>
      </c>
      <c r="P3192" s="1" t="s">
        <v>2721</v>
      </c>
    </row>
    <row r="3193" spans="1:16">
      <c r="A3193" s="1" t="s">
        <v>15</v>
      </c>
      <c r="B3193" s="1">
        <v>11</v>
      </c>
      <c r="C3193" s="1" t="s">
        <v>7498</v>
      </c>
      <c r="D3193" s="1" t="s">
        <v>1359</v>
      </c>
      <c r="E3193" s="2">
        <v>45980</v>
      </c>
      <c r="F3193" s="1" t="s">
        <v>63</v>
      </c>
      <c r="G3193" s="1" t="s">
        <v>1360</v>
      </c>
      <c r="H3193" s="1" t="s">
        <v>1361</v>
      </c>
      <c r="I3193" s="1">
        <v>1</v>
      </c>
      <c r="J3193" s="3">
        <v>30765</v>
      </c>
      <c r="K3193" s="3">
        <v>29357</v>
      </c>
      <c r="L3193" s="1">
        <v>0</v>
      </c>
      <c r="M3193" s="4">
        <v>0</v>
      </c>
      <c r="N3193" s="3">
        <v>1408</v>
      </c>
      <c r="O3193" s="4">
        <v>4.5999999999999999E-2</v>
      </c>
      <c r="P3193" s="1" t="s">
        <v>2721</v>
      </c>
    </row>
    <row r="3194" spans="1:16">
      <c r="A3194" s="1" t="s">
        <v>15</v>
      </c>
      <c r="B3194" s="1">
        <v>11</v>
      </c>
      <c r="C3194" s="1" t="s">
        <v>7498</v>
      </c>
      <c r="D3194" s="1" t="s">
        <v>3754</v>
      </c>
      <c r="E3194" s="2">
        <v>45980</v>
      </c>
      <c r="F3194" s="1" t="s">
        <v>63</v>
      </c>
      <c r="G3194" s="1" t="s">
        <v>3755</v>
      </c>
      <c r="H3194" s="1" t="s">
        <v>5522</v>
      </c>
      <c r="I3194" s="1">
        <v>1</v>
      </c>
      <c r="J3194" s="3">
        <v>6580</v>
      </c>
      <c r="K3194" s="3">
        <v>6279</v>
      </c>
      <c r="L3194" s="1">
        <v>0</v>
      </c>
      <c r="M3194" s="4">
        <v>0</v>
      </c>
      <c r="N3194" s="1">
        <v>301</v>
      </c>
      <c r="O3194" s="4">
        <v>4.5999999999999999E-2</v>
      </c>
      <c r="P3194" s="1" t="s">
        <v>2721</v>
      </c>
    </row>
    <row r="3195" spans="1:16">
      <c r="A3195" s="1" t="s">
        <v>15</v>
      </c>
      <c r="B3195" s="1">
        <v>11</v>
      </c>
      <c r="C3195" s="1" t="s">
        <v>7499</v>
      </c>
      <c r="D3195" s="1" t="s">
        <v>504</v>
      </c>
      <c r="E3195" s="2">
        <v>45980</v>
      </c>
      <c r="F3195" s="1" t="s">
        <v>407</v>
      </c>
      <c r="G3195" s="1" t="s">
        <v>505</v>
      </c>
      <c r="H3195" s="1" t="s">
        <v>1131</v>
      </c>
      <c r="I3195" s="1">
        <v>1</v>
      </c>
      <c r="J3195" s="3">
        <v>54065</v>
      </c>
      <c r="K3195" s="3">
        <v>51590</v>
      </c>
      <c r="L3195" s="1">
        <v>0</v>
      </c>
      <c r="M3195" s="4">
        <v>0</v>
      </c>
      <c r="N3195" s="3">
        <v>2475</v>
      </c>
      <c r="O3195" s="4">
        <v>4.5999999999999999E-2</v>
      </c>
      <c r="P3195" s="1" t="s">
        <v>2721</v>
      </c>
    </row>
    <row r="3196" spans="1:16">
      <c r="A3196" s="1" t="s">
        <v>15</v>
      </c>
      <c r="B3196" s="1">
        <v>11</v>
      </c>
      <c r="C3196" s="1" t="s">
        <v>7500</v>
      </c>
      <c r="D3196" s="1" t="s">
        <v>394</v>
      </c>
      <c r="E3196" s="2">
        <v>45980</v>
      </c>
      <c r="F3196" s="1" t="s">
        <v>395</v>
      </c>
      <c r="G3196" s="1" t="s">
        <v>396</v>
      </c>
      <c r="H3196" s="1" t="s">
        <v>397</v>
      </c>
      <c r="I3196" s="1">
        <v>1</v>
      </c>
      <c r="J3196" s="3">
        <v>18874</v>
      </c>
      <c r="K3196" s="3">
        <v>18010</v>
      </c>
      <c r="L3196" s="1">
        <v>0</v>
      </c>
      <c r="M3196" s="4">
        <v>0</v>
      </c>
      <c r="N3196" s="1">
        <v>864</v>
      </c>
      <c r="O3196" s="4">
        <v>4.5999999999999999E-2</v>
      </c>
      <c r="P3196" s="1" t="s">
        <v>2721</v>
      </c>
    </row>
    <row r="3197" spans="1:16">
      <c r="A3197" s="1" t="s">
        <v>577</v>
      </c>
      <c r="B3197" s="1">
        <v>11</v>
      </c>
      <c r="C3197" s="1" t="s">
        <v>7501</v>
      </c>
      <c r="D3197" s="1" t="s">
        <v>1741</v>
      </c>
      <c r="E3197" s="2">
        <v>45980</v>
      </c>
      <c r="F3197" s="1" t="s">
        <v>500</v>
      </c>
      <c r="G3197" s="1" t="s">
        <v>900</v>
      </c>
      <c r="H3197" s="1" t="s">
        <v>1678</v>
      </c>
      <c r="I3197" s="1">
        <v>1</v>
      </c>
      <c r="J3197" s="3">
        <v>102702</v>
      </c>
      <c r="K3197" s="3">
        <v>98000</v>
      </c>
      <c r="L3197" s="1">
        <v>0</v>
      </c>
      <c r="M3197" s="4">
        <v>0</v>
      </c>
      <c r="N3197" s="3">
        <v>4702</v>
      </c>
      <c r="O3197" s="4">
        <v>4.5999999999999999E-2</v>
      </c>
      <c r="P3197" s="1" t="s">
        <v>2721</v>
      </c>
    </row>
    <row r="3198" spans="1:16">
      <c r="A3198" s="1" t="s">
        <v>577</v>
      </c>
      <c r="B3198" s="1">
        <v>11</v>
      </c>
      <c r="C3198" s="1" t="s">
        <v>7502</v>
      </c>
      <c r="D3198" s="1" t="s">
        <v>7503</v>
      </c>
      <c r="E3198" s="2">
        <v>45980</v>
      </c>
      <c r="F3198" s="1" t="s">
        <v>63</v>
      </c>
      <c r="G3198" s="1" t="s">
        <v>550</v>
      </c>
      <c r="H3198" s="1" t="s">
        <v>551</v>
      </c>
      <c r="I3198" s="1">
        <v>1</v>
      </c>
      <c r="J3198" s="3">
        <v>15422</v>
      </c>
      <c r="K3198" s="3">
        <v>14716</v>
      </c>
      <c r="L3198" s="1">
        <v>0</v>
      </c>
      <c r="M3198" s="4">
        <v>0</v>
      </c>
      <c r="N3198" s="1">
        <v>706</v>
      </c>
      <c r="O3198" s="4">
        <v>4.5999999999999999E-2</v>
      </c>
      <c r="P3198" s="1" t="s">
        <v>2721</v>
      </c>
    </row>
    <row r="3199" spans="1:16">
      <c r="A3199" s="1" t="s">
        <v>577</v>
      </c>
      <c r="B3199" s="1">
        <v>11</v>
      </c>
      <c r="C3199" s="1" t="s">
        <v>7502</v>
      </c>
      <c r="D3199" s="1" t="s">
        <v>4300</v>
      </c>
      <c r="E3199" s="2">
        <v>45980</v>
      </c>
      <c r="F3199" s="1" t="s">
        <v>63</v>
      </c>
      <c r="G3199" s="1" t="s">
        <v>3755</v>
      </c>
      <c r="H3199" s="1" t="s">
        <v>5522</v>
      </c>
      <c r="I3199" s="1">
        <v>1</v>
      </c>
      <c r="J3199" s="3">
        <v>6580</v>
      </c>
      <c r="K3199" s="3">
        <v>6279</v>
      </c>
      <c r="L3199" s="1">
        <v>0</v>
      </c>
      <c r="M3199" s="4">
        <v>0</v>
      </c>
      <c r="N3199" s="1">
        <v>301</v>
      </c>
      <c r="O3199" s="4">
        <v>4.5999999999999999E-2</v>
      </c>
      <c r="P3199" s="1" t="s">
        <v>2721</v>
      </c>
    </row>
    <row r="3200" spans="1:16">
      <c r="A3200" s="1" t="s">
        <v>577</v>
      </c>
      <c r="B3200" s="1">
        <v>11</v>
      </c>
      <c r="C3200" s="1" t="s">
        <v>7502</v>
      </c>
      <c r="D3200" s="1" t="s">
        <v>4300</v>
      </c>
      <c r="E3200" s="2">
        <v>45980</v>
      </c>
      <c r="F3200" s="1" t="s">
        <v>63</v>
      </c>
      <c r="G3200" s="1" t="s">
        <v>3755</v>
      </c>
      <c r="H3200" s="1" t="s">
        <v>3789</v>
      </c>
      <c r="I3200" s="1">
        <v>1</v>
      </c>
      <c r="J3200" s="3">
        <v>4958</v>
      </c>
      <c r="K3200" s="3">
        <v>4731</v>
      </c>
      <c r="L3200" s="1">
        <v>0</v>
      </c>
      <c r="M3200" s="4">
        <v>0</v>
      </c>
      <c r="N3200" s="1">
        <v>227</v>
      </c>
      <c r="O3200" s="4">
        <v>4.5999999999999999E-2</v>
      </c>
      <c r="P3200" s="1" t="s">
        <v>2721</v>
      </c>
    </row>
    <row r="3201" spans="1:16">
      <c r="A3201" s="1" t="s">
        <v>577</v>
      </c>
      <c r="B3201" s="1">
        <v>11</v>
      </c>
      <c r="C3201" s="1" t="s">
        <v>7504</v>
      </c>
      <c r="D3201" s="1" t="s">
        <v>1776</v>
      </c>
      <c r="E3201" s="2">
        <v>45980</v>
      </c>
      <c r="F3201" s="1" t="s">
        <v>483</v>
      </c>
      <c r="G3201" s="1" t="s">
        <v>484</v>
      </c>
      <c r="H3201" s="1" t="s">
        <v>485</v>
      </c>
      <c r="I3201" s="1">
        <v>1</v>
      </c>
      <c r="J3201" s="3">
        <v>16501</v>
      </c>
      <c r="K3201" s="3">
        <v>15745</v>
      </c>
      <c r="L3201" s="1">
        <v>0</v>
      </c>
      <c r="M3201" s="4">
        <v>0</v>
      </c>
      <c r="N3201" s="1">
        <v>756</v>
      </c>
      <c r="O3201" s="4">
        <v>4.5999999999999999E-2</v>
      </c>
      <c r="P3201" s="1" t="s">
        <v>2721</v>
      </c>
    </row>
    <row r="3202" spans="1:16">
      <c r="A3202" s="1" t="s">
        <v>577</v>
      </c>
      <c r="B3202" s="1">
        <v>11</v>
      </c>
      <c r="C3202" s="1" t="s">
        <v>7504</v>
      </c>
      <c r="D3202" s="1" t="s">
        <v>5888</v>
      </c>
      <c r="E3202" s="2">
        <v>45980</v>
      </c>
      <c r="F3202" s="1" t="s">
        <v>660</v>
      </c>
      <c r="G3202" s="1" t="s">
        <v>2330</v>
      </c>
      <c r="H3202" s="1" t="s">
        <v>2331</v>
      </c>
      <c r="I3202" s="1">
        <v>1</v>
      </c>
      <c r="J3202" s="3">
        <v>12582</v>
      </c>
      <c r="K3202" s="3">
        <v>12006</v>
      </c>
      <c r="L3202" s="1">
        <v>0</v>
      </c>
      <c r="M3202" s="4">
        <v>0</v>
      </c>
      <c r="N3202" s="1">
        <v>576</v>
      </c>
      <c r="O3202" s="4">
        <v>4.5999999999999999E-2</v>
      </c>
      <c r="P3202" s="1" t="s">
        <v>2721</v>
      </c>
    </row>
    <row r="3203" spans="1:16">
      <c r="A3203" s="1" t="s">
        <v>577</v>
      </c>
      <c r="B3203" s="1">
        <v>11</v>
      </c>
      <c r="C3203" s="1" t="s">
        <v>7505</v>
      </c>
      <c r="D3203" s="1" t="s">
        <v>7506</v>
      </c>
      <c r="E3203" s="2">
        <v>45980</v>
      </c>
      <c r="F3203" s="1" t="s">
        <v>1075</v>
      </c>
      <c r="G3203" s="1" t="s">
        <v>7507</v>
      </c>
      <c r="H3203" s="1" t="s">
        <v>7508</v>
      </c>
      <c r="I3203" s="1">
        <v>1</v>
      </c>
      <c r="J3203" s="3">
        <v>9783</v>
      </c>
      <c r="K3203" s="3">
        <v>9335</v>
      </c>
      <c r="L3203" s="1">
        <v>0</v>
      </c>
      <c r="M3203" s="4">
        <v>0</v>
      </c>
      <c r="N3203" s="1">
        <v>448</v>
      </c>
      <c r="O3203" s="4">
        <v>4.5999999999999999E-2</v>
      </c>
      <c r="P3203" s="1" t="s">
        <v>2721</v>
      </c>
    </row>
    <row r="3204" spans="1:16">
      <c r="A3204" s="1" t="s">
        <v>577</v>
      </c>
      <c r="B3204" s="1">
        <v>11</v>
      </c>
      <c r="C3204" s="1" t="s">
        <v>7509</v>
      </c>
      <c r="D3204" s="1" t="s">
        <v>3165</v>
      </c>
      <c r="E3204" s="2">
        <v>45980</v>
      </c>
      <c r="F3204" s="1" t="s">
        <v>235</v>
      </c>
      <c r="G3204" s="1" t="s">
        <v>1522</v>
      </c>
      <c r="H3204" s="1" t="s">
        <v>7510</v>
      </c>
      <c r="I3204" s="1">
        <v>1</v>
      </c>
      <c r="J3204" s="3">
        <v>8045</v>
      </c>
      <c r="K3204" s="3">
        <v>7677</v>
      </c>
      <c r="L3204" s="1">
        <v>0</v>
      </c>
      <c r="M3204" s="4">
        <v>0</v>
      </c>
      <c r="N3204" s="1">
        <v>368</v>
      </c>
      <c r="O3204" s="4">
        <v>4.5999999999999999E-2</v>
      </c>
      <c r="P3204" s="1" t="s">
        <v>2721</v>
      </c>
    </row>
    <row r="3205" spans="1:16">
      <c r="A3205" s="1" t="s">
        <v>577</v>
      </c>
      <c r="B3205" s="1">
        <v>11</v>
      </c>
      <c r="C3205" s="1" t="s">
        <v>7509</v>
      </c>
      <c r="D3205" s="1" t="s">
        <v>3165</v>
      </c>
      <c r="E3205" s="2">
        <v>45980</v>
      </c>
      <c r="F3205" s="1" t="s">
        <v>235</v>
      </c>
      <c r="G3205" s="1" t="s">
        <v>1522</v>
      </c>
      <c r="H3205" s="1" t="s">
        <v>7511</v>
      </c>
      <c r="I3205" s="1">
        <v>1</v>
      </c>
      <c r="J3205" s="3">
        <v>8045</v>
      </c>
      <c r="K3205" s="3">
        <v>7677</v>
      </c>
      <c r="L3205" s="1">
        <v>0</v>
      </c>
      <c r="M3205" s="4">
        <v>0</v>
      </c>
      <c r="N3205" s="1">
        <v>368</v>
      </c>
      <c r="O3205" s="4">
        <v>4.5999999999999999E-2</v>
      </c>
      <c r="P3205" s="1" t="s">
        <v>2721</v>
      </c>
    </row>
    <row r="3206" spans="1:16">
      <c r="A3206" s="1" t="s">
        <v>577</v>
      </c>
      <c r="B3206" s="1">
        <v>11</v>
      </c>
      <c r="C3206" s="1" t="s">
        <v>7512</v>
      </c>
      <c r="D3206" s="1" t="s">
        <v>7513</v>
      </c>
      <c r="E3206" s="2">
        <v>45980</v>
      </c>
      <c r="F3206" s="1" t="s">
        <v>96</v>
      </c>
      <c r="G3206" s="1" t="s">
        <v>7514</v>
      </c>
      <c r="H3206" s="1" t="s">
        <v>2838</v>
      </c>
      <c r="I3206" s="1">
        <v>1</v>
      </c>
      <c r="J3206" s="3">
        <v>8953</v>
      </c>
      <c r="K3206" s="3">
        <v>8543</v>
      </c>
      <c r="L3206" s="1">
        <v>0</v>
      </c>
      <c r="M3206" s="4">
        <v>0</v>
      </c>
      <c r="N3206" s="1">
        <v>410</v>
      </c>
      <c r="O3206" s="4">
        <v>4.5999999999999999E-2</v>
      </c>
      <c r="P3206" s="1" t="s">
        <v>2721</v>
      </c>
    </row>
    <row r="3207" spans="1:16">
      <c r="A3207" s="1" t="s">
        <v>577</v>
      </c>
      <c r="B3207" s="1">
        <v>11</v>
      </c>
      <c r="C3207" s="1" t="s">
        <v>7515</v>
      </c>
      <c r="D3207" s="1" t="s">
        <v>5280</v>
      </c>
      <c r="E3207" s="2">
        <v>45980</v>
      </c>
      <c r="F3207" s="1" t="s">
        <v>524</v>
      </c>
      <c r="G3207" s="1" t="s">
        <v>1182</v>
      </c>
      <c r="H3207" s="1" t="s">
        <v>1183</v>
      </c>
      <c r="I3207" s="1">
        <v>1</v>
      </c>
      <c r="J3207" s="3">
        <v>20121</v>
      </c>
      <c r="K3207" s="3">
        <v>19200</v>
      </c>
      <c r="L3207" s="1">
        <v>0</v>
      </c>
      <c r="M3207" s="4">
        <v>0</v>
      </c>
      <c r="N3207" s="1">
        <v>921</v>
      </c>
      <c r="O3207" s="4">
        <v>4.5999999999999999E-2</v>
      </c>
      <c r="P3207" s="1" t="s">
        <v>2721</v>
      </c>
    </row>
    <row r="3208" spans="1:16">
      <c r="A3208" s="1" t="s">
        <v>577</v>
      </c>
      <c r="B3208" s="1">
        <v>11</v>
      </c>
      <c r="C3208" s="1" t="s">
        <v>7516</v>
      </c>
      <c r="D3208" s="1" t="s">
        <v>5583</v>
      </c>
      <c r="E3208" s="2">
        <v>45980</v>
      </c>
      <c r="F3208" s="1" t="s">
        <v>276</v>
      </c>
      <c r="G3208" s="1" t="s">
        <v>2487</v>
      </c>
      <c r="H3208" s="1" t="s">
        <v>2488</v>
      </c>
      <c r="I3208" s="1">
        <v>1</v>
      </c>
      <c r="J3208" s="3">
        <v>15772</v>
      </c>
      <c r="K3208" s="3">
        <v>15050</v>
      </c>
      <c r="L3208" s="1">
        <v>0</v>
      </c>
      <c r="M3208" s="4">
        <v>0</v>
      </c>
      <c r="N3208" s="1">
        <v>722</v>
      </c>
      <c r="O3208" s="4">
        <v>4.5999999999999999E-2</v>
      </c>
      <c r="P3208" s="1" t="s">
        <v>2721</v>
      </c>
    </row>
    <row r="3209" spans="1:16">
      <c r="A3209" s="1" t="s">
        <v>577</v>
      </c>
      <c r="B3209" s="1">
        <v>11</v>
      </c>
      <c r="C3209" s="1" t="s">
        <v>7517</v>
      </c>
      <c r="D3209" s="1" t="s">
        <v>2616</v>
      </c>
      <c r="E3209" s="2">
        <v>45980</v>
      </c>
      <c r="F3209" s="1" t="s">
        <v>407</v>
      </c>
      <c r="G3209" s="1" t="s">
        <v>961</v>
      </c>
      <c r="H3209" s="1" t="s">
        <v>2830</v>
      </c>
      <c r="I3209" s="1">
        <v>1</v>
      </c>
      <c r="J3209" s="3">
        <v>16711</v>
      </c>
      <c r="K3209" s="3">
        <v>15946</v>
      </c>
      <c r="L3209" s="1">
        <v>0</v>
      </c>
      <c r="M3209" s="4">
        <v>0</v>
      </c>
      <c r="N3209" s="1">
        <v>765</v>
      </c>
      <c r="O3209" s="4">
        <v>4.5999999999999999E-2</v>
      </c>
      <c r="P3209" s="1" t="s">
        <v>2721</v>
      </c>
    </row>
    <row r="3210" spans="1:16">
      <c r="A3210" s="1" t="s">
        <v>577</v>
      </c>
      <c r="B3210" s="1">
        <v>11</v>
      </c>
      <c r="C3210" s="1" t="s">
        <v>7518</v>
      </c>
      <c r="D3210" s="1" t="s">
        <v>7519</v>
      </c>
      <c r="E3210" s="2">
        <v>45980</v>
      </c>
      <c r="F3210" s="1" t="s">
        <v>53</v>
      </c>
      <c r="G3210" s="1" t="s">
        <v>205</v>
      </c>
      <c r="H3210" s="1" t="s">
        <v>206</v>
      </c>
      <c r="I3210" s="1">
        <v>1</v>
      </c>
      <c r="J3210" s="3">
        <v>5318</v>
      </c>
      <c r="K3210" s="3">
        <v>5075</v>
      </c>
      <c r="L3210" s="1">
        <v>0</v>
      </c>
      <c r="M3210" s="4">
        <v>0</v>
      </c>
      <c r="N3210" s="1">
        <v>243</v>
      </c>
      <c r="O3210" s="4">
        <v>4.5999999999999999E-2</v>
      </c>
      <c r="P3210" s="1" t="s">
        <v>2721</v>
      </c>
    </row>
    <row r="3211" spans="1:16">
      <c r="A3211" s="1" t="s">
        <v>577</v>
      </c>
      <c r="B3211" s="1">
        <v>11</v>
      </c>
      <c r="C3211" s="1" t="s">
        <v>7520</v>
      </c>
      <c r="D3211" s="1" t="s">
        <v>7521</v>
      </c>
      <c r="E3211" s="2">
        <v>45980</v>
      </c>
      <c r="F3211" s="1" t="s">
        <v>235</v>
      </c>
      <c r="G3211" s="1" t="s">
        <v>6152</v>
      </c>
      <c r="H3211" s="1" t="s">
        <v>7522</v>
      </c>
      <c r="I3211" s="1">
        <v>1</v>
      </c>
      <c r="J3211" s="3">
        <v>22707</v>
      </c>
      <c r="K3211" s="3">
        <v>21668</v>
      </c>
      <c r="L3211" s="1">
        <v>0</v>
      </c>
      <c r="M3211" s="4">
        <v>0</v>
      </c>
      <c r="N3211" s="3">
        <v>1039</v>
      </c>
      <c r="O3211" s="4">
        <v>4.5999999999999999E-2</v>
      </c>
      <c r="P3211" s="1" t="s">
        <v>2721</v>
      </c>
    </row>
    <row r="3212" spans="1:16">
      <c r="A3212" s="1" t="s">
        <v>577</v>
      </c>
      <c r="B3212" s="1">
        <v>11</v>
      </c>
      <c r="C3212" s="1" t="s">
        <v>7523</v>
      </c>
      <c r="D3212" s="1" t="s">
        <v>6562</v>
      </c>
      <c r="E3212" s="2">
        <v>45980</v>
      </c>
      <c r="F3212" s="1" t="s">
        <v>1075</v>
      </c>
      <c r="G3212" s="1" t="s">
        <v>6563</v>
      </c>
      <c r="H3212" s="1" t="s">
        <v>7524</v>
      </c>
      <c r="I3212" s="1">
        <v>1</v>
      </c>
      <c r="J3212" s="3">
        <v>16121</v>
      </c>
      <c r="K3212" s="3">
        <v>15383</v>
      </c>
      <c r="L3212" s="1">
        <v>0</v>
      </c>
      <c r="M3212" s="4">
        <v>0</v>
      </c>
      <c r="N3212" s="1">
        <v>738</v>
      </c>
      <c r="O3212" s="4">
        <v>4.5999999999999999E-2</v>
      </c>
      <c r="P3212" s="1" t="s">
        <v>2721</v>
      </c>
    </row>
    <row r="3213" spans="1:16">
      <c r="A3213" s="1" t="s">
        <v>577</v>
      </c>
      <c r="B3213" s="1">
        <v>11</v>
      </c>
      <c r="C3213" s="1" t="s">
        <v>7525</v>
      </c>
      <c r="D3213" s="1" t="s">
        <v>7526</v>
      </c>
      <c r="E3213" s="2">
        <v>45980</v>
      </c>
      <c r="F3213" s="1" t="s">
        <v>783</v>
      </c>
      <c r="G3213" s="1" t="s">
        <v>7527</v>
      </c>
      <c r="H3213" s="1" t="s">
        <v>7528</v>
      </c>
      <c r="I3213" s="1">
        <v>1</v>
      </c>
      <c r="J3213" s="3">
        <v>29490</v>
      </c>
      <c r="K3213" s="3">
        <v>28140</v>
      </c>
      <c r="L3213" s="1">
        <v>0</v>
      </c>
      <c r="M3213" s="4">
        <v>0</v>
      </c>
      <c r="N3213" s="3">
        <v>1350</v>
      </c>
      <c r="O3213" s="4">
        <v>4.5999999999999999E-2</v>
      </c>
      <c r="P3213" s="1" t="s">
        <v>2721</v>
      </c>
    </row>
    <row r="3214" spans="1:16">
      <c r="A3214" s="1" t="s">
        <v>577</v>
      </c>
      <c r="B3214" s="1">
        <v>11</v>
      </c>
      <c r="C3214" s="1" t="s">
        <v>7529</v>
      </c>
      <c r="D3214" s="1" t="s">
        <v>7530</v>
      </c>
      <c r="E3214" s="2">
        <v>45980</v>
      </c>
      <c r="F3214" s="1" t="s">
        <v>53</v>
      </c>
      <c r="G3214" s="1" t="s">
        <v>7531</v>
      </c>
      <c r="H3214" s="1" t="s">
        <v>7532</v>
      </c>
      <c r="I3214" s="1">
        <v>1</v>
      </c>
      <c r="J3214" s="3">
        <v>9825</v>
      </c>
      <c r="K3214" s="3">
        <v>9375</v>
      </c>
      <c r="L3214" s="1">
        <v>0</v>
      </c>
      <c r="M3214" s="4">
        <v>0</v>
      </c>
      <c r="N3214" s="1">
        <v>450</v>
      </c>
      <c r="O3214" s="4">
        <v>4.5999999999999999E-2</v>
      </c>
      <c r="P3214" s="1" t="s">
        <v>2721</v>
      </c>
    </row>
    <row r="3215" spans="1:16">
      <c r="A3215" s="1" t="s">
        <v>577</v>
      </c>
      <c r="B3215" s="1">
        <v>11</v>
      </c>
      <c r="C3215" s="1" t="s">
        <v>7533</v>
      </c>
      <c r="D3215" s="1" t="s">
        <v>7534</v>
      </c>
      <c r="E3215" s="2">
        <v>45980</v>
      </c>
      <c r="F3215" s="1" t="s">
        <v>96</v>
      </c>
      <c r="G3215" s="1" t="s">
        <v>7535</v>
      </c>
      <c r="H3215" s="1" t="s">
        <v>7536</v>
      </c>
      <c r="I3215" s="1">
        <v>1</v>
      </c>
      <c r="J3215" s="3">
        <v>10671</v>
      </c>
      <c r="K3215" s="3">
        <v>10183</v>
      </c>
      <c r="L3215" s="1">
        <v>0</v>
      </c>
      <c r="M3215" s="4">
        <v>0</v>
      </c>
      <c r="N3215" s="1">
        <v>488</v>
      </c>
      <c r="O3215" s="4">
        <v>4.5999999999999999E-2</v>
      </c>
      <c r="P3215" s="1" t="s">
        <v>2721</v>
      </c>
    </row>
    <row r="3216" spans="1:16">
      <c r="A3216" s="1" t="s">
        <v>602</v>
      </c>
      <c r="B3216" s="1">
        <v>11</v>
      </c>
      <c r="C3216" s="1">
        <v>27100153216318</v>
      </c>
      <c r="D3216" s="1" t="s">
        <v>607</v>
      </c>
      <c r="E3216" s="2">
        <v>45980</v>
      </c>
      <c r="F3216" s="1" t="s">
        <v>604</v>
      </c>
      <c r="G3216" s="1" t="s">
        <v>608</v>
      </c>
      <c r="H3216" s="1" t="s">
        <v>609</v>
      </c>
      <c r="I3216" s="1">
        <v>3</v>
      </c>
      <c r="J3216" s="3">
        <v>42800</v>
      </c>
      <c r="K3216" s="3">
        <v>32200</v>
      </c>
      <c r="L3216" s="3">
        <v>4965</v>
      </c>
      <c r="M3216" s="4">
        <v>0.11600000000000001</v>
      </c>
      <c r="N3216" s="3">
        <v>5635</v>
      </c>
      <c r="O3216" s="4">
        <v>0.13200000000000001</v>
      </c>
      <c r="P3216" s="1" t="s">
        <v>2721</v>
      </c>
    </row>
    <row r="3217" spans="1:16">
      <c r="A3217" s="1" t="s">
        <v>602</v>
      </c>
      <c r="B3217" s="1">
        <v>11</v>
      </c>
      <c r="C3217" s="1">
        <v>3100154073673</v>
      </c>
      <c r="D3217" s="1" t="s">
        <v>1841</v>
      </c>
      <c r="E3217" s="2">
        <v>45980</v>
      </c>
      <c r="F3217" s="1" t="s">
        <v>604</v>
      </c>
      <c r="G3217" s="1" t="s">
        <v>1842</v>
      </c>
      <c r="H3217" s="1" t="s">
        <v>1843</v>
      </c>
      <c r="I3217" s="1">
        <v>3</v>
      </c>
      <c r="J3217" s="3">
        <v>42800</v>
      </c>
      <c r="K3217" s="3">
        <v>32200</v>
      </c>
      <c r="L3217" s="3">
        <v>4965</v>
      </c>
      <c r="M3217" s="4">
        <v>0.11600000000000001</v>
      </c>
      <c r="N3217" s="3">
        <v>5635</v>
      </c>
      <c r="O3217" s="4">
        <v>0.13200000000000001</v>
      </c>
      <c r="P3217" s="1" t="s">
        <v>2721</v>
      </c>
    </row>
    <row r="3218" spans="1:16">
      <c r="A3218" s="1" t="s">
        <v>620</v>
      </c>
      <c r="B3218" s="1">
        <v>11</v>
      </c>
      <c r="C3218" s="1">
        <v>2540255290</v>
      </c>
      <c r="D3218" s="1" t="s">
        <v>621</v>
      </c>
      <c r="E3218" s="2">
        <v>45980</v>
      </c>
      <c r="F3218" s="1" t="s">
        <v>604</v>
      </c>
      <c r="G3218" s="1" t="s">
        <v>622</v>
      </c>
      <c r="H3218" s="1" t="s">
        <v>7537</v>
      </c>
      <c r="I3218" s="1">
        <v>1</v>
      </c>
      <c r="J3218" s="3">
        <v>9000</v>
      </c>
      <c r="K3218" s="3">
        <v>3675</v>
      </c>
      <c r="L3218" s="3">
        <v>1170</v>
      </c>
      <c r="M3218" s="4">
        <v>0.13</v>
      </c>
      <c r="N3218" s="3">
        <v>4155</v>
      </c>
      <c r="O3218" s="4">
        <v>0.46200000000000002</v>
      </c>
      <c r="P3218" s="1" t="s">
        <v>2721</v>
      </c>
    </row>
    <row r="3219" spans="1:16">
      <c r="A3219" s="1" t="s">
        <v>624</v>
      </c>
      <c r="B3219" s="1">
        <v>11</v>
      </c>
      <c r="C3219" s="1">
        <v>2025111813310520</v>
      </c>
      <c r="D3219" s="1" t="s">
        <v>1850</v>
      </c>
      <c r="E3219" s="2">
        <v>45980</v>
      </c>
      <c r="F3219" s="1" t="s">
        <v>604</v>
      </c>
      <c r="G3219" s="1" t="s">
        <v>1851</v>
      </c>
      <c r="H3219" s="1" t="s">
        <v>7538</v>
      </c>
      <c r="I3219" s="1">
        <v>5</v>
      </c>
      <c r="J3219" s="3">
        <v>15552</v>
      </c>
      <c r="K3219" s="3">
        <v>12125</v>
      </c>
      <c r="L3219" s="3">
        <v>2022</v>
      </c>
      <c r="M3219" s="4">
        <v>0.13</v>
      </c>
      <c r="N3219" s="3">
        <v>1405</v>
      </c>
      <c r="O3219" s="4">
        <v>0.09</v>
      </c>
      <c r="P3219" s="1" t="s">
        <v>2721</v>
      </c>
    </row>
    <row r="3220" spans="1:16">
      <c r="A3220" s="1" t="s">
        <v>626</v>
      </c>
      <c r="B3220" s="1">
        <v>11</v>
      </c>
      <c r="C3220" s="1">
        <v>69271216</v>
      </c>
      <c r="D3220" s="1" t="s">
        <v>627</v>
      </c>
      <c r="E3220" s="2">
        <v>45980</v>
      </c>
      <c r="F3220" s="1" t="s">
        <v>604</v>
      </c>
      <c r="G3220" s="1" t="s">
        <v>628</v>
      </c>
      <c r="H3220" s="1" t="s">
        <v>629</v>
      </c>
      <c r="I3220" s="1">
        <v>1</v>
      </c>
      <c r="J3220" s="3">
        <v>8000</v>
      </c>
      <c r="K3220" s="3">
        <v>1800</v>
      </c>
      <c r="L3220" s="1">
        <v>880</v>
      </c>
      <c r="M3220" s="4">
        <v>0.11</v>
      </c>
      <c r="N3220" s="3">
        <v>5320</v>
      </c>
      <c r="O3220" s="4">
        <v>0.66500000000000004</v>
      </c>
      <c r="P3220" s="1" t="s">
        <v>2721</v>
      </c>
    </row>
    <row r="3221" spans="1:16">
      <c r="A3221" s="1" t="s">
        <v>630</v>
      </c>
      <c r="B3221" s="1">
        <v>11</v>
      </c>
      <c r="C3221" s="1">
        <v>1117367336337210</v>
      </c>
      <c r="D3221" s="1" t="s">
        <v>627</v>
      </c>
      <c r="E3221" s="2">
        <v>45980</v>
      </c>
      <c r="F3221" s="1" t="s">
        <v>604</v>
      </c>
      <c r="G3221" s="1" t="s">
        <v>628</v>
      </c>
      <c r="H3221" s="1" t="s">
        <v>1848</v>
      </c>
      <c r="I3221" s="1">
        <v>1</v>
      </c>
      <c r="J3221" s="3">
        <v>6750</v>
      </c>
      <c r="K3221" s="3">
        <v>4300</v>
      </c>
      <c r="L3221" s="1">
        <v>446</v>
      </c>
      <c r="M3221" s="4">
        <v>6.6000000000000003E-2</v>
      </c>
      <c r="N3221" s="3">
        <v>2005</v>
      </c>
      <c r="O3221" s="4">
        <v>0.29699999999999999</v>
      </c>
      <c r="P3221" s="1" t="s">
        <v>2721</v>
      </c>
    </row>
    <row r="3222" spans="1:16">
      <c r="A3222" s="1" t="s">
        <v>630</v>
      </c>
      <c r="B3222" s="1">
        <v>11</v>
      </c>
      <c r="C3222" s="1">
        <v>1117373746651390</v>
      </c>
      <c r="D3222" s="1" t="s">
        <v>627</v>
      </c>
      <c r="E3222" s="2">
        <v>45980</v>
      </c>
      <c r="F3222" s="1" t="s">
        <v>604</v>
      </c>
      <c r="G3222" s="1" t="s">
        <v>628</v>
      </c>
      <c r="H3222" s="1" t="s">
        <v>1848</v>
      </c>
      <c r="I3222" s="1">
        <v>1</v>
      </c>
      <c r="J3222" s="3">
        <v>6750</v>
      </c>
      <c r="K3222" s="3">
        <v>4300</v>
      </c>
      <c r="L3222" s="1">
        <v>446</v>
      </c>
      <c r="M3222" s="4">
        <v>6.6000000000000003E-2</v>
      </c>
      <c r="N3222" s="3">
        <v>2005</v>
      </c>
      <c r="O3222" s="4">
        <v>0.29699999999999999</v>
      </c>
      <c r="P3222" s="1" t="s">
        <v>2721</v>
      </c>
    </row>
    <row r="3223" spans="1:16">
      <c r="A3223" s="1" t="s">
        <v>739</v>
      </c>
      <c r="B3223" s="1">
        <v>11</v>
      </c>
      <c r="C3223" s="1">
        <v>31458982</v>
      </c>
      <c r="D3223" s="1" t="s">
        <v>1859</v>
      </c>
      <c r="E3223" s="2">
        <v>45980</v>
      </c>
      <c r="F3223" s="1" t="s">
        <v>604</v>
      </c>
      <c r="G3223" s="1" t="s">
        <v>1860</v>
      </c>
      <c r="H3223" s="1" t="s">
        <v>1861</v>
      </c>
      <c r="I3223" s="1">
        <v>1</v>
      </c>
      <c r="J3223" s="3">
        <v>8900</v>
      </c>
      <c r="K3223" s="3">
        <v>5026</v>
      </c>
      <c r="L3223" s="3">
        <v>1175</v>
      </c>
      <c r="M3223" s="4">
        <v>0.13200000000000001</v>
      </c>
      <c r="N3223" s="3">
        <v>2699</v>
      </c>
      <c r="O3223" s="4">
        <v>0.30299999999999999</v>
      </c>
      <c r="P3223" s="1" t="s">
        <v>2721</v>
      </c>
    </row>
    <row r="3224" spans="1:16">
      <c r="A3224" s="1" t="s">
        <v>756</v>
      </c>
      <c r="B3224" s="1">
        <v>11</v>
      </c>
      <c r="C3224" s="1" t="s">
        <v>7539</v>
      </c>
      <c r="D3224" s="1" t="s">
        <v>621</v>
      </c>
      <c r="E3224" s="2">
        <v>45980</v>
      </c>
      <c r="F3224" s="1" t="s">
        <v>604</v>
      </c>
      <c r="G3224" s="1" t="s">
        <v>622</v>
      </c>
      <c r="I3224" s="1">
        <v>1</v>
      </c>
      <c r="J3224" s="3">
        <v>7000</v>
      </c>
      <c r="K3224" s="3">
        <v>1175</v>
      </c>
      <c r="L3224" s="1">
        <v>0</v>
      </c>
      <c r="M3224" s="4">
        <v>0</v>
      </c>
      <c r="N3224" s="3">
        <v>5825</v>
      </c>
      <c r="O3224" s="4">
        <v>0.83199999999999996</v>
      </c>
      <c r="P3224" s="1" t="s">
        <v>2723</v>
      </c>
    </row>
    <row r="3225" spans="1:16">
      <c r="A3225" s="1" t="s">
        <v>602</v>
      </c>
      <c r="B3225" s="1">
        <v>11</v>
      </c>
      <c r="C3225" s="1">
        <v>7100153932510</v>
      </c>
      <c r="D3225" s="1" t="s">
        <v>1862</v>
      </c>
      <c r="E3225" s="2">
        <v>45980</v>
      </c>
      <c r="F3225" s="1" t="s">
        <v>235</v>
      </c>
      <c r="G3225" s="1" t="s">
        <v>1863</v>
      </c>
      <c r="H3225" s="1" t="s">
        <v>1864</v>
      </c>
      <c r="I3225" s="1">
        <v>1</v>
      </c>
      <c r="J3225" s="3">
        <v>14790</v>
      </c>
      <c r="K3225" s="3">
        <v>7739</v>
      </c>
      <c r="L3225" s="3">
        <v>1716</v>
      </c>
      <c r="M3225" s="4">
        <v>0.11600000000000001</v>
      </c>
      <c r="N3225" s="3">
        <v>5335</v>
      </c>
      <c r="O3225" s="4">
        <v>0.36099999999999999</v>
      </c>
      <c r="P3225" s="1" t="s">
        <v>2721</v>
      </c>
    </row>
    <row r="3226" spans="1:16">
      <c r="A3226" s="1" t="s">
        <v>312</v>
      </c>
      <c r="B3226" s="1">
        <v>11</v>
      </c>
      <c r="C3226" s="1" t="s">
        <v>7540</v>
      </c>
      <c r="D3226" s="1" t="s">
        <v>4526</v>
      </c>
      <c r="E3226" s="2">
        <v>45980</v>
      </c>
      <c r="F3226" s="1" t="s">
        <v>646</v>
      </c>
      <c r="G3226" s="1" t="s">
        <v>4527</v>
      </c>
      <c r="H3226" s="1" t="s">
        <v>7541</v>
      </c>
      <c r="I3226" s="1">
        <v>1</v>
      </c>
      <c r="J3226" s="3">
        <v>49588</v>
      </c>
      <c r="K3226" s="3">
        <v>46431</v>
      </c>
      <c r="L3226" s="1">
        <v>0</v>
      </c>
      <c r="M3226" s="4">
        <v>0</v>
      </c>
      <c r="N3226" s="3">
        <v>3157</v>
      </c>
      <c r="O3226" s="4">
        <v>6.4000000000000001E-2</v>
      </c>
      <c r="P3226" s="1" t="s">
        <v>2721</v>
      </c>
    </row>
    <row r="3227" spans="1:16">
      <c r="A3227" s="1" t="s">
        <v>312</v>
      </c>
      <c r="B3227" s="1">
        <v>11</v>
      </c>
      <c r="C3227" s="1" t="s">
        <v>7540</v>
      </c>
      <c r="D3227" s="1" t="s">
        <v>7542</v>
      </c>
      <c r="E3227" s="2">
        <v>45980</v>
      </c>
      <c r="F3227" s="1" t="s">
        <v>1271</v>
      </c>
      <c r="G3227" s="1" t="s">
        <v>7543</v>
      </c>
      <c r="H3227" s="1" t="s">
        <v>7544</v>
      </c>
      <c r="I3227" s="1">
        <v>1</v>
      </c>
      <c r="J3227" s="3">
        <v>37076</v>
      </c>
      <c r="K3227" s="3">
        <v>34706</v>
      </c>
      <c r="L3227" s="1">
        <v>0</v>
      </c>
      <c r="M3227" s="4">
        <v>0</v>
      </c>
      <c r="N3227" s="3">
        <v>2370</v>
      </c>
      <c r="O3227" s="4">
        <v>6.4000000000000001E-2</v>
      </c>
      <c r="P3227" s="1" t="s">
        <v>2721</v>
      </c>
    </row>
    <row r="3228" spans="1:16">
      <c r="A3228" s="1" t="s">
        <v>649</v>
      </c>
      <c r="B3228" s="1">
        <v>11</v>
      </c>
      <c r="C3228" s="1">
        <v>25111902011966</v>
      </c>
      <c r="D3228" s="1" t="s">
        <v>7545</v>
      </c>
      <c r="E3228" s="2">
        <v>45980</v>
      </c>
      <c r="F3228" s="1" t="s">
        <v>347</v>
      </c>
      <c r="G3228" s="1" t="s">
        <v>7546</v>
      </c>
      <c r="H3228" s="1" t="s">
        <v>7547</v>
      </c>
      <c r="I3228" s="1">
        <v>1</v>
      </c>
      <c r="J3228" s="3">
        <v>22525</v>
      </c>
      <c r="K3228" s="3">
        <v>21105</v>
      </c>
      <c r="L3228" s="1">
        <v>0</v>
      </c>
      <c r="M3228" s="4">
        <v>0</v>
      </c>
      <c r="N3228" s="3">
        <v>1420</v>
      </c>
      <c r="O3228" s="4">
        <v>6.3E-2</v>
      </c>
      <c r="P3228" s="1" t="s">
        <v>2721</v>
      </c>
    </row>
    <row r="3229" spans="1:16">
      <c r="A3229" s="1" t="s">
        <v>649</v>
      </c>
      <c r="B3229" s="1">
        <v>11</v>
      </c>
      <c r="C3229" s="1">
        <v>25111902011966</v>
      </c>
      <c r="D3229" s="1" t="s">
        <v>7548</v>
      </c>
      <c r="E3229" s="2">
        <v>45980</v>
      </c>
      <c r="F3229" s="1" t="s">
        <v>400</v>
      </c>
      <c r="G3229" s="1" t="s">
        <v>7549</v>
      </c>
      <c r="H3229" s="1" t="s">
        <v>7550</v>
      </c>
      <c r="I3229" s="1">
        <v>1</v>
      </c>
      <c r="J3229" s="3">
        <v>16915</v>
      </c>
      <c r="K3229" s="3">
        <v>15832</v>
      </c>
      <c r="L3229" s="1">
        <v>0</v>
      </c>
      <c r="M3229" s="4">
        <v>0</v>
      </c>
      <c r="N3229" s="3">
        <v>1083</v>
      </c>
      <c r="O3229" s="4">
        <v>6.4000000000000001E-2</v>
      </c>
      <c r="P3229" s="1" t="s">
        <v>2721</v>
      </c>
    </row>
    <row r="3230" spans="1:16">
      <c r="A3230" s="1" t="s">
        <v>649</v>
      </c>
      <c r="B3230" s="1">
        <v>11</v>
      </c>
      <c r="C3230" s="1">
        <v>25111823162235</v>
      </c>
      <c r="D3230" s="1" t="s">
        <v>3432</v>
      </c>
      <c r="E3230" s="2">
        <v>45980</v>
      </c>
      <c r="F3230" s="1" t="s">
        <v>48</v>
      </c>
      <c r="G3230" s="1" t="s">
        <v>3433</v>
      </c>
      <c r="H3230" s="1" t="s">
        <v>3434</v>
      </c>
      <c r="I3230" s="1">
        <v>1</v>
      </c>
      <c r="J3230" s="3">
        <v>11594</v>
      </c>
      <c r="K3230" s="3">
        <v>9838</v>
      </c>
      <c r="L3230" s="1">
        <v>0</v>
      </c>
      <c r="M3230" s="4">
        <v>0</v>
      </c>
      <c r="N3230" s="3">
        <v>1756</v>
      </c>
      <c r="O3230" s="4">
        <v>0.151</v>
      </c>
      <c r="P3230" s="1" t="s">
        <v>2721</v>
      </c>
    </row>
    <row r="3231" spans="1:16">
      <c r="A3231" s="1" t="s">
        <v>649</v>
      </c>
      <c r="B3231" s="1">
        <v>11</v>
      </c>
      <c r="C3231" s="1">
        <v>25111821292254</v>
      </c>
      <c r="D3231" s="1" t="s">
        <v>3023</v>
      </c>
      <c r="E3231" s="2">
        <v>45980</v>
      </c>
      <c r="F3231" s="1" t="s">
        <v>235</v>
      </c>
      <c r="G3231" s="1" t="s">
        <v>3024</v>
      </c>
      <c r="H3231" s="1" t="s">
        <v>5904</v>
      </c>
      <c r="I3231" s="1">
        <v>1</v>
      </c>
      <c r="J3231" s="3">
        <v>22780</v>
      </c>
      <c r="K3231" s="3">
        <v>21340</v>
      </c>
      <c r="L3231" s="1">
        <v>0</v>
      </c>
      <c r="M3231" s="4">
        <v>0</v>
      </c>
      <c r="N3231" s="3">
        <v>1440</v>
      </c>
      <c r="O3231" s="4">
        <v>6.3E-2</v>
      </c>
      <c r="P3231" s="1" t="s">
        <v>2721</v>
      </c>
    </row>
    <row r="3232" spans="1:16">
      <c r="A3232" s="1" t="s">
        <v>649</v>
      </c>
      <c r="B3232" s="1">
        <v>11</v>
      </c>
      <c r="C3232" s="1">
        <v>25111817073260</v>
      </c>
      <c r="D3232" s="1" t="s">
        <v>7551</v>
      </c>
      <c r="E3232" s="2">
        <v>45980</v>
      </c>
      <c r="F3232" s="1" t="s">
        <v>689</v>
      </c>
      <c r="G3232" s="1" t="s">
        <v>7552</v>
      </c>
      <c r="H3232" s="1" t="s">
        <v>7553</v>
      </c>
      <c r="I3232" s="1">
        <v>1</v>
      </c>
      <c r="J3232" s="3">
        <v>33006</v>
      </c>
      <c r="K3232" s="3">
        <v>28140</v>
      </c>
      <c r="L3232" s="1">
        <v>0</v>
      </c>
      <c r="M3232" s="4">
        <v>0</v>
      </c>
      <c r="N3232" s="3">
        <v>4866</v>
      </c>
      <c r="O3232" s="4">
        <v>0.14699999999999999</v>
      </c>
      <c r="P3232" s="1" t="s">
        <v>2721</v>
      </c>
    </row>
    <row r="3233" spans="1:16">
      <c r="A3233" s="1" t="s">
        <v>649</v>
      </c>
      <c r="B3233" s="1">
        <v>11</v>
      </c>
      <c r="C3233" s="1">
        <v>25111815250996</v>
      </c>
      <c r="D3233" s="1" t="s">
        <v>7554</v>
      </c>
      <c r="E3233" s="2">
        <v>45980</v>
      </c>
      <c r="F3233" s="1" t="s">
        <v>235</v>
      </c>
      <c r="G3233" s="1" t="s">
        <v>7555</v>
      </c>
      <c r="H3233" s="1" t="s">
        <v>7556</v>
      </c>
      <c r="I3233" s="1">
        <v>1</v>
      </c>
      <c r="J3233" s="3">
        <v>16745</v>
      </c>
      <c r="K3233" s="3">
        <v>15663</v>
      </c>
      <c r="L3233" s="1">
        <v>0</v>
      </c>
      <c r="M3233" s="4">
        <v>0</v>
      </c>
      <c r="N3233" s="3">
        <v>1082</v>
      </c>
      <c r="O3233" s="4">
        <v>6.5000000000000002E-2</v>
      </c>
      <c r="P3233" s="1" t="s">
        <v>2721</v>
      </c>
    </row>
    <row r="3234" spans="1:16">
      <c r="A3234" s="1" t="s">
        <v>649</v>
      </c>
      <c r="B3234" s="1">
        <v>11</v>
      </c>
      <c r="C3234" s="1">
        <v>25111815250996</v>
      </c>
      <c r="D3234" s="1" t="s">
        <v>7557</v>
      </c>
      <c r="E3234" s="2">
        <v>45980</v>
      </c>
      <c r="F3234" s="1" t="s">
        <v>235</v>
      </c>
      <c r="G3234" s="1" t="s">
        <v>7558</v>
      </c>
      <c r="H3234" s="1" t="s">
        <v>7559</v>
      </c>
      <c r="I3234" s="1">
        <v>1</v>
      </c>
      <c r="J3234" s="3">
        <v>15300</v>
      </c>
      <c r="K3234" s="3">
        <v>14301</v>
      </c>
      <c r="L3234" s="1">
        <v>0</v>
      </c>
      <c r="M3234" s="4">
        <v>0</v>
      </c>
      <c r="N3234" s="1">
        <v>999</v>
      </c>
      <c r="O3234" s="4">
        <v>6.5000000000000002E-2</v>
      </c>
      <c r="P3234" s="1" t="s">
        <v>2721</v>
      </c>
    </row>
    <row r="3235" spans="1:16">
      <c r="A3235" s="1" t="s">
        <v>649</v>
      </c>
      <c r="B3235" s="1">
        <v>11</v>
      </c>
      <c r="C3235" s="1">
        <v>25111815250996</v>
      </c>
      <c r="D3235" s="1" t="s">
        <v>7560</v>
      </c>
      <c r="E3235" s="2">
        <v>45980</v>
      </c>
      <c r="F3235" s="1" t="s">
        <v>235</v>
      </c>
      <c r="G3235" s="1" t="s">
        <v>7561</v>
      </c>
      <c r="H3235" s="1" t="s">
        <v>7562</v>
      </c>
      <c r="I3235" s="1">
        <v>1</v>
      </c>
      <c r="J3235" s="3">
        <v>16745</v>
      </c>
      <c r="K3235" s="3">
        <v>15663</v>
      </c>
      <c r="L3235" s="1">
        <v>0</v>
      </c>
      <c r="M3235" s="4">
        <v>0</v>
      </c>
      <c r="N3235" s="3">
        <v>1082</v>
      </c>
      <c r="O3235" s="4">
        <v>6.5000000000000002E-2</v>
      </c>
      <c r="P3235" s="1" t="s">
        <v>2721</v>
      </c>
    </row>
    <row r="3236" spans="1:16">
      <c r="A3236" s="1" t="s">
        <v>649</v>
      </c>
      <c r="B3236" s="1">
        <v>11</v>
      </c>
      <c r="C3236" s="1">
        <v>25111815250996</v>
      </c>
      <c r="D3236" s="1" t="s">
        <v>7563</v>
      </c>
      <c r="E3236" s="2">
        <v>45980</v>
      </c>
      <c r="F3236" s="1" t="s">
        <v>235</v>
      </c>
      <c r="G3236" s="1" t="s">
        <v>7564</v>
      </c>
      <c r="H3236" s="1" t="s">
        <v>7565</v>
      </c>
      <c r="I3236" s="1">
        <v>1</v>
      </c>
      <c r="J3236" s="3">
        <v>16320</v>
      </c>
      <c r="K3236" s="3">
        <v>15266</v>
      </c>
      <c r="L3236" s="1">
        <v>0</v>
      </c>
      <c r="M3236" s="4">
        <v>0</v>
      </c>
      <c r="N3236" s="3">
        <v>1054</v>
      </c>
      <c r="O3236" s="4">
        <v>6.5000000000000002E-2</v>
      </c>
      <c r="P3236" s="1" t="s">
        <v>2721</v>
      </c>
    </row>
    <row r="3237" spans="1:16">
      <c r="A3237" s="1" t="s">
        <v>649</v>
      </c>
      <c r="B3237" s="1">
        <v>11</v>
      </c>
      <c r="C3237" s="1">
        <v>25111812022664</v>
      </c>
      <c r="D3237" s="1" t="s">
        <v>7566</v>
      </c>
      <c r="E3237" s="2">
        <v>45980</v>
      </c>
      <c r="F3237" s="1" t="s">
        <v>235</v>
      </c>
      <c r="G3237" s="1" t="s">
        <v>7567</v>
      </c>
      <c r="H3237" s="1" t="s">
        <v>7568</v>
      </c>
      <c r="I3237" s="1">
        <v>1</v>
      </c>
      <c r="J3237" s="3">
        <v>23120</v>
      </c>
      <c r="K3237" s="3">
        <v>21668</v>
      </c>
      <c r="L3237" s="1">
        <v>0</v>
      </c>
      <c r="M3237" s="4">
        <v>0</v>
      </c>
      <c r="N3237" s="3">
        <v>1452</v>
      </c>
      <c r="O3237" s="4">
        <v>6.3E-2</v>
      </c>
      <c r="P3237" s="1" t="s">
        <v>2721</v>
      </c>
    </row>
    <row r="3238" spans="1:16">
      <c r="A3238" s="1" t="s">
        <v>649</v>
      </c>
      <c r="B3238" s="1">
        <v>11</v>
      </c>
      <c r="C3238" s="1">
        <v>25111809252630</v>
      </c>
      <c r="D3238" s="1" t="s">
        <v>3432</v>
      </c>
      <c r="E3238" s="2">
        <v>45980</v>
      </c>
      <c r="F3238" s="1" t="s">
        <v>48</v>
      </c>
      <c r="G3238" s="1" t="s">
        <v>3433</v>
      </c>
      <c r="H3238" s="1" t="s">
        <v>3434</v>
      </c>
      <c r="I3238" s="1">
        <v>1</v>
      </c>
      <c r="J3238" s="3">
        <v>11594</v>
      </c>
      <c r="K3238" s="3">
        <v>9838</v>
      </c>
      <c r="L3238" s="1">
        <v>0</v>
      </c>
      <c r="M3238" s="4">
        <v>0</v>
      </c>
      <c r="N3238" s="3">
        <v>1756</v>
      </c>
      <c r="O3238" s="4">
        <v>0.151</v>
      </c>
      <c r="P3238" s="1" t="s">
        <v>2721</v>
      </c>
    </row>
    <row r="3239" spans="1:16">
      <c r="A3239" s="1" t="s">
        <v>649</v>
      </c>
      <c r="B3239" s="1">
        <v>11</v>
      </c>
      <c r="C3239" s="1">
        <v>25111809245890</v>
      </c>
      <c r="D3239" s="1" t="s">
        <v>1887</v>
      </c>
      <c r="E3239" s="2">
        <v>45980</v>
      </c>
      <c r="F3239" s="1" t="s">
        <v>1888</v>
      </c>
      <c r="G3239" s="1" t="s">
        <v>1889</v>
      </c>
      <c r="H3239" s="1" t="s">
        <v>1890</v>
      </c>
      <c r="I3239" s="1">
        <v>1</v>
      </c>
      <c r="J3239" s="3">
        <v>15045</v>
      </c>
      <c r="K3239" s="3">
        <v>14070</v>
      </c>
      <c r="L3239" s="1">
        <v>0</v>
      </c>
      <c r="M3239" s="4">
        <v>0</v>
      </c>
      <c r="N3239" s="1">
        <v>975</v>
      </c>
      <c r="O3239" s="4">
        <v>6.5000000000000002E-2</v>
      </c>
      <c r="P3239" s="1" t="s">
        <v>2721</v>
      </c>
    </row>
    <row r="3240" spans="1:16">
      <c r="A3240" s="1" t="s">
        <v>624</v>
      </c>
      <c r="B3240" s="1">
        <v>11</v>
      </c>
      <c r="C3240" s="1">
        <v>2025111712489310</v>
      </c>
      <c r="D3240" s="1" t="s">
        <v>3020</v>
      </c>
      <c r="E3240" s="2">
        <v>45980</v>
      </c>
      <c r="F3240" s="1" t="s">
        <v>48</v>
      </c>
      <c r="G3240" s="1" t="s">
        <v>3021</v>
      </c>
      <c r="H3240" s="1" t="s">
        <v>167</v>
      </c>
      <c r="I3240" s="1">
        <v>1</v>
      </c>
      <c r="J3240" s="3">
        <v>38170</v>
      </c>
      <c r="K3240" s="3">
        <v>30117</v>
      </c>
      <c r="L3240" s="3">
        <v>4962</v>
      </c>
      <c r="M3240" s="4">
        <v>0.13</v>
      </c>
      <c r="N3240" s="3">
        <v>3091</v>
      </c>
      <c r="O3240" s="4">
        <v>8.1000000000000003E-2</v>
      </c>
      <c r="P3240" s="1" t="s">
        <v>2721</v>
      </c>
    </row>
    <row r="3241" spans="1:16">
      <c r="A3241" s="1" t="s">
        <v>632</v>
      </c>
      <c r="B3241" s="1">
        <v>11</v>
      </c>
      <c r="C3241" s="1">
        <v>163448067</v>
      </c>
      <c r="D3241" s="1" t="s">
        <v>682</v>
      </c>
      <c r="E3241" s="2">
        <v>45980</v>
      </c>
      <c r="F3241" s="1" t="s">
        <v>500</v>
      </c>
      <c r="G3241" s="1" t="s">
        <v>683</v>
      </c>
      <c r="I3241" s="1">
        <v>1</v>
      </c>
      <c r="J3241" s="3">
        <v>134900</v>
      </c>
      <c r="K3241" s="3">
        <v>107500</v>
      </c>
      <c r="L3241" s="3">
        <v>14299</v>
      </c>
      <c r="M3241" s="4">
        <v>0.106</v>
      </c>
      <c r="N3241" s="3">
        <v>13100</v>
      </c>
      <c r="O3241" s="4">
        <v>9.7000000000000003E-2</v>
      </c>
      <c r="P3241" s="1" t="s">
        <v>2721</v>
      </c>
    </row>
    <row r="3242" spans="1:16">
      <c r="A3242" s="1" t="s">
        <v>632</v>
      </c>
      <c r="B3242" s="1">
        <v>11</v>
      </c>
      <c r="C3242" s="1">
        <v>163266039</v>
      </c>
      <c r="D3242" s="1" t="s">
        <v>1907</v>
      </c>
      <c r="E3242" s="2">
        <v>45980</v>
      </c>
      <c r="F3242" s="1" t="s">
        <v>235</v>
      </c>
      <c r="G3242" s="1" t="s">
        <v>1908</v>
      </c>
      <c r="I3242" s="1">
        <v>1</v>
      </c>
      <c r="J3242" s="3">
        <v>29900</v>
      </c>
      <c r="K3242" s="3">
        <v>24774</v>
      </c>
      <c r="L3242" s="3">
        <v>3169</v>
      </c>
      <c r="M3242" s="4">
        <v>0.106</v>
      </c>
      <c r="N3242" s="3">
        <v>1957</v>
      </c>
      <c r="O3242" s="4">
        <v>6.5000000000000002E-2</v>
      </c>
      <c r="P3242" s="1" t="s">
        <v>2721</v>
      </c>
    </row>
    <row r="3243" spans="1:16">
      <c r="A3243" s="1" t="s">
        <v>632</v>
      </c>
      <c r="B3243" s="1">
        <v>11</v>
      </c>
      <c r="C3243" s="1">
        <v>163068733</v>
      </c>
      <c r="D3243" s="1" t="s">
        <v>7569</v>
      </c>
      <c r="E3243" s="2">
        <v>45980</v>
      </c>
      <c r="F3243" s="1" t="s">
        <v>200</v>
      </c>
      <c r="G3243" s="1" t="s">
        <v>7570</v>
      </c>
      <c r="I3243" s="1">
        <v>1</v>
      </c>
      <c r="J3243" s="3">
        <v>37000</v>
      </c>
      <c r="K3243" s="3">
        <v>30016</v>
      </c>
      <c r="L3243" s="3">
        <v>3922</v>
      </c>
      <c r="M3243" s="4">
        <v>0.106</v>
      </c>
      <c r="N3243" s="3">
        <v>3062</v>
      </c>
      <c r="O3243" s="4">
        <v>8.3000000000000004E-2</v>
      </c>
      <c r="P3243" s="1" t="s">
        <v>2721</v>
      </c>
    </row>
    <row r="3244" spans="1:16">
      <c r="A3244" s="1" t="s">
        <v>632</v>
      </c>
      <c r="B3244" s="1">
        <v>11</v>
      </c>
      <c r="C3244" s="1">
        <v>163464553</v>
      </c>
      <c r="D3244" s="1" t="s">
        <v>682</v>
      </c>
      <c r="E3244" s="2">
        <v>45980</v>
      </c>
      <c r="F3244" s="1" t="s">
        <v>500</v>
      </c>
      <c r="G3244" s="1" t="s">
        <v>683</v>
      </c>
      <c r="I3244" s="1">
        <v>1</v>
      </c>
      <c r="J3244" s="3">
        <v>134900</v>
      </c>
      <c r="K3244" s="3">
        <v>107500</v>
      </c>
      <c r="L3244" s="3">
        <v>14299</v>
      </c>
      <c r="M3244" s="4">
        <v>0.106</v>
      </c>
      <c r="N3244" s="3">
        <v>13100</v>
      </c>
      <c r="O3244" s="4">
        <v>9.7000000000000003E-2</v>
      </c>
      <c r="P3244" s="1" t="s">
        <v>2721</v>
      </c>
    </row>
    <row r="3245" spans="1:16">
      <c r="A3245" s="1" t="s">
        <v>1917</v>
      </c>
      <c r="B3245" s="1">
        <v>11</v>
      </c>
      <c r="C3245" s="1">
        <v>1.1741176343841001E+20</v>
      </c>
      <c r="D3245" s="1" t="s">
        <v>7571</v>
      </c>
      <c r="E3245" s="2">
        <v>45980</v>
      </c>
      <c r="F3245" s="1" t="s">
        <v>2683</v>
      </c>
      <c r="G3245" s="1" t="s">
        <v>7572</v>
      </c>
      <c r="H3245" s="1" t="s">
        <v>7573</v>
      </c>
      <c r="I3245" s="1">
        <v>1</v>
      </c>
      <c r="J3245" s="3">
        <v>85860</v>
      </c>
      <c r="K3245" s="3">
        <v>65660</v>
      </c>
      <c r="L3245" s="1">
        <v>0</v>
      </c>
      <c r="M3245" s="4">
        <v>0</v>
      </c>
      <c r="N3245" s="3">
        <v>20200</v>
      </c>
      <c r="O3245" s="4">
        <v>0.23499999999999999</v>
      </c>
      <c r="P3245" s="1" t="s">
        <v>2721</v>
      </c>
    </row>
    <row r="3246" spans="1:16">
      <c r="A3246" s="1" t="s">
        <v>1917</v>
      </c>
      <c r="B3246" s="1">
        <v>11</v>
      </c>
      <c r="C3246" s="1">
        <v>1.17391763431104E+20</v>
      </c>
      <c r="D3246" s="1" t="s">
        <v>1938</v>
      </c>
      <c r="E3246" s="2">
        <v>45980</v>
      </c>
      <c r="F3246" s="1" t="s">
        <v>43</v>
      </c>
      <c r="G3246" s="1" t="s">
        <v>1939</v>
      </c>
      <c r="H3246" s="1" t="s">
        <v>1940</v>
      </c>
      <c r="I3246" s="1">
        <v>1</v>
      </c>
      <c r="J3246" s="3">
        <v>21690</v>
      </c>
      <c r="K3246" s="3">
        <v>19229</v>
      </c>
      <c r="L3246" s="1">
        <v>0</v>
      </c>
      <c r="M3246" s="4">
        <v>0</v>
      </c>
      <c r="N3246" s="3">
        <v>2461</v>
      </c>
      <c r="O3246" s="4">
        <v>0.113</v>
      </c>
      <c r="P3246" s="1" t="s">
        <v>2721</v>
      </c>
    </row>
    <row r="3247" spans="1:16">
      <c r="A3247" s="1" t="s">
        <v>1917</v>
      </c>
      <c r="B3247" s="1">
        <v>11</v>
      </c>
      <c r="C3247" s="1">
        <v>1.1734176342576E+20</v>
      </c>
      <c r="D3247" s="1" t="s">
        <v>3088</v>
      </c>
      <c r="E3247" s="2">
        <v>45980</v>
      </c>
      <c r="F3247" s="1" t="s">
        <v>235</v>
      </c>
      <c r="G3247" s="1" t="s">
        <v>3089</v>
      </c>
      <c r="H3247" s="1" t="s">
        <v>3090</v>
      </c>
      <c r="I3247" s="1">
        <v>2</v>
      </c>
      <c r="J3247" s="3">
        <v>29700</v>
      </c>
      <c r="K3247" s="3">
        <v>27202</v>
      </c>
      <c r="L3247" s="1">
        <v>0</v>
      </c>
      <c r="M3247" s="4">
        <v>0</v>
      </c>
      <c r="N3247" s="3">
        <v>2498</v>
      </c>
      <c r="O3247" s="4">
        <v>8.4000000000000005E-2</v>
      </c>
      <c r="P3247" s="1" t="s">
        <v>2721</v>
      </c>
    </row>
    <row r="3248" spans="1:16">
      <c r="A3248" s="1" t="s">
        <v>1849</v>
      </c>
      <c r="B3248" s="1">
        <v>11</v>
      </c>
      <c r="C3248" s="1">
        <v>296959</v>
      </c>
      <c r="D3248" s="1" t="s">
        <v>3441</v>
      </c>
      <c r="E3248" s="2">
        <v>45980</v>
      </c>
      <c r="F3248" s="1" t="s">
        <v>1411</v>
      </c>
      <c r="G3248" s="1" t="s">
        <v>3442</v>
      </c>
      <c r="H3248" s="1" t="s">
        <v>3443</v>
      </c>
      <c r="I3248" s="1">
        <v>1</v>
      </c>
      <c r="J3248" s="3">
        <v>21100</v>
      </c>
      <c r="K3248" s="3">
        <v>16396</v>
      </c>
      <c r="L3248" s="3">
        <v>3165</v>
      </c>
      <c r="M3248" s="4">
        <v>0.15</v>
      </c>
      <c r="N3248" s="3">
        <v>1539</v>
      </c>
      <c r="O3248" s="4">
        <v>7.2999999999999995E-2</v>
      </c>
      <c r="P3248" s="1" t="s">
        <v>2721</v>
      </c>
    </row>
    <row r="3249" spans="1:16">
      <c r="A3249" s="1" t="s">
        <v>1849</v>
      </c>
      <c r="B3249" s="1">
        <v>11</v>
      </c>
      <c r="C3249" s="1">
        <v>296947</v>
      </c>
      <c r="D3249" s="1" t="s">
        <v>3441</v>
      </c>
      <c r="E3249" s="2">
        <v>45980</v>
      </c>
      <c r="F3249" s="1" t="s">
        <v>1411</v>
      </c>
      <c r="G3249" s="1" t="s">
        <v>3442</v>
      </c>
      <c r="H3249" s="1" t="s">
        <v>3443</v>
      </c>
      <c r="I3249" s="1">
        <v>1</v>
      </c>
      <c r="J3249" s="3">
        <v>21100</v>
      </c>
      <c r="K3249" s="3">
        <v>16396</v>
      </c>
      <c r="L3249" s="3">
        <v>3165</v>
      </c>
      <c r="M3249" s="4">
        <v>0.15</v>
      </c>
      <c r="N3249" s="3">
        <v>1539</v>
      </c>
      <c r="O3249" s="4">
        <v>7.2999999999999995E-2</v>
      </c>
      <c r="P3249" s="1" t="s">
        <v>2721</v>
      </c>
    </row>
    <row r="3250" spans="1:16">
      <c r="A3250" s="1" t="s">
        <v>1849</v>
      </c>
      <c r="B3250" s="1">
        <v>11</v>
      </c>
      <c r="C3250" s="1">
        <v>295349</v>
      </c>
      <c r="D3250" s="1" t="s">
        <v>3032</v>
      </c>
      <c r="E3250" s="2">
        <v>45980</v>
      </c>
      <c r="F3250" s="1" t="s">
        <v>3033</v>
      </c>
      <c r="G3250" s="1" t="s">
        <v>3034</v>
      </c>
      <c r="H3250" s="1" t="s">
        <v>3035</v>
      </c>
      <c r="I3250" s="1">
        <v>1</v>
      </c>
      <c r="J3250" s="3">
        <v>41900</v>
      </c>
      <c r="K3250" s="3">
        <v>32192</v>
      </c>
      <c r="L3250" s="3">
        <v>6285</v>
      </c>
      <c r="M3250" s="4">
        <v>0.15</v>
      </c>
      <c r="N3250" s="3">
        <v>3423</v>
      </c>
      <c r="O3250" s="4">
        <v>8.2000000000000003E-2</v>
      </c>
      <c r="P3250" s="1" t="s">
        <v>2721</v>
      </c>
    </row>
    <row r="3251" spans="1:16">
      <c r="A3251" s="1" t="s">
        <v>692</v>
      </c>
      <c r="B3251" s="1">
        <v>11</v>
      </c>
      <c r="C3251" s="1" t="s">
        <v>7574</v>
      </c>
      <c r="D3251" s="1" t="s">
        <v>7575</v>
      </c>
      <c r="E3251" s="2">
        <v>45980</v>
      </c>
      <c r="F3251" s="1" t="s">
        <v>96</v>
      </c>
      <c r="G3251" s="1" t="s">
        <v>7576</v>
      </c>
      <c r="H3251" s="1" t="s">
        <v>1127</v>
      </c>
      <c r="I3251" s="1">
        <v>1</v>
      </c>
      <c r="J3251" s="3">
        <v>10540</v>
      </c>
      <c r="K3251" s="3">
        <v>9406</v>
      </c>
      <c r="L3251" s="1">
        <v>0</v>
      </c>
      <c r="M3251" s="4">
        <v>0</v>
      </c>
      <c r="N3251" s="3">
        <v>1134</v>
      </c>
      <c r="O3251" s="4">
        <v>0.108</v>
      </c>
      <c r="P3251" s="1" t="s">
        <v>2721</v>
      </c>
    </row>
    <row r="3252" spans="1:16">
      <c r="A3252" s="1" t="s">
        <v>692</v>
      </c>
      <c r="B3252" s="1">
        <v>11</v>
      </c>
      <c r="C3252" s="1" t="s">
        <v>7577</v>
      </c>
      <c r="D3252" s="1" t="s">
        <v>699</v>
      </c>
      <c r="E3252" s="2">
        <v>45980</v>
      </c>
      <c r="F3252" s="1" t="s">
        <v>96</v>
      </c>
      <c r="G3252" s="1" t="s">
        <v>700</v>
      </c>
      <c r="H3252" s="1" t="s">
        <v>701</v>
      </c>
      <c r="I3252" s="1">
        <v>1</v>
      </c>
      <c r="J3252" s="3">
        <v>10795</v>
      </c>
      <c r="K3252" s="3">
        <v>9488</v>
      </c>
      <c r="L3252" s="1">
        <v>0</v>
      </c>
      <c r="M3252" s="4">
        <v>0</v>
      </c>
      <c r="N3252" s="3">
        <v>1307</v>
      </c>
      <c r="O3252" s="4">
        <v>0.121</v>
      </c>
      <c r="P3252" s="1" t="s">
        <v>2721</v>
      </c>
    </row>
    <row r="3253" spans="1:16">
      <c r="A3253" s="1" t="s">
        <v>2033</v>
      </c>
      <c r="B3253" s="1">
        <v>11</v>
      </c>
      <c r="C3253" s="1">
        <v>2.0251118183730099E+18</v>
      </c>
      <c r="D3253" s="1" t="s">
        <v>7578</v>
      </c>
      <c r="E3253" s="2">
        <v>45980</v>
      </c>
      <c r="F3253" s="1" t="s">
        <v>187</v>
      </c>
      <c r="G3253" s="1" t="s">
        <v>7579</v>
      </c>
      <c r="H3253" s="1" t="s">
        <v>7580</v>
      </c>
      <c r="I3253" s="1">
        <v>1</v>
      </c>
      <c r="J3253" s="3">
        <v>26265</v>
      </c>
      <c r="K3253" s="3">
        <v>23733</v>
      </c>
      <c r="L3253" s="1">
        <v>0</v>
      </c>
      <c r="M3253" s="4">
        <v>0</v>
      </c>
      <c r="N3253" s="3">
        <v>2532</v>
      </c>
      <c r="O3253" s="4">
        <v>9.6000000000000002E-2</v>
      </c>
      <c r="P3253" s="1" t="s">
        <v>2721</v>
      </c>
    </row>
    <row r="3254" spans="1:16">
      <c r="A3254" s="1" t="s">
        <v>702</v>
      </c>
      <c r="B3254" s="1">
        <v>11</v>
      </c>
      <c r="C3254" s="1" t="s">
        <v>7581</v>
      </c>
      <c r="D3254" s="1" t="s">
        <v>2045</v>
      </c>
      <c r="E3254" s="2">
        <v>45980</v>
      </c>
      <c r="F3254" s="1" t="s">
        <v>256</v>
      </c>
      <c r="G3254" s="1" t="s">
        <v>2046</v>
      </c>
      <c r="H3254" s="1" t="s">
        <v>2047</v>
      </c>
      <c r="I3254" s="1">
        <v>2</v>
      </c>
      <c r="J3254" s="3">
        <v>35000</v>
      </c>
      <c r="K3254" s="3">
        <v>26826</v>
      </c>
      <c r="L3254" s="1">
        <v>0</v>
      </c>
      <c r="M3254" s="4">
        <v>0</v>
      </c>
      <c r="N3254" s="3">
        <v>8174</v>
      </c>
      <c r="O3254" s="4">
        <v>0.23400000000000001</v>
      </c>
      <c r="P3254" s="1" t="s">
        <v>2721</v>
      </c>
    </row>
    <row r="3255" spans="1:16">
      <c r="A3255" s="1" t="s">
        <v>707</v>
      </c>
      <c r="B3255" s="1">
        <v>11</v>
      </c>
      <c r="C3255" s="1">
        <v>2.02511181942464E+17</v>
      </c>
      <c r="D3255" s="1" t="s">
        <v>7582</v>
      </c>
      <c r="E3255" s="2">
        <v>45980</v>
      </c>
      <c r="F3255" s="1" t="s">
        <v>664</v>
      </c>
      <c r="G3255" s="1" t="s">
        <v>7583</v>
      </c>
      <c r="H3255" s="1" t="s">
        <v>7584</v>
      </c>
      <c r="I3255" s="1">
        <v>1</v>
      </c>
      <c r="J3255" s="3">
        <v>14900</v>
      </c>
      <c r="K3255" s="3">
        <v>11725</v>
      </c>
      <c r="L3255" s="3">
        <v>2235</v>
      </c>
      <c r="M3255" s="4">
        <v>0.15</v>
      </c>
      <c r="N3255" s="1">
        <v>940</v>
      </c>
      <c r="O3255" s="4">
        <v>6.3E-2</v>
      </c>
      <c r="P3255" s="1" t="s">
        <v>2721</v>
      </c>
    </row>
    <row r="3256" spans="1:16">
      <c r="A3256" s="1" t="s">
        <v>707</v>
      </c>
      <c r="B3256" s="1">
        <v>11</v>
      </c>
      <c r="C3256" s="1">
        <v>2.0251119072902E+17</v>
      </c>
      <c r="D3256" s="1" t="s">
        <v>2071</v>
      </c>
      <c r="E3256" s="2">
        <v>45980</v>
      </c>
      <c r="F3256" s="1" t="s">
        <v>235</v>
      </c>
      <c r="G3256" s="1" t="s">
        <v>2072</v>
      </c>
      <c r="H3256" s="1" t="s">
        <v>2073</v>
      </c>
      <c r="I3256" s="1">
        <v>1</v>
      </c>
      <c r="J3256" s="3">
        <v>9800</v>
      </c>
      <c r="K3256" s="3">
        <v>7739</v>
      </c>
      <c r="L3256" s="3">
        <v>1470</v>
      </c>
      <c r="M3256" s="4">
        <v>0.15</v>
      </c>
      <c r="N3256" s="1">
        <v>591</v>
      </c>
      <c r="O3256" s="4">
        <v>0.06</v>
      </c>
      <c r="P3256" s="1" t="s">
        <v>2721</v>
      </c>
    </row>
    <row r="3257" spans="1:16">
      <c r="A3257" s="1" t="s">
        <v>707</v>
      </c>
      <c r="B3257" s="1">
        <v>11</v>
      </c>
      <c r="C3257" s="1">
        <v>2.0251119073116E+17</v>
      </c>
      <c r="D3257" s="1" t="s">
        <v>2071</v>
      </c>
      <c r="E3257" s="2">
        <v>45980</v>
      </c>
      <c r="F3257" s="1" t="s">
        <v>235</v>
      </c>
      <c r="G3257" s="1" t="s">
        <v>2072</v>
      </c>
      <c r="H3257" s="1" t="s">
        <v>2073</v>
      </c>
      <c r="I3257" s="1">
        <v>1</v>
      </c>
      <c r="J3257" s="3">
        <v>9800</v>
      </c>
      <c r="K3257" s="3">
        <v>7739</v>
      </c>
      <c r="L3257" s="3">
        <v>1470</v>
      </c>
      <c r="M3257" s="4">
        <v>0.15</v>
      </c>
      <c r="N3257" s="1">
        <v>591</v>
      </c>
      <c r="O3257" s="4">
        <v>0.06</v>
      </c>
      <c r="P3257" s="1" t="s">
        <v>2721</v>
      </c>
    </row>
    <row r="3258" spans="1:16">
      <c r="A3258" s="1" t="s">
        <v>707</v>
      </c>
      <c r="B3258" s="1">
        <v>11</v>
      </c>
      <c r="C3258" s="1">
        <v>2.0251119073316E+17</v>
      </c>
      <c r="D3258" s="1" t="s">
        <v>2071</v>
      </c>
      <c r="E3258" s="2">
        <v>45980</v>
      </c>
      <c r="F3258" s="1" t="s">
        <v>235</v>
      </c>
      <c r="G3258" s="1" t="s">
        <v>2072</v>
      </c>
      <c r="H3258" s="1" t="s">
        <v>2073</v>
      </c>
      <c r="I3258" s="1">
        <v>1</v>
      </c>
      <c r="J3258" s="3">
        <v>9800</v>
      </c>
      <c r="K3258" s="3">
        <v>7739</v>
      </c>
      <c r="L3258" s="3">
        <v>1470</v>
      </c>
      <c r="M3258" s="4">
        <v>0.15</v>
      </c>
      <c r="N3258" s="1">
        <v>591</v>
      </c>
      <c r="O3258" s="4">
        <v>0.06</v>
      </c>
      <c r="P3258" s="1" t="s">
        <v>2721</v>
      </c>
    </row>
    <row r="3259" spans="1:16">
      <c r="A3259" s="1" t="s">
        <v>707</v>
      </c>
      <c r="B3259" s="1">
        <v>11</v>
      </c>
      <c r="C3259" s="1">
        <v>2.0251119073404E+17</v>
      </c>
      <c r="D3259" s="1" t="s">
        <v>2071</v>
      </c>
      <c r="E3259" s="2">
        <v>45980</v>
      </c>
      <c r="F3259" s="1" t="s">
        <v>235</v>
      </c>
      <c r="G3259" s="1" t="s">
        <v>2072</v>
      </c>
      <c r="H3259" s="1" t="s">
        <v>2073</v>
      </c>
      <c r="I3259" s="1">
        <v>1</v>
      </c>
      <c r="J3259" s="3">
        <v>9800</v>
      </c>
      <c r="K3259" s="3">
        <v>7739</v>
      </c>
      <c r="L3259" s="3">
        <v>1470</v>
      </c>
      <c r="M3259" s="4">
        <v>0.15</v>
      </c>
      <c r="N3259" s="1">
        <v>591</v>
      </c>
      <c r="O3259" s="4">
        <v>0.06</v>
      </c>
      <c r="P3259" s="1" t="s">
        <v>2721</v>
      </c>
    </row>
    <row r="3260" spans="1:16">
      <c r="A3260" s="1" t="s">
        <v>711</v>
      </c>
      <c r="B3260" s="1">
        <v>11</v>
      </c>
      <c r="C3260" s="1">
        <v>2.0251118132531699E+17</v>
      </c>
      <c r="D3260" s="1" t="s">
        <v>2086</v>
      </c>
      <c r="E3260" s="2">
        <v>45980</v>
      </c>
      <c r="F3260" s="1" t="s">
        <v>58</v>
      </c>
      <c r="G3260" s="1" t="s">
        <v>2087</v>
      </c>
      <c r="H3260" s="1" t="s">
        <v>2088</v>
      </c>
      <c r="I3260" s="1">
        <v>1</v>
      </c>
      <c r="J3260" s="3">
        <v>28000</v>
      </c>
      <c r="K3260" s="3">
        <v>20167</v>
      </c>
      <c r="L3260" s="3">
        <v>4200</v>
      </c>
      <c r="M3260" s="4">
        <v>0.15</v>
      </c>
      <c r="N3260" s="3">
        <v>3633</v>
      </c>
      <c r="O3260" s="4">
        <v>0.13</v>
      </c>
      <c r="P3260" s="1" t="s">
        <v>2721</v>
      </c>
    </row>
    <row r="3261" spans="1:16">
      <c r="A3261" s="1" t="s">
        <v>711</v>
      </c>
      <c r="B3261" s="1">
        <v>11</v>
      </c>
      <c r="C3261" s="1">
        <v>2.0251118144212998E+17</v>
      </c>
      <c r="D3261" s="1" t="s">
        <v>4492</v>
      </c>
      <c r="E3261" s="2">
        <v>45980</v>
      </c>
      <c r="F3261" s="1" t="s">
        <v>58</v>
      </c>
      <c r="G3261" s="1" t="s">
        <v>4493</v>
      </c>
      <c r="H3261" s="1" t="s">
        <v>4494</v>
      </c>
      <c r="I3261" s="1">
        <v>1</v>
      </c>
      <c r="J3261" s="3">
        <v>21900</v>
      </c>
      <c r="K3261" s="3">
        <v>11256</v>
      </c>
      <c r="L3261" s="3">
        <v>3285</v>
      </c>
      <c r="M3261" s="4">
        <v>0.15</v>
      </c>
      <c r="N3261" s="3">
        <v>7359</v>
      </c>
      <c r="O3261" s="4">
        <v>0.33600000000000002</v>
      </c>
      <c r="P3261" s="1" t="s">
        <v>2721</v>
      </c>
    </row>
    <row r="3262" spans="1:16">
      <c r="A3262" s="1" t="s">
        <v>711</v>
      </c>
      <c r="B3262" s="1">
        <v>11</v>
      </c>
      <c r="C3262" s="1">
        <v>2.0251118215351002E+17</v>
      </c>
      <c r="D3262" s="1" t="s">
        <v>715</v>
      </c>
      <c r="E3262" s="2">
        <v>45980</v>
      </c>
      <c r="F3262" s="1" t="s">
        <v>500</v>
      </c>
      <c r="G3262" s="1" t="s">
        <v>716</v>
      </c>
      <c r="H3262" s="1" t="s">
        <v>717</v>
      </c>
      <c r="I3262" s="1">
        <v>1</v>
      </c>
      <c r="J3262" s="3">
        <v>136900</v>
      </c>
      <c r="K3262" s="3">
        <v>111200</v>
      </c>
      <c r="L3262" s="3">
        <v>20535</v>
      </c>
      <c r="M3262" s="4">
        <v>0.15</v>
      </c>
      <c r="N3262" s="3">
        <v>5165</v>
      </c>
      <c r="O3262" s="4">
        <v>3.7999999999999999E-2</v>
      </c>
      <c r="P3262" s="1" t="s">
        <v>2721</v>
      </c>
    </row>
    <row r="3263" spans="1:16">
      <c r="A3263" s="1" t="s">
        <v>718</v>
      </c>
      <c r="B3263" s="1">
        <v>11</v>
      </c>
      <c r="C3263" s="1">
        <v>2.0251119045219002E+17</v>
      </c>
      <c r="D3263" s="1" t="s">
        <v>1941</v>
      </c>
      <c r="E3263" s="2">
        <v>45980</v>
      </c>
      <c r="F3263" s="1" t="s">
        <v>235</v>
      </c>
      <c r="G3263" s="1" t="s">
        <v>1942</v>
      </c>
      <c r="H3263" s="1" t="s">
        <v>7251</v>
      </c>
      <c r="I3263" s="1">
        <v>1</v>
      </c>
      <c r="J3263" s="3">
        <v>24900</v>
      </c>
      <c r="K3263" s="3">
        <v>21340</v>
      </c>
      <c r="L3263" s="3">
        <v>2490</v>
      </c>
      <c r="M3263" s="4">
        <v>0.1</v>
      </c>
      <c r="N3263" s="3">
        <v>1070</v>
      </c>
      <c r="O3263" s="4">
        <v>4.2999999999999997E-2</v>
      </c>
      <c r="P3263" s="1" t="s">
        <v>2721</v>
      </c>
    </row>
    <row r="3264" spans="1:16">
      <c r="A3264" s="1" t="s">
        <v>718</v>
      </c>
      <c r="B3264" s="1">
        <v>11</v>
      </c>
      <c r="C3264" s="1">
        <v>2.02511182020456E+17</v>
      </c>
      <c r="D3264" s="1" t="s">
        <v>2096</v>
      </c>
      <c r="E3264" s="2">
        <v>45980</v>
      </c>
      <c r="F3264" s="1" t="s">
        <v>1935</v>
      </c>
      <c r="G3264" s="1" t="s">
        <v>2097</v>
      </c>
      <c r="H3264" s="1" t="s">
        <v>2098</v>
      </c>
      <c r="I3264" s="1">
        <v>1</v>
      </c>
      <c r="J3264" s="3">
        <v>10000</v>
      </c>
      <c r="K3264" s="3">
        <v>7504</v>
      </c>
      <c r="L3264" s="3">
        <v>1000</v>
      </c>
      <c r="M3264" s="4">
        <v>0.1</v>
      </c>
      <c r="N3264" s="3">
        <v>1496</v>
      </c>
      <c r="O3264" s="4">
        <v>0.15</v>
      </c>
      <c r="P3264" s="1" t="s">
        <v>2721</v>
      </c>
    </row>
    <row r="3265" spans="1:16">
      <c r="A3265" s="1" t="s">
        <v>718</v>
      </c>
      <c r="B3265" s="1">
        <v>11</v>
      </c>
      <c r="C3265" s="1">
        <v>2.02511181942236E+17</v>
      </c>
      <c r="D3265" s="1" t="s">
        <v>2096</v>
      </c>
      <c r="E3265" s="2">
        <v>45980</v>
      </c>
      <c r="F3265" s="1" t="s">
        <v>1935</v>
      </c>
      <c r="G3265" s="1" t="s">
        <v>2097</v>
      </c>
      <c r="H3265" s="1" t="s">
        <v>2098</v>
      </c>
      <c r="I3265" s="1">
        <v>1</v>
      </c>
      <c r="J3265" s="3">
        <v>10000</v>
      </c>
      <c r="K3265" s="3">
        <v>7504</v>
      </c>
      <c r="L3265" s="3">
        <v>1000</v>
      </c>
      <c r="M3265" s="4">
        <v>0.1</v>
      </c>
      <c r="N3265" s="3">
        <v>1496</v>
      </c>
      <c r="O3265" s="4">
        <v>0.15</v>
      </c>
      <c r="P3265" s="1" t="s">
        <v>2721</v>
      </c>
    </row>
    <row r="3266" spans="1:16">
      <c r="A3266" s="1" t="s">
        <v>718</v>
      </c>
      <c r="B3266" s="1">
        <v>11</v>
      </c>
      <c r="C3266" s="1">
        <v>2.02511181626068E+17</v>
      </c>
      <c r="D3266" s="1" t="s">
        <v>719</v>
      </c>
      <c r="E3266" s="2">
        <v>45980</v>
      </c>
      <c r="F3266" s="1" t="s">
        <v>239</v>
      </c>
      <c r="G3266" s="1" t="s">
        <v>720</v>
      </c>
      <c r="H3266" s="1" t="s">
        <v>721</v>
      </c>
      <c r="I3266" s="1">
        <v>1</v>
      </c>
      <c r="J3266" s="3">
        <v>13900</v>
      </c>
      <c r="K3266" s="3">
        <v>10787</v>
      </c>
      <c r="L3266" s="3">
        <v>1390</v>
      </c>
      <c r="M3266" s="4">
        <v>0.1</v>
      </c>
      <c r="N3266" s="3">
        <v>1723</v>
      </c>
      <c r="O3266" s="4">
        <v>0.124</v>
      </c>
      <c r="P3266" s="1" t="s">
        <v>2721</v>
      </c>
    </row>
    <row r="3267" spans="1:16">
      <c r="A3267" s="1" t="s">
        <v>733</v>
      </c>
      <c r="B3267" s="1">
        <v>11</v>
      </c>
      <c r="C3267" s="1" t="s">
        <v>7585</v>
      </c>
      <c r="D3267" s="1" t="s">
        <v>7586</v>
      </c>
      <c r="E3267" s="2">
        <v>45980</v>
      </c>
      <c r="F3267" s="1" t="s">
        <v>96</v>
      </c>
      <c r="G3267" s="1" t="s">
        <v>7587</v>
      </c>
      <c r="I3267" s="1">
        <v>1</v>
      </c>
      <c r="J3267" s="3">
        <v>10900</v>
      </c>
      <c r="K3267" s="3">
        <v>9406</v>
      </c>
      <c r="L3267" s="1">
        <v>0</v>
      </c>
      <c r="M3267" s="4">
        <v>0</v>
      </c>
      <c r="N3267" s="3">
        <v>1494</v>
      </c>
      <c r="O3267" s="4">
        <v>0.13700000000000001</v>
      </c>
      <c r="P3267" s="1" t="s">
        <v>2721</v>
      </c>
    </row>
    <row r="3268" spans="1:16">
      <c r="A3268" s="1" t="s">
        <v>739</v>
      </c>
      <c r="B3268" s="1">
        <v>11</v>
      </c>
      <c r="C3268" s="1">
        <v>31454470</v>
      </c>
      <c r="D3268" s="1" t="s">
        <v>2134</v>
      </c>
      <c r="E3268" s="2">
        <v>45980</v>
      </c>
      <c r="F3268" s="1" t="s">
        <v>517</v>
      </c>
      <c r="G3268" s="1" t="s">
        <v>2135</v>
      </c>
      <c r="H3268" s="1" t="s">
        <v>2136</v>
      </c>
      <c r="I3268" s="1">
        <v>1</v>
      </c>
      <c r="J3268" s="3">
        <v>29000</v>
      </c>
      <c r="K3268" s="3">
        <v>21574</v>
      </c>
      <c r="L3268" s="3">
        <v>3828</v>
      </c>
      <c r="M3268" s="4">
        <v>0.13200000000000001</v>
      </c>
      <c r="N3268" s="3">
        <v>3598</v>
      </c>
      <c r="O3268" s="4">
        <v>0.124</v>
      </c>
      <c r="P3268" s="1" t="s">
        <v>2721</v>
      </c>
    </row>
    <row r="3269" spans="1:16">
      <c r="A3269" s="1" t="s">
        <v>739</v>
      </c>
      <c r="B3269" s="1">
        <v>11</v>
      </c>
      <c r="C3269" s="1">
        <v>31458547</v>
      </c>
      <c r="D3269" s="1" t="s">
        <v>7588</v>
      </c>
      <c r="E3269" s="2">
        <v>45980</v>
      </c>
      <c r="F3269" s="1" t="s">
        <v>63</v>
      </c>
      <c r="G3269" s="1" t="s">
        <v>7589</v>
      </c>
      <c r="H3269" s="1" t="s">
        <v>1361</v>
      </c>
      <c r="I3269" s="1">
        <v>1</v>
      </c>
      <c r="J3269" s="3">
        <v>36800</v>
      </c>
      <c r="K3269" s="3">
        <v>25400</v>
      </c>
      <c r="L3269" s="3">
        <v>4858</v>
      </c>
      <c r="M3269" s="4">
        <v>0.13200000000000001</v>
      </c>
      <c r="N3269" s="3">
        <v>6542</v>
      </c>
      <c r="O3269" s="4">
        <v>0.17799999999999999</v>
      </c>
      <c r="P3269" s="1" t="s">
        <v>2721</v>
      </c>
    </row>
    <row r="3270" spans="1:16">
      <c r="A3270" s="1" t="s">
        <v>756</v>
      </c>
      <c r="B3270" s="1">
        <v>11</v>
      </c>
      <c r="C3270" s="1" t="s">
        <v>7590</v>
      </c>
      <c r="D3270" s="1" t="s">
        <v>7591</v>
      </c>
      <c r="E3270" s="2">
        <v>45980</v>
      </c>
      <c r="F3270" s="1" t="s">
        <v>43</v>
      </c>
      <c r="G3270" s="1" t="s">
        <v>7592</v>
      </c>
      <c r="H3270" s="1" t="s">
        <v>7593</v>
      </c>
      <c r="I3270" s="1">
        <v>1</v>
      </c>
      <c r="J3270" s="3">
        <v>20150</v>
      </c>
      <c r="K3270" s="3">
        <v>19229</v>
      </c>
      <c r="L3270" s="1">
        <v>0</v>
      </c>
      <c r="M3270" s="4">
        <v>0</v>
      </c>
      <c r="N3270" s="1">
        <v>921</v>
      </c>
      <c r="O3270" s="4">
        <v>4.5999999999999999E-2</v>
      </c>
      <c r="P3270" s="1" t="s">
        <v>2723</v>
      </c>
    </row>
    <row r="3271" spans="1:16">
      <c r="A3271" s="1" t="s">
        <v>2179</v>
      </c>
      <c r="B3271" s="1">
        <v>11</v>
      </c>
      <c r="C3271" s="1">
        <v>2.02511182044221E+18</v>
      </c>
      <c r="D3271" s="1" t="s">
        <v>7594</v>
      </c>
      <c r="E3271" s="2">
        <v>45980</v>
      </c>
      <c r="F3271" s="1" t="s">
        <v>524</v>
      </c>
      <c r="G3271" s="1" t="s">
        <v>7595</v>
      </c>
      <c r="H3271" s="1" t="s">
        <v>7596</v>
      </c>
      <c r="I3271" s="1">
        <v>1</v>
      </c>
      <c r="J3271" s="3">
        <v>14400</v>
      </c>
      <c r="K3271" s="3">
        <v>13520</v>
      </c>
      <c r="L3271" s="1">
        <v>0</v>
      </c>
      <c r="M3271" s="4">
        <v>0</v>
      </c>
      <c r="N3271" s="1">
        <v>880</v>
      </c>
      <c r="O3271" s="4">
        <v>6.0999999999999999E-2</v>
      </c>
      <c r="P3271" s="1" t="s">
        <v>2723</v>
      </c>
    </row>
    <row r="3272" spans="1:16">
      <c r="A3272" s="1" t="s">
        <v>2179</v>
      </c>
      <c r="B3272" s="1">
        <v>11</v>
      </c>
      <c r="C3272" s="1">
        <v>2.0251118203553101E+18</v>
      </c>
      <c r="D3272" s="1" t="s">
        <v>7594</v>
      </c>
      <c r="E3272" s="2">
        <v>45980</v>
      </c>
      <c r="F3272" s="1" t="s">
        <v>524</v>
      </c>
      <c r="G3272" s="1" t="s">
        <v>7595</v>
      </c>
      <c r="H3272" s="1" t="s">
        <v>7596</v>
      </c>
      <c r="I3272" s="1">
        <v>1</v>
      </c>
      <c r="J3272" s="3">
        <v>14400</v>
      </c>
      <c r="K3272" s="3">
        <v>13520</v>
      </c>
      <c r="L3272" s="1">
        <v>0</v>
      </c>
      <c r="M3272" s="4">
        <v>0</v>
      </c>
      <c r="N3272" s="1">
        <v>880</v>
      </c>
      <c r="O3272" s="4">
        <v>6.0999999999999999E-2</v>
      </c>
      <c r="P3272" s="1" t="s">
        <v>2723</v>
      </c>
    </row>
    <row r="3273" spans="1:16">
      <c r="A3273" s="1" t="s">
        <v>2179</v>
      </c>
      <c r="B3273" s="1">
        <v>11</v>
      </c>
      <c r="C3273" s="1">
        <v>2.02511182003521E+18</v>
      </c>
      <c r="D3273" s="1" t="s">
        <v>7597</v>
      </c>
      <c r="E3273" s="2">
        <v>45980</v>
      </c>
      <c r="F3273" s="1" t="s">
        <v>524</v>
      </c>
      <c r="G3273" s="1" t="s">
        <v>7598</v>
      </c>
      <c r="H3273" s="1" t="s">
        <v>7599</v>
      </c>
      <c r="I3273" s="1">
        <v>1</v>
      </c>
      <c r="J3273" s="3">
        <v>13500</v>
      </c>
      <c r="K3273" s="3">
        <v>12720</v>
      </c>
      <c r="L3273" s="1">
        <v>0</v>
      </c>
      <c r="M3273" s="4">
        <v>0</v>
      </c>
      <c r="N3273" s="1">
        <v>780</v>
      </c>
      <c r="O3273" s="4">
        <v>5.8000000000000003E-2</v>
      </c>
      <c r="P3273" s="1" t="s">
        <v>2723</v>
      </c>
    </row>
    <row r="3274" spans="1:16">
      <c r="A3274" s="1" t="s">
        <v>761</v>
      </c>
      <c r="B3274" s="1">
        <v>11</v>
      </c>
      <c r="C3274" s="1" t="s">
        <v>7600</v>
      </c>
      <c r="D3274" s="1" t="s">
        <v>4463</v>
      </c>
      <c r="E3274" s="2">
        <v>45980</v>
      </c>
      <c r="F3274" s="1" t="s">
        <v>53</v>
      </c>
      <c r="G3274" s="1" t="s">
        <v>4464</v>
      </c>
      <c r="I3274" s="1">
        <v>1</v>
      </c>
      <c r="J3274" s="3">
        <v>14700</v>
      </c>
      <c r="K3274" s="3">
        <v>13676</v>
      </c>
      <c r="L3274" s="1">
        <v>0</v>
      </c>
      <c r="M3274" s="4">
        <v>0</v>
      </c>
      <c r="N3274" s="3">
        <v>1024</v>
      </c>
      <c r="O3274" s="4">
        <v>7.0000000000000007E-2</v>
      </c>
      <c r="P3274" s="1" t="s">
        <v>2723</v>
      </c>
    </row>
    <row r="3275" spans="1:16">
      <c r="A3275" s="1" t="s">
        <v>2193</v>
      </c>
      <c r="B3275" s="1">
        <v>11</v>
      </c>
      <c r="C3275" s="1">
        <v>30451856</v>
      </c>
      <c r="D3275" s="1" t="s">
        <v>7601</v>
      </c>
      <c r="E3275" s="2">
        <v>45980</v>
      </c>
      <c r="F3275" s="1" t="s">
        <v>96</v>
      </c>
      <c r="G3275" s="1" t="s">
        <v>7602</v>
      </c>
      <c r="H3275" s="1" t="s">
        <v>7603</v>
      </c>
      <c r="I3275" s="1">
        <v>1</v>
      </c>
      <c r="J3275" s="3">
        <v>13778</v>
      </c>
      <c r="K3275" s="3">
        <v>12772</v>
      </c>
      <c r="L3275" s="1">
        <v>0</v>
      </c>
      <c r="M3275" s="4">
        <v>0</v>
      </c>
      <c r="N3275" s="3">
        <v>1006</v>
      </c>
      <c r="O3275" s="4">
        <v>7.2999999999999995E-2</v>
      </c>
      <c r="P3275" s="1" t="s">
        <v>2723</v>
      </c>
    </row>
    <row r="3276" spans="1:16">
      <c r="A3276" s="1" t="s">
        <v>763</v>
      </c>
      <c r="B3276" s="1">
        <v>11</v>
      </c>
      <c r="C3276" s="1" t="s">
        <v>7604</v>
      </c>
      <c r="D3276" s="1" t="s">
        <v>7605</v>
      </c>
      <c r="E3276" s="2">
        <v>45980</v>
      </c>
      <c r="F3276" s="1" t="s">
        <v>416</v>
      </c>
      <c r="G3276" s="1" t="s">
        <v>7606</v>
      </c>
      <c r="I3276" s="1">
        <v>1</v>
      </c>
      <c r="J3276" s="3">
        <v>12330</v>
      </c>
      <c r="K3276" s="3">
        <v>11162</v>
      </c>
      <c r="L3276" s="1">
        <v>0</v>
      </c>
      <c r="M3276" s="4">
        <v>0</v>
      </c>
      <c r="N3276" s="3">
        <v>1168</v>
      </c>
      <c r="O3276" s="4">
        <v>9.5000000000000001E-2</v>
      </c>
      <c r="P3276" s="1" t="s">
        <v>2723</v>
      </c>
    </row>
    <row r="3277" spans="1:16">
      <c r="A3277" s="1" t="s">
        <v>763</v>
      </c>
      <c r="B3277" s="1">
        <v>11</v>
      </c>
      <c r="C3277" s="1" t="s">
        <v>7607</v>
      </c>
      <c r="D3277" s="1" t="s">
        <v>7292</v>
      </c>
      <c r="E3277" s="2">
        <v>45980</v>
      </c>
      <c r="F3277" s="1" t="s">
        <v>151</v>
      </c>
      <c r="G3277" s="1" t="s">
        <v>7293</v>
      </c>
      <c r="I3277" s="1">
        <v>1</v>
      </c>
      <c r="J3277" s="3">
        <v>25500</v>
      </c>
      <c r="K3277" s="3">
        <v>23919</v>
      </c>
      <c r="L3277" s="1">
        <v>0</v>
      </c>
      <c r="M3277" s="4">
        <v>0</v>
      </c>
      <c r="N3277" s="3">
        <v>1581</v>
      </c>
      <c r="O3277" s="4">
        <v>6.2E-2</v>
      </c>
      <c r="P3277" s="1" t="s">
        <v>2723</v>
      </c>
    </row>
    <row r="3278" spans="1:16">
      <c r="A3278" s="1" t="s">
        <v>763</v>
      </c>
      <c r="B3278" s="1">
        <v>11</v>
      </c>
      <c r="C3278" s="1" t="s">
        <v>7608</v>
      </c>
      <c r="D3278" s="1" t="s">
        <v>2257</v>
      </c>
      <c r="E3278" s="2">
        <v>45980</v>
      </c>
      <c r="F3278" s="1" t="s">
        <v>2206</v>
      </c>
      <c r="G3278" s="1" t="s">
        <v>2258</v>
      </c>
      <c r="H3278" s="1" t="s">
        <v>2259</v>
      </c>
      <c r="I3278" s="1">
        <v>6</v>
      </c>
      <c r="J3278" s="3">
        <v>223920</v>
      </c>
      <c r="K3278" s="3">
        <v>202800</v>
      </c>
      <c r="L3278" s="1">
        <v>0</v>
      </c>
      <c r="M3278" s="4">
        <v>0</v>
      </c>
      <c r="N3278" s="3">
        <v>21120</v>
      </c>
      <c r="O3278" s="4">
        <v>9.4E-2</v>
      </c>
      <c r="P3278" s="1" t="s">
        <v>2723</v>
      </c>
    </row>
    <row r="3279" spans="1:16">
      <c r="A3279" s="1" t="s">
        <v>763</v>
      </c>
      <c r="B3279" s="1">
        <v>11</v>
      </c>
      <c r="C3279" s="1" t="s">
        <v>7609</v>
      </c>
      <c r="D3279" s="1" t="s">
        <v>7292</v>
      </c>
      <c r="E3279" s="2">
        <v>45980</v>
      </c>
      <c r="F3279" s="1" t="s">
        <v>151</v>
      </c>
      <c r="G3279" s="1" t="s">
        <v>7293</v>
      </c>
      <c r="I3279" s="1">
        <v>1</v>
      </c>
      <c r="J3279" s="3">
        <v>25500</v>
      </c>
      <c r="K3279" s="3">
        <v>23919</v>
      </c>
      <c r="L3279" s="1">
        <v>0</v>
      </c>
      <c r="M3279" s="4">
        <v>0</v>
      </c>
      <c r="N3279" s="3">
        <v>1581</v>
      </c>
      <c r="O3279" s="4">
        <v>6.2E-2</v>
      </c>
      <c r="P3279" s="1" t="s">
        <v>2723</v>
      </c>
    </row>
    <row r="3280" spans="1:16">
      <c r="A3280" s="1" t="s">
        <v>763</v>
      </c>
      <c r="B3280" s="1">
        <v>11</v>
      </c>
      <c r="C3280" s="1" t="s">
        <v>7610</v>
      </c>
      <c r="D3280" s="1" t="s">
        <v>2248</v>
      </c>
      <c r="E3280" s="2">
        <v>45980</v>
      </c>
      <c r="F3280" s="1" t="s">
        <v>2206</v>
      </c>
      <c r="G3280" s="1" t="s">
        <v>2249</v>
      </c>
      <c r="H3280" s="1" t="s">
        <v>2250</v>
      </c>
      <c r="I3280" s="1">
        <v>1</v>
      </c>
      <c r="J3280" s="3">
        <v>15640</v>
      </c>
      <c r="K3280" s="3">
        <v>14149</v>
      </c>
      <c r="L3280" s="1">
        <v>0</v>
      </c>
      <c r="M3280" s="4">
        <v>0</v>
      </c>
      <c r="N3280" s="3">
        <v>1491</v>
      </c>
      <c r="O3280" s="4">
        <v>9.5000000000000001E-2</v>
      </c>
      <c r="P3280" s="1" t="s">
        <v>2723</v>
      </c>
    </row>
    <row r="3281" spans="1:16">
      <c r="A3281" s="1" t="s">
        <v>624</v>
      </c>
      <c r="B3281" s="1">
        <v>11</v>
      </c>
      <c r="C3281" s="1">
        <v>2025111913472910</v>
      </c>
      <c r="D3281" s="1" t="s">
        <v>1850</v>
      </c>
      <c r="E3281" s="2">
        <v>45980</v>
      </c>
      <c r="F3281" s="1" t="s">
        <v>604</v>
      </c>
      <c r="G3281" s="1" t="s">
        <v>1851</v>
      </c>
      <c r="H3281" s="1" t="s">
        <v>7538</v>
      </c>
      <c r="I3281" s="1">
        <v>10</v>
      </c>
      <c r="J3281" s="3">
        <v>30860</v>
      </c>
      <c r="K3281" s="3">
        <v>21750</v>
      </c>
      <c r="L3281" s="3">
        <v>4012</v>
      </c>
      <c r="M3281" s="4">
        <v>0.13</v>
      </c>
      <c r="N3281" s="3">
        <v>5098</v>
      </c>
      <c r="O3281" s="4">
        <v>0.16500000000000001</v>
      </c>
      <c r="P3281" s="1" t="s">
        <v>2721</v>
      </c>
    </row>
    <row r="3282" spans="1:16">
      <c r="A3282" s="1" t="s">
        <v>1849</v>
      </c>
      <c r="B3282" s="1">
        <v>11</v>
      </c>
      <c r="C3282" s="1">
        <v>302147</v>
      </c>
      <c r="D3282" s="1" t="s">
        <v>621</v>
      </c>
      <c r="E3282" s="2">
        <v>45980</v>
      </c>
      <c r="F3282" s="1" t="s">
        <v>604</v>
      </c>
      <c r="G3282" s="1" t="s">
        <v>622</v>
      </c>
      <c r="H3282" s="1" t="s">
        <v>7611</v>
      </c>
      <c r="I3282" s="1">
        <v>1</v>
      </c>
      <c r="J3282" s="3">
        <v>8600</v>
      </c>
      <c r="K3282" s="3">
        <v>3675</v>
      </c>
      <c r="L3282" s="3">
        <v>1290</v>
      </c>
      <c r="M3282" s="4">
        <v>0.15</v>
      </c>
      <c r="N3282" s="3">
        <v>3635</v>
      </c>
      <c r="O3282" s="4">
        <v>0.42299999999999999</v>
      </c>
      <c r="P3282" s="1" t="s">
        <v>2721</v>
      </c>
    </row>
    <row r="3283" spans="1:16">
      <c r="A3283" s="1" t="s">
        <v>15</v>
      </c>
      <c r="B3283" s="1">
        <v>11</v>
      </c>
      <c r="C3283" s="1" t="s">
        <v>7612</v>
      </c>
      <c r="D3283" s="1" t="s">
        <v>516</v>
      </c>
      <c r="E3283" s="2">
        <v>45981</v>
      </c>
      <c r="F3283" s="1" t="s">
        <v>517</v>
      </c>
      <c r="G3283" s="1" t="s">
        <v>518</v>
      </c>
      <c r="H3283" s="1" t="s">
        <v>519</v>
      </c>
      <c r="I3283" s="1">
        <v>1</v>
      </c>
      <c r="J3283" s="3">
        <v>21528</v>
      </c>
      <c r="K3283" s="3">
        <v>20542</v>
      </c>
      <c r="L3283" s="1">
        <v>0</v>
      </c>
      <c r="M3283" s="4">
        <v>0</v>
      </c>
      <c r="N3283" s="1">
        <v>986</v>
      </c>
      <c r="O3283" s="4">
        <v>4.5999999999999999E-2</v>
      </c>
      <c r="P3283" s="1" t="s">
        <v>2721</v>
      </c>
    </row>
    <row r="3284" spans="1:16">
      <c r="A3284" s="1" t="s">
        <v>15</v>
      </c>
      <c r="B3284" s="1">
        <v>11</v>
      </c>
      <c r="C3284" s="1" t="s">
        <v>7613</v>
      </c>
      <c r="D3284" s="1" t="s">
        <v>250</v>
      </c>
      <c r="E3284" s="2">
        <v>45981</v>
      </c>
      <c r="F3284" s="1" t="s">
        <v>251</v>
      </c>
      <c r="G3284" s="1" t="s">
        <v>252</v>
      </c>
      <c r="H3284" s="1" t="s">
        <v>253</v>
      </c>
      <c r="I3284" s="1">
        <v>1</v>
      </c>
      <c r="J3284" s="3">
        <v>17203</v>
      </c>
      <c r="K3284" s="3">
        <v>16415</v>
      </c>
      <c r="L3284" s="1">
        <v>0</v>
      </c>
      <c r="M3284" s="4">
        <v>0</v>
      </c>
      <c r="N3284" s="1">
        <v>788</v>
      </c>
      <c r="O3284" s="4">
        <v>4.5999999999999999E-2</v>
      </c>
      <c r="P3284" s="1" t="s">
        <v>2721</v>
      </c>
    </row>
    <row r="3285" spans="1:16">
      <c r="A3285" s="1" t="s">
        <v>15</v>
      </c>
      <c r="B3285" s="1">
        <v>11</v>
      </c>
      <c r="C3285" s="1" t="s">
        <v>7614</v>
      </c>
      <c r="D3285" s="1" t="s">
        <v>52</v>
      </c>
      <c r="E3285" s="2">
        <v>45981</v>
      </c>
      <c r="F3285" s="1" t="s">
        <v>53</v>
      </c>
      <c r="G3285" s="1" t="s">
        <v>54</v>
      </c>
      <c r="H3285" s="1" t="s">
        <v>55</v>
      </c>
      <c r="I3285" s="1">
        <v>1</v>
      </c>
      <c r="J3285" s="3">
        <v>16135</v>
      </c>
      <c r="K3285" s="3">
        <v>15396</v>
      </c>
      <c r="L3285" s="1">
        <v>0</v>
      </c>
      <c r="M3285" s="4">
        <v>0</v>
      </c>
      <c r="N3285" s="1">
        <v>739</v>
      </c>
      <c r="O3285" s="4">
        <v>4.5999999999999999E-2</v>
      </c>
      <c r="P3285" s="1" t="s">
        <v>2721</v>
      </c>
    </row>
    <row r="3286" spans="1:16">
      <c r="A3286" s="1" t="s">
        <v>15</v>
      </c>
      <c r="B3286" s="1">
        <v>11</v>
      </c>
      <c r="C3286" s="1" t="s">
        <v>7615</v>
      </c>
      <c r="D3286" s="1" t="s">
        <v>4095</v>
      </c>
      <c r="E3286" s="2">
        <v>45981</v>
      </c>
      <c r="F3286" s="1" t="s">
        <v>58</v>
      </c>
      <c r="G3286" s="1" t="s">
        <v>4096</v>
      </c>
      <c r="H3286" s="1" t="s">
        <v>4097</v>
      </c>
      <c r="I3286" s="1">
        <v>1</v>
      </c>
      <c r="J3286" s="3">
        <v>21842</v>
      </c>
      <c r="K3286" s="3">
        <v>20842</v>
      </c>
      <c r="L3286" s="1">
        <v>0</v>
      </c>
      <c r="M3286" s="4">
        <v>0</v>
      </c>
      <c r="N3286" s="3">
        <v>1000</v>
      </c>
      <c r="O3286" s="4">
        <v>4.5999999999999999E-2</v>
      </c>
      <c r="P3286" s="1" t="s">
        <v>2721</v>
      </c>
    </row>
    <row r="3287" spans="1:16">
      <c r="A3287" s="1" t="s">
        <v>15</v>
      </c>
      <c r="B3287" s="1">
        <v>11</v>
      </c>
      <c r="C3287" s="1" t="s">
        <v>7616</v>
      </c>
      <c r="D3287" s="1" t="s">
        <v>538</v>
      </c>
      <c r="E3287" s="2">
        <v>45981</v>
      </c>
      <c r="F3287" s="1" t="s">
        <v>53</v>
      </c>
      <c r="G3287" s="1" t="s">
        <v>539</v>
      </c>
      <c r="H3287" s="1" t="s">
        <v>540</v>
      </c>
      <c r="I3287" s="1">
        <v>1</v>
      </c>
      <c r="J3287" s="3">
        <v>14332</v>
      </c>
      <c r="K3287" s="3">
        <v>13676</v>
      </c>
      <c r="L3287" s="1">
        <v>0</v>
      </c>
      <c r="M3287" s="4">
        <v>0</v>
      </c>
      <c r="N3287" s="1">
        <v>656</v>
      </c>
      <c r="O3287" s="4">
        <v>4.5999999999999999E-2</v>
      </c>
      <c r="P3287" s="1" t="s">
        <v>2721</v>
      </c>
    </row>
    <row r="3288" spans="1:16">
      <c r="A3288" s="1" t="s">
        <v>15</v>
      </c>
      <c r="B3288" s="1">
        <v>11</v>
      </c>
      <c r="C3288" s="1" t="s">
        <v>7617</v>
      </c>
      <c r="D3288" s="1" t="s">
        <v>542</v>
      </c>
      <c r="E3288" s="2">
        <v>45981</v>
      </c>
      <c r="F3288" s="1" t="s">
        <v>543</v>
      </c>
      <c r="G3288" s="1" t="s">
        <v>544</v>
      </c>
      <c r="H3288" s="1" t="s">
        <v>545</v>
      </c>
      <c r="I3288" s="1">
        <v>1</v>
      </c>
      <c r="J3288" s="3">
        <v>36371</v>
      </c>
      <c r="K3288" s="3">
        <v>34706</v>
      </c>
      <c r="L3288" s="1">
        <v>0</v>
      </c>
      <c r="M3288" s="4">
        <v>0</v>
      </c>
      <c r="N3288" s="3">
        <v>1665</v>
      </c>
      <c r="O3288" s="4">
        <v>4.5999999999999999E-2</v>
      </c>
      <c r="P3288" s="1" t="s">
        <v>2721</v>
      </c>
    </row>
    <row r="3289" spans="1:16">
      <c r="A3289" s="1" t="s">
        <v>15</v>
      </c>
      <c r="B3289" s="1">
        <v>11</v>
      </c>
      <c r="C3289" s="1" t="s">
        <v>7618</v>
      </c>
      <c r="D3289" s="1" t="s">
        <v>516</v>
      </c>
      <c r="E3289" s="2">
        <v>45981</v>
      </c>
      <c r="F3289" s="1" t="s">
        <v>517</v>
      </c>
      <c r="G3289" s="1" t="s">
        <v>518</v>
      </c>
      <c r="H3289" s="1" t="s">
        <v>2136</v>
      </c>
      <c r="I3289" s="1">
        <v>1</v>
      </c>
      <c r="J3289" s="3">
        <v>22609</v>
      </c>
      <c r="K3289" s="3">
        <v>21574</v>
      </c>
      <c r="L3289" s="1">
        <v>0</v>
      </c>
      <c r="M3289" s="4">
        <v>0</v>
      </c>
      <c r="N3289" s="3">
        <v>1035</v>
      </c>
      <c r="O3289" s="4">
        <v>4.5999999999999999E-2</v>
      </c>
      <c r="P3289" s="1" t="s">
        <v>2721</v>
      </c>
    </row>
    <row r="3290" spans="1:16">
      <c r="A3290" s="1" t="s">
        <v>15</v>
      </c>
      <c r="B3290" s="1">
        <v>11</v>
      </c>
      <c r="C3290" s="1" t="s">
        <v>7619</v>
      </c>
      <c r="D3290" s="1" t="s">
        <v>3585</v>
      </c>
      <c r="E3290" s="2">
        <v>45981</v>
      </c>
      <c r="F3290" s="1" t="s">
        <v>856</v>
      </c>
      <c r="G3290" s="1" t="s">
        <v>3586</v>
      </c>
      <c r="H3290" s="1" t="s">
        <v>3587</v>
      </c>
      <c r="I3290" s="1">
        <v>1</v>
      </c>
      <c r="J3290" s="3">
        <v>103215</v>
      </c>
      <c r="K3290" s="3">
        <v>98490</v>
      </c>
      <c r="L3290" s="1">
        <v>0</v>
      </c>
      <c r="M3290" s="4">
        <v>0</v>
      </c>
      <c r="N3290" s="3">
        <v>4725</v>
      </c>
      <c r="O3290" s="4">
        <v>4.5999999999999999E-2</v>
      </c>
      <c r="P3290" s="1" t="s">
        <v>2721</v>
      </c>
    </row>
    <row r="3291" spans="1:16">
      <c r="A3291" s="1" t="s">
        <v>15</v>
      </c>
      <c r="B3291" s="1">
        <v>11</v>
      </c>
      <c r="C3291" s="1" t="s">
        <v>7620</v>
      </c>
      <c r="D3291" s="1" t="s">
        <v>169</v>
      </c>
      <c r="E3291" s="2">
        <v>45981</v>
      </c>
      <c r="F3291" s="1" t="s">
        <v>53</v>
      </c>
      <c r="G3291" s="1" t="s">
        <v>170</v>
      </c>
      <c r="H3291" s="1" t="s">
        <v>171</v>
      </c>
      <c r="I3291" s="1">
        <v>1</v>
      </c>
      <c r="J3291" s="3">
        <v>14332</v>
      </c>
      <c r="K3291" s="3">
        <v>13676</v>
      </c>
      <c r="L3291" s="1">
        <v>0</v>
      </c>
      <c r="M3291" s="4">
        <v>0</v>
      </c>
      <c r="N3291" s="1">
        <v>656</v>
      </c>
      <c r="O3291" s="4">
        <v>4.5999999999999999E-2</v>
      </c>
      <c r="P3291" s="1" t="s">
        <v>2721</v>
      </c>
    </row>
    <row r="3292" spans="1:16">
      <c r="A3292" s="1" t="s">
        <v>15</v>
      </c>
      <c r="B3292" s="1">
        <v>11</v>
      </c>
      <c r="C3292" s="1" t="s">
        <v>7621</v>
      </c>
      <c r="D3292" s="1" t="s">
        <v>411</v>
      </c>
      <c r="E3292" s="2">
        <v>45981</v>
      </c>
      <c r="F3292" s="1" t="s">
        <v>312</v>
      </c>
      <c r="G3292" s="1" t="s">
        <v>412</v>
      </c>
      <c r="H3292" s="1" t="s">
        <v>7622</v>
      </c>
      <c r="I3292" s="1">
        <v>1</v>
      </c>
      <c r="J3292" s="3">
        <v>24575</v>
      </c>
      <c r="K3292" s="3">
        <v>23450</v>
      </c>
      <c r="L3292" s="1">
        <v>0</v>
      </c>
      <c r="M3292" s="4">
        <v>0</v>
      </c>
      <c r="N3292" s="3">
        <v>1125</v>
      </c>
      <c r="O3292" s="4">
        <v>4.5999999999999999E-2</v>
      </c>
      <c r="P3292" s="1" t="s">
        <v>2721</v>
      </c>
    </row>
    <row r="3293" spans="1:16">
      <c r="A3293" s="1" t="s">
        <v>15</v>
      </c>
      <c r="B3293" s="1">
        <v>11</v>
      </c>
      <c r="C3293" s="1" t="s">
        <v>7623</v>
      </c>
      <c r="D3293" s="1" t="s">
        <v>132</v>
      </c>
      <c r="E3293" s="2">
        <v>45981</v>
      </c>
      <c r="F3293" s="1" t="s">
        <v>53</v>
      </c>
      <c r="G3293" s="1" t="s">
        <v>133</v>
      </c>
      <c r="H3293" s="1" t="s">
        <v>88</v>
      </c>
      <c r="I3293" s="1">
        <v>1</v>
      </c>
      <c r="J3293" s="3">
        <v>17036</v>
      </c>
      <c r="K3293" s="3">
        <v>16256</v>
      </c>
      <c r="L3293" s="1">
        <v>0</v>
      </c>
      <c r="M3293" s="4">
        <v>0</v>
      </c>
      <c r="N3293" s="1">
        <v>780</v>
      </c>
      <c r="O3293" s="4">
        <v>4.5999999999999999E-2</v>
      </c>
      <c r="P3293" s="1" t="s">
        <v>2721</v>
      </c>
    </row>
    <row r="3294" spans="1:16">
      <c r="A3294" s="1" t="s">
        <v>15</v>
      </c>
      <c r="B3294" s="1">
        <v>11</v>
      </c>
      <c r="C3294" s="1" t="s">
        <v>7624</v>
      </c>
      <c r="D3294" s="1" t="s">
        <v>845</v>
      </c>
      <c r="E3294" s="2">
        <v>45981</v>
      </c>
      <c r="F3294" s="1" t="s">
        <v>846</v>
      </c>
      <c r="G3294" s="1" t="s">
        <v>847</v>
      </c>
      <c r="H3294" s="1" t="s">
        <v>848</v>
      </c>
      <c r="I3294" s="1">
        <v>1</v>
      </c>
      <c r="J3294" s="3">
        <v>112554</v>
      </c>
      <c r="K3294" s="3">
        <v>107401</v>
      </c>
      <c r="L3294" s="1">
        <v>0</v>
      </c>
      <c r="M3294" s="4">
        <v>0</v>
      </c>
      <c r="N3294" s="3">
        <v>5153</v>
      </c>
      <c r="O3294" s="4">
        <v>4.5999999999999999E-2</v>
      </c>
      <c r="P3294" s="1" t="s">
        <v>2721</v>
      </c>
    </row>
    <row r="3295" spans="1:16">
      <c r="A3295" s="1" t="s">
        <v>15</v>
      </c>
      <c r="B3295" s="1">
        <v>11</v>
      </c>
      <c r="C3295" s="1" t="s">
        <v>7625</v>
      </c>
      <c r="D3295" s="1" t="s">
        <v>160</v>
      </c>
      <c r="E3295" s="2">
        <v>45981</v>
      </c>
      <c r="F3295" s="1" t="s">
        <v>161</v>
      </c>
      <c r="G3295" s="1" t="s">
        <v>162</v>
      </c>
      <c r="H3295" s="1" t="s">
        <v>810</v>
      </c>
      <c r="I3295" s="1">
        <v>1</v>
      </c>
      <c r="J3295" s="3">
        <v>9928</v>
      </c>
      <c r="K3295" s="3">
        <v>9474</v>
      </c>
      <c r="L3295" s="1">
        <v>0</v>
      </c>
      <c r="M3295" s="4">
        <v>0</v>
      </c>
      <c r="N3295" s="1">
        <v>454</v>
      </c>
      <c r="O3295" s="4">
        <v>4.5999999999999999E-2</v>
      </c>
      <c r="P3295" s="1" t="s">
        <v>2721</v>
      </c>
    </row>
    <row r="3296" spans="1:16">
      <c r="A3296" s="1" t="s">
        <v>15</v>
      </c>
      <c r="B3296" s="1">
        <v>11</v>
      </c>
      <c r="C3296" s="1" t="s">
        <v>7626</v>
      </c>
      <c r="D3296" s="1" t="s">
        <v>52</v>
      </c>
      <c r="E3296" s="2">
        <v>45981</v>
      </c>
      <c r="F3296" s="1" t="s">
        <v>53</v>
      </c>
      <c r="G3296" s="1" t="s">
        <v>54</v>
      </c>
      <c r="H3296" s="1" t="s">
        <v>55</v>
      </c>
      <c r="I3296" s="1">
        <v>1</v>
      </c>
      <c r="J3296" s="3">
        <v>16135</v>
      </c>
      <c r="K3296" s="3">
        <v>15396</v>
      </c>
      <c r="L3296" s="1">
        <v>0</v>
      </c>
      <c r="M3296" s="4">
        <v>0</v>
      </c>
      <c r="N3296" s="1">
        <v>739</v>
      </c>
      <c r="O3296" s="4">
        <v>4.5999999999999999E-2</v>
      </c>
      <c r="P3296" s="1" t="s">
        <v>2721</v>
      </c>
    </row>
    <row r="3297" spans="1:16">
      <c r="A3297" s="1" t="s">
        <v>15</v>
      </c>
      <c r="B3297" s="1">
        <v>11</v>
      </c>
      <c r="C3297" s="1" t="s">
        <v>7627</v>
      </c>
      <c r="D3297" s="1" t="s">
        <v>250</v>
      </c>
      <c r="E3297" s="2">
        <v>45981</v>
      </c>
      <c r="F3297" s="1" t="s">
        <v>251</v>
      </c>
      <c r="G3297" s="1" t="s">
        <v>252</v>
      </c>
      <c r="H3297" s="1" t="s">
        <v>253</v>
      </c>
      <c r="I3297" s="1">
        <v>1</v>
      </c>
      <c r="J3297" s="3">
        <v>17203</v>
      </c>
      <c r="K3297" s="3">
        <v>16415</v>
      </c>
      <c r="L3297" s="1">
        <v>0</v>
      </c>
      <c r="M3297" s="4">
        <v>0</v>
      </c>
      <c r="N3297" s="1">
        <v>788</v>
      </c>
      <c r="O3297" s="4">
        <v>4.5999999999999999E-2</v>
      </c>
      <c r="P3297" s="1" t="s">
        <v>2721</v>
      </c>
    </row>
    <row r="3298" spans="1:16">
      <c r="A3298" s="1" t="s">
        <v>15</v>
      </c>
      <c r="B3298" s="1">
        <v>11</v>
      </c>
      <c r="C3298" s="1" t="s">
        <v>7628</v>
      </c>
      <c r="D3298" s="1" t="s">
        <v>104</v>
      </c>
      <c r="E3298" s="2">
        <v>45981</v>
      </c>
      <c r="F3298" s="1" t="s">
        <v>96</v>
      </c>
      <c r="G3298" s="1" t="s">
        <v>105</v>
      </c>
      <c r="H3298" s="1" t="s">
        <v>106</v>
      </c>
      <c r="I3298" s="1">
        <v>1</v>
      </c>
      <c r="J3298" s="3">
        <v>21614</v>
      </c>
      <c r="K3298" s="3">
        <v>20625</v>
      </c>
      <c r="L3298" s="1">
        <v>0</v>
      </c>
      <c r="M3298" s="4">
        <v>0</v>
      </c>
      <c r="N3298" s="1">
        <v>989</v>
      </c>
      <c r="O3298" s="4">
        <v>4.5999999999999999E-2</v>
      </c>
      <c r="P3298" s="1" t="s">
        <v>2721</v>
      </c>
    </row>
    <row r="3299" spans="1:16">
      <c r="A3299" s="1" t="s">
        <v>15</v>
      </c>
      <c r="B3299" s="1">
        <v>11</v>
      </c>
      <c r="C3299" s="1" t="s">
        <v>7629</v>
      </c>
      <c r="D3299" s="1" t="s">
        <v>7630</v>
      </c>
      <c r="E3299" s="2">
        <v>45981</v>
      </c>
      <c r="F3299" s="1" t="s">
        <v>77</v>
      </c>
      <c r="G3299" s="1" t="s">
        <v>7631</v>
      </c>
      <c r="H3299" s="1" t="s">
        <v>7631</v>
      </c>
      <c r="I3299" s="1">
        <v>1</v>
      </c>
      <c r="J3299" s="3">
        <v>11231</v>
      </c>
      <c r="K3299" s="3">
        <v>10717</v>
      </c>
      <c r="L3299" s="1">
        <v>0</v>
      </c>
      <c r="M3299" s="4">
        <v>0</v>
      </c>
      <c r="N3299" s="1">
        <v>514</v>
      </c>
      <c r="O3299" s="4">
        <v>4.5999999999999999E-2</v>
      </c>
      <c r="P3299" s="1" t="s">
        <v>2721</v>
      </c>
    </row>
    <row r="3300" spans="1:16">
      <c r="A3300" s="1" t="s">
        <v>15</v>
      </c>
      <c r="B3300" s="1">
        <v>11</v>
      </c>
      <c r="C3300" s="1" t="s">
        <v>7629</v>
      </c>
      <c r="D3300" s="1" t="s">
        <v>3256</v>
      </c>
      <c r="E3300" s="2">
        <v>45981</v>
      </c>
      <c r="F3300" s="1" t="s">
        <v>77</v>
      </c>
      <c r="G3300" s="1" t="s">
        <v>3257</v>
      </c>
      <c r="H3300" s="1" t="s">
        <v>3257</v>
      </c>
      <c r="I3300" s="1">
        <v>1</v>
      </c>
      <c r="J3300" s="3">
        <v>11231</v>
      </c>
      <c r="K3300" s="3">
        <v>10717</v>
      </c>
      <c r="L3300" s="1">
        <v>0</v>
      </c>
      <c r="M3300" s="4">
        <v>0</v>
      </c>
      <c r="N3300" s="1">
        <v>514</v>
      </c>
      <c r="O3300" s="4">
        <v>4.5999999999999999E-2</v>
      </c>
      <c r="P3300" s="1" t="s">
        <v>2721</v>
      </c>
    </row>
    <row r="3301" spans="1:16">
      <c r="A3301" s="1" t="s">
        <v>15</v>
      </c>
      <c r="B3301" s="1">
        <v>11</v>
      </c>
      <c r="C3301" s="1" t="s">
        <v>7632</v>
      </c>
      <c r="D3301" s="1" t="s">
        <v>169</v>
      </c>
      <c r="E3301" s="2">
        <v>45981</v>
      </c>
      <c r="F3301" s="1" t="s">
        <v>53</v>
      </c>
      <c r="G3301" s="1" t="s">
        <v>170</v>
      </c>
      <c r="H3301" s="1" t="s">
        <v>171</v>
      </c>
      <c r="I3301" s="1">
        <v>1</v>
      </c>
      <c r="J3301" s="3">
        <v>14332</v>
      </c>
      <c r="K3301" s="3">
        <v>13676</v>
      </c>
      <c r="L3301" s="1">
        <v>0</v>
      </c>
      <c r="M3301" s="4">
        <v>0</v>
      </c>
      <c r="N3301" s="1">
        <v>656</v>
      </c>
      <c r="O3301" s="4">
        <v>4.5999999999999999E-2</v>
      </c>
      <c r="P3301" s="1" t="s">
        <v>2721</v>
      </c>
    </row>
    <row r="3302" spans="1:16">
      <c r="A3302" s="1" t="s">
        <v>15</v>
      </c>
      <c r="B3302" s="1">
        <v>11</v>
      </c>
      <c r="C3302" s="1" t="s">
        <v>7633</v>
      </c>
      <c r="D3302" s="1" t="s">
        <v>72</v>
      </c>
      <c r="E3302" s="2">
        <v>45981</v>
      </c>
      <c r="F3302" s="1" t="s">
        <v>63</v>
      </c>
      <c r="G3302" s="1" t="s">
        <v>73</v>
      </c>
      <c r="H3302" s="1" t="s">
        <v>74</v>
      </c>
      <c r="I3302" s="1">
        <v>1</v>
      </c>
      <c r="J3302" s="3">
        <v>10456</v>
      </c>
      <c r="K3302" s="3">
        <v>9978</v>
      </c>
      <c r="L3302" s="1">
        <v>0</v>
      </c>
      <c r="M3302" s="4">
        <v>0</v>
      </c>
      <c r="N3302" s="1">
        <v>478</v>
      </c>
      <c r="O3302" s="4">
        <v>4.5999999999999999E-2</v>
      </c>
      <c r="P3302" s="1" t="s">
        <v>2721</v>
      </c>
    </row>
    <row r="3303" spans="1:16">
      <c r="A3303" s="1" t="s">
        <v>15</v>
      </c>
      <c r="B3303" s="1">
        <v>11</v>
      </c>
      <c r="C3303" s="1" t="s">
        <v>7634</v>
      </c>
      <c r="D3303" s="1" t="s">
        <v>922</v>
      </c>
      <c r="E3303" s="2">
        <v>45981</v>
      </c>
      <c r="F3303" s="1" t="s">
        <v>126</v>
      </c>
      <c r="G3303" s="1" t="s">
        <v>923</v>
      </c>
      <c r="H3303" s="1" t="s">
        <v>924</v>
      </c>
      <c r="I3303" s="1">
        <v>1</v>
      </c>
      <c r="J3303" s="3">
        <v>22609</v>
      </c>
      <c r="K3303" s="3">
        <v>21574</v>
      </c>
      <c r="L3303" s="1">
        <v>0</v>
      </c>
      <c r="M3303" s="4">
        <v>0</v>
      </c>
      <c r="N3303" s="3">
        <v>1035</v>
      </c>
      <c r="O3303" s="4">
        <v>4.5999999999999999E-2</v>
      </c>
      <c r="P3303" s="1" t="s">
        <v>2721</v>
      </c>
    </row>
    <row r="3304" spans="1:16">
      <c r="A3304" s="1" t="s">
        <v>15</v>
      </c>
      <c r="B3304" s="1">
        <v>11</v>
      </c>
      <c r="C3304" s="1" t="s">
        <v>7635</v>
      </c>
      <c r="D3304" s="1" t="s">
        <v>1294</v>
      </c>
      <c r="E3304" s="2">
        <v>45981</v>
      </c>
      <c r="F3304" s="1" t="s">
        <v>347</v>
      </c>
      <c r="G3304" s="1" t="s">
        <v>1295</v>
      </c>
      <c r="H3304" s="1" t="s">
        <v>7636</v>
      </c>
      <c r="I3304" s="1">
        <v>1</v>
      </c>
      <c r="J3304" s="3">
        <v>18480</v>
      </c>
      <c r="K3304" s="3">
        <v>17634</v>
      </c>
      <c r="L3304" s="1">
        <v>0</v>
      </c>
      <c r="M3304" s="4">
        <v>0</v>
      </c>
      <c r="N3304" s="1">
        <v>846</v>
      </c>
      <c r="O3304" s="4">
        <v>4.5999999999999999E-2</v>
      </c>
      <c r="P3304" s="1" t="s">
        <v>2721</v>
      </c>
    </row>
    <row r="3305" spans="1:16">
      <c r="A3305" s="1" t="s">
        <v>15</v>
      </c>
      <c r="B3305" s="1">
        <v>11</v>
      </c>
      <c r="C3305" s="1" t="s">
        <v>7635</v>
      </c>
      <c r="D3305" s="1" t="s">
        <v>1457</v>
      </c>
      <c r="E3305" s="2">
        <v>45981</v>
      </c>
      <c r="F3305" s="1" t="s">
        <v>347</v>
      </c>
      <c r="G3305" s="1" t="s">
        <v>1458</v>
      </c>
      <c r="H3305" s="1" t="s">
        <v>7637</v>
      </c>
      <c r="I3305" s="1">
        <v>1</v>
      </c>
      <c r="J3305" s="3">
        <v>19286</v>
      </c>
      <c r="K3305" s="3">
        <v>18404</v>
      </c>
      <c r="L3305" s="1">
        <v>0</v>
      </c>
      <c r="M3305" s="4">
        <v>0</v>
      </c>
      <c r="N3305" s="1">
        <v>882</v>
      </c>
      <c r="O3305" s="4">
        <v>4.5999999999999999E-2</v>
      </c>
      <c r="P3305" s="1" t="s">
        <v>2721</v>
      </c>
    </row>
    <row r="3306" spans="1:16">
      <c r="A3306" s="1" t="s">
        <v>15</v>
      </c>
      <c r="B3306" s="1">
        <v>11</v>
      </c>
      <c r="C3306" s="1" t="s">
        <v>7638</v>
      </c>
      <c r="D3306" s="1" t="s">
        <v>3728</v>
      </c>
      <c r="E3306" s="2">
        <v>45981</v>
      </c>
      <c r="F3306" s="1" t="s">
        <v>96</v>
      </c>
      <c r="G3306" s="1" t="s">
        <v>3729</v>
      </c>
      <c r="H3306" s="1" t="s">
        <v>3730</v>
      </c>
      <c r="I3306" s="1">
        <v>1</v>
      </c>
      <c r="J3306" s="3">
        <v>11305</v>
      </c>
      <c r="K3306" s="3">
        <v>10787</v>
      </c>
      <c r="L3306" s="1">
        <v>0</v>
      </c>
      <c r="M3306" s="4">
        <v>0</v>
      </c>
      <c r="N3306" s="1">
        <v>518</v>
      </c>
      <c r="O3306" s="4">
        <v>4.5999999999999999E-2</v>
      </c>
      <c r="P3306" s="1" t="s">
        <v>2721</v>
      </c>
    </row>
    <row r="3307" spans="1:16">
      <c r="A3307" s="1" t="s">
        <v>15</v>
      </c>
      <c r="B3307" s="1">
        <v>11</v>
      </c>
      <c r="C3307" s="1" t="s">
        <v>7639</v>
      </c>
      <c r="D3307" s="1" t="s">
        <v>228</v>
      </c>
      <c r="E3307" s="2">
        <v>45981</v>
      </c>
      <c r="F3307" s="1" t="s">
        <v>53</v>
      </c>
      <c r="G3307" s="1" t="s">
        <v>229</v>
      </c>
      <c r="H3307" s="1" t="s">
        <v>230</v>
      </c>
      <c r="I3307" s="1">
        <v>1</v>
      </c>
      <c r="J3307" s="3">
        <v>9825</v>
      </c>
      <c r="K3307" s="3">
        <v>9375</v>
      </c>
      <c r="L3307" s="1">
        <v>0</v>
      </c>
      <c r="M3307" s="4">
        <v>0</v>
      </c>
      <c r="N3307" s="1">
        <v>450</v>
      </c>
      <c r="O3307" s="4">
        <v>4.5999999999999999E-2</v>
      </c>
      <c r="P3307" s="1" t="s">
        <v>2721</v>
      </c>
    </row>
    <row r="3308" spans="1:16">
      <c r="A3308" s="1" t="s">
        <v>15</v>
      </c>
      <c r="B3308" s="1">
        <v>11</v>
      </c>
      <c r="C3308" s="1" t="s">
        <v>7640</v>
      </c>
      <c r="D3308" s="1" t="s">
        <v>482</v>
      </c>
      <c r="E3308" s="2">
        <v>45981</v>
      </c>
      <c r="F3308" s="1" t="s">
        <v>483</v>
      </c>
      <c r="G3308" s="1" t="s">
        <v>484</v>
      </c>
      <c r="H3308" s="1" t="s">
        <v>1777</v>
      </c>
      <c r="I3308" s="1">
        <v>1</v>
      </c>
      <c r="J3308" s="3">
        <v>27426</v>
      </c>
      <c r="K3308" s="3">
        <v>26170</v>
      </c>
      <c r="L3308" s="1">
        <v>0</v>
      </c>
      <c r="M3308" s="4">
        <v>0</v>
      </c>
      <c r="N3308" s="3">
        <v>1256</v>
      </c>
      <c r="O3308" s="4">
        <v>4.5999999999999999E-2</v>
      </c>
      <c r="P3308" s="1" t="s">
        <v>2721</v>
      </c>
    </row>
    <row r="3309" spans="1:16">
      <c r="A3309" s="1" t="s">
        <v>15</v>
      </c>
      <c r="B3309" s="1">
        <v>11</v>
      </c>
      <c r="C3309" s="1" t="s">
        <v>7641</v>
      </c>
      <c r="D3309" s="1" t="s">
        <v>1346</v>
      </c>
      <c r="E3309" s="2">
        <v>45981</v>
      </c>
      <c r="F3309" s="1" t="s">
        <v>317</v>
      </c>
      <c r="G3309" s="1" t="s">
        <v>1347</v>
      </c>
      <c r="H3309" s="1" t="s">
        <v>3848</v>
      </c>
      <c r="I3309" s="1">
        <v>1</v>
      </c>
      <c r="J3309" s="3">
        <v>29982</v>
      </c>
      <c r="K3309" s="3">
        <v>28609</v>
      </c>
      <c r="L3309" s="1">
        <v>0</v>
      </c>
      <c r="M3309" s="4">
        <v>0</v>
      </c>
      <c r="N3309" s="3">
        <v>1373</v>
      </c>
      <c r="O3309" s="4">
        <v>4.5999999999999999E-2</v>
      </c>
      <c r="P3309" s="1" t="s">
        <v>2721</v>
      </c>
    </row>
    <row r="3310" spans="1:16">
      <c r="A3310" s="1" t="s">
        <v>15</v>
      </c>
      <c r="B3310" s="1">
        <v>11</v>
      </c>
      <c r="C3310" s="1" t="s">
        <v>7642</v>
      </c>
      <c r="D3310" s="1" t="s">
        <v>468</v>
      </c>
      <c r="E3310" s="2">
        <v>45981</v>
      </c>
      <c r="F3310" s="1" t="s">
        <v>469</v>
      </c>
      <c r="G3310" s="1" t="s">
        <v>470</v>
      </c>
      <c r="H3310" s="1" t="s">
        <v>471</v>
      </c>
      <c r="I3310" s="1">
        <v>1</v>
      </c>
      <c r="J3310" s="3">
        <v>24477</v>
      </c>
      <c r="K3310" s="3">
        <v>23356</v>
      </c>
      <c r="L3310" s="1">
        <v>0</v>
      </c>
      <c r="M3310" s="4">
        <v>0</v>
      </c>
      <c r="N3310" s="3">
        <v>1121</v>
      </c>
      <c r="O3310" s="4">
        <v>4.5999999999999999E-2</v>
      </c>
      <c r="P3310" s="1" t="s">
        <v>2721</v>
      </c>
    </row>
    <row r="3311" spans="1:16">
      <c r="A3311" s="1" t="s">
        <v>15</v>
      </c>
      <c r="B3311" s="1">
        <v>11</v>
      </c>
      <c r="C3311" s="1" t="s">
        <v>7643</v>
      </c>
      <c r="D3311" s="1" t="s">
        <v>492</v>
      </c>
      <c r="E3311" s="2">
        <v>45981</v>
      </c>
      <c r="F3311" s="1" t="s">
        <v>493</v>
      </c>
      <c r="G3311" s="1" t="s">
        <v>494</v>
      </c>
      <c r="H3311" s="1" t="s">
        <v>495</v>
      </c>
      <c r="I3311" s="1">
        <v>1</v>
      </c>
      <c r="J3311" s="3">
        <v>7569</v>
      </c>
      <c r="K3311" s="3">
        <v>7223</v>
      </c>
      <c r="L3311" s="1">
        <v>0</v>
      </c>
      <c r="M3311" s="4">
        <v>0</v>
      </c>
      <c r="N3311" s="1">
        <v>346</v>
      </c>
      <c r="O3311" s="4">
        <v>4.5999999999999999E-2</v>
      </c>
      <c r="P3311" s="1" t="s">
        <v>2721</v>
      </c>
    </row>
    <row r="3312" spans="1:16">
      <c r="A3312" s="1" t="s">
        <v>15</v>
      </c>
      <c r="B3312" s="1">
        <v>11</v>
      </c>
      <c r="C3312" s="1" t="s">
        <v>7643</v>
      </c>
      <c r="D3312" s="1" t="s">
        <v>492</v>
      </c>
      <c r="E3312" s="2">
        <v>45981</v>
      </c>
      <c r="F3312" s="1" t="s">
        <v>493</v>
      </c>
      <c r="G3312" s="1" t="s">
        <v>494</v>
      </c>
      <c r="H3312" s="1" t="s">
        <v>1120</v>
      </c>
      <c r="I3312" s="1">
        <v>1</v>
      </c>
      <c r="J3312" s="3">
        <v>7569</v>
      </c>
      <c r="K3312" s="3">
        <v>7223</v>
      </c>
      <c r="L3312" s="1">
        <v>0</v>
      </c>
      <c r="M3312" s="4">
        <v>0</v>
      </c>
      <c r="N3312" s="1">
        <v>346</v>
      </c>
      <c r="O3312" s="4">
        <v>4.5999999999999999E-2</v>
      </c>
      <c r="P3312" s="1" t="s">
        <v>2721</v>
      </c>
    </row>
    <row r="3313" spans="1:16">
      <c r="A3313" s="1" t="s">
        <v>15</v>
      </c>
      <c r="B3313" s="1">
        <v>11</v>
      </c>
      <c r="C3313" s="1" t="s">
        <v>7644</v>
      </c>
      <c r="D3313" s="1" t="s">
        <v>777</v>
      </c>
      <c r="E3313" s="2">
        <v>45981</v>
      </c>
      <c r="F3313" s="1" t="s">
        <v>256</v>
      </c>
      <c r="G3313" s="1" t="s">
        <v>778</v>
      </c>
      <c r="H3313" s="1" t="s">
        <v>779</v>
      </c>
      <c r="I3313" s="1">
        <v>1</v>
      </c>
      <c r="J3313" s="3">
        <v>11010</v>
      </c>
      <c r="K3313" s="3">
        <v>10506</v>
      </c>
      <c r="L3313" s="1">
        <v>0</v>
      </c>
      <c r="M3313" s="4">
        <v>0</v>
      </c>
      <c r="N3313" s="1">
        <v>504</v>
      </c>
      <c r="O3313" s="4">
        <v>4.5999999999999999E-2</v>
      </c>
      <c r="P3313" s="1" t="s">
        <v>2721</v>
      </c>
    </row>
    <row r="3314" spans="1:16">
      <c r="A3314" s="1" t="s">
        <v>15</v>
      </c>
      <c r="B3314" s="1">
        <v>11</v>
      </c>
      <c r="C3314" s="1" t="s">
        <v>7645</v>
      </c>
      <c r="D3314" s="1" t="s">
        <v>228</v>
      </c>
      <c r="E3314" s="2">
        <v>45981</v>
      </c>
      <c r="F3314" s="1" t="s">
        <v>53</v>
      </c>
      <c r="G3314" s="1" t="s">
        <v>229</v>
      </c>
      <c r="H3314" s="1" t="s">
        <v>230</v>
      </c>
      <c r="I3314" s="1">
        <v>1</v>
      </c>
      <c r="J3314" s="3">
        <v>9825</v>
      </c>
      <c r="K3314" s="3">
        <v>9375</v>
      </c>
      <c r="L3314" s="1">
        <v>0</v>
      </c>
      <c r="M3314" s="4">
        <v>0</v>
      </c>
      <c r="N3314" s="1">
        <v>450</v>
      </c>
      <c r="O3314" s="4">
        <v>4.5999999999999999E-2</v>
      </c>
      <c r="P3314" s="1" t="s">
        <v>2721</v>
      </c>
    </row>
    <row r="3315" spans="1:16">
      <c r="A3315" s="1" t="s">
        <v>15</v>
      </c>
      <c r="B3315" s="1">
        <v>11</v>
      </c>
      <c r="C3315" s="1" t="s">
        <v>7646</v>
      </c>
      <c r="D3315" s="1" t="s">
        <v>922</v>
      </c>
      <c r="E3315" s="2">
        <v>45981</v>
      </c>
      <c r="F3315" s="1" t="s">
        <v>126</v>
      </c>
      <c r="G3315" s="1" t="s">
        <v>923</v>
      </c>
      <c r="H3315" s="1" t="s">
        <v>924</v>
      </c>
      <c r="I3315" s="1">
        <v>1</v>
      </c>
      <c r="J3315" s="3">
        <v>22609</v>
      </c>
      <c r="K3315" s="3">
        <v>21574</v>
      </c>
      <c r="L3315" s="1">
        <v>0</v>
      </c>
      <c r="M3315" s="4">
        <v>0</v>
      </c>
      <c r="N3315" s="3">
        <v>1035</v>
      </c>
      <c r="O3315" s="4">
        <v>4.5999999999999999E-2</v>
      </c>
      <c r="P3315" s="1" t="s">
        <v>2721</v>
      </c>
    </row>
    <row r="3316" spans="1:16">
      <c r="A3316" s="1" t="s">
        <v>15</v>
      </c>
      <c r="B3316" s="1">
        <v>11</v>
      </c>
      <c r="C3316" s="1" t="s">
        <v>7647</v>
      </c>
      <c r="D3316" s="1" t="s">
        <v>7648</v>
      </c>
      <c r="E3316" s="2">
        <v>45981</v>
      </c>
      <c r="F3316" s="1" t="s">
        <v>3496</v>
      </c>
      <c r="G3316" s="1" t="s">
        <v>7649</v>
      </c>
      <c r="H3316" s="1" t="s">
        <v>7650</v>
      </c>
      <c r="I3316" s="1">
        <v>1</v>
      </c>
      <c r="J3316" s="3">
        <v>9830</v>
      </c>
      <c r="K3316" s="3">
        <v>9380</v>
      </c>
      <c r="L3316" s="1">
        <v>0</v>
      </c>
      <c r="M3316" s="4">
        <v>0</v>
      </c>
      <c r="N3316" s="1">
        <v>450</v>
      </c>
      <c r="O3316" s="4">
        <v>4.5999999999999999E-2</v>
      </c>
      <c r="P3316" s="1" t="s">
        <v>2721</v>
      </c>
    </row>
    <row r="3317" spans="1:16">
      <c r="A3317" s="1" t="s">
        <v>15</v>
      </c>
      <c r="B3317" s="1">
        <v>11</v>
      </c>
      <c r="C3317" s="1" t="s">
        <v>7651</v>
      </c>
      <c r="D3317" s="1" t="s">
        <v>32</v>
      </c>
      <c r="E3317" s="2">
        <v>45981</v>
      </c>
      <c r="F3317" s="1" t="s">
        <v>33</v>
      </c>
      <c r="G3317" s="1" t="s">
        <v>34</v>
      </c>
      <c r="H3317" s="1" t="s">
        <v>593</v>
      </c>
      <c r="I3317" s="1">
        <v>1</v>
      </c>
      <c r="J3317" s="3">
        <v>116381</v>
      </c>
      <c r="K3317" s="3">
        <v>111054</v>
      </c>
      <c r="L3317" s="1">
        <v>0</v>
      </c>
      <c r="M3317" s="4">
        <v>0</v>
      </c>
      <c r="N3317" s="3">
        <v>5327</v>
      </c>
      <c r="O3317" s="4">
        <v>4.5999999999999999E-2</v>
      </c>
      <c r="P3317" s="1" t="s">
        <v>2721</v>
      </c>
    </row>
    <row r="3318" spans="1:16">
      <c r="A3318" s="1" t="s">
        <v>15</v>
      </c>
      <c r="B3318" s="1">
        <v>11</v>
      </c>
      <c r="C3318" s="1" t="s">
        <v>7652</v>
      </c>
      <c r="D3318" s="1" t="s">
        <v>533</v>
      </c>
      <c r="E3318" s="2">
        <v>45981</v>
      </c>
      <c r="F3318" s="1" t="s">
        <v>534</v>
      </c>
      <c r="G3318" s="1" t="s">
        <v>535</v>
      </c>
      <c r="H3318" s="1" t="s">
        <v>536</v>
      </c>
      <c r="I3318" s="1">
        <v>1</v>
      </c>
      <c r="J3318" s="3">
        <v>19552</v>
      </c>
      <c r="K3318" s="3">
        <v>18657</v>
      </c>
      <c r="L3318" s="1">
        <v>0</v>
      </c>
      <c r="M3318" s="4">
        <v>0</v>
      </c>
      <c r="N3318" s="1">
        <v>895</v>
      </c>
      <c r="O3318" s="4">
        <v>4.5999999999999999E-2</v>
      </c>
      <c r="P3318" s="1" t="s">
        <v>2721</v>
      </c>
    </row>
    <row r="3319" spans="1:16">
      <c r="A3319" s="1" t="s">
        <v>15</v>
      </c>
      <c r="B3319" s="1">
        <v>11</v>
      </c>
      <c r="C3319" s="1" t="s">
        <v>7653</v>
      </c>
      <c r="D3319" s="1" t="s">
        <v>3624</v>
      </c>
      <c r="E3319" s="2">
        <v>45981</v>
      </c>
      <c r="F3319" s="1" t="s">
        <v>3625</v>
      </c>
      <c r="G3319" s="1" t="s">
        <v>3626</v>
      </c>
      <c r="H3319" s="1" t="s">
        <v>7654</v>
      </c>
      <c r="I3319" s="1">
        <v>1</v>
      </c>
      <c r="J3319" s="3">
        <v>15728</v>
      </c>
      <c r="K3319" s="3">
        <v>15008</v>
      </c>
      <c r="L3319" s="1">
        <v>0</v>
      </c>
      <c r="M3319" s="4">
        <v>0</v>
      </c>
      <c r="N3319" s="1">
        <v>720</v>
      </c>
      <c r="O3319" s="4">
        <v>4.5999999999999999E-2</v>
      </c>
      <c r="P3319" s="1" t="s">
        <v>2721</v>
      </c>
    </row>
    <row r="3320" spans="1:16">
      <c r="A3320" s="1" t="s">
        <v>15</v>
      </c>
      <c r="B3320" s="1">
        <v>11</v>
      </c>
      <c r="C3320" s="1" t="s">
        <v>7655</v>
      </c>
      <c r="D3320" s="1" t="s">
        <v>542</v>
      </c>
      <c r="E3320" s="2">
        <v>45981</v>
      </c>
      <c r="F3320" s="1" t="s">
        <v>543</v>
      </c>
      <c r="G3320" s="1" t="s">
        <v>544</v>
      </c>
      <c r="H3320" s="1" t="s">
        <v>545</v>
      </c>
      <c r="I3320" s="1">
        <v>1</v>
      </c>
      <c r="J3320" s="3">
        <v>36371</v>
      </c>
      <c r="K3320" s="3">
        <v>34706</v>
      </c>
      <c r="L3320" s="1">
        <v>0</v>
      </c>
      <c r="M3320" s="4">
        <v>0</v>
      </c>
      <c r="N3320" s="3">
        <v>1665</v>
      </c>
      <c r="O3320" s="4">
        <v>4.5999999999999999E-2</v>
      </c>
      <c r="P3320" s="1" t="s">
        <v>2721</v>
      </c>
    </row>
    <row r="3321" spans="1:16">
      <c r="A3321" s="1" t="s">
        <v>15</v>
      </c>
      <c r="B3321" s="1">
        <v>11</v>
      </c>
      <c r="C3321" s="1" t="s">
        <v>7656</v>
      </c>
      <c r="D3321" s="1" t="s">
        <v>7340</v>
      </c>
      <c r="E3321" s="2">
        <v>45981</v>
      </c>
      <c r="F3321" s="1" t="s">
        <v>2173</v>
      </c>
      <c r="G3321" s="1" t="s">
        <v>7341</v>
      </c>
      <c r="H3321" s="1" t="s">
        <v>7342</v>
      </c>
      <c r="I3321" s="1">
        <v>1</v>
      </c>
      <c r="J3321" s="3">
        <v>23297</v>
      </c>
      <c r="K3321" s="3">
        <v>22231</v>
      </c>
      <c r="L3321" s="1">
        <v>0</v>
      </c>
      <c r="M3321" s="4">
        <v>0</v>
      </c>
      <c r="N3321" s="3">
        <v>1066</v>
      </c>
      <c r="O3321" s="4">
        <v>4.5999999999999999E-2</v>
      </c>
      <c r="P3321" s="1" t="s">
        <v>2721</v>
      </c>
    </row>
    <row r="3322" spans="1:16">
      <c r="A3322" s="1" t="s">
        <v>15</v>
      </c>
      <c r="B3322" s="1">
        <v>11</v>
      </c>
      <c r="C3322" s="1" t="s">
        <v>7657</v>
      </c>
      <c r="D3322" s="1" t="s">
        <v>4863</v>
      </c>
      <c r="E3322" s="2">
        <v>45981</v>
      </c>
      <c r="F3322" s="1" t="s">
        <v>3496</v>
      </c>
      <c r="G3322" s="1" t="s">
        <v>4864</v>
      </c>
      <c r="H3322" s="1" t="s">
        <v>4865</v>
      </c>
      <c r="I3322" s="1">
        <v>1</v>
      </c>
      <c r="J3322" s="3">
        <v>11599</v>
      </c>
      <c r="K3322" s="3">
        <v>11068</v>
      </c>
      <c r="L3322" s="1">
        <v>0</v>
      </c>
      <c r="M3322" s="4">
        <v>0</v>
      </c>
      <c r="N3322" s="1">
        <v>531</v>
      </c>
      <c r="O3322" s="4">
        <v>4.5999999999999999E-2</v>
      </c>
      <c r="P3322" s="1" t="s">
        <v>2721</v>
      </c>
    </row>
    <row r="3323" spans="1:16">
      <c r="A3323" s="1" t="s">
        <v>15</v>
      </c>
      <c r="B3323" s="1">
        <v>11</v>
      </c>
      <c r="C3323" s="1" t="s">
        <v>7658</v>
      </c>
      <c r="D3323" s="1" t="s">
        <v>504</v>
      </c>
      <c r="E3323" s="2">
        <v>45981</v>
      </c>
      <c r="F3323" s="1" t="s">
        <v>407</v>
      </c>
      <c r="G3323" s="1" t="s">
        <v>505</v>
      </c>
      <c r="H3323" s="1" t="s">
        <v>1004</v>
      </c>
      <c r="I3323" s="1">
        <v>1</v>
      </c>
      <c r="J3323" s="3">
        <v>9339</v>
      </c>
      <c r="K3323" s="3">
        <v>8911</v>
      </c>
      <c r="L3323" s="1">
        <v>0</v>
      </c>
      <c r="M3323" s="4">
        <v>0</v>
      </c>
      <c r="N3323" s="1">
        <v>428</v>
      </c>
      <c r="O3323" s="4">
        <v>4.5999999999999999E-2</v>
      </c>
      <c r="P3323" s="1" t="s">
        <v>2721</v>
      </c>
    </row>
    <row r="3324" spans="1:16">
      <c r="A3324" s="1" t="s">
        <v>15</v>
      </c>
      <c r="B3324" s="1">
        <v>11</v>
      </c>
      <c r="C3324" s="1" t="s">
        <v>7659</v>
      </c>
      <c r="D3324" s="1" t="s">
        <v>341</v>
      </c>
      <c r="E3324" s="2">
        <v>45981</v>
      </c>
      <c r="F3324" s="1" t="s">
        <v>53</v>
      </c>
      <c r="G3324" s="1" t="s">
        <v>342</v>
      </c>
      <c r="H3324" s="1" t="s">
        <v>343</v>
      </c>
      <c r="I3324" s="1">
        <v>1</v>
      </c>
      <c r="J3324" s="3">
        <v>16135</v>
      </c>
      <c r="K3324" s="3">
        <v>15396</v>
      </c>
      <c r="L3324" s="1">
        <v>0</v>
      </c>
      <c r="M3324" s="4">
        <v>0</v>
      </c>
      <c r="N3324" s="1">
        <v>739</v>
      </c>
      <c r="O3324" s="4">
        <v>4.5999999999999999E-2</v>
      </c>
      <c r="P3324" s="1" t="s">
        <v>2721</v>
      </c>
    </row>
    <row r="3325" spans="1:16">
      <c r="A3325" s="1" t="s">
        <v>15</v>
      </c>
      <c r="B3325" s="1">
        <v>11</v>
      </c>
      <c r="C3325" s="1" t="s">
        <v>7660</v>
      </c>
      <c r="D3325" s="1" t="s">
        <v>57</v>
      </c>
      <c r="E3325" s="2">
        <v>45981</v>
      </c>
      <c r="F3325" s="1" t="s">
        <v>58</v>
      </c>
      <c r="G3325" s="1" t="s">
        <v>59</v>
      </c>
      <c r="H3325" s="1" t="s">
        <v>7661</v>
      </c>
      <c r="I3325" s="1">
        <v>1</v>
      </c>
      <c r="J3325" s="3">
        <v>17203</v>
      </c>
      <c r="K3325" s="3">
        <v>16415</v>
      </c>
      <c r="L3325" s="1">
        <v>0</v>
      </c>
      <c r="M3325" s="4">
        <v>0</v>
      </c>
      <c r="N3325" s="1">
        <v>788</v>
      </c>
      <c r="O3325" s="4">
        <v>4.5999999999999999E-2</v>
      </c>
      <c r="P3325" s="1" t="s">
        <v>2721</v>
      </c>
    </row>
    <row r="3326" spans="1:16">
      <c r="A3326" s="1" t="s">
        <v>15</v>
      </c>
      <c r="B3326" s="1">
        <v>11</v>
      </c>
      <c r="C3326" s="1" t="s">
        <v>7662</v>
      </c>
      <c r="D3326" s="1" t="s">
        <v>5733</v>
      </c>
      <c r="E3326" s="2">
        <v>45981</v>
      </c>
      <c r="F3326" s="1" t="s">
        <v>5734</v>
      </c>
      <c r="G3326" s="1" t="s">
        <v>5735</v>
      </c>
      <c r="H3326" s="1" t="s">
        <v>7663</v>
      </c>
      <c r="I3326" s="1">
        <v>1</v>
      </c>
      <c r="J3326" s="3">
        <v>24772</v>
      </c>
      <c r="K3326" s="3">
        <v>23638</v>
      </c>
      <c r="L3326" s="1">
        <v>0</v>
      </c>
      <c r="M3326" s="4">
        <v>0</v>
      </c>
      <c r="N3326" s="3">
        <v>1134</v>
      </c>
      <c r="O3326" s="4">
        <v>4.5999999999999999E-2</v>
      </c>
      <c r="P3326" s="1" t="s">
        <v>2721</v>
      </c>
    </row>
    <row r="3327" spans="1:16">
      <c r="A3327" s="1" t="s">
        <v>15</v>
      </c>
      <c r="B3327" s="1">
        <v>11</v>
      </c>
      <c r="C3327" s="1" t="s">
        <v>7664</v>
      </c>
      <c r="D3327" s="1" t="s">
        <v>1375</v>
      </c>
      <c r="E3327" s="2">
        <v>45981</v>
      </c>
      <c r="F3327" s="1" t="s">
        <v>256</v>
      </c>
      <c r="G3327" s="1" t="s">
        <v>1376</v>
      </c>
      <c r="H3327" s="1" t="s">
        <v>2376</v>
      </c>
      <c r="I3327" s="1">
        <v>12</v>
      </c>
      <c r="J3327" s="3">
        <v>61929</v>
      </c>
      <c r="K3327" s="3">
        <v>59094</v>
      </c>
      <c r="L3327" s="1">
        <v>0</v>
      </c>
      <c r="M3327" s="4">
        <v>0</v>
      </c>
      <c r="N3327" s="3">
        <v>2835</v>
      </c>
      <c r="O3327" s="4">
        <v>4.5999999999999999E-2</v>
      </c>
      <c r="P3327" s="1" t="s">
        <v>2721</v>
      </c>
    </row>
    <row r="3328" spans="1:16">
      <c r="A3328" s="1" t="s">
        <v>15</v>
      </c>
      <c r="B3328" s="1">
        <v>11</v>
      </c>
      <c r="C3328" s="1" t="s">
        <v>7665</v>
      </c>
      <c r="D3328" s="1" t="s">
        <v>1346</v>
      </c>
      <c r="E3328" s="2">
        <v>45981</v>
      </c>
      <c r="F3328" s="1" t="s">
        <v>317</v>
      </c>
      <c r="G3328" s="1" t="s">
        <v>1347</v>
      </c>
      <c r="H3328" s="1" t="s">
        <v>1348</v>
      </c>
      <c r="I3328" s="1">
        <v>1</v>
      </c>
      <c r="J3328" s="3">
        <v>32439</v>
      </c>
      <c r="K3328" s="3">
        <v>30954</v>
      </c>
      <c r="L3328" s="1">
        <v>0</v>
      </c>
      <c r="M3328" s="4">
        <v>0</v>
      </c>
      <c r="N3328" s="3">
        <v>1485</v>
      </c>
      <c r="O3328" s="4">
        <v>4.5999999999999999E-2</v>
      </c>
      <c r="P3328" s="1" t="s">
        <v>2721</v>
      </c>
    </row>
    <row r="3329" spans="1:16">
      <c r="A3329" s="1" t="s">
        <v>15</v>
      </c>
      <c r="B3329" s="1">
        <v>11</v>
      </c>
      <c r="C3329" s="1" t="s">
        <v>7666</v>
      </c>
      <c r="D3329" s="1" t="s">
        <v>1336</v>
      </c>
      <c r="E3329" s="2">
        <v>45981</v>
      </c>
      <c r="F3329" s="1" t="s">
        <v>1271</v>
      </c>
      <c r="G3329" s="1" t="s">
        <v>1337</v>
      </c>
      <c r="H3329" s="1" t="s">
        <v>2956</v>
      </c>
      <c r="I3329" s="1">
        <v>1</v>
      </c>
      <c r="J3329" s="3">
        <v>49347</v>
      </c>
      <c r="K3329" s="3">
        <v>47088</v>
      </c>
      <c r="L3329" s="1">
        <v>0</v>
      </c>
      <c r="M3329" s="4">
        <v>0</v>
      </c>
      <c r="N3329" s="3">
        <v>2259</v>
      </c>
      <c r="O3329" s="4">
        <v>4.5999999999999999E-2</v>
      </c>
      <c r="P3329" s="1" t="s">
        <v>2721</v>
      </c>
    </row>
    <row r="3330" spans="1:16">
      <c r="A3330" s="1" t="s">
        <v>15</v>
      </c>
      <c r="B3330" s="1">
        <v>11</v>
      </c>
      <c r="C3330" s="1" t="s">
        <v>7667</v>
      </c>
      <c r="D3330" s="1" t="s">
        <v>878</v>
      </c>
      <c r="E3330" s="2">
        <v>45981</v>
      </c>
      <c r="F3330" s="1" t="s">
        <v>856</v>
      </c>
      <c r="G3330" s="1" t="s">
        <v>879</v>
      </c>
      <c r="H3330" s="1" t="s">
        <v>880</v>
      </c>
      <c r="I3330" s="1">
        <v>1</v>
      </c>
      <c r="J3330" s="3">
        <v>89453</v>
      </c>
      <c r="K3330" s="3">
        <v>85358</v>
      </c>
      <c r="L3330" s="1">
        <v>0</v>
      </c>
      <c r="M3330" s="4">
        <v>0</v>
      </c>
      <c r="N3330" s="3">
        <v>4095</v>
      </c>
      <c r="O3330" s="4">
        <v>4.5999999999999999E-2</v>
      </c>
      <c r="P3330" s="1" t="s">
        <v>2721</v>
      </c>
    </row>
    <row r="3331" spans="1:16">
      <c r="A3331" s="1" t="s">
        <v>15</v>
      </c>
      <c r="B3331" s="1">
        <v>11</v>
      </c>
      <c r="C3331" s="1" t="s">
        <v>7668</v>
      </c>
      <c r="D3331" s="1" t="s">
        <v>5242</v>
      </c>
      <c r="E3331" s="2">
        <v>45981</v>
      </c>
      <c r="F3331" s="1" t="s">
        <v>18</v>
      </c>
      <c r="G3331" s="1" t="s">
        <v>5243</v>
      </c>
      <c r="H3331" s="1" t="s">
        <v>5243</v>
      </c>
      <c r="I3331" s="1">
        <v>2</v>
      </c>
      <c r="J3331" s="3">
        <v>27917</v>
      </c>
      <c r="K3331" s="3">
        <v>26639</v>
      </c>
      <c r="L3331" s="1">
        <v>0</v>
      </c>
      <c r="M3331" s="4">
        <v>0</v>
      </c>
      <c r="N3331" s="3">
        <v>1278</v>
      </c>
      <c r="O3331" s="4">
        <v>4.5999999999999999E-2</v>
      </c>
      <c r="P3331" s="1" t="s">
        <v>2721</v>
      </c>
    </row>
    <row r="3332" spans="1:16">
      <c r="A3332" s="1" t="s">
        <v>15</v>
      </c>
      <c r="B3332" s="1">
        <v>11</v>
      </c>
      <c r="C3332" s="1" t="s">
        <v>7669</v>
      </c>
      <c r="D3332" s="1" t="s">
        <v>1173</v>
      </c>
      <c r="E3332" s="2">
        <v>45981</v>
      </c>
      <c r="F3332" s="1" t="s">
        <v>1075</v>
      </c>
      <c r="G3332" s="1" t="s">
        <v>1174</v>
      </c>
      <c r="H3332" s="1" t="s">
        <v>7670</v>
      </c>
      <c r="I3332" s="1">
        <v>1</v>
      </c>
      <c r="J3332" s="3">
        <v>14379</v>
      </c>
      <c r="K3332" s="3">
        <v>13721</v>
      </c>
      <c r="L3332" s="1">
        <v>0</v>
      </c>
      <c r="M3332" s="4">
        <v>0</v>
      </c>
      <c r="N3332" s="1">
        <v>658</v>
      </c>
      <c r="O3332" s="4">
        <v>4.5999999999999999E-2</v>
      </c>
      <c r="P3332" s="1" t="s">
        <v>2721</v>
      </c>
    </row>
    <row r="3333" spans="1:16">
      <c r="A3333" s="1" t="s">
        <v>15</v>
      </c>
      <c r="B3333" s="1">
        <v>11</v>
      </c>
      <c r="C3333" s="1" t="s">
        <v>7671</v>
      </c>
      <c r="D3333" s="1" t="s">
        <v>3644</v>
      </c>
      <c r="E3333" s="2">
        <v>45981</v>
      </c>
      <c r="F3333" s="1" t="s">
        <v>725</v>
      </c>
      <c r="G3333" s="1" t="s">
        <v>3645</v>
      </c>
      <c r="H3333" s="1" t="s">
        <v>3646</v>
      </c>
      <c r="I3333" s="1">
        <v>1</v>
      </c>
      <c r="J3333" s="3">
        <v>120024</v>
      </c>
      <c r="K3333" s="3">
        <v>114530</v>
      </c>
      <c r="L3333" s="1">
        <v>0</v>
      </c>
      <c r="M3333" s="4">
        <v>0</v>
      </c>
      <c r="N3333" s="3">
        <v>5494</v>
      </c>
      <c r="O3333" s="4">
        <v>4.5999999999999999E-2</v>
      </c>
      <c r="P3333" s="1" t="s">
        <v>2721</v>
      </c>
    </row>
    <row r="3334" spans="1:16">
      <c r="A3334" s="1" t="s">
        <v>15</v>
      </c>
      <c r="B3334" s="1">
        <v>11</v>
      </c>
      <c r="C3334" s="1" t="s">
        <v>7672</v>
      </c>
      <c r="D3334" s="1" t="s">
        <v>777</v>
      </c>
      <c r="E3334" s="2">
        <v>45981</v>
      </c>
      <c r="F3334" s="1" t="s">
        <v>256</v>
      </c>
      <c r="G3334" s="1" t="s">
        <v>778</v>
      </c>
      <c r="H3334" s="1" t="s">
        <v>779</v>
      </c>
      <c r="I3334" s="1">
        <v>1</v>
      </c>
      <c r="J3334" s="3">
        <v>11010</v>
      </c>
      <c r="K3334" s="3">
        <v>10506</v>
      </c>
      <c r="L3334" s="1">
        <v>0</v>
      </c>
      <c r="M3334" s="4">
        <v>0</v>
      </c>
      <c r="N3334" s="1">
        <v>504</v>
      </c>
      <c r="O3334" s="4">
        <v>4.5999999999999999E-2</v>
      </c>
      <c r="P3334" s="1" t="s">
        <v>2721</v>
      </c>
    </row>
    <row r="3335" spans="1:16">
      <c r="A3335" s="1" t="s">
        <v>15</v>
      </c>
      <c r="B3335" s="1">
        <v>11</v>
      </c>
      <c r="C3335" s="1" t="s">
        <v>7673</v>
      </c>
      <c r="D3335" s="1" t="s">
        <v>425</v>
      </c>
      <c r="E3335" s="2">
        <v>45981</v>
      </c>
      <c r="F3335" s="1" t="s">
        <v>426</v>
      </c>
      <c r="G3335" s="1" t="s">
        <v>427</v>
      </c>
      <c r="H3335" s="1" t="s">
        <v>1568</v>
      </c>
      <c r="I3335" s="1">
        <v>1</v>
      </c>
      <c r="J3335" s="3">
        <v>24575</v>
      </c>
      <c r="K3335" s="3">
        <v>23450</v>
      </c>
      <c r="L3335" s="1">
        <v>0</v>
      </c>
      <c r="M3335" s="4">
        <v>0</v>
      </c>
      <c r="N3335" s="3">
        <v>1125</v>
      </c>
      <c r="O3335" s="4">
        <v>4.5999999999999999E-2</v>
      </c>
      <c r="P3335" s="1" t="s">
        <v>2721</v>
      </c>
    </row>
    <row r="3336" spans="1:16">
      <c r="A3336" s="1" t="s">
        <v>15</v>
      </c>
      <c r="B3336" s="1">
        <v>11</v>
      </c>
      <c r="C3336" s="1" t="s">
        <v>7674</v>
      </c>
      <c r="D3336" s="1" t="s">
        <v>504</v>
      </c>
      <c r="E3336" s="2">
        <v>45981</v>
      </c>
      <c r="F3336" s="1" t="s">
        <v>407</v>
      </c>
      <c r="G3336" s="1" t="s">
        <v>505</v>
      </c>
      <c r="H3336" s="1" t="s">
        <v>1004</v>
      </c>
      <c r="I3336" s="1">
        <v>1</v>
      </c>
      <c r="J3336" s="3">
        <v>9339</v>
      </c>
      <c r="K3336" s="3">
        <v>8911</v>
      </c>
      <c r="L3336" s="1">
        <v>0</v>
      </c>
      <c r="M3336" s="4">
        <v>0</v>
      </c>
      <c r="N3336" s="1">
        <v>428</v>
      </c>
      <c r="O3336" s="4">
        <v>4.5999999999999999E-2</v>
      </c>
      <c r="P3336" s="1" t="s">
        <v>2721</v>
      </c>
    </row>
    <row r="3337" spans="1:16">
      <c r="A3337" s="1" t="s">
        <v>15</v>
      </c>
      <c r="B3337" s="1">
        <v>11</v>
      </c>
      <c r="C3337" s="1" t="s">
        <v>7675</v>
      </c>
      <c r="D3337" s="1" t="s">
        <v>311</v>
      </c>
      <c r="E3337" s="2">
        <v>45981</v>
      </c>
      <c r="F3337" s="1" t="s">
        <v>312</v>
      </c>
      <c r="G3337" s="1" t="s">
        <v>313</v>
      </c>
      <c r="H3337" s="1" t="s">
        <v>3751</v>
      </c>
      <c r="I3337" s="1">
        <v>1</v>
      </c>
      <c r="J3337" s="3">
        <v>28310</v>
      </c>
      <c r="K3337" s="3">
        <v>27014</v>
      </c>
      <c r="L3337" s="1">
        <v>0</v>
      </c>
      <c r="M3337" s="4">
        <v>0</v>
      </c>
      <c r="N3337" s="3">
        <v>1296</v>
      </c>
      <c r="O3337" s="4">
        <v>4.5999999999999999E-2</v>
      </c>
      <c r="P3337" s="1" t="s">
        <v>2721</v>
      </c>
    </row>
    <row r="3338" spans="1:16">
      <c r="A3338" s="1" t="s">
        <v>15</v>
      </c>
      <c r="B3338" s="1">
        <v>11</v>
      </c>
      <c r="C3338" s="1" t="s">
        <v>7676</v>
      </c>
      <c r="D3338" s="1" t="s">
        <v>3922</v>
      </c>
      <c r="E3338" s="2">
        <v>45981</v>
      </c>
      <c r="F3338" s="1" t="s">
        <v>395</v>
      </c>
      <c r="G3338" s="1" t="s">
        <v>1758</v>
      </c>
      <c r="H3338" s="1" t="s">
        <v>3923</v>
      </c>
      <c r="I3338" s="1">
        <v>1</v>
      </c>
      <c r="J3338" s="3">
        <v>18874</v>
      </c>
      <c r="K3338" s="3">
        <v>18010</v>
      </c>
      <c r="L3338" s="1">
        <v>0</v>
      </c>
      <c r="M3338" s="4">
        <v>0</v>
      </c>
      <c r="N3338" s="1">
        <v>864</v>
      </c>
      <c r="O3338" s="4">
        <v>4.5999999999999999E-2</v>
      </c>
      <c r="P3338" s="1" t="s">
        <v>2721</v>
      </c>
    </row>
    <row r="3339" spans="1:16">
      <c r="A3339" s="1" t="s">
        <v>15</v>
      </c>
      <c r="B3339" s="1">
        <v>11</v>
      </c>
      <c r="C3339" s="1" t="s">
        <v>7677</v>
      </c>
      <c r="D3339" s="1" t="s">
        <v>270</v>
      </c>
      <c r="E3339" s="2">
        <v>45981</v>
      </c>
      <c r="F3339" s="1" t="s">
        <v>271</v>
      </c>
      <c r="G3339" s="1" t="s">
        <v>272</v>
      </c>
      <c r="H3339" s="1" t="s">
        <v>273</v>
      </c>
      <c r="I3339" s="1">
        <v>1</v>
      </c>
      <c r="J3339" s="3">
        <v>25067</v>
      </c>
      <c r="K3339" s="3">
        <v>23919</v>
      </c>
      <c r="L3339" s="1">
        <v>0</v>
      </c>
      <c r="M3339" s="4">
        <v>0</v>
      </c>
      <c r="N3339" s="3">
        <v>1148</v>
      </c>
      <c r="O3339" s="4">
        <v>4.5999999999999999E-2</v>
      </c>
      <c r="P3339" s="1" t="s">
        <v>2721</v>
      </c>
    </row>
    <row r="3340" spans="1:16">
      <c r="A3340" s="1" t="s">
        <v>15</v>
      </c>
      <c r="B3340" s="1">
        <v>11</v>
      </c>
      <c r="C3340" s="1" t="s">
        <v>7678</v>
      </c>
      <c r="D3340" s="1" t="s">
        <v>1359</v>
      </c>
      <c r="E3340" s="2">
        <v>45981</v>
      </c>
      <c r="F3340" s="1" t="s">
        <v>63</v>
      </c>
      <c r="G3340" s="1" t="s">
        <v>1360</v>
      </c>
      <c r="H3340" s="1" t="s">
        <v>2352</v>
      </c>
      <c r="I3340" s="1">
        <v>1</v>
      </c>
      <c r="J3340" s="3">
        <v>30765</v>
      </c>
      <c r="K3340" s="3">
        <v>29357</v>
      </c>
      <c r="L3340" s="1">
        <v>0</v>
      </c>
      <c r="M3340" s="4">
        <v>0</v>
      </c>
      <c r="N3340" s="3">
        <v>1408</v>
      </c>
      <c r="O3340" s="4">
        <v>4.5999999999999999E-2</v>
      </c>
      <c r="P3340" s="1" t="s">
        <v>2721</v>
      </c>
    </row>
    <row r="3341" spans="1:16">
      <c r="A3341" s="1" t="s">
        <v>15</v>
      </c>
      <c r="B3341" s="1">
        <v>11</v>
      </c>
      <c r="C3341" s="1" t="s">
        <v>7679</v>
      </c>
      <c r="D3341" s="1" t="s">
        <v>574</v>
      </c>
      <c r="E3341" s="2">
        <v>45981</v>
      </c>
      <c r="F3341" s="1" t="s">
        <v>126</v>
      </c>
      <c r="G3341" s="1" t="s">
        <v>575</v>
      </c>
      <c r="H3341" s="1" t="s">
        <v>576</v>
      </c>
      <c r="I3341" s="1">
        <v>1</v>
      </c>
      <c r="J3341" s="3">
        <v>15237</v>
      </c>
      <c r="K3341" s="3">
        <v>14539</v>
      </c>
      <c r="L3341" s="1">
        <v>0</v>
      </c>
      <c r="M3341" s="4">
        <v>0</v>
      </c>
      <c r="N3341" s="1">
        <v>698</v>
      </c>
      <c r="O3341" s="4">
        <v>4.5999999999999999E-2</v>
      </c>
      <c r="P3341" s="1" t="s">
        <v>2721</v>
      </c>
    </row>
    <row r="3342" spans="1:16">
      <c r="A3342" s="1" t="s">
        <v>15</v>
      </c>
      <c r="B3342" s="1">
        <v>11</v>
      </c>
      <c r="C3342" s="1" t="s">
        <v>7680</v>
      </c>
      <c r="D3342" s="1" t="s">
        <v>7681</v>
      </c>
      <c r="E3342" s="2">
        <v>45981</v>
      </c>
      <c r="F3342" s="1" t="s">
        <v>2173</v>
      </c>
      <c r="G3342" s="1" t="s">
        <v>7682</v>
      </c>
      <c r="H3342" s="1" t="s">
        <v>7683</v>
      </c>
      <c r="I3342" s="1">
        <v>1</v>
      </c>
      <c r="J3342" s="3">
        <v>18382</v>
      </c>
      <c r="K3342" s="3">
        <v>17541</v>
      </c>
      <c r="L3342" s="1">
        <v>0</v>
      </c>
      <c r="M3342" s="4">
        <v>0</v>
      </c>
      <c r="N3342" s="1">
        <v>841</v>
      </c>
      <c r="O3342" s="4">
        <v>4.5999999999999999E-2</v>
      </c>
      <c r="P3342" s="1" t="s">
        <v>2721</v>
      </c>
    </row>
    <row r="3343" spans="1:16">
      <c r="A3343" s="1" t="s">
        <v>15</v>
      </c>
      <c r="B3343" s="1">
        <v>11</v>
      </c>
      <c r="C3343" s="1" t="s">
        <v>7684</v>
      </c>
      <c r="D3343" s="1" t="s">
        <v>7685</v>
      </c>
      <c r="E3343" s="2">
        <v>45981</v>
      </c>
      <c r="F3343" s="1" t="s">
        <v>1075</v>
      </c>
      <c r="G3343" s="1" t="s">
        <v>3156</v>
      </c>
      <c r="H3343" s="1" t="s">
        <v>3157</v>
      </c>
      <c r="I3343" s="1">
        <v>1</v>
      </c>
      <c r="J3343" s="3">
        <v>12288</v>
      </c>
      <c r="K3343" s="3">
        <v>11725</v>
      </c>
      <c r="L3343" s="1">
        <v>0</v>
      </c>
      <c r="M3343" s="4">
        <v>0</v>
      </c>
      <c r="N3343" s="1">
        <v>563</v>
      </c>
      <c r="O3343" s="4">
        <v>4.5999999999999999E-2</v>
      </c>
      <c r="P3343" s="1" t="s">
        <v>2721</v>
      </c>
    </row>
    <row r="3344" spans="1:16">
      <c r="A3344" s="1" t="s">
        <v>15</v>
      </c>
      <c r="B3344" s="1">
        <v>11</v>
      </c>
      <c r="C3344" s="1" t="s">
        <v>7686</v>
      </c>
      <c r="D3344" s="1" t="s">
        <v>22</v>
      </c>
      <c r="E3344" s="2">
        <v>45981</v>
      </c>
      <c r="F3344" s="1" t="s">
        <v>23</v>
      </c>
      <c r="G3344" s="1" t="s">
        <v>24</v>
      </c>
      <c r="H3344" s="1" t="s">
        <v>25</v>
      </c>
      <c r="I3344" s="1">
        <v>1</v>
      </c>
      <c r="J3344" s="3">
        <v>11305</v>
      </c>
      <c r="K3344" s="3">
        <v>10787</v>
      </c>
      <c r="L3344" s="1">
        <v>0</v>
      </c>
      <c r="M3344" s="4">
        <v>0</v>
      </c>
      <c r="N3344" s="1">
        <v>518</v>
      </c>
      <c r="O3344" s="4">
        <v>4.5999999999999999E-2</v>
      </c>
      <c r="P3344" s="1" t="s">
        <v>2721</v>
      </c>
    </row>
    <row r="3345" spans="1:16">
      <c r="A3345" s="1" t="s">
        <v>15</v>
      </c>
      <c r="B3345" s="1">
        <v>11</v>
      </c>
      <c r="C3345" s="1" t="s">
        <v>7687</v>
      </c>
      <c r="D3345" s="1" t="s">
        <v>3799</v>
      </c>
      <c r="E3345" s="2">
        <v>45981</v>
      </c>
      <c r="F3345" s="1" t="s">
        <v>1403</v>
      </c>
      <c r="G3345" s="1" t="s">
        <v>3800</v>
      </c>
      <c r="H3345" s="1" t="s">
        <v>3801</v>
      </c>
      <c r="I3345" s="1">
        <v>1</v>
      </c>
      <c r="J3345" s="3">
        <v>13664</v>
      </c>
      <c r="K3345" s="3">
        <v>13038</v>
      </c>
      <c r="L3345" s="1">
        <v>0</v>
      </c>
      <c r="M3345" s="4">
        <v>0</v>
      </c>
      <c r="N3345" s="1">
        <v>626</v>
      </c>
      <c r="O3345" s="4">
        <v>4.5999999999999999E-2</v>
      </c>
      <c r="P3345" s="1" t="s">
        <v>2721</v>
      </c>
    </row>
    <row r="3346" spans="1:16">
      <c r="A3346" s="1" t="s">
        <v>15</v>
      </c>
      <c r="B3346" s="1">
        <v>11</v>
      </c>
      <c r="C3346" s="1" t="s">
        <v>7688</v>
      </c>
      <c r="D3346" s="1" t="s">
        <v>1250</v>
      </c>
      <c r="E3346" s="2">
        <v>45981</v>
      </c>
      <c r="F3346" s="1" t="s">
        <v>18</v>
      </c>
      <c r="G3346" s="1" t="s">
        <v>1251</v>
      </c>
      <c r="H3346" s="1" t="s">
        <v>1252</v>
      </c>
      <c r="I3346" s="1">
        <v>2</v>
      </c>
      <c r="J3346" s="3">
        <v>16790</v>
      </c>
      <c r="K3346" s="3">
        <v>16021</v>
      </c>
      <c r="L3346" s="1">
        <v>0</v>
      </c>
      <c r="M3346" s="4">
        <v>0</v>
      </c>
      <c r="N3346" s="1">
        <v>769</v>
      </c>
      <c r="O3346" s="4">
        <v>4.5999999999999999E-2</v>
      </c>
      <c r="P3346" s="1" t="s">
        <v>2721</v>
      </c>
    </row>
    <row r="3347" spans="1:16">
      <c r="A3347" s="1" t="s">
        <v>15</v>
      </c>
      <c r="B3347" s="1">
        <v>11</v>
      </c>
      <c r="C3347" s="1" t="s">
        <v>7689</v>
      </c>
      <c r="D3347" s="1" t="s">
        <v>4039</v>
      </c>
      <c r="E3347" s="2">
        <v>45981</v>
      </c>
      <c r="F3347" s="1" t="s">
        <v>53</v>
      </c>
      <c r="G3347" s="1" t="s">
        <v>4040</v>
      </c>
      <c r="H3347" s="1" t="s">
        <v>4041</v>
      </c>
      <c r="I3347" s="1">
        <v>1</v>
      </c>
      <c r="J3347" s="3">
        <v>16135</v>
      </c>
      <c r="K3347" s="3">
        <v>15396</v>
      </c>
      <c r="L3347" s="1">
        <v>0</v>
      </c>
      <c r="M3347" s="4">
        <v>0</v>
      </c>
      <c r="N3347" s="1">
        <v>739</v>
      </c>
      <c r="O3347" s="4">
        <v>4.5999999999999999E-2</v>
      </c>
      <c r="P3347" s="1" t="s">
        <v>2721</v>
      </c>
    </row>
    <row r="3348" spans="1:16">
      <c r="A3348" s="1" t="s">
        <v>15</v>
      </c>
      <c r="B3348" s="1">
        <v>11</v>
      </c>
      <c r="C3348" s="1" t="s">
        <v>7690</v>
      </c>
      <c r="D3348" s="1" t="s">
        <v>2490</v>
      </c>
      <c r="E3348" s="2">
        <v>45981</v>
      </c>
      <c r="F3348" s="1" t="s">
        <v>753</v>
      </c>
      <c r="G3348" s="1" t="s">
        <v>2491</v>
      </c>
      <c r="H3348" s="1" t="s">
        <v>2492</v>
      </c>
      <c r="I3348" s="1">
        <v>1</v>
      </c>
      <c r="J3348" s="3">
        <v>24870</v>
      </c>
      <c r="K3348" s="3">
        <v>23731</v>
      </c>
      <c r="L3348" s="1">
        <v>0</v>
      </c>
      <c r="M3348" s="4">
        <v>0</v>
      </c>
      <c r="N3348" s="3">
        <v>1139</v>
      </c>
      <c r="O3348" s="4">
        <v>4.5999999999999999E-2</v>
      </c>
      <c r="P3348" s="1" t="s">
        <v>2721</v>
      </c>
    </row>
    <row r="3349" spans="1:16">
      <c r="A3349" s="1" t="s">
        <v>15</v>
      </c>
      <c r="B3349" s="1">
        <v>11</v>
      </c>
      <c r="C3349" s="1" t="s">
        <v>7691</v>
      </c>
      <c r="D3349" s="1" t="s">
        <v>3247</v>
      </c>
      <c r="E3349" s="2">
        <v>45981</v>
      </c>
      <c r="F3349" s="1" t="s">
        <v>77</v>
      </c>
      <c r="G3349" s="1" t="s">
        <v>3248</v>
      </c>
      <c r="H3349" s="1" t="s">
        <v>3248</v>
      </c>
      <c r="I3349" s="1">
        <v>1</v>
      </c>
      <c r="J3349" s="3">
        <v>26541</v>
      </c>
      <c r="K3349" s="3">
        <v>25326</v>
      </c>
      <c r="L3349" s="1">
        <v>0</v>
      </c>
      <c r="M3349" s="4">
        <v>0</v>
      </c>
      <c r="N3349" s="3">
        <v>1215</v>
      </c>
      <c r="O3349" s="4">
        <v>4.5999999999999999E-2</v>
      </c>
      <c r="P3349" s="1" t="s">
        <v>2721</v>
      </c>
    </row>
    <row r="3350" spans="1:16">
      <c r="A3350" s="1" t="s">
        <v>15</v>
      </c>
      <c r="B3350" s="1">
        <v>11</v>
      </c>
      <c r="C3350" s="1" t="s">
        <v>7692</v>
      </c>
      <c r="D3350" s="1" t="s">
        <v>104</v>
      </c>
      <c r="E3350" s="2">
        <v>45981</v>
      </c>
      <c r="F3350" s="1" t="s">
        <v>96</v>
      </c>
      <c r="G3350" s="1" t="s">
        <v>105</v>
      </c>
      <c r="H3350" s="1" t="s">
        <v>106</v>
      </c>
      <c r="I3350" s="1">
        <v>1</v>
      </c>
      <c r="J3350" s="3">
        <v>21614</v>
      </c>
      <c r="K3350" s="3">
        <v>20625</v>
      </c>
      <c r="L3350" s="1">
        <v>0</v>
      </c>
      <c r="M3350" s="4">
        <v>0</v>
      </c>
      <c r="N3350" s="1">
        <v>989</v>
      </c>
      <c r="O3350" s="4">
        <v>4.5999999999999999E-2</v>
      </c>
      <c r="P3350" s="1" t="s">
        <v>2721</v>
      </c>
    </row>
    <row r="3351" spans="1:16">
      <c r="A3351" s="1" t="s">
        <v>15</v>
      </c>
      <c r="B3351" s="1">
        <v>11</v>
      </c>
      <c r="C3351" s="1" t="s">
        <v>7693</v>
      </c>
      <c r="D3351" s="1" t="s">
        <v>95</v>
      </c>
      <c r="E3351" s="2">
        <v>45981</v>
      </c>
      <c r="F3351" s="1" t="s">
        <v>96</v>
      </c>
      <c r="G3351" s="1" t="s">
        <v>97</v>
      </c>
      <c r="H3351" s="1" t="s">
        <v>97</v>
      </c>
      <c r="I3351" s="1">
        <v>1</v>
      </c>
      <c r="J3351" s="3">
        <v>12571</v>
      </c>
      <c r="K3351" s="3">
        <v>11995</v>
      </c>
      <c r="L3351" s="1">
        <v>0</v>
      </c>
      <c r="M3351" s="4">
        <v>0</v>
      </c>
      <c r="N3351" s="1">
        <v>576</v>
      </c>
      <c r="O3351" s="4">
        <v>4.5999999999999999E-2</v>
      </c>
      <c r="P3351" s="1" t="s">
        <v>2721</v>
      </c>
    </row>
    <row r="3352" spans="1:16">
      <c r="A3352" s="1" t="s">
        <v>15</v>
      </c>
      <c r="B3352" s="1">
        <v>11</v>
      </c>
      <c r="C3352" s="1" t="s">
        <v>7694</v>
      </c>
      <c r="D3352" s="1" t="s">
        <v>887</v>
      </c>
      <c r="E3352" s="2">
        <v>45981</v>
      </c>
      <c r="F3352" s="1" t="s">
        <v>53</v>
      </c>
      <c r="G3352" s="1" t="s">
        <v>888</v>
      </c>
      <c r="H3352" s="1" t="s">
        <v>2436</v>
      </c>
      <c r="I3352" s="1">
        <v>1</v>
      </c>
      <c r="J3352" s="3">
        <v>20553</v>
      </c>
      <c r="K3352" s="3">
        <v>19612</v>
      </c>
      <c r="L3352" s="1">
        <v>0</v>
      </c>
      <c r="M3352" s="4">
        <v>0</v>
      </c>
      <c r="N3352" s="1">
        <v>941</v>
      </c>
      <c r="O3352" s="4">
        <v>4.5999999999999999E-2</v>
      </c>
      <c r="P3352" s="1" t="s">
        <v>2721</v>
      </c>
    </row>
    <row r="3353" spans="1:16">
      <c r="A3353" s="1" t="s">
        <v>15</v>
      </c>
      <c r="B3353" s="1">
        <v>11</v>
      </c>
      <c r="C3353" s="1" t="s">
        <v>7695</v>
      </c>
      <c r="D3353" s="1" t="s">
        <v>2922</v>
      </c>
      <c r="E3353" s="2">
        <v>45981</v>
      </c>
      <c r="F3353" s="1" t="s">
        <v>1241</v>
      </c>
      <c r="G3353" s="1" t="s">
        <v>2923</v>
      </c>
      <c r="H3353" s="1" t="s">
        <v>2924</v>
      </c>
      <c r="I3353" s="1">
        <v>1</v>
      </c>
      <c r="J3353" s="3">
        <v>15925</v>
      </c>
      <c r="K3353" s="3">
        <v>15196</v>
      </c>
      <c r="L3353" s="1">
        <v>0</v>
      </c>
      <c r="M3353" s="4">
        <v>0</v>
      </c>
      <c r="N3353" s="1">
        <v>729</v>
      </c>
      <c r="O3353" s="4">
        <v>4.5999999999999999E-2</v>
      </c>
      <c r="P3353" s="1" t="s">
        <v>2721</v>
      </c>
    </row>
    <row r="3354" spans="1:16">
      <c r="A3354" s="1" t="s">
        <v>15</v>
      </c>
      <c r="B3354" s="1">
        <v>11</v>
      </c>
      <c r="C3354" s="1" t="s">
        <v>7696</v>
      </c>
      <c r="D3354" s="1" t="s">
        <v>3836</v>
      </c>
      <c r="E3354" s="2">
        <v>45981</v>
      </c>
      <c r="F3354" s="1" t="s">
        <v>1241</v>
      </c>
      <c r="G3354" s="1" t="s">
        <v>3837</v>
      </c>
      <c r="H3354" s="1" t="s">
        <v>4035</v>
      </c>
      <c r="I3354" s="1">
        <v>1</v>
      </c>
      <c r="J3354" s="3">
        <v>14450</v>
      </c>
      <c r="K3354" s="3">
        <v>13789</v>
      </c>
      <c r="L3354" s="1">
        <v>0</v>
      </c>
      <c r="M3354" s="4">
        <v>0</v>
      </c>
      <c r="N3354" s="1">
        <v>661</v>
      </c>
      <c r="O3354" s="4">
        <v>4.5999999999999999E-2</v>
      </c>
      <c r="P3354" s="1" t="s">
        <v>2721</v>
      </c>
    </row>
    <row r="3355" spans="1:16">
      <c r="A3355" s="1" t="s">
        <v>15</v>
      </c>
      <c r="B3355" s="1">
        <v>11</v>
      </c>
      <c r="C3355" s="1" t="s">
        <v>7697</v>
      </c>
      <c r="D3355" s="1" t="s">
        <v>250</v>
      </c>
      <c r="E3355" s="2">
        <v>45981</v>
      </c>
      <c r="F3355" s="1" t="s">
        <v>251</v>
      </c>
      <c r="G3355" s="1" t="s">
        <v>252</v>
      </c>
      <c r="H3355" s="1" t="s">
        <v>2279</v>
      </c>
      <c r="I3355" s="1">
        <v>1</v>
      </c>
      <c r="J3355" s="3">
        <v>21626</v>
      </c>
      <c r="K3355" s="3">
        <v>20636</v>
      </c>
      <c r="L3355" s="1">
        <v>0</v>
      </c>
      <c r="M3355" s="4">
        <v>0</v>
      </c>
      <c r="N3355" s="1">
        <v>990</v>
      </c>
      <c r="O3355" s="4">
        <v>4.5999999999999999E-2</v>
      </c>
      <c r="P3355" s="1" t="s">
        <v>2721</v>
      </c>
    </row>
    <row r="3356" spans="1:16">
      <c r="A3356" s="1" t="s">
        <v>15</v>
      </c>
      <c r="B3356" s="1">
        <v>11</v>
      </c>
      <c r="C3356" s="1" t="s">
        <v>7698</v>
      </c>
      <c r="D3356" s="1" t="s">
        <v>27</v>
      </c>
      <c r="E3356" s="2">
        <v>45981</v>
      </c>
      <c r="F3356" s="1" t="s">
        <v>28</v>
      </c>
      <c r="G3356" s="1" t="s">
        <v>29</v>
      </c>
      <c r="H3356" s="1" t="s">
        <v>352</v>
      </c>
      <c r="I3356" s="1">
        <v>1</v>
      </c>
      <c r="J3356" s="3">
        <v>27033</v>
      </c>
      <c r="K3356" s="3">
        <v>25795</v>
      </c>
      <c r="L3356" s="1">
        <v>0</v>
      </c>
      <c r="M3356" s="4">
        <v>0</v>
      </c>
      <c r="N3356" s="3">
        <v>1238</v>
      </c>
      <c r="O3356" s="4">
        <v>4.5999999999999999E-2</v>
      </c>
      <c r="P3356" s="1" t="s">
        <v>2721</v>
      </c>
    </row>
    <row r="3357" spans="1:16">
      <c r="A3357" s="1" t="s">
        <v>15</v>
      </c>
      <c r="B3357" s="1">
        <v>11</v>
      </c>
      <c r="C3357" s="1" t="s">
        <v>7698</v>
      </c>
      <c r="D3357" s="1" t="s">
        <v>275</v>
      </c>
      <c r="E3357" s="2">
        <v>45981</v>
      </c>
      <c r="F3357" s="1" t="s">
        <v>276</v>
      </c>
      <c r="G3357" s="1" t="s">
        <v>277</v>
      </c>
      <c r="H3357" s="1" t="s">
        <v>278</v>
      </c>
      <c r="I3357" s="1">
        <v>1</v>
      </c>
      <c r="J3357" s="3">
        <v>19660</v>
      </c>
      <c r="K3357" s="3">
        <v>18760</v>
      </c>
      <c r="L3357" s="1">
        <v>0</v>
      </c>
      <c r="M3357" s="4">
        <v>0</v>
      </c>
      <c r="N3357" s="1">
        <v>900</v>
      </c>
      <c r="O3357" s="4">
        <v>4.5999999999999999E-2</v>
      </c>
      <c r="P3357" s="1" t="s">
        <v>2721</v>
      </c>
    </row>
    <row r="3358" spans="1:16">
      <c r="A3358" s="1" t="s">
        <v>15</v>
      </c>
      <c r="B3358" s="1">
        <v>11</v>
      </c>
      <c r="C3358" s="1" t="s">
        <v>7699</v>
      </c>
      <c r="D3358" s="1" t="s">
        <v>341</v>
      </c>
      <c r="E3358" s="2">
        <v>45981</v>
      </c>
      <c r="F3358" s="1" t="s">
        <v>53</v>
      </c>
      <c r="G3358" s="1" t="s">
        <v>342</v>
      </c>
      <c r="H3358" s="1" t="s">
        <v>343</v>
      </c>
      <c r="I3358" s="1">
        <v>1</v>
      </c>
      <c r="J3358" s="3">
        <v>16135</v>
      </c>
      <c r="K3358" s="3">
        <v>15396</v>
      </c>
      <c r="L3358" s="1">
        <v>0</v>
      </c>
      <c r="M3358" s="4">
        <v>0</v>
      </c>
      <c r="N3358" s="1">
        <v>739</v>
      </c>
      <c r="O3358" s="4">
        <v>4.5999999999999999E-2</v>
      </c>
      <c r="P3358" s="1" t="s">
        <v>2721</v>
      </c>
    </row>
    <row r="3359" spans="1:16">
      <c r="A3359" s="1" t="s">
        <v>15</v>
      </c>
      <c r="B3359" s="1">
        <v>11</v>
      </c>
      <c r="C3359" s="1" t="s">
        <v>7700</v>
      </c>
      <c r="D3359" s="1" t="s">
        <v>2490</v>
      </c>
      <c r="E3359" s="2">
        <v>45981</v>
      </c>
      <c r="F3359" s="1" t="s">
        <v>753</v>
      </c>
      <c r="G3359" s="1" t="s">
        <v>2491</v>
      </c>
      <c r="H3359" s="1" t="s">
        <v>4873</v>
      </c>
      <c r="I3359" s="1">
        <v>1</v>
      </c>
      <c r="J3359" s="3">
        <v>47774</v>
      </c>
      <c r="K3359" s="3">
        <v>45587</v>
      </c>
      <c r="L3359" s="1">
        <v>0</v>
      </c>
      <c r="M3359" s="4">
        <v>0</v>
      </c>
      <c r="N3359" s="3">
        <v>2187</v>
      </c>
      <c r="O3359" s="4">
        <v>4.5999999999999999E-2</v>
      </c>
      <c r="P3359" s="1" t="s">
        <v>2721</v>
      </c>
    </row>
    <row r="3360" spans="1:16">
      <c r="A3360" s="1" t="s">
        <v>15</v>
      </c>
      <c r="B3360" s="1">
        <v>11</v>
      </c>
      <c r="C3360" s="1" t="s">
        <v>7701</v>
      </c>
      <c r="D3360" s="1" t="s">
        <v>125</v>
      </c>
      <c r="E3360" s="2">
        <v>45981</v>
      </c>
      <c r="F3360" s="1" t="s">
        <v>126</v>
      </c>
      <c r="G3360" s="1" t="s">
        <v>127</v>
      </c>
      <c r="H3360" s="1" t="s">
        <v>128</v>
      </c>
      <c r="I3360" s="1">
        <v>1</v>
      </c>
      <c r="J3360" s="3">
        <v>13959</v>
      </c>
      <c r="K3360" s="3">
        <v>13320</v>
      </c>
      <c r="L3360" s="1">
        <v>0</v>
      </c>
      <c r="M3360" s="4">
        <v>0</v>
      </c>
      <c r="N3360" s="1">
        <v>639</v>
      </c>
      <c r="O3360" s="4">
        <v>4.5999999999999999E-2</v>
      </c>
      <c r="P3360" s="1" t="s">
        <v>2721</v>
      </c>
    </row>
    <row r="3361" spans="1:16">
      <c r="A3361" s="1" t="s">
        <v>15</v>
      </c>
      <c r="B3361" s="1">
        <v>11</v>
      </c>
      <c r="C3361" s="1" t="s">
        <v>7702</v>
      </c>
      <c r="D3361" s="1" t="s">
        <v>72</v>
      </c>
      <c r="E3361" s="2">
        <v>45981</v>
      </c>
      <c r="F3361" s="1" t="s">
        <v>63</v>
      </c>
      <c r="G3361" s="1" t="s">
        <v>73</v>
      </c>
      <c r="H3361" s="1" t="s">
        <v>74</v>
      </c>
      <c r="I3361" s="1">
        <v>1</v>
      </c>
      <c r="J3361" s="3">
        <v>10456</v>
      </c>
      <c r="K3361" s="3">
        <v>9978</v>
      </c>
      <c r="L3361" s="1">
        <v>0</v>
      </c>
      <c r="M3361" s="4">
        <v>0</v>
      </c>
      <c r="N3361" s="1">
        <v>478</v>
      </c>
      <c r="O3361" s="4">
        <v>4.5999999999999999E-2</v>
      </c>
      <c r="P3361" s="1" t="s">
        <v>2721</v>
      </c>
    </row>
    <row r="3362" spans="1:16">
      <c r="A3362" s="1" t="s">
        <v>15</v>
      </c>
      <c r="B3362" s="1">
        <v>11</v>
      </c>
      <c r="C3362" s="1" t="s">
        <v>7703</v>
      </c>
      <c r="D3362" s="1" t="s">
        <v>1500</v>
      </c>
      <c r="E3362" s="2">
        <v>45981</v>
      </c>
      <c r="F3362" s="1" t="s">
        <v>96</v>
      </c>
      <c r="G3362" s="1" t="s">
        <v>1501</v>
      </c>
      <c r="H3362" s="1" t="s">
        <v>1502</v>
      </c>
      <c r="I3362" s="1">
        <v>1</v>
      </c>
      <c r="J3362" s="3">
        <v>11305</v>
      </c>
      <c r="K3362" s="3">
        <v>10787</v>
      </c>
      <c r="L3362" s="1">
        <v>0</v>
      </c>
      <c r="M3362" s="4">
        <v>0</v>
      </c>
      <c r="N3362" s="1">
        <v>518</v>
      </c>
      <c r="O3362" s="4">
        <v>4.5999999999999999E-2</v>
      </c>
      <c r="P3362" s="1" t="s">
        <v>2721</v>
      </c>
    </row>
    <row r="3363" spans="1:16">
      <c r="A3363" s="1" t="s">
        <v>15</v>
      </c>
      <c r="B3363" s="1">
        <v>11</v>
      </c>
      <c r="C3363" s="1" t="s">
        <v>7703</v>
      </c>
      <c r="D3363" s="1" t="s">
        <v>108</v>
      </c>
      <c r="E3363" s="2">
        <v>45981</v>
      </c>
      <c r="F3363" s="1" t="s">
        <v>96</v>
      </c>
      <c r="G3363" s="1" t="s">
        <v>109</v>
      </c>
      <c r="H3363" s="1" t="s">
        <v>110</v>
      </c>
      <c r="I3363" s="1">
        <v>1</v>
      </c>
      <c r="J3363" s="3">
        <v>10762</v>
      </c>
      <c r="K3363" s="3">
        <v>10269</v>
      </c>
      <c r="L3363" s="1">
        <v>0</v>
      </c>
      <c r="M3363" s="4">
        <v>0</v>
      </c>
      <c r="N3363" s="1">
        <v>493</v>
      </c>
      <c r="O3363" s="4">
        <v>4.5999999999999999E-2</v>
      </c>
      <c r="P3363" s="1" t="s">
        <v>2721</v>
      </c>
    </row>
    <row r="3364" spans="1:16">
      <c r="A3364" s="1" t="s">
        <v>15</v>
      </c>
      <c r="B3364" s="1">
        <v>11</v>
      </c>
      <c r="C3364" s="1" t="s">
        <v>7704</v>
      </c>
      <c r="D3364" s="1" t="s">
        <v>7705</v>
      </c>
      <c r="E3364" s="2">
        <v>45981</v>
      </c>
      <c r="F3364" s="1" t="s">
        <v>53</v>
      </c>
      <c r="G3364" s="1" t="s">
        <v>7706</v>
      </c>
      <c r="H3364" s="1" t="s">
        <v>7707</v>
      </c>
      <c r="I3364" s="1">
        <v>1</v>
      </c>
      <c r="J3364" s="3">
        <v>18839</v>
      </c>
      <c r="K3364" s="3">
        <v>17977</v>
      </c>
      <c r="L3364" s="1">
        <v>0</v>
      </c>
      <c r="M3364" s="4">
        <v>0</v>
      </c>
      <c r="N3364" s="1">
        <v>862</v>
      </c>
      <c r="O3364" s="4">
        <v>4.5999999999999999E-2</v>
      </c>
      <c r="P3364" s="1" t="s">
        <v>2721</v>
      </c>
    </row>
    <row r="3365" spans="1:16">
      <c r="A3365" s="1" t="s">
        <v>15</v>
      </c>
      <c r="B3365" s="1">
        <v>11</v>
      </c>
      <c r="C3365" s="1" t="s">
        <v>7708</v>
      </c>
      <c r="D3365" s="1" t="s">
        <v>212</v>
      </c>
      <c r="E3365" s="2">
        <v>45981</v>
      </c>
      <c r="F3365" s="1" t="s">
        <v>213</v>
      </c>
      <c r="G3365" s="1" t="s">
        <v>214</v>
      </c>
      <c r="H3365" s="1" t="s">
        <v>3551</v>
      </c>
      <c r="I3365" s="1">
        <v>1</v>
      </c>
      <c r="J3365" s="3">
        <v>29490</v>
      </c>
      <c r="K3365" s="3">
        <v>28140</v>
      </c>
      <c r="L3365" s="1">
        <v>0</v>
      </c>
      <c r="M3365" s="4">
        <v>0</v>
      </c>
      <c r="N3365" s="3">
        <v>1350</v>
      </c>
      <c r="O3365" s="4">
        <v>4.5999999999999999E-2</v>
      </c>
      <c r="P3365" s="1" t="s">
        <v>2721</v>
      </c>
    </row>
    <row r="3366" spans="1:16">
      <c r="A3366" s="1" t="s">
        <v>15</v>
      </c>
      <c r="B3366" s="1">
        <v>11</v>
      </c>
      <c r="C3366" s="1" t="s">
        <v>7709</v>
      </c>
      <c r="D3366" s="1" t="s">
        <v>1007</v>
      </c>
      <c r="E3366" s="2">
        <v>45981</v>
      </c>
      <c r="F3366" s="1" t="s">
        <v>892</v>
      </c>
      <c r="G3366" s="1" t="s">
        <v>1008</v>
      </c>
      <c r="H3366" s="1" t="s">
        <v>1009</v>
      </c>
      <c r="I3366" s="1">
        <v>1</v>
      </c>
      <c r="J3366" s="3">
        <v>20643</v>
      </c>
      <c r="K3366" s="3">
        <v>19698</v>
      </c>
      <c r="L3366" s="1">
        <v>0</v>
      </c>
      <c r="M3366" s="4">
        <v>0</v>
      </c>
      <c r="N3366" s="1">
        <v>945</v>
      </c>
      <c r="O3366" s="4">
        <v>4.5999999999999999E-2</v>
      </c>
      <c r="P3366" s="1" t="s">
        <v>2721</v>
      </c>
    </row>
    <row r="3367" spans="1:16">
      <c r="A3367" s="1" t="s">
        <v>15</v>
      </c>
      <c r="B3367" s="1">
        <v>11</v>
      </c>
      <c r="C3367" s="1" t="s">
        <v>7710</v>
      </c>
      <c r="D3367" s="1" t="s">
        <v>4039</v>
      </c>
      <c r="E3367" s="2">
        <v>45981</v>
      </c>
      <c r="F3367" s="1" t="s">
        <v>53</v>
      </c>
      <c r="G3367" s="1" t="s">
        <v>4040</v>
      </c>
      <c r="H3367" s="1" t="s">
        <v>4041</v>
      </c>
      <c r="I3367" s="1">
        <v>1</v>
      </c>
      <c r="J3367" s="3">
        <v>16135</v>
      </c>
      <c r="K3367" s="3">
        <v>15396</v>
      </c>
      <c r="L3367" s="1">
        <v>0</v>
      </c>
      <c r="M3367" s="4">
        <v>0</v>
      </c>
      <c r="N3367" s="1">
        <v>739</v>
      </c>
      <c r="O3367" s="4">
        <v>4.5999999999999999E-2</v>
      </c>
      <c r="P3367" s="1" t="s">
        <v>2721</v>
      </c>
    </row>
    <row r="3368" spans="1:16">
      <c r="A3368" s="1" t="s">
        <v>15</v>
      </c>
      <c r="B3368" s="1">
        <v>11</v>
      </c>
      <c r="C3368" s="1" t="s">
        <v>7711</v>
      </c>
      <c r="D3368" s="1" t="s">
        <v>3754</v>
      </c>
      <c r="E3368" s="2">
        <v>45981</v>
      </c>
      <c r="F3368" s="1" t="s">
        <v>63</v>
      </c>
      <c r="G3368" s="1" t="s">
        <v>3755</v>
      </c>
      <c r="H3368" s="1" t="s">
        <v>3789</v>
      </c>
      <c r="I3368" s="1">
        <v>1</v>
      </c>
      <c r="J3368" s="3">
        <v>4958</v>
      </c>
      <c r="K3368" s="3">
        <v>4731</v>
      </c>
      <c r="L3368" s="1">
        <v>0</v>
      </c>
      <c r="M3368" s="4">
        <v>0</v>
      </c>
      <c r="N3368" s="1">
        <v>227</v>
      </c>
      <c r="O3368" s="4">
        <v>4.5999999999999999E-2</v>
      </c>
      <c r="P3368" s="1" t="s">
        <v>2721</v>
      </c>
    </row>
    <row r="3369" spans="1:16">
      <c r="A3369" s="1" t="s">
        <v>15</v>
      </c>
      <c r="B3369" s="1">
        <v>11</v>
      </c>
      <c r="C3369" s="1" t="s">
        <v>7712</v>
      </c>
      <c r="D3369" s="1" t="s">
        <v>813</v>
      </c>
      <c r="E3369" s="2">
        <v>45981</v>
      </c>
      <c r="F3369" s="1" t="s">
        <v>126</v>
      </c>
      <c r="G3369" s="1" t="s">
        <v>814</v>
      </c>
      <c r="H3369" s="1" t="s">
        <v>816</v>
      </c>
      <c r="I3369" s="1">
        <v>1</v>
      </c>
      <c r="J3369" s="3">
        <v>17203</v>
      </c>
      <c r="K3369" s="3">
        <v>16415</v>
      </c>
      <c r="L3369" s="1">
        <v>0</v>
      </c>
      <c r="M3369" s="4">
        <v>0</v>
      </c>
      <c r="N3369" s="1">
        <v>788</v>
      </c>
      <c r="O3369" s="4">
        <v>4.5999999999999999E-2</v>
      </c>
      <c r="P3369" s="1" t="s">
        <v>2721</v>
      </c>
    </row>
    <row r="3370" spans="1:16">
      <c r="A3370" s="1" t="s">
        <v>15</v>
      </c>
      <c r="B3370" s="1">
        <v>11</v>
      </c>
      <c r="C3370" s="1" t="s">
        <v>7713</v>
      </c>
      <c r="D3370" s="1" t="s">
        <v>52</v>
      </c>
      <c r="E3370" s="2">
        <v>45981</v>
      </c>
      <c r="F3370" s="1" t="s">
        <v>53</v>
      </c>
      <c r="G3370" s="1" t="s">
        <v>54</v>
      </c>
      <c r="H3370" s="1" t="s">
        <v>248</v>
      </c>
      <c r="I3370" s="1">
        <v>1</v>
      </c>
      <c r="J3370" s="3">
        <v>16135</v>
      </c>
      <c r="K3370" s="3">
        <v>15396</v>
      </c>
      <c r="L3370" s="1">
        <v>0</v>
      </c>
      <c r="M3370" s="4">
        <v>0</v>
      </c>
      <c r="N3370" s="1">
        <v>739</v>
      </c>
      <c r="O3370" s="4">
        <v>4.5999999999999999E-2</v>
      </c>
      <c r="P3370" s="1" t="s">
        <v>2721</v>
      </c>
    </row>
    <row r="3371" spans="1:16">
      <c r="A3371" s="1" t="s">
        <v>15</v>
      </c>
      <c r="B3371" s="1">
        <v>11</v>
      </c>
      <c r="C3371" s="1" t="s">
        <v>7714</v>
      </c>
      <c r="D3371" s="1" t="s">
        <v>1088</v>
      </c>
      <c r="E3371" s="2">
        <v>45981</v>
      </c>
      <c r="F3371" s="1" t="s">
        <v>317</v>
      </c>
      <c r="G3371" s="1" t="s">
        <v>1089</v>
      </c>
      <c r="H3371" s="1" t="s">
        <v>2865</v>
      </c>
      <c r="I3371" s="1">
        <v>1</v>
      </c>
      <c r="J3371" s="3">
        <v>45120</v>
      </c>
      <c r="K3371" s="3">
        <v>43054</v>
      </c>
      <c r="L3371" s="1">
        <v>0</v>
      </c>
      <c r="M3371" s="4">
        <v>0</v>
      </c>
      <c r="N3371" s="3">
        <v>2066</v>
      </c>
      <c r="O3371" s="4">
        <v>4.5999999999999999E-2</v>
      </c>
      <c r="P3371" s="1" t="s">
        <v>2721</v>
      </c>
    </row>
    <row r="3372" spans="1:16">
      <c r="A3372" s="1" t="s">
        <v>15</v>
      </c>
      <c r="B3372" s="1">
        <v>11</v>
      </c>
      <c r="C3372" s="1" t="s">
        <v>7715</v>
      </c>
      <c r="D3372" s="1" t="s">
        <v>7716</v>
      </c>
      <c r="E3372" s="2">
        <v>45981</v>
      </c>
      <c r="F3372" s="1" t="s">
        <v>96</v>
      </c>
      <c r="G3372" s="1" t="s">
        <v>7717</v>
      </c>
      <c r="H3372" s="1" t="s">
        <v>7718</v>
      </c>
      <c r="I3372" s="1">
        <v>1</v>
      </c>
      <c r="J3372" s="3">
        <v>13475</v>
      </c>
      <c r="K3372" s="3">
        <v>12858</v>
      </c>
      <c r="L3372" s="1">
        <v>0</v>
      </c>
      <c r="M3372" s="4">
        <v>0</v>
      </c>
      <c r="N3372" s="1">
        <v>617</v>
      </c>
      <c r="O3372" s="4">
        <v>4.5999999999999999E-2</v>
      </c>
      <c r="P3372" s="1" t="s">
        <v>2721</v>
      </c>
    </row>
    <row r="3373" spans="1:16">
      <c r="A3373" s="1" t="s">
        <v>15</v>
      </c>
      <c r="B3373" s="1">
        <v>11</v>
      </c>
      <c r="C3373" s="1" t="s">
        <v>7715</v>
      </c>
      <c r="D3373" s="1" t="s">
        <v>4702</v>
      </c>
      <c r="E3373" s="2">
        <v>45981</v>
      </c>
      <c r="F3373" s="1" t="s">
        <v>96</v>
      </c>
      <c r="G3373" s="1" t="s">
        <v>4703</v>
      </c>
      <c r="H3373" s="1" t="s">
        <v>4704</v>
      </c>
      <c r="I3373" s="1">
        <v>1</v>
      </c>
      <c r="J3373" s="3">
        <v>8501</v>
      </c>
      <c r="K3373" s="3">
        <v>8112</v>
      </c>
      <c r="L3373" s="1">
        <v>0</v>
      </c>
      <c r="M3373" s="4">
        <v>0</v>
      </c>
      <c r="N3373" s="1">
        <v>389</v>
      </c>
      <c r="O3373" s="4">
        <v>4.5999999999999999E-2</v>
      </c>
      <c r="P3373" s="1" t="s">
        <v>2721</v>
      </c>
    </row>
    <row r="3374" spans="1:16">
      <c r="A3374" s="1" t="s">
        <v>15</v>
      </c>
      <c r="B3374" s="1">
        <v>11</v>
      </c>
      <c r="C3374" s="1" t="s">
        <v>7719</v>
      </c>
      <c r="D3374" s="1" t="s">
        <v>7720</v>
      </c>
      <c r="E3374" s="2">
        <v>45981</v>
      </c>
      <c r="F3374" s="1" t="s">
        <v>524</v>
      </c>
      <c r="G3374" s="1" t="s">
        <v>7721</v>
      </c>
      <c r="H3374" s="1" t="s">
        <v>7722</v>
      </c>
      <c r="I3374" s="1">
        <v>1</v>
      </c>
      <c r="J3374" s="3">
        <v>7965</v>
      </c>
      <c r="K3374" s="3">
        <v>7601</v>
      </c>
      <c r="L3374" s="1">
        <v>0</v>
      </c>
      <c r="M3374" s="4">
        <v>0</v>
      </c>
      <c r="N3374" s="1">
        <v>364</v>
      </c>
      <c r="O3374" s="4">
        <v>4.5999999999999999E-2</v>
      </c>
      <c r="P3374" s="1" t="s">
        <v>2721</v>
      </c>
    </row>
    <row r="3375" spans="1:16">
      <c r="A3375" s="1" t="s">
        <v>15</v>
      </c>
      <c r="B3375" s="1">
        <v>11</v>
      </c>
      <c r="C3375" s="1" t="s">
        <v>7723</v>
      </c>
      <c r="D3375" s="1" t="s">
        <v>569</v>
      </c>
      <c r="E3375" s="2">
        <v>45981</v>
      </c>
      <c r="F3375" s="1" t="s">
        <v>570</v>
      </c>
      <c r="G3375" s="1" t="s">
        <v>571</v>
      </c>
      <c r="H3375" s="1" t="s">
        <v>572</v>
      </c>
      <c r="I3375" s="1">
        <v>1</v>
      </c>
      <c r="J3375" s="3">
        <v>19660</v>
      </c>
      <c r="K3375" s="3">
        <v>18760</v>
      </c>
      <c r="L3375" s="1">
        <v>0</v>
      </c>
      <c r="M3375" s="4">
        <v>0</v>
      </c>
      <c r="N3375" s="1">
        <v>900</v>
      </c>
      <c r="O3375" s="4">
        <v>4.5999999999999999E-2</v>
      </c>
      <c r="P3375" s="1" t="s">
        <v>2721</v>
      </c>
    </row>
    <row r="3376" spans="1:16">
      <c r="A3376" s="1" t="s">
        <v>15</v>
      </c>
      <c r="B3376" s="1">
        <v>11</v>
      </c>
      <c r="C3376" s="1" t="s">
        <v>7724</v>
      </c>
      <c r="D3376" s="1" t="s">
        <v>7725</v>
      </c>
      <c r="E3376" s="2">
        <v>45981</v>
      </c>
      <c r="F3376" s="1" t="s">
        <v>256</v>
      </c>
      <c r="G3376" s="1" t="s">
        <v>7726</v>
      </c>
      <c r="H3376" s="1" t="s">
        <v>7727</v>
      </c>
      <c r="I3376" s="1">
        <v>1</v>
      </c>
      <c r="J3376" s="3">
        <v>19901</v>
      </c>
      <c r="K3376" s="3">
        <v>18990</v>
      </c>
      <c r="L3376" s="1">
        <v>0</v>
      </c>
      <c r="M3376" s="4">
        <v>0</v>
      </c>
      <c r="N3376" s="1">
        <v>911</v>
      </c>
      <c r="O3376" s="4">
        <v>4.5999999999999999E-2</v>
      </c>
      <c r="P3376" s="1" t="s">
        <v>2721</v>
      </c>
    </row>
    <row r="3377" spans="1:16">
      <c r="A3377" s="1" t="s">
        <v>15</v>
      </c>
      <c r="B3377" s="1">
        <v>11</v>
      </c>
      <c r="C3377" s="1" t="s">
        <v>7728</v>
      </c>
      <c r="D3377" s="1" t="s">
        <v>5710</v>
      </c>
      <c r="E3377" s="2">
        <v>45981</v>
      </c>
      <c r="F3377" s="1" t="s">
        <v>126</v>
      </c>
      <c r="G3377" s="1" t="s">
        <v>5711</v>
      </c>
      <c r="H3377" s="1" t="s">
        <v>5712</v>
      </c>
      <c r="I3377" s="1">
        <v>1</v>
      </c>
      <c r="J3377" s="3">
        <v>39320</v>
      </c>
      <c r="K3377" s="3">
        <v>37520</v>
      </c>
      <c r="L3377" s="1">
        <v>0</v>
      </c>
      <c r="M3377" s="4">
        <v>0</v>
      </c>
      <c r="N3377" s="3">
        <v>1800</v>
      </c>
      <c r="O3377" s="4">
        <v>4.5999999999999999E-2</v>
      </c>
      <c r="P3377" s="1" t="s">
        <v>2721</v>
      </c>
    </row>
    <row r="3378" spans="1:16">
      <c r="A3378" s="1" t="s">
        <v>15</v>
      </c>
      <c r="B3378" s="1">
        <v>11</v>
      </c>
      <c r="C3378" s="1" t="s">
        <v>7729</v>
      </c>
      <c r="D3378" s="1" t="s">
        <v>116</v>
      </c>
      <c r="E3378" s="2">
        <v>45981</v>
      </c>
      <c r="F3378" s="1" t="s">
        <v>63</v>
      </c>
      <c r="G3378" s="1" t="s">
        <v>117</v>
      </c>
      <c r="H3378" s="1" t="s">
        <v>2400</v>
      </c>
      <c r="I3378" s="1">
        <v>1</v>
      </c>
      <c r="J3378" s="3">
        <v>32001</v>
      </c>
      <c r="K3378" s="3">
        <v>30536</v>
      </c>
      <c r="L3378" s="1">
        <v>0</v>
      </c>
      <c r="M3378" s="4">
        <v>0</v>
      </c>
      <c r="N3378" s="3">
        <v>1465</v>
      </c>
      <c r="O3378" s="4">
        <v>4.5999999999999999E-2</v>
      </c>
      <c r="P3378" s="1" t="s">
        <v>2721</v>
      </c>
    </row>
    <row r="3379" spans="1:16">
      <c r="A3379" s="1" t="s">
        <v>15</v>
      </c>
      <c r="B3379" s="1">
        <v>11</v>
      </c>
      <c r="C3379" s="1" t="s">
        <v>7730</v>
      </c>
      <c r="D3379" s="1" t="s">
        <v>341</v>
      </c>
      <c r="E3379" s="2">
        <v>45981</v>
      </c>
      <c r="F3379" s="1" t="s">
        <v>53</v>
      </c>
      <c r="G3379" s="1" t="s">
        <v>342</v>
      </c>
      <c r="H3379" s="1" t="s">
        <v>2882</v>
      </c>
      <c r="I3379" s="1">
        <v>1</v>
      </c>
      <c r="J3379" s="3">
        <v>16135</v>
      </c>
      <c r="K3379" s="3">
        <v>15396</v>
      </c>
      <c r="L3379" s="1">
        <v>0</v>
      </c>
      <c r="M3379" s="4">
        <v>0</v>
      </c>
      <c r="N3379" s="1">
        <v>739</v>
      </c>
      <c r="O3379" s="4">
        <v>4.5999999999999999E-2</v>
      </c>
      <c r="P3379" s="1" t="s">
        <v>2721</v>
      </c>
    </row>
    <row r="3380" spans="1:16">
      <c r="A3380" s="1" t="s">
        <v>15</v>
      </c>
      <c r="B3380" s="1">
        <v>11</v>
      </c>
      <c r="C3380" s="1" t="s">
        <v>7731</v>
      </c>
      <c r="D3380" s="1" t="s">
        <v>244</v>
      </c>
      <c r="E3380" s="2">
        <v>45981</v>
      </c>
      <c r="F3380" s="1" t="s">
        <v>53</v>
      </c>
      <c r="G3380" s="1" t="s">
        <v>245</v>
      </c>
      <c r="H3380" s="1" t="s">
        <v>1166</v>
      </c>
      <c r="I3380" s="1">
        <v>1</v>
      </c>
      <c r="J3380" s="3">
        <v>8272</v>
      </c>
      <c r="K3380" s="3">
        <v>7893</v>
      </c>
      <c r="L3380" s="1">
        <v>0</v>
      </c>
      <c r="M3380" s="4">
        <v>0</v>
      </c>
      <c r="N3380" s="1">
        <v>379</v>
      </c>
      <c r="O3380" s="4">
        <v>4.5999999999999999E-2</v>
      </c>
      <c r="P3380" s="1" t="s">
        <v>2721</v>
      </c>
    </row>
    <row r="3381" spans="1:16">
      <c r="A3381" s="1" t="s">
        <v>15</v>
      </c>
      <c r="B3381" s="1">
        <v>11</v>
      </c>
      <c r="C3381" s="1" t="s">
        <v>7732</v>
      </c>
      <c r="D3381" s="1" t="s">
        <v>989</v>
      </c>
      <c r="E3381" s="2">
        <v>45981</v>
      </c>
      <c r="F3381" s="1" t="s">
        <v>48</v>
      </c>
      <c r="G3381" s="1" t="s">
        <v>990</v>
      </c>
      <c r="H3381" s="1" t="s">
        <v>991</v>
      </c>
      <c r="I3381" s="1">
        <v>1</v>
      </c>
      <c r="J3381" s="3">
        <v>13113</v>
      </c>
      <c r="K3381" s="3">
        <v>12513</v>
      </c>
      <c r="L3381" s="1">
        <v>0</v>
      </c>
      <c r="M3381" s="4">
        <v>0</v>
      </c>
      <c r="N3381" s="1">
        <v>600</v>
      </c>
      <c r="O3381" s="4">
        <v>4.5999999999999999E-2</v>
      </c>
      <c r="P3381" s="1" t="s">
        <v>2721</v>
      </c>
    </row>
    <row r="3382" spans="1:16">
      <c r="A3382" s="1" t="s">
        <v>15</v>
      </c>
      <c r="B3382" s="1">
        <v>11</v>
      </c>
      <c r="C3382" s="1" t="s">
        <v>7733</v>
      </c>
      <c r="D3382" s="1" t="s">
        <v>329</v>
      </c>
      <c r="E3382" s="2">
        <v>45981</v>
      </c>
      <c r="F3382" s="1" t="s">
        <v>174</v>
      </c>
      <c r="G3382" s="1" t="s">
        <v>330</v>
      </c>
      <c r="H3382" s="1" t="s">
        <v>331</v>
      </c>
      <c r="I3382" s="1">
        <v>1</v>
      </c>
      <c r="J3382" s="3">
        <v>16711</v>
      </c>
      <c r="K3382" s="3">
        <v>15946</v>
      </c>
      <c r="L3382" s="1">
        <v>0</v>
      </c>
      <c r="M3382" s="4">
        <v>0</v>
      </c>
      <c r="N3382" s="1">
        <v>765</v>
      </c>
      <c r="O3382" s="4">
        <v>4.5999999999999999E-2</v>
      </c>
      <c r="P3382" s="1" t="s">
        <v>2721</v>
      </c>
    </row>
    <row r="3383" spans="1:16">
      <c r="A3383" s="1" t="s">
        <v>15</v>
      </c>
      <c r="B3383" s="1">
        <v>11</v>
      </c>
      <c r="C3383" s="1" t="s">
        <v>7724</v>
      </c>
      <c r="D3383" s="1" t="s">
        <v>307</v>
      </c>
      <c r="E3383" s="2">
        <v>45981</v>
      </c>
      <c r="F3383" s="1" t="s">
        <v>256</v>
      </c>
      <c r="G3383" s="1" t="s">
        <v>308</v>
      </c>
      <c r="H3383" s="1" t="s">
        <v>309</v>
      </c>
      <c r="I3383" s="1">
        <v>1</v>
      </c>
      <c r="J3383" s="3">
        <v>12091</v>
      </c>
      <c r="K3383" s="3">
        <v>11537</v>
      </c>
      <c r="L3383" s="1">
        <v>0</v>
      </c>
      <c r="M3383" s="4">
        <v>0</v>
      </c>
      <c r="N3383" s="1">
        <v>554</v>
      </c>
      <c r="O3383" s="4">
        <v>4.5999999999999999E-2</v>
      </c>
      <c r="P3383" s="1" t="s">
        <v>2721</v>
      </c>
    </row>
    <row r="3384" spans="1:16">
      <c r="A3384" s="1" t="s">
        <v>15</v>
      </c>
      <c r="B3384" s="1">
        <v>11</v>
      </c>
      <c r="C3384" s="1" t="s">
        <v>7734</v>
      </c>
      <c r="D3384" s="1" t="s">
        <v>411</v>
      </c>
      <c r="E3384" s="2">
        <v>45981</v>
      </c>
      <c r="F3384" s="1" t="s">
        <v>312</v>
      </c>
      <c r="G3384" s="1" t="s">
        <v>412</v>
      </c>
      <c r="H3384" s="1" t="s">
        <v>7491</v>
      </c>
      <c r="I3384" s="1">
        <v>1</v>
      </c>
      <c r="J3384" s="3">
        <v>24575</v>
      </c>
      <c r="K3384" s="3">
        <v>23450</v>
      </c>
      <c r="L3384" s="1">
        <v>0</v>
      </c>
      <c r="M3384" s="4">
        <v>0</v>
      </c>
      <c r="N3384" s="3">
        <v>1125</v>
      </c>
      <c r="O3384" s="4">
        <v>4.5999999999999999E-2</v>
      </c>
      <c r="P3384" s="1" t="s">
        <v>2721</v>
      </c>
    </row>
    <row r="3385" spans="1:16">
      <c r="A3385" s="1" t="s">
        <v>15</v>
      </c>
      <c r="B3385" s="1">
        <v>11</v>
      </c>
      <c r="C3385" s="1" t="s">
        <v>7735</v>
      </c>
      <c r="D3385" s="1" t="s">
        <v>52</v>
      </c>
      <c r="E3385" s="2">
        <v>45981</v>
      </c>
      <c r="F3385" s="1" t="s">
        <v>53</v>
      </c>
      <c r="G3385" s="1" t="s">
        <v>54</v>
      </c>
      <c r="H3385" s="1" t="s">
        <v>248</v>
      </c>
      <c r="I3385" s="1">
        <v>1</v>
      </c>
      <c r="J3385" s="3">
        <v>16135</v>
      </c>
      <c r="K3385" s="3">
        <v>15396</v>
      </c>
      <c r="L3385" s="1">
        <v>0</v>
      </c>
      <c r="M3385" s="4">
        <v>0</v>
      </c>
      <c r="N3385" s="1">
        <v>739</v>
      </c>
      <c r="O3385" s="4">
        <v>4.5999999999999999E-2</v>
      </c>
      <c r="P3385" s="1" t="s">
        <v>2721</v>
      </c>
    </row>
    <row r="3386" spans="1:16">
      <c r="A3386" s="1" t="s">
        <v>15</v>
      </c>
      <c r="B3386" s="1">
        <v>11</v>
      </c>
      <c r="C3386" s="1" t="s">
        <v>7735</v>
      </c>
      <c r="D3386" s="1" t="s">
        <v>52</v>
      </c>
      <c r="E3386" s="2">
        <v>45981</v>
      </c>
      <c r="F3386" s="1" t="s">
        <v>53</v>
      </c>
      <c r="G3386" s="1" t="s">
        <v>54</v>
      </c>
      <c r="H3386" s="1" t="s">
        <v>55</v>
      </c>
      <c r="I3386" s="1">
        <v>1</v>
      </c>
      <c r="J3386" s="3">
        <v>16135</v>
      </c>
      <c r="K3386" s="3">
        <v>15396</v>
      </c>
      <c r="L3386" s="1">
        <v>0</v>
      </c>
      <c r="M3386" s="4">
        <v>0</v>
      </c>
      <c r="N3386" s="1">
        <v>739</v>
      </c>
      <c r="O3386" s="4">
        <v>4.5999999999999999E-2</v>
      </c>
      <c r="P3386" s="1" t="s">
        <v>2721</v>
      </c>
    </row>
    <row r="3387" spans="1:16">
      <c r="A3387" s="1" t="s">
        <v>15</v>
      </c>
      <c r="B3387" s="1">
        <v>11</v>
      </c>
      <c r="C3387" s="1" t="s">
        <v>7736</v>
      </c>
      <c r="D3387" s="1" t="s">
        <v>132</v>
      </c>
      <c r="E3387" s="2">
        <v>45981</v>
      </c>
      <c r="F3387" s="1" t="s">
        <v>53</v>
      </c>
      <c r="G3387" s="1" t="s">
        <v>133</v>
      </c>
      <c r="H3387" s="1" t="s">
        <v>88</v>
      </c>
      <c r="I3387" s="1">
        <v>1</v>
      </c>
      <c r="J3387" s="3">
        <v>17036</v>
      </c>
      <c r="K3387" s="3">
        <v>16256</v>
      </c>
      <c r="L3387" s="1">
        <v>0</v>
      </c>
      <c r="M3387" s="4">
        <v>0</v>
      </c>
      <c r="N3387" s="1">
        <v>780</v>
      </c>
      <c r="O3387" s="4">
        <v>4.5999999999999999E-2</v>
      </c>
      <c r="P3387" s="1" t="s">
        <v>2721</v>
      </c>
    </row>
    <row r="3388" spans="1:16">
      <c r="A3388" s="1" t="s">
        <v>15</v>
      </c>
      <c r="B3388" s="1">
        <v>11</v>
      </c>
      <c r="C3388" s="1" t="s">
        <v>7737</v>
      </c>
      <c r="D3388" s="1" t="s">
        <v>5491</v>
      </c>
      <c r="E3388" s="2">
        <v>45981</v>
      </c>
      <c r="F3388" s="1" t="s">
        <v>96</v>
      </c>
      <c r="G3388" s="1" t="s">
        <v>5492</v>
      </c>
      <c r="H3388" s="1" t="s">
        <v>5493</v>
      </c>
      <c r="I3388" s="1">
        <v>1</v>
      </c>
      <c r="J3388" s="3">
        <v>11666</v>
      </c>
      <c r="K3388" s="3">
        <v>11132</v>
      </c>
      <c r="L3388" s="1">
        <v>0</v>
      </c>
      <c r="M3388" s="4">
        <v>0</v>
      </c>
      <c r="N3388" s="1">
        <v>534</v>
      </c>
      <c r="O3388" s="4">
        <v>4.5999999999999999E-2</v>
      </c>
      <c r="P3388" s="1" t="s">
        <v>2721</v>
      </c>
    </row>
    <row r="3389" spans="1:16">
      <c r="A3389" s="1" t="s">
        <v>15</v>
      </c>
      <c r="B3389" s="1">
        <v>11</v>
      </c>
      <c r="C3389" s="1" t="s">
        <v>7738</v>
      </c>
      <c r="D3389" s="1" t="s">
        <v>72</v>
      </c>
      <c r="E3389" s="2">
        <v>45981</v>
      </c>
      <c r="F3389" s="1" t="s">
        <v>63</v>
      </c>
      <c r="G3389" s="1" t="s">
        <v>73</v>
      </c>
      <c r="H3389" s="1" t="s">
        <v>74</v>
      </c>
      <c r="I3389" s="1">
        <v>1</v>
      </c>
      <c r="J3389" s="3">
        <v>10456</v>
      </c>
      <c r="K3389" s="3">
        <v>9978</v>
      </c>
      <c r="L3389" s="1">
        <v>0</v>
      </c>
      <c r="M3389" s="4">
        <v>0</v>
      </c>
      <c r="N3389" s="1">
        <v>478</v>
      </c>
      <c r="O3389" s="4">
        <v>4.5999999999999999E-2</v>
      </c>
      <c r="P3389" s="1" t="s">
        <v>2721</v>
      </c>
    </row>
    <row r="3390" spans="1:16">
      <c r="A3390" s="1" t="s">
        <v>15</v>
      </c>
      <c r="B3390" s="1">
        <v>11</v>
      </c>
      <c r="C3390" s="1" t="s">
        <v>7739</v>
      </c>
      <c r="D3390" s="1" t="s">
        <v>1261</v>
      </c>
      <c r="E3390" s="2">
        <v>45981</v>
      </c>
      <c r="F3390" s="1" t="s">
        <v>33</v>
      </c>
      <c r="G3390" s="1" t="s">
        <v>1262</v>
      </c>
      <c r="H3390" s="1" t="s">
        <v>7740</v>
      </c>
      <c r="I3390" s="1">
        <v>1</v>
      </c>
      <c r="J3390" s="3">
        <v>83242</v>
      </c>
      <c r="K3390" s="3">
        <v>79432</v>
      </c>
      <c r="L3390" s="1">
        <v>0</v>
      </c>
      <c r="M3390" s="4">
        <v>0</v>
      </c>
      <c r="N3390" s="3">
        <v>3810</v>
      </c>
      <c r="O3390" s="4">
        <v>4.5999999999999999E-2</v>
      </c>
      <c r="P3390" s="1" t="s">
        <v>2721</v>
      </c>
    </row>
    <row r="3391" spans="1:16">
      <c r="A3391" s="1" t="s">
        <v>15</v>
      </c>
      <c r="B3391" s="1">
        <v>11</v>
      </c>
      <c r="C3391" s="1" t="s">
        <v>7741</v>
      </c>
      <c r="D3391" s="1" t="s">
        <v>1177</v>
      </c>
      <c r="E3391" s="2">
        <v>45981</v>
      </c>
      <c r="F3391" s="1" t="s">
        <v>251</v>
      </c>
      <c r="G3391" s="1" t="s">
        <v>1178</v>
      </c>
      <c r="H3391" s="1" t="s">
        <v>7742</v>
      </c>
      <c r="I3391" s="1">
        <v>1</v>
      </c>
      <c r="J3391" s="3">
        <v>21233</v>
      </c>
      <c r="K3391" s="3">
        <v>20261</v>
      </c>
      <c r="L3391" s="1">
        <v>0</v>
      </c>
      <c r="M3391" s="4">
        <v>0</v>
      </c>
      <c r="N3391" s="1">
        <v>972</v>
      </c>
      <c r="O3391" s="4">
        <v>4.5999999999999999E-2</v>
      </c>
      <c r="P3391" s="1" t="s">
        <v>2721</v>
      </c>
    </row>
    <row r="3392" spans="1:16">
      <c r="A3392" s="1" t="s">
        <v>15</v>
      </c>
      <c r="B3392" s="1">
        <v>11</v>
      </c>
      <c r="C3392" s="1" t="s">
        <v>7743</v>
      </c>
      <c r="D3392" s="1" t="s">
        <v>3709</v>
      </c>
      <c r="E3392" s="2">
        <v>45981</v>
      </c>
      <c r="F3392" s="1" t="s">
        <v>3710</v>
      </c>
      <c r="G3392" s="1" t="s">
        <v>3711</v>
      </c>
      <c r="H3392" s="1" t="s">
        <v>5129</v>
      </c>
      <c r="I3392" s="1">
        <v>1</v>
      </c>
      <c r="J3392" s="3">
        <v>31456</v>
      </c>
      <c r="K3392" s="3">
        <v>30016</v>
      </c>
      <c r="L3392" s="1">
        <v>0</v>
      </c>
      <c r="M3392" s="4">
        <v>0</v>
      </c>
      <c r="N3392" s="3">
        <v>1440</v>
      </c>
      <c r="O3392" s="4">
        <v>4.5999999999999999E-2</v>
      </c>
      <c r="P3392" s="1" t="s">
        <v>2721</v>
      </c>
    </row>
    <row r="3393" spans="1:16">
      <c r="A3393" s="1" t="s">
        <v>15</v>
      </c>
      <c r="B3393" s="1">
        <v>11</v>
      </c>
      <c r="C3393" s="1" t="s">
        <v>7744</v>
      </c>
      <c r="D3393" s="1" t="s">
        <v>287</v>
      </c>
      <c r="E3393" s="2">
        <v>45981</v>
      </c>
      <c r="F3393" s="1" t="s">
        <v>235</v>
      </c>
      <c r="G3393" s="1" t="s">
        <v>288</v>
      </c>
      <c r="H3393" s="1" t="s">
        <v>289</v>
      </c>
      <c r="I3393" s="1">
        <v>2</v>
      </c>
      <c r="J3393" s="3">
        <v>29293</v>
      </c>
      <c r="K3393" s="3">
        <v>27952</v>
      </c>
      <c r="L3393" s="1">
        <v>0</v>
      </c>
      <c r="M3393" s="4">
        <v>0</v>
      </c>
      <c r="N3393" s="3">
        <v>1341</v>
      </c>
      <c r="O3393" s="4">
        <v>4.5999999999999999E-2</v>
      </c>
      <c r="P3393" s="1" t="s">
        <v>2721</v>
      </c>
    </row>
    <row r="3394" spans="1:16">
      <c r="A3394" s="1" t="s">
        <v>15</v>
      </c>
      <c r="B3394" s="1">
        <v>11</v>
      </c>
      <c r="C3394" s="1" t="s">
        <v>7745</v>
      </c>
      <c r="D3394" s="1" t="s">
        <v>1147</v>
      </c>
      <c r="E3394" s="2">
        <v>45981</v>
      </c>
      <c r="F3394" s="1" t="s">
        <v>126</v>
      </c>
      <c r="G3394" s="1" t="s">
        <v>1148</v>
      </c>
      <c r="H3394" s="1" t="s">
        <v>7746</v>
      </c>
      <c r="I3394" s="1">
        <v>1</v>
      </c>
      <c r="J3394" s="3">
        <v>15531</v>
      </c>
      <c r="K3394" s="3">
        <v>14820</v>
      </c>
      <c r="L3394" s="1">
        <v>0</v>
      </c>
      <c r="M3394" s="4">
        <v>0</v>
      </c>
      <c r="N3394" s="1">
        <v>711</v>
      </c>
      <c r="O3394" s="4">
        <v>4.5999999999999999E-2</v>
      </c>
      <c r="P3394" s="1" t="s">
        <v>2721</v>
      </c>
    </row>
    <row r="3395" spans="1:16">
      <c r="A3395" s="1" t="s">
        <v>15</v>
      </c>
      <c r="B3395" s="1">
        <v>11</v>
      </c>
      <c r="C3395" s="1" t="s">
        <v>7747</v>
      </c>
      <c r="D3395" s="1" t="s">
        <v>7748</v>
      </c>
      <c r="E3395" s="2">
        <v>45981</v>
      </c>
      <c r="F3395" s="1" t="s">
        <v>53</v>
      </c>
      <c r="G3395" s="1" t="s">
        <v>7749</v>
      </c>
      <c r="H3395" s="1" t="s">
        <v>7750</v>
      </c>
      <c r="I3395" s="1">
        <v>1</v>
      </c>
      <c r="J3395" s="3">
        <v>18839</v>
      </c>
      <c r="K3395" s="3">
        <v>17977</v>
      </c>
      <c r="L3395" s="1">
        <v>0</v>
      </c>
      <c r="M3395" s="4">
        <v>0</v>
      </c>
      <c r="N3395" s="1">
        <v>862</v>
      </c>
      <c r="O3395" s="4">
        <v>4.5999999999999999E-2</v>
      </c>
      <c r="P3395" s="1" t="s">
        <v>2721</v>
      </c>
    </row>
    <row r="3396" spans="1:16">
      <c r="A3396" s="1" t="s">
        <v>15</v>
      </c>
      <c r="B3396" s="1">
        <v>11</v>
      </c>
      <c r="C3396" s="1" t="s">
        <v>7751</v>
      </c>
      <c r="D3396" s="1" t="s">
        <v>1105</v>
      </c>
      <c r="E3396" s="2">
        <v>45981</v>
      </c>
      <c r="F3396" s="1" t="s">
        <v>1106</v>
      </c>
      <c r="G3396" s="1" t="s">
        <v>1107</v>
      </c>
      <c r="H3396" s="1" t="s">
        <v>7752</v>
      </c>
      <c r="I3396" s="1">
        <v>1</v>
      </c>
      <c r="J3396" s="3">
        <v>10471</v>
      </c>
      <c r="K3396" s="3">
        <v>9992</v>
      </c>
      <c r="L3396" s="1">
        <v>0</v>
      </c>
      <c r="M3396" s="4">
        <v>0</v>
      </c>
      <c r="N3396" s="1">
        <v>479</v>
      </c>
      <c r="O3396" s="4">
        <v>4.5999999999999999E-2</v>
      </c>
      <c r="P3396" s="1" t="s">
        <v>2721</v>
      </c>
    </row>
    <row r="3397" spans="1:16">
      <c r="A3397" s="1" t="s">
        <v>15</v>
      </c>
      <c r="B3397" s="1">
        <v>11</v>
      </c>
      <c r="C3397" s="1" t="s">
        <v>7751</v>
      </c>
      <c r="D3397" s="1" t="s">
        <v>1105</v>
      </c>
      <c r="E3397" s="2">
        <v>45981</v>
      </c>
      <c r="F3397" s="1" t="s">
        <v>1106</v>
      </c>
      <c r="G3397" s="1" t="s">
        <v>1107</v>
      </c>
      <c r="H3397" s="1" t="s">
        <v>2596</v>
      </c>
      <c r="I3397" s="1">
        <v>1</v>
      </c>
      <c r="J3397" s="3">
        <v>10471</v>
      </c>
      <c r="K3397" s="3">
        <v>9992</v>
      </c>
      <c r="L3397" s="1">
        <v>0</v>
      </c>
      <c r="M3397" s="4">
        <v>0</v>
      </c>
      <c r="N3397" s="1">
        <v>479</v>
      </c>
      <c r="O3397" s="4">
        <v>4.5999999999999999E-2</v>
      </c>
      <c r="P3397" s="1" t="s">
        <v>2721</v>
      </c>
    </row>
    <row r="3398" spans="1:16">
      <c r="A3398" s="1" t="s">
        <v>15</v>
      </c>
      <c r="B3398" s="1">
        <v>11</v>
      </c>
      <c r="C3398" s="1" t="s">
        <v>7753</v>
      </c>
      <c r="D3398" s="1" t="s">
        <v>1546</v>
      </c>
      <c r="E3398" s="2">
        <v>45981</v>
      </c>
      <c r="F3398" s="1" t="s">
        <v>261</v>
      </c>
      <c r="G3398" s="1" t="s">
        <v>706</v>
      </c>
      <c r="H3398" s="1" t="s">
        <v>706</v>
      </c>
      <c r="I3398" s="1">
        <v>3</v>
      </c>
      <c r="J3398" s="3">
        <v>97317</v>
      </c>
      <c r="K3398" s="3">
        <v>92862</v>
      </c>
      <c r="L3398" s="1">
        <v>0</v>
      </c>
      <c r="M3398" s="4">
        <v>0</v>
      </c>
      <c r="N3398" s="3">
        <v>4455</v>
      </c>
      <c r="O3398" s="4">
        <v>4.5999999999999999E-2</v>
      </c>
      <c r="P3398" s="1" t="s">
        <v>2721</v>
      </c>
    </row>
    <row r="3399" spans="1:16">
      <c r="A3399" s="1" t="s">
        <v>15</v>
      </c>
      <c r="B3399" s="1">
        <v>11</v>
      </c>
      <c r="C3399" s="1" t="s">
        <v>7754</v>
      </c>
      <c r="D3399" s="1" t="s">
        <v>4079</v>
      </c>
      <c r="E3399" s="2">
        <v>45981</v>
      </c>
      <c r="F3399" s="1" t="s">
        <v>96</v>
      </c>
      <c r="G3399" s="1" t="s">
        <v>4080</v>
      </c>
      <c r="H3399" s="1" t="s">
        <v>7755</v>
      </c>
      <c r="I3399" s="1">
        <v>1</v>
      </c>
      <c r="J3399" s="3">
        <v>12571</v>
      </c>
      <c r="K3399" s="3">
        <v>11995</v>
      </c>
      <c r="L3399" s="1">
        <v>0</v>
      </c>
      <c r="M3399" s="4">
        <v>0</v>
      </c>
      <c r="N3399" s="1">
        <v>576</v>
      </c>
      <c r="O3399" s="4">
        <v>4.5999999999999999E-2</v>
      </c>
      <c r="P3399" s="1" t="s">
        <v>2721</v>
      </c>
    </row>
    <row r="3400" spans="1:16">
      <c r="A3400" s="1" t="s">
        <v>15</v>
      </c>
      <c r="B3400" s="1">
        <v>11</v>
      </c>
      <c r="C3400" s="1" t="s">
        <v>7756</v>
      </c>
      <c r="D3400" s="1" t="s">
        <v>341</v>
      </c>
      <c r="E3400" s="2">
        <v>45981</v>
      </c>
      <c r="F3400" s="1" t="s">
        <v>53</v>
      </c>
      <c r="G3400" s="1" t="s">
        <v>342</v>
      </c>
      <c r="H3400" s="1" t="s">
        <v>343</v>
      </c>
      <c r="I3400" s="1">
        <v>1</v>
      </c>
      <c r="J3400" s="3">
        <v>16135</v>
      </c>
      <c r="K3400" s="3">
        <v>15396</v>
      </c>
      <c r="L3400" s="1">
        <v>0</v>
      </c>
      <c r="M3400" s="4">
        <v>0</v>
      </c>
      <c r="N3400" s="1">
        <v>739</v>
      </c>
      <c r="O3400" s="4">
        <v>4.5999999999999999E-2</v>
      </c>
      <c r="P3400" s="1" t="s">
        <v>2721</v>
      </c>
    </row>
    <row r="3401" spans="1:16">
      <c r="A3401" s="1" t="s">
        <v>15</v>
      </c>
      <c r="B3401" s="1">
        <v>11</v>
      </c>
      <c r="C3401" s="1" t="s">
        <v>7757</v>
      </c>
      <c r="D3401" s="1" t="s">
        <v>487</v>
      </c>
      <c r="E3401" s="2">
        <v>45981</v>
      </c>
      <c r="F3401" s="1" t="s">
        <v>488</v>
      </c>
      <c r="G3401" s="1" t="s">
        <v>489</v>
      </c>
      <c r="H3401" s="1" t="s">
        <v>490</v>
      </c>
      <c r="I3401" s="1">
        <v>1</v>
      </c>
      <c r="J3401" s="3">
        <v>19169</v>
      </c>
      <c r="K3401" s="3">
        <v>18291</v>
      </c>
      <c r="L3401" s="1">
        <v>0</v>
      </c>
      <c r="M3401" s="4">
        <v>0</v>
      </c>
      <c r="N3401" s="1">
        <v>878</v>
      </c>
      <c r="O3401" s="4">
        <v>4.5999999999999999E-2</v>
      </c>
      <c r="P3401" s="1" t="s">
        <v>2721</v>
      </c>
    </row>
    <row r="3402" spans="1:16">
      <c r="A3402" s="1" t="s">
        <v>15</v>
      </c>
      <c r="B3402" s="1">
        <v>11</v>
      </c>
      <c r="C3402" s="1" t="s">
        <v>7758</v>
      </c>
      <c r="D3402" s="1" t="s">
        <v>7759</v>
      </c>
      <c r="E3402" s="2">
        <v>45981</v>
      </c>
      <c r="F3402" s="1" t="s">
        <v>689</v>
      </c>
      <c r="G3402" s="1" t="s">
        <v>7760</v>
      </c>
      <c r="H3402" s="1" t="s">
        <v>7761</v>
      </c>
      <c r="I3402" s="1">
        <v>1</v>
      </c>
      <c r="J3402" s="3">
        <v>29490</v>
      </c>
      <c r="K3402" s="3">
        <v>28140</v>
      </c>
      <c r="L3402" s="1">
        <v>0</v>
      </c>
      <c r="M3402" s="4">
        <v>0</v>
      </c>
      <c r="N3402" s="3">
        <v>1350</v>
      </c>
      <c r="O3402" s="4">
        <v>4.5999999999999999E-2</v>
      </c>
      <c r="P3402" s="1" t="s">
        <v>2721</v>
      </c>
    </row>
    <row r="3403" spans="1:16">
      <c r="A3403" s="1" t="s">
        <v>15</v>
      </c>
      <c r="B3403" s="1">
        <v>11</v>
      </c>
      <c r="C3403" s="1" t="s">
        <v>7762</v>
      </c>
      <c r="D3403" s="1" t="s">
        <v>4125</v>
      </c>
      <c r="E3403" s="2">
        <v>45981</v>
      </c>
      <c r="F3403" s="1" t="s">
        <v>334</v>
      </c>
      <c r="G3403" s="1" t="s">
        <v>3168</v>
      </c>
      <c r="H3403" s="1" t="s">
        <v>3169</v>
      </c>
      <c r="I3403" s="1">
        <v>2</v>
      </c>
      <c r="J3403" s="3">
        <v>109310</v>
      </c>
      <c r="K3403" s="3">
        <v>104306</v>
      </c>
      <c r="L3403" s="1">
        <v>0</v>
      </c>
      <c r="M3403" s="4">
        <v>0</v>
      </c>
      <c r="N3403" s="3">
        <v>5004</v>
      </c>
      <c r="O3403" s="4">
        <v>4.5999999999999999E-2</v>
      </c>
      <c r="P3403" s="1" t="s">
        <v>2721</v>
      </c>
    </row>
    <row r="3404" spans="1:16">
      <c r="A3404" s="1" t="s">
        <v>15</v>
      </c>
      <c r="B3404" s="1">
        <v>11</v>
      </c>
      <c r="C3404" s="1" t="s">
        <v>7763</v>
      </c>
      <c r="D3404" s="1" t="s">
        <v>558</v>
      </c>
      <c r="E3404" s="2">
        <v>45981</v>
      </c>
      <c r="F3404" s="1" t="s">
        <v>256</v>
      </c>
      <c r="G3404" s="1" t="s">
        <v>559</v>
      </c>
      <c r="H3404" s="1" t="s">
        <v>4418</v>
      </c>
      <c r="I3404" s="1">
        <v>1</v>
      </c>
      <c r="J3404" s="3">
        <v>9339</v>
      </c>
      <c r="K3404" s="3">
        <v>8911</v>
      </c>
      <c r="L3404" s="1">
        <v>0</v>
      </c>
      <c r="M3404" s="4">
        <v>0</v>
      </c>
      <c r="N3404" s="1">
        <v>428</v>
      </c>
      <c r="O3404" s="4">
        <v>4.5999999999999999E-2</v>
      </c>
      <c r="P3404" s="1" t="s">
        <v>2721</v>
      </c>
    </row>
    <row r="3405" spans="1:16">
      <c r="A3405" s="1" t="s">
        <v>15</v>
      </c>
      <c r="B3405" s="1">
        <v>11</v>
      </c>
      <c r="C3405" s="1" t="s">
        <v>7763</v>
      </c>
      <c r="D3405" s="1" t="s">
        <v>558</v>
      </c>
      <c r="E3405" s="2">
        <v>45981</v>
      </c>
      <c r="F3405" s="1" t="s">
        <v>256</v>
      </c>
      <c r="G3405" s="1" t="s">
        <v>559</v>
      </c>
      <c r="H3405" s="1" t="s">
        <v>7764</v>
      </c>
      <c r="I3405" s="1">
        <v>1</v>
      </c>
      <c r="J3405" s="3">
        <v>24526</v>
      </c>
      <c r="K3405" s="3">
        <v>23403</v>
      </c>
      <c r="L3405" s="1">
        <v>0</v>
      </c>
      <c r="M3405" s="4">
        <v>0</v>
      </c>
      <c r="N3405" s="3">
        <v>1123</v>
      </c>
      <c r="O3405" s="4">
        <v>4.5999999999999999E-2</v>
      </c>
      <c r="P3405" s="1" t="s">
        <v>2721</v>
      </c>
    </row>
    <row r="3406" spans="1:16">
      <c r="A3406" s="1" t="s">
        <v>15</v>
      </c>
      <c r="B3406" s="1">
        <v>11</v>
      </c>
      <c r="C3406" s="1" t="s">
        <v>7765</v>
      </c>
      <c r="D3406" s="1" t="s">
        <v>4707</v>
      </c>
      <c r="E3406" s="2">
        <v>45981</v>
      </c>
      <c r="F3406" s="1" t="s">
        <v>155</v>
      </c>
      <c r="G3406" s="1" t="s">
        <v>4708</v>
      </c>
      <c r="H3406" s="1" t="s">
        <v>4709</v>
      </c>
      <c r="I3406" s="1">
        <v>1</v>
      </c>
      <c r="J3406" s="3">
        <v>5996</v>
      </c>
      <c r="K3406" s="3">
        <v>5722</v>
      </c>
      <c r="L3406" s="1">
        <v>0</v>
      </c>
      <c r="M3406" s="4">
        <v>0</v>
      </c>
      <c r="N3406" s="1">
        <v>274</v>
      </c>
      <c r="O3406" s="4">
        <v>4.5999999999999999E-2</v>
      </c>
      <c r="P3406" s="1" t="s">
        <v>2721</v>
      </c>
    </row>
    <row r="3407" spans="1:16">
      <c r="A3407" s="1" t="s">
        <v>15</v>
      </c>
      <c r="B3407" s="1">
        <v>11</v>
      </c>
      <c r="C3407" s="1" t="s">
        <v>7766</v>
      </c>
      <c r="D3407" s="1" t="s">
        <v>333</v>
      </c>
      <c r="E3407" s="2">
        <v>45981</v>
      </c>
      <c r="F3407" s="1" t="s">
        <v>334</v>
      </c>
      <c r="G3407" s="1" t="s">
        <v>335</v>
      </c>
      <c r="H3407" s="1" t="s">
        <v>336</v>
      </c>
      <c r="I3407" s="1">
        <v>2</v>
      </c>
      <c r="J3407" s="3">
        <v>10813</v>
      </c>
      <c r="K3407" s="3">
        <v>10318</v>
      </c>
      <c r="L3407" s="1">
        <v>0</v>
      </c>
      <c r="M3407" s="4">
        <v>0</v>
      </c>
      <c r="N3407" s="1">
        <v>495</v>
      </c>
      <c r="O3407" s="4">
        <v>4.5999999999999999E-2</v>
      </c>
      <c r="P3407" s="1" t="s">
        <v>2721</v>
      </c>
    </row>
    <row r="3408" spans="1:16">
      <c r="A3408" s="1" t="s">
        <v>15</v>
      </c>
      <c r="B3408" s="1">
        <v>11</v>
      </c>
      <c r="C3408" s="1" t="s">
        <v>7767</v>
      </c>
      <c r="D3408" s="1" t="s">
        <v>27</v>
      </c>
      <c r="E3408" s="2">
        <v>45981</v>
      </c>
      <c r="F3408" s="1" t="s">
        <v>28</v>
      </c>
      <c r="G3408" s="1" t="s">
        <v>29</v>
      </c>
      <c r="H3408" s="1" t="s">
        <v>352</v>
      </c>
      <c r="I3408" s="1">
        <v>1</v>
      </c>
      <c r="J3408" s="3">
        <v>27033</v>
      </c>
      <c r="K3408" s="3">
        <v>25795</v>
      </c>
      <c r="L3408" s="1">
        <v>0</v>
      </c>
      <c r="M3408" s="4">
        <v>0</v>
      </c>
      <c r="N3408" s="3">
        <v>1238</v>
      </c>
      <c r="O3408" s="4">
        <v>4.5999999999999999E-2</v>
      </c>
      <c r="P3408" s="1" t="s">
        <v>2721</v>
      </c>
    </row>
    <row r="3409" spans="1:16">
      <c r="A3409" s="1" t="s">
        <v>15</v>
      </c>
      <c r="B3409" s="1">
        <v>11</v>
      </c>
      <c r="C3409" s="1" t="s">
        <v>7768</v>
      </c>
      <c r="D3409" s="1" t="s">
        <v>228</v>
      </c>
      <c r="E3409" s="2">
        <v>45981</v>
      </c>
      <c r="F3409" s="1" t="s">
        <v>53</v>
      </c>
      <c r="G3409" s="1" t="s">
        <v>229</v>
      </c>
      <c r="H3409" s="1" t="s">
        <v>230</v>
      </c>
      <c r="I3409" s="1">
        <v>1</v>
      </c>
      <c r="J3409" s="3">
        <v>9825</v>
      </c>
      <c r="K3409" s="3">
        <v>9375</v>
      </c>
      <c r="L3409" s="1">
        <v>0</v>
      </c>
      <c r="M3409" s="4">
        <v>0</v>
      </c>
      <c r="N3409" s="1">
        <v>450</v>
      </c>
      <c r="O3409" s="4">
        <v>4.5999999999999999E-2</v>
      </c>
      <c r="P3409" s="1" t="s">
        <v>2721</v>
      </c>
    </row>
    <row r="3410" spans="1:16">
      <c r="A3410" s="1" t="s">
        <v>15</v>
      </c>
      <c r="B3410" s="1">
        <v>11</v>
      </c>
      <c r="C3410" s="1" t="s">
        <v>7769</v>
      </c>
      <c r="D3410" s="1" t="s">
        <v>62</v>
      </c>
      <c r="E3410" s="2">
        <v>45981</v>
      </c>
      <c r="F3410" s="1" t="s">
        <v>63</v>
      </c>
      <c r="G3410" s="1" t="s">
        <v>64</v>
      </c>
      <c r="H3410" s="1" t="s">
        <v>7770</v>
      </c>
      <c r="I3410" s="1">
        <v>1</v>
      </c>
      <c r="J3410" s="3">
        <v>11417</v>
      </c>
      <c r="K3410" s="3">
        <v>10894</v>
      </c>
      <c r="L3410" s="1">
        <v>0</v>
      </c>
      <c r="M3410" s="4">
        <v>0</v>
      </c>
      <c r="N3410" s="1">
        <v>523</v>
      </c>
      <c r="O3410" s="4">
        <v>4.5999999999999999E-2</v>
      </c>
      <c r="P3410" s="1" t="s">
        <v>2721</v>
      </c>
    </row>
    <row r="3411" spans="1:16">
      <c r="A3411" s="1" t="s">
        <v>15</v>
      </c>
      <c r="B3411" s="1">
        <v>11</v>
      </c>
      <c r="C3411" s="1" t="s">
        <v>7769</v>
      </c>
      <c r="D3411" s="1" t="s">
        <v>62</v>
      </c>
      <c r="E3411" s="2">
        <v>45981</v>
      </c>
      <c r="F3411" s="1" t="s">
        <v>63</v>
      </c>
      <c r="G3411" s="1" t="s">
        <v>64</v>
      </c>
      <c r="H3411" s="1" t="s">
        <v>7771</v>
      </c>
      <c r="I3411" s="1">
        <v>1</v>
      </c>
      <c r="J3411" s="3">
        <v>11417</v>
      </c>
      <c r="K3411" s="3">
        <v>10894</v>
      </c>
      <c r="L3411" s="1">
        <v>0</v>
      </c>
      <c r="M3411" s="4">
        <v>0</v>
      </c>
      <c r="N3411" s="1">
        <v>523</v>
      </c>
      <c r="O3411" s="4">
        <v>4.5999999999999999E-2</v>
      </c>
      <c r="P3411" s="1" t="s">
        <v>2721</v>
      </c>
    </row>
    <row r="3412" spans="1:16">
      <c r="A3412" s="1" t="s">
        <v>15</v>
      </c>
      <c r="B3412" s="1">
        <v>11</v>
      </c>
      <c r="C3412" s="1" t="s">
        <v>7772</v>
      </c>
      <c r="D3412" s="1" t="s">
        <v>3967</v>
      </c>
      <c r="E3412" s="2">
        <v>45981</v>
      </c>
      <c r="F3412" s="1" t="s">
        <v>187</v>
      </c>
      <c r="G3412" s="1" t="s">
        <v>3968</v>
      </c>
      <c r="H3412" s="1" t="s">
        <v>3969</v>
      </c>
      <c r="I3412" s="1">
        <v>1</v>
      </c>
      <c r="J3412" s="3">
        <v>27524</v>
      </c>
      <c r="K3412" s="3">
        <v>26264</v>
      </c>
      <c r="L3412" s="1">
        <v>0</v>
      </c>
      <c r="M3412" s="4">
        <v>0</v>
      </c>
      <c r="N3412" s="3">
        <v>1260</v>
      </c>
      <c r="O3412" s="4">
        <v>4.5999999999999999E-2</v>
      </c>
      <c r="P3412" s="1" t="s">
        <v>2721</v>
      </c>
    </row>
    <row r="3413" spans="1:16">
      <c r="A3413" s="1" t="s">
        <v>15</v>
      </c>
      <c r="B3413" s="1">
        <v>11</v>
      </c>
      <c r="C3413" s="1" t="s">
        <v>7773</v>
      </c>
      <c r="D3413" s="1" t="s">
        <v>169</v>
      </c>
      <c r="E3413" s="2">
        <v>45981</v>
      </c>
      <c r="F3413" s="1" t="s">
        <v>53</v>
      </c>
      <c r="G3413" s="1" t="s">
        <v>170</v>
      </c>
      <c r="H3413" s="1" t="s">
        <v>171</v>
      </c>
      <c r="I3413" s="1">
        <v>1</v>
      </c>
      <c r="J3413" s="3">
        <v>14332</v>
      </c>
      <c r="K3413" s="3">
        <v>13676</v>
      </c>
      <c r="L3413" s="1">
        <v>0</v>
      </c>
      <c r="M3413" s="4">
        <v>0</v>
      </c>
      <c r="N3413" s="1">
        <v>656</v>
      </c>
      <c r="O3413" s="4">
        <v>4.5999999999999999E-2</v>
      </c>
      <c r="P3413" s="1" t="s">
        <v>2721</v>
      </c>
    </row>
    <row r="3414" spans="1:16">
      <c r="A3414" s="1" t="s">
        <v>15</v>
      </c>
      <c r="B3414" s="1">
        <v>11</v>
      </c>
      <c r="C3414" s="1" t="s">
        <v>7774</v>
      </c>
      <c r="D3414" s="1" t="s">
        <v>160</v>
      </c>
      <c r="E3414" s="2">
        <v>45981</v>
      </c>
      <c r="F3414" s="1" t="s">
        <v>161</v>
      </c>
      <c r="G3414" s="1" t="s">
        <v>162</v>
      </c>
      <c r="H3414" s="1" t="s">
        <v>810</v>
      </c>
      <c r="I3414" s="1">
        <v>1</v>
      </c>
      <c r="J3414" s="3">
        <v>9928</v>
      </c>
      <c r="K3414" s="3">
        <v>9474</v>
      </c>
      <c r="L3414" s="1">
        <v>0</v>
      </c>
      <c r="M3414" s="4">
        <v>0</v>
      </c>
      <c r="N3414" s="1">
        <v>454</v>
      </c>
      <c r="O3414" s="4">
        <v>4.5999999999999999E-2</v>
      </c>
      <c r="P3414" s="1" t="s">
        <v>2721</v>
      </c>
    </row>
    <row r="3415" spans="1:16">
      <c r="A3415" s="1" t="s">
        <v>15</v>
      </c>
      <c r="B3415" s="1">
        <v>11</v>
      </c>
      <c r="C3415" s="1" t="s">
        <v>7775</v>
      </c>
      <c r="D3415" s="1" t="s">
        <v>5532</v>
      </c>
      <c r="E3415" s="2">
        <v>45981</v>
      </c>
      <c r="F3415" s="1" t="s">
        <v>426</v>
      </c>
      <c r="G3415" s="1" t="s">
        <v>5533</v>
      </c>
      <c r="H3415" s="1" t="s">
        <v>7115</v>
      </c>
      <c r="I3415" s="1">
        <v>1</v>
      </c>
      <c r="J3415" s="3">
        <v>47184</v>
      </c>
      <c r="K3415" s="3">
        <v>45024</v>
      </c>
      <c r="L3415" s="1">
        <v>0</v>
      </c>
      <c r="M3415" s="4">
        <v>0</v>
      </c>
      <c r="N3415" s="3">
        <v>2160</v>
      </c>
      <c r="O3415" s="4">
        <v>4.5999999999999999E-2</v>
      </c>
      <c r="P3415" s="1" t="s">
        <v>2721</v>
      </c>
    </row>
    <row r="3416" spans="1:16">
      <c r="A3416" s="1" t="s">
        <v>15</v>
      </c>
      <c r="B3416" s="1">
        <v>11</v>
      </c>
      <c r="C3416" s="1" t="s">
        <v>7776</v>
      </c>
      <c r="D3416" s="1" t="s">
        <v>1074</v>
      </c>
      <c r="E3416" s="2">
        <v>45981</v>
      </c>
      <c r="F3416" s="1" t="s">
        <v>1075</v>
      </c>
      <c r="G3416" s="1" t="s">
        <v>1076</v>
      </c>
      <c r="H3416" s="1" t="s">
        <v>7777</v>
      </c>
      <c r="I3416" s="1">
        <v>1</v>
      </c>
      <c r="J3416" s="3">
        <v>15284</v>
      </c>
      <c r="K3416" s="3">
        <v>14584</v>
      </c>
      <c r="L3416" s="1">
        <v>0</v>
      </c>
      <c r="M3416" s="4">
        <v>0</v>
      </c>
      <c r="N3416" s="1">
        <v>700</v>
      </c>
      <c r="O3416" s="4">
        <v>4.5999999999999999E-2</v>
      </c>
      <c r="P3416" s="1" t="s">
        <v>2721</v>
      </c>
    </row>
    <row r="3417" spans="1:16">
      <c r="A3417" s="1" t="s">
        <v>577</v>
      </c>
      <c r="B3417" s="1">
        <v>11</v>
      </c>
      <c r="C3417" s="1" t="s">
        <v>7778</v>
      </c>
      <c r="D3417" s="1" t="s">
        <v>1779</v>
      </c>
      <c r="E3417" s="2">
        <v>45981</v>
      </c>
      <c r="F3417" s="1" t="s">
        <v>63</v>
      </c>
      <c r="G3417" s="1" t="s">
        <v>113</v>
      </c>
      <c r="H3417" s="1" t="s">
        <v>872</v>
      </c>
      <c r="I3417" s="1">
        <v>2</v>
      </c>
      <c r="J3417" s="3">
        <v>17668</v>
      </c>
      <c r="K3417" s="3">
        <v>16860</v>
      </c>
      <c r="L3417" s="1">
        <v>0</v>
      </c>
      <c r="M3417" s="4">
        <v>0</v>
      </c>
      <c r="N3417" s="1">
        <v>808</v>
      </c>
      <c r="O3417" s="4">
        <v>4.5999999999999999E-2</v>
      </c>
      <c r="P3417" s="1" t="s">
        <v>2721</v>
      </c>
    </row>
    <row r="3418" spans="1:16">
      <c r="A3418" s="1" t="s">
        <v>577</v>
      </c>
      <c r="B3418" s="1">
        <v>11</v>
      </c>
      <c r="C3418" s="1" t="s">
        <v>7779</v>
      </c>
      <c r="D3418" s="1" t="s">
        <v>3155</v>
      </c>
      <c r="E3418" s="2">
        <v>45981</v>
      </c>
      <c r="F3418" s="1" t="s">
        <v>1075</v>
      </c>
      <c r="G3418" s="1" t="s">
        <v>3156</v>
      </c>
      <c r="H3418" s="1" t="s">
        <v>3157</v>
      </c>
      <c r="I3418" s="1">
        <v>1</v>
      </c>
      <c r="J3418" s="3">
        <v>12288</v>
      </c>
      <c r="K3418" s="3">
        <v>11725</v>
      </c>
      <c r="L3418" s="1">
        <v>0</v>
      </c>
      <c r="M3418" s="4">
        <v>0</v>
      </c>
      <c r="N3418" s="1">
        <v>563</v>
      </c>
      <c r="O3418" s="4">
        <v>4.5999999999999999E-2</v>
      </c>
      <c r="P3418" s="1" t="s">
        <v>2721</v>
      </c>
    </row>
    <row r="3419" spans="1:16">
      <c r="A3419" s="1" t="s">
        <v>577</v>
      </c>
      <c r="B3419" s="1">
        <v>11</v>
      </c>
      <c r="C3419" s="1" t="s">
        <v>7780</v>
      </c>
      <c r="D3419" s="1" t="s">
        <v>7781</v>
      </c>
      <c r="E3419" s="2">
        <v>45981</v>
      </c>
      <c r="F3419" s="1" t="s">
        <v>1310</v>
      </c>
      <c r="G3419" s="1" t="s">
        <v>7782</v>
      </c>
      <c r="H3419" s="1" t="s">
        <v>7783</v>
      </c>
      <c r="I3419" s="1">
        <v>1</v>
      </c>
      <c r="J3419" s="3">
        <v>19660</v>
      </c>
      <c r="K3419" s="3">
        <v>18760</v>
      </c>
      <c r="L3419" s="1">
        <v>0</v>
      </c>
      <c r="M3419" s="4">
        <v>0</v>
      </c>
      <c r="N3419" s="1">
        <v>900</v>
      </c>
      <c r="O3419" s="4">
        <v>4.5999999999999999E-2</v>
      </c>
      <c r="P3419" s="1" t="s">
        <v>2721</v>
      </c>
    </row>
    <row r="3420" spans="1:16">
      <c r="A3420" s="1" t="s">
        <v>577</v>
      </c>
      <c r="B3420" s="1">
        <v>11</v>
      </c>
      <c r="C3420" s="1" t="s">
        <v>7784</v>
      </c>
      <c r="D3420" s="1" t="s">
        <v>4908</v>
      </c>
      <c r="E3420" s="2">
        <v>45981</v>
      </c>
      <c r="F3420" s="1" t="s">
        <v>407</v>
      </c>
      <c r="G3420" s="1" t="s">
        <v>505</v>
      </c>
      <c r="H3420" s="1" t="s">
        <v>963</v>
      </c>
      <c r="I3420" s="1">
        <v>1</v>
      </c>
      <c r="J3420" s="3">
        <v>35880</v>
      </c>
      <c r="K3420" s="3">
        <v>34237</v>
      </c>
      <c r="L3420" s="1">
        <v>0</v>
      </c>
      <c r="M3420" s="4">
        <v>0</v>
      </c>
      <c r="N3420" s="3">
        <v>1643</v>
      </c>
      <c r="O3420" s="4">
        <v>4.5999999999999999E-2</v>
      </c>
      <c r="P3420" s="1" t="s">
        <v>2721</v>
      </c>
    </row>
    <row r="3421" spans="1:16">
      <c r="A3421" s="1" t="s">
        <v>577</v>
      </c>
      <c r="B3421" s="1">
        <v>11</v>
      </c>
      <c r="C3421" s="1" t="s">
        <v>7785</v>
      </c>
      <c r="D3421" s="1" t="s">
        <v>1782</v>
      </c>
      <c r="E3421" s="2">
        <v>45981</v>
      </c>
      <c r="F3421" s="1" t="s">
        <v>96</v>
      </c>
      <c r="G3421" s="1" t="s">
        <v>225</v>
      </c>
      <c r="H3421" s="1" t="s">
        <v>896</v>
      </c>
      <c r="I3421" s="1">
        <v>1</v>
      </c>
      <c r="J3421" s="3">
        <v>12571</v>
      </c>
      <c r="K3421" s="3">
        <v>11995</v>
      </c>
      <c r="L3421" s="1">
        <v>0</v>
      </c>
      <c r="M3421" s="4">
        <v>0</v>
      </c>
      <c r="N3421" s="1">
        <v>576</v>
      </c>
      <c r="O3421" s="4">
        <v>4.5999999999999999E-2</v>
      </c>
      <c r="P3421" s="1" t="s">
        <v>2721</v>
      </c>
    </row>
    <row r="3422" spans="1:16">
      <c r="A3422" s="1" t="s">
        <v>577</v>
      </c>
      <c r="B3422" s="1">
        <v>11</v>
      </c>
      <c r="C3422" s="1" t="s">
        <v>7786</v>
      </c>
      <c r="D3422" s="1" t="s">
        <v>1762</v>
      </c>
      <c r="E3422" s="2">
        <v>45981</v>
      </c>
      <c r="F3422" s="1" t="s">
        <v>347</v>
      </c>
      <c r="G3422" s="1" t="s">
        <v>1458</v>
      </c>
      <c r="H3422" s="1" t="s">
        <v>7049</v>
      </c>
      <c r="I3422" s="1">
        <v>1</v>
      </c>
      <c r="J3422" s="3">
        <v>21705</v>
      </c>
      <c r="K3422" s="3">
        <v>20711</v>
      </c>
      <c r="L3422" s="1">
        <v>0</v>
      </c>
      <c r="M3422" s="4">
        <v>0</v>
      </c>
      <c r="N3422" s="1">
        <v>994</v>
      </c>
      <c r="O3422" s="4">
        <v>4.5999999999999999E-2</v>
      </c>
      <c r="P3422" s="1" t="s">
        <v>2721</v>
      </c>
    </row>
    <row r="3423" spans="1:16">
      <c r="A3423" s="1" t="s">
        <v>577</v>
      </c>
      <c r="B3423" s="1">
        <v>11</v>
      </c>
      <c r="C3423" s="1" t="s">
        <v>7787</v>
      </c>
      <c r="D3423" s="1" t="s">
        <v>1784</v>
      </c>
      <c r="E3423" s="2">
        <v>45981</v>
      </c>
      <c r="F3423" s="1" t="s">
        <v>256</v>
      </c>
      <c r="G3423" s="1" t="s">
        <v>778</v>
      </c>
      <c r="H3423" s="1" t="s">
        <v>779</v>
      </c>
      <c r="I3423" s="1">
        <v>1</v>
      </c>
      <c r="J3423" s="3">
        <v>11010</v>
      </c>
      <c r="K3423" s="3">
        <v>10506</v>
      </c>
      <c r="L3423" s="1">
        <v>0</v>
      </c>
      <c r="M3423" s="4">
        <v>0</v>
      </c>
      <c r="N3423" s="1">
        <v>504</v>
      </c>
      <c r="O3423" s="4">
        <v>4.5999999999999999E-2</v>
      </c>
      <c r="P3423" s="1" t="s">
        <v>2721</v>
      </c>
    </row>
    <row r="3424" spans="1:16">
      <c r="A3424" s="1" t="s">
        <v>577</v>
      </c>
      <c r="B3424" s="1">
        <v>11</v>
      </c>
      <c r="C3424" s="1" t="s">
        <v>7788</v>
      </c>
      <c r="D3424" s="1" t="s">
        <v>1812</v>
      </c>
      <c r="E3424" s="2">
        <v>45981</v>
      </c>
      <c r="F3424" s="1" t="s">
        <v>256</v>
      </c>
      <c r="G3424" s="1" t="s">
        <v>1376</v>
      </c>
      <c r="H3424" s="1" t="s">
        <v>2376</v>
      </c>
      <c r="I3424" s="1">
        <v>1</v>
      </c>
      <c r="J3424" s="3">
        <v>5161</v>
      </c>
      <c r="K3424" s="3">
        <v>4925</v>
      </c>
      <c r="L3424" s="1">
        <v>0</v>
      </c>
      <c r="M3424" s="4">
        <v>0</v>
      </c>
      <c r="N3424" s="1">
        <v>236</v>
      </c>
      <c r="O3424" s="4">
        <v>4.5999999999999999E-2</v>
      </c>
      <c r="P3424" s="1" t="s">
        <v>2721</v>
      </c>
    </row>
    <row r="3425" spans="1:16">
      <c r="A3425" s="1" t="s">
        <v>577</v>
      </c>
      <c r="B3425" s="1">
        <v>11</v>
      </c>
      <c r="C3425" s="1" t="s">
        <v>7789</v>
      </c>
      <c r="D3425" s="1" t="s">
        <v>7193</v>
      </c>
      <c r="E3425" s="2">
        <v>45981</v>
      </c>
      <c r="F3425" s="1" t="s">
        <v>96</v>
      </c>
      <c r="G3425" s="1" t="s">
        <v>7194</v>
      </c>
      <c r="H3425" s="1" t="s">
        <v>7790</v>
      </c>
      <c r="I3425" s="1">
        <v>1</v>
      </c>
      <c r="J3425" s="3">
        <v>14379</v>
      </c>
      <c r="K3425" s="3">
        <v>13721</v>
      </c>
      <c r="L3425" s="1">
        <v>0</v>
      </c>
      <c r="M3425" s="4">
        <v>0</v>
      </c>
      <c r="N3425" s="1">
        <v>658</v>
      </c>
      <c r="O3425" s="4">
        <v>4.5999999999999999E-2</v>
      </c>
      <c r="P3425" s="1" t="s">
        <v>2721</v>
      </c>
    </row>
    <row r="3426" spans="1:16">
      <c r="A3426" s="1" t="s">
        <v>577</v>
      </c>
      <c r="B3426" s="1">
        <v>11</v>
      </c>
      <c r="C3426" s="1" t="s">
        <v>7791</v>
      </c>
      <c r="D3426" s="1" t="s">
        <v>7792</v>
      </c>
      <c r="E3426" s="2">
        <v>45981</v>
      </c>
      <c r="F3426" s="1" t="s">
        <v>96</v>
      </c>
      <c r="G3426" s="1" t="s">
        <v>7793</v>
      </c>
      <c r="H3426" s="1" t="s">
        <v>7794</v>
      </c>
      <c r="I3426" s="1">
        <v>1</v>
      </c>
      <c r="J3426" s="3">
        <v>12571</v>
      </c>
      <c r="K3426" s="3">
        <v>11995</v>
      </c>
      <c r="L3426" s="1">
        <v>0</v>
      </c>
      <c r="M3426" s="4">
        <v>0</v>
      </c>
      <c r="N3426" s="1">
        <v>576</v>
      </c>
      <c r="O3426" s="4">
        <v>4.5999999999999999E-2</v>
      </c>
      <c r="P3426" s="1" t="s">
        <v>2721</v>
      </c>
    </row>
    <row r="3427" spans="1:16">
      <c r="A3427" s="1" t="s">
        <v>577</v>
      </c>
      <c r="B3427" s="1">
        <v>11</v>
      </c>
      <c r="C3427" s="1" t="s">
        <v>7791</v>
      </c>
      <c r="D3427" s="1" t="s">
        <v>7795</v>
      </c>
      <c r="E3427" s="2">
        <v>45981</v>
      </c>
      <c r="F3427" s="1" t="s">
        <v>96</v>
      </c>
      <c r="G3427" s="1" t="s">
        <v>1504</v>
      </c>
      <c r="H3427" s="1" t="s">
        <v>1505</v>
      </c>
      <c r="I3427" s="1">
        <v>1</v>
      </c>
      <c r="J3427" s="3">
        <v>12571</v>
      </c>
      <c r="K3427" s="3">
        <v>11995</v>
      </c>
      <c r="L3427" s="1">
        <v>0</v>
      </c>
      <c r="M3427" s="4">
        <v>0</v>
      </c>
      <c r="N3427" s="1">
        <v>576</v>
      </c>
      <c r="O3427" s="4">
        <v>4.5999999999999999E-2</v>
      </c>
      <c r="P3427" s="1" t="s">
        <v>2721</v>
      </c>
    </row>
    <row r="3428" spans="1:16">
      <c r="A3428" s="1" t="s">
        <v>577</v>
      </c>
      <c r="B3428" s="1">
        <v>11</v>
      </c>
      <c r="C3428" s="1" t="s">
        <v>7796</v>
      </c>
      <c r="D3428" s="1" t="s">
        <v>1741</v>
      </c>
      <c r="E3428" s="2">
        <v>45981</v>
      </c>
      <c r="F3428" s="1" t="s">
        <v>500</v>
      </c>
      <c r="G3428" s="1" t="s">
        <v>900</v>
      </c>
      <c r="H3428" s="1" t="s">
        <v>901</v>
      </c>
      <c r="I3428" s="1">
        <v>1</v>
      </c>
      <c r="J3428" s="3">
        <v>105846</v>
      </c>
      <c r="K3428" s="3">
        <v>101000</v>
      </c>
      <c r="L3428" s="1">
        <v>0</v>
      </c>
      <c r="M3428" s="4">
        <v>0</v>
      </c>
      <c r="N3428" s="3">
        <v>4846</v>
      </c>
      <c r="O3428" s="4">
        <v>4.5999999999999999E-2</v>
      </c>
      <c r="P3428" s="1" t="s">
        <v>2721</v>
      </c>
    </row>
    <row r="3429" spans="1:16">
      <c r="A3429" s="1" t="s">
        <v>577</v>
      </c>
      <c r="B3429" s="1">
        <v>11</v>
      </c>
      <c r="C3429" s="1" t="s">
        <v>7797</v>
      </c>
      <c r="D3429" s="1" t="s">
        <v>1741</v>
      </c>
      <c r="E3429" s="2">
        <v>45981</v>
      </c>
      <c r="F3429" s="1" t="s">
        <v>500</v>
      </c>
      <c r="G3429" s="1" t="s">
        <v>900</v>
      </c>
      <c r="H3429" s="1" t="s">
        <v>1678</v>
      </c>
      <c r="I3429" s="1">
        <v>1</v>
      </c>
      <c r="J3429" s="3">
        <v>102702</v>
      </c>
      <c r="K3429" s="3">
        <v>98000</v>
      </c>
      <c r="L3429" s="1">
        <v>0</v>
      </c>
      <c r="M3429" s="4">
        <v>0</v>
      </c>
      <c r="N3429" s="3">
        <v>4702</v>
      </c>
      <c r="O3429" s="4">
        <v>4.5999999999999999E-2</v>
      </c>
      <c r="P3429" s="1" t="s">
        <v>2721</v>
      </c>
    </row>
    <row r="3430" spans="1:16">
      <c r="A3430" s="1" t="s">
        <v>577</v>
      </c>
      <c r="B3430" s="1">
        <v>11</v>
      </c>
      <c r="C3430" s="1" t="s">
        <v>7798</v>
      </c>
      <c r="D3430" s="1" t="s">
        <v>4290</v>
      </c>
      <c r="E3430" s="2">
        <v>45981</v>
      </c>
      <c r="F3430" s="1" t="s">
        <v>235</v>
      </c>
      <c r="G3430" s="1" t="s">
        <v>3382</v>
      </c>
      <c r="H3430" s="1" t="s">
        <v>3382</v>
      </c>
      <c r="I3430" s="1">
        <v>1</v>
      </c>
      <c r="J3430" s="3">
        <v>22363</v>
      </c>
      <c r="K3430" s="3">
        <v>21340</v>
      </c>
      <c r="L3430" s="1">
        <v>0</v>
      </c>
      <c r="M3430" s="4">
        <v>0</v>
      </c>
      <c r="N3430" s="3">
        <v>1023</v>
      </c>
      <c r="O3430" s="4">
        <v>4.5999999999999999E-2</v>
      </c>
      <c r="P3430" s="1" t="s">
        <v>2721</v>
      </c>
    </row>
    <row r="3431" spans="1:16">
      <c r="A3431" s="1" t="s">
        <v>577</v>
      </c>
      <c r="B3431" s="1">
        <v>11</v>
      </c>
      <c r="C3431" s="1" t="s">
        <v>7799</v>
      </c>
      <c r="D3431" s="1" t="s">
        <v>7800</v>
      </c>
      <c r="E3431" s="2">
        <v>45981</v>
      </c>
      <c r="F3431" s="1" t="s">
        <v>23</v>
      </c>
      <c r="G3431" s="1" t="s">
        <v>7801</v>
      </c>
      <c r="H3431" s="1" t="s">
        <v>7802</v>
      </c>
      <c r="I3431" s="1">
        <v>1</v>
      </c>
      <c r="J3431" s="3">
        <v>25558</v>
      </c>
      <c r="K3431" s="3">
        <v>24388</v>
      </c>
      <c r="L3431" s="1">
        <v>0</v>
      </c>
      <c r="M3431" s="4">
        <v>0</v>
      </c>
      <c r="N3431" s="3">
        <v>1170</v>
      </c>
      <c r="O3431" s="4">
        <v>4.5999999999999999E-2</v>
      </c>
      <c r="P3431" s="1" t="s">
        <v>2721</v>
      </c>
    </row>
    <row r="3432" spans="1:16">
      <c r="A3432" s="1" t="s">
        <v>577</v>
      </c>
      <c r="B3432" s="1">
        <v>11</v>
      </c>
      <c r="C3432" s="1" t="s">
        <v>7803</v>
      </c>
      <c r="D3432" s="1" t="s">
        <v>1786</v>
      </c>
      <c r="E3432" s="2">
        <v>45981</v>
      </c>
      <c r="F3432" s="1" t="s">
        <v>347</v>
      </c>
      <c r="G3432" s="1" t="s">
        <v>1134</v>
      </c>
      <c r="H3432" s="1" t="s">
        <v>1340</v>
      </c>
      <c r="I3432" s="1">
        <v>1</v>
      </c>
      <c r="J3432" s="3">
        <v>22519</v>
      </c>
      <c r="K3432" s="3">
        <v>21488</v>
      </c>
      <c r="L3432" s="1">
        <v>0</v>
      </c>
      <c r="M3432" s="4">
        <v>0</v>
      </c>
      <c r="N3432" s="3">
        <v>1031</v>
      </c>
      <c r="O3432" s="4">
        <v>4.5999999999999999E-2</v>
      </c>
      <c r="P3432" s="1" t="s">
        <v>2721</v>
      </c>
    </row>
    <row r="3433" spans="1:16">
      <c r="A3433" s="1" t="s">
        <v>602</v>
      </c>
      <c r="B3433" s="1">
        <v>11</v>
      </c>
      <c r="C3433" s="1">
        <v>32100153804257</v>
      </c>
      <c r="D3433" s="1" t="s">
        <v>603</v>
      </c>
      <c r="E3433" s="2">
        <v>45981</v>
      </c>
      <c r="F3433" s="1" t="s">
        <v>604</v>
      </c>
      <c r="G3433" s="1" t="s">
        <v>605</v>
      </c>
      <c r="H3433" s="1" t="s">
        <v>606</v>
      </c>
      <c r="I3433" s="1">
        <v>5</v>
      </c>
      <c r="J3433" s="3">
        <v>49800</v>
      </c>
      <c r="K3433" s="3">
        <v>38250</v>
      </c>
      <c r="L3433" s="3">
        <v>5777</v>
      </c>
      <c r="M3433" s="4">
        <v>0.11600000000000001</v>
      </c>
      <c r="N3433" s="3">
        <v>5773</v>
      </c>
      <c r="O3433" s="4">
        <v>0.11600000000000001</v>
      </c>
      <c r="P3433" s="1" t="s">
        <v>2721</v>
      </c>
    </row>
    <row r="3434" spans="1:16">
      <c r="A3434" s="1" t="s">
        <v>602</v>
      </c>
      <c r="B3434" s="1">
        <v>11</v>
      </c>
      <c r="C3434" s="1">
        <v>20100154059547</v>
      </c>
      <c r="D3434" s="1" t="s">
        <v>607</v>
      </c>
      <c r="E3434" s="2">
        <v>45981</v>
      </c>
      <c r="F3434" s="1" t="s">
        <v>604</v>
      </c>
      <c r="G3434" s="1" t="s">
        <v>608</v>
      </c>
      <c r="H3434" s="1" t="s">
        <v>609</v>
      </c>
      <c r="I3434" s="1">
        <v>3</v>
      </c>
      <c r="J3434" s="3">
        <v>42800</v>
      </c>
      <c r="K3434" s="3">
        <v>32200</v>
      </c>
      <c r="L3434" s="3">
        <v>4965</v>
      </c>
      <c r="M3434" s="4">
        <v>0.11600000000000001</v>
      </c>
      <c r="N3434" s="3">
        <v>5635</v>
      </c>
      <c r="O3434" s="4">
        <v>0.13200000000000001</v>
      </c>
      <c r="P3434" s="1" t="s">
        <v>2721</v>
      </c>
    </row>
    <row r="3435" spans="1:16">
      <c r="A3435" s="1" t="s">
        <v>649</v>
      </c>
      <c r="B3435" s="1">
        <v>11</v>
      </c>
      <c r="C3435" s="1">
        <v>25111919400236</v>
      </c>
      <c r="D3435" s="1" t="s">
        <v>617</v>
      </c>
      <c r="E3435" s="2">
        <v>45981</v>
      </c>
      <c r="F3435" s="1" t="s">
        <v>604</v>
      </c>
      <c r="G3435" s="1" t="s">
        <v>618</v>
      </c>
      <c r="H3435" s="1" t="s">
        <v>7804</v>
      </c>
      <c r="I3435" s="1">
        <v>6</v>
      </c>
      <c r="J3435" s="3">
        <v>30515</v>
      </c>
      <c r="K3435" s="3">
        <v>19300</v>
      </c>
      <c r="L3435" s="1">
        <v>0</v>
      </c>
      <c r="M3435" s="4">
        <v>0</v>
      </c>
      <c r="N3435" s="3">
        <v>11215</v>
      </c>
      <c r="O3435" s="4">
        <v>0.36799999999999999</v>
      </c>
      <c r="P3435" s="1" t="s">
        <v>2721</v>
      </c>
    </row>
    <row r="3436" spans="1:16">
      <c r="A3436" s="1" t="s">
        <v>624</v>
      </c>
      <c r="B3436" s="1">
        <v>11</v>
      </c>
      <c r="C3436" s="1">
        <v>2025111913589240</v>
      </c>
      <c r="D3436" s="1" t="s">
        <v>3014</v>
      </c>
      <c r="E3436" s="2">
        <v>45981</v>
      </c>
      <c r="F3436" s="1" t="s">
        <v>604</v>
      </c>
      <c r="G3436" s="1" t="s">
        <v>3015</v>
      </c>
      <c r="H3436" s="1" t="s">
        <v>7805</v>
      </c>
      <c r="I3436" s="1">
        <v>1</v>
      </c>
      <c r="J3436" s="3">
        <v>8880</v>
      </c>
      <c r="K3436" s="3">
        <v>3675</v>
      </c>
      <c r="L3436" s="3">
        <v>1154</v>
      </c>
      <c r="M3436" s="4">
        <v>0.13</v>
      </c>
      <c r="N3436" s="3">
        <v>4051</v>
      </c>
      <c r="O3436" s="4">
        <v>0.45600000000000002</v>
      </c>
      <c r="P3436" s="1" t="s">
        <v>2721</v>
      </c>
    </row>
    <row r="3437" spans="1:16">
      <c r="A3437" s="1" t="s">
        <v>624</v>
      </c>
      <c r="B3437" s="1">
        <v>11</v>
      </c>
      <c r="C3437" s="1">
        <v>2025111913793570</v>
      </c>
      <c r="D3437" s="1" t="s">
        <v>1844</v>
      </c>
      <c r="E3437" s="2">
        <v>45981</v>
      </c>
      <c r="F3437" s="1" t="s">
        <v>604</v>
      </c>
      <c r="G3437" s="1" t="s">
        <v>1845</v>
      </c>
      <c r="H3437" s="1" t="s">
        <v>1846</v>
      </c>
      <c r="I3437" s="1">
        <v>5</v>
      </c>
      <c r="J3437" s="3">
        <v>15576</v>
      </c>
      <c r="K3437" s="3">
        <v>12125</v>
      </c>
      <c r="L3437" s="3">
        <v>2025</v>
      </c>
      <c r="M3437" s="4">
        <v>0.13</v>
      </c>
      <c r="N3437" s="3">
        <v>1426</v>
      </c>
      <c r="O3437" s="4">
        <v>9.1999999999999998E-2</v>
      </c>
      <c r="P3437" s="1" t="s">
        <v>2721</v>
      </c>
    </row>
    <row r="3438" spans="1:16">
      <c r="A3438" s="1" t="s">
        <v>626</v>
      </c>
      <c r="B3438" s="1">
        <v>11</v>
      </c>
      <c r="C3438" s="1">
        <v>69296766</v>
      </c>
      <c r="D3438" s="1" t="s">
        <v>627</v>
      </c>
      <c r="E3438" s="2">
        <v>45981</v>
      </c>
      <c r="F3438" s="1" t="s">
        <v>604</v>
      </c>
      <c r="G3438" s="1" t="s">
        <v>628</v>
      </c>
      <c r="H3438" s="1" t="s">
        <v>629</v>
      </c>
      <c r="I3438" s="1">
        <v>1</v>
      </c>
      <c r="J3438" s="3">
        <v>8000</v>
      </c>
      <c r="K3438" s="3">
        <v>1800</v>
      </c>
      <c r="L3438" s="1">
        <v>880</v>
      </c>
      <c r="M3438" s="4">
        <v>0.11</v>
      </c>
      <c r="N3438" s="3">
        <v>5320</v>
      </c>
      <c r="O3438" s="4">
        <v>0.66500000000000004</v>
      </c>
      <c r="P3438" s="1" t="s">
        <v>2721</v>
      </c>
    </row>
    <row r="3439" spans="1:16">
      <c r="A3439" s="1" t="s">
        <v>630</v>
      </c>
      <c r="B3439" s="1">
        <v>11</v>
      </c>
      <c r="C3439" s="1">
        <v>1117379489723970</v>
      </c>
      <c r="D3439" s="1" t="s">
        <v>627</v>
      </c>
      <c r="E3439" s="2">
        <v>45981</v>
      </c>
      <c r="F3439" s="1" t="s">
        <v>604</v>
      </c>
      <c r="G3439" s="1" t="s">
        <v>628</v>
      </c>
      <c r="H3439" s="1" t="s">
        <v>1848</v>
      </c>
      <c r="I3439" s="1">
        <v>5</v>
      </c>
      <c r="J3439" s="3">
        <v>33750</v>
      </c>
      <c r="K3439" s="3">
        <v>11500</v>
      </c>
      <c r="L3439" s="3">
        <v>2228</v>
      </c>
      <c r="M3439" s="4">
        <v>6.6000000000000003E-2</v>
      </c>
      <c r="N3439" s="3">
        <v>20023</v>
      </c>
      <c r="O3439" s="4">
        <v>0.59299999999999997</v>
      </c>
      <c r="P3439" s="1" t="s">
        <v>2721</v>
      </c>
    </row>
    <row r="3440" spans="1:16">
      <c r="A3440" s="1" t="s">
        <v>630</v>
      </c>
      <c r="B3440" s="1">
        <v>11</v>
      </c>
      <c r="C3440" s="1">
        <v>1117402758367310</v>
      </c>
      <c r="D3440" s="1" t="s">
        <v>627</v>
      </c>
      <c r="E3440" s="2">
        <v>45981</v>
      </c>
      <c r="F3440" s="1" t="s">
        <v>604</v>
      </c>
      <c r="G3440" s="1" t="s">
        <v>628</v>
      </c>
      <c r="H3440" s="1" t="s">
        <v>1848</v>
      </c>
      <c r="I3440" s="1">
        <v>1</v>
      </c>
      <c r="J3440" s="3">
        <v>6750</v>
      </c>
      <c r="K3440" s="3">
        <v>4300</v>
      </c>
      <c r="L3440" s="1">
        <v>446</v>
      </c>
      <c r="M3440" s="4">
        <v>6.6000000000000003E-2</v>
      </c>
      <c r="N3440" s="3">
        <v>2005</v>
      </c>
      <c r="O3440" s="4">
        <v>0.29699999999999999</v>
      </c>
      <c r="P3440" s="1" t="s">
        <v>2721</v>
      </c>
    </row>
    <row r="3441" spans="1:16">
      <c r="A3441" s="1" t="s">
        <v>739</v>
      </c>
      <c r="B3441" s="1">
        <v>11</v>
      </c>
      <c r="C3441" s="1">
        <v>31465819</v>
      </c>
      <c r="D3441" s="1" t="s">
        <v>1856</v>
      </c>
      <c r="E3441" s="2">
        <v>45981</v>
      </c>
      <c r="F3441" s="1" t="s">
        <v>604</v>
      </c>
      <c r="G3441" s="1" t="s">
        <v>1857</v>
      </c>
      <c r="H3441" s="1" t="s">
        <v>1858</v>
      </c>
      <c r="I3441" s="1">
        <v>2</v>
      </c>
      <c r="J3441" s="3">
        <v>17800</v>
      </c>
      <c r="K3441" s="3">
        <v>7552</v>
      </c>
      <c r="L3441" s="3">
        <v>2350</v>
      </c>
      <c r="M3441" s="4">
        <v>0.13200000000000001</v>
      </c>
      <c r="N3441" s="3">
        <v>7898</v>
      </c>
      <c r="O3441" s="4">
        <v>0.44400000000000001</v>
      </c>
      <c r="P3441" s="1" t="s">
        <v>2721</v>
      </c>
    </row>
    <row r="3442" spans="1:16">
      <c r="A3442" s="1" t="s">
        <v>602</v>
      </c>
      <c r="B3442" s="1">
        <v>11</v>
      </c>
      <c r="C3442" s="1">
        <v>7100154169342</v>
      </c>
      <c r="D3442" s="1" t="s">
        <v>1862</v>
      </c>
      <c r="E3442" s="2">
        <v>45981</v>
      </c>
      <c r="F3442" s="1" t="s">
        <v>235</v>
      </c>
      <c r="G3442" s="1" t="s">
        <v>1863</v>
      </c>
      <c r="H3442" s="1" t="s">
        <v>1864</v>
      </c>
      <c r="I3442" s="1">
        <v>1</v>
      </c>
      <c r="J3442" s="3">
        <v>14790</v>
      </c>
      <c r="K3442" s="3">
        <v>7739</v>
      </c>
      <c r="L3442" s="3">
        <v>1716</v>
      </c>
      <c r="M3442" s="4">
        <v>0.11600000000000001</v>
      </c>
      <c r="N3442" s="3">
        <v>5335</v>
      </c>
      <c r="O3442" s="4">
        <v>0.36099999999999999</v>
      </c>
      <c r="P3442" s="1" t="s">
        <v>2721</v>
      </c>
    </row>
    <row r="3443" spans="1:16">
      <c r="A3443" s="1" t="s">
        <v>602</v>
      </c>
      <c r="B3443" s="1">
        <v>11</v>
      </c>
      <c r="C3443" s="1">
        <v>20100153947611</v>
      </c>
      <c r="D3443" s="1" t="s">
        <v>1862</v>
      </c>
      <c r="E3443" s="2">
        <v>45981</v>
      </c>
      <c r="F3443" s="1" t="s">
        <v>235</v>
      </c>
      <c r="G3443" s="1" t="s">
        <v>1863</v>
      </c>
      <c r="H3443" s="1" t="s">
        <v>1864</v>
      </c>
      <c r="I3443" s="1">
        <v>1</v>
      </c>
      <c r="J3443" s="3">
        <v>14790</v>
      </c>
      <c r="K3443" s="3">
        <v>7739</v>
      </c>
      <c r="L3443" s="3">
        <v>1716</v>
      </c>
      <c r="M3443" s="4">
        <v>0.11600000000000001</v>
      </c>
      <c r="N3443" s="3">
        <v>5335</v>
      </c>
      <c r="O3443" s="4">
        <v>0.36099999999999999</v>
      </c>
      <c r="P3443" s="1" t="s">
        <v>2721</v>
      </c>
    </row>
    <row r="3444" spans="1:16">
      <c r="A3444" s="1" t="s">
        <v>602</v>
      </c>
      <c r="B3444" s="1">
        <v>11</v>
      </c>
      <c r="C3444" s="1">
        <v>29100153919760</v>
      </c>
      <c r="D3444" s="1" t="s">
        <v>1862</v>
      </c>
      <c r="E3444" s="2">
        <v>45981</v>
      </c>
      <c r="F3444" s="1" t="s">
        <v>235</v>
      </c>
      <c r="G3444" s="1" t="s">
        <v>1863</v>
      </c>
      <c r="H3444" s="1" t="s">
        <v>1864</v>
      </c>
      <c r="I3444" s="1">
        <v>1</v>
      </c>
      <c r="J3444" s="3">
        <v>14790</v>
      </c>
      <c r="K3444" s="3">
        <v>7739</v>
      </c>
      <c r="L3444" s="3">
        <v>1716</v>
      </c>
      <c r="M3444" s="4">
        <v>0.11600000000000001</v>
      </c>
      <c r="N3444" s="3">
        <v>5335</v>
      </c>
      <c r="O3444" s="4">
        <v>0.36099999999999999</v>
      </c>
      <c r="P3444" s="1" t="s">
        <v>2721</v>
      </c>
    </row>
    <row r="3445" spans="1:16">
      <c r="A3445" s="1" t="s">
        <v>602</v>
      </c>
      <c r="B3445" s="1">
        <v>11</v>
      </c>
      <c r="C3445" s="1">
        <v>9100153719836</v>
      </c>
      <c r="D3445" s="1" t="s">
        <v>1862</v>
      </c>
      <c r="E3445" s="2">
        <v>45981</v>
      </c>
      <c r="F3445" s="1" t="s">
        <v>235</v>
      </c>
      <c r="G3445" s="1" t="s">
        <v>1863</v>
      </c>
      <c r="H3445" s="1" t="s">
        <v>1864</v>
      </c>
      <c r="I3445" s="1">
        <v>1</v>
      </c>
      <c r="J3445" s="3">
        <v>14790</v>
      </c>
      <c r="K3445" s="3">
        <v>7739</v>
      </c>
      <c r="L3445" s="3">
        <v>1716</v>
      </c>
      <c r="M3445" s="4">
        <v>0.11600000000000001</v>
      </c>
      <c r="N3445" s="3">
        <v>5335</v>
      </c>
      <c r="O3445" s="4">
        <v>0.36099999999999999</v>
      </c>
      <c r="P3445" s="1" t="s">
        <v>2721</v>
      </c>
    </row>
    <row r="3446" spans="1:16">
      <c r="A3446" s="1" t="s">
        <v>602</v>
      </c>
      <c r="B3446" s="1">
        <v>11</v>
      </c>
      <c r="C3446" s="1">
        <v>28100153770325</v>
      </c>
      <c r="D3446" s="1" t="s">
        <v>1862</v>
      </c>
      <c r="E3446" s="2">
        <v>45981</v>
      </c>
      <c r="F3446" s="1" t="s">
        <v>235</v>
      </c>
      <c r="G3446" s="1" t="s">
        <v>1863</v>
      </c>
      <c r="H3446" s="1" t="s">
        <v>1864</v>
      </c>
      <c r="I3446" s="1">
        <v>1</v>
      </c>
      <c r="J3446" s="3">
        <v>14790</v>
      </c>
      <c r="K3446" s="3">
        <v>7739</v>
      </c>
      <c r="L3446" s="3">
        <v>1716</v>
      </c>
      <c r="M3446" s="4">
        <v>0.11600000000000001</v>
      </c>
      <c r="N3446" s="3">
        <v>5335</v>
      </c>
      <c r="O3446" s="4">
        <v>0.36099999999999999</v>
      </c>
      <c r="P3446" s="1" t="s">
        <v>2721</v>
      </c>
    </row>
    <row r="3447" spans="1:16">
      <c r="A3447" s="1" t="s">
        <v>649</v>
      </c>
      <c r="B3447" s="1">
        <v>11</v>
      </c>
      <c r="C3447" s="1">
        <v>25111923465810</v>
      </c>
      <c r="D3447" s="1" t="s">
        <v>769</v>
      </c>
      <c r="E3447" s="2">
        <v>45981</v>
      </c>
      <c r="F3447" s="1" t="s">
        <v>48</v>
      </c>
      <c r="G3447" s="1" t="s">
        <v>770</v>
      </c>
      <c r="H3447" s="1" t="s">
        <v>5898</v>
      </c>
      <c r="I3447" s="1">
        <v>1</v>
      </c>
      <c r="J3447" s="3">
        <v>14680</v>
      </c>
      <c r="K3447" s="3">
        <v>12513</v>
      </c>
      <c r="L3447" s="1">
        <v>0</v>
      </c>
      <c r="M3447" s="4">
        <v>0</v>
      </c>
      <c r="N3447" s="3">
        <v>2167</v>
      </c>
      <c r="O3447" s="4">
        <v>0.14799999999999999</v>
      </c>
      <c r="P3447" s="1" t="s">
        <v>2721</v>
      </c>
    </row>
    <row r="3448" spans="1:16">
      <c r="A3448" s="1" t="s">
        <v>649</v>
      </c>
      <c r="B3448" s="1">
        <v>11</v>
      </c>
      <c r="C3448" s="1">
        <v>25111921442407</v>
      </c>
      <c r="D3448" s="1" t="s">
        <v>769</v>
      </c>
      <c r="E3448" s="2">
        <v>45981</v>
      </c>
      <c r="F3448" s="1" t="s">
        <v>48</v>
      </c>
      <c r="G3448" s="1" t="s">
        <v>770</v>
      </c>
      <c r="H3448" s="1" t="s">
        <v>5898</v>
      </c>
      <c r="I3448" s="1">
        <v>1</v>
      </c>
      <c r="J3448" s="3">
        <v>14680</v>
      </c>
      <c r="K3448" s="3">
        <v>12513</v>
      </c>
      <c r="L3448" s="1">
        <v>0</v>
      </c>
      <c r="M3448" s="4">
        <v>0</v>
      </c>
      <c r="N3448" s="3">
        <v>2167</v>
      </c>
      <c r="O3448" s="4">
        <v>0.14799999999999999</v>
      </c>
      <c r="P3448" s="1" t="s">
        <v>2721</v>
      </c>
    </row>
    <row r="3449" spans="1:16">
      <c r="A3449" s="1" t="s">
        <v>649</v>
      </c>
      <c r="B3449" s="1">
        <v>11</v>
      </c>
      <c r="C3449" s="1">
        <v>25111915371061</v>
      </c>
      <c r="D3449" s="1" t="s">
        <v>1862</v>
      </c>
      <c r="E3449" s="2">
        <v>45981</v>
      </c>
      <c r="F3449" s="1" t="s">
        <v>235</v>
      </c>
      <c r="G3449" s="1" t="s">
        <v>1863</v>
      </c>
      <c r="H3449" s="1" t="s">
        <v>7806</v>
      </c>
      <c r="I3449" s="1">
        <v>2</v>
      </c>
      <c r="J3449" s="3">
        <v>16661</v>
      </c>
      <c r="K3449" s="3">
        <v>15478</v>
      </c>
      <c r="L3449" s="1">
        <v>0</v>
      </c>
      <c r="M3449" s="4">
        <v>0</v>
      </c>
      <c r="N3449" s="3">
        <v>1183</v>
      </c>
      <c r="O3449" s="4">
        <v>7.0999999999999994E-2</v>
      </c>
      <c r="P3449" s="1" t="s">
        <v>2721</v>
      </c>
    </row>
    <row r="3450" spans="1:16">
      <c r="A3450" s="1" t="s">
        <v>649</v>
      </c>
      <c r="B3450" s="1">
        <v>11</v>
      </c>
      <c r="C3450" s="1">
        <v>25111912341695</v>
      </c>
      <c r="D3450" s="1" t="s">
        <v>2635</v>
      </c>
      <c r="E3450" s="2">
        <v>45981</v>
      </c>
      <c r="F3450" s="1" t="s">
        <v>2636</v>
      </c>
      <c r="G3450" s="1" t="s">
        <v>2637</v>
      </c>
      <c r="H3450" s="1" t="s">
        <v>2638</v>
      </c>
      <c r="I3450" s="1">
        <v>1</v>
      </c>
      <c r="J3450" s="3">
        <v>10472</v>
      </c>
      <c r="K3450" s="3">
        <v>8911</v>
      </c>
      <c r="L3450" s="1">
        <v>0</v>
      </c>
      <c r="M3450" s="4">
        <v>0</v>
      </c>
      <c r="N3450" s="3">
        <v>1561</v>
      </c>
      <c r="O3450" s="4">
        <v>0.14899999999999999</v>
      </c>
      <c r="P3450" s="1" t="s">
        <v>2721</v>
      </c>
    </row>
    <row r="3451" spans="1:16">
      <c r="A3451" s="1" t="s">
        <v>649</v>
      </c>
      <c r="B3451" s="1">
        <v>11</v>
      </c>
      <c r="C3451" s="1">
        <v>25111911032205</v>
      </c>
      <c r="D3451" s="1" t="s">
        <v>7807</v>
      </c>
      <c r="E3451" s="2">
        <v>45981</v>
      </c>
      <c r="F3451" s="1" t="s">
        <v>2008</v>
      </c>
      <c r="G3451" s="1" t="s">
        <v>7808</v>
      </c>
      <c r="H3451" s="1" t="s">
        <v>7809</v>
      </c>
      <c r="I3451" s="1">
        <v>1</v>
      </c>
      <c r="J3451" s="3">
        <v>460020</v>
      </c>
      <c r="K3451" s="3">
        <v>426880</v>
      </c>
      <c r="L3451" s="1">
        <v>0</v>
      </c>
      <c r="M3451" s="4">
        <v>0</v>
      </c>
      <c r="N3451" s="3">
        <v>33140</v>
      </c>
      <c r="O3451" s="4">
        <v>7.1999999999999995E-2</v>
      </c>
      <c r="P3451" s="1" t="s">
        <v>2721</v>
      </c>
    </row>
    <row r="3452" spans="1:16">
      <c r="A3452" s="1" t="s">
        <v>624</v>
      </c>
      <c r="B3452" s="1">
        <v>11</v>
      </c>
      <c r="C3452" s="1">
        <v>2025112013885800</v>
      </c>
      <c r="D3452" s="1" t="s">
        <v>3020</v>
      </c>
      <c r="E3452" s="2">
        <v>45981</v>
      </c>
      <c r="F3452" s="1" t="s">
        <v>48</v>
      </c>
      <c r="G3452" s="1" t="s">
        <v>3021</v>
      </c>
      <c r="H3452" s="1" t="s">
        <v>167</v>
      </c>
      <c r="I3452" s="1">
        <v>1</v>
      </c>
      <c r="J3452" s="3">
        <v>38972</v>
      </c>
      <c r="K3452" s="3">
        <v>30117</v>
      </c>
      <c r="L3452" s="3">
        <v>5066</v>
      </c>
      <c r="M3452" s="4">
        <v>0.13</v>
      </c>
      <c r="N3452" s="3">
        <v>3789</v>
      </c>
      <c r="O3452" s="4">
        <v>9.7000000000000003E-2</v>
      </c>
      <c r="P3452" s="1" t="s">
        <v>2721</v>
      </c>
    </row>
    <row r="3453" spans="1:16">
      <c r="A3453" s="1" t="s">
        <v>632</v>
      </c>
      <c r="B3453" s="1">
        <v>11</v>
      </c>
      <c r="C3453" s="1">
        <v>163592763</v>
      </c>
      <c r="D3453" s="1" t="s">
        <v>4396</v>
      </c>
      <c r="E3453" s="2">
        <v>45981</v>
      </c>
      <c r="F3453" s="1" t="s">
        <v>48</v>
      </c>
      <c r="G3453" s="1" t="s">
        <v>4397</v>
      </c>
      <c r="I3453" s="1">
        <v>1</v>
      </c>
      <c r="J3453" s="3">
        <v>11900</v>
      </c>
      <c r="K3453" s="3">
        <v>8112</v>
      </c>
      <c r="L3453" s="3">
        <v>1261</v>
      </c>
      <c r="M3453" s="4">
        <v>0.106</v>
      </c>
      <c r="N3453" s="3">
        <v>2527</v>
      </c>
      <c r="O3453" s="4">
        <v>0.21199999999999999</v>
      </c>
      <c r="P3453" s="1" t="s">
        <v>2721</v>
      </c>
    </row>
    <row r="3454" spans="1:16">
      <c r="A3454" s="1" t="s">
        <v>632</v>
      </c>
      <c r="B3454" s="1">
        <v>11</v>
      </c>
      <c r="C3454" s="1">
        <v>163527585</v>
      </c>
      <c r="D3454" s="1" t="s">
        <v>1968</v>
      </c>
      <c r="E3454" s="2">
        <v>45981</v>
      </c>
      <c r="F3454" s="1" t="s">
        <v>239</v>
      </c>
      <c r="G3454" s="1" t="s">
        <v>1969</v>
      </c>
      <c r="I3454" s="1">
        <v>1</v>
      </c>
      <c r="J3454" s="3">
        <v>19800</v>
      </c>
      <c r="K3454" s="3">
        <v>10787</v>
      </c>
      <c r="L3454" s="3">
        <v>2099</v>
      </c>
      <c r="M3454" s="4">
        <v>0.106</v>
      </c>
      <c r="N3454" s="3">
        <v>6914</v>
      </c>
      <c r="O3454" s="4">
        <v>0.34899999999999998</v>
      </c>
      <c r="P3454" s="1" t="s">
        <v>2721</v>
      </c>
    </row>
    <row r="3455" spans="1:16">
      <c r="A3455" s="1" t="s">
        <v>1917</v>
      </c>
      <c r="B3455" s="1">
        <v>11</v>
      </c>
      <c r="C3455" s="1">
        <v>1.17511763558602E+20</v>
      </c>
      <c r="D3455" s="1" t="s">
        <v>7810</v>
      </c>
      <c r="E3455" s="2">
        <v>45981</v>
      </c>
      <c r="F3455" s="1" t="s">
        <v>187</v>
      </c>
      <c r="G3455" s="1" t="s">
        <v>7811</v>
      </c>
      <c r="H3455" s="1" t="s">
        <v>1735</v>
      </c>
      <c r="I3455" s="1">
        <v>1</v>
      </c>
      <c r="J3455" s="3">
        <v>26400</v>
      </c>
      <c r="K3455" s="3">
        <v>23733</v>
      </c>
      <c r="L3455" s="1">
        <v>0</v>
      </c>
      <c r="M3455" s="4">
        <v>0</v>
      </c>
      <c r="N3455" s="3">
        <v>2667</v>
      </c>
      <c r="O3455" s="4">
        <v>0.10100000000000001</v>
      </c>
      <c r="P3455" s="1" t="s">
        <v>2721</v>
      </c>
    </row>
    <row r="3456" spans="1:16">
      <c r="A3456" s="1" t="s">
        <v>1917</v>
      </c>
      <c r="B3456" s="1">
        <v>11</v>
      </c>
      <c r="C3456" s="1">
        <v>1.17481763540712E+20</v>
      </c>
      <c r="D3456" s="1" t="s">
        <v>1959</v>
      </c>
      <c r="E3456" s="2">
        <v>45981</v>
      </c>
      <c r="F3456" s="1" t="s">
        <v>1513</v>
      </c>
      <c r="G3456" s="1" t="s">
        <v>1960</v>
      </c>
      <c r="H3456" s="1" t="s">
        <v>1961</v>
      </c>
      <c r="I3456" s="1">
        <v>1</v>
      </c>
      <c r="J3456" s="3">
        <v>12788</v>
      </c>
      <c r="K3456" s="3">
        <v>10100</v>
      </c>
      <c r="L3456" s="1">
        <v>0</v>
      </c>
      <c r="M3456" s="4">
        <v>0</v>
      </c>
      <c r="N3456" s="3">
        <v>2688</v>
      </c>
      <c r="O3456" s="4">
        <v>0.21</v>
      </c>
      <c r="P3456" s="1" t="s">
        <v>2721</v>
      </c>
    </row>
    <row r="3457" spans="1:16">
      <c r="A3457" s="1" t="s">
        <v>1917</v>
      </c>
      <c r="B3457" s="1">
        <v>11</v>
      </c>
      <c r="C3457" s="1">
        <v>1.1747176353635E+20</v>
      </c>
      <c r="D3457" s="1" t="s">
        <v>7812</v>
      </c>
      <c r="E3457" s="2">
        <v>45981</v>
      </c>
      <c r="F3457" s="1" t="s">
        <v>753</v>
      </c>
      <c r="G3457" s="1" t="s">
        <v>7813</v>
      </c>
      <c r="H3457" s="1" t="s">
        <v>7814</v>
      </c>
      <c r="I3457" s="1">
        <v>1</v>
      </c>
      <c r="J3457" s="3">
        <v>27540</v>
      </c>
      <c r="K3457" s="3">
        <v>23262</v>
      </c>
      <c r="L3457" s="1">
        <v>0</v>
      </c>
      <c r="M3457" s="4">
        <v>0</v>
      </c>
      <c r="N3457" s="3">
        <v>4278</v>
      </c>
      <c r="O3457" s="4">
        <v>0.155</v>
      </c>
      <c r="P3457" s="1" t="s">
        <v>2721</v>
      </c>
    </row>
    <row r="3458" spans="1:16">
      <c r="A3458" s="1" t="s">
        <v>1849</v>
      </c>
      <c r="B3458" s="1">
        <v>11</v>
      </c>
      <c r="C3458" s="1">
        <v>310400</v>
      </c>
      <c r="D3458" s="1" t="s">
        <v>6627</v>
      </c>
      <c r="E3458" s="2">
        <v>45981</v>
      </c>
      <c r="F3458" s="1" t="s">
        <v>500</v>
      </c>
      <c r="G3458" s="1" t="s">
        <v>5652</v>
      </c>
      <c r="H3458" s="1" t="s">
        <v>7815</v>
      </c>
      <c r="I3458" s="1">
        <v>1</v>
      </c>
      <c r="J3458" s="3">
        <v>162000</v>
      </c>
      <c r="K3458" s="3">
        <v>134700</v>
      </c>
      <c r="L3458" s="3">
        <v>24300</v>
      </c>
      <c r="M3458" s="4">
        <v>0.15</v>
      </c>
      <c r="N3458" s="3">
        <v>3000</v>
      </c>
      <c r="O3458" s="4">
        <v>1.9E-2</v>
      </c>
      <c r="P3458" s="1" t="s">
        <v>2721</v>
      </c>
    </row>
    <row r="3459" spans="1:16">
      <c r="A3459" s="1" t="s">
        <v>1849</v>
      </c>
      <c r="B3459" s="1">
        <v>11</v>
      </c>
      <c r="C3459" s="1">
        <v>310378</v>
      </c>
      <c r="D3459" s="1" t="s">
        <v>3028</v>
      </c>
      <c r="E3459" s="2">
        <v>45981</v>
      </c>
      <c r="F3459" s="1" t="s">
        <v>1021</v>
      </c>
      <c r="G3459" s="1" t="s">
        <v>3029</v>
      </c>
      <c r="H3459" s="1" t="s">
        <v>3030</v>
      </c>
      <c r="I3459" s="1">
        <v>1</v>
      </c>
      <c r="J3459" s="3">
        <v>41300</v>
      </c>
      <c r="K3459" s="3">
        <v>28046</v>
      </c>
      <c r="L3459" s="3">
        <v>6195</v>
      </c>
      <c r="M3459" s="4">
        <v>0.15</v>
      </c>
      <c r="N3459" s="3">
        <v>7059</v>
      </c>
      <c r="O3459" s="4">
        <v>0.17100000000000001</v>
      </c>
      <c r="P3459" s="1" t="s">
        <v>2721</v>
      </c>
    </row>
    <row r="3460" spans="1:16">
      <c r="A3460" s="1" t="s">
        <v>1849</v>
      </c>
      <c r="B3460" s="1">
        <v>11</v>
      </c>
      <c r="C3460" s="1">
        <v>310017</v>
      </c>
      <c r="D3460" s="1" t="s">
        <v>3032</v>
      </c>
      <c r="E3460" s="2">
        <v>45981</v>
      </c>
      <c r="F3460" s="1" t="s">
        <v>3033</v>
      </c>
      <c r="G3460" s="1" t="s">
        <v>3034</v>
      </c>
      <c r="H3460" s="1" t="s">
        <v>3035</v>
      </c>
      <c r="I3460" s="1">
        <v>1</v>
      </c>
      <c r="J3460" s="3">
        <v>41900</v>
      </c>
      <c r="K3460" s="3">
        <v>32192</v>
      </c>
      <c r="L3460" s="3">
        <v>6285</v>
      </c>
      <c r="M3460" s="4">
        <v>0.15</v>
      </c>
      <c r="N3460" s="3">
        <v>3423</v>
      </c>
      <c r="O3460" s="4">
        <v>8.2000000000000003E-2</v>
      </c>
      <c r="P3460" s="1" t="s">
        <v>2721</v>
      </c>
    </row>
    <row r="3461" spans="1:16">
      <c r="A3461" s="1" t="s">
        <v>1849</v>
      </c>
      <c r="B3461" s="1">
        <v>11</v>
      </c>
      <c r="C3461" s="1">
        <v>307134</v>
      </c>
      <c r="D3461" s="1" t="s">
        <v>1977</v>
      </c>
      <c r="E3461" s="2">
        <v>45981</v>
      </c>
      <c r="F3461" s="1" t="s">
        <v>235</v>
      </c>
      <c r="G3461" s="1" t="s">
        <v>1978</v>
      </c>
      <c r="H3461" s="1" t="s">
        <v>1979</v>
      </c>
      <c r="I3461" s="1">
        <v>1</v>
      </c>
      <c r="J3461" s="3">
        <v>15900</v>
      </c>
      <c r="K3461" s="3">
        <v>12579</v>
      </c>
      <c r="L3461" s="3">
        <v>2385</v>
      </c>
      <c r="M3461" s="4">
        <v>0.15</v>
      </c>
      <c r="N3461" s="1">
        <v>936</v>
      </c>
      <c r="O3461" s="4">
        <v>5.8999999999999997E-2</v>
      </c>
      <c r="P3461" s="1" t="s">
        <v>2721</v>
      </c>
    </row>
    <row r="3462" spans="1:16">
      <c r="A3462" s="1" t="s">
        <v>1849</v>
      </c>
      <c r="B3462" s="1">
        <v>11</v>
      </c>
      <c r="C3462" s="1">
        <v>305089</v>
      </c>
      <c r="D3462" s="1" t="s">
        <v>1983</v>
      </c>
      <c r="E3462" s="2">
        <v>45981</v>
      </c>
      <c r="F3462" s="1" t="s">
        <v>239</v>
      </c>
      <c r="G3462" s="1" t="s">
        <v>1984</v>
      </c>
      <c r="H3462" s="1" t="s">
        <v>7816</v>
      </c>
      <c r="I3462" s="1">
        <v>1</v>
      </c>
      <c r="J3462" s="3">
        <v>15800</v>
      </c>
      <c r="K3462" s="3">
        <v>10787</v>
      </c>
      <c r="L3462" s="3">
        <v>2370</v>
      </c>
      <c r="M3462" s="4">
        <v>0.15</v>
      </c>
      <c r="N3462" s="3">
        <v>2643</v>
      </c>
      <c r="O3462" s="4">
        <v>0.16700000000000001</v>
      </c>
      <c r="P3462" s="1" t="s">
        <v>2721</v>
      </c>
    </row>
    <row r="3463" spans="1:16">
      <c r="A3463" s="1" t="s">
        <v>692</v>
      </c>
      <c r="B3463" s="1">
        <v>11</v>
      </c>
      <c r="C3463" s="1" t="s">
        <v>7817</v>
      </c>
      <c r="D3463" s="1" t="s">
        <v>7818</v>
      </c>
      <c r="E3463" s="2">
        <v>45981</v>
      </c>
      <c r="F3463" s="1" t="s">
        <v>1632</v>
      </c>
      <c r="G3463" s="1" t="s">
        <v>7819</v>
      </c>
      <c r="H3463" s="1" t="s">
        <v>7820</v>
      </c>
      <c r="I3463" s="1">
        <v>1</v>
      </c>
      <c r="J3463" s="3">
        <v>28815</v>
      </c>
      <c r="K3463" s="3">
        <v>24459</v>
      </c>
      <c r="L3463" s="1">
        <v>0</v>
      </c>
      <c r="M3463" s="4">
        <v>0</v>
      </c>
      <c r="N3463" s="3">
        <v>4356</v>
      </c>
      <c r="O3463" s="4">
        <v>0.151</v>
      </c>
      <c r="P3463" s="1" t="s">
        <v>2721</v>
      </c>
    </row>
    <row r="3464" spans="1:16">
      <c r="A3464" s="1" t="s">
        <v>692</v>
      </c>
      <c r="B3464" s="1">
        <v>11</v>
      </c>
      <c r="C3464" s="1" t="s">
        <v>7821</v>
      </c>
      <c r="D3464" s="1" t="s">
        <v>4489</v>
      </c>
      <c r="E3464" s="2">
        <v>45981</v>
      </c>
      <c r="F3464" s="1" t="s">
        <v>426</v>
      </c>
      <c r="G3464" s="1" t="s">
        <v>4490</v>
      </c>
      <c r="H3464" s="1" t="s">
        <v>7822</v>
      </c>
      <c r="I3464" s="1">
        <v>1</v>
      </c>
      <c r="J3464" s="3">
        <v>55165</v>
      </c>
      <c r="K3464" s="3">
        <v>51590</v>
      </c>
      <c r="L3464" s="1">
        <v>0</v>
      </c>
      <c r="M3464" s="4">
        <v>0</v>
      </c>
      <c r="N3464" s="3">
        <v>3575</v>
      </c>
      <c r="O3464" s="4">
        <v>6.5000000000000002E-2</v>
      </c>
      <c r="P3464" s="1" t="s">
        <v>2721</v>
      </c>
    </row>
    <row r="3465" spans="1:16">
      <c r="A3465" s="1" t="s">
        <v>692</v>
      </c>
      <c r="B3465" s="1">
        <v>11</v>
      </c>
      <c r="C3465" s="1" t="s">
        <v>7823</v>
      </c>
      <c r="D3465" s="1" t="s">
        <v>7824</v>
      </c>
      <c r="E3465" s="2">
        <v>45981</v>
      </c>
      <c r="F3465" s="1" t="s">
        <v>2678</v>
      </c>
      <c r="G3465" s="1" t="s">
        <v>7825</v>
      </c>
      <c r="H3465" s="1" t="s">
        <v>7826</v>
      </c>
      <c r="I3465" s="1">
        <v>1</v>
      </c>
      <c r="J3465" s="3">
        <v>701250</v>
      </c>
      <c r="K3465" s="3">
        <v>648000</v>
      </c>
      <c r="L3465" s="1">
        <v>0</v>
      </c>
      <c r="M3465" s="4">
        <v>0</v>
      </c>
      <c r="N3465" s="3">
        <v>53250</v>
      </c>
      <c r="O3465" s="4">
        <v>7.5999999999999998E-2</v>
      </c>
      <c r="P3465" s="1" t="s">
        <v>2721</v>
      </c>
    </row>
    <row r="3466" spans="1:16">
      <c r="A3466" s="1" t="s">
        <v>2736</v>
      </c>
      <c r="B3466" s="1">
        <v>11</v>
      </c>
      <c r="C3466" s="1">
        <v>2.0251119140950899E+17</v>
      </c>
      <c r="D3466" s="1" t="s">
        <v>2184</v>
      </c>
      <c r="E3466" s="2">
        <v>45981</v>
      </c>
      <c r="F3466" s="1" t="s">
        <v>500</v>
      </c>
      <c r="G3466" s="1" t="s">
        <v>2185</v>
      </c>
      <c r="H3466" s="1" t="s">
        <v>7827</v>
      </c>
      <c r="I3466" s="1">
        <v>1</v>
      </c>
      <c r="J3466" s="3">
        <v>118000</v>
      </c>
      <c r="K3466" s="3">
        <v>98000</v>
      </c>
      <c r="L3466" s="3">
        <v>17700</v>
      </c>
      <c r="M3466" s="4">
        <v>0.15</v>
      </c>
      <c r="N3466" s="3">
        <v>2300</v>
      </c>
      <c r="O3466" s="4">
        <v>1.9E-2</v>
      </c>
      <c r="P3466" s="1" t="s">
        <v>2721</v>
      </c>
    </row>
    <row r="3467" spans="1:16">
      <c r="A3467" s="1" t="s">
        <v>2736</v>
      </c>
      <c r="B3467" s="1">
        <v>11</v>
      </c>
      <c r="C3467" s="1">
        <v>2.0251119144837101E+17</v>
      </c>
      <c r="D3467" s="1" t="s">
        <v>2184</v>
      </c>
      <c r="E3467" s="2">
        <v>45981</v>
      </c>
      <c r="F3467" s="1" t="s">
        <v>500</v>
      </c>
      <c r="G3467" s="1" t="s">
        <v>2185</v>
      </c>
      <c r="H3467" s="1" t="s">
        <v>7827</v>
      </c>
      <c r="I3467" s="1">
        <v>1</v>
      </c>
      <c r="J3467" s="3">
        <v>118000</v>
      </c>
      <c r="K3467" s="3">
        <v>98000</v>
      </c>
      <c r="L3467" s="3">
        <v>17700</v>
      </c>
      <c r="M3467" s="4">
        <v>0.15</v>
      </c>
      <c r="N3467" s="3">
        <v>2300</v>
      </c>
      <c r="O3467" s="4">
        <v>1.9E-2</v>
      </c>
      <c r="P3467" s="1" t="s">
        <v>2721</v>
      </c>
    </row>
    <row r="3468" spans="1:16">
      <c r="A3468" s="1" t="s">
        <v>707</v>
      </c>
      <c r="B3468" s="1">
        <v>11</v>
      </c>
      <c r="C3468" s="1">
        <v>2.0251119092419398E+17</v>
      </c>
      <c r="D3468" s="1" t="s">
        <v>2071</v>
      </c>
      <c r="E3468" s="2">
        <v>45981</v>
      </c>
      <c r="F3468" s="1" t="s">
        <v>235</v>
      </c>
      <c r="G3468" s="1" t="s">
        <v>2072</v>
      </c>
      <c r="H3468" s="1" t="s">
        <v>2073</v>
      </c>
      <c r="I3468" s="1">
        <v>1</v>
      </c>
      <c r="J3468" s="3">
        <v>9800</v>
      </c>
      <c r="K3468" s="3">
        <v>7739</v>
      </c>
      <c r="L3468" s="3">
        <v>1470</v>
      </c>
      <c r="M3468" s="4">
        <v>0.15</v>
      </c>
      <c r="N3468" s="1">
        <v>591</v>
      </c>
      <c r="O3468" s="4">
        <v>0.06</v>
      </c>
      <c r="P3468" s="1" t="s">
        <v>2721</v>
      </c>
    </row>
    <row r="3469" spans="1:16">
      <c r="A3469" s="1" t="s">
        <v>707</v>
      </c>
      <c r="B3469" s="1">
        <v>11</v>
      </c>
      <c r="C3469" s="1">
        <v>2.0251119125434598E+17</v>
      </c>
      <c r="D3469" s="1" t="s">
        <v>1862</v>
      </c>
      <c r="E3469" s="2">
        <v>45981</v>
      </c>
      <c r="F3469" s="1" t="s">
        <v>235</v>
      </c>
      <c r="G3469" s="1" t="s">
        <v>1863</v>
      </c>
      <c r="H3469" s="1" t="s">
        <v>2070</v>
      </c>
      <c r="I3469" s="1">
        <v>1</v>
      </c>
      <c r="J3469" s="3">
        <v>9800</v>
      </c>
      <c r="K3469" s="3">
        <v>7739</v>
      </c>
      <c r="L3469" s="3">
        <v>1470</v>
      </c>
      <c r="M3469" s="4">
        <v>0.15</v>
      </c>
      <c r="N3469" s="1">
        <v>591</v>
      </c>
      <c r="O3469" s="4">
        <v>0.06</v>
      </c>
      <c r="P3469" s="1" t="s">
        <v>2721</v>
      </c>
    </row>
    <row r="3470" spans="1:16">
      <c r="A3470" s="1" t="s">
        <v>707</v>
      </c>
      <c r="B3470" s="1">
        <v>11</v>
      </c>
      <c r="C3470" s="1">
        <v>2.0251119125434598E+17</v>
      </c>
      <c r="D3470" s="1" t="s">
        <v>2071</v>
      </c>
      <c r="E3470" s="2">
        <v>45981</v>
      </c>
      <c r="F3470" s="1" t="s">
        <v>235</v>
      </c>
      <c r="G3470" s="1" t="s">
        <v>2072</v>
      </c>
      <c r="H3470" s="1" t="s">
        <v>2073</v>
      </c>
      <c r="I3470" s="1">
        <v>1</v>
      </c>
      <c r="J3470" s="3">
        <v>9800</v>
      </c>
      <c r="K3470" s="3">
        <v>7739</v>
      </c>
      <c r="L3470" s="3">
        <v>1470</v>
      </c>
      <c r="M3470" s="4">
        <v>0.15</v>
      </c>
      <c r="N3470" s="1">
        <v>591</v>
      </c>
      <c r="O3470" s="4">
        <v>0.06</v>
      </c>
      <c r="P3470" s="1" t="s">
        <v>2721</v>
      </c>
    </row>
    <row r="3471" spans="1:16">
      <c r="A3471" s="1" t="s">
        <v>707</v>
      </c>
      <c r="B3471" s="1">
        <v>11</v>
      </c>
      <c r="C3471" s="1">
        <v>2.0251119153355299E+17</v>
      </c>
      <c r="D3471" s="1" t="s">
        <v>3086</v>
      </c>
      <c r="E3471" s="2">
        <v>45981</v>
      </c>
      <c r="F3471" s="1" t="s">
        <v>317</v>
      </c>
      <c r="G3471" s="1" t="s">
        <v>3087</v>
      </c>
      <c r="H3471" s="1" t="s">
        <v>7828</v>
      </c>
      <c r="I3471" s="1">
        <v>1</v>
      </c>
      <c r="J3471" s="3">
        <v>38000</v>
      </c>
      <c r="K3471" s="3">
        <v>26264</v>
      </c>
      <c r="L3471" s="3">
        <v>5700</v>
      </c>
      <c r="M3471" s="4">
        <v>0.15</v>
      </c>
      <c r="N3471" s="3">
        <v>6036</v>
      </c>
      <c r="O3471" s="4">
        <v>0.159</v>
      </c>
      <c r="P3471" s="1" t="s">
        <v>2721</v>
      </c>
    </row>
    <row r="3472" spans="1:16">
      <c r="A3472" s="1" t="s">
        <v>707</v>
      </c>
      <c r="B3472" s="1">
        <v>11</v>
      </c>
      <c r="C3472" s="1">
        <v>2.02511192012244E+17</v>
      </c>
      <c r="D3472" s="1" t="s">
        <v>2687</v>
      </c>
      <c r="E3472" s="2">
        <v>45981</v>
      </c>
      <c r="F3472" s="1" t="s">
        <v>347</v>
      </c>
      <c r="G3472" s="1" t="s">
        <v>2688</v>
      </c>
      <c r="H3472" s="1" t="s">
        <v>7829</v>
      </c>
      <c r="I3472" s="1">
        <v>1</v>
      </c>
      <c r="J3472" s="3">
        <v>24000</v>
      </c>
      <c r="K3472" s="3">
        <v>18122</v>
      </c>
      <c r="L3472" s="3">
        <v>3600</v>
      </c>
      <c r="M3472" s="4">
        <v>0.15</v>
      </c>
      <c r="N3472" s="3">
        <v>2278</v>
      </c>
      <c r="O3472" s="4">
        <v>9.5000000000000001E-2</v>
      </c>
      <c r="P3472" s="1" t="s">
        <v>2721</v>
      </c>
    </row>
    <row r="3473" spans="1:16">
      <c r="A3473" s="1" t="s">
        <v>707</v>
      </c>
      <c r="B3473" s="1">
        <v>11</v>
      </c>
      <c r="C3473" s="1">
        <v>2.0251120081118899E+17</v>
      </c>
      <c r="D3473" s="1" t="s">
        <v>2071</v>
      </c>
      <c r="E3473" s="2">
        <v>45981</v>
      </c>
      <c r="F3473" s="1" t="s">
        <v>235</v>
      </c>
      <c r="G3473" s="1" t="s">
        <v>2072</v>
      </c>
      <c r="H3473" s="1" t="s">
        <v>2073</v>
      </c>
      <c r="I3473" s="1">
        <v>1</v>
      </c>
      <c r="J3473" s="3">
        <v>9800</v>
      </c>
      <c r="K3473" s="3">
        <v>7739</v>
      </c>
      <c r="L3473" s="3">
        <v>1470</v>
      </c>
      <c r="M3473" s="4">
        <v>0.15</v>
      </c>
      <c r="N3473" s="1">
        <v>591</v>
      </c>
      <c r="O3473" s="4">
        <v>0.06</v>
      </c>
      <c r="P3473" s="1" t="s">
        <v>2721</v>
      </c>
    </row>
    <row r="3474" spans="1:16">
      <c r="A3474" s="1" t="s">
        <v>707</v>
      </c>
      <c r="B3474" s="1">
        <v>11</v>
      </c>
      <c r="C3474" s="1">
        <v>2.0251120081228899E+17</v>
      </c>
      <c r="D3474" s="1" t="s">
        <v>2071</v>
      </c>
      <c r="E3474" s="2">
        <v>45981</v>
      </c>
      <c r="F3474" s="1" t="s">
        <v>235</v>
      </c>
      <c r="G3474" s="1" t="s">
        <v>2072</v>
      </c>
      <c r="H3474" s="1" t="s">
        <v>2073</v>
      </c>
      <c r="I3474" s="1">
        <v>1</v>
      </c>
      <c r="J3474" s="3">
        <v>9800</v>
      </c>
      <c r="K3474" s="3">
        <v>7739</v>
      </c>
      <c r="L3474" s="3">
        <v>1470</v>
      </c>
      <c r="M3474" s="4">
        <v>0.15</v>
      </c>
      <c r="N3474" s="1">
        <v>591</v>
      </c>
      <c r="O3474" s="4">
        <v>0.06</v>
      </c>
      <c r="P3474" s="1" t="s">
        <v>2721</v>
      </c>
    </row>
    <row r="3475" spans="1:16">
      <c r="A3475" s="1" t="s">
        <v>707</v>
      </c>
      <c r="B3475" s="1">
        <v>11</v>
      </c>
      <c r="C3475" s="1">
        <v>2.0251120093142301E+17</v>
      </c>
      <c r="D3475" s="1" t="s">
        <v>1862</v>
      </c>
      <c r="E3475" s="2">
        <v>45981</v>
      </c>
      <c r="F3475" s="1" t="s">
        <v>235</v>
      </c>
      <c r="G3475" s="1" t="s">
        <v>1863</v>
      </c>
      <c r="H3475" s="1" t="s">
        <v>2070</v>
      </c>
      <c r="I3475" s="1">
        <v>2</v>
      </c>
      <c r="J3475" s="3">
        <v>19600</v>
      </c>
      <c r="K3475" s="3">
        <v>15478</v>
      </c>
      <c r="L3475" s="3">
        <v>2940</v>
      </c>
      <c r="M3475" s="4">
        <v>0.15</v>
      </c>
      <c r="N3475" s="3">
        <v>1182</v>
      </c>
      <c r="O3475" s="4">
        <v>0.06</v>
      </c>
      <c r="P3475" s="1" t="s">
        <v>2721</v>
      </c>
    </row>
    <row r="3476" spans="1:16">
      <c r="A3476" s="1" t="s">
        <v>2082</v>
      </c>
      <c r="B3476" s="1">
        <v>11</v>
      </c>
      <c r="C3476" s="1">
        <v>2.02511191732028E+17</v>
      </c>
      <c r="D3476" s="1" t="s">
        <v>7830</v>
      </c>
      <c r="E3476" s="2">
        <v>45981</v>
      </c>
      <c r="F3476" s="1" t="s">
        <v>235</v>
      </c>
      <c r="G3476" s="1" t="s">
        <v>7831</v>
      </c>
      <c r="H3476" s="1" t="s">
        <v>7832</v>
      </c>
      <c r="I3476" s="1">
        <v>1</v>
      </c>
      <c r="J3476" s="3">
        <v>19800</v>
      </c>
      <c r="K3476" s="3">
        <v>13382</v>
      </c>
      <c r="L3476" s="3">
        <v>2970</v>
      </c>
      <c r="M3476" s="4">
        <v>0.15</v>
      </c>
      <c r="N3476" s="3">
        <v>3448</v>
      </c>
      <c r="O3476" s="4">
        <v>0.17399999999999999</v>
      </c>
      <c r="P3476" s="1" t="s">
        <v>2721</v>
      </c>
    </row>
    <row r="3477" spans="1:16">
      <c r="A3477" s="1" t="s">
        <v>711</v>
      </c>
      <c r="B3477" s="1">
        <v>11</v>
      </c>
      <c r="C3477" s="1">
        <v>2.0251119124816602E+17</v>
      </c>
      <c r="D3477" s="1" t="s">
        <v>7833</v>
      </c>
      <c r="E3477" s="2">
        <v>45981</v>
      </c>
      <c r="F3477" s="1" t="s">
        <v>58</v>
      </c>
      <c r="G3477" s="1" t="s">
        <v>7834</v>
      </c>
      <c r="H3477" s="1" t="s">
        <v>7835</v>
      </c>
      <c r="I3477" s="1">
        <v>1</v>
      </c>
      <c r="J3477" s="3">
        <v>28000</v>
      </c>
      <c r="K3477" s="3">
        <v>20167</v>
      </c>
      <c r="L3477" s="3">
        <v>4200</v>
      </c>
      <c r="M3477" s="4">
        <v>0.15</v>
      </c>
      <c r="N3477" s="3">
        <v>3633</v>
      </c>
      <c r="O3477" s="4">
        <v>0.13</v>
      </c>
      <c r="P3477" s="1" t="s">
        <v>2721</v>
      </c>
    </row>
    <row r="3478" spans="1:16">
      <c r="A3478" s="1" t="s">
        <v>718</v>
      </c>
      <c r="B3478" s="1">
        <v>11</v>
      </c>
      <c r="C3478" s="1">
        <v>2.0251120000825798E+17</v>
      </c>
      <c r="D3478" s="1" t="s">
        <v>3487</v>
      </c>
      <c r="E3478" s="2">
        <v>45981</v>
      </c>
      <c r="F3478" s="1" t="s">
        <v>3484</v>
      </c>
      <c r="G3478" s="1" t="s">
        <v>3488</v>
      </c>
      <c r="H3478" s="1" t="s">
        <v>3489</v>
      </c>
      <c r="I3478" s="1">
        <v>1</v>
      </c>
      <c r="J3478" s="3">
        <v>37000</v>
      </c>
      <c r="K3478" s="3">
        <v>25795</v>
      </c>
      <c r="L3478" s="3">
        <v>3700</v>
      </c>
      <c r="M3478" s="4">
        <v>0.1</v>
      </c>
      <c r="N3478" s="3">
        <v>7505</v>
      </c>
      <c r="O3478" s="4">
        <v>0.20300000000000001</v>
      </c>
      <c r="P3478" s="1" t="s">
        <v>2721</v>
      </c>
    </row>
    <row r="3479" spans="1:16">
      <c r="A3479" s="1" t="s">
        <v>718</v>
      </c>
      <c r="B3479" s="1">
        <v>11</v>
      </c>
      <c r="C3479" s="1">
        <v>2.02511191209088E+17</v>
      </c>
      <c r="D3479" s="1" t="s">
        <v>2089</v>
      </c>
      <c r="E3479" s="2">
        <v>45981</v>
      </c>
      <c r="F3479" s="1" t="s">
        <v>1935</v>
      </c>
      <c r="G3479" s="1" t="s">
        <v>2090</v>
      </c>
      <c r="H3479" s="1" t="s">
        <v>2091</v>
      </c>
      <c r="I3479" s="1">
        <v>1</v>
      </c>
      <c r="J3479" s="3">
        <v>19900</v>
      </c>
      <c r="K3479" s="3">
        <v>16884</v>
      </c>
      <c r="L3479" s="3">
        <v>1990</v>
      </c>
      <c r="M3479" s="4">
        <v>0.1</v>
      </c>
      <c r="N3479" s="3">
        <v>1026</v>
      </c>
      <c r="O3479" s="4">
        <v>5.1999999999999998E-2</v>
      </c>
      <c r="P3479" s="1" t="s">
        <v>2721</v>
      </c>
    </row>
    <row r="3480" spans="1:16">
      <c r="A3480" s="1" t="s">
        <v>722</v>
      </c>
      <c r="B3480" s="1">
        <v>11</v>
      </c>
      <c r="C3480" s="1" t="s">
        <v>7836</v>
      </c>
      <c r="D3480" s="1" t="s">
        <v>7837</v>
      </c>
      <c r="E3480" s="2">
        <v>45981</v>
      </c>
      <c r="F3480" s="1" t="s">
        <v>725</v>
      </c>
      <c r="G3480" s="1" t="s">
        <v>7838</v>
      </c>
      <c r="I3480" s="1">
        <v>1</v>
      </c>
      <c r="J3480" s="3">
        <v>119250</v>
      </c>
      <c r="K3480" s="3">
        <v>103180</v>
      </c>
      <c r="L3480" s="1">
        <v>0</v>
      </c>
      <c r="M3480" s="4">
        <v>0</v>
      </c>
      <c r="N3480" s="3">
        <v>16070</v>
      </c>
      <c r="O3480" s="4">
        <v>0.13500000000000001</v>
      </c>
      <c r="P3480" s="1" t="s">
        <v>2721</v>
      </c>
    </row>
    <row r="3481" spans="1:16">
      <c r="A3481" s="1" t="s">
        <v>739</v>
      </c>
      <c r="B3481" s="1">
        <v>11</v>
      </c>
      <c r="C3481" s="1">
        <v>31463451</v>
      </c>
      <c r="D3481" s="1" t="s">
        <v>2083</v>
      </c>
      <c r="E3481" s="2">
        <v>45981</v>
      </c>
      <c r="F3481" s="1" t="s">
        <v>426</v>
      </c>
      <c r="G3481" s="1" t="s">
        <v>2084</v>
      </c>
      <c r="H3481" s="1" t="s">
        <v>1568</v>
      </c>
      <c r="I3481" s="1">
        <v>1</v>
      </c>
      <c r="J3481" s="3">
        <v>32000</v>
      </c>
      <c r="K3481" s="3">
        <v>23450</v>
      </c>
      <c r="L3481" s="3">
        <v>4224</v>
      </c>
      <c r="M3481" s="4">
        <v>0.13200000000000001</v>
      </c>
      <c r="N3481" s="3">
        <v>4326</v>
      </c>
      <c r="O3481" s="4">
        <v>0.13500000000000001</v>
      </c>
      <c r="P3481" s="1" t="s">
        <v>2721</v>
      </c>
    </row>
    <row r="3482" spans="1:16">
      <c r="A3482" s="1" t="s">
        <v>739</v>
      </c>
      <c r="B3482" s="1">
        <v>11</v>
      </c>
      <c r="C3482" s="1">
        <v>31467034</v>
      </c>
      <c r="D3482" s="1" t="s">
        <v>2130</v>
      </c>
      <c r="E3482" s="2">
        <v>45981</v>
      </c>
      <c r="F3482" s="1" t="s">
        <v>126</v>
      </c>
      <c r="G3482" s="1" t="s">
        <v>2131</v>
      </c>
      <c r="H3482" s="1" t="s">
        <v>1149</v>
      </c>
      <c r="I3482" s="1">
        <v>1</v>
      </c>
      <c r="J3482" s="3">
        <v>18000</v>
      </c>
      <c r="K3482" s="3">
        <v>13132</v>
      </c>
      <c r="L3482" s="3">
        <v>2376</v>
      </c>
      <c r="M3482" s="4">
        <v>0.13200000000000001</v>
      </c>
      <c r="N3482" s="3">
        <v>2492</v>
      </c>
      <c r="O3482" s="4">
        <v>0.13800000000000001</v>
      </c>
      <c r="P3482" s="1" t="s">
        <v>2721</v>
      </c>
    </row>
    <row r="3483" spans="1:16">
      <c r="A3483" s="1" t="s">
        <v>756</v>
      </c>
      <c r="B3483" s="1">
        <v>11</v>
      </c>
      <c r="C3483" s="1" t="s">
        <v>7839</v>
      </c>
      <c r="D3483" s="1" t="s">
        <v>758</v>
      </c>
      <c r="E3483" s="2">
        <v>45981</v>
      </c>
      <c r="F3483" s="1" t="s">
        <v>28</v>
      </c>
      <c r="G3483" s="1" t="s">
        <v>759</v>
      </c>
      <c r="H3483" s="1" t="s">
        <v>760</v>
      </c>
      <c r="I3483" s="1">
        <v>1</v>
      </c>
      <c r="J3483" s="3">
        <v>28950</v>
      </c>
      <c r="K3483" s="3">
        <v>25795</v>
      </c>
      <c r="L3483" s="1">
        <v>0</v>
      </c>
      <c r="M3483" s="4">
        <v>0</v>
      </c>
      <c r="N3483" s="3">
        <v>3155</v>
      </c>
      <c r="O3483" s="4">
        <v>0.109</v>
      </c>
      <c r="P3483" s="1" t="s">
        <v>2723</v>
      </c>
    </row>
    <row r="3484" spans="1:16">
      <c r="A3484" s="1" t="s">
        <v>2193</v>
      </c>
      <c r="B3484" s="1">
        <v>11</v>
      </c>
      <c r="C3484" s="1">
        <v>30493779</v>
      </c>
      <c r="D3484" s="1" t="s">
        <v>3108</v>
      </c>
      <c r="E3484" s="2">
        <v>45981</v>
      </c>
      <c r="F3484" s="1" t="s">
        <v>187</v>
      </c>
      <c r="G3484" s="1" t="s">
        <v>3109</v>
      </c>
      <c r="H3484" s="1" t="s">
        <v>3110</v>
      </c>
      <c r="I3484" s="1">
        <v>2</v>
      </c>
      <c r="J3484" s="3">
        <v>51436</v>
      </c>
      <c r="K3484" s="3">
        <v>45024</v>
      </c>
      <c r="L3484" s="1">
        <v>0</v>
      </c>
      <c r="M3484" s="4">
        <v>0</v>
      </c>
      <c r="N3484" s="3">
        <v>6412</v>
      </c>
      <c r="O3484" s="4">
        <v>0.125</v>
      </c>
      <c r="P3484" s="1" t="s">
        <v>2723</v>
      </c>
    </row>
    <row r="3485" spans="1:16">
      <c r="A3485" s="1" t="s">
        <v>763</v>
      </c>
      <c r="B3485" s="1">
        <v>11</v>
      </c>
      <c r="C3485" s="1" t="s">
        <v>7840</v>
      </c>
      <c r="D3485" s="1" t="s">
        <v>7578</v>
      </c>
      <c r="E3485" s="2">
        <v>45981</v>
      </c>
      <c r="F3485" s="1" t="s">
        <v>187</v>
      </c>
      <c r="G3485" s="1" t="s">
        <v>7579</v>
      </c>
      <c r="I3485" s="1">
        <v>1</v>
      </c>
      <c r="J3485" s="3">
        <v>26180</v>
      </c>
      <c r="K3485" s="3">
        <v>23733</v>
      </c>
      <c r="L3485" s="1">
        <v>0</v>
      </c>
      <c r="M3485" s="4">
        <v>0</v>
      </c>
      <c r="N3485" s="3">
        <v>2447</v>
      </c>
      <c r="O3485" s="4">
        <v>9.2999999999999999E-2</v>
      </c>
      <c r="P3485" s="1" t="s">
        <v>2723</v>
      </c>
    </row>
    <row r="3486" spans="1:16">
      <c r="A3486" s="1" t="s">
        <v>763</v>
      </c>
      <c r="B3486" s="1">
        <v>11</v>
      </c>
      <c r="C3486" s="1" t="s">
        <v>7841</v>
      </c>
      <c r="D3486" s="1" t="s">
        <v>7842</v>
      </c>
      <c r="E3486" s="2">
        <v>45981</v>
      </c>
      <c r="F3486" s="1" t="s">
        <v>1403</v>
      </c>
      <c r="G3486" s="1" t="s">
        <v>7843</v>
      </c>
      <c r="H3486" s="1" t="s">
        <v>7844</v>
      </c>
      <c r="I3486" s="1">
        <v>1</v>
      </c>
      <c r="J3486" s="3">
        <v>17260</v>
      </c>
      <c r="K3486" s="3">
        <v>15665</v>
      </c>
      <c r="L3486" s="1">
        <v>0</v>
      </c>
      <c r="M3486" s="4">
        <v>0</v>
      </c>
      <c r="N3486" s="3">
        <v>1595</v>
      </c>
      <c r="O3486" s="4">
        <v>9.1999999999999998E-2</v>
      </c>
      <c r="P3486" s="1" t="s">
        <v>2723</v>
      </c>
    </row>
    <row r="3487" spans="1:16">
      <c r="A3487" s="1" t="s">
        <v>763</v>
      </c>
      <c r="B3487" s="1">
        <v>11</v>
      </c>
      <c r="C3487" s="1" t="s">
        <v>7845</v>
      </c>
      <c r="D3487" s="1" t="s">
        <v>7846</v>
      </c>
      <c r="E3487" s="2">
        <v>45981</v>
      </c>
      <c r="F3487" s="1" t="s">
        <v>96</v>
      </c>
      <c r="G3487" s="1" t="s">
        <v>7847</v>
      </c>
      <c r="H3487" s="1" t="s">
        <v>7848</v>
      </c>
      <c r="I3487" s="1">
        <v>1</v>
      </c>
      <c r="J3487" s="3">
        <v>13260</v>
      </c>
      <c r="K3487" s="3">
        <v>11995</v>
      </c>
      <c r="L3487" s="1">
        <v>0</v>
      </c>
      <c r="M3487" s="4">
        <v>0</v>
      </c>
      <c r="N3487" s="3">
        <v>1265</v>
      </c>
      <c r="O3487" s="4">
        <v>9.5000000000000001E-2</v>
      </c>
      <c r="P3487" s="1" t="s">
        <v>2723</v>
      </c>
    </row>
    <row r="3488" spans="1:16">
      <c r="A3488" s="1" t="s">
        <v>763</v>
      </c>
      <c r="B3488" s="1">
        <v>11</v>
      </c>
      <c r="C3488" s="1" t="s">
        <v>7845</v>
      </c>
      <c r="D3488" s="1" t="s">
        <v>7849</v>
      </c>
      <c r="E3488" s="2">
        <v>45981</v>
      </c>
      <c r="F3488" s="1" t="s">
        <v>96</v>
      </c>
      <c r="G3488" s="1" t="s">
        <v>7850</v>
      </c>
      <c r="H3488" s="1" t="s">
        <v>7851</v>
      </c>
      <c r="I3488" s="1">
        <v>1</v>
      </c>
      <c r="J3488" s="3">
        <v>13260</v>
      </c>
      <c r="K3488" s="3">
        <v>11995</v>
      </c>
      <c r="L3488" s="1">
        <v>0</v>
      </c>
      <c r="M3488" s="4">
        <v>0</v>
      </c>
      <c r="N3488" s="3">
        <v>1265</v>
      </c>
      <c r="O3488" s="4">
        <v>9.5000000000000001E-2</v>
      </c>
      <c r="P3488" s="1" t="s">
        <v>2723</v>
      </c>
    </row>
    <row r="3489" spans="1:16">
      <c r="A3489" s="1" t="s">
        <v>763</v>
      </c>
      <c r="B3489" s="1">
        <v>11</v>
      </c>
      <c r="C3489" s="1" t="s">
        <v>7852</v>
      </c>
      <c r="D3489" s="1" t="s">
        <v>2257</v>
      </c>
      <c r="E3489" s="2">
        <v>45981</v>
      </c>
      <c r="F3489" s="1" t="s">
        <v>2206</v>
      </c>
      <c r="G3489" s="1" t="s">
        <v>2258</v>
      </c>
      <c r="H3489" s="1" t="s">
        <v>2259</v>
      </c>
      <c r="I3489" s="1">
        <v>1</v>
      </c>
      <c r="J3489" s="3">
        <v>37320</v>
      </c>
      <c r="K3489" s="3">
        <v>33800</v>
      </c>
      <c r="L3489" s="1">
        <v>0</v>
      </c>
      <c r="M3489" s="4">
        <v>0</v>
      </c>
      <c r="N3489" s="3">
        <v>3520</v>
      </c>
      <c r="O3489" s="4">
        <v>9.4E-2</v>
      </c>
      <c r="P3489" s="1" t="s">
        <v>2723</v>
      </c>
    </row>
    <row r="3490" spans="1:16">
      <c r="A3490" s="1" t="s">
        <v>763</v>
      </c>
      <c r="B3490" s="1">
        <v>11</v>
      </c>
      <c r="C3490" s="1" t="s">
        <v>7853</v>
      </c>
      <c r="D3490" s="1" t="s">
        <v>6912</v>
      </c>
      <c r="E3490" s="2">
        <v>45981</v>
      </c>
      <c r="F3490" s="1" t="s">
        <v>53</v>
      </c>
      <c r="G3490" s="1" t="s">
        <v>6913</v>
      </c>
      <c r="H3490" s="1" t="s">
        <v>6914</v>
      </c>
      <c r="I3490" s="1">
        <v>1</v>
      </c>
      <c r="J3490" s="3">
        <v>9440</v>
      </c>
      <c r="K3490" s="3">
        <v>8515</v>
      </c>
      <c r="L3490" s="1">
        <v>0</v>
      </c>
      <c r="M3490" s="4">
        <v>0</v>
      </c>
      <c r="N3490" s="1">
        <v>925</v>
      </c>
      <c r="O3490" s="4">
        <v>9.8000000000000004E-2</v>
      </c>
      <c r="P3490" s="1" t="s">
        <v>2723</v>
      </c>
    </row>
    <row r="3491" spans="1:16">
      <c r="A3491" s="1" t="s">
        <v>763</v>
      </c>
      <c r="B3491" s="1">
        <v>11</v>
      </c>
      <c r="C3491" s="1" t="s">
        <v>7854</v>
      </c>
      <c r="D3491" s="1" t="s">
        <v>2214</v>
      </c>
      <c r="E3491" s="2">
        <v>45981</v>
      </c>
      <c r="F3491" s="1" t="s">
        <v>2188</v>
      </c>
      <c r="G3491" s="1" t="s">
        <v>2215</v>
      </c>
      <c r="H3491" s="1" t="s">
        <v>4571</v>
      </c>
      <c r="I3491" s="1">
        <v>1</v>
      </c>
      <c r="J3491" s="3">
        <v>23500</v>
      </c>
      <c r="K3491" s="3">
        <v>21500</v>
      </c>
      <c r="L3491" s="1">
        <v>0</v>
      </c>
      <c r="M3491" s="4">
        <v>0</v>
      </c>
      <c r="N3491" s="3">
        <v>2000</v>
      </c>
      <c r="O3491" s="4">
        <v>8.5000000000000006E-2</v>
      </c>
      <c r="P3491" s="1" t="s">
        <v>2723</v>
      </c>
    </row>
    <row r="3492" spans="1:16">
      <c r="A3492" s="1" t="s">
        <v>763</v>
      </c>
      <c r="B3492" s="1">
        <v>11</v>
      </c>
      <c r="C3492" s="1" t="s">
        <v>7855</v>
      </c>
      <c r="D3492" s="1" t="s">
        <v>2214</v>
      </c>
      <c r="E3492" s="2">
        <v>45981</v>
      </c>
      <c r="F3492" s="1" t="s">
        <v>2188</v>
      </c>
      <c r="G3492" s="1" t="s">
        <v>2215</v>
      </c>
      <c r="H3492" s="1" t="s">
        <v>4571</v>
      </c>
      <c r="I3492" s="1">
        <v>1</v>
      </c>
      <c r="J3492" s="3">
        <v>23500</v>
      </c>
      <c r="K3492" s="3">
        <v>21500</v>
      </c>
      <c r="L3492" s="1">
        <v>0</v>
      </c>
      <c r="M3492" s="4">
        <v>0</v>
      </c>
      <c r="N3492" s="3">
        <v>2000</v>
      </c>
      <c r="O3492" s="4">
        <v>8.5000000000000006E-2</v>
      </c>
      <c r="P3492" s="1" t="s">
        <v>2723</v>
      </c>
    </row>
    <row r="3493" spans="1:16">
      <c r="A3493" s="1" t="s">
        <v>626</v>
      </c>
      <c r="B3493" s="1">
        <v>11</v>
      </c>
      <c r="C3493" s="1">
        <v>69305900</v>
      </c>
      <c r="D3493" s="1" t="s">
        <v>627</v>
      </c>
      <c r="E3493" s="2">
        <v>45981</v>
      </c>
      <c r="F3493" s="1" t="s">
        <v>604</v>
      </c>
      <c r="G3493" s="1" t="s">
        <v>628</v>
      </c>
      <c r="H3493" s="1" t="s">
        <v>2271</v>
      </c>
      <c r="I3493" s="1">
        <v>2</v>
      </c>
      <c r="J3493" s="3">
        <v>16800</v>
      </c>
      <c r="K3493" s="3">
        <v>3600</v>
      </c>
      <c r="L3493" s="3">
        <v>1848</v>
      </c>
      <c r="M3493" s="4">
        <v>0.11</v>
      </c>
      <c r="N3493" s="3">
        <v>11352</v>
      </c>
      <c r="O3493" s="4">
        <v>0.67600000000000005</v>
      </c>
      <c r="P3493" s="1" t="s">
        <v>2721</v>
      </c>
    </row>
    <row r="3494" spans="1:16">
      <c r="A3494" s="1" t="s">
        <v>630</v>
      </c>
      <c r="B3494" s="1">
        <v>11</v>
      </c>
      <c r="C3494" s="1">
        <v>1117344091711800</v>
      </c>
      <c r="D3494" s="1" t="s">
        <v>627</v>
      </c>
      <c r="E3494" s="2">
        <v>45981</v>
      </c>
      <c r="F3494" s="1" t="s">
        <v>604</v>
      </c>
      <c r="G3494" s="1" t="s">
        <v>628</v>
      </c>
      <c r="H3494" s="1" t="s">
        <v>1848</v>
      </c>
      <c r="I3494" s="1">
        <v>1</v>
      </c>
      <c r="J3494" s="3">
        <v>6750</v>
      </c>
      <c r="K3494" s="3">
        <v>4300</v>
      </c>
      <c r="L3494" s="1">
        <v>446</v>
      </c>
      <c r="M3494" s="4">
        <v>6.6000000000000003E-2</v>
      </c>
      <c r="N3494" s="3">
        <v>2005</v>
      </c>
      <c r="O3494" s="4">
        <v>0.29699999999999999</v>
      </c>
      <c r="P3494" s="1" t="s">
        <v>2721</v>
      </c>
    </row>
    <row r="3495" spans="1:16">
      <c r="A3495" s="1" t="s">
        <v>630</v>
      </c>
      <c r="B3495" s="1">
        <v>11</v>
      </c>
      <c r="C3495" s="1">
        <v>1117342657557920</v>
      </c>
      <c r="D3495" s="1" t="s">
        <v>627</v>
      </c>
      <c r="E3495" s="2">
        <v>45981</v>
      </c>
      <c r="F3495" s="1" t="s">
        <v>604</v>
      </c>
      <c r="G3495" s="1" t="s">
        <v>628</v>
      </c>
      <c r="H3495" s="1" t="s">
        <v>1848</v>
      </c>
      <c r="I3495" s="1">
        <v>2</v>
      </c>
      <c r="J3495" s="3">
        <v>13500</v>
      </c>
      <c r="K3495" s="3">
        <v>6100</v>
      </c>
      <c r="L3495" s="1">
        <v>891</v>
      </c>
      <c r="M3495" s="4">
        <v>6.6000000000000003E-2</v>
      </c>
      <c r="N3495" s="3">
        <v>6509</v>
      </c>
      <c r="O3495" s="4">
        <v>0.48199999999999998</v>
      </c>
      <c r="P3495" s="1" t="s">
        <v>2721</v>
      </c>
    </row>
    <row r="3496" spans="1:16">
      <c r="A3496" s="1" t="s">
        <v>15</v>
      </c>
      <c r="B3496" s="1">
        <v>11</v>
      </c>
      <c r="C3496" s="1" t="s">
        <v>7856</v>
      </c>
      <c r="D3496" s="1" t="s">
        <v>52</v>
      </c>
      <c r="E3496" s="2">
        <v>45982</v>
      </c>
      <c r="F3496" s="1" t="s">
        <v>53</v>
      </c>
      <c r="G3496" s="1" t="s">
        <v>54</v>
      </c>
      <c r="H3496" s="1" t="s">
        <v>55</v>
      </c>
      <c r="I3496" s="1">
        <v>1</v>
      </c>
      <c r="J3496" s="3">
        <v>16135</v>
      </c>
      <c r="K3496" s="3">
        <v>15396</v>
      </c>
      <c r="L3496" s="1">
        <v>0</v>
      </c>
      <c r="M3496" s="4">
        <v>0</v>
      </c>
      <c r="N3496" s="1">
        <v>739</v>
      </c>
      <c r="O3496" s="4">
        <v>4.5999999999999999E-2</v>
      </c>
      <c r="P3496" s="1" t="s">
        <v>2721</v>
      </c>
    </row>
    <row r="3497" spans="1:16">
      <c r="A3497" s="1" t="s">
        <v>15</v>
      </c>
      <c r="B3497" s="1">
        <v>11</v>
      </c>
      <c r="C3497" s="1" t="s">
        <v>7857</v>
      </c>
      <c r="D3497" s="1" t="s">
        <v>4079</v>
      </c>
      <c r="E3497" s="2">
        <v>45982</v>
      </c>
      <c r="F3497" s="1" t="s">
        <v>96</v>
      </c>
      <c r="G3497" s="1" t="s">
        <v>4080</v>
      </c>
      <c r="H3497" s="1" t="s">
        <v>7858</v>
      </c>
      <c r="I3497" s="1">
        <v>1</v>
      </c>
      <c r="J3497" s="3">
        <v>20710</v>
      </c>
      <c r="K3497" s="3">
        <v>19762</v>
      </c>
      <c r="L3497" s="1">
        <v>0</v>
      </c>
      <c r="M3497" s="4">
        <v>0</v>
      </c>
      <c r="N3497" s="1">
        <v>948</v>
      </c>
      <c r="O3497" s="4">
        <v>4.5999999999999999E-2</v>
      </c>
      <c r="P3497" s="1" t="s">
        <v>2721</v>
      </c>
    </row>
    <row r="3498" spans="1:16">
      <c r="A3498" s="1" t="s">
        <v>15</v>
      </c>
      <c r="B3498" s="1">
        <v>11</v>
      </c>
      <c r="C3498" s="1" t="s">
        <v>7857</v>
      </c>
      <c r="D3498" s="1" t="s">
        <v>4642</v>
      </c>
      <c r="E3498" s="2">
        <v>45982</v>
      </c>
      <c r="F3498" s="1" t="s">
        <v>96</v>
      </c>
      <c r="G3498" s="1" t="s">
        <v>4643</v>
      </c>
      <c r="H3498" s="1" t="s">
        <v>1947</v>
      </c>
      <c r="I3498" s="1">
        <v>2</v>
      </c>
      <c r="J3498" s="3">
        <v>34012</v>
      </c>
      <c r="K3498" s="3">
        <v>32455</v>
      </c>
      <c r="L3498" s="1">
        <v>0</v>
      </c>
      <c r="M3498" s="4">
        <v>0</v>
      </c>
      <c r="N3498" s="3">
        <v>1557</v>
      </c>
      <c r="O3498" s="4">
        <v>4.5999999999999999E-2</v>
      </c>
      <c r="P3498" s="1" t="s">
        <v>2721</v>
      </c>
    </row>
    <row r="3499" spans="1:16">
      <c r="A3499" s="1" t="s">
        <v>15</v>
      </c>
      <c r="B3499" s="1">
        <v>11</v>
      </c>
      <c r="C3499" s="1" t="s">
        <v>7859</v>
      </c>
      <c r="D3499" s="1" t="s">
        <v>789</v>
      </c>
      <c r="E3499" s="2">
        <v>45982</v>
      </c>
      <c r="F3499" s="1" t="s">
        <v>53</v>
      </c>
      <c r="G3499" s="1" t="s">
        <v>790</v>
      </c>
      <c r="H3499" s="1" t="s">
        <v>791</v>
      </c>
      <c r="I3499" s="1">
        <v>1</v>
      </c>
      <c r="J3499" s="3">
        <v>15234</v>
      </c>
      <c r="K3499" s="3">
        <v>14536</v>
      </c>
      <c r="L3499" s="1">
        <v>0</v>
      </c>
      <c r="M3499" s="4">
        <v>0</v>
      </c>
      <c r="N3499" s="1">
        <v>698</v>
      </c>
      <c r="O3499" s="4">
        <v>4.5999999999999999E-2</v>
      </c>
      <c r="P3499" s="1" t="s">
        <v>2721</v>
      </c>
    </row>
    <row r="3500" spans="1:16">
      <c r="A3500" s="1" t="s">
        <v>15</v>
      </c>
      <c r="B3500" s="1">
        <v>11</v>
      </c>
      <c r="C3500" s="1" t="s">
        <v>7860</v>
      </c>
      <c r="D3500" s="1" t="s">
        <v>1246</v>
      </c>
      <c r="E3500" s="2">
        <v>45982</v>
      </c>
      <c r="F3500" s="1" t="s">
        <v>53</v>
      </c>
      <c r="G3500" s="1" t="s">
        <v>1247</v>
      </c>
      <c r="H3500" s="1" t="s">
        <v>7861</v>
      </c>
      <c r="I3500" s="1">
        <v>1</v>
      </c>
      <c r="J3500" s="3">
        <v>8383</v>
      </c>
      <c r="K3500" s="3">
        <v>7999</v>
      </c>
      <c r="L3500" s="1">
        <v>0</v>
      </c>
      <c r="M3500" s="4">
        <v>0</v>
      </c>
      <c r="N3500" s="1">
        <v>384</v>
      </c>
      <c r="O3500" s="4">
        <v>4.5999999999999999E-2</v>
      </c>
      <c r="P3500" s="1" t="s">
        <v>2721</v>
      </c>
    </row>
    <row r="3501" spans="1:16">
      <c r="A3501" s="1" t="s">
        <v>15</v>
      </c>
      <c r="B3501" s="1">
        <v>11</v>
      </c>
      <c r="C3501" s="1" t="s">
        <v>7862</v>
      </c>
      <c r="D3501" s="1" t="s">
        <v>52</v>
      </c>
      <c r="E3501" s="2">
        <v>45982</v>
      </c>
      <c r="F3501" s="1" t="s">
        <v>53</v>
      </c>
      <c r="G3501" s="1" t="s">
        <v>54</v>
      </c>
      <c r="H3501" s="1" t="s">
        <v>55</v>
      </c>
      <c r="I3501" s="1">
        <v>1</v>
      </c>
      <c r="J3501" s="3">
        <v>16135</v>
      </c>
      <c r="K3501" s="3">
        <v>15396</v>
      </c>
      <c r="L3501" s="1">
        <v>0</v>
      </c>
      <c r="M3501" s="4">
        <v>0</v>
      </c>
      <c r="N3501" s="1">
        <v>739</v>
      </c>
      <c r="O3501" s="4">
        <v>4.5999999999999999E-2</v>
      </c>
      <c r="P3501" s="1" t="s">
        <v>2721</v>
      </c>
    </row>
    <row r="3502" spans="1:16">
      <c r="A3502" s="1" t="s">
        <v>15</v>
      </c>
      <c r="B3502" s="1">
        <v>11</v>
      </c>
      <c r="C3502" s="1" t="s">
        <v>7863</v>
      </c>
      <c r="D3502" s="1" t="s">
        <v>390</v>
      </c>
      <c r="E3502" s="2">
        <v>45982</v>
      </c>
      <c r="F3502" s="1" t="s">
        <v>256</v>
      </c>
      <c r="G3502" s="1" t="s">
        <v>391</v>
      </c>
      <c r="H3502" s="1" t="s">
        <v>392</v>
      </c>
      <c r="I3502" s="1">
        <v>1</v>
      </c>
      <c r="J3502" s="3">
        <v>12799</v>
      </c>
      <c r="K3502" s="3">
        <v>12213</v>
      </c>
      <c r="L3502" s="1">
        <v>0</v>
      </c>
      <c r="M3502" s="4">
        <v>0</v>
      </c>
      <c r="N3502" s="1">
        <v>586</v>
      </c>
      <c r="O3502" s="4">
        <v>4.5999999999999999E-2</v>
      </c>
      <c r="P3502" s="1" t="s">
        <v>2721</v>
      </c>
    </row>
    <row r="3503" spans="1:16">
      <c r="A3503" s="1" t="s">
        <v>15</v>
      </c>
      <c r="B3503" s="1">
        <v>11</v>
      </c>
      <c r="C3503" s="1" t="s">
        <v>7864</v>
      </c>
      <c r="D3503" s="1" t="s">
        <v>406</v>
      </c>
      <c r="E3503" s="2">
        <v>45982</v>
      </c>
      <c r="F3503" s="1" t="s">
        <v>407</v>
      </c>
      <c r="G3503" s="1" t="s">
        <v>408</v>
      </c>
      <c r="H3503" s="1" t="s">
        <v>1160</v>
      </c>
      <c r="I3503" s="1">
        <v>1</v>
      </c>
      <c r="J3503" s="3">
        <v>12189</v>
      </c>
      <c r="K3503" s="3">
        <v>11631</v>
      </c>
      <c r="L3503" s="1">
        <v>0</v>
      </c>
      <c r="M3503" s="4">
        <v>0</v>
      </c>
      <c r="N3503" s="1">
        <v>558</v>
      </c>
      <c r="O3503" s="4">
        <v>4.5999999999999999E-2</v>
      </c>
      <c r="P3503" s="1" t="s">
        <v>2721</v>
      </c>
    </row>
    <row r="3504" spans="1:16">
      <c r="A3504" s="1" t="s">
        <v>15</v>
      </c>
      <c r="B3504" s="1">
        <v>11</v>
      </c>
      <c r="C3504" s="1" t="s">
        <v>7865</v>
      </c>
      <c r="D3504" s="1" t="s">
        <v>482</v>
      </c>
      <c r="E3504" s="2">
        <v>45982</v>
      </c>
      <c r="F3504" s="1" t="s">
        <v>483</v>
      </c>
      <c r="G3504" s="1" t="s">
        <v>484</v>
      </c>
      <c r="H3504" s="1" t="s">
        <v>1610</v>
      </c>
      <c r="I3504" s="1">
        <v>1</v>
      </c>
      <c r="J3504" s="3">
        <v>81098</v>
      </c>
      <c r="K3504" s="3">
        <v>77385</v>
      </c>
      <c r="L3504" s="1">
        <v>0</v>
      </c>
      <c r="M3504" s="4">
        <v>0</v>
      </c>
      <c r="N3504" s="3">
        <v>3713</v>
      </c>
      <c r="O3504" s="4">
        <v>4.5999999999999999E-2</v>
      </c>
      <c r="P3504" s="1" t="s">
        <v>2721</v>
      </c>
    </row>
    <row r="3505" spans="1:16">
      <c r="A3505" s="1" t="s">
        <v>15</v>
      </c>
      <c r="B3505" s="1">
        <v>11</v>
      </c>
      <c r="C3505" s="1" t="s">
        <v>7866</v>
      </c>
      <c r="D3505" s="1" t="s">
        <v>2490</v>
      </c>
      <c r="E3505" s="2">
        <v>45982</v>
      </c>
      <c r="F3505" s="1" t="s">
        <v>753</v>
      </c>
      <c r="G3505" s="1" t="s">
        <v>2491</v>
      </c>
      <c r="H3505" s="1" t="s">
        <v>2492</v>
      </c>
      <c r="I3505" s="1">
        <v>1</v>
      </c>
      <c r="J3505" s="3">
        <v>24870</v>
      </c>
      <c r="K3505" s="3">
        <v>23731</v>
      </c>
      <c r="L3505" s="1">
        <v>0</v>
      </c>
      <c r="M3505" s="4">
        <v>0</v>
      </c>
      <c r="N3505" s="3">
        <v>1139</v>
      </c>
      <c r="O3505" s="4">
        <v>4.5999999999999999E-2</v>
      </c>
      <c r="P3505" s="1" t="s">
        <v>2721</v>
      </c>
    </row>
    <row r="3506" spans="1:16">
      <c r="A3506" s="1" t="s">
        <v>15</v>
      </c>
      <c r="B3506" s="1">
        <v>11</v>
      </c>
      <c r="C3506" s="1" t="s">
        <v>7867</v>
      </c>
      <c r="D3506" s="1" t="s">
        <v>3381</v>
      </c>
      <c r="E3506" s="2">
        <v>45982</v>
      </c>
      <c r="F3506" s="1" t="s">
        <v>235</v>
      </c>
      <c r="G3506" s="1" t="s">
        <v>3382</v>
      </c>
      <c r="H3506" s="1" t="s">
        <v>3382</v>
      </c>
      <c r="I3506" s="1">
        <v>1</v>
      </c>
      <c r="J3506" s="3">
        <v>22363</v>
      </c>
      <c r="K3506" s="3">
        <v>21340</v>
      </c>
      <c r="L3506" s="1">
        <v>0</v>
      </c>
      <c r="M3506" s="4">
        <v>0</v>
      </c>
      <c r="N3506" s="3">
        <v>1023</v>
      </c>
      <c r="O3506" s="4">
        <v>4.5999999999999999E-2</v>
      </c>
      <c r="P3506" s="1" t="s">
        <v>2721</v>
      </c>
    </row>
    <row r="3507" spans="1:16">
      <c r="A3507" s="1" t="s">
        <v>15</v>
      </c>
      <c r="B3507" s="1">
        <v>11</v>
      </c>
      <c r="C3507" s="1" t="s">
        <v>7868</v>
      </c>
      <c r="D3507" s="1" t="s">
        <v>86</v>
      </c>
      <c r="E3507" s="2">
        <v>45982</v>
      </c>
      <c r="F3507" s="1" t="s">
        <v>53</v>
      </c>
      <c r="G3507" s="1" t="s">
        <v>87</v>
      </c>
      <c r="H3507" s="1" t="s">
        <v>88</v>
      </c>
      <c r="I3507" s="1">
        <v>1</v>
      </c>
      <c r="J3507" s="3">
        <v>14956</v>
      </c>
      <c r="K3507" s="3">
        <v>14272</v>
      </c>
      <c r="L3507" s="1">
        <v>0</v>
      </c>
      <c r="M3507" s="4">
        <v>0</v>
      </c>
      <c r="N3507" s="1">
        <v>684</v>
      </c>
      <c r="O3507" s="4">
        <v>4.5999999999999999E-2</v>
      </c>
      <c r="P3507" s="1" t="s">
        <v>2721</v>
      </c>
    </row>
    <row r="3508" spans="1:16">
      <c r="A3508" s="1" t="s">
        <v>15</v>
      </c>
      <c r="B3508" s="1">
        <v>11</v>
      </c>
      <c r="C3508" s="1" t="s">
        <v>7869</v>
      </c>
      <c r="D3508" s="1" t="s">
        <v>487</v>
      </c>
      <c r="E3508" s="2">
        <v>45982</v>
      </c>
      <c r="F3508" s="1" t="s">
        <v>488</v>
      </c>
      <c r="G3508" s="1" t="s">
        <v>489</v>
      </c>
      <c r="H3508" s="1" t="s">
        <v>490</v>
      </c>
      <c r="I3508" s="1">
        <v>1</v>
      </c>
      <c r="J3508" s="3">
        <v>19169</v>
      </c>
      <c r="K3508" s="3">
        <v>18291</v>
      </c>
      <c r="L3508" s="1">
        <v>0</v>
      </c>
      <c r="M3508" s="4">
        <v>0</v>
      </c>
      <c r="N3508" s="1">
        <v>878</v>
      </c>
      <c r="O3508" s="4">
        <v>4.5999999999999999E-2</v>
      </c>
      <c r="P3508" s="1" t="s">
        <v>2721</v>
      </c>
    </row>
    <row r="3509" spans="1:16">
      <c r="A3509" s="1" t="s">
        <v>15</v>
      </c>
      <c r="B3509" s="1">
        <v>11</v>
      </c>
      <c r="C3509" s="1" t="s">
        <v>7870</v>
      </c>
      <c r="D3509" s="1" t="s">
        <v>169</v>
      </c>
      <c r="E3509" s="2">
        <v>45982</v>
      </c>
      <c r="F3509" s="1" t="s">
        <v>53</v>
      </c>
      <c r="G3509" s="1" t="s">
        <v>170</v>
      </c>
      <c r="H3509" s="1" t="s">
        <v>171</v>
      </c>
      <c r="I3509" s="1">
        <v>1</v>
      </c>
      <c r="J3509" s="3">
        <v>14332</v>
      </c>
      <c r="K3509" s="3">
        <v>13676</v>
      </c>
      <c r="L3509" s="1">
        <v>0</v>
      </c>
      <c r="M3509" s="4">
        <v>0</v>
      </c>
      <c r="N3509" s="1">
        <v>656</v>
      </c>
      <c r="O3509" s="4">
        <v>4.5999999999999999E-2</v>
      </c>
      <c r="P3509" s="1" t="s">
        <v>2721</v>
      </c>
    </row>
    <row r="3510" spans="1:16">
      <c r="A3510" s="1" t="s">
        <v>15</v>
      </c>
      <c r="B3510" s="1">
        <v>11</v>
      </c>
      <c r="C3510" s="1" t="s">
        <v>7871</v>
      </c>
      <c r="D3510" s="1" t="s">
        <v>797</v>
      </c>
      <c r="E3510" s="2">
        <v>45982</v>
      </c>
      <c r="F3510" s="1" t="s">
        <v>798</v>
      </c>
      <c r="G3510" s="1" t="s">
        <v>799</v>
      </c>
      <c r="H3510" s="1" t="s">
        <v>832</v>
      </c>
      <c r="I3510" s="1">
        <v>1</v>
      </c>
      <c r="J3510" s="3">
        <v>13271</v>
      </c>
      <c r="K3510" s="3">
        <v>12663</v>
      </c>
      <c r="L3510" s="1">
        <v>0</v>
      </c>
      <c r="M3510" s="4">
        <v>0</v>
      </c>
      <c r="N3510" s="1">
        <v>608</v>
      </c>
      <c r="O3510" s="4">
        <v>4.5999999999999999E-2</v>
      </c>
      <c r="P3510" s="1" t="s">
        <v>2721</v>
      </c>
    </row>
    <row r="3511" spans="1:16">
      <c r="A3511" s="1" t="s">
        <v>15</v>
      </c>
      <c r="B3511" s="1">
        <v>11</v>
      </c>
      <c r="C3511" s="1" t="s">
        <v>7872</v>
      </c>
      <c r="D3511" s="1" t="s">
        <v>322</v>
      </c>
      <c r="E3511" s="2">
        <v>45982</v>
      </c>
      <c r="F3511" s="1" t="s">
        <v>151</v>
      </c>
      <c r="G3511" s="1" t="s">
        <v>323</v>
      </c>
      <c r="H3511" s="1" t="s">
        <v>323</v>
      </c>
      <c r="I3511" s="1">
        <v>1</v>
      </c>
      <c r="J3511" s="3">
        <v>14745</v>
      </c>
      <c r="K3511" s="3">
        <v>14070</v>
      </c>
      <c r="L3511" s="1">
        <v>0</v>
      </c>
      <c r="M3511" s="4">
        <v>0</v>
      </c>
      <c r="N3511" s="1">
        <v>675</v>
      </c>
      <c r="O3511" s="4">
        <v>4.5999999999999999E-2</v>
      </c>
      <c r="P3511" s="1" t="s">
        <v>2721</v>
      </c>
    </row>
    <row r="3512" spans="1:16">
      <c r="A3512" s="1" t="s">
        <v>15</v>
      </c>
      <c r="B3512" s="1">
        <v>11</v>
      </c>
      <c r="C3512" s="1" t="s">
        <v>7873</v>
      </c>
      <c r="D3512" s="1" t="s">
        <v>797</v>
      </c>
      <c r="E3512" s="2">
        <v>45982</v>
      </c>
      <c r="F3512" s="1" t="s">
        <v>798</v>
      </c>
      <c r="G3512" s="1" t="s">
        <v>799</v>
      </c>
      <c r="H3512" s="1" t="s">
        <v>832</v>
      </c>
      <c r="I3512" s="1">
        <v>2</v>
      </c>
      <c r="J3512" s="3">
        <v>26541</v>
      </c>
      <c r="K3512" s="3">
        <v>25326</v>
      </c>
      <c r="L3512" s="1">
        <v>0</v>
      </c>
      <c r="M3512" s="4">
        <v>0</v>
      </c>
      <c r="N3512" s="3">
        <v>1215</v>
      </c>
      <c r="O3512" s="4">
        <v>4.5999999999999999E-2</v>
      </c>
      <c r="P3512" s="1" t="s">
        <v>2721</v>
      </c>
    </row>
    <row r="3513" spans="1:16">
      <c r="A3513" s="1" t="s">
        <v>15</v>
      </c>
      <c r="B3513" s="1">
        <v>11</v>
      </c>
      <c r="C3513" s="1" t="s">
        <v>7874</v>
      </c>
      <c r="D3513" s="1" t="s">
        <v>1452</v>
      </c>
      <c r="E3513" s="2">
        <v>45982</v>
      </c>
      <c r="F3513" s="1" t="s">
        <v>407</v>
      </c>
      <c r="G3513" s="1" t="s">
        <v>1453</v>
      </c>
      <c r="H3513" s="1" t="s">
        <v>1474</v>
      </c>
      <c r="I3513" s="1">
        <v>1</v>
      </c>
      <c r="J3513" s="3">
        <v>11305</v>
      </c>
      <c r="K3513" s="3">
        <v>10787</v>
      </c>
      <c r="L3513" s="1">
        <v>0</v>
      </c>
      <c r="M3513" s="4">
        <v>0</v>
      </c>
      <c r="N3513" s="1">
        <v>518</v>
      </c>
      <c r="O3513" s="4">
        <v>4.5999999999999999E-2</v>
      </c>
      <c r="P3513" s="1" t="s">
        <v>2721</v>
      </c>
    </row>
    <row r="3514" spans="1:16">
      <c r="A3514" s="1" t="s">
        <v>15</v>
      </c>
      <c r="B3514" s="1">
        <v>11</v>
      </c>
      <c r="C3514" s="1" t="s">
        <v>7875</v>
      </c>
      <c r="D3514" s="1" t="s">
        <v>132</v>
      </c>
      <c r="E3514" s="2">
        <v>45982</v>
      </c>
      <c r="F3514" s="1" t="s">
        <v>53</v>
      </c>
      <c r="G3514" s="1" t="s">
        <v>133</v>
      </c>
      <c r="H3514" s="1" t="s">
        <v>88</v>
      </c>
      <c r="I3514" s="1">
        <v>1</v>
      </c>
      <c r="J3514" s="3">
        <v>17036</v>
      </c>
      <c r="K3514" s="3">
        <v>16256</v>
      </c>
      <c r="L3514" s="1">
        <v>0</v>
      </c>
      <c r="M3514" s="4">
        <v>0</v>
      </c>
      <c r="N3514" s="1">
        <v>780</v>
      </c>
      <c r="O3514" s="4">
        <v>4.5999999999999999E-2</v>
      </c>
      <c r="P3514" s="1" t="s">
        <v>2721</v>
      </c>
    </row>
    <row r="3515" spans="1:16">
      <c r="A3515" s="1" t="s">
        <v>15</v>
      </c>
      <c r="B3515" s="1">
        <v>11</v>
      </c>
      <c r="C3515" s="1" t="s">
        <v>7876</v>
      </c>
      <c r="D3515" s="1" t="s">
        <v>221</v>
      </c>
      <c r="E3515" s="2">
        <v>45982</v>
      </c>
      <c r="F3515" s="1" t="s">
        <v>96</v>
      </c>
      <c r="G3515" s="1" t="s">
        <v>222</v>
      </c>
      <c r="H3515" s="1" t="s">
        <v>1015</v>
      </c>
      <c r="I3515" s="1">
        <v>1</v>
      </c>
      <c r="J3515" s="3">
        <v>12571</v>
      </c>
      <c r="K3515" s="3">
        <v>11995</v>
      </c>
      <c r="L3515" s="1">
        <v>0</v>
      </c>
      <c r="M3515" s="4">
        <v>0</v>
      </c>
      <c r="N3515" s="1">
        <v>576</v>
      </c>
      <c r="O3515" s="4">
        <v>4.5999999999999999E-2</v>
      </c>
      <c r="P3515" s="1" t="s">
        <v>2721</v>
      </c>
    </row>
    <row r="3516" spans="1:16">
      <c r="A3516" s="1" t="s">
        <v>15</v>
      </c>
      <c r="B3516" s="1">
        <v>11</v>
      </c>
      <c r="C3516" s="1" t="s">
        <v>7876</v>
      </c>
      <c r="D3516" s="1" t="s">
        <v>224</v>
      </c>
      <c r="E3516" s="2">
        <v>45982</v>
      </c>
      <c r="F3516" s="1" t="s">
        <v>96</v>
      </c>
      <c r="G3516" s="1" t="s">
        <v>225</v>
      </c>
      <c r="H3516" s="1" t="s">
        <v>897</v>
      </c>
      <c r="I3516" s="1">
        <v>1</v>
      </c>
      <c r="J3516" s="3">
        <v>12571</v>
      </c>
      <c r="K3516" s="3">
        <v>11995</v>
      </c>
      <c r="L3516" s="1">
        <v>0</v>
      </c>
      <c r="M3516" s="4">
        <v>0</v>
      </c>
      <c r="N3516" s="1">
        <v>576</v>
      </c>
      <c r="O3516" s="4">
        <v>4.5999999999999999E-2</v>
      </c>
      <c r="P3516" s="1" t="s">
        <v>2721</v>
      </c>
    </row>
    <row r="3517" spans="1:16">
      <c r="A3517" s="1" t="s">
        <v>15</v>
      </c>
      <c r="B3517" s="1">
        <v>11</v>
      </c>
      <c r="C3517" s="1" t="s">
        <v>7877</v>
      </c>
      <c r="D3517" s="1" t="s">
        <v>160</v>
      </c>
      <c r="E3517" s="2">
        <v>45982</v>
      </c>
      <c r="F3517" s="1" t="s">
        <v>161</v>
      </c>
      <c r="G3517" s="1" t="s">
        <v>162</v>
      </c>
      <c r="H3517" s="1" t="s">
        <v>163</v>
      </c>
      <c r="I3517" s="1">
        <v>2</v>
      </c>
      <c r="J3517" s="3">
        <v>19857</v>
      </c>
      <c r="K3517" s="3">
        <v>18948</v>
      </c>
      <c r="L3517" s="1">
        <v>0</v>
      </c>
      <c r="M3517" s="4">
        <v>0</v>
      </c>
      <c r="N3517" s="1">
        <v>909</v>
      </c>
      <c r="O3517" s="4">
        <v>4.5999999999999999E-2</v>
      </c>
      <c r="P3517" s="1" t="s">
        <v>2721</v>
      </c>
    </row>
    <row r="3518" spans="1:16">
      <c r="A3518" s="1" t="s">
        <v>15</v>
      </c>
      <c r="B3518" s="1">
        <v>11</v>
      </c>
      <c r="C3518" s="1" t="s">
        <v>7878</v>
      </c>
      <c r="D3518" s="1" t="s">
        <v>549</v>
      </c>
      <c r="E3518" s="2">
        <v>45982</v>
      </c>
      <c r="F3518" s="1" t="s">
        <v>63</v>
      </c>
      <c r="G3518" s="1" t="s">
        <v>550</v>
      </c>
      <c r="H3518" s="1" t="s">
        <v>551</v>
      </c>
      <c r="I3518" s="1">
        <v>1</v>
      </c>
      <c r="J3518" s="3">
        <v>15422</v>
      </c>
      <c r="K3518" s="3">
        <v>14716</v>
      </c>
      <c r="L3518" s="1">
        <v>0</v>
      </c>
      <c r="M3518" s="4">
        <v>0</v>
      </c>
      <c r="N3518" s="1">
        <v>706</v>
      </c>
      <c r="O3518" s="4">
        <v>4.5999999999999999E-2</v>
      </c>
      <c r="P3518" s="1" t="s">
        <v>2721</v>
      </c>
    </row>
    <row r="3519" spans="1:16">
      <c r="A3519" s="1" t="s">
        <v>15</v>
      </c>
      <c r="B3519" s="1">
        <v>11</v>
      </c>
      <c r="C3519" s="1" t="s">
        <v>7879</v>
      </c>
      <c r="D3519" s="1" t="s">
        <v>86</v>
      </c>
      <c r="E3519" s="2">
        <v>45982</v>
      </c>
      <c r="F3519" s="1" t="s">
        <v>53</v>
      </c>
      <c r="G3519" s="1" t="s">
        <v>87</v>
      </c>
      <c r="H3519" s="1" t="s">
        <v>88</v>
      </c>
      <c r="I3519" s="1">
        <v>1</v>
      </c>
      <c r="J3519" s="3">
        <v>14956</v>
      </c>
      <c r="K3519" s="3">
        <v>14272</v>
      </c>
      <c r="L3519" s="1">
        <v>0</v>
      </c>
      <c r="M3519" s="4">
        <v>0</v>
      </c>
      <c r="N3519" s="1">
        <v>684</v>
      </c>
      <c r="O3519" s="4">
        <v>4.5999999999999999E-2</v>
      </c>
      <c r="P3519" s="1" t="s">
        <v>2721</v>
      </c>
    </row>
    <row r="3520" spans="1:16">
      <c r="A3520" s="1" t="s">
        <v>15</v>
      </c>
      <c r="B3520" s="1">
        <v>11</v>
      </c>
      <c r="C3520" s="1" t="s">
        <v>7880</v>
      </c>
      <c r="D3520" s="1" t="s">
        <v>5242</v>
      </c>
      <c r="E3520" s="2">
        <v>45982</v>
      </c>
      <c r="F3520" s="1" t="s">
        <v>18</v>
      </c>
      <c r="G3520" s="1" t="s">
        <v>5243</v>
      </c>
      <c r="H3520" s="1" t="s">
        <v>5243</v>
      </c>
      <c r="I3520" s="1">
        <v>1</v>
      </c>
      <c r="J3520" s="3">
        <v>13959</v>
      </c>
      <c r="K3520" s="3">
        <v>13320</v>
      </c>
      <c r="L3520" s="1">
        <v>0</v>
      </c>
      <c r="M3520" s="4">
        <v>0</v>
      </c>
      <c r="N3520" s="1">
        <v>639</v>
      </c>
      <c r="O3520" s="4">
        <v>4.5999999999999999E-2</v>
      </c>
      <c r="P3520" s="1" t="s">
        <v>2721</v>
      </c>
    </row>
    <row r="3521" spans="1:16">
      <c r="A3521" s="1" t="s">
        <v>15</v>
      </c>
      <c r="B3521" s="1">
        <v>11</v>
      </c>
      <c r="C3521" s="1" t="s">
        <v>7881</v>
      </c>
      <c r="D3521" s="1" t="s">
        <v>104</v>
      </c>
      <c r="E3521" s="2">
        <v>45982</v>
      </c>
      <c r="F3521" s="1" t="s">
        <v>96</v>
      </c>
      <c r="G3521" s="1" t="s">
        <v>105</v>
      </c>
      <c r="H3521" s="1" t="s">
        <v>106</v>
      </c>
      <c r="I3521" s="1">
        <v>1</v>
      </c>
      <c r="J3521" s="3">
        <v>21614</v>
      </c>
      <c r="K3521" s="3">
        <v>20625</v>
      </c>
      <c r="L3521" s="1">
        <v>0</v>
      </c>
      <c r="M3521" s="4">
        <v>0</v>
      </c>
      <c r="N3521" s="1">
        <v>989</v>
      </c>
      <c r="O3521" s="4">
        <v>4.5999999999999999E-2</v>
      </c>
      <c r="P3521" s="1" t="s">
        <v>2721</v>
      </c>
    </row>
    <row r="3522" spans="1:16">
      <c r="A3522" s="1" t="s">
        <v>15</v>
      </c>
      <c r="B3522" s="1">
        <v>11</v>
      </c>
      <c r="C3522" s="1" t="s">
        <v>7882</v>
      </c>
      <c r="D3522" s="1" t="s">
        <v>169</v>
      </c>
      <c r="E3522" s="2">
        <v>45982</v>
      </c>
      <c r="F3522" s="1" t="s">
        <v>53</v>
      </c>
      <c r="G3522" s="1" t="s">
        <v>170</v>
      </c>
      <c r="H3522" s="1" t="s">
        <v>171</v>
      </c>
      <c r="I3522" s="1">
        <v>1</v>
      </c>
      <c r="J3522" s="3">
        <v>14332</v>
      </c>
      <c r="K3522" s="3">
        <v>13676</v>
      </c>
      <c r="L3522" s="1">
        <v>0</v>
      </c>
      <c r="M3522" s="4">
        <v>0</v>
      </c>
      <c r="N3522" s="1">
        <v>656</v>
      </c>
      <c r="O3522" s="4">
        <v>4.5999999999999999E-2</v>
      </c>
      <c r="P3522" s="1" t="s">
        <v>2721</v>
      </c>
    </row>
    <row r="3523" spans="1:16">
      <c r="A3523" s="1" t="s">
        <v>15</v>
      </c>
      <c r="B3523" s="1">
        <v>11</v>
      </c>
      <c r="C3523" s="1" t="s">
        <v>7883</v>
      </c>
      <c r="D3523" s="1" t="s">
        <v>850</v>
      </c>
      <c r="E3523" s="2">
        <v>45982</v>
      </c>
      <c r="F3523" s="1" t="s">
        <v>851</v>
      </c>
      <c r="G3523" s="1" t="s">
        <v>852</v>
      </c>
      <c r="H3523" s="1" t="s">
        <v>853</v>
      </c>
      <c r="I3523" s="1">
        <v>1</v>
      </c>
      <c r="J3523" s="3">
        <v>24732</v>
      </c>
      <c r="K3523" s="3">
        <v>23600</v>
      </c>
      <c r="L3523" s="1">
        <v>0</v>
      </c>
      <c r="M3523" s="4">
        <v>0</v>
      </c>
      <c r="N3523" s="3">
        <v>1132</v>
      </c>
      <c r="O3523" s="4">
        <v>4.5999999999999999E-2</v>
      </c>
      <c r="P3523" s="1" t="s">
        <v>2721</v>
      </c>
    </row>
    <row r="3524" spans="1:16">
      <c r="A3524" s="1" t="s">
        <v>15</v>
      </c>
      <c r="B3524" s="1">
        <v>11</v>
      </c>
      <c r="C3524" s="1" t="s">
        <v>7884</v>
      </c>
      <c r="D3524" s="1" t="s">
        <v>1402</v>
      </c>
      <c r="E3524" s="2">
        <v>45982</v>
      </c>
      <c r="F3524" s="1" t="s">
        <v>1403</v>
      </c>
      <c r="G3524" s="1" t="s">
        <v>1404</v>
      </c>
      <c r="H3524" s="1" t="s">
        <v>1405</v>
      </c>
      <c r="I3524" s="1">
        <v>2</v>
      </c>
      <c r="J3524" s="3">
        <v>10813</v>
      </c>
      <c r="K3524" s="3">
        <v>10318</v>
      </c>
      <c r="L3524" s="1">
        <v>0</v>
      </c>
      <c r="M3524" s="4">
        <v>0</v>
      </c>
      <c r="N3524" s="1">
        <v>495</v>
      </c>
      <c r="O3524" s="4">
        <v>4.5999999999999999E-2</v>
      </c>
      <c r="P3524" s="1" t="s">
        <v>2721</v>
      </c>
    </row>
    <row r="3525" spans="1:16">
      <c r="A3525" s="1" t="s">
        <v>15</v>
      </c>
      <c r="B3525" s="1">
        <v>11</v>
      </c>
      <c r="C3525" s="1" t="s">
        <v>7885</v>
      </c>
      <c r="D3525" s="1" t="s">
        <v>1508</v>
      </c>
      <c r="E3525" s="2">
        <v>45982</v>
      </c>
      <c r="F3525" s="1" t="s">
        <v>53</v>
      </c>
      <c r="G3525" s="1" t="s">
        <v>1509</v>
      </c>
      <c r="H3525" s="1" t="s">
        <v>1510</v>
      </c>
      <c r="I3525" s="1">
        <v>1</v>
      </c>
      <c r="J3525" s="3">
        <v>8022</v>
      </c>
      <c r="K3525" s="3">
        <v>7655</v>
      </c>
      <c r="L3525" s="1">
        <v>0</v>
      </c>
      <c r="M3525" s="4">
        <v>0</v>
      </c>
      <c r="N3525" s="1">
        <v>367</v>
      </c>
      <c r="O3525" s="4">
        <v>4.5999999999999999E-2</v>
      </c>
      <c r="P3525" s="1" t="s">
        <v>2721</v>
      </c>
    </row>
    <row r="3526" spans="1:16">
      <c r="A3526" s="1" t="s">
        <v>15</v>
      </c>
      <c r="B3526" s="1">
        <v>11</v>
      </c>
      <c r="C3526" s="1" t="s">
        <v>7886</v>
      </c>
      <c r="D3526" s="1" t="s">
        <v>797</v>
      </c>
      <c r="E3526" s="2">
        <v>45982</v>
      </c>
      <c r="F3526" s="1" t="s">
        <v>798</v>
      </c>
      <c r="G3526" s="1" t="s">
        <v>799</v>
      </c>
      <c r="H3526" s="1" t="s">
        <v>1098</v>
      </c>
      <c r="I3526" s="1">
        <v>1</v>
      </c>
      <c r="J3526" s="3">
        <v>13271</v>
      </c>
      <c r="K3526" s="3">
        <v>12663</v>
      </c>
      <c r="L3526" s="1">
        <v>0</v>
      </c>
      <c r="M3526" s="4">
        <v>0</v>
      </c>
      <c r="N3526" s="1">
        <v>608</v>
      </c>
      <c r="O3526" s="4">
        <v>4.5999999999999999E-2</v>
      </c>
      <c r="P3526" s="1" t="s">
        <v>2721</v>
      </c>
    </row>
    <row r="3527" spans="1:16">
      <c r="A3527" s="1" t="s">
        <v>15</v>
      </c>
      <c r="B3527" s="1">
        <v>11</v>
      </c>
      <c r="C3527" s="1" t="s">
        <v>7887</v>
      </c>
      <c r="D3527" s="1" t="s">
        <v>52</v>
      </c>
      <c r="E3527" s="2">
        <v>45982</v>
      </c>
      <c r="F3527" s="1" t="s">
        <v>53</v>
      </c>
      <c r="G3527" s="1" t="s">
        <v>54</v>
      </c>
      <c r="H3527" s="1" t="s">
        <v>55</v>
      </c>
      <c r="I3527" s="1">
        <v>1</v>
      </c>
      <c r="J3527" s="3">
        <v>16135</v>
      </c>
      <c r="K3527" s="3">
        <v>15396</v>
      </c>
      <c r="L3527" s="1">
        <v>0</v>
      </c>
      <c r="M3527" s="4">
        <v>0</v>
      </c>
      <c r="N3527" s="1">
        <v>739</v>
      </c>
      <c r="O3527" s="4">
        <v>4.5999999999999999E-2</v>
      </c>
      <c r="P3527" s="1" t="s">
        <v>2721</v>
      </c>
    </row>
    <row r="3528" spans="1:16">
      <c r="A3528" s="1" t="s">
        <v>15</v>
      </c>
      <c r="B3528" s="1">
        <v>11</v>
      </c>
      <c r="C3528" s="1" t="s">
        <v>7888</v>
      </c>
      <c r="D3528" s="1" t="s">
        <v>440</v>
      </c>
      <c r="E3528" s="2">
        <v>45982</v>
      </c>
      <c r="F3528" s="1" t="s">
        <v>441</v>
      </c>
      <c r="G3528" s="1" t="s">
        <v>442</v>
      </c>
      <c r="H3528" s="1" t="s">
        <v>443</v>
      </c>
      <c r="I3528" s="1">
        <v>1</v>
      </c>
      <c r="J3528" s="3">
        <v>27524</v>
      </c>
      <c r="K3528" s="3">
        <v>26264</v>
      </c>
      <c r="L3528" s="1">
        <v>0</v>
      </c>
      <c r="M3528" s="4">
        <v>0</v>
      </c>
      <c r="N3528" s="3">
        <v>1260</v>
      </c>
      <c r="O3528" s="4">
        <v>4.5999999999999999E-2</v>
      </c>
      <c r="P3528" s="1" t="s">
        <v>2721</v>
      </c>
    </row>
    <row r="3529" spans="1:16">
      <c r="A3529" s="1" t="s">
        <v>15</v>
      </c>
      <c r="B3529" s="1">
        <v>11</v>
      </c>
      <c r="C3529" s="1" t="s">
        <v>7889</v>
      </c>
      <c r="D3529" s="1" t="s">
        <v>533</v>
      </c>
      <c r="E3529" s="2">
        <v>45982</v>
      </c>
      <c r="F3529" s="1" t="s">
        <v>534</v>
      </c>
      <c r="G3529" s="1" t="s">
        <v>535</v>
      </c>
      <c r="H3529" s="1" t="s">
        <v>536</v>
      </c>
      <c r="I3529" s="1">
        <v>1</v>
      </c>
      <c r="J3529" s="3">
        <v>19552</v>
      </c>
      <c r="K3529" s="3">
        <v>18657</v>
      </c>
      <c r="L3529" s="1">
        <v>0</v>
      </c>
      <c r="M3529" s="4">
        <v>0</v>
      </c>
      <c r="N3529" s="1">
        <v>895</v>
      </c>
      <c r="O3529" s="4">
        <v>4.5999999999999999E-2</v>
      </c>
      <c r="P3529" s="1" t="s">
        <v>2721</v>
      </c>
    </row>
    <row r="3530" spans="1:16">
      <c r="A3530" s="1" t="s">
        <v>15</v>
      </c>
      <c r="B3530" s="1">
        <v>11</v>
      </c>
      <c r="C3530" s="1" t="s">
        <v>7890</v>
      </c>
      <c r="D3530" s="1" t="s">
        <v>1049</v>
      </c>
      <c r="E3530" s="2">
        <v>45982</v>
      </c>
      <c r="F3530" s="1" t="s">
        <v>469</v>
      </c>
      <c r="G3530" s="1" t="s">
        <v>1050</v>
      </c>
      <c r="H3530" s="1" t="s">
        <v>1051</v>
      </c>
      <c r="I3530" s="1">
        <v>1</v>
      </c>
      <c r="J3530" s="3">
        <v>15728</v>
      </c>
      <c r="K3530" s="3">
        <v>15008</v>
      </c>
      <c r="L3530" s="1">
        <v>0</v>
      </c>
      <c r="M3530" s="4">
        <v>0</v>
      </c>
      <c r="N3530" s="1">
        <v>720</v>
      </c>
      <c r="O3530" s="4">
        <v>4.5999999999999999E-2</v>
      </c>
      <c r="P3530" s="1" t="s">
        <v>2721</v>
      </c>
    </row>
    <row r="3531" spans="1:16">
      <c r="A3531" s="1" t="s">
        <v>15</v>
      </c>
      <c r="B3531" s="1">
        <v>11</v>
      </c>
      <c r="C3531" s="1" t="s">
        <v>7891</v>
      </c>
      <c r="D3531" s="1" t="s">
        <v>212</v>
      </c>
      <c r="E3531" s="2">
        <v>45982</v>
      </c>
      <c r="F3531" s="1" t="s">
        <v>213</v>
      </c>
      <c r="G3531" s="1" t="s">
        <v>214</v>
      </c>
      <c r="H3531" s="1" t="s">
        <v>215</v>
      </c>
      <c r="I3531" s="1">
        <v>1</v>
      </c>
      <c r="J3531" s="3">
        <v>16220</v>
      </c>
      <c r="K3531" s="3">
        <v>15477</v>
      </c>
      <c r="L3531" s="1">
        <v>0</v>
      </c>
      <c r="M3531" s="4">
        <v>0</v>
      </c>
      <c r="N3531" s="1">
        <v>743</v>
      </c>
      <c r="O3531" s="4">
        <v>4.5999999999999999E-2</v>
      </c>
      <c r="P3531" s="1" t="s">
        <v>2721</v>
      </c>
    </row>
    <row r="3532" spans="1:16">
      <c r="A3532" s="1" t="s">
        <v>15</v>
      </c>
      <c r="B3532" s="1">
        <v>11</v>
      </c>
      <c r="C3532" s="1" t="s">
        <v>7892</v>
      </c>
      <c r="D3532" s="1" t="s">
        <v>468</v>
      </c>
      <c r="E3532" s="2">
        <v>45982</v>
      </c>
      <c r="F3532" s="1" t="s">
        <v>469</v>
      </c>
      <c r="G3532" s="1" t="s">
        <v>470</v>
      </c>
      <c r="H3532" s="1" t="s">
        <v>471</v>
      </c>
      <c r="I3532" s="1">
        <v>2</v>
      </c>
      <c r="J3532" s="3">
        <v>48953</v>
      </c>
      <c r="K3532" s="3">
        <v>46712</v>
      </c>
      <c r="L3532" s="1">
        <v>0</v>
      </c>
      <c r="M3532" s="4">
        <v>0</v>
      </c>
      <c r="N3532" s="3">
        <v>2241</v>
      </c>
      <c r="O3532" s="4">
        <v>4.5999999999999999E-2</v>
      </c>
      <c r="P3532" s="1" t="s">
        <v>2721</v>
      </c>
    </row>
    <row r="3533" spans="1:16">
      <c r="A3533" s="1" t="s">
        <v>15</v>
      </c>
      <c r="B3533" s="1">
        <v>11</v>
      </c>
      <c r="C3533" s="1" t="s">
        <v>7893</v>
      </c>
      <c r="D3533" s="1" t="s">
        <v>3900</v>
      </c>
      <c r="E3533" s="2">
        <v>45982</v>
      </c>
      <c r="F3533" s="1" t="s">
        <v>187</v>
      </c>
      <c r="G3533" s="1" t="s">
        <v>3901</v>
      </c>
      <c r="H3533" s="1" t="s">
        <v>3902</v>
      </c>
      <c r="I3533" s="1">
        <v>1</v>
      </c>
      <c r="J3533" s="3">
        <v>24872</v>
      </c>
      <c r="K3533" s="3">
        <v>23733</v>
      </c>
      <c r="L3533" s="1">
        <v>0</v>
      </c>
      <c r="M3533" s="4">
        <v>0</v>
      </c>
      <c r="N3533" s="3">
        <v>1139</v>
      </c>
      <c r="O3533" s="4">
        <v>4.5999999999999999E-2</v>
      </c>
      <c r="P3533" s="1" t="s">
        <v>2721</v>
      </c>
    </row>
    <row r="3534" spans="1:16">
      <c r="A3534" s="1" t="s">
        <v>15</v>
      </c>
      <c r="B3534" s="1">
        <v>11</v>
      </c>
      <c r="C3534" s="1" t="s">
        <v>7894</v>
      </c>
      <c r="D3534" s="1" t="s">
        <v>116</v>
      </c>
      <c r="E3534" s="2">
        <v>45982</v>
      </c>
      <c r="F3534" s="1" t="s">
        <v>63</v>
      </c>
      <c r="G3534" s="1" t="s">
        <v>117</v>
      </c>
      <c r="H3534" s="1" t="s">
        <v>2400</v>
      </c>
      <c r="I3534" s="1">
        <v>1</v>
      </c>
      <c r="J3534" s="3">
        <v>32001</v>
      </c>
      <c r="K3534" s="3">
        <v>30536</v>
      </c>
      <c r="L3534" s="1">
        <v>0</v>
      </c>
      <c r="M3534" s="4">
        <v>0</v>
      </c>
      <c r="N3534" s="3">
        <v>1465</v>
      </c>
      <c r="O3534" s="4">
        <v>4.5999999999999999E-2</v>
      </c>
      <c r="P3534" s="1" t="s">
        <v>2721</v>
      </c>
    </row>
    <row r="3535" spans="1:16">
      <c r="A3535" s="1" t="s">
        <v>15</v>
      </c>
      <c r="B3535" s="1">
        <v>11</v>
      </c>
      <c r="C3535" s="1" t="s">
        <v>7895</v>
      </c>
      <c r="D3535" s="1" t="s">
        <v>1531</v>
      </c>
      <c r="E3535" s="2">
        <v>45982</v>
      </c>
      <c r="F3535" s="1" t="s">
        <v>53</v>
      </c>
      <c r="G3535" s="1" t="s">
        <v>1532</v>
      </c>
      <c r="H3535" s="1" t="s">
        <v>1533</v>
      </c>
      <c r="I3535" s="1">
        <v>1</v>
      </c>
      <c r="J3535" s="3">
        <v>8022</v>
      </c>
      <c r="K3535" s="3">
        <v>7655</v>
      </c>
      <c r="L3535" s="1">
        <v>0</v>
      </c>
      <c r="M3535" s="4">
        <v>0</v>
      </c>
      <c r="N3535" s="1">
        <v>367</v>
      </c>
      <c r="O3535" s="4">
        <v>4.5999999999999999E-2</v>
      </c>
      <c r="P3535" s="1" t="s">
        <v>2721</v>
      </c>
    </row>
    <row r="3536" spans="1:16">
      <c r="A3536" s="1" t="s">
        <v>15</v>
      </c>
      <c r="B3536" s="1">
        <v>11</v>
      </c>
      <c r="C3536" s="1" t="s">
        <v>7896</v>
      </c>
      <c r="D3536" s="1" t="s">
        <v>3830</v>
      </c>
      <c r="E3536" s="2">
        <v>45982</v>
      </c>
      <c r="F3536" s="1" t="s">
        <v>266</v>
      </c>
      <c r="G3536" s="1" t="s">
        <v>3831</v>
      </c>
      <c r="H3536" s="1" t="s">
        <v>7897</v>
      </c>
      <c r="I3536" s="1">
        <v>1</v>
      </c>
      <c r="J3536" s="3">
        <v>16318</v>
      </c>
      <c r="K3536" s="3">
        <v>15571</v>
      </c>
      <c r="L3536" s="1">
        <v>0</v>
      </c>
      <c r="M3536" s="4">
        <v>0</v>
      </c>
      <c r="N3536" s="1">
        <v>747</v>
      </c>
      <c r="O3536" s="4">
        <v>4.5999999999999999E-2</v>
      </c>
      <c r="P3536" s="1" t="s">
        <v>2721</v>
      </c>
    </row>
    <row r="3537" spans="1:16">
      <c r="A3537" s="1" t="s">
        <v>15</v>
      </c>
      <c r="B3537" s="1">
        <v>11</v>
      </c>
      <c r="C3537" s="1" t="s">
        <v>7896</v>
      </c>
      <c r="D3537" s="1" t="s">
        <v>430</v>
      </c>
      <c r="E3537" s="2">
        <v>45982</v>
      </c>
      <c r="F3537" s="1" t="s">
        <v>431</v>
      </c>
      <c r="G3537" s="1" t="s">
        <v>432</v>
      </c>
      <c r="H3537" s="1" t="s">
        <v>433</v>
      </c>
      <c r="I3537" s="1">
        <v>1</v>
      </c>
      <c r="J3537" s="3">
        <v>137620</v>
      </c>
      <c r="K3537" s="3">
        <v>131320</v>
      </c>
      <c r="L3537" s="1">
        <v>0</v>
      </c>
      <c r="M3537" s="4">
        <v>0</v>
      </c>
      <c r="N3537" s="3">
        <v>6300</v>
      </c>
      <c r="O3537" s="4">
        <v>4.5999999999999999E-2</v>
      </c>
      <c r="P3537" s="1" t="s">
        <v>2721</v>
      </c>
    </row>
    <row r="3538" spans="1:16">
      <c r="A3538" s="1" t="s">
        <v>15</v>
      </c>
      <c r="B3538" s="1">
        <v>11</v>
      </c>
      <c r="C3538" s="1" t="s">
        <v>7898</v>
      </c>
      <c r="D3538" s="1" t="s">
        <v>17</v>
      </c>
      <c r="E3538" s="2">
        <v>45982</v>
      </c>
      <c r="F3538" s="1" t="s">
        <v>18</v>
      </c>
      <c r="G3538" s="1" t="s">
        <v>19</v>
      </c>
      <c r="H3538" s="1" t="s">
        <v>7899</v>
      </c>
      <c r="I3538" s="1">
        <v>1</v>
      </c>
      <c r="J3538" s="3">
        <v>7166</v>
      </c>
      <c r="K3538" s="3">
        <v>6838</v>
      </c>
      <c r="L3538" s="1">
        <v>0</v>
      </c>
      <c r="M3538" s="4">
        <v>0</v>
      </c>
      <c r="N3538" s="1">
        <v>328</v>
      </c>
      <c r="O3538" s="4">
        <v>4.5999999999999999E-2</v>
      </c>
      <c r="P3538" s="1" t="s">
        <v>2721</v>
      </c>
    </row>
    <row r="3539" spans="1:16">
      <c r="A3539" s="1" t="s">
        <v>15</v>
      </c>
      <c r="B3539" s="1">
        <v>11</v>
      </c>
      <c r="C3539" s="1" t="s">
        <v>7900</v>
      </c>
      <c r="D3539" s="1" t="s">
        <v>186</v>
      </c>
      <c r="E3539" s="2">
        <v>45982</v>
      </c>
      <c r="F3539" s="1" t="s">
        <v>187</v>
      </c>
      <c r="G3539" s="1" t="s">
        <v>188</v>
      </c>
      <c r="H3539" s="1" t="s">
        <v>7901</v>
      </c>
      <c r="I3539" s="1">
        <v>1</v>
      </c>
      <c r="J3539" s="3">
        <v>19660</v>
      </c>
      <c r="K3539" s="3">
        <v>18760</v>
      </c>
      <c r="L3539" s="1">
        <v>0</v>
      </c>
      <c r="M3539" s="4">
        <v>0</v>
      </c>
      <c r="N3539" s="1">
        <v>900</v>
      </c>
      <c r="O3539" s="4">
        <v>4.5999999999999999E-2</v>
      </c>
      <c r="P3539" s="1" t="s">
        <v>2721</v>
      </c>
    </row>
    <row r="3540" spans="1:16">
      <c r="A3540" s="1" t="s">
        <v>15</v>
      </c>
      <c r="B3540" s="1">
        <v>11</v>
      </c>
      <c r="C3540" s="1" t="s">
        <v>7902</v>
      </c>
      <c r="D3540" s="1" t="s">
        <v>2590</v>
      </c>
      <c r="E3540" s="2">
        <v>45982</v>
      </c>
      <c r="F3540" s="1" t="s">
        <v>53</v>
      </c>
      <c r="G3540" s="1" t="s">
        <v>1820</v>
      </c>
      <c r="H3540" s="1" t="s">
        <v>1821</v>
      </c>
      <c r="I3540" s="1">
        <v>1</v>
      </c>
      <c r="J3540" s="3">
        <v>8924</v>
      </c>
      <c r="K3540" s="3">
        <v>8515</v>
      </c>
      <c r="L3540" s="1">
        <v>0</v>
      </c>
      <c r="M3540" s="4">
        <v>0</v>
      </c>
      <c r="N3540" s="1">
        <v>409</v>
      </c>
      <c r="O3540" s="4">
        <v>4.5999999999999999E-2</v>
      </c>
      <c r="P3540" s="1" t="s">
        <v>2721</v>
      </c>
    </row>
    <row r="3541" spans="1:16">
      <c r="A3541" s="1" t="s">
        <v>15</v>
      </c>
      <c r="B3541" s="1">
        <v>11</v>
      </c>
      <c r="C3541" s="1" t="s">
        <v>7903</v>
      </c>
      <c r="D3541" s="1" t="s">
        <v>2398</v>
      </c>
      <c r="E3541" s="2">
        <v>45982</v>
      </c>
      <c r="F3541" s="1" t="s">
        <v>63</v>
      </c>
      <c r="G3541" s="1" t="s">
        <v>2399</v>
      </c>
      <c r="H3541" s="1" t="s">
        <v>2400</v>
      </c>
      <c r="I3541" s="1">
        <v>2</v>
      </c>
      <c r="J3541" s="3">
        <v>64001</v>
      </c>
      <c r="K3541" s="3">
        <v>61071</v>
      </c>
      <c r="L3541" s="1">
        <v>0</v>
      </c>
      <c r="M3541" s="4">
        <v>0</v>
      </c>
      <c r="N3541" s="3">
        <v>2930</v>
      </c>
      <c r="O3541" s="4">
        <v>4.5999999999999999E-2</v>
      </c>
      <c r="P3541" s="1" t="s">
        <v>2721</v>
      </c>
    </row>
    <row r="3542" spans="1:16">
      <c r="A3542" s="1" t="s">
        <v>15</v>
      </c>
      <c r="B3542" s="1">
        <v>11</v>
      </c>
      <c r="C3542" s="1" t="s">
        <v>7904</v>
      </c>
      <c r="D3542" s="1" t="s">
        <v>2855</v>
      </c>
      <c r="E3542" s="2">
        <v>45982</v>
      </c>
      <c r="F3542" s="1" t="s">
        <v>58</v>
      </c>
      <c r="G3542" s="1" t="s">
        <v>2856</v>
      </c>
      <c r="H3542" s="1" t="s">
        <v>2857</v>
      </c>
      <c r="I3542" s="1">
        <v>1</v>
      </c>
      <c r="J3542" s="3">
        <v>21842</v>
      </c>
      <c r="K3542" s="3">
        <v>20842</v>
      </c>
      <c r="L3542" s="1">
        <v>0</v>
      </c>
      <c r="M3542" s="4">
        <v>0</v>
      </c>
      <c r="N3542" s="3">
        <v>1000</v>
      </c>
      <c r="O3542" s="4">
        <v>4.5999999999999999E-2</v>
      </c>
      <c r="P3542" s="1" t="s">
        <v>2721</v>
      </c>
    </row>
    <row r="3543" spans="1:16">
      <c r="A3543" s="1" t="s">
        <v>15</v>
      </c>
      <c r="B3543" s="1">
        <v>11</v>
      </c>
      <c r="C3543" s="1" t="s">
        <v>7905</v>
      </c>
      <c r="D3543" s="1" t="s">
        <v>250</v>
      </c>
      <c r="E3543" s="2">
        <v>45982</v>
      </c>
      <c r="F3543" s="1" t="s">
        <v>251</v>
      </c>
      <c r="G3543" s="1" t="s">
        <v>252</v>
      </c>
      <c r="H3543" s="1" t="s">
        <v>3569</v>
      </c>
      <c r="I3543" s="1">
        <v>1</v>
      </c>
      <c r="J3543" s="3">
        <v>29392</v>
      </c>
      <c r="K3543" s="3">
        <v>28046</v>
      </c>
      <c r="L3543" s="1">
        <v>0</v>
      </c>
      <c r="M3543" s="4">
        <v>0</v>
      </c>
      <c r="N3543" s="3">
        <v>1346</v>
      </c>
      <c r="O3543" s="4">
        <v>4.5999999999999999E-2</v>
      </c>
      <c r="P3543" s="1" t="s">
        <v>2721</v>
      </c>
    </row>
    <row r="3544" spans="1:16">
      <c r="A3544" s="1" t="s">
        <v>15</v>
      </c>
      <c r="B3544" s="1">
        <v>11</v>
      </c>
      <c r="C3544" s="1" t="s">
        <v>7906</v>
      </c>
      <c r="D3544" s="1" t="s">
        <v>538</v>
      </c>
      <c r="E3544" s="2">
        <v>45982</v>
      </c>
      <c r="F3544" s="1" t="s">
        <v>53</v>
      </c>
      <c r="G3544" s="1" t="s">
        <v>539</v>
      </c>
      <c r="H3544" s="1" t="s">
        <v>540</v>
      </c>
      <c r="I3544" s="1">
        <v>1</v>
      </c>
      <c r="J3544" s="3">
        <v>14332</v>
      </c>
      <c r="K3544" s="3">
        <v>13676</v>
      </c>
      <c r="L3544" s="1">
        <v>0</v>
      </c>
      <c r="M3544" s="4">
        <v>0</v>
      </c>
      <c r="N3544" s="1">
        <v>656</v>
      </c>
      <c r="O3544" s="4">
        <v>4.5999999999999999E-2</v>
      </c>
      <c r="P3544" s="1" t="s">
        <v>2721</v>
      </c>
    </row>
    <row r="3545" spans="1:16">
      <c r="A3545" s="1" t="s">
        <v>15</v>
      </c>
      <c r="B3545" s="1">
        <v>11</v>
      </c>
      <c r="C3545" s="1" t="s">
        <v>7907</v>
      </c>
      <c r="D3545" s="1" t="s">
        <v>1457</v>
      </c>
      <c r="E3545" s="2">
        <v>45982</v>
      </c>
      <c r="F3545" s="1" t="s">
        <v>347</v>
      </c>
      <c r="G3545" s="1" t="s">
        <v>1458</v>
      </c>
      <c r="H3545" s="1" t="s">
        <v>7908</v>
      </c>
      <c r="I3545" s="1">
        <v>1</v>
      </c>
      <c r="J3545" s="3">
        <v>20053</v>
      </c>
      <c r="K3545" s="3">
        <v>19135</v>
      </c>
      <c r="L3545" s="1">
        <v>0</v>
      </c>
      <c r="M3545" s="4">
        <v>0</v>
      </c>
      <c r="N3545" s="1">
        <v>918</v>
      </c>
      <c r="O3545" s="4">
        <v>4.5999999999999999E-2</v>
      </c>
      <c r="P3545" s="1" t="s">
        <v>2721</v>
      </c>
    </row>
    <row r="3546" spans="1:16">
      <c r="A3546" s="1" t="s">
        <v>15</v>
      </c>
      <c r="B3546" s="1">
        <v>11</v>
      </c>
      <c r="C3546" s="1" t="s">
        <v>7909</v>
      </c>
      <c r="D3546" s="1" t="s">
        <v>533</v>
      </c>
      <c r="E3546" s="2">
        <v>45982</v>
      </c>
      <c r="F3546" s="1" t="s">
        <v>534</v>
      </c>
      <c r="G3546" s="1" t="s">
        <v>535</v>
      </c>
      <c r="H3546" s="1" t="s">
        <v>536</v>
      </c>
      <c r="I3546" s="1">
        <v>1</v>
      </c>
      <c r="J3546" s="3">
        <v>19552</v>
      </c>
      <c r="K3546" s="3">
        <v>18657</v>
      </c>
      <c r="L3546" s="1">
        <v>0</v>
      </c>
      <c r="M3546" s="4">
        <v>0</v>
      </c>
      <c r="N3546" s="1">
        <v>895</v>
      </c>
      <c r="O3546" s="4">
        <v>4.5999999999999999E-2</v>
      </c>
      <c r="P3546" s="1" t="s">
        <v>2721</v>
      </c>
    </row>
    <row r="3547" spans="1:16">
      <c r="A3547" s="1" t="s">
        <v>15</v>
      </c>
      <c r="B3547" s="1">
        <v>11</v>
      </c>
      <c r="C3547" s="1" t="s">
        <v>7910</v>
      </c>
      <c r="D3547" s="1" t="s">
        <v>3649</v>
      </c>
      <c r="E3547" s="2">
        <v>45982</v>
      </c>
      <c r="F3547" s="1" t="s">
        <v>53</v>
      </c>
      <c r="G3547" s="1" t="s">
        <v>3650</v>
      </c>
      <c r="H3547" s="1" t="s">
        <v>3651</v>
      </c>
      <c r="I3547" s="1">
        <v>1</v>
      </c>
      <c r="J3547" s="3">
        <v>13431</v>
      </c>
      <c r="K3547" s="3">
        <v>12816</v>
      </c>
      <c r="L3547" s="1">
        <v>0</v>
      </c>
      <c r="M3547" s="4">
        <v>0</v>
      </c>
      <c r="N3547" s="1">
        <v>615</v>
      </c>
      <c r="O3547" s="4">
        <v>4.5999999999999999E-2</v>
      </c>
      <c r="P3547" s="1" t="s">
        <v>2721</v>
      </c>
    </row>
    <row r="3548" spans="1:16">
      <c r="A3548" s="1" t="s">
        <v>15</v>
      </c>
      <c r="B3548" s="1">
        <v>11</v>
      </c>
      <c r="C3548" s="1" t="s">
        <v>7911</v>
      </c>
      <c r="D3548" s="1" t="s">
        <v>228</v>
      </c>
      <c r="E3548" s="2">
        <v>45982</v>
      </c>
      <c r="F3548" s="1" t="s">
        <v>53</v>
      </c>
      <c r="G3548" s="1" t="s">
        <v>229</v>
      </c>
      <c r="H3548" s="1" t="s">
        <v>230</v>
      </c>
      <c r="I3548" s="1">
        <v>1</v>
      </c>
      <c r="J3548" s="3">
        <v>9825</v>
      </c>
      <c r="K3548" s="3">
        <v>9375</v>
      </c>
      <c r="L3548" s="1">
        <v>0</v>
      </c>
      <c r="M3548" s="4">
        <v>0</v>
      </c>
      <c r="N3548" s="1">
        <v>450</v>
      </c>
      <c r="O3548" s="4">
        <v>4.5999999999999999E-2</v>
      </c>
      <c r="P3548" s="1" t="s">
        <v>2721</v>
      </c>
    </row>
    <row r="3549" spans="1:16">
      <c r="A3549" s="1" t="s">
        <v>15</v>
      </c>
      <c r="B3549" s="1">
        <v>11</v>
      </c>
      <c r="C3549" s="1" t="s">
        <v>7912</v>
      </c>
      <c r="D3549" s="1" t="s">
        <v>169</v>
      </c>
      <c r="E3549" s="2">
        <v>45982</v>
      </c>
      <c r="F3549" s="1" t="s">
        <v>53</v>
      </c>
      <c r="G3549" s="1" t="s">
        <v>170</v>
      </c>
      <c r="H3549" s="1" t="s">
        <v>171</v>
      </c>
      <c r="I3549" s="1">
        <v>1</v>
      </c>
      <c r="J3549" s="3">
        <v>14332</v>
      </c>
      <c r="K3549" s="3">
        <v>13676</v>
      </c>
      <c r="L3549" s="1">
        <v>0</v>
      </c>
      <c r="M3549" s="4">
        <v>0</v>
      </c>
      <c r="N3549" s="1">
        <v>656</v>
      </c>
      <c r="O3549" s="4">
        <v>4.5999999999999999E-2</v>
      </c>
      <c r="P3549" s="1" t="s">
        <v>2721</v>
      </c>
    </row>
    <row r="3550" spans="1:16">
      <c r="A3550" s="1" t="s">
        <v>15</v>
      </c>
      <c r="B3550" s="1">
        <v>11</v>
      </c>
      <c r="C3550" s="1" t="s">
        <v>7913</v>
      </c>
      <c r="D3550" s="1" t="s">
        <v>238</v>
      </c>
      <c r="E3550" s="2">
        <v>45982</v>
      </c>
      <c r="F3550" s="1" t="s">
        <v>239</v>
      </c>
      <c r="G3550" s="1" t="s">
        <v>240</v>
      </c>
      <c r="H3550" s="1" t="s">
        <v>242</v>
      </c>
      <c r="I3550" s="1">
        <v>1</v>
      </c>
      <c r="J3550" s="3">
        <v>11305</v>
      </c>
      <c r="K3550" s="3">
        <v>10787</v>
      </c>
      <c r="L3550" s="1">
        <v>0</v>
      </c>
      <c r="M3550" s="4">
        <v>0</v>
      </c>
      <c r="N3550" s="1">
        <v>518</v>
      </c>
      <c r="O3550" s="4">
        <v>4.5999999999999999E-2</v>
      </c>
      <c r="P3550" s="1" t="s">
        <v>2721</v>
      </c>
    </row>
    <row r="3551" spans="1:16">
      <c r="A3551" s="1" t="s">
        <v>15</v>
      </c>
      <c r="B3551" s="1">
        <v>11</v>
      </c>
      <c r="C3551" s="1" t="s">
        <v>7914</v>
      </c>
      <c r="D3551" s="1" t="s">
        <v>482</v>
      </c>
      <c r="E3551" s="2">
        <v>45982</v>
      </c>
      <c r="F3551" s="1" t="s">
        <v>483</v>
      </c>
      <c r="G3551" s="1" t="s">
        <v>484</v>
      </c>
      <c r="H3551" s="1" t="s">
        <v>1039</v>
      </c>
      <c r="I3551" s="1">
        <v>1</v>
      </c>
      <c r="J3551" s="3">
        <v>27426</v>
      </c>
      <c r="K3551" s="3">
        <v>26170</v>
      </c>
      <c r="L3551" s="1">
        <v>0</v>
      </c>
      <c r="M3551" s="4">
        <v>0</v>
      </c>
      <c r="N3551" s="3">
        <v>1256</v>
      </c>
      <c r="O3551" s="4">
        <v>4.5999999999999999E-2</v>
      </c>
      <c r="P3551" s="1" t="s">
        <v>2721</v>
      </c>
    </row>
    <row r="3552" spans="1:16">
      <c r="A3552" s="1" t="s">
        <v>15</v>
      </c>
      <c r="B3552" s="1">
        <v>11</v>
      </c>
      <c r="C3552" s="1" t="s">
        <v>7915</v>
      </c>
      <c r="D3552" s="1" t="s">
        <v>2506</v>
      </c>
      <c r="E3552" s="2">
        <v>45982</v>
      </c>
      <c r="F3552" s="1" t="s">
        <v>96</v>
      </c>
      <c r="G3552" s="1" t="s">
        <v>2507</v>
      </c>
      <c r="H3552" s="1" t="s">
        <v>2508</v>
      </c>
      <c r="I3552" s="1">
        <v>1</v>
      </c>
      <c r="J3552" s="3">
        <v>8863</v>
      </c>
      <c r="K3552" s="3">
        <v>8457</v>
      </c>
      <c r="L3552" s="1">
        <v>0</v>
      </c>
      <c r="M3552" s="4">
        <v>0</v>
      </c>
      <c r="N3552" s="1">
        <v>406</v>
      </c>
      <c r="O3552" s="4">
        <v>4.5999999999999999E-2</v>
      </c>
      <c r="P3552" s="1" t="s">
        <v>2721</v>
      </c>
    </row>
    <row r="3553" spans="1:16">
      <c r="A3553" s="1" t="s">
        <v>15</v>
      </c>
      <c r="B3553" s="1">
        <v>11</v>
      </c>
      <c r="C3553" s="1" t="s">
        <v>7916</v>
      </c>
      <c r="D3553" s="1" t="s">
        <v>1467</v>
      </c>
      <c r="E3553" s="2">
        <v>45982</v>
      </c>
      <c r="F3553" s="1" t="s">
        <v>126</v>
      </c>
      <c r="G3553" s="1" t="s">
        <v>1468</v>
      </c>
      <c r="H3553" s="1" t="s">
        <v>6107</v>
      </c>
      <c r="I3553" s="1">
        <v>1</v>
      </c>
      <c r="J3553" s="3">
        <v>21528</v>
      </c>
      <c r="K3553" s="3">
        <v>20542</v>
      </c>
      <c r="L3553" s="1">
        <v>0</v>
      </c>
      <c r="M3553" s="4">
        <v>0</v>
      </c>
      <c r="N3553" s="1">
        <v>986</v>
      </c>
      <c r="O3553" s="4">
        <v>4.5999999999999999E-2</v>
      </c>
      <c r="P3553" s="1" t="s">
        <v>2721</v>
      </c>
    </row>
    <row r="3554" spans="1:16">
      <c r="A3554" s="1" t="s">
        <v>15</v>
      </c>
      <c r="B3554" s="1">
        <v>11</v>
      </c>
      <c r="C3554" s="1" t="s">
        <v>7917</v>
      </c>
      <c r="D3554" s="1" t="s">
        <v>104</v>
      </c>
      <c r="E3554" s="2">
        <v>45982</v>
      </c>
      <c r="F3554" s="1" t="s">
        <v>96</v>
      </c>
      <c r="G3554" s="1" t="s">
        <v>105</v>
      </c>
      <c r="H3554" s="1" t="s">
        <v>106</v>
      </c>
      <c r="I3554" s="1">
        <v>1</v>
      </c>
      <c r="J3554" s="3">
        <v>21614</v>
      </c>
      <c r="K3554" s="3">
        <v>20625</v>
      </c>
      <c r="L3554" s="1">
        <v>0</v>
      </c>
      <c r="M3554" s="4">
        <v>0</v>
      </c>
      <c r="N3554" s="1">
        <v>989</v>
      </c>
      <c r="O3554" s="4">
        <v>4.5999999999999999E-2</v>
      </c>
      <c r="P3554" s="1" t="s">
        <v>2721</v>
      </c>
    </row>
    <row r="3555" spans="1:16">
      <c r="A3555" s="1" t="s">
        <v>15</v>
      </c>
      <c r="B3555" s="1">
        <v>11</v>
      </c>
      <c r="C3555" s="1" t="s">
        <v>7918</v>
      </c>
      <c r="D3555" s="1" t="s">
        <v>1508</v>
      </c>
      <c r="E3555" s="2">
        <v>45982</v>
      </c>
      <c r="F3555" s="1" t="s">
        <v>53</v>
      </c>
      <c r="G3555" s="1" t="s">
        <v>1509</v>
      </c>
      <c r="H3555" s="1" t="s">
        <v>1510</v>
      </c>
      <c r="I3555" s="1">
        <v>1</v>
      </c>
      <c r="J3555" s="3">
        <v>8022</v>
      </c>
      <c r="K3555" s="3">
        <v>7655</v>
      </c>
      <c r="L3555" s="1">
        <v>0</v>
      </c>
      <c r="M3555" s="4">
        <v>0</v>
      </c>
      <c r="N3555" s="1">
        <v>367</v>
      </c>
      <c r="O3555" s="4">
        <v>4.5999999999999999E-2</v>
      </c>
      <c r="P3555" s="1" t="s">
        <v>2721</v>
      </c>
    </row>
    <row r="3556" spans="1:16">
      <c r="A3556" s="1" t="s">
        <v>15</v>
      </c>
      <c r="B3556" s="1">
        <v>11</v>
      </c>
      <c r="C3556" s="1" t="s">
        <v>7918</v>
      </c>
      <c r="D3556" s="1" t="s">
        <v>52</v>
      </c>
      <c r="E3556" s="2">
        <v>45982</v>
      </c>
      <c r="F3556" s="1" t="s">
        <v>53</v>
      </c>
      <c r="G3556" s="1" t="s">
        <v>54</v>
      </c>
      <c r="H3556" s="1" t="s">
        <v>55</v>
      </c>
      <c r="I3556" s="1">
        <v>1</v>
      </c>
      <c r="J3556" s="3">
        <v>16135</v>
      </c>
      <c r="K3556" s="3">
        <v>15396</v>
      </c>
      <c r="L3556" s="1">
        <v>0</v>
      </c>
      <c r="M3556" s="4">
        <v>0</v>
      </c>
      <c r="N3556" s="1">
        <v>739</v>
      </c>
      <c r="O3556" s="4">
        <v>4.5999999999999999E-2</v>
      </c>
      <c r="P3556" s="1" t="s">
        <v>2721</v>
      </c>
    </row>
    <row r="3557" spans="1:16">
      <c r="A3557" s="1" t="s">
        <v>15</v>
      </c>
      <c r="B3557" s="1">
        <v>11</v>
      </c>
      <c r="C3557" s="1" t="s">
        <v>7919</v>
      </c>
      <c r="D3557" s="1" t="s">
        <v>52</v>
      </c>
      <c r="E3557" s="2">
        <v>45982</v>
      </c>
      <c r="F3557" s="1" t="s">
        <v>53</v>
      </c>
      <c r="G3557" s="1" t="s">
        <v>54</v>
      </c>
      <c r="H3557" s="1" t="s">
        <v>248</v>
      </c>
      <c r="I3557" s="1">
        <v>1</v>
      </c>
      <c r="J3557" s="3">
        <v>16135</v>
      </c>
      <c r="K3557" s="3">
        <v>15396</v>
      </c>
      <c r="L3557" s="1">
        <v>0</v>
      </c>
      <c r="M3557" s="4">
        <v>0</v>
      </c>
      <c r="N3557" s="1">
        <v>739</v>
      </c>
      <c r="O3557" s="4">
        <v>4.5999999999999999E-2</v>
      </c>
      <c r="P3557" s="1" t="s">
        <v>2721</v>
      </c>
    </row>
    <row r="3558" spans="1:16">
      <c r="A3558" s="1" t="s">
        <v>15</v>
      </c>
      <c r="B3558" s="1">
        <v>11</v>
      </c>
      <c r="C3558" s="1" t="s">
        <v>7920</v>
      </c>
      <c r="D3558" s="1" t="s">
        <v>27</v>
      </c>
      <c r="E3558" s="2">
        <v>45982</v>
      </c>
      <c r="F3558" s="1" t="s">
        <v>28</v>
      </c>
      <c r="G3558" s="1" t="s">
        <v>29</v>
      </c>
      <c r="H3558" s="1" t="s">
        <v>352</v>
      </c>
      <c r="I3558" s="1">
        <v>1</v>
      </c>
      <c r="J3558" s="3">
        <v>27033</v>
      </c>
      <c r="K3558" s="3">
        <v>25795</v>
      </c>
      <c r="L3558" s="1">
        <v>0</v>
      </c>
      <c r="M3558" s="4">
        <v>0</v>
      </c>
      <c r="N3558" s="3">
        <v>1238</v>
      </c>
      <c r="O3558" s="4">
        <v>4.5999999999999999E-2</v>
      </c>
      <c r="P3558" s="1" t="s">
        <v>2721</v>
      </c>
    </row>
    <row r="3559" spans="1:16">
      <c r="A3559" s="1" t="s">
        <v>15</v>
      </c>
      <c r="B3559" s="1">
        <v>11</v>
      </c>
      <c r="C3559" s="1" t="s">
        <v>7921</v>
      </c>
      <c r="D3559" s="1" t="s">
        <v>270</v>
      </c>
      <c r="E3559" s="2">
        <v>45982</v>
      </c>
      <c r="F3559" s="1" t="s">
        <v>271</v>
      </c>
      <c r="G3559" s="1" t="s">
        <v>272</v>
      </c>
      <c r="H3559" s="1" t="s">
        <v>273</v>
      </c>
      <c r="I3559" s="1">
        <v>1</v>
      </c>
      <c r="J3559" s="3">
        <v>25067</v>
      </c>
      <c r="K3559" s="3">
        <v>23919</v>
      </c>
      <c r="L3559" s="1">
        <v>0</v>
      </c>
      <c r="M3559" s="4">
        <v>0</v>
      </c>
      <c r="N3559" s="3">
        <v>1148</v>
      </c>
      <c r="O3559" s="4">
        <v>4.5999999999999999E-2</v>
      </c>
      <c r="P3559" s="1" t="s">
        <v>2721</v>
      </c>
    </row>
    <row r="3560" spans="1:16">
      <c r="A3560" s="1" t="s">
        <v>15</v>
      </c>
      <c r="B3560" s="1">
        <v>11</v>
      </c>
      <c r="C3560" s="1" t="s">
        <v>7922</v>
      </c>
      <c r="D3560" s="1" t="s">
        <v>390</v>
      </c>
      <c r="E3560" s="2">
        <v>45982</v>
      </c>
      <c r="F3560" s="1" t="s">
        <v>256</v>
      </c>
      <c r="G3560" s="1" t="s">
        <v>391</v>
      </c>
      <c r="H3560" s="1" t="s">
        <v>392</v>
      </c>
      <c r="I3560" s="1">
        <v>1</v>
      </c>
      <c r="J3560" s="3">
        <v>12799</v>
      </c>
      <c r="K3560" s="3">
        <v>12213</v>
      </c>
      <c r="L3560" s="1">
        <v>0</v>
      </c>
      <c r="M3560" s="4">
        <v>0</v>
      </c>
      <c r="N3560" s="1">
        <v>586</v>
      </c>
      <c r="O3560" s="4">
        <v>4.5999999999999999E-2</v>
      </c>
      <c r="P3560" s="1" t="s">
        <v>2721</v>
      </c>
    </row>
    <row r="3561" spans="1:16">
      <c r="A3561" s="1" t="s">
        <v>15</v>
      </c>
      <c r="B3561" s="1">
        <v>11</v>
      </c>
      <c r="C3561" s="1" t="s">
        <v>7923</v>
      </c>
      <c r="D3561" s="1" t="s">
        <v>1302</v>
      </c>
      <c r="E3561" s="2">
        <v>45982</v>
      </c>
      <c r="F3561" s="1" t="s">
        <v>256</v>
      </c>
      <c r="G3561" s="1" t="s">
        <v>1303</v>
      </c>
      <c r="H3561" s="1" t="s">
        <v>5421</v>
      </c>
      <c r="I3561" s="1">
        <v>2</v>
      </c>
      <c r="J3561" s="3">
        <v>27917</v>
      </c>
      <c r="K3561" s="3">
        <v>26639</v>
      </c>
      <c r="L3561" s="1">
        <v>0</v>
      </c>
      <c r="M3561" s="4">
        <v>0</v>
      </c>
      <c r="N3561" s="3">
        <v>1278</v>
      </c>
      <c r="O3561" s="4">
        <v>4.5999999999999999E-2</v>
      </c>
      <c r="P3561" s="1" t="s">
        <v>2721</v>
      </c>
    </row>
    <row r="3562" spans="1:16">
      <c r="A3562" s="1" t="s">
        <v>15</v>
      </c>
      <c r="B3562" s="1">
        <v>11</v>
      </c>
      <c r="C3562" s="1" t="s">
        <v>7924</v>
      </c>
      <c r="D3562" s="1" t="s">
        <v>17</v>
      </c>
      <c r="E3562" s="2">
        <v>45982</v>
      </c>
      <c r="F3562" s="1" t="s">
        <v>18</v>
      </c>
      <c r="G3562" s="1" t="s">
        <v>19</v>
      </c>
      <c r="H3562" s="1" t="s">
        <v>20</v>
      </c>
      <c r="I3562" s="1">
        <v>1</v>
      </c>
      <c r="J3562" s="3">
        <v>7166</v>
      </c>
      <c r="K3562" s="3">
        <v>6838</v>
      </c>
      <c r="L3562" s="1">
        <v>0</v>
      </c>
      <c r="M3562" s="4">
        <v>0</v>
      </c>
      <c r="N3562" s="1">
        <v>328</v>
      </c>
      <c r="O3562" s="4">
        <v>4.5999999999999999E-2</v>
      </c>
      <c r="P3562" s="1" t="s">
        <v>2721</v>
      </c>
    </row>
    <row r="3563" spans="1:16">
      <c r="A3563" s="1" t="s">
        <v>15</v>
      </c>
      <c r="B3563" s="1">
        <v>11</v>
      </c>
      <c r="C3563" s="1" t="s">
        <v>7925</v>
      </c>
      <c r="D3563" s="1" t="s">
        <v>3754</v>
      </c>
      <c r="E3563" s="2">
        <v>45982</v>
      </c>
      <c r="F3563" s="1" t="s">
        <v>63</v>
      </c>
      <c r="G3563" s="1" t="s">
        <v>3755</v>
      </c>
      <c r="H3563" s="1" t="s">
        <v>3789</v>
      </c>
      <c r="I3563" s="1">
        <v>1</v>
      </c>
      <c r="J3563" s="3">
        <v>4958</v>
      </c>
      <c r="K3563" s="3">
        <v>4731</v>
      </c>
      <c r="L3563" s="1">
        <v>0</v>
      </c>
      <c r="M3563" s="4">
        <v>0</v>
      </c>
      <c r="N3563" s="1">
        <v>227</v>
      </c>
      <c r="O3563" s="4">
        <v>4.5999999999999999E-2</v>
      </c>
      <c r="P3563" s="1" t="s">
        <v>2721</v>
      </c>
    </row>
    <row r="3564" spans="1:16">
      <c r="A3564" s="1" t="s">
        <v>15</v>
      </c>
      <c r="B3564" s="1">
        <v>11</v>
      </c>
      <c r="C3564" s="1" t="s">
        <v>7926</v>
      </c>
      <c r="D3564" s="1" t="s">
        <v>322</v>
      </c>
      <c r="E3564" s="2">
        <v>45982</v>
      </c>
      <c r="F3564" s="1" t="s">
        <v>151</v>
      </c>
      <c r="G3564" s="1" t="s">
        <v>323</v>
      </c>
      <c r="H3564" s="1" t="s">
        <v>323</v>
      </c>
      <c r="I3564" s="1">
        <v>2</v>
      </c>
      <c r="J3564" s="3">
        <v>29490</v>
      </c>
      <c r="K3564" s="3">
        <v>28140</v>
      </c>
      <c r="L3564" s="1">
        <v>0</v>
      </c>
      <c r="M3564" s="4">
        <v>0</v>
      </c>
      <c r="N3564" s="3">
        <v>1350</v>
      </c>
      <c r="O3564" s="4">
        <v>4.5999999999999999E-2</v>
      </c>
      <c r="P3564" s="1" t="s">
        <v>2721</v>
      </c>
    </row>
    <row r="3565" spans="1:16">
      <c r="A3565" s="1" t="s">
        <v>15</v>
      </c>
      <c r="B3565" s="1">
        <v>11</v>
      </c>
      <c r="C3565" s="1" t="s">
        <v>7927</v>
      </c>
      <c r="D3565" s="1" t="s">
        <v>7928</v>
      </c>
      <c r="E3565" s="2">
        <v>45982</v>
      </c>
      <c r="F3565" s="1" t="s">
        <v>187</v>
      </c>
      <c r="G3565" s="1" t="s">
        <v>1734</v>
      </c>
      <c r="H3565" s="1" t="s">
        <v>1735</v>
      </c>
      <c r="I3565" s="1">
        <v>1</v>
      </c>
      <c r="J3565" s="3">
        <v>24872</v>
      </c>
      <c r="K3565" s="3">
        <v>23733</v>
      </c>
      <c r="L3565" s="1">
        <v>0</v>
      </c>
      <c r="M3565" s="4">
        <v>0</v>
      </c>
      <c r="N3565" s="3">
        <v>1139</v>
      </c>
      <c r="O3565" s="4">
        <v>4.5999999999999999E-2</v>
      </c>
      <c r="P3565" s="1" t="s">
        <v>2721</v>
      </c>
    </row>
    <row r="3566" spans="1:16">
      <c r="A3566" s="1" t="s">
        <v>15</v>
      </c>
      <c r="B3566" s="1">
        <v>11</v>
      </c>
      <c r="C3566" s="1" t="s">
        <v>7929</v>
      </c>
      <c r="D3566" s="1" t="s">
        <v>32</v>
      </c>
      <c r="E3566" s="2">
        <v>45982</v>
      </c>
      <c r="F3566" s="1" t="s">
        <v>33</v>
      </c>
      <c r="G3566" s="1" t="s">
        <v>34</v>
      </c>
      <c r="H3566" s="1" t="s">
        <v>7930</v>
      </c>
      <c r="I3566" s="1">
        <v>1</v>
      </c>
      <c r="J3566" s="3">
        <v>96299</v>
      </c>
      <c r="K3566" s="3">
        <v>91890</v>
      </c>
      <c r="L3566" s="1">
        <v>0</v>
      </c>
      <c r="M3566" s="4">
        <v>0</v>
      </c>
      <c r="N3566" s="3">
        <v>4409</v>
      </c>
      <c r="O3566" s="4">
        <v>4.5999999999999999E-2</v>
      </c>
      <c r="P3566" s="1" t="s">
        <v>2721</v>
      </c>
    </row>
    <row r="3567" spans="1:16">
      <c r="A3567" s="1" t="s">
        <v>15</v>
      </c>
      <c r="B3567" s="1">
        <v>11</v>
      </c>
      <c r="C3567" s="1" t="s">
        <v>7931</v>
      </c>
      <c r="D3567" s="1" t="s">
        <v>3394</v>
      </c>
      <c r="E3567" s="2">
        <v>45982</v>
      </c>
      <c r="F3567" s="1" t="s">
        <v>500</v>
      </c>
      <c r="G3567" s="1" t="s">
        <v>3395</v>
      </c>
      <c r="H3567" s="1" t="s">
        <v>3396</v>
      </c>
      <c r="I3567" s="1">
        <v>1</v>
      </c>
      <c r="J3567" s="3">
        <v>63403</v>
      </c>
      <c r="K3567" s="3">
        <v>60500</v>
      </c>
      <c r="L3567" s="1">
        <v>0</v>
      </c>
      <c r="M3567" s="4">
        <v>0</v>
      </c>
      <c r="N3567" s="3">
        <v>2903</v>
      </c>
      <c r="O3567" s="4">
        <v>4.5999999999999999E-2</v>
      </c>
      <c r="P3567" s="1" t="s">
        <v>2721</v>
      </c>
    </row>
    <row r="3568" spans="1:16">
      <c r="A3568" s="1" t="s">
        <v>15</v>
      </c>
      <c r="B3568" s="1">
        <v>11</v>
      </c>
      <c r="C3568" s="1" t="s">
        <v>7932</v>
      </c>
      <c r="D3568" s="1" t="s">
        <v>1250</v>
      </c>
      <c r="E3568" s="2">
        <v>45982</v>
      </c>
      <c r="F3568" s="1" t="s">
        <v>18</v>
      </c>
      <c r="G3568" s="1" t="s">
        <v>1251</v>
      </c>
      <c r="H3568" s="1" t="s">
        <v>20</v>
      </c>
      <c r="I3568" s="1">
        <v>3</v>
      </c>
      <c r="J3568" s="3">
        <v>25184</v>
      </c>
      <c r="K3568" s="3">
        <v>24032</v>
      </c>
      <c r="L3568" s="1">
        <v>0</v>
      </c>
      <c r="M3568" s="4">
        <v>0</v>
      </c>
      <c r="N3568" s="3">
        <v>1152</v>
      </c>
      <c r="O3568" s="4">
        <v>4.5999999999999999E-2</v>
      </c>
      <c r="P3568" s="1" t="s">
        <v>2721</v>
      </c>
    </row>
    <row r="3569" spans="1:16">
      <c r="A3569" s="1" t="s">
        <v>15</v>
      </c>
      <c r="B3569" s="1">
        <v>11</v>
      </c>
      <c r="C3569" s="1" t="s">
        <v>7933</v>
      </c>
      <c r="D3569" s="1" t="s">
        <v>2495</v>
      </c>
      <c r="E3569" s="2">
        <v>45982</v>
      </c>
      <c r="F3569" s="1" t="s">
        <v>1888</v>
      </c>
      <c r="G3569" s="1" t="s">
        <v>2496</v>
      </c>
      <c r="H3569" s="1" t="s">
        <v>2497</v>
      </c>
      <c r="I3569" s="1">
        <v>1</v>
      </c>
      <c r="J3569" s="3">
        <v>14745</v>
      </c>
      <c r="K3569" s="3">
        <v>14070</v>
      </c>
      <c r="L3569" s="1">
        <v>0</v>
      </c>
      <c r="M3569" s="4">
        <v>0</v>
      </c>
      <c r="N3569" s="1">
        <v>675</v>
      </c>
      <c r="O3569" s="4">
        <v>4.5999999999999999E-2</v>
      </c>
      <c r="P3569" s="1" t="s">
        <v>2721</v>
      </c>
    </row>
    <row r="3570" spans="1:16">
      <c r="A3570" s="1" t="s">
        <v>15</v>
      </c>
      <c r="B3570" s="1">
        <v>11</v>
      </c>
      <c r="C3570" s="1" t="s">
        <v>7934</v>
      </c>
      <c r="D3570" s="1" t="s">
        <v>2871</v>
      </c>
      <c r="E3570" s="2">
        <v>45982</v>
      </c>
      <c r="F3570" s="1" t="s">
        <v>441</v>
      </c>
      <c r="G3570" s="1" t="s">
        <v>2872</v>
      </c>
      <c r="H3570" s="1" t="s">
        <v>2873</v>
      </c>
      <c r="I3570" s="1">
        <v>1</v>
      </c>
      <c r="J3570" s="3">
        <v>31456</v>
      </c>
      <c r="K3570" s="3">
        <v>30016</v>
      </c>
      <c r="L3570" s="1">
        <v>0</v>
      </c>
      <c r="M3570" s="4">
        <v>0</v>
      </c>
      <c r="N3570" s="3">
        <v>1440</v>
      </c>
      <c r="O3570" s="4">
        <v>4.5999999999999999E-2</v>
      </c>
      <c r="P3570" s="1" t="s">
        <v>2721</v>
      </c>
    </row>
    <row r="3571" spans="1:16">
      <c r="A3571" s="1" t="s">
        <v>15</v>
      </c>
      <c r="B3571" s="1">
        <v>11</v>
      </c>
      <c r="C3571" s="1" t="s">
        <v>7935</v>
      </c>
      <c r="D3571" s="1" t="s">
        <v>482</v>
      </c>
      <c r="E3571" s="2">
        <v>45982</v>
      </c>
      <c r="F3571" s="1" t="s">
        <v>483</v>
      </c>
      <c r="G3571" s="1" t="s">
        <v>484</v>
      </c>
      <c r="H3571" s="1" t="s">
        <v>1610</v>
      </c>
      <c r="I3571" s="1">
        <v>1</v>
      </c>
      <c r="J3571" s="3">
        <v>81098</v>
      </c>
      <c r="K3571" s="3">
        <v>77385</v>
      </c>
      <c r="L3571" s="1">
        <v>0</v>
      </c>
      <c r="M3571" s="4">
        <v>0</v>
      </c>
      <c r="N3571" s="3">
        <v>3713</v>
      </c>
      <c r="O3571" s="4">
        <v>4.5999999999999999E-2</v>
      </c>
      <c r="P3571" s="1" t="s">
        <v>2721</v>
      </c>
    </row>
    <row r="3572" spans="1:16">
      <c r="A3572" s="1" t="s">
        <v>15</v>
      </c>
      <c r="B3572" s="1">
        <v>11</v>
      </c>
      <c r="C3572" s="1" t="s">
        <v>7936</v>
      </c>
      <c r="D3572" s="1" t="s">
        <v>311</v>
      </c>
      <c r="E3572" s="2">
        <v>45982</v>
      </c>
      <c r="F3572" s="1" t="s">
        <v>312</v>
      </c>
      <c r="G3572" s="1" t="s">
        <v>313</v>
      </c>
      <c r="H3572" s="1" t="s">
        <v>339</v>
      </c>
      <c r="I3572" s="1">
        <v>1</v>
      </c>
      <c r="J3572" s="3">
        <v>28310</v>
      </c>
      <c r="K3572" s="3">
        <v>27014</v>
      </c>
      <c r="L3572" s="1">
        <v>0</v>
      </c>
      <c r="M3572" s="4">
        <v>0</v>
      </c>
      <c r="N3572" s="3">
        <v>1296</v>
      </c>
      <c r="O3572" s="4">
        <v>4.5999999999999999E-2</v>
      </c>
      <c r="P3572" s="1" t="s">
        <v>2721</v>
      </c>
    </row>
    <row r="3573" spans="1:16">
      <c r="A3573" s="1" t="s">
        <v>15</v>
      </c>
      <c r="B3573" s="1">
        <v>11</v>
      </c>
      <c r="C3573" s="1" t="s">
        <v>7936</v>
      </c>
      <c r="D3573" s="1" t="s">
        <v>311</v>
      </c>
      <c r="E3573" s="2">
        <v>45982</v>
      </c>
      <c r="F3573" s="1" t="s">
        <v>312</v>
      </c>
      <c r="G3573" s="1" t="s">
        <v>313</v>
      </c>
      <c r="H3573" s="1" t="s">
        <v>4802</v>
      </c>
      <c r="I3573" s="1">
        <v>1</v>
      </c>
      <c r="J3573" s="3">
        <v>28310</v>
      </c>
      <c r="K3573" s="3">
        <v>27014</v>
      </c>
      <c r="L3573" s="1">
        <v>0</v>
      </c>
      <c r="M3573" s="4">
        <v>0</v>
      </c>
      <c r="N3573" s="3">
        <v>1296</v>
      </c>
      <c r="O3573" s="4">
        <v>4.5999999999999999E-2</v>
      </c>
      <c r="P3573" s="1" t="s">
        <v>2721</v>
      </c>
    </row>
    <row r="3574" spans="1:16">
      <c r="A3574" s="1" t="s">
        <v>15</v>
      </c>
      <c r="B3574" s="1">
        <v>11</v>
      </c>
      <c r="C3574" s="1" t="s">
        <v>7937</v>
      </c>
      <c r="D3574" s="1" t="s">
        <v>1500</v>
      </c>
      <c r="E3574" s="2">
        <v>45982</v>
      </c>
      <c r="F3574" s="1" t="s">
        <v>96</v>
      </c>
      <c r="G3574" s="1" t="s">
        <v>1501</v>
      </c>
      <c r="H3574" s="1" t="s">
        <v>1502</v>
      </c>
      <c r="I3574" s="1">
        <v>1</v>
      </c>
      <c r="J3574" s="3">
        <v>11305</v>
      </c>
      <c r="K3574" s="3">
        <v>10787</v>
      </c>
      <c r="L3574" s="1">
        <v>0</v>
      </c>
      <c r="M3574" s="4">
        <v>0</v>
      </c>
      <c r="N3574" s="1">
        <v>518</v>
      </c>
      <c r="O3574" s="4">
        <v>4.5999999999999999E-2</v>
      </c>
      <c r="P3574" s="1" t="s">
        <v>2721</v>
      </c>
    </row>
    <row r="3575" spans="1:16">
      <c r="A3575" s="1" t="s">
        <v>15</v>
      </c>
      <c r="B3575" s="1">
        <v>11</v>
      </c>
      <c r="C3575" s="1" t="s">
        <v>7938</v>
      </c>
      <c r="D3575" s="1" t="s">
        <v>132</v>
      </c>
      <c r="E3575" s="2">
        <v>45982</v>
      </c>
      <c r="F3575" s="1" t="s">
        <v>53</v>
      </c>
      <c r="G3575" s="1" t="s">
        <v>133</v>
      </c>
      <c r="H3575" s="1" t="s">
        <v>88</v>
      </c>
      <c r="I3575" s="1">
        <v>1</v>
      </c>
      <c r="J3575" s="3">
        <v>17036</v>
      </c>
      <c r="K3575" s="3">
        <v>16256</v>
      </c>
      <c r="L3575" s="1">
        <v>0</v>
      </c>
      <c r="M3575" s="4">
        <v>0</v>
      </c>
      <c r="N3575" s="1">
        <v>780</v>
      </c>
      <c r="O3575" s="4">
        <v>4.5999999999999999E-2</v>
      </c>
      <c r="P3575" s="1" t="s">
        <v>2721</v>
      </c>
    </row>
    <row r="3576" spans="1:16">
      <c r="A3576" s="1" t="s">
        <v>15</v>
      </c>
      <c r="B3576" s="1">
        <v>11</v>
      </c>
      <c r="C3576" s="1" t="s">
        <v>7939</v>
      </c>
      <c r="D3576" s="1" t="s">
        <v>2398</v>
      </c>
      <c r="E3576" s="2">
        <v>45982</v>
      </c>
      <c r="F3576" s="1" t="s">
        <v>63</v>
      </c>
      <c r="G3576" s="1" t="s">
        <v>2399</v>
      </c>
      <c r="H3576" s="1" t="s">
        <v>2400</v>
      </c>
      <c r="I3576" s="1">
        <v>1</v>
      </c>
      <c r="J3576" s="3">
        <v>32001</v>
      </c>
      <c r="K3576" s="3">
        <v>30536</v>
      </c>
      <c r="L3576" s="1">
        <v>0</v>
      </c>
      <c r="M3576" s="4">
        <v>0</v>
      </c>
      <c r="N3576" s="3">
        <v>1465</v>
      </c>
      <c r="O3576" s="4">
        <v>4.5999999999999999E-2</v>
      </c>
      <c r="P3576" s="1" t="s">
        <v>2721</v>
      </c>
    </row>
    <row r="3577" spans="1:16">
      <c r="A3577" s="1" t="s">
        <v>15</v>
      </c>
      <c r="B3577" s="1">
        <v>11</v>
      </c>
      <c r="C3577" s="1" t="s">
        <v>7940</v>
      </c>
      <c r="D3577" s="1" t="s">
        <v>80</v>
      </c>
      <c r="E3577" s="2">
        <v>45982</v>
      </c>
      <c r="F3577" s="1" t="s">
        <v>58</v>
      </c>
      <c r="G3577" s="1" t="s">
        <v>81</v>
      </c>
      <c r="H3577" s="1" t="s">
        <v>745</v>
      </c>
      <c r="I3577" s="1">
        <v>1</v>
      </c>
      <c r="J3577" s="3">
        <v>17301</v>
      </c>
      <c r="K3577" s="3">
        <v>16509</v>
      </c>
      <c r="L3577" s="1">
        <v>0</v>
      </c>
      <c r="M3577" s="4">
        <v>0</v>
      </c>
      <c r="N3577" s="1">
        <v>792</v>
      </c>
      <c r="O3577" s="4">
        <v>4.5999999999999999E-2</v>
      </c>
      <c r="P3577" s="1" t="s">
        <v>2721</v>
      </c>
    </row>
    <row r="3578" spans="1:16">
      <c r="A3578" s="1" t="s">
        <v>15</v>
      </c>
      <c r="B3578" s="1">
        <v>11</v>
      </c>
      <c r="C3578" s="1" t="s">
        <v>7940</v>
      </c>
      <c r="D3578" s="1" t="s">
        <v>80</v>
      </c>
      <c r="E3578" s="2">
        <v>45982</v>
      </c>
      <c r="F3578" s="1" t="s">
        <v>58</v>
      </c>
      <c r="G3578" s="1" t="s">
        <v>81</v>
      </c>
      <c r="H3578" s="1" t="s">
        <v>6079</v>
      </c>
      <c r="I3578" s="1">
        <v>1</v>
      </c>
      <c r="J3578" s="3">
        <v>17301</v>
      </c>
      <c r="K3578" s="3">
        <v>16509</v>
      </c>
      <c r="L3578" s="1">
        <v>0</v>
      </c>
      <c r="M3578" s="4">
        <v>0</v>
      </c>
      <c r="N3578" s="1">
        <v>792</v>
      </c>
      <c r="O3578" s="4">
        <v>4.5999999999999999E-2</v>
      </c>
      <c r="P3578" s="1" t="s">
        <v>2721</v>
      </c>
    </row>
    <row r="3579" spans="1:16">
      <c r="A3579" s="1" t="s">
        <v>15</v>
      </c>
      <c r="B3579" s="1">
        <v>11</v>
      </c>
      <c r="C3579" s="1" t="s">
        <v>7941</v>
      </c>
      <c r="D3579" s="1" t="s">
        <v>95</v>
      </c>
      <c r="E3579" s="2">
        <v>45982</v>
      </c>
      <c r="F3579" s="1" t="s">
        <v>96</v>
      </c>
      <c r="G3579" s="1" t="s">
        <v>97</v>
      </c>
      <c r="H3579" s="1" t="s">
        <v>97</v>
      </c>
      <c r="I3579" s="1">
        <v>2</v>
      </c>
      <c r="J3579" s="3">
        <v>25141</v>
      </c>
      <c r="K3579" s="3">
        <v>23990</v>
      </c>
      <c r="L3579" s="1">
        <v>0</v>
      </c>
      <c r="M3579" s="4">
        <v>0</v>
      </c>
      <c r="N3579" s="3">
        <v>1151</v>
      </c>
      <c r="O3579" s="4">
        <v>4.5999999999999999E-2</v>
      </c>
      <c r="P3579" s="1" t="s">
        <v>2721</v>
      </c>
    </row>
    <row r="3580" spans="1:16">
      <c r="A3580" s="1" t="s">
        <v>15</v>
      </c>
      <c r="B3580" s="1">
        <v>11</v>
      </c>
      <c r="C3580" s="1" t="s">
        <v>7941</v>
      </c>
      <c r="D3580" s="1" t="s">
        <v>1642</v>
      </c>
      <c r="E3580" s="2">
        <v>45982</v>
      </c>
      <c r="F3580" s="1" t="s">
        <v>96</v>
      </c>
      <c r="G3580" s="1" t="s">
        <v>1643</v>
      </c>
      <c r="H3580" s="1" t="s">
        <v>1644</v>
      </c>
      <c r="I3580" s="1">
        <v>1</v>
      </c>
      <c r="J3580" s="3">
        <v>14379</v>
      </c>
      <c r="K3580" s="3">
        <v>13721</v>
      </c>
      <c r="L3580" s="1">
        <v>0</v>
      </c>
      <c r="M3580" s="4">
        <v>0</v>
      </c>
      <c r="N3580" s="1">
        <v>658</v>
      </c>
      <c r="O3580" s="4">
        <v>4.5999999999999999E-2</v>
      </c>
      <c r="P3580" s="1" t="s">
        <v>2721</v>
      </c>
    </row>
    <row r="3581" spans="1:16">
      <c r="A3581" s="1" t="s">
        <v>15</v>
      </c>
      <c r="B3581" s="1">
        <v>11</v>
      </c>
      <c r="C3581" s="1" t="s">
        <v>7942</v>
      </c>
      <c r="D3581" s="1" t="s">
        <v>178</v>
      </c>
      <c r="E3581" s="2">
        <v>45982</v>
      </c>
      <c r="F3581" s="1" t="s">
        <v>96</v>
      </c>
      <c r="G3581" s="1" t="s">
        <v>179</v>
      </c>
      <c r="H3581" s="1" t="s">
        <v>180</v>
      </c>
      <c r="I3581" s="1">
        <v>1</v>
      </c>
      <c r="J3581" s="3">
        <v>15284</v>
      </c>
      <c r="K3581" s="3">
        <v>14584</v>
      </c>
      <c r="L3581" s="1">
        <v>0</v>
      </c>
      <c r="M3581" s="4">
        <v>0</v>
      </c>
      <c r="N3581" s="1">
        <v>700</v>
      </c>
      <c r="O3581" s="4">
        <v>4.5999999999999999E-2</v>
      </c>
      <c r="P3581" s="1" t="s">
        <v>2721</v>
      </c>
    </row>
    <row r="3582" spans="1:16">
      <c r="A3582" s="1" t="s">
        <v>15</v>
      </c>
      <c r="B3582" s="1">
        <v>11</v>
      </c>
      <c r="C3582" s="1" t="s">
        <v>7943</v>
      </c>
      <c r="D3582" s="1" t="s">
        <v>3381</v>
      </c>
      <c r="E3582" s="2">
        <v>45982</v>
      </c>
      <c r="F3582" s="1" t="s">
        <v>235</v>
      </c>
      <c r="G3582" s="1" t="s">
        <v>3382</v>
      </c>
      <c r="H3582" s="1" t="s">
        <v>3382</v>
      </c>
      <c r="I3582" s="1">
        <v>2</v>
      </c>
      <c r="J3582" s="3">
        <v>44727</v>
      </c>
      <c r="K3582" s="3">
        <v>42679</v>
      </c>
      <c r="L3582" s="1">
        <v>0</v>
      </c>
      <c r="M3582" s="4">
        <v>0</v>
      </c>
      <c r="N3582" s="3">
        <v>2048</v>
      </c>
      <c r="O3582" s="4">
        <v>4.5999999999999999E-2</v>
      </c>
      <c r="P3582" s="1" t="s">
        <v>2721</v>
      </c>
    </row>
    <row r="3583" spans="1:16">
      <c r="A3583" s="1" t="s">
        <v>15</v>
      </c>
      <c r="B3583" s="1">
        <v>11</v>
      </c>
      <c r="C3583" s="1" t="s">
        <v>7944</v>
      </c>
      <c r="D3583" s="1" t="s">
        <v>3607</v>
      </c>
      <c r="E3583" s="2">
        <v>45982</v>
      </c>
      <c r="F3583" s="1" t="s">
        <v>58</v>
      </c>
      <c r="G3583" s="1" t="s">
        <v>3608</v>
      </c>
      <c r="H3583" s="1" t="s">
        <v>3609</v>
      </c>
      <c r="I3583" s="1">
        <v>1</v>
      </c>
      <c r="J3583" s="3">
        <v>21842</v>
      </c>
      <c r="K3583" s="3">
        <v>20842</v>
      </c>
      <c r="L3583" s="1">
        <v>0</v>
      </c>
      <c r="M3583" s="4">
        <v>0</v>
      </c>
      <c r="N3583" s="3">
        <v>1000</v>
      </c>
      <c r="O3583" s="4">
        <v>4.5999999999999999E-2</v>
      </c>
      <c r="P3583" s="1" t="s">
        <v>2721</v>
      </c>
    </row>
    <row r="3584" spans="1:16">
      <c r="A3584" s="1" t="s">
        <v>15</v>
      </c>
      <c r="B3584" s="1">
        <v>11</v>
      </c>
      <c r="C3584" s="1" t="s">
        <v>7945</v>
      </c>
      <c r="D3584" s="1" t="s">
        <v>538</v>
      </c>
      <c r="E3584" s="2">
        <v>45982</v>
      </c>
      <c r="F3584" s="1" t="s">
        <v>53</v>
      </c>
      <c r="G3584" s="1" t="s">
        <v>539</v>
      </c>
      <c r="H3584" s="1" t="s">
        <v>540</v>
      </c>
      <c r="I3584" s="1">
        <v>2</v>
      </c>
      <c r="J3584" s="3">
        <v>28664</v>
      </c>
      <c r="K3584" s="3">
        <v>27352</v>
      </c>
      <c r="L3584" s="1">
        <v>0</v>
      </c>
      <c r="M3584" s="4">
        <v>0</v>
      </c>
      <c r="N3584" s="3">
        <v>1312</v>
      </c>
      <c r="O3584" s="4">
        <v>4.5999999999999999E-2</v>
      </c>
      <c r="P3584" s="1" t="s">
        <v>2721</v>
      </c>
    </row>
    <row r="3585" spans="1:16">
      <c r="A3585" s="1" t="s">
        <v>15</v>
      </c>
      <c r="B3585" s="1">
        <v>11</v>
      </c>
      <c r="C3585" s="1" t="s">
        <v>7946</v>
      </c>
      <c r="D3585" s="1" t="s">
        <v>2423</v>
      </c>
      <c r="E3585" s="2">
        <v>45982</v>
      </c>
      <c r="F3585" s="1" t="s">
        <v>2424</v>
      </c>
      <c r="G3585" s="1" t="s">
        <v>2425</v>
      </c>
      <c r="H3585" s="1" t="s">
        <v>7947</v>
      </c>
      <c r="I3585" s="1">
        <v>1</v>
      </c>
      <c r="J3585" s="3">
        <v>11993</v>
      </c>
      <c r="K3585" s="3">
        <v>11444</v>
      </c>
      <c r="L3585" s="1">
        <v>0</v>
      </c>
      <c r="M3585" s="4">
        <v>0</v>
      </c>
      <c r="N3585" s="1">
        <v>549</v>
      </c>
      <c r="O3585" s="4">
        <v>4.5999999999999999E-2</v>
      </c>
      <c r="P3585" s="1" t="s">
        <v>2721</v>
      </c>
    </row>
    <row r="3586" spans="1:16">
      <c r="A3586" s="1" t="s">
        <v>15</v>
      </c>
      <c r="B3586" s="1">
        <v>11</v>
      </c>
      <c r="C3586" s="1" t="s">
        <v>7948</v>
      </c>
      <c r="D3586" s="1" t="s">
        <v>394</v>
      </c>
      <c r="E3586" s="2">
        <v>45982</v>
      </c>
      <c r="F3586" s="1" t="s">
        <v>395</v>
      </c>
      <c r="G3586" s="1" t="s">
        <v>396</v>
      </c>
      <c r="H3586" s="1" t="s">
        <v>397</v>
      </c>
      <c r="I3586" s="1">
        <v>1</v>
      </c>
      <c r="J3586" s="3">
        <v>18874</v>
      </c>
      <c r="K3586" s="3">
        <v>18010</v>
      </c>
      <c r="L3586" s="1">
        <v>0</v>
      </c>
      <c r="M3586" s="4">
        <v>0</v>
      </c>
      <c r="N3586" s="1">
        <v>864</v>
      </c>
      <c r="O3586" s="4">
        <v>4.5999999999999999E-2</v>
      </c>
      <c r="P3586" s="1" t="s">
        <v>2721</v>
      </c>
    </row>
    <row r="3587" spans="1:16">
      <c r="A3587" s="1" t="s">
        <v>15</v>
      </c>
      <c r="B3587" s="1">
        <v>11</v>
      </c>
      <c r="C3587" s="1" t="s">
        <v>7949</v>
      </c>
      <c r="D3587" s="1" t="s">
        <v>238</v>
      </c>
      <c r="E3587" s="2">
        <v>45982</v>
      </c>
      <c r="F3587" s="1" t="s">
        <v>239</v>
      </c>
      <c r="G3587" s="1" t="s">
        <v>240</v>
      </c>
      <c r="H3587" s="1" t="s">
        <v>241</v>
      </c>
      <c r="I3587" s="1">
        <v>1</v>
      </c>
      <c r="J3587" s="3">
        <v>11305</v>
      </c>
      <c r="K3587" s="3">
        <v>10787</v>
      </c>
      <c r="L3587" s="1">
        <v>0</v>
      </c>
      <c r="M3587" s="4">
        <v>0</v>
      </c>
      <c r="N3587" s="1">
        <v>518</v>
      </c>
      <c r="O3587" s="4">
        <v>4.5999999999999999E-2</v>
      </c>
      <c r="P3587" s="1" t="s">
        <v>2721</v>
      </c>
    </row>
    <row r="3588" spans="1:16">
      <c r="A3588" s="1" t="s">
        <v>15</v>
      </c>
      <c r="B3588" s="1">
        <v>11</v>
      </c>
      <c r="C3588" s="1" t="s">
        <v>7950</v>
      </c>
      <c r="D3588" s="1" t="s">
        <v>169</v>
      </c>
      <c r="E3588" s="2">
        <v>45982</v>
      </c>
      <c r="F3588" s="1" t="s">
        <v>53</v>
      </c>
      <c r="G3588" s="1" t="s">
        <v>170</v>
      </c>
      <c r="H3588" s="1" t="s">
        <v>171</v>
      </c>
      <c r="I3588" s="1">
        <v>1</v>
      </c>
      <c r="J3588" s="3">
        <v>14332</v>
      </c>
      <c r="K3588" s="3">
        <v>13676</v>
      </c>
      <c r="L3588" s="1">
        <v>0</v>
      </c>
      <c r="M3588" s="4">
        <v>0</v>
      </c>
      <c r="N3588" s="1">
        <v>656</v>
      </c>
      <c r="O3588" s="4">
        <v>4.5999999999999999E-2</v>
      </c>
      <c r="P3588" s="1" t="s">
        <v>2721</v>
      </c>
    </row>
    <row r="3589" spans="1:16">
      <c r="A3589" s="1" t="s">
        <v>15</v>
      </c>
      <c r="B3589" s="1">
        <v>11</v>
      </c>
      <c r="C3589" s="1" t="s">
        <v>7951</v>
      </c>
      <c r="D3589" s="1" t="s">
        <v>782</v>
      </c>
      <c r="E3589" s="2">
        <v>45982</v>
      </c>
      <c r="F3589" s="1" t="s">
        <v>783</v>
      </c>
      <c r="G3589" s="1" t="s">
        <v>784</v>
      </c>
      <c r="H3589" s="1" t="s">
        <v>785</v>
      </c>
      <c r="I3589" s="1">
        <v>1</v>
      </c>
      <c r="J3589" s="3">
        <v>15925</v>
      </c>
      <c r="K3589" s="3">
        <v>15196</v>
      </c>
      <c r="L3589" s="1">
        <v>0</v>
      </c>
      <c r="M3589" s="4">
        <v>0</v>
      </c>
      <c r="N3589" s="1">
        <v>729</v>
      </c>
      <c r="O3589" s="4">
        <v>4.5999999999999999E-2</v>
      </c>
      <c r="P3589" s="1" t="s">
        <v>2721</v>
      </c>
    </row>
    <row r="3590" spans="1:16">
      <c r="A3590" s="1" t="s">
        <v>15</v>
      </c>
      <c r="B3590" s="1">
        <v>11</v>
      </c>
      <c r="C3590" s="1" t="s">
        <v>7952</v>
      </c>
      <c r="D3590" s="1" t="s">
        <v>311</v>
      </c>
      <c r="E3590" s="2">
        <v>45982</v>
      </c>
      <c r="F3590" s="1" t="s">
        <v>312</v>
      </c>
      <c r="G3590" s="1" t="s">
        <v>313</v>
      </c>
      <c r="H3590" s="1" t="s">
        <v>4802</v>
      </c>
      <c r="I3590" s="1">
        <v>1</v>
      </c>
      <c r="J3590" s="3">
        <v>28310</v>
      </c>
      <c r="K3590" s="3">
        <v>27014</v>
      </c>
      <c r="L3590" s="1">
        <v>0</v>
      </c>
      <c r="M3590" s="4">
        <v>0</v>
      </c>
      <c r="N3590" s="3">
        <v>1296</v>
      </c>
      <c r="O3590" s="4">
        <v>4.5999999999999999E-2</v>
      </c>
      <c r="P3590" s="1" t="s">
        <v>2721</v>
      </c>
    </row>
    <row r="3591" spans="1:16">
      <c r="A3591" s="1" t="s">
        <v>15</v>
      </c>
      <c r="B3591" s="1">
        <v>11</v>
      </c>
      <c r="C3591" s="1" t="s">
        <v>7953</v>
      </c>
      <c r="D3591" s="1" t="s">
        <v>1233</v>
      </c>
      <c r="E3591" s="2">
        <v>45982</v>
      </c>
      <c r="F3591" s="1" t="s">
        <v>500</v>
      </c>
      <c r="G3591" s="1" t="s">
        <v>1234</v>
      </c>
      <c r="H3591" s="1" t="s">
        <v>1235</v>
      </c>
      <c r="I3591" s="1">
        <v>1</v>
      </c>
      <c r="J3591" s="3">
        <v>253565</v>
      </c>
      <c r="K3591" s="3">
        <v>241957</v>
      </c>
      <c r="L3591" s="1">
        <v>0</v>
      </c>
      <c r="M3591" s="4">
        <v>0</v>
      </c>
      <c r="N3591" s="3">
        <v>11608</v>
      </c>
      <c r="O3591" s="4">
        <v>4.5999999999999999E-2</v>
      </c>
      <c r="P3591" s="1" t="s">
        <v>2721</v>
      </c>
    </row>
    <row r="3592" spans="1:16">
      <c r="A3592" s="1" t="s">
        <v>15</v>
      </c>
      <c r="B3592" s="1">
        <v>11</v>
      </c>
      <c r="C3592" s="1" t="s">
        <v>7954</v>
      </c>
      <c r="D3592" s="1" t="s">
        <v>7955</v>
      </c>
      <c r="E3592" s="2">
        <v>45982</v>
      </c>
      <c r="F3592" s="1" t="s">
        <v>3599</v>
      </c>
      <c r="G3592" s="1" t="s">
        <v>7956</v>
      </c>
      <c r="H3592" s="1" t="s">
        <v>7957</v>
      </c>
      <c r="I3592" s="1">
        <v>1</v>
      </c>
      <c r="J3592" s="3">
        <v>17694</v>
      </c>
      <c r="K3592" s="3">
        <v>16884</v>
      </c>
      <c r="L3592" s="1">
        <v>0</v>
      </c>
      <c r="M3592" s="4">
        <v>0</v>
      </c>
      <c r="N3592" s="1">
        <v>810</v>
      </c>
      <c r="O3592" s="4">
        <v>4.5999999999999999E-2</v>
      </c>
      <c r="P3592" s="1" t="s">
        <v>2721</v>
      </c>
    </row>
    <row r="3593" spans="1:16">
      <c r="A3593" s="1" t="s">
        <v>15</v>
      </c>
      <c r="B3593" s="1">
        <v>11</v>
      </c>
      <c r="C3593" s="1" t="s">
        <v>7958</v>
      </c>
      <c r="D3593" s="1" t="s">
        <v>3836</v>
      </c>
      <c r="E3593" s="2">
        <v>45982</v>
      </c>
      <c r="F3593" s="1" t="s">
        <v>1241</v>
      </c>
      <c r="G3593" s="1" t="s">
        <v>3837</v>
      </c>
      <c r="H3593" s="1" t="s">
        <v>3838</v>
      </c>
      <c r="I3593" s="1">
        <v>1</v>
      </c>
      <c r="J3593" s="3">
        <v>25067</v>
      </c>
      <c r="K3593" s="3">
        <v>23919</v>
      </c>
      <c r="L3593" s="1">
        <v>0</v>
      </c>
      <c r="M3593" s="4">
        <v>0</v>
      </c>
      <c r="N3593" s="3">
        <v>1148</v>
      </c>
      <c r="O3593" s="4">
        <v>4.5999999999999999E-2</v>
      </c>
      <c r="P3593" s="1" t="s">
        <v>2721</v>
      </c>
    </row>
    <row r="3594" spans="1:16">
      <c r="A3594" s="1" t="s">
        <v>15</v>
      </c>
      <c r="B3594" s="1">
        <v>11</v>
      </c>
      <c r="C3594" s="1" t="s">
        <v>7959</v>
      </c>
      <c r="D3594" s="1" t="s">
        <v>7340</v>
      </c>
      <c r="E3594" s="2">
        <v>45982</v>
      </c>
      <c r="F3594" s="1" t="s">
        <v>2173</v>
      </c>
      <c r="G3594" s="1" t="s">
        <v>7341</v>
      </c>
      <c r="H3594" s="1" t="s">
        <v>7342</v>
      </c>
      <c r="I3594" s="1">
        <v>1</v>
      </c>
      <c r="J3594" s="3">
        <v>23297</v>
      </c>
      <c r="K3594" s="3">
        <v>22231</v>
      </c>
      <c r="L3594" s="1">
        <v>0</v>
      </c>
      <c r="M3594" s="4">
        <v>0</v>
      </c>
      <c r="N3594" s="3">
        <v>1066</v>
      </c>
      <c r="O3594" s="4">
        <v>4.5999999999999999E-2</v>
      </c>
      <c r="P3594" s="1" t="s">
        <v>2721</v>
      </c>
    </row>
    <row r="3595" spans="1:16">
      <c r="A3595" s="1" t="s">
        <v>15</v>
      </c>
      <c r="B3595" s="1">
        <v>11</v>
      </c>
      <c r="C3595" s="1" t="s">
        <v>7960</v>
      </c>
      <c r="D3595" s="1" t="s">
        <v>169</v>
      </c>
      <c r="E3595" s="2">
        <v>45982</v>
      </c>
      <c r="F3595" s="1" t="s">
        <v>53</v>
      </c>
      <c r="G3595" s="1" t="s">
        <v>170</v>
      </c>
      <c r="H3595" s="1" t="s">
        <v>171</v>
      </c>
      <c r="I3595" s="1">
        <v>2</v>
      </c>
      <c r="J3595" s="3">
        <v>28664</v>
      </c>
      <c r="K3595" s="3">
        <v>27352</v>
      </c>
      <c r="L3595" s="1">
        <v>0</v>
      </c>
      <c r="M3595" s="4">
        <v>0</v>
      </c>
      <c r="N3595" s="3">
        <v>1312</v>
      </c>
      <c r="O3595" s="4">
        <v>4.5999999999999999E-2</v>
      </c>
      <c r="P3595" s="1" t="s">
        <v>2721</v>
      </c>
    </row>
    <row r="3596" spans="1:16">
      <c r="A3596" s="1" t="s">
        <v>15</v>
      </c>
      <c r="B3596" s="1">
        <v>11</v>
      </c>
      <c r="C3596" s="1" t="s">
        <v>7961</v>
      </c>
      <c r="D3596" s="1" t="s">
        <v>169</v>
      </c>
      <c r="E3596" s="2">
        <v>45982</v>
      </c>
      <c r="F3596" s="1" t="s">
        <v>53</v>
      </c>
      <c r="G3596" s="1" t="s">
        <v>170</v>
      </c>
      <c r="H3596" s="1" t="s">
        <v>171</v>
      </c>
      <c r="I3596" s="1">
        <v>1</v>
      </c>
      <c r="J3596" s="3">
        <v>14332</v>
      </c>
      <c r="K3596" s="3">
        <v>13676</v>
      </c>
      <c r="L3596" s="1">
        <v>0</v>
      </c>
      <c r="M3596" s="4">
        <v>0</v>
      </c>
      <c r="N3596" s="1">
        <v>656</v>
      </c>
      <c r="O3596" s="4">
        <v>4.5999999999999999E-2</v>
      </c>
      <c r="P3596" s="1" t="s">
        <v>2721</v>
      </c>
    </row>
    <row r="3597" spans="1:16">
      <c r="A3597" s="1" t="s">
        <v>15</v>
      </c>
      <c r="B3597" s="1">
        <v>11</v>
      </c>
      <c r="C3597" s="1" t="s">
        <v>7962</v>
      </c>
      <c r="D3597" s="1" t="s">
        <v>52</v>
      </c>
      <c r="E3597" s="2">
        <v>45982</v>
      </c>
      <c r="F3597" s="1" t="s">
        <v>53</v>
      </c>
      <c r="G3597" s="1" t="s">
        <v>54</v>
      </c>
      <c r="H3597" s="1" t="s">
        <v>55</v>
      </c>
      <c r="I3597" s="1">
        <v>1</v>
      </c>
      <c r="J3597" s="3">
        <v>16135</v>
      </c>
      <c r="K3597" s="3">
        <v>15396</v>
      </c>
      <c r="L3597" s="1">
        <v>0</v>
      </c>
      <c r="M3597" s="4">
        <v>0</v>
      </c>
      <c r="N3597" s="1">
        <v>739</v>
      </c>
      <c r="O3597" s="4">
        <v>4.5999999999999999E-2</v>
      </c>
      <c r="P3597" s="1" t="s">
        <v>2721</v>
      </c>
    </row>
    <row r="3598" spans="1:16">
      <c r="A3598" s="1" t="s">
        <v>15</v>
      </c>
      <c r="B3598" s="1">
        <v>11</v>
      </c>
      <c r="C3598" s="1" t="s">
        <v>7963</v>
      </c>
      <c r="D3598" s="1" t="s">
        <v>169</v>
      </c>
      <c r="E3598" s="2">
        <v>45982</v>
      </c>
      <c r="F3598" s="1" t="s">
        <v>53</v>
      </c>
      <c r="G3598" s="1" t="s">
        <v>170</v>
      </c>
      <c r="H3598" s="1" t="s">
        <v>171</v>
      </c>
      <c r="I3598" s="1">
        <v>1</v>
      </c>
      <c r="J3598" s="3">
        <v>14332</v>
      </c>
      <c r="K3598" s="3">
        <v>13676</v>
      </c>
      <c r="L3598" s="1">
        <v>0</v>
      </c>
      <c r="M3598" s="4">
        <v>0</v>
      </c>
      <c r="N3598" s="1">
        <v>656</v>
      </c>
      <c r="O3598" s="4">
        <v>4.5999999999999999E-2</v>
      </c>
      <c r="P3598" s="1" t="s">
        <v>2721</v>
      </c>
    </row>
    <row r="3599" spans="1:16">
      <c r="A3599" s="1" t="s">
        <v>15</v>
      </c>
      <c r="B3599" s="1">
        <v>11</v>
      </c>
      <c r="C3599" s="1" t="s">
        <v>7964</v>
      </c>
      <c r="D3599" s="1" t="s">
        <v>238</v>
      </c>
      <c r="E3599" s="2">
        <v>45982</v>
      </c>
      <c r="F3599" s="1" t="s">
        <v>239</v>
      </c>
      <c r="G3599" s="1" t="s">
        <v>240</v>
      </c>
      <c r="H3599" s="1" t="s">
        <v>242</v>
      </c>
      <c r="I3599" s="1">
        <v>1</v>
      </c>
      <c r="J3599" s="3">
        <v>11305</v>
      </c>
      <c r="K3599" s="3">
        <v>10787</v>
      </c>
      <c r="L3599" s="1">
        <v>0</v>
      </c>
      <c r="M3599" s="4">
        <v>0</v>
      </c>
      <c r="N3599" s="1">
        <v>518</v>
      </c>
      <c r="O3599" s="4">
        <v>4.5999999999999999E-2</v>
      </c>
      <c r="P3599" s="1" t="s">
        <v>2721</v>
      </c>
    </row>
    <row r="3600" spans="1:16">
      <c r="A3600" s="1" t="s">
        <v>15</v>
      </c>
      <c r="B3600" s="1">
        <v>11</v>
      </c>
      <c r="C3600" s="1" t="s">
        <v>7965</v>
      </c>
      <c r="D3600" s="1" t="s">
        <v>813</v>
      </c>
      <c r="E3600" s="2">
        <v>45982</v>
      </c>
      <c r="F3600" s="1" t="s">
        <v>126</v>
      </c>
      <c r="G3600" s="1" t="s">
        <v>814</v>
      </c>
      <c r="H3600" s="1" t="s">
        <v>816</v>
      </c>
      <c r="I3600" s="1">
        <v>1</v>
      </c>
      <c r="J3600" s="3">
        <v>17203</v>
      </c>
      <c r="K3600" s="3">
        <v>16415</v>
      </c>
      <c r="L3600" s="1">
        <v>0</v>
      </c>
      <c r="M3600" s="4">
        <v>0</v>
      </c>
      <c r="N3600" s="1">
        <v>788</v>
      </c>
      <c r="O3600" s="4">
        <v>4.5999999999999999E-2</v>
      </c>
      <c r="P3600" s="1" t="s">
        <v>2721</v>
      </c>
    </row>
    <row r="3601" spans="1:16">
      <c r="A3601" s="1" t="s">
        <v>15</v>
      </c>
      <c r="B3601" s="1">
        <v>11</v>
      </c>
      <c r="C3601" s="1" t="s">
        <v>7966</v>
      </c>
      <c r="D3601" s="1" t="s">
        <v>3703</v>
      </c>
      <c r="E3601" s="2">
        <v>45982</v>
      </c>
      <c r="F3601" s="1" t="s">
        <v>77</v>
      </c>
      <c r="G3601" s="1" t="s">
        <v>3704</v>
      </c>
      <c r="H3601" s="1" t="s">
        <v>3704</v>
      </c>
      <c r="I3601" s="1">
        <v>1</v>
      </c>
      <c r="J3601" s="3">
        <v>11231</v>
      </c>
      <c r="K3601" s="3">
        <v>10717</v>
      </c>
      <c r="L3601" s="1">
        <v>0</v>
      </c>
      <c r="M3601" s="4">
        <v>0</v>
      </c>
      <c r="N3601" s="1">
        <v>514</v>
      </c>
      <c r="O3601" s="4">
        <v>4.5999999999999999E-2</v>
      </c>
      <c r="P3601" s="1" t="s">
        <v>2721</v>
      </c>
    </row>
    <row r="3602" spans="1:16">
      <c r="A3602" s="1" t="s">
        <v>15</v>
      </c>
      <c r="B3602" s="1">
        <v>11</v>
      </c>
      <c r="C3602" s="1" t="s">
        <v>7966</v>
      </c>
      <c r="D3602" s="1" t="s">
        <v>3256</v>
      </c>
      <c r="E3602" s="2">
        <v>45982</v>
      </c>
      <c r="F3602" s="1" t="s">
        <v>77</v>
      </c>
      <c r="G3602" s="1" t="s">
        <v>3257</v>
      </c>
      <c r="H3602" s="1" t="s">
        <v>3257</v>
      </c>
      <c r="I3602" s="1">
        <v>1</v>
      </c>
      <c r="J3602" s="3">
        <v>11231</v>
      </c>
      <c r="K3602" s="3">
        <v>10717</v>
      </c>
      <c r="L3602" s="1">
        <v>0</v>
      </c>
      <c r="M3602" s="4">
        <v>0</v>
      </c>
      <c r="N3602" s="1">
        <v>514</v>
      </c>
      <c r="O3602" s="4">
        <v>4.5999999999999999E-2</v>
      </c>
      <c r="P3602" s="1" t="s">
        <v>2721</v>
      </c>
    </row>
    <row r="3603" spans="1:16">
      <c r="A3603" s="1" t="s">
        <v>15</v>
      </c>
      <c r="B3603" s="1">
        <v>11</v>
      </c>
      <c r="C3603" s="1" t="s">
        <v>7967</v>
      </c>
      <c r="D3603" s="1" t="s">
        <v>7968</v>
      </c>
      <c r="E3603" s="2">
        <v>45982</v>
      </c>
      <c r="F3603" s="1" t="s">
        <v>3338</v>
      </c>
      <c r="G3603" s="1" t="s">
        <v>7969</v>
      </c>
      <c r="H3603" s="1" t="s">
        <v>7970</v>
      </c>
      <c r="I3603" s="1">
        <v>1</v>
      </c>
      <c r="J3603" s="3">
        <v>41089</v>
      </c>
      <c r="K3603" s="3">
        <v>39208</v>
      </c>
      <c r="L3603" s="1">
        <v>0</v>
      </c>
      <c r="M3603" s="4">
        <v>0</v>
      </c>
      <c r="N3603" s="3">
        <v>1881</v>
      </c>
      <c r="O3603" s="4">
        <v>4.5999999999999999E-2</v>
      </c>
      <c r="P3603" s="1" t="s">
        <v>2721</v>
      </c>
    </row>
    <row r="3604" spans="1:16">
      <c r="A3604" s="1" t="s">
        <v>15</v>
      </c>
      <c r="B3604" s="1">
        <v>11</v>
      </c>
      <c r="C3604" s="1" t="s">
        <v>7971</v>
      </c>
      <c r="D3604" s="1" t="s">
        <v>178</v>
      </c>
      <c r="E3604" s="2">
        <v>45982</v>
      </c>
      <c r="F3604" s="1" t="s">
        <v>96</v>
      </c>
      <c r="G3604" s="1" t="s">
        <v>179</v>
      </c>
      <c r="H3604" s="1" t="s">
        <v>180</v>
      </c>
      <c r="I3604" s="1">
        <v>1</v>
      </c>
      <c r="J3604" s="3">
        <v>15284</v>
      </c>
      <c r="K3604" s="3">
        <v>14584</v>
      </c>
      <c r="L3604" s="1">
        <v>0</v>
      </c>
      <c r="M3604" s="4">
        <v>0</v>
      </c>
      <c r="N3604" s="1">
        <v>700</v>
      </c>
      <c r="O3604" s="4">
        <v>4.5999999999999999E-2</v>
      </c>
      <c r="P3604" s="1" t="s">
        <v>2721</v>
      </c>
    </row>
    <row r="3605" spans="1:16">
      <c r="A3605" s="1" t="s">
        <v>15</v>
      </c>
      <c r="B3605" s="1">
        <v>11</v>
      </c>
      <c r="C3605" s="1" t="s">
        <v>7972</v>
      </c>
      <c r="D3605" s="1" t="s">
        <v>4039</v>
      </c>
      <c r="E3605" s="2">
        <v>45982</v>
      </c>
      <c r="F3605" s="1" t="s">
        <v>53</v>
      </c>
      <c r="G3605" s="1" t="s">
        <v>4040</v>
      </c>
      <c r="H3605" s="1" t="s">
        <v>4074</v>
      </c>
      <c r="I3605" s="1">
        <v>1</v>
      </c>
      <c r="J3605" s="3">
        <v>9825</v>
      </c>
      <c r="K3605" s="3">
        <v>9375</v>
      </c>
      <c r="L3605" s="1">
        <v>0</v>
      </c>
      <c r="M3605" s="4">
        <v>0</v>
      </c>
      <c r="N3605" s="1">
        <v>450</v>
      </c>
      <c r="O3605" s="4">
        <v>4.5999999999999999E-2</v>
      </c>
      <c r="P3605" s="1" t="s">
        <v>2721</v>
      </c>
    </row>
    <row r="3606" spans="1:16">
      <c r="A3606" s="1" t="s">
        <v>15</v>
      </c>
      <c r="B3606" s="1">
        <v>11</v>
      </c>
      <c r="C3606" s="1" t="s">
        <v>7973</v>
      </c>
      <c r="D3606" s="1" t="s">
        <v>5040</v>
      </c>
      <c r="E3606" s="2">
        <v>45982</v>
      </c>
      <c r="F3606" s="1" t="s">
        <v>783</v>
      </c>
      <c r="G3606" s="1" t="s">
        <v>5041</v>
      </c>
      <c r="H3606" s="1" t="s">
        <v>5042</v>
      </c>
      <c r="I3606" s="1">
        <v>1</v>
      </c>
      <c r="J3606" s="3">
        <v>39615</v>
      </c>
      <c r="K3606" s="3">
        <v>37801</v>
      </c>
      <c r="L3606" s="1">
        <v>0</v>
      </c>
      <c r="M3606" s="4">
        <v>0</v>
      </c>
      <c r="N3606" s="3">
        <v>1814</v>
      </c>
      <c r="O3606" s="4">
        <v>4.5999999999999999E-2</v>
      </c>
      <c r="P3606" s="1" t="s">
        <v>2721</v>
      </c>
    </row>
    <row r="3607" spans="1:16">
      <c r="A3607" s="1" t="s">
        <v>15</v>
      </c>
      <c r="B3607" s="1">
        <v>11</v>
      </c>
      <c r="C3607" s="1" t="s">
        <v>7974</v>
      </c>
      <c r="D3607" s="1" t="s">
        <v>169</v>
      </c>
      <c r="E3607" s="2">
        <v>45982</v>
      </c>
      <c r="F3607" s="1" t="s">
        <v>53</v>
      </c>
      <c r="G3607" s="1" t="s">
        <v>170</v>
      </c>
      <c r="H3607" s="1" t="s">
        <v>171</v>
      </c>
      <c r="I3607" s="1">
        <v>1</v>
      </c>
      <c r="J3607" s="3">
        <v>14332</v>
      </c>
      <c r="K3607" s="3">
        <v>13676</v>
      </c>
      <c r="L3607" s="1">
        <v>0</v>
      </c>
      <c r="M3607" s="4">
        <v>0</v>
      </c>
      <c r="N3607" s="1">
        <v>656</v>
      </c>
      <c r="O3607" s="4">
        <v>4.5999999999999999E-2</v>
      </c>
      <c r="P3607" s="1" t="s">
        <v>2721</v>
      </c>
    </row>
    <row r="3608" spans="1:16">
      <c r="A3608" s="1" t="s">
        <v>15</v>
      </c>
      <c r="B3608" s="1">
        <v>11</v>
      </c>
      <c r="C3608" s="1" t="s">
        <v>7975</v>
      </c>
      <c r="D3608" s="1" t="s">
        <v>538</v>
      </c>
      <c r="E3608" s="2">
        <v>45982</v>
      </c>
      <c r="F3608" s="1" t="s">
        <v>53</v>
      </c>
      <c r="G3608" s="1" t="s">
        <v>539</v>
      </c>
      <c r="H3608" s="1" t="s">
        <v>540</v>
      </c>
      <c r="I3608" s="1">
        <v>1</v>
      </c>
      <c r="J3608" s="3">
        <v>14332</v>
      </c>
      <c r="K3608" s="3">
        <v>13676</v>
      </c>
      <c r="L3608" s="1">
        <v>0</v>
      </c>
      <c r="M3608" s="4">
        <v>0</v>
      </c>
      <c r="N3608" s="1">
        <v>656</v>
      </c>
      <c r="O3608" s="4">
        <v>4.5999999999999999E-2</v>
      </c>
      <c r="P3608" s="1" t="s">
        <v>2721</v>
      </c>
    </row>
    <row r="3609" spans="1:16">
      <c r="A3609" s="1" t="s">
        <v>15</v>
      </c>
      <c r="B3609" s="1">
        <v>11</v>
      </c>
      <c r="C3609" s="1" t="s">
        <v>7976</v>
      </c>
      <c r="D3609" s="1" t="s">
        <v>793</v>
      </c>
      <c r="E3609" s="2">
        <v>45982</v>
      </c>
      <c r="F3609" s="1" t="s">
        <v>126</v>
      </c>
      <c r="G3609" s="1" t="s">
        <v>794</v>
      </c>
      <c r="H3609" s="1" t="s">
        <v>7977</v>
      </c>
      <c r="I3609" s="1">
        <v>1</v>
      </c>
      <c r="J3609" s="3">
        <v>18186</v>
      </c>
      <c r="K3609" s="3">
        <v>17353</v>
      </c>
      <c r="L3609" s="1">
        <v>0</v>
      </c>
      <c r="M3609" s="4">
        <v>0</v>
      </c>
      <c r="N3609" s="1">
        <v>833</v>
      </c>
      <c r="O3609" s="4">
        <v>4.5999999999999999E-2</v>
      </c>
      <c r="P3609" s="1" t="s">
        <v>2721</v>
      </c>
    </row>
    <row r="3610" spans="1:16">
      <c r="A3610" s="1" t="s">
        <v>15</v>
      </c>
      <c r="B3610" s="1">
        <v>11</v>
      </c>
      <c r="C3610" s="1" t="s">
        <v>7978</v>
      </c>
      <c r="D3610" s="1" t="s">
        <v>169</v>
      </c>
      <c r="E3610" s="2">
        <v>45982</v>
      </c>
      <c r="F3610" s="1" t="s">
        <v>53</v>
      </c>
      <c r="G3610" s="1" t="s">
        <v>170</v>
      </c>
      <c r="H3610" s="1" t="s">
        <v>171</v>
      </c>
      <c r="I3610" s="1">
        <v>1</v>
      </c>
      <c r="J3610" s="3">
        <v>14332</v>
      </c>
      <c r="K3610" s="3">
        <v>13676</v>
      </c>
      <c r="L3610" s="1">
        <v>0</v>
      </c>
      <c r="M3610" s="4">
        <v>0</v>
      </c>
      <c r="N3610" s="1">
        <v>656</v>
      </c>
      <c r="O3610" s="4">
        <v>4.5999999999999999E-2</v>
      </c>
      <c r="P3610" s="1" t="s">
        <v>2721</v>
      </c>
    </row>
    <row r="3611" spans="1:16">
      <c r="A3611" s="1" t="s">
        <v>15</v>
      </c>
      <c r="B3611" s="1">
        <v>11</v>
      </c>
      <c r="C3611" s="1" t="s">
        <v>7979</v>
      </c>
      <c r="D3611" s="1" t="s">
        <v>3316</v>
      </c>
      <c r="E3611" s="2">
        <v>45982</v>
      </c>
      <c r="F3611" s="1" t="s">
        <v>846</v>
      </c>
      <c r="G3611" s="1" t="s">
        <v>3317</v>
      </c>
      <c r="H3611" s="1" t="s">
        <v>3318</v>
      </c>
      <c r="I3611" s="1">
        <v>1</v>
      </c>
      <c r="J3611" s="3">
        <v>47676</v>
      </c>
      <c r="K3611" s="3">
        <v>45493</v>
      </c>
      <c r="L3611" s="1">
        <v>0</v>
      </c>
      <c r="M3611" s="4">
        <v>0</v>
      </c>
      <c r="N3611" s="3">
        <v>2183</v>
      </c>
      <c r="O3611" s="4">
        <v>4.5999999999999999E-2</v>
      </c>
      <c r="P3611" s="1" t="s">
        <v>2721</v>
      </c>
    </row>
    <row r="3612" spans="1:16">
      <c r="A3612" s="1" t="s">
        <v>15</v>
      </c>
      <c r="B3612" s="1">
        <v>11</v>
      </c>
      <c r="C3612" s="1" t="s">
        <v>7980</v>
      </c>
      <c r="D3612" s="1" t="s">
        <v>132</v>
      </c>
      <c r="E3612" s="2">
        <v>45982</v>
      </c>
      <c r="F3612" s="1" t="s">
        <v>53</v>
      </c>
      <c r="G3612" s="1" t="s">
        <v>133</v>
      </c>
      <c r="H3612" s="1" t="s">
        <v>88</v>
      </c>
      <c r="I3612" s="1">
        <v>1</v>
      </c>
      <c r="J3612" s="3">
        <v>17036</v>
      </c>
      <c r="K3612" s="3">
        <v>16256</v>
      </c>
      <c r="L3612" s="1">
        <v>0</v>
      </c>
      <c r="M3612" s="4">
        <v>0</v>
      </c>
      <c r="N3612" s="1">
        <v>780</v>
      </c>
      <c r="O3612" s="4">
        <v>4.5999999999999999E-2</v>
      </c>
      <c r="P3612" s="1" t="s">
        <v>2721</v>
      </c>
    </row>
    <row r="3613" spans="1:16">
      <c r="A3613" s="1" t="s">
        <v>15</v>
      </c>
      <c r="B3613" s="1">
        <v>11</v>
      </c>
      <c r="C3613" s="1" t="s">
        <v>7981</v>
      </c>
      <c r="D3613" s="1" t="s">
        <v>72</v>
      </c>
      <c r="E3613" s="2">
        <v>45982</v>
      </c>
      <c r="F3613" s="1" t="s">
        <v>63</v>
      </c>
      <c r="G3613" s="1" t="s">
        <v>73</v>
      </c>
      <c r="H3613" s="1" t="s">
        <v>74</v>
      </c>
      <c r="I3613" s="1">
        <v>1</v>
      </c>
      <c r="J3613" s="3">
        <v>10456</v>
      </c>
      <c r="K3613" s="3">
        <v>9978</v>
      </c>
      <c r="L3613" s="1">
        <v>0</v>
      </c>
      <c r="M3613" s="4">
        <v>0</v>
      </c>
      <c r="N3613" s="1">
        <v>478</v>
      </c>
      <c r="O3613" s="4">
        <v>4.5999999999999999E-2</v>
      </c>
      <c r="P3613" s="1" t="s">
        <v>2721</v>
      </c>
    </row>
    <row r="3614" spans="1:16">
      <c r="A3614" s="1" t="s">
        <v>15</v>
      </c>
      <c r="B3614" s="1">
        <v>11</v>
      </c>
      <c r="C3614" s="1" t="s">
        <v>7982</v>
      </c>
      <c r="D3614" s="1" t="s">
        <v>7983</v>
      </c>
      <c r="E3614" s="2">
        <v>45982</v>
      </c>
      <c r="F3614" s="1" t="s">
        <v>63</v>
      </c>
      <c r="G3614" s="1" t="s">
        <v>1792</v>
      </c>
      <c r="H3614" s="1" t="s">
        <v>1793</v>
      </c>
      <c r="I3614" s="1">
        <v>2</v>
      </c>
      <c r="J3614" s="3">
        <v>15571</v>
      </c>
      <c r="K3614" s="3">
        <v>14858</v>
      </c>
      <c r="L3614" s="1">
        <v>0</v>
      </c>
      <c r="M3614" s="4">
        <v>0</v>
      </c>
      <c r="N3614" s="1">
        <v>713</v>
      </c>
      <c r="O3614" s="4">
        <v>4.5999999999999999E-2</v>
      </c>
      <c r="P3614" s="1" t="s">
        <v>2721</v>
      </c>
    </row>
    <row r="3615" spans="1:16">
      <c r="A3615" s="1" t="s">
        <v>15</v>
      </c>
      <c r="B3615" s="1">
        <v>11</v>
      </c>
      <c r="C3615" s="1" t="s">
        <v>7984</v>
      </c>
      <c r="D3615" s="1" t="s">
        <v>238</v>
      </c>
      <c r="E3615" s="2">
        <v>45982</v>
      </c>
      <c r="F3615" s="1" t="s">
        <v>239</v>
      </c>
      <c r="G3615" s="1" t="s">
        <v>240</v>
      </c>
      <c r="H3615" s="1" t="s">
        <v>241</v>
      </c>
      <c r="I3615" s="1">
        <v>1</v>
      </c>
      <c r="J3615" s="3">
        <v>11305</v>
      </c>
      <c r="K3615" s="3">
        <v>10787</v>
      </c>
      <c r="L3615" s="1">
        <v>0</v>
      </c>
      <c r="M3615" s="4">
        <v>0</v>
      </c>
      <c r="N3615" s="1">
        <v>518</v>
      </c>
      <c r="O3615" s="4">
        <v>4.5999999999999999E-2</v>
      </c>
      <c r="P3615" s="1" t="s">
        <v>2721</v>
      </c>
    </row>
    <row r="3616" spans="1:16">
      <c r="A3616" s="1" t="s">
        <v>15</v>
      </c>
      <c r="B3616" s="1">
        <v>11</v>
      </c>
      <c r="C3616" s="1" t="s">
        <v>7985</v>
      </c>
      <c r="D3616" s="1" t="s">
        <v>221</v>
      </c>
      <c r="E3616" s="2">
        <v>45982</v>
      </c>
      <c r="F3616" s="1" t="s">
        <v>96</v>
      </c>
      <c r="G3616" s="1" t="s">
        <v>222</v>
      </c>
      <c r="H3616" s="1" t="s">
        <v>5793</v>
      </c>
      <c r="I3616" s="1">
        <v>1</v>
      </c>
      <c r="J3616" s="3">
        <v>12571</v>
      </c>
      <c r="K3616" s="3">
        <v>11995</v>
      </c>
      <c r="L3616" s="1">
        <v>0</v>
      </c>
      <c r="M3616" s="4">
        <v>0</v>
      </c>
      <c r="N3616" s="1">
        <v>576</v>
      </c>
      <c r="O3616" s="4">
        <v>4.5999999999999999E-2</v>
      </c>
      <c r="P3616" s="1" t="s">
        <v>2721</v>
      </c>
    </row>
    <row r="3617" spans="1:16">
      <c r="A3617" s="1" t="s">
        <v>15</v>
      </c>
      <c r="B3617" s="1">
        <v>11</v>
      </c>
      <c r="C3617" s="1" t="s">
        <v>7986</v>
      </c>
      <c r="D3617" s="1" t="s">
        <v>1049</v>
      </c>
      <c r="E3617" s="2">
        <v>45982</v>
      </c>
      <c r="F3617" s="1" t="s">
        <v>469</v>
      </c>
      <c r="G3617" s="1" t="s">
        <v>1050</v>
      </c>
      <c r="H3617" s="1" t="s">
        <v>1117</v>
      </c>
      <c r="I3617" s="1">
        <v>1</v>
      </c>
      <c r="J3617" s="3">
        <v>15728</v>
      </c>
      <c r="K3617" s="3">
        <v>15008</v>
      </c>
      <c r="L3617" s="1">
        <v>0</v>
      </c>
      <c r="M3617" s="4">
        <v>0</v>
      </c>
      <c r="N3617" s="1">
        <v>720</v>
      </c>
      <c r="O3617" s="4">
        <v>4.5999999999999999E-2</v>
      </c>
      <c r="P3617" s="1" t="s">
        <v>2721</v>
      </c>
    </row>
    <row r="3618" spans="1:16">
      <c r="A3618" s="1" t="s">
        <v>15</v>
      </c>
      <c r="B3618" s="1">
        <v>11</v>
      </c>
      <c r="C3618" s="1" t="s">
        <v>7987</v>
      </c>
      <c r="D3618" s="1" t="s">
        <v>169</v>
      </c>
      <c r="E3618" s="2">
        <v>45982</v>
      </c>
      <c r="F3618" s="1" t="s">
        <v>53</v>
      </c>
      <c r="G3618" s="1" t="s">
        <v>170</v>
      </c>
      <c r="H3618" s="1" t="s">
        <v>171</v>
      </c>
      <c r="I3618" s="1">
        <v>1</v>
      </c>
      <c r="J3618" s="3">
        <v>14332</v>
      </c>
      <c r="K3618" s="3">
        <v>13676</v>
      </c>
      <c r="L3618" s="1">
        <v>0</v>
      </c>
      <c r="M3618" s="4">
        <v>0</v>
      </c>
      <c r="N3618" s="1">
        <v>656</v>
      </c>
      <c r="O3618" s="4">
        <v>4.5999999999999999E-2</v>
      </c>
      <c r="P3618" s="1" t="s">
        <v>2721</v>
      </c>
    </row>
    <row r="3619" spans="1:16">
      <c r="A3619" s="1" t="s">
        <v>15</v>
      </c>
      <c r="B3619" s="1">
        <v>11</v>
      </c>
      <c r="C3619" s="1" t="s">
        <v>7988</v>
      </c>
      <c r="D3619" s="1" t="s">
        <v>7989</v>
      </c>
      <c r="E3619" s="2">
        <v>45982</v>
      </c>
      <c r="F3619" s="1" t="s">
        <v>2442</v>
      </c>
      <c r="G3619" s="1" t="s">
        <v>7990</v>
      </c>
      <c r="H3619" s="1" t="s">
        <v>7990</v>
      </c>
      <c r="I3619" s="1">
        <v>1</v>
      </c>
      <c r="J3619" s="3">
        <v>55048</v>
      </c>
      <c r="K3619" s="3">
        <v>52528</v>
      </c>
      <c r="L3619" s="1">
        <v>0</v>
      </c>
      <c r="M3619" s="4">
        <v>0</v>
      </c>
      <c r="N3619" s="3">
        <v>2520</v>
      </c>
      <c r="O3619" s="4">
        <v>4.5999999999999999E-2</v>
      </c>
      <c r="P3619" s="1" t="s">
        <v>2721</v>
      </c>
    </row>
    <row r="3620" spans="1:16">
      <c r="A3620" s="1" t="s">
        <v>15</v>
      </c>
      <c r="B3620" s="1">
        <v>11</v>
      </c>
      <c r="C3620" s="1" t="s">
        <v>7991</v>
      </c>
      <c r="D3620" s="1" t="s">
        <v>250</v>
      </c>
      <c r="E3620" s="2">
        <v>45982</v>
      </c>
      <c r="F3620" s="1" t="s">
        <v>251</v>
      </c>
      <c r="G3620" s="1" t="s">
        <v>252</v>
      </c>
      <c r="H3620" s="1" t="s">
        <v>3569</v>
      </c>
      <c r="I3620" s="1">
        <v>1</v>
      </c>
      <c r="J3620" s="3">
        <v>29392</v>
      </c>
      <c r="K3620" s="3">
        <v>28046</v>
      </c>
      <c r="L3620" s="1">
        <v>0</v>
      </c>
      <c r="M3620" s="4">
        <v>0</v>
      </c>
      <c r="N3620" s="3">
        <v>1346</v>
      </c>
      <c r="O3620" s="4">
        <v>4.5999999999999999E-2</v>
      </c>
      <c r="P3620" s="1" t="s">
        <v>2721</v>
      </c>
    </row>
    <row r="3621" spans="1:16">
      <c r="A3621" s="1" t="s">
        <v>15</v>
      </c>
      <c r="B3621" s="1">
        <v>11</v>
      </c>
      <c r="C3621" s="1" t="s">
        <v>7992</v>
      </c>
      <c r="D3621" s="1" t="s">
        <v>90</v>
      </c>
      <c r="E3621" s="2">
        <v>45982</v>
      </c>
      <c r="F3621" s="1" t="s">
        <v>91</v>
      </c>
      <c r="G3621" s="1" t="s">
        <v>92</v>
      </c>
      <c r="H3621" s="1" t="s">
        <v>456</v>
      </c>
      <c r="I3621" s="1">
        <v>1</v>
      </c>
      <c r="J3621" s="3">
        <v>6763</v>
      </c>
      <c r="K3621" s="3">
        <v>6453</v>
      </c>
      <c r="L3621" s="1">
        <v>0</v>
      </c>
      <c r="M3621" s="4">
        <v>0</v>
      </c>
      <c r="N3621" s="1">
        <v>310</v>
      </c>
      <c r="O3621" s="4">
        <v>4.5999999999999999E-2</v>
      </c>
      <c r="P3621" s="1" t="s">
        <v>2721</v>
      </c>
    </row>
    <row r="3622" spans="1:16">
      <c r="A3622" s="1" t="s">
        <v>15</v>
      </c>
      <c r="B3622" s="1">
        <v>11</v>
      </c>
      <c r="C3622" s="1" t="s">
        <v>7993</v>
      </c>
      <c r="D3622" s="1" t="s">
        <v>7630</v>
      </c>
      <c r="E3622" s="2">
        <v>45982</v>
      </c>
      <c r="F3622" s="1" t="s">
        <v>77</v>
      </c>
      <c r="G3622" s="1" t="s">
        <v>7631</v>
      </c>
      <c r="H3622" s="1" t="s">
        <v>7631</v>
      </c>
      <c r="I3622" s="1">
        <v>1</v>
      </c>
      <c r="J3622" s="3">
        <v>11231</v>
      </c>
      <c r="K3622" s="3">
        <v>10717</v>
      </c>
      <c r="L3622" s="1">
        <v>0</v>
      </c>
      <c r="M3622" s="4">
        <v>0</v>
      </c>
      <c r="N3622" s="1">
        <v>514</v>
      </c>
      <c r="O3622" s="4">
        <v>4.5999999999999999E-2</v>
      </c>
      <c r="P3622" s="1" t="s">
        <v>2721</v>
      </c>
    </row>
    <row r="3623" spans="1:16">
      <c r="A3623" s="1" t="s">
        <v>15</v>
      </c>
      <c r="B3623" s="1">
        <v>11</v>
      </c>
      <c r="C3623" s="1" t="s">
        <v>7993</v>
      </c>
      <c r="D3623" s="1" t="s">
        <v>3252</v>
      </c>
      <c r="E3623" s="2">
        <v>45982</v>
      </c>
      <c r="F3623" s="1" t="s">
        <v>77</v>
      </c>
      <c r="G3623" s="1" t="s">
        <v>3253</v>
      </c>
      <c r="H3623" s="1" t="s">
        <v>3253</v>
      </c>
      <c r="I3623" s="1">
        <v>1</v>
      </c>
      <c r="J3623" s="3">
        <v>11231</v>
      </c>
      <c r="K3623" s="3">
        <v>10717</v>
      </c>
      <c r="L3623" s="1">
        <v>0</v>
      </c>
      <c r="M3623" s="4">
        <v>0</v>
      </c>
      <c r="N3623" s="1">
        <v>514</v>
      </c>
      <c r="O3623" s="4">
        <v>4.5999999999999999E-2</v>
      </c>
      <c r="P3623" s="1" t="s">
        <v>2721</v>
      </c>
    </row>
    <row r="3624" spans="1:16">
      <c r="A3624" s="1" t="s">
        <v>15</v>
      </c>
      <c r="B3624" s="1">
        <v>11</v>
      </c>
      <c r="C3624" s="1" t="s">
        <v>7994</v>
      </c>
      <c r="D3624" s="1" t="s">
        <v>1173</v>
      </c>
      <c r="E3624" s="2">
        <v>45982</v>
      </c>
      <c r="F3624" s="1" t="s">
        <v>1075</v>
      </c>
      <c r="G3624" s="1" t="s">
        <v>1174</v>
      </c>
      <c r="H3624" s="1" t="s">
        <v>1175</v>
      </c>
      <c r="I3624" s="1">
        <v>1</v>
      </c>
      <c r="J3624" s="3">
        <v>14379</v>
      </c>
      <c r="K3624" s="3">
        <v>13721</v>
      </c>
      <c r="L3624" s="1">
        <v>0</v>
      </c>
      <c r="M3624" s="4">
        <v>0</v>
      </c>
      <c r="N3624" s="1">
        <v>658</v>
      </c>
      <c r="O3624" s="4">
        <v>4.5999999999999999E-2</v>
      </c>
      <c r="P3624" s="1" t="s">
        <v>2721</v>
      </c>
    </row>
    <row r="3625" spans="1:16">
      <c r="A3625" s="1" t="s">
        <v>15</v>
      </c>
      <c r="B3625" s="1">
        <v>11</v>
      </c>
      <c r="C3625" s="1" t="s">
        <v>7995</v>
      </c>
      <c r="D3625" s="1" t="s">
        <v>3337</v>
      </c>
      <c r="E3625" s="2">
        <v>45982</v>
      </c>
      <c r="F3625" s="1" t="s">
        <v>3338</v>
      </c>
      <c r="G3625" s="1" t="s">
        <v>3339</v>
      </c>
      <c r="H3625" s="1" t="s">
        <v>3340</v>
      </c>
      <c r="I3625" s="1">
        <v>1</v>
      </c>
      <c r="J3625" s="3">
        <v>29392</v>
      </c>
      <c r="K3625" s="3">
        <v>28046</v>
      </c>
      <c r="L3625" s="1">
        <v>0</v>
      </c>
      <c r="M3625" s="4">
        <v>0</v>
      </c>
      <c r="N3625" s="3">
        <v>1346</v>
      </c>
      <c r="O3625" s="4">
        <v>4.5999999999999999E-2</v>
      </c>
      <c r="P3625" s="1" t="s">
        <v>2721</v>
      </c>
    </row>
    <row r="3626" spans="1:16">
      <c r="A3626" s="1" t="s">
        <v>15</v>
      </c>
      <c r="B3626" s="1">
        <v>11</v>
      </c>
      <c r="C3626" s="1" t="s">
        <v>7996</v>
      </c>
      <c r="D3626" s="1" t="s">
        <v>7997</v>
      </c>
      <c r="E3626" s="2">
        <v>45982</v>
      </c>
      <c r="F3626" s="1" t="s">
        <v>783</v>
      </c>
      <c r="G3626" s="1" t="s">
        <v>7998</v>
      </c>
      <c r="H3626" s="1" t="s">
        <v>7999</v>
      </c>
      <c r="I3626" s="1">
        <v>1</v>
      </c>
      <c r="J3626" s="3">
        <v>29490</v>
      </c>
      <c r="K3626" s="3">
        <v>28140</v>
      </c>
      <c r="L3626" s="1">
        <v>0</v>
      </c>
      <c r="M3626" s="4">
        <v>0</v>
      </c>
      <c r="N3626" s="3">
        <v>1350</v>
      </c>
      <c r="O3626" s="4">
        <v>4.5999999999999999E-2</v>
      </c>
      <c r="P3626" s="1" t="s">
        <v>2721</v>
      </c>
    </row>
    <row r="3627" spans="1:16">
      <c r="A3627" s="1" t="s">
        <v>15</v>
      </c>
      <c r="B3627" s="1">
        <v>11</v>
      </c>
      <c r="C3627" s="1" t="s">
        <v>8000</v>
      </c>
      <c r="D3627" s="1" t="s">
        <v>2334</v>
      </c>
      <c r="E3627" s="2">
        <v>45982</v>
      </c>
      <c r="F3627" s="1" t="s">
        <v>261</v>
      </c>
      <c r="G3627" s="1" t="s">
        <v>2335</v>
      </c>
      <c r="H3627" s="1" t="s">
        <v>2336</v>
      </c>
      <c r="I3627" s="1">
        <v>1</v>
      </c>
      <c r="J3627" s="3">
        <v>25558</v>
      </c>
      <c r="K3627" s="3">
        <v>24388</v>
      </c>
      <c r="L3627" s="1">
        <v>0</v>
      </c>
      <c r="M3627" s="4">
        <v>0</v>
      </c>
      <c r="N3627" s="3">
        <v>1170</v>
      </c>
      <c r="O3627" s="4">
        <v>4.5999999999999999E-2</v>
      </c>
      <c r="P3627" s="1" t="s">
        <v>2721</v>
      </c>
    </row>
    <row r="3628" spans="1:16">
      <c r="A3628" s="1" t="s">
        <v>15</v>
      </c>
      <c r="B3628" s="1">
        <v>11</v>
      </c>
      <c r="C3628" s="1" t="s">
        <v>8001</v>
      </c>
      <c r="D3628" s="1" t="s">
        <v>2836</v>
      </c>
      <c r="E3628" s="2">
        <v>45982</v>
      </c>
      <c r="F3628" s="1" t="s">
        <v>96</v>
      </c>
      <c r="G3628" s="1" t="s">
        <v>2837</v>
      </c>
      <c r="H3628" s="1" t="s">
        <v>2838</v>
      </c>
      <c r="I3628" s="1">
        <v>1</v>
      </c>
      <c r="J3628" s="3">
        <v>8953</v>
      </c>
      <c r="K3628" s="3">
        <v>8543</v>
      </c>
      <c r="L3628" s="1">
        <v>0</v>
      </c>
      <c r="M3628" s="4">
        <v>0</v>
      </c>
      <c r="N3628" s="1">
        <v>410</v>
      </c>
      <c r="O3628" s="4">
        <v>4.5999999999999999E-2</v>
      </c>
      <c r="P3628" s="1" t="s">
        <v>2721</v>
      </c>
    </row>
    <row r="3629" spans="1:16">
      <c r="A3629" s="1" t="s">
        <v>15</v>
      </c>
      <c r="B3629" s="1">
        <v>11</v>
      </c>
      <c r="C3629" s="1" t="s">
        <v>8002</v>
      </c>
      <c r="D3629" s="1" t="s">
        <v>777</v>
      </c>
      <c r="E3629" s="2">
        <v>45982</v>
      </c>
      <c r="F3629" s="1" t="s">
        <v>256</v>
      </c>
      <c r="G3629" s="1" t="s">
        <v>778</v>
      </c>
      <c r="H3629" s="1" t="s">
        <v>779</v>
      </c>
      <c r="I3629" s="1">
        <v>1</v>
      </c>
      <c r="J3629" s="3">
        <v>11010</v>
      </c>
      <c r="K3629" s="3">
        <v>10506</v>
      </c>
      <c r="L3629" s="1">
        <v>0</v>
      </c>
      <c r="M3629" s="4">
        <v>0</v>
      </c>
      <c r="N3629" s="1">
        <v>504</v>
      </c>
      <c r="O3629" s="4">
        <v>4.5999999999999999E-2</v>
      </c>
      <c r="P3629" s="1" t="s">
        <v>2721</v>
      </c>
    </row>
    <row r="3630" spans="1:16">
      <c r="A3630" s="1" t="s">
        <v>15</v>
      </c>
      <c r="B3630" s="1">
        <v>11</v>
      </c>
      <c r="C3630" s="1" t="s">
        <v>8003</v>
      </c>
      <c r="D3630" s="1" t="s">
        <v>5092</v>
      </c>
      <c r="E3630" s="2">
        <v>45982</v>
      </c>
      <c r="F3630" s="1" t="s">
        <v>347</v>
      </c>
      <c r="G3630" s="1" t="s">
        <v>5093</v>
      </c>
      <c r="H3630" s="1" t="s">
        <v>5278</v>
      </c>
      <c r="I3630" s="1">
        <v>1</v>
      </c>
      <c r="J3630" s="3">
        <v>22118</v>
      </c>
      <c r="K3630" s="3">
        <v>21105</v>
      </c>
      <c r="L3630" s="1">
        <v>0</v>
      </c>
      <c r="M3630" s="4">
        <v>0</v>
      </c>
      <c r="N3630" s="3">
        <v>1013</v>
      </c>
      <c r="O3630" s="4">
        <v>4.5999999999999999E-2</v>
      </c>
      <c r="P3630" s="1" t="s">
        <v>2721</v>
      </c>
    </row>
    <row r="3631" spans="1:16">
      <c r="A3631" s="1" t="s">
        <v>577</v>
      </c>
      <c r="B3631" s="1">
        <v>11</v>
      </c>
      <c r="C3631" s="1" t="s">
        <v>8004</v>
      </c>
      <c r="D3631" s="1" t="s">
        <v>3172</v>
      </c>
      <c r="E3631" s="2">
        <v>45982</v>
      </c>
      <c r="F3631" s="1" t="s">
        <v>421</v>
      </c>
      <c r="G3631" s="1" t="s">
        <v>3173</v>
      </c>
      <c r="H3631" s="1" t="s">
        <v>3174</v>
      </c>
      <c r="I3631" s="1">
        <v>1</v>
      </c>
      <c r="J3631" s="3">
        <v>8552</v>
      </c>
      <c r="K3631" s="3">
        <v>8161</v>
      </c>
      <c r="L3631" s="1">
        <v>0</v>
      </c>
      <c r="M3631" s="4">
        <v>0</v>
      </c>
      <c r="N3631" s="1">
        <v>391</v>
      </c>
      <c r="O3631" s="4">
        <v>4.5999999999999999E-2</v>
      </c>
      <c r="P3631" s="1" t="s">
        <v>2721</v>
      </c>
    </row>
    <row r="3632" spans="1:16">
      <c r="A3632" s="1" t="s">
        <v>577</v>
      </c>
      <c r="B3632" s="1">
        <v>11</v>
      </c>
      <c r="C3632" s="1" t="s">
        <v>8005</v>
      </c>
      <c r="D3632" s="1" t="s">
        <v>8006</v>
      </c>
      <c r="E3632" s="2">
        <v>45982</v>
      </c>
      <c r="F3632" s="1" t="s">
        <v>126</v>
      </c>
      <c r="G3632" s="1" t="s">
        <v>127</v>
      </c>
      <c r="H3632" s="1" t="s">
        <v>128</v>
      </c>
      <c r="I3632" s="1">
        <v>1</v>
      </c>
      <c r="J3632" s="3">
        <v>13959</v>
      </c>
      <c r="K3632" s="3">
        <v>13320</v>
      </c>
      <c r="L3632" s="1">
        <v>0</v>
      </c>
      <c r="M3632" s="4">
        <v>0</v>
      </c>
      <c r="N3632" s="1">
        <v>639</v>
      </c>
      <c r="O3632" s="4">
        <v>4.5999999999999999E-2</v>
      </c>
      <c r="P3632" s="1" t="s">
        <v>2721</v>
      </c>
    </row>
    <row r="3633" spans="1:16">
      <c r="A3633" s="1" t="s">
        <v>577</v>
      </c>
      <c r="B3633" s="1">
        <v>11</v>
      </c>
      <c r="C3633" s="1" t="s">
        <v>8007</v>
      </c>
      <c r="D3633" s="1" t="s">
        <v>3141</v>
      </c>
      <c r="E3633" s="2">
        <v>45982</v>
      </c>
      <c r="F3633" s="1" t="s">
        <v>235</v>
      </c>
      <c r="G3633" s="1" t="s">
        <v>3142</v>
      </c>
      <c r="H3633" s="1" t="s">
        <v>3143</v>
      </c>
      <c r="I3633" s="1">
        <v>1</v>
      </c>
      <c r="J3633" s="3">
        <v>12250</v>
      </c>
      <c r="K3633" s="3">
        <v>11689</v>
      </c>
      <c r="L3633" s="1">
        <v>0</v>
      </c>
      <c r="M3633" s="4">
        <v>0</v>
      </c>
      <c r="N3633" s="1">
        <v>561</v>
      </c>
      <c r="O3633" s="4">
        <v>4.5999999999999999E-2</v>
      </c>
      <c r="P3633" s="1" t="s">
        <v>2721</v>
      </c>
    </row>
    <row r="3634" spans="1:16">
      <c r="A3634" s="1" t="s">
        <v>577</v>
      </c>
      <c r="B3634" s="1">
        <v>11</v>
      </c>
      <c r="C3634" s="1" t="s">
        <v>8008</v>
      </c>
      <c r="D3634" s="1" t="s">
        <v>1839</v>
      </c>
      <c r="E3634" s="2">
        <v>45982</v>
      </c>
      <c r="F3634" s="1" t="s">
        <v>256</v>
      </c>
      <c r="G3634" s="1" t="s">
        <v>1303</v>
      </c>
      <c r="H3634" s="1" t="s">
        <v>1304</v>
      </c>
      <c r="I3634" s="1">
        <v>1</v>
      </c>
      <c r="J3634" s="3">
        <v>4944</v>
      </c>
      <c r="K3634" s="3">
        <v>4718</v>
      </c>
      <c r="L3634" s="1">
        <v>0</v>
      </c>
      <c r="M3634" s="4">
        <v>0</v>
      </c>
      <c r="N3634" s="1">
        <v>226</v>
      </c>
      <c r="O3634" s="4">
        <v>4.5999999999999999E-2</v>
      </c>
      <c r="P3634" s="1" t="s">
        <v>2721</v>
      </c>
    </row>
    <row r="3635" spans="1:16">
      <c r="A3635" s="1" t="s">
        <v>577</v>
      </c>
      <c r="B3635" s="1">
        <v>11</v>
      </c>
      <c r="C3635" s="1" t="s">
        <v>8009</v>
      </c>
      <c r="D3635" s="1" t="s">
        <v>1741</v>
      </c>
      <c r="E3635" s="2">
        <v>45982</v>
      </c>
      <c r="F3635" s="1" t="s">
        <v>500</v>
      </c>
      <c r="G3635" s="1" t="s">
        <v>900</v>
      </c>
      <c r="H3635" s="1" t="s">
        <v>1678</v>
      </c>
      <c r="I3635" s="1">
        <v>1</v>
      </c>
      <c r="J3635" s="3">
        <v>102702</v>
      </c>
      <c r="K3635" s="3">
        <v>98000</v>
      </c>
      <c r="L3635" s="1">
        <v>0</v>
      </c>
      <c r="M3635" s="4">
        <v>0</v>
      </c>
      <c r="N3635" s="3">
        <v>4702</v>
      </c>
      <c r="O3635" s="4">
        <v>4.5999999999999999E-2</v>
      </c>
      <c r="P3635" s="1" t="s">
        <v>2721</v>
      </c>
    </row>
    <row r="3636" spans="1:16">
      <c r="A3636" s="1" t="s">
        <v>577</v>
      </c>
      <c r="B3636" s="1">
        <v>11</v>
      </c>
      <c r="C3636" s="1" t="s">
        <v>8010</v>
      </c>
      <c r="D3636" s="1" t="s">
        <v>1826</v>
      </c>
      <c r="E3636" s="2">
        <v>45982</v>
      </c>
      <c r="F3636" s="1" t="s">
        <v>500</v>
      </c>
      <c r="G3636" s="1" t="s">
        <v>1827</v>
      </c>
      <c r="H3636" s="1" t="s">
        <v>1828</v>
      </c>
      <c r="I3636" s="1">
        <v>1</v>
      </c>
      <c r="J3636" s="3">
        <v>141099</v>
      </c>
      <c r="K3636" s="3">
        <v>134640</v>
      </c>
      <c r="L3636" s="1">
        <v>0</v>
      </c>
      <c r="M3636" s="4">
        <v>0</v>
      </c>
      <c r="N3636" s="3">
        <v>6459</v>
      </c>
      <c r="O3636" s="4">
        <v>4.5999999999999999E-2</v>
      </c>
      <c r="P3636" s="1" t="s">
        <v>2721</v>
      </c>
    </row>
    <row r="3637" spans="1:16">
      <c r="A3637" s="1" t="s">
        <v>577</v>
      </c>
      <c r="B3637" s="1">
        <v>11</v>
      </c>
      <c r="C3637" s="1" t="s">
        <v>8011</v>
      </c>
      <c r="D3637" s="1" t="s">
        <v>8012</v>
      </c>
      <c r="E3637" s="2">
        <v>45982</v>
      </c>
      <c r="F3637" s="1" t="s">
        <v>368</v>
      </c>
      <c r="G3637" s="1" t="s">
        <v>1386</v>
      </c>
      <c r="H3637" s="1" t="s">
        <v>1387</v>
      </c>
      <c r="I3637" s="1">
        <v>1</v>
      </c>
      <c r="J3637" s="3">
        <v>8953</v>
      </c>
      <c r="K3637" s="3">
        <v>8543</v>
      </c>
      <c r="L3637" s="1">
        <v>0</v>
      </c>
      <c r="M3637" s="4">
        <v>0</v>
      </c>
      <c r="N3637" s="1">
        <v>410</v>
      </c>
      <c r="O3637" s="4">
        <v>4.5999999999999999E-2</v>
      </c>
      <c r="P3637" s="1" t="s">
        <v>2721</v>
      </c>
    </row>
    <row r="3638" spans="1:16">
      <c r="A3638" s="1" t="s">
        <v>577</v>
      </c>
      <c r="B3638" s="1">
        <v>11</v>
      </c>
      <c r="C3638" s="1" t="s">
        <v>8013</v>
      </c>
      <c r="D3638" s="1" t="s">
        <v>1784</v>
      </c>
      <c r="E3638" s="2">
        <v>45982</v>
      </c>
      <c r="F3638" s="1" t="s">
        <v>256</v>
      </c>
      <c r="G3638" s="1" t="s">
        <v>778</v>
      </c>
      <c r="H3638" s="1" t="s">
        <v>779</v>
      </c>
      <c r="I3638" s="1">
        <v>1</v>
      </c>
      <c r="J3638" s="3">
        <v>11010</v>
      </c>
      <c r="K3638" s="3">
        <v>10506</v>
      </c>
      <c r="L3638" s="1">
        <v>0</v>
      </c>
      <c r="M3638" s="4">
        <v>0</v>
      </c>
      <c r="N3638" s="1">
        <v>504</v>
      </c>
      <c r="O3638" s="4">
        <v>4.5999999999999999E-2</v>
      </c>
      <c r="P3638" s="1" t="s">
        <v>2721</v>
      </c>
    </row>
    <row r="3639" spans="1:16">
      <c r="A3639" s="1" t="s">
        <v>577</v>
      </c>
      <c r="B3639" s="1">
        <v>11</v>
      </c>
      <c r="C3639" s="1" t="s">
        <v>8014</v>
      </c>
      <c r="D3639" s="1" t="s">
        <v>8015</v>
      </c>
      <c r="E3639" s="2">
        <v>45982</v>
      </c>
      <c r="F3639" s="1" t="s">
        <v>1772</v>
      </c>
      <c r="G3639" s="1" t="s">
        <v>3233</v>
      </c>
      <c r="H3639" s="1" t="s">
        <v>3234</v>
      </c>
      <c r="I3639" s="1">
        <v>1</v>
      </c>
      <c r="J3639" s="3">
        <v>29077</v>
      </c>
      <c r="K3639" s="3">
        <v>27746</v>
      </c>
      <c r="L3639" s="1">
        <v>0</v>
      </c>
      <c r="M3639" s="4">
        <v>0</v>
      </c>
      <c r="N3639" s="3">
        <v>1331</v>
      </c>
      <c r="O3639" s="4">
        <v>4.5999999999999999E-2</v>
      </c>
      <c r="P3639" s="1" t="s">
        <v>2721</v>
      </c>
    </row>
    <row r="3640" spans="1:16">
      <c r="A3640" s="1" t="s">
        <v>577</v>
      </c>
      <c r="B3640" s="1">
        <v>11</v>
      </c>
      <c r="C3640" s="1" t="s">
        <v>8016</v>
      </c>
      <c r="D3640" s="1" t="s">
        <v>8017</v>
      </c>
      <c r="E3640" s="2">
        <v>45982</v>
      </c>
      <c r="F3640" s="1" t="s">
        <v>4309</v>
      </c>
      <c r="G3640" s="1" t="s">
        <v>6185</v>
      </c>
      <c r="H3640" s="1" t="s">
        <v>6186</v>
      </c>
      <c r="I3640" s="1">
        <v>1</v>
      </c>
      <c r="J3640" s="3">
        <v>12386</v>
      </c>
      <c r="K3640" s="3">
        <v>11819</v>
      </c>
      <c r="L3640" s="1">
        <v>0</v>
      </c>
      <c r="M3640" s="4">
        <v>0</v>
      </c>
      <c r="N3640" s="1">
        <v>567</v>
      </c>
      <c r="O3640" s="4">
        <v>4.5999999999999999E-2</v>
      </c>
      <c r="P3640" s="1" t="s">
        <v>2721</v>
      </c>
    </row>
    <row r="3641" spans="1:16">
      <c r="A3641" s="1" t="s">
        <v>577</v>
      </c>
      <c r="B3641" s="1">
        <v>11</v>
      </c>
      <c r="C3641" s="1" t="s">
        <v>8018</v>
      </c>
      <c r="D3641" s="1" t="s">
        <v>8019</v>
      </c>
      <c r="E3641" s="2">
        <v>45982</v>
      </c>
      <c r="F3641" s="1" t="s">
        <v>235</v>
      </c>
      <c r="G3641" s="1" t="s">
        <v>288</v>
      </c>
      <c r="H3641" s="1" t="s">
        <v>289</v>
      </c>
      <c r="I3641" s="1">
        <v>1</v>
      </c>
      <c r="J3641" s="3">
        <v>14647</v>
      </c>
      <c r="K3641" s="3">
        <v>13976</v>
      </c>
      <c r="L3641" s="1">
        <v>0</v>
      </c>
      <c r="M3641" s="4">
        <v>0</v>
      </c>
      <c r="N3641" s="1">
        <v>671</v>
      </c>
      <c r="O3641" s="4">
        <v>4.5999999999999999E-2</v>
      </c>
      <c r="P3641" s="1" t="s">
        <v>2721</v>
      </c>
    </row>
    <row r="3642" spans="1:16">
      <c r="A3642" s="1" t="s">
        <v>577</v>
      </c>
      <c r="B3642" s="1">
        <v>11</v>
      </c>
      <c r="C3642" s="1" t="s">
        <v>8018</v>
      </c>
      <c r="D3642" s="1" t="s">
        <v>8019</v>
      </c>
      <c r="E3642" s="2">
        <v>45982</v>
      </c>
      <c r="F3642" s="1" t="s">
        <v>235</v>
      </c>
      <c r="G3642" s="1" t="s">
        <v>288</v>
      </c>
      <c r="H3642" s="1" t="s">
        <v>8020</v>
      </c>
      <c r="I3642" s="1">
        <v>1</v>
      </c>
      <c r="J3642" s="3">
        <v>14647</v>
      </c>
      <c r="K3642" s="3">
        <v>13976</v>
      </c>
      <c r="L3642" s="1">
        <v>0</v>
      </c>
      <c r="M3642" s="4">
        <v>0</v>
      </c>
      <c r="N3642" s="1">
        <v>671</v>
      </c>
      <c r="O3642" s="4">
        <v>4.5999999999999999E-2</v>
      </c>
      <c r="P3642" s="1" t="s">
        <v>2721</v>
      </c>
    </row>
    <row r="3643" spans="1:16">
      <c r="A3643" s="1" t="s">
        <v>577</v>
      </c>
      <c r="B3643" s="1">
        <v>11</v>
      </c>
      <c r="C3643" s="1" t="s">
        <v>8021</v>
      </c>
      <c r="D3643" s="1" t="s">
        <v>8022</v>
      </c>
      <c r="E3643" s="2">
        <v>45982</v>
      </c>
      <c r="F3643" s="1" t="s">
        <v>4309</v>
      </c>
      <c r="G3643" s="1" t="s">
        <v>8023</v>
      </c>
      <c r="H3643" s="1" t="s">
        <v>8024</v>
      </c>
      <c r="I3643" s="1">
        <v>1</v>
      </c>
      <c r="J3643" s="3">
        <v>17104</v>
      </c>
      <c r="K3643" s="3">
        <v>16321</v>
      </c>
      <c r="L3643" s="1">
        <v>0</v>
      </c>
      <c r="M3643" s="4">
        <v>0</v>
      </c>
      <c r="N3643" s="1">
        <v>783</v>
      </c>
      <c r="O3643" s="4">
        <v>4.5999999999999999E-2</v>
      </c>
      <c r="P3643" s="1" t="s">
        <v>2721</v>
      </c>
    </row>
    <row r="3644" spans="1:16">
      <c r="A3644" s="1" t="s">
        <v>577</v>
      </c>
      <c r="B3644" s="1">
        <v>11</v>
      </c>
      <c r="C3644" s="1" t="s">
        <v>8025</v>
      </c>
      <c r="D3644" s="1" t="s">
        <v>8026</v>
      </c>
      <c r="E3644" s="2">
        <v>45982</v>
      </c>
      <c r="F3644" s="1" t="s">
        <v>1075</v>
      </c>
      <c r="G3644" s="1" t="s">
        <v>3700</v>
      </c>
      <c r="H3644" s="1" t="s">
        <v>8027</v>
      </c>
      <c r="I3644" s="1">
        <v>1</v>
      </c>
      <c r="J3644" s="3">
        <v>15040</v>
      </c>
      <c r="K3644" s="3">
        <v>14351</v>
      </c>
      <c r="L3644" s="1">
        <v>0</v>
      </c>
      <c r="M3644" s="4">
        <v>0</v>
      </c>
      <c r="N3644" s="1">
        <v>689</v>
      </c>
      <c r="O3644" s="4">
        <v>4.5999999999999999E-2</v>
      </c>
      <c r="P3644" s="1" t="s">
        <v>2721</v>
      </c>
    </row>
    <row r="3645" spans="1:16">
      <c r="A3645" s="1" t="s">
        <v>577</v>
      </c>
      <c r="B3645" s="1">
        <v>11</v>
      </c>
      <c r="C3645" s="1" t="s">
        <v>8025</v>
      </c>
      <c r="D3645" s="1" t="s">
        <v>8026</v>
      </c>
      <c r="E3645" s="2">
        <v>45982</v>
      </c>
      <c r="F3645" s="1" t="s">
        <v>1075</v>
      </c>
      <c r="G3645" s="1" t="s">
        <v>3700</v>
      </c>
      <c r="H3645" s="1" t="s">
        <v>3701</v>
      </c>
      <c r="I3645" s="1">
        <v>1</v>
      </c>
      <c r="J3645" s="3">
        <v>15040</v>
      </c>
      <c r="K3645" s="3">
        <v>14351</v>
      </c>
      <c r="L3645" s="1">
        <v>0</v>
      </c>
      <c r="M3645" s="4">
        <v>0</v>
      </c>
      <c r="N3645" s="1">
        <v>689</v>
      </c>
      <c r="O3645" s="4">
        <v>4.5999999999999999E-2</v>
      </c>
      <c r="P3645" s="1" t="s">
        <v>2721</v>
      </c>
    </row>
    <row r="3646" spans="1:16">
      <c r="A3646" s="1" t="s">
        <v>577</v>
      </c>
      <c r="B3646" s="1">
        <v>11</v>
      </c>
      <c r="C3646" s="1" t="s">
        <v>8028</v>
      </c>
      <c r="D3646" s="1" t="s">
        <v>2616</v>
      </c>
      <c r="E3646" s="2">
        <v>45982</v>
      </c>
      <c r="F3646" s="1" t="s">
        <v>407</v>
      </c>
      <c r="G3646" s="1" t="s">
        <v>961</v>
      </c>
      <c r="H3646" s="1" t="s">
        <v>2830</v>
      </c>
      <c r="I3646" s="1">
        <v>1</v>
      </c>
      <c r="J3646" s="3">
        <v>16711</v>
      </c>
      <c r="K3646" s="3">
        <v>15946</v>
      </c>
      <c r="L3646" s="1">
        <v>0</v>
      </c>
      <c r="M3646" s="4">
        <v>0</v>
      </c>
      <c r="N3646" s="1">
        <v>765</v>
      </c>
      <c r="O3646" s="4">
        <v>4.5999999999999999E-2</v>
      </c>
      <c r="P3646" s="1" t="s">
        <v>2721</v>
      </c>
    </row>
    <row r="3647" spans="1:16">
      <c r="A3647" s="1" t="s">
        <v>602</v>
      </c>
      <c r="B3647" s="1">
        <v>11</v>
      </c>
      <c r="C3647" s="1">
        <v>10100153949702</v>
      </c>
      <c r="D3647" s="1" t="s">
        <v>603</v>
      </c>
      <c r="E3647" s="2">
        <v>45982</v>
      </c>
      <c r="F3647" s="1" t="s">
        <v>604</v>
      </c>
      <c r="G3647" s="1" t="s">
        <v>605</v>
      </c>
      <c r="H3647" s="1" t="s">
        <v>606</v>
      </c>
      <c r="I3647" s="1">
        <v>5</v>
      </c>
      <c r="J3647" s="3">
        <v>49800</v>
      </c>
      <c r="K3647" s="3">
        <v>38250</v>
      </c>
      <c r="L3647" s="3">
        <v>5777</v>
      </c>
      <c r="M3647" s="4">
        <v>0.11600000000000001</v>
      </c>
      <c r="N3647" s="3">
        <v>5773</v>
      </c>
      <c r="O3647" s="4">
        <v>0.11600000000000001</v>
      </c>
      <c r="P3647" s="1" t="s">
        <v>2721</v>
      </c>
    </row>
    <row r="3648" spans="1:16">
      <c r="A3648" s="1" t="s">
        <v>602</v>
      </c>
      <c r="B3648" s="1">
        <v>11</v>
      </c>
      <c r="C3648" s="1">
        <v>14100154308606</v>
      </c>
      <c r="D3648" s="1" t="s">
        <v>610</v>
      </c>
      <c r="E3648" s="2">
        <v>45982</v>
      </c>
      <c r="F3648" s="1" t="s">
        <v>604</v>
      </c>
      <c r="G3648" s="1" t="s">
        <v>611</v>
      </c>
      <c r="H3648" s="1" t="s">
        <v>3412</v>
      </c>
      <c r="I3648" s="1">
        <v>6</v>
      </c>
      <c r="J3648" s="3">
        <v>67600</v>
      </c>
      <c r="K3648" s="3">
        <v>45400</v>
      </c>
      <c r="L3648" s="3">
        <v>7842</v>
      </c>
      <c r="M3648" s="4">
        <v>0.11600000000000001</v>
      </c>
      <c r="N3648" s="3">
        <v>14358</v>
      </c>
      <c r="O3648" s="4">
        <v>0.21199999999999999</v>
      </c>
      <c r="P3648" s="1" t="s">
        <v>2721</v>
      </c>
    </row>
    <row r="3649" spans="1:16">
      <c r="A3649" s="1" t="s">
        <v>602</v>
      </c>
      <c r="B3649" s="1">
        <v>11</v>
      </c>
      <c r="C3649" s="1">
        <v>15100154346805</v>
      </c>
      <c r="D3649" s="1" t="s">
        <v>2629</v>
      </c>
      <c r="E3649" s="2">
        <v>45982</v>
      </c>
      <c r="F3649" s="1" t="s">
        <v>604</v>
      </c>
      <c r="G3649" s="1" t="s">
        <v>2630</v>
      </c>
      <c r="H3649" s="1" t="s">
        <v>8029</v>
      </c>
      <c r="I3649" s="1">
        <v>15</v>
      </c>
      <c r="J3649" s="3">
        <v>200700</v>
      </c>
      <c r="K3649" s="3">
        <v>151000</v>
      </c>
      <c r="L3649" s="3">
        <v>23281</v>
      </c>
      <c r="M3649" s="4">
        <v>0.11600000000000001</v>
      </c>
      <c r="N3649" s="3">
        <v>26419</v>
      </c>
      <c r="O3649" s="4">
        <v>0.13200000000000001</v>
      </c>
      <c r="P3649" s="1" t="s">
        <v>2721</v>
      </c>
    </row>
    <row r="3650" spans="1:16">
      <c r="A3650" s="1" t="s">
        <v>616</v>
      </c>
      <c r="B3650" s="1">
        <v>11</v>
      </c>
      <c r="C3650" s="1">
        <v>2025112155181620</v>
      </c>
      <c r="D3650" s="1" t="s">
        <v>621</v>
      </c>
      <c r="E3650" s="2">
        <v>45982</v>
      </c>
      <c r="F3650" s="1" t="s">
        <v>604</v>
      </c>
      <c r="G3650" s="1" t="s">
        <v>622</v>
      </c>
      <c r="H3650" s="1" t="s">
        <v>3413</v>
      </c>
      <c r="I3650" s="1">
        <v>1</v>
      </c>
      <c r="J3650" s="3">
        <v>8800</v>
      </c>
      <c r="K3650" s="3">
        <v>3675</v>
      </c>
      <c r="L3650" s="1">
        <v>352</v>
      </c>
      <c r="M3650" s="4">
        <v>0.04</v>
      </c>
      <c r="N3650" s="3">
        <v>4773</v>
      </c>
      <c r="O3650" s="4">
        <v>0.54200000000000004</v>
      </c>
      <c r="P3650" s="1" t="s">
        <v>2721</v>
      </c>
    </row>
    <row r="3651" spans="1:16">
      <c r="A3651" s="1" t="s">
        <v>626</v>
      </c>
      <c r="B3651" s="1">
        <v>11</v>
      </c>
      <c r="C3651" s="1">
        <v>69335806</v>
      </c>
      <c r="D3651" s="1" t="s">
        <v>627</v>
      </c>
      <c r="E3651" s="2">
        <v>45982</v>
      </c>
      <c r="F3651" s="1" t="s">
        <v>604</v>
      </c>
      <c r="G3651" s="1" t="s">
        <v>628</v>
      </c>
      <c r="H3651" s="1" t="s">
        <v>2271</v>
      </c>
      <c r="I3651" s="1">
        <v>2</v>
      </c>
      <c r="J3651" s="3">
        <v>12800</v>
      </c>
      <c r="K3651" s="3">
        <v>3600</v>
      </c>
      <c r="L3651" s="3">
        <v>1408</v>
      </c>
      <c r="M3651" s="4">
        <v>0.11</v>
      </c>
      <c r="N3651" s="3">
        <v>7792</v>
      </c>
      <c r="O3651" s="4">
        <v>0.60899999999999999</v>
      </c>
      <c r="P3651" s="1" t="s">
        <v>2721</v>
      </c>
    </row>
    <row r="3652" spans="1:16">
      <c r="A3652" s="1" t="s">
        <v>626</v>
      </c>
      <c r="B3652" s="1">
        <v>11</v>
      </c>
      <c r="C3652" s="1">
        <v>69326665</v>
      </c>
      <c r="D3652" s="1" t="s">
        <v>627</v>
      </c>
      <c r="E3652" s="2">
        <v>45982</v>
      </c>
      <c r="F3652" s="1" t="s">
        <v>604</v>
      </c>
      <c r="G3652" s="1" t="s">
        <v>628</v>
      </c>
      <c r="H3652" s="1" t="s">
        <v>629</v>
      </c>
      <c r="I3652" s="1">
        <v>1</v>
      </c>
      <c r="J3652" s="3">
        <v>8000</v>
      </c>
      <c r="K3652" s="3">
        <v>1800</v>
      </c>
      <c r="L3652" s="1">
        <v>880</v>
      </c>
      <c r="M3652" s="4">
        <v>0.11</v>
      </c>
      <c r="N3652" s="3">
        <v>5320</v>
      </c>
      <c r="O3652" s="4">
        <v>0.66500000000000004</v>
      </c>
      <c r="P3652" s="1" t="s">
        <v>2721</v>
      </c>
    </row>
    <row r="3653" spans="1:16">
      <c r="A3653" s="1" t="s">
        <v>626</v>
      </c>
      <c r="B3653" s="1">
        <v>11</v>
      </c>
      <c r="C3653" s="1">
        <v>69326313</v>
      </c>
      <c r="D3653" s="1" t="s">
        <v>627</v>
      </c>
      <c r="E3653" s="2">
        <v>45982</v>
      </c>
      <c r="F3653" s="1" t="s">
        <v>604</v>
      </c>
      <c r="G3653" s="1" t="s">
        <v>628</v>
      </c>
      <c r="H3653" s="1" t="s">
        <v>629</v>
      </c>
      <c r="I3653" s="1">
        <v>1</v>
      </c>
      <c r="J3653" s="3">
        <v>8000</v>
      </c>
      <c r="K3653" s="3">
        <v>1800</v>
      </c>
      <c r="L3653" s="1">
        <v>880</v>
      </c>
      <c r="M3653" s="4">
        <v>0.11</v>
      </c>
      <c r="N3653" s="3">
        <v>5320</v>
      </c>
      <c r="O3653" s="4">
        <v>0.66500000000000004</v>
      </c>
      <c r="P3653" s="1" t="s">
        <v>2721</v>
      </c>
    </row>
    <row r="3654" spans="1:16">
      <c r="A3654" s="1" t="s">
        <v>630</v>
      </c>
      <c r="B3654" s="1">
        <v>11</v>
      </c>
      <c r="C3654" s="1">
        <v>1117434305869600</v>
      </c>
      <c r="D3654" s="1" t="s">
        <v>627</v>
      </c>
      <c r="E3654" s="2">
        <v>45982</v>
      </c>
      <c r="F3654" s="1" t="s">
        <v>604</v>
      </c>
      <c r="G3654" s="1" t="s">
        <v>628</v>
      </c>
      <c r="H3654" s="1" t="s">
        <v>1848</v>
      </c>
      <c r="I3654" s="1">
        <v>1</v>
      </c>
      <c r="J3654" s="3">
        <v>6750</v>
      </c>
      <c r="K3654" s="3">
        <v>4300</v>
      </c>
      <c r="L3654" s="1">
        <v>446</v>
      </c>
      <c r="M3654" s="4">
        <v>6.6000000000000003E-2</v>
      </c>
      <c r="N3654" s="3">
        <v>2005</v>
      </c>
      <c r="O3654" s="4">
        <v>0.29699999999999999</v>
      </c>
      <c r="P3654" s="1" t="s">
        <v>2721</v>
      </c>
    </row>
    <row r="3655" spans="1:16">
      <c r="A3655" s="1" t="s">
        <v>630</v>
      </c>
      <c r="B3655" s="1">
        <v>11</v>
      </c>
      <c r="C3655" s="1">
        <v>1117484799557250</v>
      </c>
      <c r="D3655" s="1" t="s">
        <v>617</v>
      </c>
      <c r="E3655" s="2">
        <v>45982</v>
      </c>
      <c r="F3655" s="1" t="s">
        <v>604</v>
      </c>
      <c r="G3655" s="1" t="s">
        <v>618</v>
      </c>
      <c r="H3655" s="1" t="s">
        <v>8030</v>
      </c>
      <c r="I3655" s="1">
        <v>1</v>
      </c>
      <c r="J3655" s="3">
        <v>7290</v>
      </c>
      <c r="K3655" s="3">
        <v>5300</v>
      </c>
      <c r="L3655" s="1">
        <v>481</v>
      </c>
      <c r="M3655" s="4">
        <v>6.6000000000000003E-2</v>
      </c>
      <c r="N3655" s="3">
        <v>1509</v>
      </c>
      <c r="O3655" s="4">
        <v>0.20699999999999999</v>
      </c>
      <c r="P3655" s="1" t="s">
        <v>2721</v>
      </c>
    </row>
    <row r="3656" spans="1:16">
      <c r="A3656" s="1" t="s">
        <v>649</v>
      </c>
      <c r="B3656" s="1">
        <v>11</v>
      </c>
      <c r="C3656" s="1">
        <v>25112106134063</v>
      </c>
      <c r="D3656" s="1" t="s">
        <v>2635</v>
      </c>
      <c r="E3656" s="2">
        <v>45982</v>
      </c>
      <c r="F3656" s="1" t="s">
        <v>2636</v>
      </c>
      <c r="G3656" s="1" t="s">
        <v>2637</v>
      </c>
      <c r="H3656" s="1" t="s">
        <v>2638</v>
      </c>
      <c r="I3656" s="1">
        <v>1</v>
      </c>
      <c r="J3656" s="3">
        <v>10472</v>
      </c>
      <c r="K3656" s="3">
        <v>8911</v>
      </c>
      <c r="L3656" s="1">
        <v>0</v>
      </c>
      <c r="M3656" s="4">
        <v>0</v>
      </c>
      <c r="N3656" s="3">
        <v>1561</v>
      </c>
      <c r="O3656" s="4">
        <v>0.14899999999999999</v>
      </c>
      <c r="P3656" s="1" t="s">
        <v>2721</v>
      </c>
    </row>
    <row r="3657" spans="1:16">
      <c r="A3657" s="1" t="s">
        <v>649</v>
      </c>
      <c r="B3657" s="1">
        <v>11</v>
      </c>
      <c r="C3657" s="1">
        <v>25112100042252</v>
      </c>
      <c r="D3657" s="1" t="s">
        <v>2704</v>
      </c>
      <c r="E3657" s="2">
        <v>45982</v>
      </c>
      <c r="F3657" s="1" t="s">
        <v>48</v>
      </c>
      <c r="G3657" s="1" t="s">
        <v>2705</v>
      </c>
      <c r="H3657" s="1" t="s">
        <v>8031</v>
      </c>
      <c r="I3657" s="1">
        <v>1</v>
      </c>
      <c r="J3657" s="3">
        <v>8041</v>
      </c>
      <c r="K3657" s="3">
        <v>6817</v>
      </c>
      <c r="L3657" s="1">
        <v>0</v>
      </c>
      <c r="M3657" s="4">
        <v>0</v>
      </c>
      <c r="N3657" s="3">
        <v>1224</v>
      </c>
      <c r="O3657" s="4">
        <v>0.152</v>
      </c>
      <c r="P3657" s="1" t="s">
        <v>2721</v>
      </c>
    </row>
    <row r="3658" spans="1:16">
      <c r="A3658" s="1" t="s">
        <v>649</v>
      </c>
      <c r="B3658" s="1">
        <v>11</v>
      </c>
      <c r="C3658" s="1">
        <v>25112023381418</v>
      </c>
      <c r="D3658" s="1" t="s">
        <v>8032</v>
      </c>
      <c r="E3658" s="2">
        <v>45982</v>
      </c>
      <c r="F3658" s="1" t="s">
        <v>1241</v>
      </c>
      <c r="G3658" s="1" t="s">
        <v>8033</v>
      </c>
      <c r="H3658" s="1" t="s">
        <v>8034</v>
      </c>
      <c r="I3658" s="1">
        <v>1</v>
      </c>
      <c r="J3658" s="3">
        <v>27540</v>
      </c>
      <c r="K3658" s="3">
        <v>25795</v>
      </c>
      <c r="L3658" s="1">
        <v>0</v>
      </c>
      <c r="M3658" s="4">
        <v>0</v>
      </c>
      <c r="N3658" s="3">
        <v>1745</v>
      </c>
      <c r="O3658" s="4">
        <v>6.3E-2</v>
      </c>
      <c r="P3658" s="1" t="s">
        <v>2721</v>
      </c>
    </row>
    <row r="3659" spans="1:16">
      <c r="A3659" s="1" t="s">
        <v>649</v>
      </c>
      <c r="B3659" s="1">
        <v>11</v>
      </c>
      <c r="C3659" s="1">
        <v>25112022513681</v>
      </c>
      <c r="D3659" s="1" t="s">
        <v>3483</v>
      </c>
      <c r="E3659" s="2">
        <v>45982</v>
      </c>
      <c r="F3659" s="1" t="s">
        <v>3484</v>
      </c>
      <c r="G3659" s="1" t="s">
        <v>3485</v>
      </c>
      <c r="H3659" s="1" t="s">
        <v>8035</v>
      </c>
      <c r="I3659" s="1">
        <v>1</v>
      </c>
      <c r="J3659" s="3">
        <v>27540</v>
      </c>
      <c r="K3659" s="3">
        <v>25795</v>
      </c>
      <c r="L3659" s="1">
        <v>0</v>
      </c>
      <c r="M3659" s="4">
        <v>0</v>
      </c>
      <c r="N3659" s="3">
        <v>1745</v>
      </c>
      <c r="O3659" s="4">
        <v>6.3E-2</v>
      </c>
      <c r="P3659" s="1" t="s">
        <v>2721</v>
      </c>
    </row>
    <row r="3660" spans="1:16">
      <c r="A3660" s="1" t="s">
        <v>649</v>
      </c>
      <c r="B3660" s="1">
        <v>11</v>
      </c>
      <c r="C3660" s="1">
        <v>25112021250750</v>
      </c>
      <c r="D3660" s="1" t="s">
        <v>667</v>
      </c>
      <c r="E3660" s="2">
        <v>45982</v>
      </c>
      <c r="F3660" s="1" t="s">
        <v>48</v>
      </c>
      <c r="G3660" s="1" t="s">
        <v>668</v>
      </c>
      <c r="H3660" s="1" t="s">
        <v>8036</v>
      </c>
      <c r="I3660" s="1">
        <v>2</v>
      </c>
      <c r="J3660" s="3">
        <v>18139</v>
      </c>
      <c r="K3660" s="3">
        <v>15360</v>
      </c>
      <c r="L3660" s="1">
        <v>0</v>
      </c>
      <c r="M3660" s="4">
        <v>0</v>
      </c>
      <c r="N3660" s="3">
        <v>2779</v>
      </c>
      <c r="O3660" s="4">
        <v>0.153</v>
      </c>
      <c r="P3660" s="1" t="s">
        <v>2721</v>
      </c>
    </row>
    <row r="3661" spans="1:16">
      <c r="A3661" s="1" t="s">
        <v>649</v>
      </c>
      <c r="B3661" s="1">
        <v>11</v>
      </c>
      <c r="C3661" s="1">
        <v>25112020225265</v>
      </c>
      <c r="D3661" s="1" t="s">
        <v>2639</v>
      </c>
      <c r="E3661" s="2">
        <v>45982</v>
      </c>
      <c r="F3661" s="1" t="s">
        <v>48</v>
      </c>
      <c r="G3661" s="1" t="s">
        <v>2640</v>
      </c>
      <c r="H3661" s="1" t="s">
        <v>2641</v>
      </c>
      <c r="I3661" s="1">
        <v>1</v>
      </c>
      <c r="J3661" s="3">
        <v>10472</v>
      </c>
      <c r="K3661" s="3">
        <v>8888</v>
      </c>
      <c r="L3661" s="1">
        <v>0</v>
      </c>
      <c r="M3661" s="4">
        <v>0</v>
      </c>
      <c r="N3661" s="3">
        <v>1584</v>
      </c>
      <c r="O3661" s="4">
        <v>0.151</v>
      </c>
      <c r="P3661" s="1" t="s">
        <v>2721</v>
      </c>
    </row>
    <row r="3662" spans="1:16">
      <c r="A3662" s="1" t="s">
        <v>649</v>
      </c>
      <c r="B3662" s="1">
        <v>11</v>
      </c>
      <c r="C3662" s="1">
        <v>25112019341225</v>
      </c>
      <c r="D3662" s="1" t="s">
        <v>8037</v>
      </c>
      <c r="E3662" s="2">
        <v>45982</v>
      </c>
      <c r="F3662" s="1" t="s">
        <v>1665</v>
      </c>
      <c r="G3662" s="1" t="s">
        <v>8038</v>
      </c>
      <c r="H3662" s="1" t="s">
        <v>8039</v>
      </c>
      <c r="I3662" s="1">
        <v>1</v>
      </c>
      <c r="J3662" s="3">
        <v>35020</v>
      </c>
      <c r="K3662" s="3">
        <v>20073</v>
      </c>
      <c r="L3662" s="1">
        <v>0</v>
      </c>
      <c r="M3662" s="4">
        <v>0</v>
      </c>
      <c r="N3662" s="3">
        <v>14947</v>
      </c>
      <c r="O3662" s="4">
        <v>0.42699999999999999</v>
      </c>
      <c r="P3662" s="1" t="s">
        <v>2721</v>
      </c>
    </row>
    <row r="3663" spans="1:16">
      <c r="A3663" s="1" t="s">
        <v>649</v>
      </c>
      <c r="B3663" s="1">
        <v>11</v>
      </c>
      <c r="C3663" s="1">
        <v>25112011192650</v>
      </c>
      <c r="D3663" s="1" t="s">
        <v>2076</v>
      </c>
      <c r="E3663" s="2">
        <v>45982</v>
      </c>
      <c r="F3663" s="1" t="s">
        <v>347</v>
      </c>
      <c r="G3663" s="1" t="s">
        <v>2077</v>
      </c>
      <c r="H3663" s="1" t="s">
        <v>8040</v>
      </c>
      <c r="I3663" s="1">
        <v>1</v>
      </c>
      <c r="J3663" s="3">
        <v>19806</v>
      </c>
      <c r="K3663" s="3">
        <v>18572</v>
      </c>
      <c r="L3663" s="1">
        <v>0</v>
      </c>
      <c r="M3663" s="4">
        <v>0</v>
      </c>
      <c r="N3663" s="3">
        <v>1234</v>
      </c>
      <c r="O3663" s="4">
        <v>6.2E-2</v>
      </c>
      <c r="P3663" s="1" t="s">
        <v>2721</v>
      </c>
    </row>
    <row r="3664" spans="1:16">
      <c r="A3664" s="1" t="s">
        <v>632</v>
      </c>
      <c r="B3664" s="1">
        <v>11</v>
      </c>
      <c r="C3664" s="1">
        <v>163802393</v>
      </c>
      <c r="D3664" s="1" t="s">
        <v>8041</v>
      </c>
      <c r="E3664" s="2">
        <v>45982</v>
      </c>
      <c r="F3664" s="1" t="s">
        <v>4410</v>
      </c>
      <c r="G3664" s="1" t="s">
        <v>8042</v>
      </c>
      <c r="I3664" s="1">
        <v>1</v>
      </c>
      <c r="J3664" s="3">
        <v>29900</v>
      </c>
      <c r="K3664" s="3">
        <v>26264</v>
      </c>
      <c r="L3664" s="3">
        <v>3169</v>
      </c>
      <c r="M3664" s="4">
        <v>0.106</v>
      </c>
      <c r="N3664" s="1">
        <v>467</v>
      </c>
      <c r="O3664" s="4">
        <v>1.6E-2</v>
      </c>
      <c r="P3664" s="1" t="s">
        <v>2721</v>
      </c>
    </row>
    <row r="3665" spans="1:16">
      <c r="A3665" s="1" t="s">
        <v>632</v>
      </c>
      <c r="B3665" s="1">
        <v>11</v>
      </c>
      <c r="C3665" s="1">
        <v>163772049</v>
      </c>
      <c r="D3665" s="1" t="s">
        <v>8043</v>
      </c>
      <c r="E3665" s="2">
        <v>45982</v>
      </c>
      <c r="F3665" s="1" t="s">
        <v>524</v>
      </c>
      <c r="G3665" s="1" t="s">
        <v>8044</v>
      </c>
      <c r="I3665" s="1">
        <v>1</v>
      </c>
      <c r="J3665" s="3">
        <v>24100</v>
      </c>
      <c r="K3665" s="3">
        <v>19200</v>
      </c>
      <c r="L3665" s="3">
        <v>2555</v>
      </c>
      <c r="M3665" s="4">
        <v>0.106</v>
      </c>
      <c r="N3665" s="3">
        <v>2345</v>
      </c>
      <c r="O3665" s="4">
        <v>9.7000000000000003E-2</v>
      </c>
      <c r="P3665" s="1" t="s">
        <v>2721</v>
      </c>
    </row>
    <row r="3666" spans="1:16">
      <c r="A3666" s="1" t="s">
        <v>632</v>
      </c>
      <c r="B3666" s="1">
        <v>11</v>
      </c>
      <c r="C3666" s="1">
        <v>163757215</v>
      </c>
      <c r="D3666" s="1" t="s">
        <v>8045</v>
      </c>
      <c r="E3666" s="2">
        <v>45982</v>
      </c>
      <c r="F3666" s="1" t="s">
        <v>200</v>
      </c>
      <c r="G3666" s="1" t="s">
        <v>8046</v>
      </c>
      <c r="I3666" s="1">
        <v>1</v>
      </c>
      <c r="J3666" s="3">
        <v>37000</v>
      </c>
      <c r="K3666" s="3">
        <v>29078</v>
      </c>
      <c r="L3666" s="3">
        <v>3922</v>
      </c>
      <c r="M3666" s="4">
        <v>0.106</v>
      </c>
      <c r="N3666" s="3">
        <v>4000</v>
      </c>
      <c r="O3666" s="4">
        <v>0.108</v>
      </c>
      <c r="P3666" s="1" t="s">
        <v>2721</v>
      </c>
    </row>
    <row r="3667" spans="1:16">
      <c r="A3667" s="1" t="s">
        <v>632</v>
      </c>
      <c r="B3667" s="1">
        <v>11</v>
      </c>
      <c r="C3667" s="1">
        <v>163711649</v>
      </c>
      <c r="D3667" s="1" t="s">
        <v>5918</v>
      </c>
      <c r="E3667" s="2">
        <v>45982</v>
      </c>
      <c r="F3667" s="1" t="s">
        <v>3037</v>
      </c>
      <c r="G3667" s="1" t="s">
        <v>5919</v>
      </c>
      <c r="I3667" s="1">
        <v>1</v>
      </c>
      <c r="J3667" s="3">
        <v>21900</v>
      </c>
      <c r="K3667" s="3">
        <v>16884</v>
      </c>
      <c r="L3667" s="3">
        <v>2321</v>
      </c>
      <c r="M3667" s="4">
        <v>0.106</v>
      </c>
      <c r="N3667" s="3">
        <v>2695</v>
      </c>
      <c r="O3667" s="4">
        <v>0.123</v>
      </c>
      <c r="P3667" s="1" t="s">
        <v>2721</v>
      </c>
    </row>
    <row r="3668" spans="1:16">
      <c r="A3668" s="1" t="s">
        <v>1917</v>
      </c>
      <c r="B3668" s="1">
        <v>11</v>
      </c>
      <c r="C3668" s="1">
        <v>1.17651763623561E+20</v>
      </c>
      <c r="D3668" s="1" t="s">
        <v>8047</v>
      </c>
      <c r="E3668" s="2">
        <v>45982</v>
      </c>
      <c r="F3668" s="1" t="s">
        <v>1513</v>
      </c>
      <c r="G3668" s="1" t="s">
        <v>8048</v>
      </c>
      <c r="H3668" s="1" t="s">
        <v>8049</v>
      </c>
      <c r="I3668" s="1">
        <v>1</v>
      </c>
      <c r="J3668" s="3">
        <v>13340</v>
      </c>
      <c r="K3668" s="3">
        <v>12300</v>
      </c>
      <c r="L3668" s="1">
        <v>0</v>
      </c>
      <c r="M3668" s="4">
        <v>0</v>
      </c>
      <c r="N3668" s="3">
        <v>1040</v>
      </c>
      <c r="O3668" s="4">
        <v>7.8E-2</v>
      </c>
      <c r="P3668" s="1" t="s">
        <v>2721</v>
      </c>
    </row>
    <row r="3669" spans="1:16">
      <c r="A3669" s="1" t="s">
        <v>1917</v>
      </c>
      <c r="B3669" s="1">
        <v>11</v>
      </c>
      <c r="C3669" s="1">
        <v>1.17611763613123E+20</v>
      </c>
      <c r="D3669" s="1" t="s">
        <v>2184</v>
      </c>
      <c r="E3669" s="2">
        <v>45982</v>
      </c>
      <c r="F3669" s="1" t="s">
        <v>500</v>
      </c>
      <c r="G3669" s="1" t="s">
        <v>2185</v>
      </c>
      <c r="H3669" s="1" t="s">
        <v>8050</v>
      </c>
      <c r="I3669" s="1">
        <v>1</v>
      </c>
      <c r="J3669" s="3">
        <v>115000</v>
      </c>
      <c r="K3669" s="3">
        <v>98000</v>
      </c>
      <c r="L3669" s="1">
        <v>0</v>
      </c>
      <c r="M3669" s="4">
        <v>0</v>
      </c>
      <c r="N3669" s="3">
        <v>17000</v>
      </c>
      <c r="O3669" s="4">
        <v>0.14799999999999999</v>
      </c>
      <c r="P3669" s="1" t="s">
        <v>2721</v>
      </c>
    </row>
    <row r="3670" spans="1:16">
      <c r="A3670" s="1" t="s">
        <v>1849</v>
      </c>
      <c r="B3670" s="1">
        <v>11</v>
      </c>
      <c r="C3670" s="1">
        <v>312260</v>
      </c>
      <c r="D3670" s="1" t="s">
        <v>3086</v>
      </c>
      <c r="E3670" s="2">
        <v>45982</v>
      </c>
      <c r="F3670" s="1" t="s">
        <v>317</v>
      </c>
      <c r="G3670" s="1" t="s">
        <v>3087</v>
      </c>
      <c r="H3670" s="1" t="s">
        <v>8051</v>
      </c>
      <c r="I3670" s="1">
        <v>1</v>
      </c>
      <c r="J3670" s="3">
        <v>41800</v>
      </c>
      <c r="K3670" s="3">
        <v>26264</v>
      </c>
      <c r="L3670" s="3">
        <v>6270</v>
      </c>
      <c r="M3670" s="4">
        <v>0.15</v>
      </c>
      <c r="N3670" s="3">
        <v>9266</v>
      </c>
      <c r="O3670" s="4">
        <v>0.222</v>
      </c>
      <c r="P3670" s="1" t="s">
        <v>2721</v>
      </c>
    </row>
    <row r="3671" spans="1:16">
      <c r="A3671" s="1" t="s">
        <v>1849</v>
      </c>
      <c r="B3671" s="1">
        <v>11</v>
      </c>
      <c r="C3671" s="1">
        <v>311668</v>
      </c>
      <c r="D3671" s="1" t="s">
        <v>8052</v>
      </c>
      <c r="E3671" s="2">
        <v>45982</v>
      </c>
      <c r="F3671" s="1" t="s">
        <v>256</v>
      </c>
      <c r="G3671" s="1" t="s">
        <v>8053</v>
      </c>
      <c r="H3671" s="1" t="s">
        <v>8054</v>
      </c>
      <c r="I3671" s="1">
        <v>1</v>
      </c>
      <c r="J3671" s="3">
        <v>12200</v>
      </c>
      <c r="K3671" s="3">
        <v>7739</v>
      </c>
      <c r="L3671" s="3">
        <v>1830</v>
      </c>
      <c r="M3671" s="4">
        <v>0.15</v>
      </c>
      <c r="N3671" s="3">
        <v>2631</v>
      </c>
      <c r="O3671" s="4">
        <v>0.216</v>
      </c>
      <c r="P3671" s="1" t="s">
        <v>2721</v>
      </c>
    </row>
    <row r="3672" spans="1:16">
      <c r="A3672" s="1" t="s">
        <v>1849</v>
      </c>
      <c r="B3672" s="1">
        <v>11</v>
      </c>
      <c r="C3672" s="1">
        <v>311584</v>
      </c>
      <c r="D3672" s="1" t="s">
        <v>5302</v>
      </c>
      <c r="E3672" s="2">
        <v>45982</v>
      </c>
      <c r="F3672" s="1" t="s">
        <v>256</v>
      </c>
      <c r="G3672" s="1" t="s">
        <v>5303</v>
      </c>
      <c r="H3672" s="1" t="s">
        <v>5304</v>
      </c>
      <c r="I3672" s="1">
        <v>1</v>
      </c>
      <c r="J3672" s="3">
        <v>9900</v>
      </c>
      <c r="K3672" s="3">
        <v>4718</v>
      </c>
      <c r="L3672" s="3">
        <v>1485</v>
      </c>
      <c r="M3672" s="4">
        <v>0.15</v>
      </c>
      <c r="N3672" s="3">
        <v>3697</v>
      </c>
      <c r="O3672" s="4">
        <v>0.373</v>
      </c>
      <c r="P3672" s="1" t="s">
        <v>2721</v>
      </c>
    </row>
    <row r="3673" spans="1:16">
      <c r="A3673" s="1" t="s">
        <v>692</v>
      </c>
      <c r="B3673" s="1">
        <v>11</v>
      </c>
      <c r="C3673" s="1" t="s">
        <v>8055</v>
      </c>
      <c r="D3673" s="1" t="s">
        <v>694</v>
      </c>
      <c r="E3673" s="2">
        <v>45982</v>
      </c>
      <c r="F3673" s="1" t="s">
        <v>96</v>
      </c>
      <c r="G3673" s="1" t="s">
        <v>695</v>
      </c>
      <c r="H3673" s="1" t="s">
        <v>696</v>
      </c>
      <c r="I3673" s="1">
        <v>1</v>
      </c>
      <c r="J3673" s="3">
        <v>16065</v>
      </c>
      <c r="K3673" s="3">
        <v>14584</v>
      </c>
      <c r="L3673" s="1">
        <v>0</v>
      </c>
      <c r="M3673" s="4">
        <v>0</v>
      </c>
      <c r="N3673" s="3">
        <v>1481</v>
      </c>
      <c r="O3673" s="4">
        <v>9.1999999999999998E-2</v>
      </c>
      <c r="P3673" s="1" t="s">
        <v>2721</v>
      </c>
    </row>
    <row r="3674" spans="1:16">
      <c r="A3674" s="1" t="s">
        <v>692</v>
      </c>
      <c r="B3674" s="1">
        <v>11</v>
      </c>
      <c r="C3674" s="1" t="s">
        <v>8056</v>
      </c>
      <c r="D3674" s="1" t="s">
        <v>8057</v>
      </c>
      <c r="E3674" s="2">
        <v>45982</v>
      </c>
      <c r="F3674" s="1" t="s">
        <v>1200</v>
      </c>
      <c r="G3674" s="1" t="s">
        <v>8058</v>
      </c>
      <c r="H3674" s="1" t="s">
        <v>8059</v>
      </c>
      <c r="I3674" s="1">
        <v>1</v>
      </c>
      <c r="J3674" s="3">
        <v>25415</v>
      </c>
      <c r="K3674" s="3">
        <v>17728</v>
      </c>
      <c r="L3674" s="1">
        <v>0</v>
      </c>
      <c r="M3674" s="4">
        <v>0</v>
      </c>
      <c r="N3674" s="3">
        <v>7687</v>
      </c>
      <c r="O3674" s="4">
        <v>0.30199999999999999</v>
      </c>
      <c r="P3674" s="1" t="s">
        <v>2721</v>
      </c>
    </row>
    <row r="3675" spans="1:16">
      <c r="A3675" s="1" t="s">
        <v>2033</v>
      </c>
      <c r="B3675" s="1">
        <v>11</v>
      </c>
      <c r="C3675" s="1">
        <v>2.02511201155411E+18</v>
      </c>
      <c r="D3675" s="1" t="s">
        <v>8060</v>
      </c>
      <c r="E3675" s="2">
        <v>45982</v>
      </c>
      <c r="F3675" s="1" t="s">
        <v>96</v>
      </c>
      <c r="G3675" s="1" t="s">
        <v>8061</v>
      </c>
      <c r="H3675" s="1" t="s">
        <v>3730</v>
      </c>
      <c r="I3675" s="1">
        <v>1</v>
      </c>
      <c r="J3675" s="3">
        <v>11985</v>
      </c>
      <c r="K3675" s="3">
        <v>10787</v>
      </c>
      <c r="L3675" s="1">
        <v>0</v>
      </c>
      <c r="M3675" s="4">
        <v>0</v>
      </c>
      <c r="N3675" s="3">
        <v>1198</v>
      </c>
      <c r="O3675" s="4">
        <v>0.1</v>
      </c>
      <c r="P3675" s="1" t="s">
        <v>2721</v>
      </c>
    </row>
    <row r="3676" spans="1:16">
      <c r="A3676" s="1" t="s">
        <v>2033</v>
      </c>
      <c r="B3676" s="1">
        <v>11</v>
      </c>
      <c r="C3676" s="1">
        <v>2.02511201155411E+18</v>
      </c>
      <c r="D3676" s="1" t="s">
        <v>8062</v>
      </c>
      <c r="E3676" s="2">
        <v>45982</v>
      </c>
      <c r="F3676" s="1" t="s">
        <v>96</v>
      </c>
      <c r="G3676" s="1" t="s">
        <v>8063</v>
      </c>
      <c r="H3676" s="1" t="s">
        <v>1502</v>
      </c>
      <c r="I3676" s="1">
        <v>1</v>
      </c>
      <c r="J3676" s="3">
        <v>11390</v>
      </c>
      <c r="K3676" s="3">
        <v>10787</v>
      </c>
      <c r="L3676" s="1">
        <v>0</v>
      </c>
      <c r="M3676" s="4">
        <v>0</v>
      </c>
      <c r="N3676" s="1">
        <v>603</v>
      </c>
      <c r="O3676" s="4">
        <v>5.2999999999999999E-2</v>
      </c>
      <c r="P3676" s="1" t="s">
        <v>2721</v>
      </c>
    </row>
    <row r="3677" spans="1:16">
      <c r="A3677" s="1" t="s">
        <v>2033</v>
      </c>
      <c r="B3677" s="1">
        <v>11</v>
      </c>
      <c r="C3677" s="1">
        <v>2.02511201054141E+18</v>
      </c>
      <c r="D3677" s="1" t="s">
        <v>8064</v>
      </c>
      <c r="E3677" s="2">
        <v>45982</v>
      </c>
      <c r="F3677" s="1" t="s">
        <v>500</v>
      </c>
      <c r="G3677" s="1" t="s">
        <v>8065</v>
      </c>
      <c r="H3677" s="1" t="s">
        <v>1235</v>
      </c>
      <c r="I3677" s="1">
        <v>1</v>
      </c>
      <c r="J3677" s="3">
        <v>247350</v>
      </c>
      <c r="K3677" s="3">
        <v>241957</v>
      </c>
      <c r="L3677" s="1">
        <v>0</v>
      </c>
      <c r="M3677" s="4">
        <v>0</v>
      </c>
      <c r="N3677" s="3">
        <v>5393</v>
      </c>
      <c r="O3677" s="4">
        <v>2.1999999999999999E-2</v>
      </c>
      <c r="P3677" s="1" t="s">
        <v>2721</v>
      </c>
    </row>
    <row r="3678" spans="1:16">
      <c r="A3678" s="1" t="s">
        <v>702</v>
      </c>
      <c r="B3678" s="1">
        <v>11</v>
      </c>
      <c r="C3678" s="1" t="s">
        <v>8066</v>
      </c>
      <c r="D3678" s="1" t="s">
        <v>8067</v>
      </c>
      <c r="E3678" s="2">
        <v>45982</v>
      </c>
      <c r="F3678" s="1" t="s">
        <v>8068</v>
      </c>
      <c r="G3678" s="1" t="s">
        <v>8069</v>
      </c>
      <c r="H3678" s="1" t="s">
        <v>8070</v>
      </c>
      <c r="I3678" s="1">
        <v>1</v>
      </c>
      <c r="J3678" s="3">
        <v>48000</v>
      </c>
      <c r="K3678" s="3">
        <v>35644</v>
      </c>
      <c r="L3678" s="1">
        <v>0</v>
      </c>
      <c r="M3678" s="4">
        <v>0</v>
      </c>
      <c r="N3678" s="3">
        <v>12356</v>
      </c>
      <c r="O3678" s="4">
        <v>0.25700000000000001</v>
      </c>
      <c r="P3678" s="1" t="s">
        <v>2721</v>
      </c>
    </row>
    <row r="3679" spans="1:16">
      <c r="A3679" s="1" t="s">
        <v>707</v>
      </c>
      <c r="B3679" s="1">
        <v>11</v>
      </c>
      <c r="C3679" s="1">
        <v>2.0251120182201901E+17</v>
      </c>
      <c r="D3679" s="1" t="s">
        <v>682</v>
      </c>
      <c r="E3679" s="2">
        <v>45982</v>
      </c>
      <c r="F3679" s="1" t="s">
        <v>500</v>
      </c>
      <c r="G3679" s="1" t="s">
        <v>683</v>
      </c>
      <c r="H3679" s="1" t="s">
        <v>8071</v>
      </c>
      <c r="I3679" s="1">
        <v>1</v>
      </c>
      <c r="J3679" s="3">
        <v>127900</v>
      </c>
      <c r="K3679" s="3">
        <v>107500</v>
      </c>
      <c r="L3679" s="3">
        <v>19185</v>
      </c>
      <c r="M3679" s="4">
        <v>0.15</v>
      </c>
      <c r="N3679" s="3">
        <v>1215</v>
      </c>
      <c r="O3679" s="4">
        <v>8.9999999999999993E-3</v>
      </c>
      <c r="P3679" s="1" t="s">
        <v>2721</v>
      </c>
    </row>
    <row r="3680" spans="1:16">
      <c r="A3680" s="1" t="s">
        <v>707</v>
      </c>
      <c r="B3680" s="1">
        <v>11</v>
      </c>
      <c r="C3680" s="1">
        <v>2.0251120221401798E+17</v>
      </c>
      <c r="D3680" s="1" t="s">
        <v>1862</v>
      </c>
      <c r="E3680" s="2">
        <v>45982</v>
      </c>
      <c r="F3680" s="1" t="s">
        <v>235</v>
      </c>
      <c r="G3680" s="1" t="s">
        <v>1863</v>
      </c>
      <c r="H3680" s="1" t="s">
        <v>2070</v>
      </c>
      <c r="I3680" s="1">
        <v>1</v>
      </c>
      <c r="J3680" s="3">
        <v>9800</v>
      </c>
      <c r="K3680" s="3">
        <v>7739</v>
      </c>
      <c r="L3680" s="3">
        <v>1470</v>
      </c>
      <c r="M3680" s="4">
        <v>0.15</v>
      </c>
      <c r="N3680" s="1">
        <v>591</v>
      </c>
      <c r="O3680" s="4">
        <v>0.06</v>
      </c>
      <c r="P3680" s="1" t="s">
        <v>2721</v>
      </c>
    </row>
    <row r="3681" spans="1:16">
      <c r="A3681" s="1" t="s">
        <v>707</v>
      </c>
      <c r="B3681" s="1">
        <v>11</v>
      </c>
      <c r="C3681" s="1">
        <v>2.0251120221401798E+17</v>
      </c>
      <c r="D3681" s="1" t="s">
        <v>2071</v>
      </c>
      <c r="E3681" s="2">
        <v>45982</v>
      </c>
      <c r="F3681" s="1" t="s">
        <v>235</v>
      </c>
      <c r="G3681" s="1" t="s">
        <v>2072</v>
      </c>
      <c r="H3681" s="1" t="s">
        <v>2073</v>
      </c>
      <c r="I3681" s="1">
        <v>1</v>
      </c>
      <c r="J3681" s="3">
        <v>9800</v>
      </c>
      <c r="K3681" s="3">
        <v>7739</v>
      </c>
      <c r="L3681" s="3">
        <v>1470</v>
      </c>
      <c r="M3681" s="4">
        <v>0.15</v>
      </c>
      <c r="N3681" s="1">
        <v>591</v>
      </c>
      <c r="O3681" s="4">
        <v>0.06</v>
      </c>
      <c r="P3681" s="1" t="s">
        <v>2721</v>
      </c>
    </row>
    <row r="3682" spans="1:16">
      <c r="A3682" s="1" t="s">
        <v>707</v>
      </c>
      <c r="B3682" s="1">
        <v>11</v>
      </c>
      <c r="C3682" s="1">
        <v>2.0251121075201501E+17</v>
      </c>
      <c r="D3682" s="1" t="s">
        <v>2071</v>
      </c>
      <c r="E3682" s="2">
        <v>45982</v>
      </c>
      <c r="F3682" s="1" t="s">
        <v>235</v>
      </c>
      <c r="G3682" s="1" t="s">
        <v>2072</v>
      </c>
      <c r="H3682" s="1" t="s">
        <v>2073</v>
      </c>
      <c r="I3682" s="1">
        <v>1</v>
      </c>
      <c r="J3682" s="3">
        <v>9800</v>
      </c>
      <c r="K3682" s="3">
        <v>7739</v>
      </c>
      <c r="L3682" s="3">
        <v>1470</v>
      </c>
      <c r="M3682" s="4">
        <v>0.15</v>
      </c>
      <c r="N3682" s="1">
        <v>591</v>
      </c>
      <c r="O3682" s="4">
        <v>0.06</v>
      </c>
      <c r="P3682" s="1" t="s">
        <v>2721</v>
      </c>
    </row>
    <row r="3683" spans="1:16">
      <c r="A3683" s="1" t="s">
        <v>707</v>
      </c>
      <c r="B3683" s="1">
        <v>11</v>
      </c>
      <c r="C3683" s="1">
        <v>2.0251121075347501E+17</v>
      </c>
      <c r="D3683" s="1" t="s">
        <v>2071</v>
      </c>
      <c r="E3683" s="2">
        <v>45982</v>
      </c>
      <c r="F3683" s="1" t="s">
        <v>235</v>
      </c>
      <c r="G3683" s="1" t="s">
        <v>2072</v>
      </c>
      <c r="H3683" s="1" t="s">
        <v>2073</v>
      </c>
      <c r="I3683" s="1">
        <v>1</v>
      </c>
      <c r="J3683" s="3">
        <v>9800</v>
      </c>
      <c r="K3683" s="3">
        <v>7739</v>
      </c>
      <c r="L3683" s="3">
        <v>1470</v>
      </c>
      <c r="M3683" s="4">
        <v>0.15</v>
      </c>
      <c r="N3683" s="1">
        <v>591</v>
      </c>
      <c r="O3683" s="4">
        <v>0.06</v>
      </c>
      <c r="P3683" s="1" t="s">
        <v>2721</v>
      </c>
    </row>
    <row r="3684" spans="1:16">
      <c r="A3684" s="1" t="s">
        <v>707</v>
      </c>
      <c r="B3684" s="1">
        <v>11</v>
      </c>
      <c r="C3684" s="1">
        <v>2.0251121075724499E+17</v>
      </c>
      <c r="D3684" s="1" t="s">
        <v>2071</v>
      </c>
      <c r="E3684" s="2">
        <v>45982</v>
      </c>
      <c r="F3684" s="1" t="s">
        <v>235</v>
      </c>
      <c r="G3684" s="1" t="s">
        <v>2072</v>
      </c>
      <c r="H3684" s="1" t="s">
        <v>2073</v>
      </c>
      <c r="I3684" s="1">
        <v>1</v>
      </c>
      <c r="J3684" s="3">
        <v>9800</v>
      </c>
      <c r="K3684" s="3">
        <v>7739</v>
      </c>
      <c r="L3684" s="3">
        <v>1470</v>
      </c>
      <c r="M3684" s="4">
        <v>0.15</v>
      </c>
      <c r="N3684" s="1">
        <v>591</v>
      </c>
      <c r="O3684" s="4">
        <v>0.06</v>
      </c>
      <c r="P3684" s="1" t="s">
        <v>2721</v>
      </c>
    </row>
    <row r="3685" spans="1:16">
      <c r="A3685" s="1" t="s">
        <v>707</v>
      </c>
      <c r="B3685" s="1">
        <v>11</v>
      </c>
      <c r="C3685" s="1">
        <v>2.0251121075947501E+17</v>
      </c>
      <c r="D3685" s="1" t="s">
        <v>2071</v>
      </c>
      <c r="E3685" s="2">
        <v>45982</v>
      </c>
      <c r="F3685" s="1" t="s">
        <v>235</v>
      </c>
      <c r="G3685" s="1" t="s">
        <v>2072</v>
      </c>
      <c r="H3685" s="1" t="s">
        <v>2073</v>
      </c>
      <c r="I3685" s="1">
        <v>1</v>
      </c>
      <c r="J3685" s="3">
        <v>9800</v>
      </c>
      <c r="K3685" s="3">
        <v>7739</v>
      </c>
      <c r="L3685" s="3">
        <v>1470</v>
      </c>
      <c r="M3685" s="4">
        <v>0.15</v>
      </c>
      <c r="N3685" s="1">
        <v>591</v>
      </c>
      <c r="O3685" s="4">
        <v>0.06</v>
      </c>
      <c r="P3685" s="1" t="s">
        <v>2721</v>
      </c>
    </row>
    <row r="3686" spans="1:16">
      <c r="A3686" s="1" t="s">
        <v>711</v>
      </c>
      <c r="B3686" s="1">
        <v>11</v>
      </c>
      <c r="C3686" s="1">
        <v>2.0251120165818499E+17</v>
      </c>
      <c r="D3686" s="1" t="s">
        <v>682</v>
      </c>
      <c r="E3686" s="2">
        <v>45982</v>
      </c>
      <c r="F3686" s="1" t="s">
        <v>500</v>
      </c>
      <c r="G3686" s="1" t="s">
        <v>683</v>
      </c>
      <c r="H3686" s="1" t="s">
        <v>2669</v>
      </c>
      <c r="I3686" s="1">
        <v>1</v>
      </c>
      <c r="J3686" s="3">
        <v>132900</v>
      </c>
      <c r="K3686" s="3">
        <v>107500</v>
      </c>
      <c r="L3686" s="3">
        <v>19935</v>
      </c>
      <c r="M3686" s="4">
        <v>0.15</v>
      </c>
      <c r="N3686" s="3">
        <v>5465</v>
      </c>
      <c r="O3686" s="4">
        <v>4.1000000000000002E-2</v>
      </c>
      <c r="P3686" s="1" t="s">
        <v>2721</v>
      </c>
    </row>
    <row r="3687" spans="1:16">
      <c r="A3687" s="1" t="s">
        <v>718</v>
      </c>
      <c r="B3687" s="1">
        <v>11</v>
      </c>
      <c r="C3687" s="1">
        <v>2.0251120225256099E+17</v>
      </c>
      <c r="D3687" s="1" t="s">
        <v>2096</v>
      </c>
      <c r="E3687" s="2">
        <v>45982</v>
      </c>
      <c r="F3687" s="1" t="s">
        <v>1935</v>
      </c>
      <c r="G3687" s="1" t="s">
        <v>2097</v>
      </c>
      <c r="H3687" s="1" t="s">
        <v>2098</v>
      </c>
      <c r="I3687" s="1">
        <v>1</v>
      </c>
      <c r="J3687" s="3">
        <v>10000</v>
      </c>
      <c r="K3687" s="3">
        <v>7504</v>
      </c>
      <c r="L3687" s="3">
        <v>1000</v>
      </c>
      <c r="M3687" s="4">
        <v>0.1</v>
      </c>
      <c r="N3687" s="3">
        <v>1496</v>
      </c>
      <c r="O3687" s="4">
        <v>0.15</v>
      </c>
      <c r="P3687" s="1" t="s">
        <v>2721</v>
      </c>
    </row>
    <row r="3688" spans="1:16">
      <c r="A3688" s="1" t="s">
        <v>718</v>
      </c>
      <c r="B3688" s="1">
        <v>11</v>
      </c>
      <c r="C3688" s="1">
        <v>2.0251120145847699E+17</v>
      </c>
      <c r="D3688" s="1" t="s">
        <v>1941</v>
      </c>
      <c r="E3688" s="2">
        <v>45982</v>
      </c>
      <c r="F3688" s="1" t="s">
        <v>235</v>
      </c>
      <c r="G3688" s="1" t="s">
        <v>1942</v>
      </c>
      <c r="H3688" s="1" t="s">
        <v>7251</v>
      </c>
      <c r="I3688" s="1">
        <v>1</v>
      </c>
      <c r="J3688" s="3">
        <v>24900</v>
      </c>
      <c r="K3688" s="3">
        <v>21340</v>
      </c>
      <c r="L3688" s="3">
        <v>2490</v>
      </c>
      <c r="M3688" s="4">
        <v>0.1</v>
      </c>
      <c r="N3688" s="3">
        <v>1070</v>
      </c>
      <c r="O3688" s="4">
        <v>4.2999999999999997E-2</v>
      </c>
      <c r="P3688" s="1" t="s">
        <v>2721</v>
      </c>
    </row>
    <row r="3689" spans="1:16">
      <c r="A3689" s="1" t="s">
        <v>739</v>
      </c>
      <c r="B3689" s="1">
        <v>11</v>
      </c>
      <c r="C3689" s="1">
        <v>31487852</v>
      </c>
      <c r="D3689" s="1" t="s">
        <v>743</v>
      </c>
      <c r="E3689" s="2">
        <v>45982</v>
      </c>
      <c r="F3689" s="1" t="s">
        <v>58</v>
      </c>
      <c r="G3689" s="1" t="s">
        <v>744</v>
      </c>
      <c r="H3689" s="1" t="s">
        <v>745</v>
      </c>
      <c r="I3689" s="1">
        <v>1</v>
      </c>
      <c r="J3689" s="3">
        <v>20500</v>
      </c>
      <c r="K3689" s="3">
        <v>14858</v>
      </c>
      <c r="L3689" s="3">
        <v>2706</v>
      </c>
      <c r="M3689" s="4">
        <v>0.13200000000000001</v>
      </c>
      <c r="N3689" s="3">
        <v>2936</v>
      </c>
      <c r="O3689" s="4">
        <v>0.14299999999999999</v>
      </c>
      <c r="P3689" s="1" t="s">
        <v>2721</v>
      </c>
    </row>
    <row r="3690" spans="1:16">
      <c r="A3690" s="1" t="s">
        <v>756</v>
      </c>
      <c r="B3690" s="1">
        <v>11</v>
      </c>
      <c r="C3690" s="1" t="s">
        <v>8072</v>
      </c>
      <c r="D3690" s="1" t="s">
        <v>2151</v>
      </c>
      <c r="E3690" s="2">
        <v>45982</v>
      </c>
      <c r="F3690" s="1" t="s">
        <v>53</v>
      </c>
      <c r="G3690" s="1" t="s">
        <v>2152</v>
      </c>
      <c r="H3690" s="1" t="s">
        <v>2153</v>
      </c>
      <c r="I3690" s="1">
        <v>1</v>
      </c>
      <c r="J3690" s="3">
        <v>18390</v>
      </c>
      <c r="K3690" s="3">
        <v>16256</v>
      </c>
      <c r="L3690" s="1">
        <v>0</v>
      </c>
      <c r="M3690" s="4">
        <v>0</v>
      </c>
      <c r="N3690" s="3">
        <v>2134</v>
      </c>
      <c r="O3690" s="4">
        <v>0.11600000000000001</v>
      </c>
      <c r="P3690" s="1" t="s">
        <v>2723</v>
      </c>
    </row>
    <row r="3691" spans="1:16">
      <c r="A3691" s="1" t="s">
        <v>761</v>
      </c>
      <c r="B3691" s="1">
        <v>11</v>
      </c>
      <c r="C3691" s="1" t="s">
        <v>8073</v>
      </c>
      <c r="D3691" s="1" t="s">
        <v>8074</v>
      </c>
      <c r="E3691" s="2">
        <v>45982</v>
      </c>
      <c r="F3691" s="1" t="s">
        <v>2188</v>
      </c>
      <c r="G3691" s="1" t="s">
        <v>8075</v>
      </c>
      <c r="I3691" s="1">
        <v>1</v>
      </c>
      <c r="J3691" s="3">
        <v>30400</v>
      </c>
      <c r="K3691" s="3">
        <v>21500</v>
      </c>
      <c r="L3691" s="1">
        <v>0</v>
      </c>
      <c r="M3691" s="4">
        <v>0</v>
      </c>
      <c r="N3691" s="3">
        <v>8900</v>
      </c>
      <c r="O3691" s="4">
        <v>0.29299999999999998</v>
      </c>
      <c r="P3691" s="1" t="s">
        <v>2723</v>
      </c>
    </row>
    <row r="3692" spans="1:16">
      <c r="A3692" s="1" t="s">
        <v>2193</v>
      </c>
      <c r="B3692" s="1">
        <v>11</v>
      </c>
      <c r="C3692" s="1">
        <v>30500809</v>
      </c>
      <c r="D3692" s="1" t="s">
        <v>8076</v>
      </c>
      <c r="E3692" s="2">
        <v>45982</v>
      </c>
      <c r="F3692" s="1" t="s">
        <v>3349</v>
      </c>
      <c r="G3692" s="1" t="s">
        <v>8077</v>
      </c>
      <c r="H3692" s="1" t="s">
        <v>8078</v>
      </c>
      <c r="I3692" s="1">
        <v>1</v>
      </c>
      <c r="J3692" s="3">
        <v>39663</v>
      </c>
      <c r="K3692" s="3">
        <v>35222</v>
      </c>
      <c r="L3692" s="1">
        <v>0</v>
      </c>
      <c r="M3692" s="4">
        <v>0</v>
      </c>
      <c r="N3692" s="3">
        <v>4441</v>
      </c>
      <c r="O3692" s="4">
        <v>0.112</v>
      </c>
      <c r="P3692" s="1" t="s">
        <v>2723</v>
      </c>
    </row>
    <row r="3693" spans="1:16">
      <c r="A3693" s="1" t="s">
        <v>763</v>
      </c>
      <c r="B3693" s="1">
        <v>11</v>
      </c>
      <c r="C3693" s="1" t="s">
        <v>8079</v>
      </c>
      <c r="D3693" s="1" t="s">
        <v>2248</v>
      </c>
      <c r="E3693" s="2">
        <v>45982</v>
      </c>
      <c r="F3693" s="1" t="s">
        <v>2206</v>
      </c>
      <c r="G3693" s="1" t="s">
        <v>2249</v>
      </c>
      <c r="H3693" s="1" t="s">
        <v>2250</v>
      </c>
      <c r="I3693" s="1">
        <v>1</v>
      </c>
      <c r="J3693" s="3">
        <v>15640</v>
      </c>
      <c r="K3693" s="3">
        <v>14149</v>
      </c>
      <c r="L3693" s="1">
        <v>0</v>
      </c>
      <c r="M3693" s="4">
        <v>0</v>
      </c>
      <c r="N3693" s="3">
        <v>1491</v>
      </c>
      <c r="O3693" s="4">
        <v>9.5000000000000001E-2</v>
      </c>
      <c r="P3693" s="1" t="s">
        <v>2723</v>
      </c>
    </row>
    <row r="3694" spans="1:16">
      <c r="A3694" s="1" t="s">
        <v>763</v>
      </c>
      <c r="B3694" s="1">
        <v>11</v>
      </c>
      <c r="C3694" s="1" t="s">
        <v>8080</v>
      </c>
      <c r="D3694" s="1" t="s">
        <v>8081</v>
      </c>
      <c r="E3694" s="2">
        <v>45982</v>
      </c>
      <c r="F3694" s="1" t="s">
        <v>53</v>
      </c>
      <c r="G3694" s="1" t="s">
        <v>8082</v>
      </c>
      <c r="H3694" s="1" t="s">
        <v>8083</v>
      </c>
      <c r="I3694" s="1">
        <v>1</v>
      </c>
      <c r="J3694" s="3">
        <v>8420</v>
      </c>
      <c r="K3694" s="3">
        <v>7655</v>
      </c>
      <c r="L3694" s="1">
        <v>0</v>
      </c>
      <c r="M3694" s="4">
        <v>0</v>
      </c>
      <c r="N3694" s="1">
        <v>765</v>
      </c>
      <c r="O3694" s="4">
        <v>9.0999999999999998E-2</v>
      </c>
      <c r="P3694" s="1" t="s">
        <v>2723</v>
      </c>
    </row>
    <row r="3695" spans="1:16">
      <c r="A3695" s="1" t="s">
        <v>763</v>
      </c>
      <c r="B3695" s="1">
        <v>11</v>
      </c>
      <c r="C3695" s="1" t="s">
        <v>8084</v>
      </c>
      <c r="D3695" s="1" t="s">
        <v>5598</v>
      </c>
      <c r="E3695" s="2">
        <v>45982</v>
      </c>
      <c r="F3695" s="1" t="s">
        <v>5599</v>
      </c>
      <c r="G3695" s="1" t="s">
        <v>5600</v>
      </c>
      <c r="H3695" s="1" t="s">
        <v>8085</v>
      </c>
      <c r="I3695" s="1">
        <v>2</v>
      </c>
      <c r="J3695" s="3">
        <v>19900</v>
      </c>
      <c r="K3695" s="3">
        <v>17746</v>
      </c>
      <c r="L3695" s="1">
        <v>0</v>
      </c>
      <c r="M3695" s="4">
        <v>0</v>
      </c>
      <c r="N3695" s="3">
        <v>2154</v>
      </c>
      <c r="O3695" s="4">
        <v>0.108</v>
      </c>
      <c r="P3695" s="1" t="s">
        <v>2723</v>
      </c>
    </row>
    <row r="3696" spans="1:16">
      <c r="A3696" s="1" t="s">
        <v>763</v>
      </c>
      <c r="B3696" s="1">
        <v>11</v>
      </c>
      <c r="C3696" s="1" t="s">
        <v>8086</v>
      </c>
      <c r="D3696" s="1" t="s">
        <v>5364</v>
      </c>
      <c r="E3696" s="2">
        <v>45982</v>
      </c>
      <c r="F3696" s="1" t="s">
        <v>187</v>
      </c>
      <c r="G3696" s="1" t="s">
        <v>5365</v>
      </c>
      <c r="I3696" s="1">
        <v>2</v>
      </c>
      <c r="J3696" s="3">
        <v>52360</v>
      </c>
      <c r="K3696" s="3">
        <v>47466</v>
      </c>
      <c r="L3696" s="1">
        <v>0</v>
      </c>
      <c r="M3696" s="4">
        <v>0</v>
      </c>
      <c r="N3696" s="3">
        <v>4894</v>
      </c>
      <c r="O3696" s="4">
        <v>9.2999999999999999E-2</v>
      </c>
      <c r="P3696" s="1" t="s">
        <v>2723</v>
      </c>
    </row>
    <row r="3697" spans="1:16">
      <c r="A3697" s="1" t="s">
        <v>763</v>
      </c>
      <c r="B3697" s="1">
        <v>11</v>
      </c>
      <c r="C3697" s="1" t="s">
        <v>8087</v>
      </c>
      <c r="D3697" s="1" t="s">
        <v>8088</v>
      </c>
      <c r="E3697" s="2">
        <v>45982</v>
      </c>
      <c r="F3697" s="1" t="s">
        <v>126</v>
      </c>
      <c r="G3697" s="1" t="s">
        <v>8089</v>
      </c>
      <c r="H3697" s="1" t="s">
        <v>8090</v>
      </c>
      <c r="I3697" s="1">
        <v>1</v>
      </c>
      <c r="J3697" s="3">
        <v>23800</v>
      </c>
      <c r="K3697" s="3">
        <v>21574</v>
      </c>
      <c r="L3697" s="1">
        <v>0</v>
      </c>
      <c r="M3697" s="4">
        <v>0</v>
      </c>
      <c r="N3697" s="3">
        <v>2226</v>
      </c>
      <c r="O3697" s="4">
        <v>9.4E-2</v>
      </c>
      <c r="P3697" s="1" t="s">
        <v>2723</v>
      </c>
    </row>
    <row r="3698" spans="1:16">
      <c r="A3698" s="1" t="s">
        <v>763</v>
      </c>
      <c r="B3698" s="1">
        <v>11</v>
      </c>
      <c r="C3698" s="1" t="s">
        <v>8091</v>
      </c>
      <c r="D3698" s="1" t="s">
        <v>8092</v>
      </c>
      <c r="E3698" s="2">
        <v>45982</v>
      </c>
      <c r="F3698" s="1" t="s">
        <v>53</v>
      </c>
      <c r="G3698" s="1" t="s">
        <v>8093</v>
      </c>
      <c r="H3698" s="1" t="s">
        <v>8094</v>
      </c>
      <c r="I3698" s="1">
        <v>2</v>
      </c>
      <c r="J3698" s="3">
        <v>53260</v>
      </c>
      <c r="K3698" s="3">
        <v>42834</v>
      </c>
      <c r="L3698" s="1">
        <v>0</v>
      </c>
      <c r="M3698" s="4">
        <v>0</v>
      </c>
      <c r="N3698" s="3">
        <v>10426</v>
      </c>
      <c r="O3698" s="4">
        <v>0.19600000000000001</v>
      </c>
      <c r="P3698" s="1" t="s">
        <v>2723</v>
      </c>
    </row>
    <row r="3699" spans="1:16">
      <c r="A3699" s="1" t="s">
        <v>763</v>
      </c>
      <c r="B3699" s="1">
        <v>11</v>
      </c>
      <c r="C3699" s="1" t="s">
        <v>8095</v>
      </c>
      <c r="D3699" s="1" t="s">
        <v>8096</v>
      </c>
      <c r="E3699" s="2">
        <v>45982</v>
      </c>
      <c r="F3699" s="1" t="s">
        <v>783</v>
      </c>
      <c r="G3699" s="1" t="s">
        <v>8097</v>
      </c>
      <c r="I3699" s="1">
        <v>1</v>
      </c>
      <c r="J3699" s="3">
        <v>40800</v>
      </c>
      <c r="K3699" s="3">
        <v>36957</v>
      </c>
      <c r="L3699" s="1">
        <v>0</v>
      </c>
      <c r="M3699" s="4">
        <v>0</v>
      </c>
      <c r="N3699" s="3">
        <v>3843</v>
      </c>
      <c r="O3699" s="4">
        <v>9.4E-2</v>
      </c>
      <c r="P3699" s="1" t="s">
        <v>2723</v>
      </c>
    </row>
    <row r="3700" spans="1:16">
      <c r="A3700" s="1" t="s">
        <v>763</v>
      </c>
      <c r="B3700" s="1">
        <v>11</v>
      </c>
      <c r="C3700" s="1" t="s">
        <v>8098</v>
      </c>
      <c r="D3700" s="1" t="s">
        <v>6902</v>
      </c>
      <c r="E3700" s="2">
        <v>45982</v>
      </c>
      <c r="F3700" s="1" t="s">
        <v>500</v>
      </c>
      <c r="G3700" s="1" t="s">
        <v>6903</v>
      </c>
      <c r="I3700" s="1">
        <v>1</v>
      </c>
      <c r="J3700" s="3">
        <v>119170</v>
      </c>
      <c r="K3700" s="3">
        <v>108000</v>
      </c>
      <c r="L3700" s="1">
        <v>0</v>
      </c>
      <c r="M3700" s="4">
        <v>0</v>
      </c>
      <c r="N3700" s="3">
        <v>11170</v>
      </c>
      <c r="O3700" s="4">
        <v>9.4E-2</v>
      </c>
      <c r="P3700" s="1" t="s">
        <v>2723</v>
      </c>
    </row>
    <row r="3701" spans="1:16">
      <c r="A3701" s="1" t="s">
        <v>2725</v>
      </c>
      <c r="B3701" s="1">
        <v>11</v>
      </c>
      <c r="C3701" s="1" t="s">
        <v>8099</v>
      </c>
      <c r="D3701" s="1" t="s">
        <v>3410</v>
      </c>
      <c r="E3701" s="2">
        <v>45982</v>
      </c>
      <c r="F3701" s="1" t="s">
        <v>604</v>
      </c>
      <c r="G3701" s="1" t="s">
        <v>8100</v>
      </c>
      <c r="I3701" s="1">
        <v>1</v>
      </c>
      <c r="J3701" s="3">
        <v>38592</v>
      </c>
      <c r="L3701" s="1">
        <v>0</v>
      </c>
      <c r="M3701" s="4">
        <v>0</v>
      </c>
      <c r="N3701" s="3">
        <v>38592</v>
      </c>
      <c r="O3701" s="4">
        <v>1</v>
      </c>
      <c r="P3701" s="1" t="s">
        <v>2721</v>
      </c>
    </row>
    <row r="3702" spans="1:16">
      <c r="A3702" s="1" t="s">
        <v>626</v>
      </c>
      <c r="B3702" s="1">
        <v>11</v>
      </c>
      <c r="C3702" s="1">
        <v>69344226</v>
      </c>
      <c r="D3702" s="1" t="s">
        <v>627</v>
      </c>
      <c r="E3702" s="2">
        <v>45982</v>
      </c>
      <c r="F3702" s="1" t="s">
        <v>604</v>
      </c>
      <c r="G3702" s="1" t="s">
        <v>628</v>
      </c>
      <c r="H3702" s="1" t="s">
        <v>2271</v>
      </c>
      <c r="I3702" s="1">
        <v>2</v>
      </c>
      <c r="J3702" s="3">
        <v>12800</v>
      </c>
      <c r="K3702" s="3">
        <v>3600</v>
      </c>
      <c r="L3702" s="3">
        <v>1408</v>
      </c>
      <c r="M3702" s="4">
        <v>0.11</v>
      </c>
      <c r="N3702" s="3">
        <v>7792</v>
      </c>
      <c r="O3702" s="4">
        <v>0.60899999999999999</v>
      </c>
      <c r="P3702" s="1" t="s">
        <v>2721</v>
      </c>
    </row>
    <row r="3703" spans="1:16">
      <c r="A3703" s="1" t="s">
        <v>630</v>
      </c>
      <c r="B3703" s="1">
        <v>11</v>
      </c>
      <c r="C3703" s="1">
        <v>1117426268142210</v>
      </c>
      <c r="D3703" s="1" t="s">
        <v>627</v>
      </c>
      <c r="E3703" s="2">
        <v>45982</v>
      </c>
      <c r="F3703" s="1" t="s">
        <v>604</v>
      </c>
      <c r="G3703" s="1" t="s">
        <v>628</v>
      </c>
      <c r="H3703" s="1" t="s">
        <v>1848</v>
      </c>
      <c r="I3703" s="1">
        <v>1</v>
      </c>
      <c r="J3703" s="3">
        <v>6750</v>
      </c>
      <c r="K3703" s="3">
        <v>4300</v>
      </c>
      <c r="L3703" s="1">
        <v>446</v>
      </c>
      <c r="M3703" s="4">
        <v>6.6000000000000003E-2</v>
      </c>
      <c r="N3703" s="3">
        <v>2005</v>
      </c>
      <c r="O3703" s="4">
        <v>0.29699999999999999</v>
      </c>
      <c r="P3703" s="1" t="s">
        <v>2721</v>
      </c>
    </row>
    <row r="3704" spans="1:16">
      <c r="A3704" s="1" t="s">
        <v>15</v>
      </c>
      <c r="B3704" s="1">
        <v>11</v>
      </c>
      <c r="C3704" s="1" t="s">
        <v>8101</v>
      </c>
      <c r="D3704" s="1" t="s">
        <v>6519</v>
      </c>
      <c r="E3704" s="2">
        <v>45985</v>
      </c>
      <c r="F3704" s="1" t="s">
        <v>235</v>
      </c>
      <c r="G3704" s="1" t="s">
        <v>6520</v>
      </c>
      <c r="H3704" s="1" t="s">
        <v>6521</v>
      </c>
      <c r="I3704" s="1">
        <v>1</v>
      </c>
      <c r="J3704" s="3">
        <v>15433</v>
      </c>
      <c r="K3704" s="3">
        <v>14727</v>
      </c>
      <c r="L3704" s="1">
        <v>0</v>
      </c>
      <c r="M3704" s="4">
        <v>0</v>
      </c>
      <c r="N3704" s="1">
        <v>706</v>
      </c>
      <c r="O3704" s="4">
        <v>4.5999999999999999E-2</v>
      </c>
      <c r="P3704" s="1" t="s">
        <v>2721</v>
      </c>
    </row>
    <row r="3705" spans="1:16">
      <c r="A3705" s="1" t="s">
        <v>15</v>
      </c>
      <c r="B3705" s="1">
        <v>11</v>
      </c>
      <c r="C3705" s="1" t="s">
        <v>8102</v>
      </c>
      <c r="D3705" s="1" t="s">
        <v>411</v>
      </c>
      <c r="E3705" s="2">
        <v>45985</v>
      </c>
      <c r="F3705" s="1" t="s">
        <v>312</v>
      </c>
      <c r="G3705" s="1" t="s">
        <v>412</v>
      </c>
      <c r="H3705" s="1" t="s">
        <v>7132</v>
      </c>
      <c r="I3705" s="1">
        <v>1</v>
      </c>
      <c r="J3705" s="3">
        <v>24575</v>
      </c>
      <c r="K3705" s="3">
        <v>23450</v>
      </c>
      <c r="L3705" s="1">
        <v>0</v>
      </c>
      <c r="M3705" s="4">
        <v>0</v>
      </c>
      <c r="N3705" s="3">
        <v>1125</v>
      </c>
      <c r="O3705" s="4">
        <v>4.5999999999999999E-2</v>
      </c>
      <c r="P3705" s="1" t="s">
        <v>2721</v>
      </c>
    </row>
    <row r="3706" spans="1:16">
      <c r="A3706" s="1" t="s">
        <v>15</v>
      </c>
      <c r="B3706" s="1">
        <v>11</v>
      </c>
      <c r="C3706" s="1" t="s">
        <v>8103</v>
      </c>
      <c r="D3706" s="1" t="s">
        <v>1133</v>
      </c>
      <c r="E3706" s="2">
        <v>45985</v>
      </c>
      <c r="F3706" s="1" t="s">
        <v>347</v>
      </c>
      <c r="G3706" s="1" t="s">
        <v>1134</v>
      </c>
      <c r="H3706" s="1" t="s">
        <v>1340</v>
      </c>
      <c r="I3706" s="1">
        <v>1</v>
      </c>
      <c r="J3706" s="3">
        <v>22519</v>
      </c>
      <c r="K3706" s="3">
        <v>21488</v>
      </c>
      <c r="L3706" s="1">
        <v>0</v>
      </c>
      <c r="M3706" s="4">
        <v>0</v>
      </c>
      <c r="N3706" s="3">
        <v>1031</v>
      </c>
      <c r="O3706" s="4">
        <v>4.5999999999999999E-2</v>
      </c>
      <c r="P3706" s="1" t="s">
        <v>2721</v>
      </c>
    </row>
    <row r="3707" spans="1:16">
      <c r="A3707" s="1" t="s">
        <v>15</v>
      </c>
      <c r="B3707" s="1">
        <v>11</v>
      </c>
      <c r="C3707" s="1" t="s">
        <v>8104</v>
      </c>
      <c r="D3707" s="1" t="s">
        <v>5049</v>
      </c>
      <c r="E3707" s="2">
        <v>45985</v>
      </c>
      <c r="F3707" s="1" t="s">
        <v>251</v>
      </c>
      <c r="G3707" s="1" t="s">
        <v>600</v>
      </c>
      <c r="H3707" s="1" t="s">
        <v>601</v>
      </c>
      <c r="I3707" s="1">
        <v>1</v>
      </c>
      <c r="J3707" s="3">
        <v>11599</v>
      </c>
      <c r="K3707" s="3">
        <v>11068</v>
      </c>
      <c r="L3707" s="1">
        <v>0</v>
      </c>
      <c r="M3707" s="4">
        <v>0</v>
      </c>
      <c r="N3707" s="1">
        <v>531</v>
      </c>
      <c r="O3707" s="4">
        <v>4.5999999999999999E-2</v>
      </c>
      <c r="P3707" s="1" t="s">
        <v>2721</v>
      </c>
    </row>
    <row r="3708" spans="1:16">
      <c r="A3708" s="1" t="s">
        <v>15</v>
      </c>
      <c r="B3708" s="1">
        <v>11</v>
      </c>
      <c r="C3708" s="1" t="s">
        <v>8105</v>
      </c>
      <c r="D3708" s="1" t="s">
        <v>1250</v>
      </c>
      <c r="E3708" s="2">
        <v>45985</v>
      </c>
      <c r="F3708" s="1" t="s">
        <v>18</v>
      </c>
      <c r="G3708" s="1" t="s">
        <v>1251</v>
      </c>
      <c r="H3708" s="1" t="s">
        <v>1252</v>
      </c>
      <c r="I3708" s="1">
        <v>1</v>
      </c>
      <c r="J3708" s="3">
        <v>8395</v>
      </c>
      <c r="K3708" s="3">
        <v>8011</v>
      </c>
      <c r="L3708" s="1">
        <v>0</v>
      </c>
      <c r="M3708" s="4">
        <v>0</v>
      </c>
      <c r="N3708" s="1">
        <v>384</v>
      </c>
      <c r="O3708" s="4">
        <v>4.5999999999999999E-2</v>
      </c>
      <c r="P3708" s="1" t="s">
        <v>2721</v>
      </c>
    </row>
    <row r="3709" spans="1:16">
      <c r="A3709" s="1" t="s">
        <v>15</v>
      </c>
      <c r="B3709" s="1">
        <v>11</v>
      </c>
      <c r="C3709" s="1" t="s">
        <v>8106</v>
      </c>
      <c r="D3709" s="1" t="s">
        <v>1346</v>
      </c>
      <c r="E3709" s="2">
        <v>45985</v>
      </c>
      <c r="F3709" s="1" t="s">
        <v>317</v>
      </c>
      <c r="G3709" s="1" t="s">
        <v>1347</v>
      </c>
      <c r="H3709" s="1" t="s">
        <v>3085</v>
      </c>
      <c r="I3709" s="1">
        <v>1</v>
      </c>
      <c r="J3709" s="3">
        <v>32439</v>
      </c>
      <c r="K3709" s="3">
        <v>30954</v>
      </c>
      <c r="L3709" s="1">
        <v>0</v>
      </c>
      <c r="M3709" s="4">
        <v>0</v>
      </c>
      <c r="N3709" s="3">
        <v>1485</v>
      </c>
      <c r="O3709" s="4">
        <v>4.5999999999999999E-2</v>
      </c>
      <c r="P3709" s="1" t="s">
        <v>2721</v>
      </c>
    </row>
    <row r="3710" spans="1:16">
      <c r="A3710" s="1" t="s">
        <v>15</v>
      </c>
      <c r="B3710" s="1">
        <v>11</v>
      </c>
      <c r="C3710" s="1" t="s">
        <v>8107</v>
      </c>
      <c r="D3710" s="1" t="s">
        <v>32</v>
      </c>
      <c r="E3710" s="2">
        <v>45985</v>
      </c>
      <c r="F3710" s="1" t="s">
        <v>33</v>
      </c>
      <c r="G3710" s="1" t="s">
        <v>34</v>
      </c>
      <c r="H3710" s="1" t="s">
        <v>8108</v>
      </c>
      <c r="I3710" s="1">
        <v>1</v>
      </c>
      <c r="J3710" s="3">
        <v>89552</v>
      </c>
      <c r="K3710" s="3">
        <v>85453</v>
      </c>
      <c r="L3710" s="1">
        <v>0</v>
      </c>
      <c r="M3710" s="4">
        <v>0</v>
      </c>
      <c r="N3710" s="3">
        <v>4099</v>
      </c>
      <c r="O3710" s="4">
        <v>4.5999999999999999E-2</v>
      </c>
      <c r="P3710" s="1" t="s">
        <v>2721</v>
      </c>
    </row>
    <row r="3711" spans="1:16">
      <c r="A3711" s="1" t="s">
        <v>15</v>
      </c>
      <c r="B3711" s="1">
        <v>11</v>
      </c>
      <c r="C3711" s="1" t="s">
        <v>8109</v>
      </c>
      <c r="D3711" s="1" t="s">
        <v>1283</v>
      </c>
      <c r="E3711" s="2">
        <v>45985</v>
      </c>
      <c r="F3711" s="1" t="s">
        <v>1255</v>
      </c>
      <c r="G3711" s="1" t="s">
        <v>1284</v>
      </c>
      <c r="H3711" s="1" t="s">
        <v>6021</v>
      </c>
      <c r="I3711" s="1">
        <v>1</v>
      </c>
      <c r="J3711" s="3">
        <v>46004</v>
      </c>
      <c r="K3711" s="3">
        <v>43898</v>
      </c>
      <c r="L3711" s="1">
        <v>0</v>
      </c>
      <c r="M3711" s="4">
        <v>0</v>
      </c>
      <c r="N3711" s="3">
        <v>2106</v>
      </c>
      <c r="O3711" s="4">
        <v>4.5999999999999999E-2</v>
      </c>
      <c r="P3711" s="1" t="s">
        <v>2721</v>
      </c>
    </row>
    <row r="3712" spans="1:16">
      <c r="A3712" s="1" t="s">
        <v>15</v>
      </c>
      <c r="B3712" s="1">
        <v>11</v>
      </c>
      <c r="C3712" s="1" t="s">
        <v>8110</v>
      </c>
      <c r="D3712" s="1" t="s">
        <v>132</v>
      </c>
      <c r="E3712" s="2">
        <v>45985</v>
      </c>
      <c r="F3712" s="1" t="s">
        <v>53</v>
      </c>
      <c r="G3712" s="1" t="s">
        <v>133</v>
      </c>
      <c r="H3712" s="1" t="s">
        <v>88</v>
      </c>
      <c r="I3712" s="1">
        <v>1</v>
      </c>
      <c r="J3712" s="3">
        <v>17036</v>
      </c>
      <c r="K3712" s="3">
        <v>16256</v>
      </c>
      <c r="L3712" s="1">
        <v>0</v>
      </c>
      <c r="M3712" s="4">
        <v>0</v>
      </c>
      <c r="N3712" s="1">
        <v>780</v>
      </c>
      <c r="O3712" s="4">
        <v>4.5999999999999999E-2</v>
      </c>
      <c r="P3712" s="1" t="s">
        <v>2721</v>
      </c>
    </row>
    <row r="3713" spans="1:16">
      <c r="A3713" s="1" t="s">
        <v>15</v>
      </c>
      <c r="B3713" s="1">
        <v>11</v>
      </c>
      <c r="C3713" s="1" t="s">
        <v>8111</v>
      </c>
      <c r="D3713" s="1" t="s">
        <v>359</v>
      </c>
      <c r="E3713" s="2">
        <v>45985</v>
      </c>
      <c r="F3713" s="1" t="s">
        <v>360</v>
      </c>
      <c r="G3713" s="1" t="s">
        <v>361</v>
      </c>
      <c r="H3713" s="1" t="s">
        <v>6945</v>
      </c>
      <c r="I3713" s="1">
        <v>1</v>
      </c>
      <c r="J3713" s="3">
        <v>10223</v>
      </c>
      <c r="K3713" s="3">
        <v>9755</v>
      </c>
      <c r="L3713" s="1">
        <v>0</v>
      </c>
      <c r="M3713" s="4">
        <v>0</v>
      </c>
      <c r="N3713" s="1">
        <v>468</v>
      </c>
      <c r="O3713" s="4">
        <v>4.5999999999999999E-2</v>
      </c>
      <c r="P3713" s="1" t="s">
        <v>2721</v>
      </c>
    </row>
    <row r="3714" spans="1:16">
      <c r="A3714" s="1" t="s">
        <v>15</v>
      </c>
      <c r="B3714" s="1">
        <v>11</v>
      </c>
      <c r="C3714" s="1" t="s">
        <v>8112</v>
      </c>
      <c r="D3714" s="1" t="s">
        <v>52</v>
      </c>
      <c r="E3714" s="2">
        <v>45985</v>
      </c>
      <c r="F3714" s="1" t="s">
        <v>53</v>
      </c>
      <c r="G3714" s="1" t="s">
        <v>54</v>
      </c>
      <c r="H3714" s="1" t="s">
        <v>55</v>
      </c>
      <c r="I3714" s="1">
        <v>1</v>
      </c>
      <c r="J3714" s="3">
        <v>16135</v>
      </c>
      <c r="K3714" s="3">
        <v>15396</v>
      </c>
      <c r="L3714" s="1">
        <v>0</v>
      </c>
      <c r="M3714" s="4">
        <v>0</v>
      </c>
      <c r="N3714" s="1">
        <v>739</v>
      </c>
      <c r="O3714" s="4">
        <v>4.5999999999999999E-2</v>
      </c>
      <c r="P3714" s="1" t="s">
        <v>2721</v>
      </c>
    </row>
    <row r="3715" spans="1:16">
      <c r="A3715" s="1" t="s">
        <v>15</v>
      </c>
      <c r="B3715" s="1">
        <v>11</v>
      </c>
      <c r="C3715" s="1" t="s">
        <v>8113</v>
      </c>
      <c r="D3715" s="1" t="s">
        <v>8114</v>
      </c>
      <c r="E3715" s="2">
        <v>45985</v>
      </c>
      <c r="F3715" s="1" t="s">
        <v>96</v>
      </c>
      <c r="G3715" s="1" t="s">
        <v>8115</v>
      </c>
      <c r="H3715" s="1" t="s">
        <v>5951</v>
      </c>
      <c r="I3715" s="1">
        <v>1</v>
      </c>
      <c r="J3715" s="3">
        <v>8863</v>
      </c>
      <c r="K3715" s="3">
        <v>8457</v>
      </c>
      <c r="L3715" s="1">
        <v>0</v>
      </c>
      <c r="M3715" s="4">
        <v>0</v>
      </c>
      <c r="N3715" s="1">
        <v>406</v>
      </c>
      <c r="O3715" s="4">
        <v>4.5999999999999999E-2</v>
      </c>
      <c r="P3715" s="1" t="s">
        <v>2721</v>
      </c>
    </row>
    <row r="3716" spans="1:16">
      <c r="A3716" s="1" t="s">
        <v>15</v>
      </c>
      <c r="B3716" s="1">
        <v>11</v>
      </c>
      <c r="C3716" s="1" t="s">
        <v>8116</v>
      </c>
      <c r="D3716" s="1" t="s">
        <v>228</v>
      </c>
      <c r="E3716" s="2">
        <v>45985</v>
      </c>
      <c r="F3716" s="1" t="s">
        <v>53</v>
      </c>
      <c r="G3716" s="1" t="s">
        <v>229</v>
      </c>
      <c r="H3716" s="1" t="s">
        <v>230</v>
      </c>
      <c r="I3716" s="1">
        <v>1</v>
      </c>
      <c r="J3716" s="3">
        <v>9825</v>
      </c>
      <c r="K3716" s="3">
        <v>9375</v>
      </c>
      <c r="L3716" s="1">
        <v>0</v>
      </c>
      <c r="M3716" s="4">
        <v>0</v>
      </c>
      <c r="N3716" s="1">
        <v>450</v>
      </c>
      <c r="O3716" s="4">
        <v>4.5999999999999999E-2</v>
      </c>
      <c r="P3716" s="1" t="s">
        <v>2721</v>
      </c>
    </row>
    <row r="3717" spans="1:16">
      <c r="A3717" s="1" t="s">
        <v>15</v>
      </c>
      <c r="B3717" s="1">
        <v>11</v>
      </c>
      <c r="C3717" s="1" t="s">
        <v>8117</v>
      </c>
      <c r="D3717" s="1" t="s">
        <v>3758</v>
      </c>
      <c r="E3717" s="2">
        <v>45985</v>
      </c>
      <c r="F3717" s="1" t="s">
        <v>68</v>
      </c>
      <c r="G3717" s="1" t="s">
        <v>3759</v>
      </c>
      <c r="H3717" s="1" t="s">
        <v>3760</v>
      </c>
      <c r="I3717" s="1">
        <v>1</v>
      </c>
      <c r="J3717" s="3">
        <v>20112</v>
      </c>
      <c r="K3717" s="3">
        <v>19191</v>
      </c>
      <c r="L3717" s="1">
        <v>0</v>
      </c>
      <c r="M3717" s="4">
        <v>0</v>
      </c>
      <c r="N3717" s="1">
        <v>921</v>
      </c>
      <c r="O3717" s="4">
        <v>4.5999999999999999E-2</v>
      </c>
      <c r="P3717" s="1" t="s">
        <v>2721</v>
      </c>
    </row>
    <row r="3718" spans="1:16">
      <c r="A3718" s="1" t="s">
        <v>15</v>
      </c>
      <c r="B3718" s="1">
        <v>11</v>
      </c>
      <c r="C3718" s="1" t="s">
        <v>8118</v>
      </c>
      <c r="D3718" s="1" t="s">
        <v>4629</v>
      </c>
      <c r="E3718" s="2">
        <v>45985</v>
      </c>
      <c r="F3718" s="1" t="s">
        <v>63</v>
      </c>
      <c r="G3718" s="1" t="s">
        <v>4630</v>
      </c>
      <c r="H3718" s="1" t="s">
        <v>1655</v>
      </c>
      <c r="I3718" s="1">
        <v>1</v>
      </c>
      <c r="J3718" s="3">
        <v>6009</v>
      </c>
      <c r="K3718" s="3">
        <v>5734</v>
      </c>
      <c r="L3718" s="1">
        <v>0</v>
      </c>
      <c r="M3718" s="4">
        <v>0</v>
      </c>
      <c r="N3718" s="1">
        <v>275</v>
      </c>
      <c r="O3718" s="4">
        <v>4.5999999999999999E-2</v>
      </c>
      <c r="P3718" s="1" t="s">
        <v>2721</v>
      </c>
    </row>
    <row r="3719" spans="1:16">
      <c r="A3719" s="1" t="s">
        <v>15</v>
      </c>
      <c r="B3719" s="1">
        <v>11</v>
      </c>
      <c r="C3719" s="1" t="s">
        <v>8119</v>
      </c>
      <c r="D3719" s="1" t="s">
        <v>482</v>
      </c>
      <c r="E3719" s="2">
        <v>45985</v>
      </c>
      <c r="F3719" s="1" t="s">
        <v>483</v>
      </c>
      <c r="G3719" s="1" t="s">
        <v>484</v>
      </c>
      <c r="H3719" s="1" t="s">
        <v>1777</v>
      </c>
      <c r="I3719" s="1">
        <v>1</v>
      </c>
      <c r="J3719" s="3">
        <v>27426</v>
      </c>
      <c r="K3719" s="3">
        <v>26170</v>
      </c>
      <c r="L3719" s="1">
        <v>0</v>
      </c>
      <c r="M3719" s="4">
        <v>0</v>
      </c>
      <c r="N3719" s="3">
        <v>1256</v>
      </c>
      <c r="O3719" s="4">
        <v>4.5999999999999999E-2</v>
      </c>
      <c r="P3719" s="1" t="s">
        <v>2721</v>
      </c>
    </row>
    <row r="3720" spans="1:16">
      <c r="A3720" s="1" t="s">
        <v>15</v>
      </c>
      <c r="B3720" s="1">
        <v>11</v>
      </c>
      <c r="C3720" s="1" t="s">
        <v>8120</v>
      </c>
      <c r="D3720" s="1" t="s">
        <v>569</v>
      </c>
      <c r="E3720" s="2">
        <v>45985</v>
      </c>
      <c r="F3720" s="1" t="s">
        <v>570</v>
      </c>
      <c r="G3720" s="1" t="s">
        <v>571</v>
      </c>
      <c r="H3720" s="1" t="s">
        <v>572</v>
      </c>
      <c r="I3720" s="1">
        <v>1</v>
      </c>
      <c r="J3720" s="3">
        <v>19660</v>
      </c>
      <c r="K3720" s="3">
        <v>18760</v>
      </c>
      <c r="L3720" s="1">
        <v>0</v>
      </c>
      <c r="M3720" s="4">
        <v>0</v>
      </c>
      <c r="N3720" s="1">
        <v>900</v>
      </c>
      <c r="O3720" s="4">
        <v>4.5999999999999999E-2</v>
      </c>
      <c r="P3720" s="1" t="s">
        <v>2721</v>
      </c>
    </row>
    <row r="3721" spans="1:16">
      <c r="A3721" s="1" t="s">
        <v>15</v>
      </c>
      <c r="B3721" s="1">
        <v>11</v>
      </c>
      <c r="C3721" s="1" t="s">
        <v>8121</v>
      </c>
      <c r="D3721" s="1" t="s">
        <v>260</v>
      </c>
      <c r="E3721" s="2">
        <v>45985</v>
      </c>
      <c r="F3721" s="1" t="s">
        <v>261</v>
      </c>
      <c r="G3721" s="1" t="s">
        <v>262</v>
      </c>
      <c r="H3721" s="1" t="s">
        <v>263</v>
      </c>
      <c r="I3721" s="1">
        <v>1</v>
      </c>
      <c r="J3721" s="3">
        <v>44235</v>
      </c>
      <c r="K3721" s="3">
        <v>42210</v>
      </c>
      <c r="L3721" s="1">
        <v>0</v>
      </c>
      <c r="M3721" s="4">
        <v>0</v>
      </c>
      <c r="N3721" s="3">
        <v>2025</v>
      </c>
      <c r="O3721" s="4">
        <v>4.5999999999999999E-2</v>
      </c>
      <c r="P3721" s="1" t="s">
        <v>2721</v>
      </c>
    </row>
    <row r="3722" spans="1:16">
      <c r="A3722" s="1" t="s">
        <v>15</v>
      </c>
      <c r="B3722" s="1">
        <v>11</v>
      </c>
      <c r="C3722" s="1" t="s">
        <v>8122</v>
      </c>
      <c r="D3722" s="1" t="s">
        <v>2490</v>
      </c>
      <c r="E3722" s="2">
        <v>45985</v>
      </c>
      <c r="F3722" s="1" t="s">
        <v>753</v>
      </c>
      <c r="G3722" s="1" t="s">
        <v>2491</v>
      </c>
      <c r="H3722" s="1" t="s">
        <v>2492</v>
      </c>
      <c r="I3722" s="1">
        <v>1</v>
      </c>
      <c r="J3722" s="3">
        <v>24870</v>
      </c>
      <c r="K3722" s="3">
        <v>23731</v>
      </c>
      <c r="L3722" s="1">
        <v>0</v>
      </c>
      <c r="M3722" s="4">
        <v>0</v>
      </c>
      <c r="N3722" s="3">
        <v>1139</v>
      </c>
      <c r="O3722" s="4">
        <v>4.5999999999999999E-2</v>
      </c>
      <c r="P3722" s="1" t="s">
        <v>2721</v>
      </c>
    </row>
    <row r="3723" spans="1:16">
      <c r="A3723" s="1" t="s">
        <v>15</v>
      </c>
      <c r="B3723" s="1">
        <v>11</v>
      </c>
      <c r="C3723" s="1" t="s">
        <v>8123</v>
      </c>
      <c r="D3723" s="1" t="s">
        <v>906</v>
      </c>
      <c r="E3723" s="2">
        <v>45985</v>
      </c>
      <c r="F3723" s="1" t="s">
        <v>554</v>
      </c>
      <c r="G3723" s="1" t="s">
        <v>907</v>
      </c>
      <c r="H3723" s="1" t="s">
        <v>908</v>
      </c>
      <c r="I3723" s="1">
        <v>1</v>
      </c>
      <c r="J3723" s="3">
        <v>52394</v>
      </c>
      <c r="K3723" s="3">
        <v>49995</v>
      </c>
      <c r="L3723" s="1">
        <v>0</v>
      </c>
      <c r="M3723" s="4">
        <v>0</v>
      </c>
      <c r="N3723" s="3">
        <v>2399</v>
      </c>
      <c r="O3723" s="4">
        <v>4.5999999999999999E-2</v>
      </c>
      <c r="P3723" s="1" t="s">
        <v>2721</v>
      </c>
    </row>
    <row r="3724" spans="1:16">
      <c r="A3724" s="1" t="s">
        <v>15</v>
      </c>
      <c r="B3724" s="1">
        <v>11</v>
      </c>
      <c r="C3724" s="1" t="s">
        <v>8124</v>
      </c>
      <c r="D3724" s="1" t="s">
        <v>22</v>
      </c>
      <c r="E3724" s="2">
        <v>45985</v>
      </c>
      <c r="F3724" s="1" t="s">
        <v>23</v>
      </c>
      <c r="G3724" s="1" t="s">
        <v>24</v>
      </c>
      <c r="H3724" s="1" t="s">
        <v>25</v>
      </c>
      <c r="I3724" s="1">
        <v>2</v>
      </c>
      <c r="J3724" s="3">
        <v>22609</v>
      </c>
      <c r="K3724" s="3">
        <v>21574</v>
      </c>
      <c r="L3724" s="1">
        <v>0</v>
      </c>
      <c r="M3724" s="4">
        <v>0</v>
      </c>
      <c r="N3724" s="3">
        <v>1035</v>
      </c>
      <c r="O3724" s="4">
        <v>4.5999999999999999E-2</v>
      </c>
      <c r="P3724" s="1" t="s">
        <v>2721</v>
      </c>
    </row>
    <row r="3725" spans="1:16">
      <c r="A3725" s="1" t="s">
        <v>15</v>
      </c>
      <c r="B3725" s="1">
        <v>11</v>
      </c>
      <c r="C3725" s="1" t="s">
        <v>8125</v>
      </c>
      <c r="D3725" s="1" t="s">
        <v>542</v>
      </c>
      <c r="E3725" s="2">
        <v>45985</v>
      </c>
      <c r="F3725" s="1" t="s">
        <v>543</v>
      </c>
      <c r="G3725" s="1" t="s">
        <v>544</v>
      </c>
      <c r="H3725" s="1" t="s">
        <v>545</v>
      </c>
      <c r="I3725" s="1">
        <v>1</v>
      </c>
      <c r="J3725" s="3">
        <v>36371</v>
      </c>
      <c r="K3725" s="3">
        <v>34706</v>
      </c>
      <c r="L3725" s="1">
        <v>0</v>
      </c>
      <c r="M3725" s="4">
        <v>0</v>
      </c>
      <c r="N3725" s="3">
        <v>1665</v>
      </c>
      <c r="O3725" s="4">
        <v>4.5999999999999999E-2</v>
      </c>
      <c r="P3725" s="1" t="s">
        <v>2721</v>
      </c>
    </row>
    <row r="3726" spans="1:16">
      <c r="A3726" s="1" t="s">
        <v>15</v>
      </c>
      <c r="B3726" s="1">
        <v>11</v>
      </c>
      <c r="C3726" s="1" t="s">
        <v>8126</v>
      </c>
      <c r="D3726" s="1" t="s">
        <v>22</v>
      </c>
      <c r="E3726" s="2">
        <v>45985</v>
      </c>
      <c r="F3726" s="1" t="s">
        <v>23</v>
      </c>
      <c r="G3726" s="1" t="s">
        <v>24</v>
      </c>
      <c r="H3726" s="1" t="s">
        <v>25</v>
      </c>
      <c r="I3726" s="1">
        <v>3</v>
      </c>
      <c r="J3726" s="3">
        <v>33914</v>
      </c>
      <c r="K3726" s="3">
        <v>32361</v>
      </c>
      <c r="L3726" s="1">
        <v>0</v>
      </c>
      <c r="M3726" s="4">
        <v>0</v>
      </c>
      <c r="N3726" s="3">
        <v>1553</v>
      </c>
      <c r="O3726" s="4">
        <v>4.5999999999999999E-2</v>
      </c>
      <c r="P3726" s="1" t="s">
        <v>2721</v>
      </c>
    </row>
    <row r="3727" spans="1:16">
      <c r="A3727" s="1" t="s">
        <v>15</v>
      </c>
      <c r="B3727" s="1">
        <v>11</v>
      </c>
      <c r="C3727" s="1" t="s">
        <v>8127</v>
      </c>
      <c r="D3727" s="1" t="s">
        <v>169</v>
      </c>
      <c r="E3727" s="2">
        <v>45985</v>
      </c>
      <c r="F3727" s="1" t="s">
        <v>53</v>
      </c>
      <c r="G3727" s="1" t="s">
        <v>170</v>
      </c>
      <c r="H3727" s="1" t="s">
        <v>171</v>
      </c>
      <c r="I3727" s="1">
        <v>1</v>
      </c>
      <c r="J3727" s="3">
        <v>14332</v>
      </c>
      <c r="K3727" s="3">
        <v>13676</v>
      </c>
      <c r="L3727" s="1">
        <v>0</v>
      </c>
      <c r="M3727" s="4">
        <v>0</v>
      </c>
      <c r="N3727" s="1">
        <v>656</v>
      </c>
      <c r="O3727" s="4">
        <v>4.5999999999999999E-2</v>
      </c>
      <c r="P3727" s="1" t="s">
        <v>2721</v>
      </c>
    </row>
    <row r="3728" spans="1:16">
      <c r="A3728" s="1" t="s">
        <v>15</v>
      </c>
      <c r="B3728" s="1">
        <v>11</v>
      </c>
      <c r="C3728" s="1" t="s">
        <v>8128</v>
      </c>
      <c r="D3728" s="1" t="s">
        <v>169</v>
      </c>
      <c r="E3728" s="2">
        <v>45985</v>
      </c>
      <c r="F3728" s="1" t="s">
        <v>53</v>
      </c>
      <c r="G3728" s="1" t="s">
        <v>170</v>
      </c>
      <c r="H3728" s="1" t="s">
        <v>171</v>
      </c>
      <c r="I3728" s="1">
        <v>1</v>
      </c>
      <c r="J3728" s="3">
        <v>14332</v>
      </c>
      <c r="K3728" s="3">
        <v>13676</v>
      </c>
      <c r="L3728" s="1">
        <v>0</v>
      </c>
      <c r="M3728" s="4">
        <v>0</v>
      </c>
      <c r="N3728" s="1">
        <v>656</v>
      </c>
      <c r="O3728" s="4">
        <v>4.5999999999999999E-2</v>
      </c>
      <c r="P3728" s="1" t="s">
        <v>2721</v>
      </c>
    </row>
    <row r="3729" spans="1:16">
      <c r="A3729" s="1" t="s">
        <v>15</v>
      </c>
      <c r="B3729" s="1">
        <v>11</v>
      </c>
      <c r="C3729" s="1" t="s">
        <v>8129</v>
      </c>
      <c r="D3729" s="1" t="s">
        <v>8130</v>
      </c>
      <c r="E3729" s="2">
        <v>45985</v>
      </c>
      <c r="F3729" s="1" t="s">
        <v>7088</v>
      </c>
      <c r="G3729" s="1" t="s">
        <v>8131</v>
      </c>
      <c r="H3729" s="1" t="s">
        <v>8132</v>
      </c>
      <c r="I3729" s="1">
        <v>1</v>
      </c>
      <c r="J3729" s="3">
        <v>24231</v>
      </c>
      <c r="K3729" s="3">
        <v>23122</v>
      </c>
      <c r="L3729" s="1">
        <v>0</v>
      </c>
      <c r="M3729" s="4">
        <v>0</v>
      </c>
      <c r="N3729" s="3">
        <v>1109</v>
      </c>
      <c r="O3729" s="4">
        <v>4.5999999999999999E-2</v>
      </c>
      <c r="P3729" s="1" t="s">
        <v>2721</v>
      </c>
    </row>
    <row r="3730" spans="1:16">
      <c r="A3730" s="1" t="s">
        <v>15</v>
      </c>
      <c r="B3730" s="1">
        <v>11</v>
      </c>
      <c r="C3730" s="1" t="s">
        <v>8133</v>
      </c>
      <c r="D3730" s="1" t="s">
        <v>3693</v>
      </c>
      <c r="E3730" s="2">
        <v>45985</v>
      </c>
      <c r="F3730" s="1" t="s">
        <v>2206</v>
      </c>
      <c r="G3730" s="1" t="s">
        <v>3694</v>
      </c>
      <c r="H3730" s="1" t="s">
        <v>3695</v>
      </c>
      <c r="I3730" s="1">
        <v>1</v>
      </c>
      <c r="J3730" s="3">
        <v>35421</v>
      </c>
      <c r="K3730" s="3">
        <v>33800</v>
      </c>
      <c r="L3730" s="1">
        <v>0</v>
      </c>
      <c r="M3730" s="4">
        <v>0</v>
      </c>
      <c r="N3730" s="3">
        <v>1621</v>
      </c>
      <c r="O3730" s="4">
        <v>4.5999999999999999E-2</v>
      </c>
      <c r="P3730" s="1" t="s">
        <v>2721</v>
      </c>
    </row>
    <row r="3731" spans="1:16">
      <c r="A3731" s="1" t="s">
        <v>15</v>
      </c>
      <c r="B3731" s="1">
        <v>11</v>
      </c>
      <c r="C3731" s="1" t="s">
        <v>8134</v>
      </c>
      <c r="D3731" s="1" t="s">
        <v>4669</v>
      </c>
      <c r="E3731" s="2">
        <v>45985</v>
      </c>
      <c r="F3731" s="1" t="s">
        <v>63</v>
      </c>
      <c r="G3731" s="1" t="s">
        <v>4670</v>
      </c>
      <c r="H3731" s="1" t="s">
        <v>118</v>
      </c>
      <c r="I3731" s="1">
        <v>1</v>
      </c>
      <c r="J3731" s="3">
        <v>18627</v>
      </c>
      <c r="K3731" s="3">
        <v>17774</v>
      </c>
      <c r="L3731" s="1">
        <v>0</v>
      </c>
      <c r="M3731" s="4">
        <v>0</v>
      </c>
      <c r="N3731" s="1">
        <v>853</v>
      </c>
      <c r="O3731" s="4">
        <v>4.5999999999999999E-2</v>
      </c>
      <c r="P3731" s="1" t="s">
        <v>2721</v>
      </c>
    </row>
    <row r="3732" spans="1:16">
      <c r="A3732" s="1" t="s">
        <v>15</v>
      </c>
      <c r="B3732" s="1">
        <v>11</v>
      </c>
      <c r="C3732" s="1" t="s">
        <v>8135</v>
      </c>
      <c r="D3732" s="1" t="s">
        <v>238</v>
      </c>
      <c r="E3732" s="2">
        <v>45985</v>
      </c>
      <c r="F3732" s="1" t="s">
        <v>239</v>
      </c>
      <c r="G3732" s="1" t="s">
        <v>240</v>
      </c>
      <c r="H3732" s="1" t="s">
        <v>241</v>
      </c>
      <c r="I3732" s="1">
        <v>1</v>
      </c>
      <c r="J3732" s="3">
        <v>11305</v>
      </c>
      <c r="K3732" s="3">
        <v>10787</v>
      </c>
      <c r="L3732" s="1">
        <v>0</v>
      </c>
      <c r="M3732" s="4">
        <v>0</v>
      </c>
      <c r="N3732" s="1">
        <v>518</v>
      </c>
      <c r="O3732" s="4">
        <v>4.5999999999999999E-2</v>
      </c>
      <c r="P3732" s="1" t="s">
        <v>2721</v>
      </c>
    </row>
    <row r="3733" spans="1:16">
      <c r="A3733" s="1" t="s">
        <v>15</v>
      </c>
      <c r="B3733" s="1">
        <v>11</v>
      </c>
      <c r="C3733" s="1" t="s">
        <v>8135</v>
      </c>
      <c r="D3733" s="1" t="s">
        <v>238</v>
      </c>
      <c r="E3733" s="2">
        <v>45985</v>
      </c>
      <c r="F3733" s="1" t="s">
        <v>239</v>
      </c>
      <c r="G3733" s="1" t="s">
        <v>240</v>
      </c>
      <c r="H3733" s="1" t="s">
        <v>242</v>
      </c>
      <c r="I3733" s="1">
        <v>1</v>
      </c>
      <c r="J3733" s="3">
        <v>11305</v>
      </c>
      <c r="K3733" s="3">
        <v>10787</v>
      </c>
      <c r="L3733" s="1">
        <v>0</v>
      </c>
      <c r="M3733" s="4">
        <v>0</v>
      </c>
      <c r="N3733" s="1">
        <v>518</v>
      </c>
      <c r="O3733" s="4">
        <v>4.5999999999999999E-2</v>
      </c>
      <c r="P3733" s="1" t="s">
        <v>2721</v>
      </c>
    </row>
    <row r="3734" spans="1:16">
      <c r="A3734" s="1" t="s">
        <v>15</v>
      </c>
      <c r="B3734" s="1">
        <v>11</v>
      </c>
      <c r="C3734" s="1" t="s">
        <v>8136</v>
      </c>
      <c r="D3734" s="1" t="s">
        <v>72</v>
      </c>
      <c r="E3734" s="2">
        <v>45985</v>
      </c>
      <c r="F3734" s="1" t="s">
        <v>63</v>
      </c>
      <c r="G3734" s="1" t="s">
        <v>73</v>
      </c>
      <c r="H3734" s="1" t="s">
        <v>74</v>
      </c>
      <c r="I3734" s="1">
        <v>1</v>
      </c>
      <c r="J3734" s="3">
        <v>10456</v>
      </c>
      <c r="K3734" s="3">
        <v>9978</v>
      </c>
      <c r="L3734" s="1">
        <v>0</v>
      </c>
      <c r="M3734" s="4">
        <v>0</v>
      </c>
      <c r="N3734" s="1">
        <v>478</v>
      </c>
      <c r="O3734" s="4">
        <v>4.5999999999999999E-2</v>
      </c>
      <c r="P3734" s="1" t="s">
        <v>2721</v>
      </c>
    </row>
    <row r="3735" spans="1:16">
      <c r="A3735" s="1" t="s">
        <v>15</v>
      </c>
      <c r="B3735" s="1">
        <v>11</v>
      </c>
      <c r="C3735" s="1" t="s">
        <v>8137</v>
      </c>
      <c r="D3735" s="1" t="s">
        <v>244</v>
      </c>
      <c r="E3735" s="2">
        <v>45985</v>
      </c>
      <c r="F3735" s="1" t="s">
        <v>53</v>
      </c>
      <c r="G3735" s="1" t="s">
        <v>245</v>
      </c>
      <c r="H3735" s="1" t="s">
        <v>1166</v>
      </c>
      <c r="I3735" s="1">
        <v>1</v>
      </c>
      <c r="J3735" s="3">
        <v>8272</v>
      </c>
      <c r="K3735" s="3">
        <v>7893</v>
      </c>
      <c r="L3735" s="1">
        <v>0</v>
      </c>
      <c r="M3735" s="4">
        <v>0</v>
      </c>
      <c r="N3735" s="1">
        <v>379</v>
      </c>
      <c r="O3735" s="4">
        <v>4.5999999999999999E-2</v>
      </c>
      <c r="P3735" s="1" t="s">
        <v>2721</v>
      </c>
    </row>
    <row r="3736" spans="1:16">
      <c r="A3736" s="1" t="s">
        <v>15</v>
      </c>
      <c r="B3736" s="1">
        <v>11</v>
      </c>
      <c r="C3736" s="1" t="s">
        <v>8138</v>
      </c>
      <c r="D3736" s="1" t="s">
        <v>5405</v>
      </c>
      <c r="E3736" s="2">
        <v>45985</v>
      </c>
      <c r="F3736" s="1" t="s">
        <v>646</v>
      </c>
      <c r="G3736" s="1" t="s">
        <v>5406</v>
      </c>
      <c r="H3736" s="1" t="s">
        <v>1921</v>
      </c>
      <c r="I3736" s="1">
        <v>1</v>
      </c>
      <c r="J3736" s="3">
        <v>137915</v>
      </c>
      <c r="K3736" s="3">
        <v>131601</v>
      </c>
      <c r="L3736" s="1">
        <v>0</v>
      </c>
      <c r="M3736" s="4">
        <v>0</v>
      </c>
      <c r="N3736" s="3">
        <v>6314</v>
      </c>
      <c r="O3736" s="4">
        <v>4.5999999999999999E-2</v>
      </c>
      <c r="P3736" s="1" t="s">
        <v>2721</v>
      </c>
    </row>
    <row r="3737" spans="1:16">
      <c r="A3737" s="1" t="s">
        <v>15</v>
      </c>
      <c r="B3737" s="1">
        <v>11</v>
      </c>
      <c r="C3737" s="1" t="s">
        <v>8139</v>
      </c>
      <c r="D3737" s="1" t="s">
        <v>3667</v>
      </c>
      <c r="E3737" s="2">
        <v>45985</v>
      </c>
      <c r="F3737" s="1" t="s">
        <v>1381</v>
      </c>
      <c r="G3737" s="1" t="s">
        <v>3668</v>
      </c>
      <c r="H3737" s="1" t="s">
        <v>3669</v>
      </c>
      <c r="I3737" s="1">
        <v>1</v>
      </c>
      <c r="J3737" s="3">
        <v>10813</v>
      </c>
      <c r="K3737" s="3">
        <v>10318</v>
      </c>
      <c r="L3737" s="1">
        <v>0</v>
      </c>
      <c r="M3737" s="4">
        <v>0</v>
      </c>
      <c r="N3737" s="1">
        <v>495</v>
      </c>
      <c r="O3737" s="4">
        <v>4.5999999999999999E-2</v>
      </c>
      <c r="P3737" s="1" t="s">
        <v>2721</v>
      </c>
    </row>
    <row r="3738" spans="1:16">
      <c r="A3738" s="1" t="s">
        <v>15</v>
      </c>
      <c r="B3738" s="1">
        <v>11</v>
      </c>
      <c r="C3738" s="1" t="s">
        <v>8140</v>
      </c>
      <c r="D3738" s="1" t="s">
        <v>777</v>
      </c>
      <c r="E3738" s="2">
        <v>45985</v>
      </c>
      <c r="F3738" s="1" t="s">
        <v>256</v>
      </c>
      <c r="G3738" s="1" t="s">
        <v>778</v>
      </c>
      <c r="H3738" s="1" t="s">
        <v>779</v>
      </c>
      <c r="I3738" s="1">
        <v>1</v>
      </c>
      <c r="J3738" s="3">
        <v>11010</v>
      </c>
      <c r="K3738" s="3">
        <v>10506</v>
      </c>
      <c r="L3738" s="1">
        <v>0</v>
      </c>
      <c r="M3738" s="4">
        <v>0</v>
      </c>
      <c r="N3738" s="1">
        <v>504</v>
      </c>
      <c r="O3738" s="4">
        <v>4.5999999999999999E-2</v>
      </c>
      <c r="P3738" s="1" t="s">
        <v>2721</v>
      </c>
    </row>
    <row r="3739" spans="1:16">
      <c r="A3739" s="1" t="s">
        <v>15</v>
      </c>
      <c r="B3739" s="1">
        <v>11</v>
      </c>
      <c r="C3739" s="1" t="s">
        <v>8141</v>
      </c>
      <c r="D3739" s="1" t="s">
        <v>922</v>
      </c>
      <c r="E3739" s="2">
        <v>45985</v>
      </c>
      <c r="F3739" s="1" t="s">
        <v>126</v>
      </c>
      <c r="G3739" s="1" t="s">
        <v>923</v>
      </c>
      <c r="H3739" s="1" t="s">
        <v>1608</v>
      </c>
      <c r="I3739" s="1">
        <v>1</v>
      </c>
      <c r="J3739" s="3">
        <v>29687</v>
      </c>
      <c r="K3739" s="3">
        <v>28328</v>
      </c>
      <c r="L3739" s="1">
        <v>0</v>
      </c>
      <c r="M3739" s="4">
        <v>0</v>
      </c>
      <c r="N3739" s="3">
        <v>1359</v>
      </c>
      <c r="O3739" s="4">
        <v>4.5999999999999999E-2</v>
      </c>
      <c r="P3739" s="1" t="s">
        <v>2721</v>
      </c>
    </row>
    <row r="3740" spans="1:16">
      <c r="A3740" s="1" t="s">
        <v>15</v>
      </c>
      <c r="B3740" s="1">
        <v>11</v>
      </c>
      <c r="C3740" s="1" t="s">
        <v>8142</v>
      </c>
      <c r="D3740" s="1" t="s">
        <v>6422</v>
      </c>
      <c r="E3740" s="2">
        <v>45985</v>
      </c>
      <c r="F3740" s="1" t="s">
        <v>431</v>
      </c>
      <c r="G3740" s="1" t="s">
        <v>6423</v>
      </c>
      <c r="H3740" s="1" t="s">
        <v>6424</v>
      </c>
      <c r="I3740" s="1">
        <v>1</v>
      </c>
      <c r="J3740" s="3">
        <v>46201</v>
      </c>
      <c r="K3740" s="3">
        <v>44086</v>
      </c>
      <c r="L3740" s="1">
        <v>0</v>
      </c>
      <c r="M3740" s="4">
        <v>0</v>
      </c>
      <c r="N3740" s="3">
        <v>2115</v>
      </c>
      <c r="O3740" s="4">
        <v>4.5999999999999999E-2</v>
      </c>
      <c r="P3740" s="1" t="s">
        <v>2721</v>
      </c>
    </row>
    <row r="3741" spans="1:16">
      <c r="A3741" s="1" t="s">
        <v>15</v>
      </c>
      <c r="B3741" s="1">
        <v>11</v>
      </c>
      <c r="C3741" s="1" t="s">
        <v>8143</v>
      </c>
      <c r="D3741" s="1" t="s">
        <v>221</v>
      </c>
      <c r="E3741" s="2">
        <v>45985</v>
      </c>
      <c r="F3741" s="1" t="s">
        <v>96</v>
      </c>
      <c r="G3741" s="1" t="s">
        <v>222</v>
      </c>
      <c r="H3741" s="1" t="s">
        <v>5793</v>
      </c>
      <c r="I3741" s="1">
        <v>1</v>
      </c>
      <c r="J3741" s="3">
        <v>12571</v>
      </c>
      <c r="K3741" s="3">
        <v>11995</v>
      </c>
      <c r="L3741" s="1">
        <v>0</v>
      </c>
      <c r="M3741" s="4">
        <v>0</v>
      </c>
      <c r="N3741" s="1">
        <v>576</v>
      </c>
      <c r="O3741" s="4">
        <v>4.5999999999999999E-2</v>
      </c>
      <c r="P3741" s="1" t="s">
        <v>2721</v>
      </c>
    </row>
    <row r="3742" spans="1:16">
      <c r="A3742" s="1" t="s">
        <v>15</v>
      </c>
      <c r="B3742" s="1">
        <v>11</v>
      </c>
      <c r="C3742" s="1" t="s">
        <v>8144</v>
      </c>
      <c r="D3742" s="1" t="s">
        <v>1508</v>
      </c>
      <c r="E3742" s="2">
        <v>45985</v>
      </c>
      <c r="F3742" s="1" t="s">
        <v>53</v>
      </c>
      <c r="G3742" s="1" t="s">
        <v>1509</v>
      </c>
      <c r="H3742" s="1" t="s">
        <v>8145</v>
      </c>
      <c r="I3742" s="1">
        <v>1</v>
      </c>
      <c r="J3742" s="3">
        <v>14332</v>
      </c>
      <c r="K3742" s="3">
        <v>13676</v>
      </c>
      <c r="L3742" s="1">
        <v>0</v>
      </c>
      <c r="M3742" s="4">
        <v>0</v>
      </c>
      <c r="N3742" s="1">
        <v>656</v>
      </c>
      <c r="O3742" s="4">
        <v>4.5999999999999999E-2</v>
      </c>
      <c r="P3742" s="1" t="s">
        <v>2721</v>
      </c>
    </row>
    <row r="3743" spans="1:16">
      <c r="A3743" s="1" t="s">
        <v>15</v>
      </c>
      <c r="B3743" s="1">
        <v>11</v>
      </c>
      <c r="C3743" s="1" t="s">
        <v>8146</v>
      </c>
      <c r="D3743" s="1" t="s">
        <v>7402</v>
      </c>
      <c r="E3743" s="2">
        <v>45985</v>
      </c>
      <c r="F3743" s="1" t="s">
        <v>524</v>
      </c>
      <c r="G3743" s="1" t="s">
        <v>7403</v>
      </c>
      <c r="H3743" s="1" t="s">
        <v>7404</v>
      </c>
      <c r="I3743" s="1">
        <v>1</v>
      </c>
      <c r="J3743" s="3">
        <v>66565</v>
      </c>
      <c r="K3743" s="3">
        <v>63518</v>
      </c>
      <c r="L3743" s="1">
        <v>0</v>
      </c>
      <c r="M3743" s="4">
        <v>0</v>
      </c>
      <c r="N3743" s="3">
        <v>3047</v>
      </c>
      <c r="O3743" s="4">
        <v>4.5999999999999999E-2</v>
      </c>
      <c r="P3743" s="1" t="s">
        <v>2721</v>
      </c>
    </row>
    <row r="3744" spans="1:16">
      <c r="A3744" s="1" t="s">
        <v>15</v>
      </c>
      <c r="B3744" s="1">
        <v>11</v>
      </c>
      <c r="C3744" s="1" t="s">
        <v>8147</v>
      </c>
      <c r="D3744" s="1" t="s">
        <v>1346</v>
      </c>
      <c r="E3744" s="2">
        <v>45985</v>
      </c>
      <c r="F3744" s="1" t="s">
        <v>317</v>
      </c>
      <c r="G3744" s="1" t="s">
        <v>1347</v>
      </c>
      <c r="H3744" s="1" t="s">
        <v>742</v>
      </c>
      <c r="I3744" s="1">
        <v>1</v>
      </c>
      <c r="J3744" s="3">
        <v>27524</v>
      </c>
      <c r="K3744" s="3">
        <v>26264</v>
      </c>
      <c r="L3744" s="1">
        <v>0</v>
      </c>
      <c r="M3744" s="4">
        <v>0</v>
      </c>
      <c r="N3744" s="3">
        <v>1260</v>
      </c>
      <c r="O3744" s="4">
        <v>4.5999999999999999E-2</v>
      </c>
      <c r="P3744" s="1" t="s">
        <v>2721</v>
      </c>
    </row>
    <row r="3745" spans="1:16">
      <c r="A3745" s="1" t="s">
        <v>15</v>
      </c>
      <c r="B3745" s="1">
        <v>11</v>
      </c>
      <c r="C3745" s="1" t="s">
        <v>8148</v>
      </c>
      <c r="D3745" s="1" t="s">
        <v>504</v>
      </c>
      <c r="E3745" s="2">
        <v>45985</v>
      </c>
      <c r="F3745" s="1" t="s">
        <v>407</v>
      </c>
      <c r="G3745" s="1" t="s">
        <v>505</v>
      </c>
      <c r="H3745" s="1" t="s">
        <v>1131</v>
      </c>
      <c r="I3745" s="1">
        <v>1</v>
      </c>
      <c r="J3745" s="3">
        <v>54065</v>
      </c>
      <c r="K3745" s="3">
        <v>51590</v>
      </c>
      <c r="L3745" s="1">
        <v>0</v>
      </c>
      <c r="M3745" s="4">
        <v>0</v>
      </c>
      <c r="N3745" s="3">
        <v>2475</v>
      </c>
      <c r="O3745" s="4">
        <v>4.5999999999999999E-2</v>
      </c>
      <c r="P3745" s="1" t="s">
        <v>2721</v>
      </c>
    </row>
    <row r="3746" spans="1:16">
      <c r="A3746" s="1" t="s">
        <v>15</v>
      </c>
      <c r="B3746" s="1">
        <v>11</v>
      </c>
      <c r="C3746" s="1" t="s">
        <v>8149</v>
      </c>
      <c r="D3746" s="1" t="s">
        <v>169</v>
      </c>
      <c r="E3746" s="2">
        <v>45985</v>
      </c>
      <c r="F3746" s="1" t="s">
        <v>53</v>
      </c>
      <c r="G3746" s="1" t="s">
        <v>170</v>
      </c>
      <c r="H3746" s="1" t="s">
        <v>171</v>
      </c>
      <c r="I3746" s="1">
        <v>1</v>
      </c>
      <c r="J3746" s="3">
        <v>14332</v>
      </c>
      <c r="K3746" s="3">
        <v>13676</v>
      </c>
      <c r="L3746" s="1">
        <v>0</v>
      </c>
      <c r="M3746" s="4">
        <v>0</v>
      </c>
      <c r="N3746" s="1">
        <v>656</v>
      </c>
      <c r="O3746" s="4">
        <v>4.5999999999999999E-2</v>
      </c>
      <c r="P3746" s="1" t="s">
        <v>2721</v>
      </c>
    </row>
    <row r="3747" spans="1:16">
      <c r="A3747" s="1" t="s">
        <v>15</v>
      </c>
      <c r="B3747" s="1">
        <v>11</v>
      </c>
      <c r="C3747" s="1" t="s">
        <v>8150</v>
      </c>
      <c r="D3747" s="1" t="s">
        <v>1375</v>
      </c>
      <c r="E3747" s="2">
        <v>45985</v>
      </c>
      <c r="F3747" s="1" t="s">
        <v>256</v>
      </c>
      <c r="G3747" s="1" t="s">
        <v>1376</v>
      </c>
      <c r="H3747" s="1" t="s">
        <v>8151</v>
      </c>
      <c r="I3747" s="1">
        <v>1</v>
      </c>
      <c r="J3747" s="3">
        <v>11550</v>
      </c>
      <c r="K3747" s="3">
        <v>11022</v>
      </c>
      <c r="L3747" s="1">
        <v>0</v>
      </c>
      <c r="M3747" s="4">
        <v>0</v>
      </c>
      <c r="N3747" s="1">
        <v>528</v>
      </c>
      <c r="O3747" s="4">
        <v>4.5999999999999999E-2</v>
      </c>
      <c r="P3747" s="1" t="s">
        <v>2721</v>
      </c>
    </row>
    <row r="3748" spans="1:16">
      <c r="A3748" s="1" t="s">
        <v>15</v>
      </c>
      <c r="B3748" s="1">
        <v>11</v>
      </c>
      <c r="C3748" s="1" t="s">
        <v>8152</v>
      </c>
      <c r="D3748" s="1" t="s">
        <v>3296</v>
      </c>
      <c r="E3748" s="2">
        <v>45985</v>
      </c>
      <c r="F3748" s="1" t="s">
        <v>839</v>
      </c>
      <c r="G3748" s="1" t="s">
        <v>3297</v>
      </c>
      <c r="H3748" s="1" t="s">
        <v>3298</v>
      </c>
      <c r="I3748" s="1">
        <v>3</v>
      </c>
      <c r="J3748" s="3">
        <v>69007</v>
      </c>
      <c r="K3748" s="3">
        <v>65848</v>
      </c>
      <c r="L3748" s="1">
        <v>0</v>
      </c>
      <c r="M3748" s="4">
        <v>0</v>
      </c>
      <c r="N3748" s="3">
        <v>3159</v>
      </c>
      <c r="O3748" s="4">
        <v>4.5999999999999999E-2</v>
      </c>
      <c r="P3748" s="1" t="s">
        <v>2721</v>
      </c>
    </row>
    <row r="3749" spans="1:16">
      <c r="A3749" s="1" t="s">
        <v>15</v>
      </c>
      <c r="B3749" s="1">
        <v>11</v>
      </c>
      <c r="C3749" s="1" t="s">
        <v>8153</v>
      </c>
      <c r="D3749" s="1" t="s">
        <v>8154</v>
      </c>
      <c r="E3749" s="2">
        <v>45985</v>
      </c>
      <c r="F3749" s="1" t="s">
        <v>803</v>
      </c>
      <c r="G3749" s="1" t="s">
        <v>8155</v>
      </c>
      <c r="H3749" s="1" t="s">
        <v>8156</v>
      </c>
      <c r="I3749" s="1">
        <v>1</v>
      </c>
      <c r="J3749" s="3">
        <v>17307</v>
      </c>
      <c r="K3749" s="3">
        <v>16514</v>
      </c>
      <c r="L3749" s="1">
        <v>0</v>
      </c>
      <c r="M3749" s="4">
        <v>0</v>
      </c>
      <c r="N3749" s="1">
        <v>793</v>
      </c>
      <c r="O3749" s="4">
        <v>4.5999999999999999E-2</v>
      </c>
      <c r="P3749" s="1" t="s">
        <v>2721</v>
      </c>
    </row>
    <row r="3750" spans="1:16">
      <c r="A3750" s="1" t="s">
        <v>15</v>
      </c>
      <c r="B3750" s="1">
        <v>11</v>
      </c>
      <c r="C3750" s="1" t="s">
        <v>8157</v>
      </c>
      <c r="D3750" s="1" t="s">
        <v>5092</v>
      </c>
      <c r="E3750" s="2">
        <v>45985</v>
      </c>
      <c r="F3750" s="1" t="s">
        <v>347</v>
      </c>
      <c r="G3750" s="1" t="s">
        <v>5093</v>
      </c>
      <c r="H3750" s="1" t="s">
        <v>8158</v>
      </c>
      <c r="I3750" s="1">
        <v>1</v>
      </c>
      <c r="J3750" s="3">
        <v>21823</v>
      </c>
      <c r="K3750" s="3">
        <v>20824</v>
      </c>
      <c r="L3750" s="1">
        <v>0</v>
      </c>
      <c r="M3750" s="4">
        <v>0</v>
      </c>
      <c r="N3750" s="1">
        <v>999</v>
      </c>
      <c r="O3750" s="4">
        <v>4.5999999999999999E-2</v>
      </c>
      <c r="P3750" s="1" t="s">
        <v>2721</v>
      </c>
    </row>
    <row r="3751" spans="1:16">
      <c r="A3751" s="1" t="s">
        <v>15</v>
      </c>
      <c r="B3751" s="1">
        <v>11</v>
      </c>
      <c r="C3751" s="1" t="s">
        <v>8159</v>
      </c>
      <c r="D3751" s="1" t="s">
        <v>169</v>
      </c>
      <c r="E3751" s="2">
        <v>45985</v>
      </c>
      <c r="F3751" s="1" t="s">
        <v>53</v>
      </c>
      <c r="G3751" s="1" t="s">
        <v>170</v>
      </c>
      <c r="H3751" s="1" t="s">
        <v>171</v>
      </c>
      <c r="I3751" s="1">
        <v>1</v>
      </c>
      <c r="J3751" s="3">
        <v>14332</v>
      </c>
      <c r="K3751" s="3">
        <v>13676</v>
      </c>
      <c r="L3751" s="1">
        <v>0</v>
      </c>
      <c r="M3751" s="4">
        <v>0</v>
      </c>
      <c r="N3751" s="1">
        <v>656</v>
      </c>
      <c r="O3751" s="4">
        <v>4.5999999999999999E-2</v>
      </c>
      <c r="P3751" s="1" t="s">
        <v>2721</v>
      </c>
    </row>
    <row r="3752" spans="1:16">
      <c r="A3752" s="1" t="s">
        <v>15</v>
      </c>
      <c r="B3752" s="1">
        <v>11</v>
      </c>
      <c r="C3752" s="1" t="s">
        <v>8160</v>
      </c>
      <c r="D3752" s="1" t="s">
        <v>1673</v>
      </c>
      <c r="E3752" s="2">
        <v>45985</v>
      </c>
      <c r="F3752" s="1" t="s">
        <v>660</v>
      </c>
      <c r="G3752" s="1" t="s">
        <v>1674</v>
      </c>
      <c r="H3752" s="1" t="s">
        <v>8161</v>
      </c>
      <c r="I3752" s="1">
        <v>1</v>
      </c>
      <c r="J3752" s="3">
        <v>6684</v>
      </c>
      <c r="K3752" s="3">
        <v>6378</v>
      </c>
      <c r="L3752" s="1">
        <v>0</v>
      </c>
      <c r="M3752" s="4">
        <v>0</v>
      </c>
      <c r="N3752" s="1">
        <v>306</v>
      </c>
      <c r="O3752" s="4">
        <v>4.5999999999999999E-2</v>
      </c>
      <c r="P3752" s="1" t="s">
        <v>2721</v>
      </c>
    </row>
    <row r="3753" spans="1:16">
      <c r="A3753" s="1" t="s">
        <v>15</v>
      </c>
      <c r="B3753" s="1">
        <v>11</v>
      </c>
      <c r="C3753" s="1" t="s">
        <v>8160</v>
      </c>
      <c r="D3753" s="1" t="s">
        <v>1673</v>
      </c>
      <c r="E3753" s="2">
        <v>45985</v>
      </c>
      <c r="F3753" s="1" t="s">
        <v>660</v>
      </c>
      <c r="G3753" s="1" t="s">
        <v>1674</v>
      </c>
      <c r="H3753" s="1" t="s">
        <v>1676</v>
      </c>
      <c r="I3753" s="1">
        <v>1</v>
      </c>
      <c r="J3753" s="3">
        <v>10469</v>
      </c>
      <c r="K3753" s="3">
        <v>9990</v>
      </c>
      <c r="L3753" s="1">
        <v>0</v>
      </c>
      <c r="M3753" s="4">
        <v>0</v>
      </c>
      <c r="N3753" s="1">
        <v>479</v>
      </c>
      <c r="O3753" s="4">
        <v>4.5999999999999999E-2</v>
      </c>
      <c r="P3753" s="1" t="s">
        <v>2721</v>
      </c>
    </row>
    <row r="3754" spans="1:16">
      <c r="A3754" s="1" t="s">
        <v>15</v>
      </c>
      <c r="B3754" s="1">
        <v>11</v>
      </c>
      <c r="C3754" s="1" t="s">
        <v>8160</v>
      </c>
      <c r="D3754" s="1" t="s">
        <v>1673</v>
      </c>
      <c r="E3754" s="2">
        <v>45985</v>
      </c>
      <c r="F3754" s="1" t="s">
        <v>660</v>
      </c>
      <c r="G3754" s="1" t="s">
        <v>1674</v>
      </c>
      <c r="H3754" s="1" t="s">
        <v>8162</v>
      </c>
      <c r="I3754" s="1">
        <v>1</v>
      </c>
      <c r="J3754" s="3">
        <v>11747</v>
      </c>
      <c r="K3754" s="3">
        <v>11209</v>
      </c>
      <c r="L3754" s="1">
        <v>0</v>
      </c>
      <c r="M3754" s="4">
        <v>0</v>
      </c>
      <c r="N3754" s="1">
        <v>538</v>
      </c>
      <c r="O3754" s="4">
        <v>4.5999999999999999E-2</v>
      </c>
      <c r="P3754" s="1" t="s">
        <v>2721</v>
      </c>
    </row>
    <row r="3755" spans="1:16">
      <c r="A3755" s="1" t="s">
        <v>15</v>
      </c>
      <c r="B3755" s="1">
        <v>11</v>
      </c>
      <c r="C3755" s="1" t="s">
        <v>8160</v>
      </c>
      <c r="D3755" s="1" t="s">
        <v>1673</v>
      </c>
      <c r="E3755" s="2">
        <v>45985</v>
      </c>
      <c r="F3755" s="1" t="s">
        <v>660</v>
      </c>
      <c r="G3755" s="1" t="s">
        <v>1674</v>
      </c>
      <c r="H3755" s="1" t="s">
        <v>8163</v>
      </c>
      <c r="I3755" s="1">
        <v>1</v>
      </c>
      <c r="J3755" s="3">
        <v>12681</v>
      </c>
      <c r="K3755" s="3">
        <v>12100</v>
      </c>
      <c r="L3755" s="1">
        <v>0</v>
      </c>
      <c r="M3755" s="4">
        <v>0</v>
      </c>
      <c r="N3755" s="1">
        <v>581</v>
      </c>
      <c r="O3755" s="4">
        <v>4.5999999999999999E-2</v>
      </c>
      <c r="P3755" s="1" t="s">
        <v>2721</v>
      </c>
    </row>
    <row r="3756" spans="1:16">
      <c r="A3756" s="1" t="s">
        <v>15</v>
      </c>
      <c r="B3756" s="1">
        <v>11</v>
      </c>
      <c r="C3756" s="1" t="s">
        <v>8164</v>
      </c>
      <c r="D3756" s="1" t="s">
        <v>72</v>
      </c>
      <c r="E3756" s="2">
        <v>45985</v>
      </c>
      <c r="F3756" s="1" t="s">
        <v>63</v>
      </c>
      <c r="G3756" s="1" t="s">
        <v>73</v>
      </c>
      <c r="H3756" s="1" t="s">
        <v>74</v>
      </c>
      <c r="I3756" s="1">
        <v>1</v>
      </c>
      <c r="J3756" s="3">
        <v>10456</v>
      </c>
      <c r="K3756" s="3">
        <v>9978</v>
      </c>
      <c r="L3756" s="1">
        <v>0</v>
      </c>
      <c r="M3756" s="4">
        <v>0</v>
      </c>
      <c r="N3756" s="1">
        <v>478</v>
      </c>
      <c r="O3756" s="4">
        <v>4.5999999999999999E-2</v>
      </c>
      <c r="P3756" s="1" t="s">
        <v>2721</v>
      </c>
    </row>
    <row r="3757" spans="1:16">
      <c r="A3757" s="1" t="s">
        <v>15</v>
      </c>
      <c r="B3757" s="1">
        <v>11</v>
      </c>
      <c r="C3757" s="1" t="s">
        <v>8165</v>
      </c>
      <c r="D3757" s="1" t="s">
        <v>86</v>
      </c>
      <c r="E3757" s="2">
        <v>45985</v>
      </c>
      <c r="F3757" s="1" t="s">
        <v>53</v>
      </c>
      <c r="G3757" s="1" t="s">
        <v>87</v>
      </c>
      <c r="H3757" s="1" t="s">
        <v>88</v>
      </c>
      <c r="I3757" s="1">
        <v>1</v>
      </c>
      <c r="J3757" s="3">
        <v>14956</v>
      </c>
      <c r="K3757" s="3">
        <v>14272</v>
      </c>
      <c r="L3757" s="1">
        <v>0</v>
      </c>
      <c r="M3757" s="4">
        <v>0</v>
      </c>
      <c r="N3757" s="1">
        <v>684</v>
      </c>
      <c r="O3757" s="4">
        <v>4.5999999999999999E-2</v>
      </c>
      <c r="P3757" s="1" t="s">
        <v>2721</v>
      </c>
    </row>
    <row r="3758" spans="1:16">
      <c r="A3758" s="1" t="s">
        <v>15</v>
      </c>
      <c r="B3758" s="1">
        <v>11</v>
      </c>
      <c r="C3758" s="1" t="s">
        <v>8166</v>
      </c>
      <c r="D3758" s="1" t="s">
        <v>813</v>
      </c>
      <c r="E3758" s="2">
        <v>45985</v>
      </c>
      <c r="F3758" s="1" t="s">
        <v>126</v>
      </c>
      <c r="G3758" s="1" t="s">
        <v>814</v>
      </c>
      <c r="H3758" s="1" t="s">
        <v>2052</v>
      </c>
      <c r="I3758" s="1">
        <v>1</v>
      </c>
      <c r="J3758" s="3">
        <v>18186</v>
      </c>
      <c r="K3758" s="3">
        <v>17353</v>
      </c>
      <c r="L3758" s="1">
        <v>0</v>
      </c>
      <c r="M3758" s="4">
        <v>0</v>
      </c>
      <c r="N3758" s="1">
        <v>833</v>
      </c>
      <c r="O3758" s="4">
        <v>4.5999999999999999E-2</v>
      </c>
      <c r="P3758" s="1" t="s">
        <v>2721</v>
      </c>
    </row>
    <row r="3759" spans="1:16">
      <c r="A3759" s="1" t="s">
        <v>15</v>
      </c>
      <c r="B3759" s="1">
        <v>11</v>
      </c>
      <c r="C3759" s="1" t="s">
        <v>8167</v>
      </c>
      <c r="D3759" s="1" t="s">
        <v>542</v>
      </c>
      <c r="E3759" s="2">
        <v>45985</v>
      </c>
      <c r="F3759" s="1" t="s">
        <v>543</v>
      </c>
      <c r="G3759" s="1" t="s">
        <v>544</v>
      </c>
      <c r="H3759" s="1" t="s">
        <v>545</v>
      </c>
      <c r="I3759" s="1">
        <v>2</v>
      </c>
      <c r="J3759" s="3">
        <v>72742</v>
      </c>
      <c r="K3759" s="3">
        <v>69412</v>
      </c>
      <c r="L3759" s="1">
        <v>0</v>
      </c>
      <c r="M3759" s="4">
        <v>0</v>
      </c>
      <c r="N3759" s="3">
        <v>3330</v>
      </c>
      <c r="O3759" s="4">
        <v>4.5999999999999999E-2</v>
      </c>
      <c r="P3759" s="1" t="s">
        <v>2721</v>
      </c>
    </row>
    <row r="3760" spans="1:16">
      <c r="A3760" s="1" t="s">
        <v>15</v>
      </c>
      <c r="B3760" s="1">
        <v>11</v>
      </c>
      <c r="C3760" s="1" t="s">
        <v>8168</v>
      </c>
      <c r="D3760" s="1" t="s">
        <v>150</v>
      </c>
      <c r="E3760" s="2">
        <v>45985</v>
      </c>
      <c r="F3760" s="1" t="s">
        <v>151</v>
      </c>
      <c r="G3760" s="1" t="s">
        <v>152</v>
      </c>
      <c r="H3760" s="1" t="s">
        <v>152</v>
      </c>
      <c r="I3760" s="1">
        <v>1</v>
      </c>
      <c r="J3760" s="3">
        <v>36371</v>
      </c>
      <c r="K3760" s="3">
        <v>34706</v>
      </c>
      <c r="L3760" s="1">
        <v>0</v>
      </c>
      <c r="M3760" s="4">
        <v>0</v>
      </c>
      <c r="N3760" s="3">
        <v>1665</v>
      </c>
      <c r="O3760" s="4">
        <v>4.5999999999999999E-2</v>
      </c>
      <c r="P3760" s="1" t="s">
        <v>2721</v>
      </c>
    </row>
    <row r="3761" spans="1:16">
      <c r="A3761" s="1" t="s">
        <v>15</v>
      </c>
      <c r="B3761" s="1">
        <v>11</v>
      </c>
      <c r="C3761" s="1" t="s">
        <v>8169</v>
      </c>
      <c r="D3761" s="1" t="s">
        <v>4642</v>
      </c>
      <c r="E3761" s="2">
        <v>45985</v>
      </c>
      <c r="F3761" s="1" t="s">
        <v>96</v>
      </c>
      <c r="G3761" s="1" t="s">
        <v>4643</v>
      </c>
      <c r="H3761" s="1" t="s">
        <v>1947</v>
      </c>
      <c r="I3761" s="1">
        <v>1</v>
      </c>
      <c r="J3761" s="3">
        <v>17006</v>
      </c>
      <c r="K3761" s="3">
        <v>16227</v>
      </c>
      <c r="L3761" s="1">
        <v>0</v>
      </c>
      <c r="M3761" s="4">
        <v>0</v>
      </c>
      <c r="N3761" s="1">
        <v>779</v>
      </c>
      <c r="O3761" s="4">
        <v>4.5999999999999999E-2</v>
      </c>
      <c r="P3761" s="1" t="s">
        <v>2721</v>
      </c>
    </row>
    <row r="3762" spans="1:16">
      <c r="A3762" s="1" t="s">
        <v>15</v>
      </c>
      <c r="B3762" s="1">
        <v>11</v>
      </c>
      <c r="C3762" s="1" t="s">
        <v>8170</v>
      </c>
      <c r="D3762" s="1" t="s">
        <v>5786</v>
      </c>
      <c r="E3762" s="2">
        <v>45985</v>
      </c>
      <c r="F3762" s="1" t="s">
        <v>1411</v>
      </c>
      <c r="G3762" s="1" t="s">
        <v>5787</v>
      </c>
      <c r="H3762" s="1" t="s">
        <v>5788</v>
      </c>
      <c r="I3762" s="1">
        <v>1</v>
      </c>
      <c r="J3762" s="3">
        <v>16412</v>
      </c>
      <c r="K3762" s="3">
        <v>15661</v>
      </c>
      <c r="L3762" s="1">
        <v>0</v>
      </c>
      <c r="M3762" s="4">
        <v>0</v>
      </c>
      <c r="N3762" s="1">
        <v>751</v>
      </c>
      <c r="O3762" s="4">
        <v>4.5999999999999999E-2</v>
      </c>
      <c r="P3762" s="1" t="s">
        <v>2721</v>
      </c>
    </row>
    <row r="3763" spans="1:16">
      <c r="A3763" s="1" t="s">
        <v>15</v>
      </c>
      <c r="B3763" s="1">
        <v>11</v>
      </c>
      <c r="C3763" s="1" t="s">
        <v>8171</v>
      </c>
      <c r="D3763" s="1" t="s">
        <v>169</v>
      </c>
      <c r="E3763" s="2">
        <v>45985</v>
      </c>
      <c r="F3763" s="1" t="s">
        <v>53</v>
      </c>
      <c r="G3763" s="1" t="s">
        <v>170</v>
      </c>
      <c r="H3763" s="1" t="s">
        <v>171</v>
      </c>
      <c r="I3763" s="1">
        <v>1</v>
      </c>
      <c r="J3763" s="3">
        <v>14332</v>
      </c>
      <c r="K3763" s="3">
        <v>13676</v>
      </c>
      <c r="L3763" s="1">
        <v>0</v>
      </c>
      <c r="M3763" s="4">
        <v>0</v>
      </c>
      <c r="N3763" s="1">
        <v>656</v>
      </c>
      <c r="O3763" s="4">
        <v>4.5999999999999999E-2</v>
      </c>
      <c r="P3763" s="1" t="s">
        <v>2721</v>
      </c>
    </row>
    <row r="3764" spans="1:16">
      <c r="A3764" s="1" t="s">
        <v>15</v>
      </c>
      <c r="B3764" s="1">
        <v>11</v>
      </c>
      <c r="C3764" s="1" t="s">
        <v>8172</v>
      </c>
      <c r="D3764" s="1" t="s">
        <v>132</v>
      </c>
      <c r="E3764" s="2">
        <v>45985</v>
      </c>
      <c r="F3764" s="1" t="s">
        <v>53</v>
      </c>
      <c r="G3764" s="1" t="s">
        <v>133</v>
      </c>
      <c r="H3764" s="1" t="s">
        <v>88</v>
      </c>
      <c r="I3764" s="1">
        <v>1</v>
      </c>
      <c r="J3764" s="3">
        <v>17036</v>
      </c>
      <c r="K3764" s="3">
        <v>16256</v>
      </c>
      <c r="L3764" s="1">
        <v>0</v>
      </c>
      <c r="M3764" s="4">
        <v>0</v>
      </c>
      <c r="N3764" s="1">
        <v>780</v>
      </c>
      <c r="O3764" s="4">
        <v>4.5999999999999999E-2</v>
      </c>
      <c r="P3764" s="1" t="s">
        <v>2721</v>
      </c>
    </row>
    <row r="3765" spans="1:16">
      <c r="A3765" s="1" t="s">
        <v>15</v>
      </c>
      <c r="B3765" s="1">
        <v>11</v>
      </c>
      <c r="C3765" s="1" t="s">
        <v>8173</v>
      </c>
      <c r="D3765" s="1" t="s">
        <v>86</v>
      </c>
      <c r="E3765" s="2">
        <v>45985</v>
      </c>
      <c r="F3765" s="1" t="s">
        <v>53</v>
      </c>
      <c r="G3765" s="1" t="s">
        <v>87</v>
      </c>
      <c r="H3765" s="1" t="s">
        <v>88</v>
      </c>
      <c r="I3765" s="1">
        <v>1</v>
      </c>
      <c r="J3765" s="3">
        <v>14956</v>
      </c>
      <c r="K3765" s="3">
        <v>14272</v>
      </c>
      <c r="L3765" s="1">
        <v>0</v>
      </c>
      <c r="M3765" s="4">
        <v>0</v>
      </c>
      <c r="N3765" s="1">
        <v>684</v>
      </c>
      <c r="O3765" s="4">
        <v>4.5999999999999999E-2</v>
      </c>
      <c r="P3765" s="1" t="s">
        <v>2721</v>
      </c>
    </row>
    <row r="3766" spans="1:16">
      <c r="A3766" s="1" t="s">
        <v>15</v>
      </c>
      <c r="B3766" s="1">
        <v>11</v>
      </c>
      <c r="C3766" s="1" t="s">
        <v>8174</v>
      </c>
      <c r="D3766" s="1" t="s">
        <v>504</v>
      </c>
      <c r="E3766" s="2">
        <v>45985</v>
      </c>
      <c r="F3766" s="1" t="s">
        <v>407</v>
      </c>
      <c r="G3766" s="1" t="s">
        <v>505</v>
      </c>
      <c r="H3766" s="1" t="s">
        <v>1004</v>
      </c>
      <c r="I3766" s="1">
        <v>1</v>
      </c>
      <c r="J3766" s="3">
        <v>9339</v>
      </c>
      <c r="K3766" s="3">
        <v>8911</v>
      </c>
      <c r="L3766" s="1">
        <v>0</v>
      </c>
      <c r="M3766" s="4">
        <v>0</v>
      </c>
      <c r="N3766" s="1">
        <v>428</v>
      </c>
      <c r="O3766" s="4">
        <v>4.5999999999999999E-2</v>
      </c>
      <c r="P3766" s="1" t="s">
        <v>2721</v>
      </c>
    </row>
    <row r="3767" spans="1:16">
      <c r="A3767" s="1" t="s">
        <v>15</v>
      </c>
      <c r="B3767" s="1">
        <v>11</v>
      </c>
      <c r="C3767" s="1" t="s">
        <v>8175</v>
      </c>
      <c r="D3767" s="1" t="s">
        <v>112</v>
      </c>
      <c r="E3767" s="2">
        <v>45985</v>
      </c>
      <c r="F3767" s="1" t="s">
        <v>63</v>
      </c>
      <c r="G3767" s="1" t="s">
        <v>113</v>
      </c>
      <c r="H3767" s="1" t="s">
        <v>74</v>
      </c>
      <c r="I3767" s="1">
        <v>3</v>
      </c>
      <c r="J3767" s="3">
        <v>31369</v>
      </c>
      <c r="K3767" s="3">
        <v>29933</v>
      </c>
      <c r="L3767" s="1">
        <v>0</v>
      </c>
      <c r="M3767" s="4">
        <v>0</v>
      </c>
      <c r="N3767" s="3">
        <v>1436</v>
      </c>
      <c r="O3767" s="4">
        <v>4.5999999999999999E-2</v>
      </c>
      <c r="P3767" s="1" t="s">
        <v>2721</v>
      </c>
    </row>
    <row r="3768" spans="1:16">
      <c r="A3768" s="1" t="s">
        <v>15</v>
      </c>
      <c r="B3768" s="1">
        <v>11</v>
      </c>
      <c r="C3768" s="1" t="s">
        <v>8176</v>
      </c>
      <c r="D3768" s="1" t="s">
        <v>4868</v>
      </c>
      <c r="E3768" s="2">
        <v>45985</v>
      </c>
      <c r="F3768" s="1" t="s">
        <v>18</v>
      </c>
      <c r="G3768" s="1" t="s">
        <v>4293</v>
      </c>
      <c r="H3768" s="1" t="s">
        <v>4294</v>
      </c>
      <c r="I3768" s="1">
        <v>1</v>
      </c>
      <c r="J3768" s="3">
        <v>5898</v>
      </c>
      <c r="K3768" s="3">
        <v>5628</v>
      </c>
      <c r="L3768" s="1">
        <v>0</v>
      </c>
      <c r="M3768" s="4">
        <v>0</v>
      </c>
      <c r="N3768" s="1">
        <v>270</v>
      </c>
      <c r="O3768" s="4">
        <v>4.5999999999999999E-2</v>
      </c>
      <c r="P3768" s="1" t="s">
        <v>2721</v>
      </c>
    </row>
    <row r="3769" spans="1:16">
      <c r="A3769" s="1" t="s">
        <v>15</v>
      </c>
      <c r="B3769" s="1">
        <v>11</v>
      </c>
      <c r="C3769" s="1" t="s">
        <v>8176</v>
      </c>
      <c r="D3769" s="1" t="s">
        <v>504</v>
      </c>
      <c r="E3769" s="2">
        <v>45985</v>
      </c>
      <c r="F3769" s="1" t="s">
        <v>407</v>
      </c>
      <c r="G3769" s="1" t="s">
        <v>505</v>
      </c>
      <c r="H3769" s="1" t="s">
        <v>1004</v>
      </c>
      <c r="I3769" s="1">
        <v>1</v>
      </c>
      <c r="J3769" s="3">
        <v>9339</v>
      </c>
      <c r="K3769" s="3">
        <v>8911</v>
      </c>
      <c r="L3769" s="1">
        <v>0</v>
      </c>
      <c r="M3769" s="4">
        <v>0</v>
      </c>
      <c r="N3769" s="1">
        <v>428</v>
      </c>
      <c r="O3769" s="4">
        <v>4.5999999999999999E-2</v>
      </c>
      <c r="P3769" s="1" t="s">
        <v>2721</v>
      </c>
    </row>
    <row r="3770" spans="1:16">
      <c r="A3770" s="1" t="s">
        <v>15</v>
      </c>
      <c r="B3770" s="1">
        <v>11</v>
      </c>
      <c r="C3770" s="1" t="s">
        <v>8177</v>
      </c>
      <c r="D3770" s="1" t="s">
        <v>86</v>
      </c>
      <c r="E3770" s="2">
        <v>45985</v>
      </c>
      <c r="F3770" s="1" t="s">
        <v>53</v>
      </c>
      <c r="G3770" s="1" t="s">
        <v>87</v>
      </c>
      <c r="H3770" s="1" t="s">
        <v>88</v>
      </c>
      <c r="I3770" s="1">
        <v>1</v>
      </c>
      <c r="J3770" s="3">
        <v>14956</v>
      </c>
      <c r="K3770" s="3">
        <v>14272</v>
      </c>
      <c r="L3770" s="1">
        <v>0</v>
      </c>
      <c r="M3770" s="4">
        <v>0</v>
      </c>
      <c r="N3770" s="1">
        <v>684</v>
      </c>
      <c r="O3770" s="4">
        <v>4.5999999999999999E-2</v>
      </c>
      <c r="P3770" s="1" t="s">
        <v>2721</v>
      </c>
    </row>
    <row r="3771" spans="1:16">
      <c r="A3771" s="1" t="s">
        <v>15</v>
      </c>
      <c r="B3771" s="1">
        <v>11</v>
      </c>
      <c r="C3771" s="1" t="s">
        <v>8178</v>
      </c>
      <c r="D3771" s="1" t="s">
        <v>8179</v>
      </c>
      <c r="E3771" s="2">
        <v>45985</v>
      </c>
      <c r="F3771" s="1" t="s">
        <v>8180</v>
      </c>
      <c r="G3771" s="1" t="s">
        <v>8181</v>
      </c>
      <c r="H3771" s="1" t="s">
        <v>8182</v>
      </c>
      <c r="I3771" s="1">
        <v>1</v>
      </c>
      <c r="J3771" s="3">
        <v>17694</v>
      </c>
      <c r="K3771" s="3">
        <v>16884</v>
      </c>
      <c r="L3771" s="1">
        <v>0</v>
      </c>
      <c r="M3771" s="4">
        <v>0</v>
      </c>
      <c r="N3771" s="1">
        <v>810</v>
      </c>
      <c r="O3771" s="4">
        <v>4.5999999999999999E-2</v>
      </c>
      <c r="P3771" s="1" t="s">
        <v>2721</v>
      </c>
    </row>
    <row r="3772" spans="1:16">
      <c r="A3772" s="1" t="s">
        <v>15</v>
      </c>
      <c r="B3772" s="1">
        <v>11</v>
      </c>
      <c r="C3772" s="1" t="s">
        <v>8183</v>
      </c>
      <c r="D3772" s="1" t="s">
        <v>793</v>
      </c>
      <c r="E3772" s="2">
        <v>45985</v>
      </c>
      <c r="F3772" s="1" t="s">
        <v>126</v>
      </c>
      <c r="G3772" s="1" t="s">
        <v>794</v>
      </c>
      <c r="H3772" s="1" t="s">
        <v>795</v>
      </c>
      <c r="I3772" s="1">
        <v>1</v>
      </c>
      <c r="J3772" s="3">
        <v>10715</v>
      </c>
      <c r="K3772" s="3">
        <v>10224</v>
      </c>
      <c r="L3772" s="1">
        <v>0</v>
      </c>
      <c r="M3772" s="4">
        <v>0</v>
      </c>
      <c r="N3772" s="1">
        <v>491</v>
      </c>
      <c r="O3772" s="4">
        <v>4.5999999999999999E-2</v>
      </c>
      <c r="P3772" s="1" t="s">
        <v>2721</v>
      </c>
    </row>
    <row r="3773" spans="1:16">
      <c r="A3773" s="1" t="s">
        <v>15</v>
      </c>
      <c r="B3773" s="1">
        <v>11</v>
      </c>
      <c r="C3773" s="1" t="s">
        <v>8184</v>
      </c>
      <c r="D3773" s="1" t="s">
        <v>238</v>
      </c>
      <c r="E3773" s="2">
        <v>45985</v>
      </c>
      <c r="F3773" s="1" t="s">
        <v>239</v>
      </c>
      <c r="G3773" s="1" t="s">
        <v>240</v>
      </c>
      <c r="H3773" s="1" t="s">
        <v>241</v>
      </c>
      <c r="I3773" s="1">
        <v>4</v>
      </c>
      <c r="J3773" s="3">
        <v>45218</v>
      </c>
      <c r="K3773" s="3">
        <v>43148</v>
      </c>
      <c r="L3773" s="1">
        <v>0</v>
      </c>
      <c r="M3773" s="4">
        <v>0</v>
      </c>
      <c r="N3773" s="3">
        <v>2070</v>
      </c>
      <c r="O3773" s="4">
        <v>4.5999999999999999E-2</v>
      </c>
      <c r="P3773" s="1" t="s">
        <v>2721</v>
      </c>
    </row>
    <row r="3774" spans="1:16">
      <c r="A3774" s="1" t="s">
        <v>15</v>
      </c>
      <c r="B3774" s="1">
        <v>11</v>
      </c>
      <c r="C3774" s="1" t="s">
        <v>8185</v>
      </c>
      <c r="D3774" s="1" t="s">
        <v>8186</v>
      </c>
      <c r="E3774" s="2">
        <v>45985</v>
      </c>
      <c r="F3774" s="1" t="s">
        <v>266</v>
      </c>
      <c r="G3774" s="1" t="s">
        <v>8187</v>
      </c>
      <c r="H3774" s="1" t="s">
        <v>8188</v>
      </c>
      <c r="I3774" s="1">
        <v>1</v>
      </c>
      <c r="J3774" s="3">
        <v>38829</v>
      </c>
      <c r="K3774" s="3">
        <v>37051</v>
      </c>
      <c r="L3774" s="1">
        <v>0</v>
      </c>
      <c r="M3774" s="4">
        <v>0</v>
      </c>
      <c r="N3774" s="3">
        <v>1778</v>
      </c>
      <c r="O3774" s="4">
        <v>4.5999999999999999E-2</v>
      </c>
      <c r="P3774" s="1" t="s">
        <v>2721</v>
      </c>
    </row>
    <row r="3775" spans="1:16">
      <c r="A3775" s="1" t="s">
        <v>15</v>
      </c>
      <c r="B3775" s="1">
        <v>11</v>
      </c>
      <c r="C3775" s="1" t="s">
        <v>8189</v>
      </c>
      <c r="D3775" s="1" t="s">
        <v>1346</v>
      </c>
      <c r="E3775" s="2">
        <v>45985</v>
      </c>
      <c r="F3775" s="1" t="s">
        <v>317</v>
      </c>
      <c r="G3775" s="1" t="s">
        <v>1347</v>
      </c>
      <c r="H3775" s="1" t="s">
        <v>4100</v>
      </c>
      <c r="I3775" s="1">
        <v>1</v>
      </c>
      <c r="J3775" s="3">
        <v>32439</v>
      </c>
      <c r="K3775" s="3">
        <v>30954</v>
      </c>
      <c r="L3775" s="1">
        <v>0</v>
      </c>
      <c r="M3775" s="4">
        <v>0</v>
      </c>
      <c r="N3775" s="3">
        <v>1485</v>
      </c>
      <c r="O3775" s="4">
        <v>4.5999999999999999E-2</v>
      </c>
      <c r="P3775" s="1" t="s">
        <v>2721</v>
      </c>
    </row>
    <row r="3776" spans="1:16">
      <c r="A3776" s="1" t="s">
        <v>15</v>
      </c>
      <c r="B3776" s="1">
        <v>11</v>
      </c>
      <c r="C3776" s="1" t="s">
        <v>8190</v>
      </c>
      <c r="D3776" s="1" t="s">
        <v>169</v>
      </c>
      <c r="E3776" s="2">
        <v>45985</v>
      </c>
      <c r="F3776" s="1" t="s">
        <v>53</v>
      </c>
      <c r="G3776" s="1" t="s">
        <v>170</v>
      </c>
      <c r="H3776" s="1" t="s">
        <v>171</v>
      </c>
      <c r="I3776" s="1">
        <v>1</v>
      </c>
      <c r="J3776" s="3">
        <v>14332</v>
      </c>
      <c r="K3776" s="3">
        <v>13676</v>
      </c>
      <c r="L3776" s="1">
        <v>0</v>
      </c>
      <c r="M3776" s="4">
        <v>0</v>
      </c>
      <c r="N3776" s="1">
        <v>656</v>
      </c>
      <c r="O3776" s="4">
        <v>4.5999999999999999E-2</v>
      </c>
      <c r="P3776" s="1" t="s">
        <v>2721</v>
      </c>
    </row>
    <row r="3777" spans="1:16">
      <c r="A3777" s="1" t="s">
        <v>15</v>
      </c>
      <c r="B3777" s="1">
        <v>11</v>
      </c>
      <c r="C3777" s="1" t="s">
        <v>8191</v>
      </c>
      <c r="D3777" s="1" t="s">
        <v>169</v>
      </c>
      <c r="E3777" s="2">
        <v>45985</v>
      </c>
      <c r="F3777" s="1" t="s">
        <v>53</v>
      </c>
      <c r="G3777" s="1" t="s">
        <v>170</v>
      </c>
      <c r="H3777" s="1" t="s">
        <v>171</v>
      </c>
      <c r="I3777" s="1">
        <v>1</v>
      </c>
      <c r="J3777" s="3">
        <v>14332</v>
      </c>
      <c r="K3777" s="3">
        <v>13676</v>
      </c>
      <c r="L3777" s="1">
        <v>0</v>
      </c>
      <c r="M3777" s="4">
        <v>0</v>
      </c>
      <c r="N3777" s="1">
        <v>656</v>
      </c>
      <c r="O3777" s="4">
        <v>4.5999999999999999E-2</v>
      </c>
      <c r="P3777" s="1" t="s">
        <v>2721</v>
      </c>
    </row>
    <row r="3778" spans="1:16">
      <c r="A3778" s="1" t="s">
        <v>15</v>
      </c>
      <c r="B3778" s="1">
        <v>11</v>
      </c>
      <c r="C3778" s="1" t="s">
        <v>8192</v>
      </c>
      <c r="D3778" s="1" t="s">
        <v>1302</v>
      </c>
      <c r="E3778" s="2">
        <v>45985</v>
      </c>
      <c r="F3778" s="1" t="s">
        <v>256</v>
      </c>
      <c r="G3778" s="1" t="s">
        <v>1303</v>
      </c>
      <c r="H3778" s="1" t="s">
        <v>1304</v>
      </c>
      <c r="I3778" s="1">
        <v>1</v>
      </c>
      <c r="J3778" s="3">
        <v>4944</v>
      </c>
      <c r="K3778" s="3">
        <v>4718</v>
      </c>
      <c r="L3778" s="1">
        <v>0</v>
      </c>
      <c r="M3778" s="4">
        <v>0</v>
      </c>
      <c r="N3778" s="1">
        <v>226</v>
      </c>
      <c r="O3778" s="4">
        <v>4.5999999999999999E-2</v>
      </c>
      <c r="P3778" s="1" t="s">
        <v>2721</v>
      </c>
    </row>
    <row r="3779" spans="1:16">
      <c r="A3779" s="1" t="s">
        <v>15</v>
      </c>
      <c r="B3779" s="1">
        <v>11</v>
      </c>
      <c r="C3779" s="1" t="s">
        <v>8193</v>
      </c>
      <c r="D3779" s="1" t="s">
        <v>333</v>
      </c>
      <c r="E3779" s="2">
        <v>45985</v>
      </c>
      <c r="F3779" s="1" t="s">
        <v>334</v>
      </c>
      <c r="G3779" s="1" t="s">
        <v>335</v>
      </c>
      <c r="H3779" s="1" t="s">
        <v>337</v>
      </c>
      <c r="I3779" s="1">
        <v>1</v>
      </c>
      <c r="J3779" s="3">
        <v>5407</v>
      </c>
      <c r="K3779" s="3">
        <v>5159</v>
      </c>
      <c r="L3779" s="1">
        <v>0</v>
      </c>
      <c r="M3779" s="4">
        <v>0</v>
      </c>
      <c r="N3779" s="1">
        <v>248</v>
      </c>
      <c r="O3779" s="4">
        <v>4.5999999999999999E-2</v>
      </c>
      <c r="P3779" s="1" t="s">
        <v>2721</v>
      </c>
    </row>
    <row r="3780" spans="1:16">
      <c r="A3780" s="1" t="s">
        <v>15</v>
      </c>
      <c r="B3780" s="1">
        <v>11</v>
      </c>
      <c r="C3780" s="1" t="s">
        <v>8194</v>
      </c>
      <c r="D3780" s="1" t="s">
        <v>5443</v>
      </c>
      <c r="E3780" s="2">
        <v>45985</v>
      </c>
      <c r="F3780" s="1" t="s">
        <v>63</v>
      </c>
      <c r="G3780" s="1" t="s">
        <v>5444</v>
      </c>
      <c r="H3780" s="1" t="s">
        <v>580</v>
      </c>
      <c r="I3780" s="1">
        <v>1</v>
      </c>
      <c r="J3780" s="3">
        <v>27764</v>
      </c>
      <c r="K3780" s="3">
        <v>26493</v>
      </c>
      <c r="L3780" s="1">
        <v>0</v>
      </c>
      <c r="M3780" s="4">
        <v>0</v>
      </c>
      <c r="N3780" s="3">
        <v>1271</v>
      </c>
      <c r="O3780" s="4">
        <v>4.5999999999999999E-2</v>
      </c>
      <c r="P3780" s="1" t="s">
        <v>2721</v>
      </c>
    </row>
    <row r="3781" spans="1:16">
      <c r="A3781" s="1" t="s">
        <v>15</v>
      </c>
      <c r="B3781" s="1">
        <v>11</v>
      </c>
      <c r="C3781" s="1" t="s">
        <v>8195</v>
      </c>
      <c r="D3781" s="1" t="s">
        <v>311</v>
      </c>
      <c r="E3781" s="2">
        <v>45985</v>
      </c>
      <c r="F3781" s="1" t="s">
        <v>312</v>
      </c>
      <c r="G3781" s="1" t="s">
        <v>313</v>
      </c>
      <c r="H3781" s="1" t="s">
        <v>339</v>
      </c>
      <c r="I3781" s="1">
        <v>2</v>
      </c>
      <c r="J3781" s="3">
        <v>56621</v>
      </c>
      <c r="K3781" s="3">
        <v>54029</v>
      </c>
      <c r="L3781" s="1">
        <v>0</v>
      </c>
      <c r="M3781" s="4">
        <v>0</v>
      </c>
      <c r="N3781" s="3">
        <v>2592</v>
      </c>
      <c r="O3781" s="4">
        <v>4.5999999999999999E-2</v>
      </c>
      <c r="P3781" s="1" t="s">
        <v>2721</v>
      </c>
    </row>
    <row r="3782" spans="1:16">
      <c r="A3782" s="1" t="s">
        <v>15</v>
      </c>
      <c r="B3782" s="1">
        <v>11</v>
      </c>
      <c r="C3782" s="1" t="s">
        <v>8196</v>
      </c>
      <c r="D3782" s="1" t="s">
        <v>72</v>
      </c>
      <c r="E3782" s="2">
        <v>45985</v>
      </c>
      <c r="F3782" s="1" t="s">
        <v>63</v>
      </c>
      <c r="G3782" s="1" t="s">
        <v>73</v>
      </c>
      <c r="H3782" s="1" t="s">
        <v>74</v>
      </c>
      <c r="I3782" s="1">
        <v>1</v>
      </c>
      <c r="J3782" s="3">
        <v>10456</v>
      </c>
      <c r="K3782" s="3">
        <v>9978</v>
      </c>
      <c r="L3782" s="1">
        <v>0</v>
      </c>
      <c r="M3782" s="4">
        <v>0</v>
      </c>
      <c r="N3782" s="1">
        <v>478</v>
      </c>
      <c r="O3782" s="4">
        <v>4.5999999999999999E-2</v>
      </c>
      <c r="P3782" s="1" t="s">
        <v>2721</v>
      </c>
    </row>
    <row r="3783" spans="1:16">
      <c r="A3783" s="1" t="s">
        <v>15</v>
      </c>
      <c r="B3783" s="1">
        <v>11</v>
      </c>
      <c r="C3783" s="1" t="s">
        <v>8197</v>
      </c>
      <c r="D3783" s="1" t="s">
        <v>322</v>
      </c>
      <c r="E3783" s="2">
        <v>45985</v>
      </c>
      <c r="F3783" s="1" t="s">
        <v>151</v>
      </c>
      <c r="G3783" s="1" t="s">
        <v>323</v>
      </c>
      <c r="H3783" s="1" t="s">
        <v>323</v>
      </c>
      <c r="I3783" s="1">
        <v>2</v>
      </c>
      <c r="J3783" s="3">
        <v>29490</v>
      </c>
      <c r="K3783" s="3">
        <v>28140</v>
      </c>
      <c r="L3783" s="1">
        <v>0</v>
      </c>
      <c r="M3783" s="4">
        <v>0</v>
      </c>
      <c r="N3783" s="3">
        <v>1350</v>
      </c>
      <c r="O3783" s="4">
        <v>4.5999999999999999E-2</v>
      </c>
      <c r="P3783" s="1" t="s">
        <v>2721</v>
      </c>
    </row>
    <row r="3784" spans="1:16">
      <c r="A3784" s="1" t="s">
        <v>15</v>
      </c>
      <c r="B3784" s="1">
        <v>11</v>
      </c>
      <c r="C3784" s="1" t="s">
        <v>8198</v>
      </c>
      <c r="D3784" s="1" t="s">
        <v>558</v>
      </c>
      <c r="E3784" s="2">
        <v>45985</v>
      </c>
      <c r="F3784" s="1" t="s">
        <v>256</v>
      </c>
      <c r="G3784" s="1" t="s">
        <v>559</v>
      </c>
      <c r="H3784" s="1" t="s">
        <v>560</v>
      </c>
      <c r="I3784" s="1">
        <v>1</v>
      </c>
      <c r="J3784" s="3">
        <v>9339</v>
      </c>
      <c r="K3784" s="3">
        <v>8911</v>
      </c>
      <c r="L3784" s="1">
        <v>0</v>
      </c>
      <c r="M3784" s="4">
        <v>0</v>
      </c>
      <c r="N3784" s="1">
        <v>428</v>
      </c>
      <c r="O3784" s="4">
        <v>4.5999999999999999E-2</v>
      </c>
      <c r="P3784" s="1" t="s">
        <v>2721</v>
      </c>
    </row>
    <row r="3785" spans="1:16">
      <c r="A3785" s="1" t="s">
        <v>15</v>
      </c>
      <c r="B3785" s="1">
        <v>11</v>
      </c>
      <c r="C3785" s="1" t="s">
        <v>8199</v>
      </c>
      <c r="D3785" s="1" t="s">
        <v>169</v>
      </c>
      <c r="E3785" s="2">
        <v>45985</v>
      </c>
      <c r="F3785" s="1" t="s">
        <v>53</v>
      </c>
      <c r="G3785" s="1" t="s">
        <v>170</v>
      </c>
      <c r="H3785" s="1" t="s">
        <v>171</v>
      </c>
      <c r="I3785" s="1">
        <v>1</v>
      </c>
      <c r="J3785" s="3">
        <v>14332</v>
      </c>
      <c r="K3785" s="3">
        <v>13676</v>
      </c>
      <c r="L3785" s="1">
        <v>0</v>
      </c>
      <c r="M3785" s="4">
        <v>0</v>
      </c>
      <c r="N3785" s="1">
        <v>656</v>
      </c>
      <c r="O3785" s="4">
        <v>4.5999999999999999E-2</v>
      </c>
      <c r="P3785" s="1" t="s">
        <v>2721</v>
      </c>
    </row>
    <row r="3786" spans="1:16">
      <c r="A3786" s="1" t="s">
        <v>15</v>
      </c>
      <c r="B3786" s="1">
        <v>11</v>
      </c>
      <c r="C3786" s="1" t="s">
        <v>8200</v>
      </c>
      <c r="D3786" s="1" t="s">
        <v>238</v>
      </c>
      <c r="E3786" s="2">
        <v>45985</v>
      </c>
      <c r="F3786" s="1" t="s">
        <v>239</v>
      </c>
      <c r="G3786" s="1" t="s">
        <v>240</v>
      </c>
      <c r="H3786" s="1" t="s">
        <v>241</v>
      </c>
      <c r="I3786" s="1">
        <v>1</v>
      </c>
      <c r="J3786" s="3">
        <v>11305</v>
      </c>
      <c r="K3786" s="3">
        <v>10787</v>
      </c>
      <c r="L3786" s="1">
        <v>0</v>
      </c>
      <c r="M3786" s="4">
        <v>0</v>
      </c>
      <c r="N3786" s="1">
        <v>518</v>
      </c>
      <c r="O3786" s="4">
        <v>4.5999999999999999E-2</v>
      </c>
      <c r="P3786" s="1" t="s">
        <v>2721</v>
      </c>
    </row>
    <row r="3787" spans="1:16">
      <c r="A3787" s="1" t="s">
        <v>15</v>
      </c>
      <c r="B3787" s="1">
        <v>11</v>
      </c>
      <c r="C3787" s="1" t="s">
        <v>8200</v>
      </c>
      <c r="D3787" s="1" t="s">
        <v>238</v>
      </c>
      <c r="E3787" s="2">
        <v>45985</v>
      </c>
      <c r="F3787" s="1" t="s">
        <v>239</v>
      </c>
      <c r="G3787" s="1" t="s">
        <v>240</v>
      </c>
      <c r="H3787" s="1" t="s">
        <v>242</v>
      </c>
      <c r="I3787" s="1">
        <v>1</v>
      </c>
      <c r="J3787" s="3">
        <v>11305</v>
      </c>
      <c r="K3787" s="3">
        <v>10787</v>
      </c>
      <c r="L3787" s="1">
        <v>0</v>
      </c>
      <c r="M3787" s="4">
        <v>0</v>
      </c>
      <c r="N3787" s="1">
        <v>518</v>
      </c>
      <c r="O3787" s="4">
        <v>4.5999999999999999E-2</v>
      </c>
      <c r="P3787" s="1" t="s">
        <v>2721</v>
      </c>
    </row>
    <row r="3788" spans="1:16">
      <c r="A3788" s="1" t="s">
        <v>15</v>
      </c>
      <c r="B3788" s="1">
        <v>11</v>
      </c>
      <c r="C3788" s="1" t="s">
        <v>8201</v>
      </c>
      <c r="D3788" s="1" t="s">
        <v>533</v>
      </c>
      <c r="E3788" s="2">
        <v>45985</v>
      </c>
      <c r="F3788" s="1" t="s">
        <v>534</v>
      </c>
      <c r="G3788" s="1" t="s">
        <v>535</v>
      </c>
      <c r="H3788" s="1" t="s">
        <v>536</v>
      </c>
      <c r="I3788" s="1">
        <v>2</v>
      </c>
      <c r="J3788" s="3">
        <v>39104</v>
      </c>
      <c r="K3788" s="3">
        <v>37314</v>
      </c>
      <c r="L3788" s="1">
        <v>0</v>
      </c>
      <c r="M3788" s="4">
        <v>0</v>
      </c>
      <c r="N3788" s="3">
        <v>1790</v>
      </c>
      <c r="O3788" s="4">
        <v>4.5999999999999999E-2</v>
      </c>
      <c r="P3788" s="1" t="s">
        <v>2721</v>
      </c>
    </row>
    <row r="3789" spans="1:16">
      <c r="A3789" s="1" t="s">
        <v>15</v>
      </c>
      <c r="B3789" s="1">
        <v>11</v>
      </c>
      <c r="C3789" s="1" t="s">
        <v>8202</v>
      </c>
      <c r="D3789" s="1" t="s">
        <v>7705</v>
      </c>
      <c r="E3789" s="2">
        <v>45985</v>
      </c>
      <c r="F3789" s="1" t="s">
        <v>53</v>
      </c>
      <c r="G3789" s="1" t="s">
        <v>7706</v>
      </c>
      <c r="H3789" s="1" t="s">
        <v>7707</v>
      </c>
      <c r="I3789" s="1">
        <v>1</v>
      </c>
      <c r="J3789" s="3">
        <v>18839</v>
      </c>
      <c r="K3789" s="3">
        <v>17977</v>
      </c>
      <c r="L3789" s="1">
        <v>0</v>
      </c>
      <c r="M3789" s="4">
        <v>0</v>
      </c>
      <c r="N3789" s="1">
        <v>862</v>
      </c>
      <c r="O3789" s="4">
        <v>4.5999999999999999E-2</v>
      </c>
      <c r="P3789" s="1" t="s">
        <v>2721</v>
      </c>
    </row>
    <row r="3790" spans="1:16">
      <c r="A3790" s="1" t="s">
        <v>15</v>
      </c>
      <c r="B3790" s="1">
        <v>11</v>
      </c>
      <c r="C3790" s="1" t="s">
        <v>8203</v>
      </c>
      <c r="D3790" s="1" t="s">
        <v>1647</v>
      </c>
      <c r="E3790" s="2">
        <v>45985</v>
      </c>
      <c r="F3790" s="1" t="s">
        <v>1112</v>
      </c>
      <c r="G3790" s="1" t="s">
        <v>1648</v>
      </c>
      <c r="H3790" s="1" t="s">
        <v>1649</v>
      </c>
      <c r="I3790" s="1">
        <v>1</v>
      </c>
      <c r="J3790" s="3">
        <v>47184</v>
      </c>
      <c r="K3790" s="3">
        <v>45024</v>
      </c>
      <c r="L3790" s="1">
        <v>0</v>
      </c>
      <c r="M3790" s="4">
        <v>0</v>
      </c>
      <c r="N3790" s="3">
        <v>2160</v>
      </c>
      <c r="O3790" s="4">
        <v>4.5999999999999999E-2</v>
      </c>
      <c r="P3790" s="1" t="s">
        <v>2721</v>
      </c>
    </row>
    <row r="3791" spans="1:16">
      <c r="A3791" s="1" t="s">
        <v>15</v>
      </c>
      <c r="B3791" s="1">
        <v>11</v>
      </c>
      <c r="C3791" s="1" t="s">
        <v>8204</v>
      </c>
      <c r="D3791" s="1" t="s">
        <v>8205</v>
      </c>
      <c r="E3791" s="2">
        <v>45985</v>
      </c>
      <c r="F3791" s="1" t="s">
        <v>3343</v>
      </c>
      <c r="G3791" s="1" t="s">
        <v>8206</v>
      </c>
      <c r="H3791" s="1" t="s">
        <v>8207</v>
      </c>
      <c r="I3791" s="1">
        <v>1</v>
      </c>
      <c r="J3791" s="3">
        <v>17458</v>
      </c>
      <c r="K3791" s="3">
        <v>16659</v>
      </c>
      <c r="L3791" s="1">
        <v>0</v>
      </c>
      <c r="M3791" s="4">
        <v>0</v>
      </c>
      <c r="N3791" s="1">
        <v>799</v>
      </c>
      <c r="O3791" s="4">
        <v>4.5999999999999999E-2</v>
      </c>
      <c r="P3791" s="1" t="s">
        <v>2721</v>
      </c>
    </row>
    <row r="3792" spans="1:16">
      <c r="A3792" s="1" t="s">
        <v>15</v>
      </c>
      <c r="B3792" s="1">
        <v>11</v>
      </c>
      <c r="C3792" s="1" t="s">
        <v>8208</v>
      </c>
      <c r="D3792" s="1" t="s">
        <v>86</v>
      </c>
      <c r="E3792" s="2">
        <v>45985</v>
      </c>
      <c r="F3792" s="1" t="s">
        <v>53</v>
      </c>
      <c r="G3792" s="1" t="s">
        <v>87</v>
      </c>
      <c r="H3792" s="1" t="s">
        <v>88</v>
      </c>
      <c r="I3792" s="1">
        <v>1</v>
      </c>
      <c r="J3792" s="3">
        <v>14956</v>
      </c>
      <c r="K3792" s="3">
        <v>14272</v>
      </c>
      <c r="L3792" s="1">
        <v>0</v>
      </c>
      <c r="M3792" s="4">
        <v>0</v>
      </c>
      <c r="N3792" s="1">
        <v>684</v>
      </c>
      <c r="O3792" s="4">
        <v>4.5999999999999999E-2</v>
      </c>
      <c r="P3792" s="1" t="s">
        <v>2721</v>
      </c>
    </row>
    <row r="3793" spans="1:16">
      <c r="A3793" s="1" t="s">
        <v>15</v>
      </c>
      <c r="B3793" s="1">
        <v>11</v>
      </c>
      <c r="C3793" s="1" t="s">
        <v>8209</v>
      </c>
      <c r="D3793" s="1" t="s">
        <v>482</v>
      </c>
      <c r="E3793" s="2">
        <v>45985</v>
      </c>
      <c r="F3793" s="1" t="s">
        <v>483</v>
      </c>
      <c r="G3793" s="1" t="s">
        <v>484</v>
      </c>
      <c r="H3793" s="1" t="s">
        <v>860</v>
      </c>
      <c r="I3793" s="1">
        <v>1</v>
      </c>
      <c r="J3793" s="3">
        <v>27426</v>
      </c>
      <c r="K3793" s="3">
        <v>26170</v>
      </c>
      <c r="L3793" s="1">
        <v>0</v>
      </c>
      <c r="M3793" s="4">
        <v>0</v>
      </c>
      <c r="N3793" s="3">
        <v>1256</v>
      </c>
      <c r="O3793" s="4">
        <v>4.5999999999999999E-2</v>
      </c>
      <c r="P3793" s="1" t="s">
        <v>2721</v>
      </c>
    </row>
    <row r="3794" spans="1:16">
      <c r="A3794" s="1" t="s">
        <v>15</v>
      </c>
      <c r="B3794" s="1">
        <v>11</v>
      </c>
      <c r="C3794" s="1" t="s">
        <v>8210</v>
      </c>
      <c r="D3794" s="1" t="s">
        <v>8211</v>
      </c>
      <c r="E3794" s="2">
        <v>45985</v>
      </c>
      <c r="F3794" s="1" t="s">
        <v>256</v>
      </c>
      <c r="G3794" s="1" t="s">
        <v>8212</v>
      </c>
      <c r="H3794" s="1" t="s">
        <v>8213</v>
      </c>
      <c r="I3794" s="1">
        <v>1</v>
      </c>
      <c r="J3794" s="3">
        <v>14696</v>
      </c>
      <c r="K3794" s="3">
        <v>14023</v>
      </c>
      <c r="L3794" s="1">
        <v>0</v>
      </c>
      <c r="M3794" s="4">
        <v>0</v>
      </c>
      <c r="N3794" s="1">
        <v>673</v>
      </c>
      <c r="O3794" s="4">
        <v>4.5999999999999999E-2</v>
      </c>
      <c r="P3794" s="1" t="s">
        <v>2721</v>
      </c>
    </row>
    <row r="3795" spans="1:16">
      <c r="A3795" s="1" t="s">
        <v>15</v>
      </c>
      <c r="B3795" s="1">
        <v>11</v>
      </c>
      <c r="C3795" s="1" t="s">
        <v>8214</v>
      </c>
      <c r="D3795" s="1" t="s">
        <v>4669</v>
      </c>
      <c r="E3795" s="2">
        <v>45985</v>
      </c>
      <c r="F3795" s="1" t="s">
        <v>63</v>
      </c>
      <c r="G3795" s="1" t="s">
        <v>4670</v>
      </c>
      <c r="H3795" s="1" t="s">
        <v>118</v>
      </c>
      <c r="I3795" s="1">
        <v>1</v>
      </c>
      <c r="J3795" s="3">
        <v>18627</v>
      </c>
      <c r="K3795" s="3">
        <v>17774</v>
      </c>
      <c r="L3795" s="1">
        <v>0</v>
      </c>
      <c r="M3795" s="4">
        <v>0</v>
      </c>
      <c r="N3795" s="1">
        <v>853</v>
      </c>
      <c r="O3795" s="4">
        <v>4.5999999999999999E-2</v>
      </c>
      <c r="P3795" s="1" t="s">
        <v>2721</v>
      </c>
    </row>
    <row r="3796" spans="1:16">
      <c r="A3796" s="1" t="s">
        <v>15</v>
      </c>
      <c r="B3796" s="1">
        <v>11</v>
      </c>
      <c r="C3796" s="1" t="s">
        <v>8215</v>
      </c>
      <c r="D3796" s="1" t="s">
        <v>7087</v>
      </c>
      <c r="E3796" s="2">
        <v>45985</v>
      </c>
      <c r="F3796" s="1" t="s">
        <v>7088</v>
      </c>
      <c r="G3796" s="1" t="s">
        <v>7089</v>
      </c>
      <c r="H3796" s="1" t="s">
        <v>8216</v>
      </c>
      <c r="I3796" s="1">
        <v>1</v>
      </c>
      <c r="J3796" s="3">
        <v>15237</v>
      </c>
      <c r="K3796" s="3">
        <v>14539</v>
      </c>
      <c r="L3796" s="1">
        <v>0</v>
      </c>
      <c r="M3796" s="4">
        <v>0</v>
      </c>
      <c r="N3796" s="1">
        <v>698</v>
      </c>
      <c r="O3796" s="4">
        <v>4.5999999999999999E-2</v>
      </c>
      <c r="P3796" s="1" t="s">
        <v>2721</v>
      </c>
    </row>
    <row r="3797" spans="1:16">
      <c r="A3797" s="1" t="s">
        <v>15</v>
      </c>
      <c r="B3797" s="1">
        <v>11</v>
      </c>
      <c r="C3797" s="1" t="s">
        <v>8217</v>
      </c>
      <c r="D3797" s="1" t="s">
        <v>2448</v>
      </c>
      <c r="E3797" s="2">
        <v>45985</v>
      </c>
      <c r="F3797" s="1" t="s">
        <v>235</v>
      </c>
      <c r="G3797" s="1" t="s">
        <v>2449</v>
      </c>
      <c r="H3797" s="1" t="s">
        <v>2450</v>
      </c>
      <c r="I3797" s="1">
        <v>1</v>
      </c>
      <c r="J3797" s="3">
        <v>22019</v>
      </c>
      <c r="K3797" s="3">
        <v>21011</v>
      </c>
      <c r="L3797" s="1">
        <v>0</v>
      </c>
      <c r="M3797" s="4">
        <v>0</v>
      </c>
      <c r="N3797" s="3">
        <v>1008</v>
      </c>
      <c r="O3797" s="4">
        <v>4.5999999999999999E-2</v>
      </c>
      <c r="P3797" s="1" t="s">
        <v>2721</v>
      </c>
    </row>
    <row r="3798" spans="1:16">
      <c r="A3798" s="1" t="s">
        <v>15</v>
      </c>
      <c r="B3798" s="1">
        <v>11</v>
      </c>
      <c r="C3798" s="1" t="s">
        <v>8218</v>
      </c>
      <c r="D3798" s="1" t="s">
        <v>1105</v>
      </c>
      <c r="E3798" s="2">
        <v>45985</v>
      </c>
      <c r="F3798" s="1" t="s">
        <v>1106</v>
      </c>
      <c r="G3798" s="1" t="s">
        <v>1107</v>
      </c>
      <c r="H3798" s="1" t="s">
        <v>8219</v>
      </c>
      <c r="I3798" s="1">
        <v>1</v>
      </c>
      <c r="J3798" s="3">
        <v>10471</v>
      </c>
      <c r="K3798" s="3">
        <v>9992</v>
      </c>
      <c r="L3798" s="1">
        <v>0</v>
      </c>
      <c r="M3798" s="4">
        <v>0</v>
      </c>
      <c r="N3798" s="1">
        <v>479</v>
      </c>
      <c r="O3798" s="4">
        <v>4.5999999999999999E-2</v>
      </c>
      <c r="P3798" s="1" t="s">
        <v>2721</v>
      </c>
    </row>
    <row r="3799" spans="1:16">
      <c r="A3799" s="1" t="s">
        <v>15</v>
      </c>
      <c r="B3799" s="1">
        <v>11</v>
      </c>
      <c r="C3799" s="1" t="s">
        <v>8220</v>
      </c>
      <c r="D3799" s="1" t="s">
        <v>169</v>
      </c>
      <c r="E3799" s="2">
        <v>45985</v>
      </c>
      <c r="F3799" s="1" t="s">
        <v>53</v>
      </c>
      <c r="G3799" s="1" t="s">
        <v>170</v>
      </c>
      <c r="H3799" s="1" t="s">
        <v>171</v>
      </c>
      <c r="I3799" s="1">
        <v>1</v>
      </c>
      <c r="J3799" s="3">
        <v>14332</v>
      </c>
      <c r="K3799" s="3">
        <v>13676</v>
      </c>
      <c r="L3799" s="1">
        <v>0</v>
      </c>
      <c r="M3799" s="4">
        <v>0</v>
      </c>
      <c r="N3799" s="1">
        <v>656</v>
      </c>
      <c r="O3799" s="4">
        <v>4.5999999999999999E-2</v>
      </c>
      <c r="P3799" s="1" t="s">
        <v>2721</v>
      </c>
    </row>
    <row r="3800" spans="1:16">
      <c r="A3800" s="1" t="s">
        <v>15</v>
      </c>
      <c r="B3800" s="1">
        <v>11</v>
      </c>
      <c r="C3800" s="1" t="s">
        <v>8221</v>
      </c>
      <c r="D3800" s="1" t="s">
        <v>329</v>
      </c>
      <c r="E3800" s="2">
        <v>45985</v>
      </c>
      <c r="F3800" s="1" t="s">
        <v>174</v>
      </c>
      <c r="G3800" s="1" t="s">
        <v>330</v>
      </c>
      <c r="H3800" s="1" t="s">
        <v>8222</v>
      </c>
      <c r="I3800" s="1">
        <v>1</v>
      </c>
      <c r="J3800" s="3">
        <v>16711</v>
      </c>
      <c r="K3800" s="3">
        <v>15946</v>
      </c>
      <c r="L3800" s="1">
        <v>0</v>
      </c>
      <c r="M3800" s="4">
        <v>0</v>
      </c>
      <c r="N3800" s="1">
        <v>765</v>
      </c>
      <c r="O3800" s="4">
        <v>4.5999999999999999E-2</v>
      </c>
      <c r="P3800" s="1" t="s">
        <v>2721</v>
      </c>
    </row>
    <row r="3801" spans="1:16">
      <c r="A3801" s="1" t="s">
        <v>15</v>
      </c>
      <c r="B3801" s="1">
        <v>11</v>
      </c>
      <c r="C3801" s="1" t="s">
        <v>8223</v>
      </c>
      <c r="D3801" s="1" t="s">
        <v>516</v>
      </c>
      <c r="E3801" s="2">
        <v>45985</v>
      </c>
      <c r="F3801" s="1" t="s">
        <v>517</v>
      </c>
      <c r="G3801" s="1" t="s">
        <v>518</v>
      </c>
      <c r="H3801" s="1" t="s">
        <v>519</v>
      </c>
      <c r="I3801" s="1">
        <v>1</v>
      </c>
      <c r="J3801" s="3">
        <v>21528</v>
      </c>
      <c r="K3801" s="3">
        <v>20542</v>
      </c>
      <c r="L3801" s="1">
        <v>0</v>
      </c>
      <c r="M3801" s="4">
        <v>0</v>
      </c>
      <c r="N3801" s="1">
        <v>986</v>
      </c>
      <c r="O3801" s="4">
        <v>4.5999999999999999E-2</v>
      </c>
      <c r="P3801" s="1" t="s">
        <v>2721</v>
      </c>
    </row>
    <row r="3802" spans="1:16">
      <c r="A3802" s="1" t="s">
        <v>15</v>
      </c>
      <c r="B3802" s="1">
        <v>11</v>
      </c>
      <c r="C3802" s="1" t="s">
        <v>8224</v>
      </c>
      <c r="D3802" s="1" t="s">
        <v>169</v>
      </c>
      <c r="E3802" s="2">
        <v>45985</v>
      </c>
      <c r="F3802" s="1" t="s">
        <v>53</v>
      </c>
      <c r="G3802" s="1" t="s">
        <v>170</v>
      </c>
      <c r="H3802" s="1" t="s">
        <v>171</v>
      </c>
      <c r="I3802" s="1">
        <v>1</v>
      </c>
      <c r="J3802" s="3">
        <v>14332</v>
      </c>
      <c r="K3802" s="3">
        <v>13676</v>
      </c>
      <c r="L3802" s="1">
        <v>0</v>
      </c>
      <c r="M3802" s="4">
        <v>0</v>
      </c>
      <c r="N3802" s="1">
        <v>656</v>
      </c>
      <c r="O3802" s="4">
        <v>4.5999999999999999E-2</v>
      </c>
      <c r="P3802" s="1" t="s">
        <v>2721</v>
      </c>
    </row>
    <row r="3803" spans="1:16">
      <c r="A3803" s="1" t="s">
        <v>15</v>
      </c>
      <c r="B3803" s="1">
        <v>11</v>
      </c>
      <c r="C3803" s="1" t="s">
        <v>8224</v>
      </c>
      <c r="D3803" s="1" t="s">
        <v>52</v>
      </c>
      <c r="E3803" s="2">
        <v>45985</v>
      </c>
      <c r="F3803" s="1" t="s">
        <v>53</v>
      </c>
      <c r="G3803" s="1" t="s">
        <v>54</v>
      </c>
      <c r="H3803" s="1" t="s">
        <v>55</v>
      </c>
      <c r="I3803" s="1">
        <v>1</v>
      </c>
      <c r="J3803" s="3">
        <v>16135</v>
      </c>
      <c r="K3803" s="3">
        <v>15396</v>
      </c>
      <c r="L3803" s="1">
        <v>0</v>
      </c>
      <c r="M3803" s="4">
        <v>0</v>
      </c>
      <c r="N3803" s="1">
        <v>739</v>
      </c>
      <c r="O3803" s="4">
        <v>4.5999999999999999E-2</v>
      </c>
      <c r="P3803" s="1" t="s">
        <v>2721</v>
      </c>
    </row>
    <row r="3804" spans="1:16">
      <c r="A3804" s="1" t="s">
        <v>15</v>
      </c>
      <c r="B3804" s="1">
        <v>11</v>
      </c>
      <c r="C3804" s="1" t="s">
        <v>8225</v>
      </c>
      <c r="D3804" s="1" t="s">
        <v>504</v>
      </c>
      <c r="E3804" s="2">
        <v>45985</v>
      </c>
      <c r="F3804" s="1" t="s">
        <v>407</v>
      </c>
      <c r="G3804" s="1" t="s">
        <v>505</v>
      </c>
      <c r="H3804" s="1" t="s">
        <v>1322</v>
      </c>
      <c r="I3804" s="1">
        <v>1</v>
      </c>
      <c r="J3804" s="3">
        <v>23592</v>
      </c>
      <c r="K3804" s="3">
        <v>22512</v>
      </c>
      <c r="L3804" s="1">
        <v>0</v>
      </c>
      <c r="M3804" s="4">
        <v>0</v>
      </c>
      <c r="N3804" s="3">
        <v>1080</v>
      </c>
      <c r="O3804" s="4">
        <v>4.5999999999999999E-2</v>
      </c>
      <c r="P3804" s="1" t="s">
        <v>2721</v>
      </c>
    </row>
    <row r="3805" spans="1:16">
      <c r="A3805" s="1" t="s">
        <v>15</v>
      </c>
      <c r="B3805" s="1">
        <v>11</v>
      </c>
      <c r="C3805" s="1" t="s">
        <v>8226</v>
      </c>
      <c r="D3805" s="1" t="s">
        <v>542</v>
      </c>
      <c r="E3805" s="2">
        <v>45985</v>
      </c>
      <c r="F3805" s="1" t="s">
        <v>543</v>
      </c>
      <c r="G3805" s="1" t="s">
        <v>544</v>
      </c>
      <c r="H3805" s="1" t="s">
        <v>545</v>
      </c>
      <c r="I3805" s="1">
        <v>1</v>
      </c>
      <c r="J3805" s="3">
        <v>36371</v>
      </c>
      <c r="K3805" s="3">
        <v>34706</v>
      </c>
      <c r="L3805" s="1">
        <v>0</v>
      </c>
      <c r="M3805" s="4">
        <v>0</v>
      </c>
      <c r="N3805" s="3">
        <v>1665</v>
      </c>
      <c r="O3805" s="4">
        <v>4.5999999999999999E-2</v>
      </c>
      <c r="P3805" s="1" t="s">
        <v>2721</v>
      </c>
    </row>
    <row r="3806" spans="1:16">
      <c r="A3806" s="1" t="s">
        <v>15</v>
      </c>
      <c r="B3806" s="1">
        <v>11</v>
      </c>
      <c r="C3806" s="1" t="s">
        <v>8227</v>
      </c>
      <c r="D3806" s="1" t="s">
        <v>1060</v>
      </c>
      <c r="E3806" s="2">
        <v>45985</v>
      </c>
      <c r="F3806" s="1" t="s">
        <v>48</v>
      </c>
      <c r="G3806" s="1" t="s">
        <v>1061</v>
      </c>
      <c r="H3806" s="1" t="s">
        <v>1062</v>
      </c>
      <c r="I3806" s="1">
        <v>2</v>
      </c>
      <c r="J3806" s="3">
        <v>16098</v>
      </c>
      <c r="K3806" s="3">
        <v>15361</v>
      </c>
      <c r="L3806" s="1">
        <v>0</v>
      </c>
      <c r="M3806" s="4">
        <v>0</v>
      </c>
      <c r="N3806" s="1">
        <v>737</v>
      </c>
      <c r="O3806" s="4">
        <v>4.5999999999999999E-2</v>
      </c>
      <c r="P3806" s="1" t="s">
        <v>2721</v>
      </c>
    </row>
    <row r="3807" spans="1:16">
      <c r="A3807" s="1" t="s">
        <v>15</v>
      </c>
      <c r="B3807" s="1">
        <v>11</v>
      </c>
      <c r="C3807" s="1" t="s">
        <v>8228</v>
      </c>
      <c r="D3807" s="1" t="s">
        <v>1294</v>
      </c>
      <c r="E3807" s="2">
        <v>45985</v>
      </c>
      <c r="F3807" s="1" t="s">
        <v>347</v>
      </c>
      <c r="G3807" s="1" t="s">
        <v>1295</v>
      </c>
      <c r="H3807" s="1" t="s">
        <v>8229</v>
      </c>
      <c r="I3807" s="1">
        <v>1</v>
      </c>
      <c r="J3807" s="3">
        <v>19463</v>
      </c>
      <c r="K3807" s="3">
        <v>18572</v>
      </c>
      <c r="L3807" s="1">
        <v>0</v>
      </c>
      <c r="M3807" s="4">
        <v>0</v>
      </c>
      <c r="N3807" s="1">
        <v>891</v>
      </c>
      <c r="O3807" s="4">
        <v>4.5999999999999999E-2</v>
      </c>
      <c r="P3807" s="1" t="s">
        <v>2721</v>
      </c>
    </row>
    <row r="3808" spans="1:16">
      <c r="A3808" s="1" t="s">
        <v>15</v>
      </c>
      <c r="B3808" s="1">
        <v>11</v>
      </c>
      <c r="C3808" s="1" t="s">
        <v>8230</v>
      </c>
      <c r="D3808" s="1" t="s">
        <v>52</v>
      </c>
      <c r="E3808" s="2">
        <v>45985</v>
      </c>
      <c r="F3808" s="1" t="s">
        <v>53</v>
      </c>
      <c r="G3808" s="1" t="s">
        <v>54</v>
      </c>
      <c r="H3808" s="1" t="s">
        <v>248</v>
      </c>
      <c r="I3808" s="1">
        <v>1</v>
      </c>
      <c r="J3808" s="3">
        <v>16135</v>
      </c>
      <c r="K3808" s="3">
        <v>15396</v>
      </c>
      <c r="L3808" s="1">
        <v>0</v>
      </c>
      <c r="M3808" s="4">
        <v>0</v>
      </c>
      <c r="N3808" s="1">
        <v>739</v>
      </c>
      <c r="O3808" s="4">
        <v>4.5999999999999999E-2</v>
      </c>
      <c r="P3808" s="1" t="s">
        <v>2721</v>
      </c>
    </row>
    <row r="3809" spans="1:16">
      <c r="A3809" s="1" t="s">
        <v>15</v>
      </c>
      <c r="B3809" s="1">
        <v>11</v>
      </c>
      <c r="C3809" s="1" t="s">
        <v>8231</v>
      </c>
      <c r="D3809" s="1" t="s">
        <v>52</v>
      </c>
      <c r="E3809" s="2">
        <v>45985</v>
      </c>
      <c r="F3809" s="1" t="s">
        <v>53</v>
      </c>
      <c r="G3809" s="1" t="s">
        <v>54</v>
      </c>
      <c r="H3809" s="1" t="s">
        <v>248</v>
      </c>
      <c r="I3809" s="1">
        <v>1</v>
      </c>
      <c r="J3809" s="3">
        <v>16135</v>
      </c>
      <c r="K3809" s="3">
        <v>15396</v>
      </c>
      <c r="L3809" s="1">
        <v>0</v>
      </c>
      <c r="M3809" s="4">
        <v>0</v>
      </c>
      <c r="N3809" s="1">
        <v>739</v>
      </c>
      <c r="O3809" s="4">
        <v>4.5999999999999999E-2</v>
      </c>
      <c r="P3809" s="1" t="s">
        <v>2721</v>
      </c>
    </row>
    <row r="3810" spans="1:16">
      <c r="A3810" s="1" t="s">
        <v>15</v>
      </c>
      <c r="B3810" s="1">
        <v>11</v>
      </c>
      <c r="C3810" s="1" t="s">
        <v>8232</v>
      </c>
      <c r="D3810" s="1" t="s">
        <v>6928</v>
      </c>
      <c r="E3810" s="2">
        <v>45985</v>
      </c>
      <c r="F3810" s="1" t="s">
        <v>58</v>
      </c>
      <c r="G3810" s="1" t="s">
        <v>6929</v>
      </c>
      <c r="H3810" s="1" t="s">
        <v>8233</v>
      </c>
      <c r="I3810" s="1">
        <v>1</v>
      </c>
      <c r="J3810" s="3">
        <v>26050</v>
      </c>
      <c r="K3810" s="3">
        <v>24857</v>
      </c>
      <c r="L3810" s="1">
        <v>0</v>
      </c>
      <c r="M3810" s="4">
        <v>0</v>
      </c>
      <c r="N3810" s="3">
        <v>1193</v>
      </c>
      <c r="O3810" s="4">
        <v>4.5999999999999999E-2</v>
      </c>
      <c r="P3810" s="1" t="s">
        <v>2721</v>
      </c>
    </row>
    <row r="3811" spans="1:16">
      <c r="A3811" s="1" t="s">
        <v>15</v>
      </c>
      <c r="B3811" s="1">
        <v>11</v>
      </c>
      <c r="C3811" s="1" t="s">
        <v>8232</v>
      </c>
      <c r="D3811" s="1" t="s">
        <v>80</v>
      </c>
      <c r="E3811" s="2">
        <v>45985</v>
      </c>
      <c r="F3811" s="1" t="s">
        <v>58</v>
      </c>
      <c r="G3811" s="1" t="s">
        <v>81</v>
      </c>
      <c r="H3811" s="1" t="s">
        <v>130</v>
      </c>
      <c r="I3811" s="1">
        <v>1</v>
      </c>
      <c r="J3811" s="3">
        <v>17301</v>
      </c>
      <c r="K3811" s="3">
        <v>16509</v>
      </c>
      <c r="L3811" s="1">
        <v>0</v>
      </c>
      <c r="M3811" s="4">
        <v>0</v>
      </c>
      <c r="N3811" s="1">
        <v>792</v>
      </c>
      <c r="O3811" s="4">
        <v>4.5999999999999999E-2</v>
      </c>
      <c r="P3811" s="1" t="s">
        <v>2721</v>
      </c>
    </row>
    <row r="3812" spans="1:16">
      <c r="A3812" s="1" t="s">
        <v>15</v>
      </c>
      <c r="B3812" s="1">
        <v>11</v>
      </c>
      <c r="C3812" s="1" t="s">
        <v>8234</v>
      </c>
      <c r="D3812" s="1" t="s">
        <v>238</v>
      </c>
      <c r="E3812" s="2">
        <v>45985</v>
      </c>
      <c r="F3812" s="1" t="s">
        <v>239</v>
      </c>
      <c r="G3812" s="1" t="s">
        <v>240</v>
      </c>
      <c r="H3812" s="1" t="s">
        <v>242</v>
      </c>
      <c r="I3812" s="1">
        <v>1</v>
      </c>
      <c r="J3812" s="3">
        <v>11305</v>
      </c>
      <c r="K3812" s="3">
        <v>10787</v>
      </c>
      <c r="L3812" s="1">
        <v>0</v>
      </c>
      <c r="M3812" s="4">
        <v>0</v>
      </c>
      <c r="N3812" s="1">
        <v>518</v>
      </c>
      <c r="O3812" s="4">
        <v>4.5999999999999999E-2</v>
      </c>
      <c r="P3812" s="1" t="s">
        <v>2721</v>
      </c>
    </row>
    <row r="3813" spans="1:16">
      <c r="A3813" s="1" t="s">
        <v>15</v>
      </c>
      <c r="B3813" s="1">
        <v>11</v>
      </c>
      <c r="C3813" s="1" t="s">
        <v>8235</v>
      </c>
      <c r="D3813" s="1" t="s">
        <v>86</v>
      </c>
      <c r="E3813" s="2">
        <v>45985</v>
      </c>
      <c r="F3813" s="1" t="s">
        <v>53</v>
      </c>
      <c r="G3813" s="1" t="s">
        <v>87</v>
      </c>
      <c r="H3813" s="1" t="s">
        <v>88</v>
      </c>
      <c r="I3813" s="1">
        <v>1</v>
      </c>
      <c r="J3813" s="3">
        <v>14956</v>
      </c>
      <c r="K3813" s="3">
        <v>14272</v>
      </c>
      <c r="L3813" s="1">
        <v>0</v>
      </c>
      <c r="M3813" s="4">
        <v>0</v>
      </c>
      <c r="N3813" s="1">
        <v>684</v>
      </c>
      <c r="O3813" s="4">
        <v>4.5999999999999999E-2</v>
      </c>
      <c r="P3813" s="1" t="s">
        <v>2721</v>
      </c>
    </row>
    <row r="3814" spans="1:16">
      <c r="A3814" s="1" t="s">
        <v>15</v>
      </c>
      <c r="B3814" s="1">
        <v>11</v>
      </c>
      <c r="C3814" s="1" t="s">
        <v>8236</v>
      </c>
      <c r="D3814" s="1" t="s">
        <v>132</v>
      </c>
      <c r="E3814" s="2">
        <v>45985</v>
      </c>
      <c r="F3814" s="1" t="s">
        <v>53</v>
      </c>
      <c r="G3814" s="1" t="s">
        <v>133</v>
      </c>
      <c r="H3814" s="1" t="s">
        <v>88</v>
      </c>
      <c r="I3814" s="1">
        <v>1</v>
      </c>
      <c r="J3814" s="3">
        <v>17036</v>
      </c>
      <c r="K3814" s="3">
        <v>16256</v>
      </c>
      <c r="L3814" s="1">
        <v>0</v>
      </c>
      <c r="M3814" s="4">
        <v>0</v>
      </c>
      <c r="N3814" s="1">
        <v>780</v>
      </c>
      <c r="O3814" s="4">
        <v>4.5999999999999999E-2</v>
      </c>
      <c r="P3814" s="1" t="s">
        <v>2721</v>
      </c>
    </row>
    <row r="3815" spans="1:16">
      <c r="A3815" s="1" t="s">
        <v>15</v>
      </c>
      <c r="B3815" s="1">
        <v>11</v>
      </c>
      <c r="C3815" s="1" t="s">
        <v>8237</v>
      </c>
      <c r="D3815" s="1" t="s">
        <v>1359</v>
      </c>
      <c r="E3815" s="2">
        <v>45985</v>
      </c>
      <c r="F3815" s="1" t="s">
        <v>63</v>
      </c>
      <c r="G3815" s="1" t="s">
        <v>1360</v>
      </c>
      <c r="H3815" s="1" t="s">
        <v>2352</v>
      </c>
      <c r="I3815" s="1">
        <v>1</v>
      </c>
      <c r="J3815" s="3">
        <v>30765</v>
      </c>
      <c r="K3815" s="3">
        <v>29357</v>
      </c>
      <c r="L3815" s="1">
        <v>0</v>
      </c>
      <c r="M3815" s="4">
        <v>0</v>
      </c>
      <c r="N3815" s="3">
        <v>1408</v>
      </c>
      <c r="O3815" s="4">
        <v>4.5999999999999999E-2</v>
      </c>
      <c r="P3815" s="1" t="s">
        <v>2721</v>
      </c>
    </row>
    <row r="3816" spans="1:16">
      <c r="A3816" s="1" t="s">
        <v>15</v>
      </c>
      <c r="B3816" s="1">
        <v>11</v>
      </c>
      <c r="C3816" s="1" t="s">
        <v>8238</v>
      </c>
      <c r="D3816" s="1" t="s">
        <v>7030</v>
      </c>
      <c r="E3816" s="2">
        <v>45985</v>
      </c>
      <c r="F3816" s="1" t="s">
        <v>96</v>
      </c>
      <c r="G3816" s="1" t="s">
        <v>7031</v>
      </c>
      <c r="H3816" s="1" t="s">
        <v>7032</v>
      </c>
      <c r="I3816" s="1">
        <v>1</v>
      </c>
      <c r="J3816" s="3">
        <v>14379</v>
      </c>
      <c r="K3816" s="3">
        <v>13721</v>
      </c>
      <c r="L3816" s="1">
        <v>0</v>
      </c>
      <c r="M3816" s="4">
        <v>0</v>
      </c>
      <c r="N3816" s="1">
        <v>658</v>
      </c>
      <c r="O3816" s="4">
        <v>4.5999999999999999E-2</v>
      </c>
      <c r="P3816" s="1" t="s">
        <v>2721</v>
      </c>
    </row>
    <row r="3817" spans="1:16">
      <c r="A3817" s="1" t="s">
        <v>15</v>
      </c>
      <c r="B3817" s="1">
        <v>11</v>
      </c>
      <c r="C3817" s="1" t="s">
        <v>8239</v>
      </c>
      <c r="D3817" s="1" t="s">
        <v>1105</v>
      </c>
      <c r="E3817" s="2">
        <v>45985</v>
      </c>
      <c r="F3817" s="1" t="s">
        <v>1106</v>
      </c>
      <c r="G3817" s="1" t="s">
        <v>1107</v>
      </c>
      <c r="H3817" s="1" t="s">
        <v>1108</v>
      </c>
      <c r="I3817" s="1">
        <v>1</v>
      </c>
      <c r="J3817" s="3">
        <v>10471</v>
      </c>
      <c r="K3817" s="3">
        <v>9992</v>
      </c>
      <c r="L3817" s="1">
        <v>0</v>
      </c>
      <c r="M3817" s="4">
        <v>0</v>
      </c>
      <c r="N3817" s="1">
        <v>479</v>
      </c>
      <c r="O3817" s="4">
        <v>4.5999999999999999E-2</v>
      </c>
      <c r="P3817" s="1" t="s">
        <v>2721</v>
      </c>
    </row>
    <row r="3818" spans="1:16">
      <c r="A3818" s="1" t="s">
        <v>15</v>
      </c>
      <c r="B3818" s="1">
        <v>11</v>
      </c>
      <c r="C3818" s="1" t="s">
        <v>8240</v>
      </c>
      <c r="D3818" s="1" t="s">
        <v>2855</v>
      </c>
      <c r="E3818" s="2">
        <v>45985</v>
      </c>
      <c r="F3818" s="1" t="s">
        <v>58</v>
      </c>
      <c r="G3818" s="1" t="s">
        <v>2856</v>
      </c>
      <c r="H3818" s="1" t="s">
        <v>2857</v>
      </c>
      <c r="I3818" s="1">
        <v>1</v>
      </c>
      <c r="J3818" s="3">
        <v>21842</v>
      </c>
      <c r="K3818" s="3">
        <v>20842</v>
      </c>
      <c r="L3818" s="1">
        <v>0</v>
      </c>
      <c r="M3818" s="4">
        <v>0</v>
      </c>
      <c r="N3818" s="3">
        <v>1000</v>
      </c>
      <c r="O3818" s="4">
        <v>4.5999999999999999E-2</v>
      </c>
      <c r="P3818" s="1" t="s">
        <v>2721</v>
      </c>
    </row>
    <row r="3819" spans="1:16">
      <c r="A3819" s="1" t="s">
        <v>15</v>
      </c>
      <c r="B3819" s="1">
        <v>11</v>
      </c>
      <c r="C3819" s="1" t="s">
        <v>8241</v>
      </c>
      <c r="D3819" s="1" t="s">
        <v>1315</v>
      </c>
      <c r="E3819" s="2">
        <v>45985</v>
      </c>
      <c r="F3819" s="1" t="s">
        <v>187</v>
      </c>
      <c r="G3819" s="1" t="s">
        <v>1316</v>
      </c>
      <c r="H3819" s="1" t="s">
        <v>1317</v>
      </c>
      <c r="I3819" s="1">
        <v>1</v>
      </c>
      <c r="J3819" s="3">
        <v>24872</v>
      </c>
      <c r="K3819" s="3">
        <v>23733</v>
      </c>
      <c r="L3819" s="1">
        <v>0</v>
      </c>
      <c r="M3819" s="4">
        <v>0</v>
      </c>
      <c r="N3819" s="3">
        <v>1139</v>
      </c>
      <c r="O3819" s="4">
        <v>4.5999999999999999E-2</v>
      </c>
      <c r="P3819" s="1" t="s">
        <v>2721</v>
      </c>
    </row>
    <row r="3820" spans="1:16">
      <c r="A3820" s="1" t="s">
        <v>15</v>
      </c>
      <c r="B3820" s="1">
        <v>11</v>
      </c>
      <c r="C3820" s="1" t="s">
        <v>8242</v>
      </c>
      <c r="D3820" s="1" t="s">
        <v>27</v>
      </c>
      <c r="E3820" s="2">
        <v>45985</v>
      </c>
      <c r="F3820" s="1" t="s">
        <v>28</v>
      </c>
      <c r="G3820" s="1" t="s">
        <v>29</v>
      </c>
      <c r="H3820" s="1" t="s">
        <v>352</v>
      </c>
      <c r="I3820" s="1">
        <v>2</v>
      </c>
      <c r="J3820" s="3">
        <v>54065</v>
      </c>
      <c r="K3820" s="3">
        <v>51590</v>
      </c>
      <c r="L3820" s="1">
        <v>0</v>
      </c>
      <c r="M3820" s="4">
        <v>0</v>
      </c>
      <c r="N3820" s="3">
        <v>2475</v>
      </c>
      <c r="O3820" s="4">
        <v>4.5999999999999999E-2</v>
      </c>
      <c r="P3820" s="1" t="s">
        <v>2721</v>
      </c>
    </row>
    <row r="3821" spans="1:16">
      <c r="A3821" s="1" t="s">
        <v>15</v>
      </c>
      <c r="B3821" s="1">
        <v>11</v>
      </c>
      <c r="C3821" s="1" t="s">
        <v>8243</v>
      </c>
      <c r="D3821" s="1" t="s">
        <v>160</v>
      </c>
      <c r="E3821" s="2">
        <v>45985</v>
      </c>
      <c r="F3821" s="1" t="s">
        <v>161</v>
      </c>
      <c r="G3821" s="1" t="s">
        <v>162</v>
      </c>
      <c r="H3821" s="1" t="s">
        <v>810</v>
      </c>
      <c r="I3821" s="1">
        <v>1</v>
      </c>
      <c r="J3821" s="3">
        <v>9928</v>
      </c>
      <c r="K3821" s="3">
        <v>9474</v>
      </c>
      <c r="L3821" s="1">
        <v>0</v>
      </c>
      <c r="M3821" s="4">
        <v>0</v>
      </c>
      <c r="N3821" s="1">
        <v>454</v>
      </c>
      <c r="O3821" s="4">
        <v>4.5999999999999999E-2</v>
      </c>
      <c r="P3821" s="1" t="s">
        <v>2721</v>
      </c>
    </row>
    <row r="3822" spans="1:16">
      <c r="A3822" s="1" t="s">
        <v>15</v>
      </c>
      <c r="B3822" s="1">
        <v>11</v>
      </c>
      <c r="C3822" s="1" t="s">
        <v>8244</v>
      </c>
      <c r="D3822" s="1" t="s">
        <v>2520</v>
      </c>
      <c r="E3822" s="2">
        <v>45985</v>
      </c>
      <c r="F3822" s="1" t="s">
        <v>488</v>
      </c>
      <c r="G3822" s="1" t="s">
        <v>2521</v>
      </c>
      <c r="H3822" s="1" t="s">
        <v>2522</v>
      </c>
      <c r="I3822" s="1">
        <v>1</v>
      </c>
      <c r="J3822" s="3">
        <v>31358</v>
      </c>
      <c r="K3822" s="3">
        <v>29922</v>
      </c>
      <c r="L3822" s="1">
        <v>0</v>
      </c>
      <c r="M3822" s="4">
        <v>0</v>
      </c>
      <c r="N3822" s="3">
        <v>1436</v>
      </c>
      <c r="O3822" s="4">
        <v>4.5999999999999999E-2</v>
      </c>
      <c r="P3822" s="1" t="s">
        <v>2721</v>
      </c>
    </row>
    <row r="3823" spans="1:16">
      <c r="A3823" s="1" t="s">
        <v>15</v>
      </c>
      <c r="B3823" s="1">
        <v>11</v>
      </c>
      <c r="C3823" s="1" t="s">
        <v>8245</v>
      </c>
      <c r="D3823" s="1" t="s">
        <v>2310</v>
      </c>
      <c r="E3823" s="2">
        <v>45985</v>
      </c>
      <c r="F3823" s="1" t="s">
        <v>488</v>
      </c>
      <c r="G3823" s="1" t="s">
        <v>1726</v>
      </c>
      <c r="H3823" s="1" t="s">
        <v>1727</v>
      </c>
      <c r="I3823" s="1">
        <v>1</v>
      </c>
      <c r="J3823" s="3">
        <v>16711</v>
      </c>
      <c r="K3823" s="3">
        <v>15946</v>
      </c>
      <c r="L3823" s="1">
        <v>0</v>
      </c>
      <c r="M3823" s="4">
        <v>0</v>
      </c>
      <c r="N3823" s="1">
        <v>765</v>
      </c>
      <c r="O3823" s="4">
        <v>4.5999999999999999E-2</v>
      </c>
      <c r="P3823" s="1" t="s">
        <v>2721</v>
      </c>
    </row>
    <row r="3824" spans="1:16">
      <c r="A3824" s="1" t="s">
        <v>15</v>
      </c>
      <c r="B3824" s="1">
        <v>11</v>
      </c>
      <c r="C3824" s="1" t="s">
        <v>8246</v>
      </c>
      <c r="D3824" s="1" t="s">
        <v>1147</v>
      </c>
      <c r="E3824" s="2">
        <v>45985</v>
      </c>
      <c r="F3824" s="1" t="s">
        <v>126</v>
      </c>
      <c r="G3824" s="1" t="s">
        <v>1148</v>
      </c>
      <c r="H3824" s="1" t="s">
        <v>7746</v>
      </c>
      <c r="I3824" s="1">
        <v>1</v>
      </c>
      <c r="J3824" s="3">
        <v>15531</v>
      </c>
      <c r="K3824" s="3">
        <v>14820</v>
      </c>
      <c r="L3824" s="1">
        <v>0</v>
      </c>
      <c r="M3824" s="4">
        <v>0</v>
      </c>
      <c r="N3824" s="1">
        <v>711</v>
      </c>
      <c r="O3824" s="4">
        <v>4.5999999999999999E-2</v>
      </c>
      <c r="P3824" s="1" t="s">
        <v>2721</v>
      </c>
    </row>
    <row r="3825" spans="1:16">
      <c r="A3825" s="1" t="s">
        <v>15</v>
      </c>
      <c r="B3825" s="1">
        <v>11</v>
      </c>
      <c r="C3825" s="1" t="s">
        <v>8247</v>
      </c>
      <c r="D3825" s="1" t="s">
        <v>86</v>
      </c>
      <c r="E3825" s="2">
        <v>45985</v>
      </c>
      <c r="F3825" s="1" t="s">
        <v>53</v>
      </c>
      <c r="G3825" s="1" t="s">
        <v>87</v>
      </c>
      <c r="H3825" s="1" t="s">
        <v>88</v>
      </c>
      <c r="I3825" s="1">
        <v>1</v>
      </c>
      <c r="J3825" s="3">
        <v>14956</v>
      </c>
      <c r="K3825" s="3">
        <v>14272</v>
      </c>
      <c r="L3825" s="1">
        <v>0</v>
      </c>
      <c r="M3825" s="4">
        <v>0</v>
      </c>
      <c r="N3825" s="1">
        <v>684</v>
      </c>
      <c r="O3825" s="4">
        <v>4.5999999999999999E-2</v>
      </c>
      <c r="P3825" s="1" t="s">
        <v>2721</v>
      </c>
    </row>
    <row r="3826" spans="1:16">
      <c r="A3826" s="1" t="s">
        <v>15</v>
      </c>
      <c r="B3826" s="1">
        <v>11</v>
      </c>
      <c r="C3826" s="1" t="s">
        <v>8248</v>
      </c>
      <c r="D3826" s="1" t="s">
        <v>7725</v>
      </c>
      <c r="E3826" s="2">
        <v>45985</v>
      </c>
      <c r="F3826" s="1" t="s">
        <v>256</v>
      </c>
      <c r="G3826" s="1" t="s">
        <v>7726</v>
      </c>
      <c r="H3826" s="1" t="s">
        <v>7727</v>
      </c>
      <c r="I3826" s="1">
        <v>1</v>
      </c>
      <c r="J3826" s="3">
        <v>19901</v>
      </c>
      <c r="K3826" s="3">
        <v>18990</v>
      </c>
      <c r="L3826" s="1">
        <v>0</v>
      </c>
      <c r="M3826" s="4">
        <v>0</v>
      </c>
      <c r="N3826" s="1">
        <v>911</v>
      </c>
      <c r="O3826" s="4">
        <v>4.5999999999999999E-2</v>
      </c>
      <c r="P3826" s="1" t="s">
        <v>2721</v>
      </c>
    </row>
    <row r="3827" spans="1:16">
      <c r="A3827" s="1" t="s">
        <v>15</v>
      </c>
      <c r="B3827" s="1">
        <v>11</v>
      </c>
      <c r="C3827" s="1" t="s">
        <v>8249</v>
      </c>
      <c r="D3827" s="1" t="s">
        <v>132</v>
      </c>
      <c r="E3827" s="2">
        <v>45985</v>
      </c>
      <c r="F3827" s="1" t="s">
        <v>53</v>
      </c>
      <c r="G3827" s="1" t="s">
        <v>133</v>
      </c>
      <c r="H3827" s="1" t="s">
        <v>88</v>
      </c>
      <c r="I3827" s="1">
        <v>1</v>
      </c>
      <c r="J3827" s="3">
        <v>17036</v>
      </c>
      <c r="K3827" s="3">
        <v>16256</v>
      </c>
      <c r="L3827" s="1">
        <v>0</v>
      </c>
      <c r="M3827" s="4">
        <v>0</v>
      </c>
      <c r="N3827" s="1">
        <v>780</v>
      </c>
      <c r="O3827" s="4">
        <v>4.5999999999999999E-2</v>
      </c>
      <c r="P3827" s="1" t="s">
        <v>2721</v>
      </c>
    </row>
    <row r="3828" spans="1:16">
      <c r="A3828" s="1" t="s">
        <v>15</v>
      </c>
      <c r="B3828" s="1">
        <v>11</v>
      </c>
      <c r="C3828" s="1" t="s">
        <v>8250</v>
      </c>
      <c r="D3828" s="1" t="s">
        <v>777</v>
      </c>
      <c r="E3828" s="2">
        <v>45985</v>
      </c>
      <c r="F3828" s="1" t="s">
        <v>256</v>
      </c>
      <c r="G3828" s="1" t="s">
        <v>778</v>
      </c>
      <c r="H3828" s="1" t="s">
        <v>779</v>
      </c>
      <c r="I3828" s="1">
        <v>1</v>
      </c>
      <c r="J3828" s="3">
        <v>11010</v>
      </c>
      <c r="K3828" s="3">
        <v>10506</v>
      </c>
      <c r="L3828" s="1">
        <v>0</v>
      </c>
      <c r="M3828" s="4">
        <v>0</v>
      </c>
      <c r="N3828" s="1">
        <v>504</v>
      </c>
      <c r="O3828" s="4">
        <v>4.5999999999999999E-2</v>
      </c>
      <c r="P3828" s="1" t="s">
        <v>2721</v>
      </c>
    </row>
    <row r="3829" spans="1:16">
      <c r="A3829" s="1" t="s">
        <v>15</v>
      </c>
      <c r="B3829" s="1">
        <v>11</v>
      </c>
      <c r="C3829" s="1" t="s">
        <v>8251</v>
      </c>
      <c r="D3829" s="1" t="s">
        <v>845</v>
      </c>
      <c r="E3829" s="2">
        <v>45985</v>
      </c>
      <c r="F3829" s="1" t="s">
        <v>846</v>
      </c>
      <c r="G3829" s="1" t="s">
        <v>847</v>
      </c>
      <c r="H3829" s="1" t="s">
        <v>848</v>
      </c>
      <c r="I3829" s="1">
        <v>1</v>
      </c>
      <c r="J3829" s="3">
        <v>112554</v>
      </c>
      <c r="K3829" s="3">
        <v>107401</v>
      </c>
      <c r="L3829" s="1">
        <v>0</v>
      </c>
      <c r="M3829" s="4">
        <v>0</v>
      </c>
      <c r="N3829" s="3">
        <v>5153</v>
      </c>
      <c r="O3829" s="4">
        <v>4.5999999999999999E-2</v>
      </c>
      <c r="P3829" s="1" t="s">
        <v>2721</v>
      </c>
    </row>
    <row r="3830" spans="1:16">
      <c r="A3830" s="1" t="s">
        <v>15</v>
      </c>
      <c r="B3830" s="1">
        <v>11</v>
      </c>
      <c r="C3830" s="1" t="s">
        <v>8252</v>
      </c>
      <c r="D3830" s="1" t="s">
        <v>2478</v>
      </c>
      <c r="E3830" s="2">
        <v>45985</v>
      </c>
      <c r="F3830" s="1" t="s">
        <v>53</v>
      </c>
      <c r="G3830" s="1" t="s">
        <v>2479</v>
      </c>
      <c r="H3830" s="1" t="s">
        <v>4665</v>
      </c>
      <c r="I3830" s="1">
        <v>1</v>
      </c>
      <c r="J3830" s="3">
        <v>20642</v>
      </c>
      <c r="K3830" s="3">
        <v>19697</v>
      </c>
      <c r="L3830" s="1">
        <v>0</v>
      </c>
      <c r="M3830" s="4">
        <v>0</v>
      </c>
      <c r="N3830" s="1">
        <v>945</v>
      </c>
      <c r="O3830" s="4">
        <v>4.5999999999999999E-2</v>
      </c>
      <c r="P3830" s="1" t="s">
        <v>2721</v>
      </c>
    </row>
    <row r="3831" spans="1:16">
      <c r="A3831" s="1" t="s">
        <v>15</v>
      </c>
      <c r="B3831" s="1">
        <v>11</v>
      </c>
      <c r="C3831" s="1" t="s">
        <v>8253</v>
      </c>
      <c r="D3831" s="1" t="s">
        <v>32</v>
      </c>
      <c r="E3831" s="2">
        <v>45985</v>
      </c>
      <c r="F3831" s="1" t="s">
        <v>33</v>
      </c>
      <c r="G3831" s="1" t="s">
        <v>34</v>
      </c>
      <c r="H3831" s="1" t="s">
        <v>8254</v>
      </c>
      <c r="I3831" s="1">
        <v>1</v>
      </c>
      <c r="J3831" s="3">
        <v>109599</v>
      </c>
      <c r="K3831" s="3">
        <v>104581</v>
      </c>
      <c r="L3831" s="1">
        <v>0</v>
      </c>
      <c r="M3831" s="4">
        <v>0</v>
      </c>
      <c r="N3831" s="3">
        <v>5018</v>
      </c>
      <c r="O3831" s="4">
        <v>4.5999999999999999E-2</v>
      </c>
      <c r="P3831" s="1" t="s">
        <v>2721</v>
      </c>
    </row>
    <row r="3832" spans="1:16">
      <c r="A3832" s="1" t="s">
        <v>15</v>
      </c>
      <c r="B3832" s="1">
        <v>11</v>
      </c>
      <c r="C3832" s="1" t="s">
        <v>8255</v>
      </c>
      <c r="D3832" s="1" t="s">
        <v>504</v>
      </c>
      <c r="E3832" s="2">
        <v>45985</v>
      </c>
      <c r="F3832" s="1" t="s">
        <v>407</v>
      </c>
      <c r="G3832" s="1" t="s">
        <v>505</v>
      </c>
      <c r="H3832" s="1" t="s">
        <v>1004</v>
      </c>
      <c r="I3832" s="1">
        <v>1</v>
      </c>
      <c r="J3832" s="3">
        <v>9339</v>
      </c>
      <c r="K3832" s="3">
        <v>8911</v>
      </c>
      <c r="L3832" s="1">
        <v>0</v>
      </c>
      <c r="M3832" s="4">
        <v>0</v>
      </c>
      <c r="N3832" s="1">
        <v>428</v>
      </c>
      <c r="O3832" s="4">
        <v>4.5999999999999999E-2</v>
      </c>
      <c r="P3832" s="1" t="s">
        <v>2721</v>
      </c>
    </row>
    <row r="3833" spans="1:16">
      <c r="A3833" s="1" t="s">
        <v>15</v>
      </c>
      <c r="B3833" s="1">
        <v>11</v>
      </c>
      <c r="C3833" s="1" t="s">
        <v>8256</v>
      </c>
      <c r="D3833" s="1" t="s">
        <v>7030</v>
      </c>
      <c r="E3833" s="2">
        <v>45985</v>
      </c>
      <c r="F3833" s="1" t="s">
        <v>96</v>
      </c>
      <c r="G3833" s="1" t="s">
        <v>7031</v>
      </c>
      <c r="H3833" s="1" t="s">
        <v>7032</v>
      </c>
      <c r="I3833" s="1">
        <v>1</v>
      </c>
      <c r="J3833" s="3">
        <v>14379</v>
      </c>
      <c r="K3833" s="3">
        <v>13721</v>
      </c>
      <c r="L3833" s="1">
        <v>0</v>
      </c>
      <c r="M3833" s="4">
        <v>0</v>
      </c>
      <c r="N3833" s="1">
        <v>658</v>
      </c>
      <c r="O3833" s="4">
        <v>4.5999999999999999E-2</v>
      </c>
      <c r="P3833" s="1" t="s">
        <v>2721</v>
      </c>
    </row>
    <row r="3834" spans="1:16">
      <c r="A3834" s="1" t="s">
        <v>15</v>
      </c>
      <c r="B3834" s="1">
        <v>11</v>
      </c>
      <c r="C3834" s="1" t="s">
        <v>8257</v>
      </c>
      <c r="D3834" s="1" t="s">
        <v>558</v>
      </c>
      <c r="E3834" s="2">
        <v>45985</v>
      </c>
      <c r="F3834" s="1" t="s">
        <v>256</v>
      </c>
      <c r="G3834" s="1" t="s">
        <v>559</v>
      </c>
      <c r="H3834" s="1" t="s">
        <v>8258</v>
      </c>
      <c r="I3834" s="1">
        <v>1</v>
      </c>
      <c r="J3834" s="3">
        <v>16465</v>
      </c>
      <c r="K3834" s="3">
        <v>15712</v>
      </c>
      <c r="L3834" s="1">
        <v>0</v>
      </c>
      <c r="M3834" s="4">
        <v>0</v>
      </c>
      <c r="N3834" s="1">
        <v>753</v>
      </c>
      <c r="O3834" s="4">
        <v>4.5999999999999999E-2</v>
      </c>
      <c r="P3834" s="1" t="s">
        <v>2721</v>
      </c>
    </row>
    <row r="3835" spans="1:16">
      <c r="A3835" s="1" t="s">
        <v>15</v>
      </c>
      <c r="B3835" s="1">
        <v>11</v>
      </c>
      <c r="C3835" s="1" t="s">
        <v>8259</v>
      </c>
      <c r="D3835" s="1" t="s">
        <v>797</v>
      </c>
      <c r="E3835" s="2">
        <v>45985</v>
      </c>
      <c r="F3835" s="1" t="s">
        <v>798</v>
      </c>
      <c r="G3835" s="1" t="s">
        <v>799</v>
      </c>
      <c r="H3835" s="1" t="s">
        <v>832</v>
      </c>
      <c r="I3835" s="1">
        <v>1</v>
      </c>
      <c r="J3835" s="3">
        <v>13271</v>
      </c>
      <c r="K3835" s="3">
        <v>12663</v>
      </c>
      <c r="L3835" s="1">
        <v>0</v>
      </c>
      <c r="M3835" s="4">
        <v>0</v>
      </c>
      <c r="N3835" s="1">
        <v>608</v>
      </c>
      <c r="O3835" s="4">
        <v>4.5999999999999999E-2</v>
      </c>
      <c r="P3835" s="1" t="s">
        <v>2721</v>
      </c>
    </row>
    <row r="3836" spans="1:16">
      <c r="A3836" s="1" t="s">
        <v>15</v>
      </c>
      <c r="B3836" s="1">
        <v>11</v>
      </c>
      <c r="C3836" s="1" t="s">
        <v>8260</v>
      </c>
      <c r="D3836" s="1" t="s">
        <v>3850</v>
      </c>
      <c r="E3836" s="2">
        <v>45985</v>
      </c>
      <c r="F3836" s="1" t="s">
        <v>1021</v>
      </c>
      <c r="G3836" s="1" t="s">
        <v>3851</v>
      </c>
      <c r="H3836" s="1" t="s">
        <v>3852</v>
      </c>
      <c r="I3836" s="1">
        <v>1</v>
      </c>
      <c r="J3836" s="3">
        <v>25579</v>
      </c>
      <c r="K3836" s="3">
        <v>24408</v>
      </c>
      <c r="L3836" s="1">
        <v>0</v>
      </c>
      <c r="M3836" s="4">
        <v>0</v>
      </c>
      <c r="N3836" s="3">
        <v>1171</v>
      </c>
      <c r="O3836" s="4">
        <v>4.5999999999999999E-2</v>
      </c>
      <c r="P3836" s="1" t="s">
        <v>2721</v>
      </c>
    </row>
    <row r="3837" spans="1:16">
      <c r="A3837" s="1" t="s">
        <v>15</v>
      </c>
      <c r="B3837" s="1">
        <v>11</v>
      </c>
      <c r="C3837" s="1" t="s">
        <v>8261</v>
      </c>
      <c r="D3837" s="1" t="s">
        <v>116</v>
      </c>
      <c r="E3837" s="2">
        <v>45985</v>
      </c>
      <c r="F3837" s="1" t="s">
        <v>63</v>
      </c>
      <c r="G3837" s="1" t="s">
        <v>117</v>
      </c>
      <c r="H3837" s="1" t="s">
        <v>139</v>
      </c>
      <c r="I3837" s="1">
        <v>1</v>
      </c>
      <c r="J3837" s="3">
        <v>15422</v>
      </c>
      <c r="K3837" s="3">
        <v>14716</v>
      </c>
      <c r="L3837" s="1">
        <v>0</v>
      </c>
      <c r="M3837" s="4">
        <v>0</v>
      </c>
      <c r="N3837" s="1">
        <v>706</v>
      </c>
      <c r="O3837" s="4">
        <v>4.5999999999999999E-2</v>
      </c>
      <c r="P3837" s="1" t="s">
        <v>2721</v>
      </c>
    </row>
    <row r="3838" spans="1:16">
      <c r="A3838" s="1" t="s">
        <v>15</v>
      </c>
      <c r="B3838" s="1">
        <v>11</v>
      </c>
      <c r="C3838" s="1" t="s">
        <v>8262</v>
      </c>
      <c r="D3838" s="1" t="s">
        <v>4156</v>
      </c>
      <c r="E3838" s="2">
        <v>45985</v>
      </c>
      <c r="F3838" s="1" t="s">
        <v>53</v>
      </c>
      <c r="G3838" s="1" t="s">
        <v>4157</v>
      </c>
      <c r="H3838" s="1" t="s">
        <v>4158</v>
      </c>
      <c r="I3838" s="1">
        <v>1</v>
      </c>
      <c r="J3838" s="3">
        <v>9825</v>
      </c>
      <c r="K3838" s="3">
        <v>9375</v>
      </c>
      <c r="L3838" s="1">
        <v>0</v>
      </c>
      <c r="M3838" s="4">
        <v>0</v>
      </c>
      <c r="N3838" s="1">
        <v>450</v>
      </c>
      <c r="O3838" s="4">
        <v>4.5999999999999999E-2</v>
      </c>
      <c r="P3838" s="1" t="s">
        <v>2721</v>
      </c>
    </row>
    <row r="3839" spans="1:16">
      <c r="A3839" s="1" t="s">
        <v>15</v>
      </c>
      <c r="B3839" s="1">
        <v>11</v>
      </c>
      <c r="C3839" s="1" t="s">
        <v>8263</v>
      </c>
      <c r="D3839" s="1" t="s">
        <v>1642</v>
      </c>
      <c r="E3839" s="2">
        <v>45985</v>
      </c>
      <c r="F3839" s="1" t="s">
        <v>96</v>
      </c>
      <c r="G3839" s="1" t="s">
        <v>1643</v>
      </c>
      <c r="H3839" s="1" t="s">
        <v>1644</v>
      </c>
      <c r="I3839" s="1">
        <v>1</v>
      </c>
      <c r="J3839" s="3">
        <v>14379</v>
      </c>
      <c r="K3839" s="3">
        <v>13721</v>
      </c>
      <c r="L3839" s="1">
        <v>0</v>
      </c>
      <c r="M3839" s="4">
        <v>0</v>
      </c>
      <c r="N3839" s="1">
        <v>658</v>
      </c>
      <c r="O3839" s="4">
        <v>4.5999999999999999E-2</v>
      </c>
      <c r="P3839" s="1" t="s">
        <v>2721</v>
      </c>
    </row>
    <row r="3840" spans="1:16">
      <c r="A3840" s="1" t="s">
        <v>15</v>
      </c>
      <c r="B3840" s="1">
        <v>11</v>
      </c>
      <c r="C3840" s="1" t="s">
        <v>8264</v>
      </c>
      <c r="D3840" s="1" t="s">
        <v>1250</v>
      </c>
      <c r="E3840" s="2">
        <v>45985</v>
      </c>
      <c r="F3840" s="1" t="s">
        <v>18</v>
      </c>
      <c r="G3840" s="1" t="s">
        <v>1251</v>
      </c>
      <c r="H3840" s="1" t="s">
        <v>1428</v>
      </c>
      <c r="I3840" s="1">
        <v>4</v>
      </c>
      <c r="J3840" s="3">
        <v>33579</v>
      </c>
      <c r="K3840" s="3">
        <v>32042</v>
      </c>
      <c r="L3840" s="1">
        <v>0</v>
      </c>
      <c r="M3840" s="4">
        <v>0</v>
      </c>
      <c r="N3840" s="3">
        <v>1537</v>
      </c>
      <c r="O3840" s="4">
        <v>4.5999999999999999E-2</v>
      </c>
      <c r="P3840" s="1" t="s">
        <v>2721</v>
      </c>
    </row>
    <row r="3841" spans="1:16">
      <c r="A3841" s="1" t="s">
        <v>15</v>
      </c>
      <c r="B3841" s="1">
        <v>11</v>
      </c>
      <c r="C3841" s="1" t="s">
        <v>8265</v>
      </c>
      <c r="D3841" s="1" t="s">
        <v>208</v>
      </c>
      <c r="E3841" s="2">
        <v>45985</v>
      </c>
      <c r="F3841" s="1" t="s">
        <v>126</v>
      </c>
      <c r="G3841" s="1" t="s">
        <v>209</v>
      </c>
      <c r="H3841" s="1" t="s">
        <v>210</v>
      </c>
      <c r="I3841" s="1">
        <v>2</v>
      </c>
      <c r="J3841" s="3">
        <v>38534</v>
      </c>
      <c r="K3841" s="3">
        <v>36770</v>
      </c>
      <c r="L3841" s="1">
        <v>0</v>
      </c>
      <c r="M3841" s="4">
        <v>0</v>
      </c>
      <c r="N3841" s="3">
        <v>1764</v>
      </c>
      <c r="O3841" s="4">
        <v>4.5999999999999999E-2</v>
      </c>
      <c r="P3841" s="1" t="s">
        <v>2721</v>
      </c>
    </row>
    <row r="3842" spans="1:16">
      <c r="A3842" s="1" t="s">
        <v>15</v>
      </c>
      <c r="B3842" s="1">
        <v>11</v>
      </c>
      <c r="C3842" s="1" t="s">
        <v>8266</v>
      </c>
      <c r="D3842" s="1" t="s">
        <v>390</v>
      </c>
      <c r="E3842" s="2">
        <v>45985</v>
      </c>
      <c r="F3842" s="1" t="s">
        <v>256</v>
      </c>
      <c r="G3842" s="1" t="s">
        <v>391</v>
      </c>
      <c r="H3842" s="1" t="s">
        <v>392</v>
      </c>
      <c r="I3842" s="1">
        <v>1</v>
      </c>
      <c r="J3842" s="3">
        <v>12799</v>
      </c>
      <c r="K3842" s="3">
        <v>12213</v>
      </c>
      <c r="L3842" s="1">
        <v>0</v>
      </c>
      <c r="M3842" s="4">
        <v>0</v>
      </c>
      <c r="N3842" s="1">
        <v>586</v>
      </c>
      <c r="O3842" s="4">
        <v>4.5999999999999999E-2</v>
      </c>
      <c r="P3842" s="1" t="s">
        <v>2721</v>
      </c>
    </row>
    <row r="3843" spans="1:16">
      <c r="A3843" s="1" t="s">
        <v>15</v>
      </c>
      <c r="B3843" s="1">
        <v>11</v>
      </c>
      <c r="C3843" s="1" t="s">
        <v>8267</v>
      </c>
      <c r="D3843" s="1" t="s">
        <v>141</v>
      </c>
      <c r="E3843" s="2">
        <v>45985</v>
      </c>
      <c r="F3843" s="1" t="s">
        <v>142</v>
      </c>
      <c r="G3843" s="1" t="s">
        <v>143</v>
      </c>
      <c r="H3843" s="1" t="s">
        <v>2432</v>
      </c>
      <c r="I3843" s="1">
        <v>1</v>
      </c>
      <c r="J3843" s="3">
        <v>22314</v>
      </c>
      <c r="K3843" s="3">
        <v>21293</v>
      </c>
      <c r="L3843" s="1">
        <v>0</v>
      </c>
      <c r="M3843" s="4">
        <v>0</v>
      </c>
      <c r="N3843" s="3">
        <v>1021</v>
      </c>
      <c r="O3843" s="4">
        <v>4.5999999999999999E-2</v>
      </c>
      <c r="P3843" s="1" t="s">
        <v>2721</v>
      </c>
    </row>
    <row r="3844" spans="1:16">
      <c r="A3844" s="1" t="s">
        <v>15</v>
      </c>
      <c r="B3844" s="1">
        <v>11</v>
      </c>
      <c r="C3844" s="1" t="s">
        <v>8268</v>
      </c>
      <c r="D3844" s="1" t="s">
        <v>17</v>
      </c>
      <c r="E3844" s="2">
        <v>45985</v>
      </c>
      <c r="F3844" s="1" t="s">
        <v>18</v>
      </c>
      <c r="G3844" s="1" t="s">
        <v>19</v>
      </c>
      <c r="H3844" s="1" t="s">
        <v>1252</v>
      </c>
      <c r="I3844" s="1">
        <v>1</v>
      </c>
      <c r="J3844" s="3">
        <v>7166</v>
      </c>
      <c r="K3844" s="3">
        <v>6838</v>
      </c>
      <c r="L3844" s="1">
        <v>0</v>
      </c>
      <c r="M3844" s="4">
        <v>0</v>
      </c>
      <c r="N3844" s="1">
        <v>328</v>
      </c>
      <c r="O3844" s="4">
        <v>4.5999999999999999E-2</v>
      </c>
      <c r="P3844" s="1" t="s">
        <v>2721</v>
      </c>
    </row>
    <row r="3845" spans="1:16">
      <c r="A3845" s="1" t="s">
        <v>15</v>
      </c>
      <c r="B3845" s="1">
        <v>11</v>
      </c>
      <c r="C3845" s="1" t="s">
        <v>8268</v>
      </c>
      <c r="D3845" s="1" t="s">
        <v>17</v>
      </c>
      <c r="E3845" s="2">
        <v>45985</v>
      </c>
      <c r="F3845" s="1" t="s">
        <v>18</v>
      </c>
      <c r="G3845" s="1" t="s">
        <v>19</v>
      </c>
      <c r="H3845" s="1" t="s">
        <v>20</v>
      </c>
      <c r="I3845" s="1">
        <v>1</v>
      </c>
      <c r="J3845" s="3">
        <v>7166</v>
      </c>
      <c r="K3845" s="3">
        <v>6838</v>
      </c>
      <c r="L3845" s="1">
        <v>0</v>
      </c>
      <c r="M3845" s="4">
        <v>0</v>
      </c>
      <c r="N3845" s="1">
        <v>328</v>
      </c>
      <c r="O3845" s="4">
        <v>4.5999999999999999E-2</v>
      </c>
      <c r="P3845" s="1" t="s">
        <v>2721</v>
      </c>
    </row>
    <row r="3846" spans="1:16">
      <c r="A3846" s="1" t="s">
        <v>15</v>
      </c>
      <c r="B3846" s="1">
        <v>11</v>
      </c>
      <c r="C3846" s="1" t="s">
        <v>8269</v>
      </c>
      <c r="D3846" s="1" t="s">
        <v>1250</v>
      </c>
      <c r="E3846" s="2">
        <v>45985</v>
      </c>
      <c r="F3846" s="1" t="s">
        <v>18</v>
      </c>
      <c r="G3846" s="1" t="s">
        <v>1251</v>
      </c>
      <c r="H3846" s="1" t="s">
        <v>1252</v>
      </c>
      <c r="I3846" s="1">
        <v>1</v>
      </c>
      <c r="J3846" s="3">
        <v>8395</v>
      </c>
      <c r="K3846" s="3">
        <v>8011</v>
      </c>
      <c r="L3846" s="1">
        <v>0</v>
      </c>
      <c r="M3846" s="4">
        <v>0</v>
      </c>
      <c r="N3846" s="1">
        <v>384</v>
      </c>
      <c r="O3846" s="4">
        <v>4.5999999999999999E-2</v>
      </c>
      <c r="P3846" s="1" t="s">
        <v>2721</v>
      </c>
    </row>
    <row r="3847" spans="1:16">
      <c r="A3847" s="1" t="s">
        <v>15</v>
      </c>
      <c r="B3847" s="1">
        <v>11</v>
      </c>
      <c r="C3847" s="1" t="s">
        <v>8270</v>
      </c>
      <c r="D3847" s="1" t="s">
        <v>2334</v>
      </c>
      <c r="E3847" s="2">
        <v>45985</v>
      </c>
      <c r="F3847" s="1" t="s">
        <v>261</v>
      </c>
      <c r="G3847" s="1" t="s">
        <v>2335</v>
      </c>
      <c r="H3847" s="1" t="s">
        <v>2336</v>
      </c>
      <c r="I3847" s="1">
        <v>1</v>
      </c>
      <c r="J3847" s="3">
        <v>25558</v>
      </c>
      <c r="K3847" s="3">
        <v>24388</v>
      </c>
      <c r="L3847" s="1">
        <v>0</v>
      </c>
      <c r="M3847" s="4">
        <v>0</v>
      </c>
      <c r="N3847" s="3">
        <v>1170</v>
      </c>
      <c r="O3847" s="4">
        <v>4.5999999999999999E-2</v>
      </c>
      <c r="P3847" s="1" t="s">
        <v>2721</v>
      </c>
    </row>
    <row r="3848" spans="1:16">
      <c r="A3848" s="1" t="s">
        <v>15</v>
      </c>
      <c r="B3848" s="1">
        <v>11</v>
      </c>
      <c r="C3848" s="1" t="s">
        <v>8271</v>
      </c>
      <c r="D3848" s="1" t="s">
        <v>132</v>
      </c>
      <c r="E3848" s="2">
        <v>45985</v>
      </c>
      <c r="F3848" s="1" t="s">
        <v>53</v>
      </c>
      <c r="G3848" s="1" t="s">
        <v>133</v>
      </c>
      <c r="H3848" s="1" t="s">
        <v>88</v>
      </c>
      <c r="I3848" s="1">
        <v>1</v>
      </c>
      <c r="J3848" s="3">
        <v>17036</v>
      </c>
      <c r="K3848" s="3">
        <v>16256</v>
      </c>
      <c r="L3848" s="1">
        <v>0</v>
      </c>
      <c r="M3848" s="4">
        <v>0</v>
      </c>
      <c r="N3848" s="1">
        <v>780</v>
      </c>
      <c r="O3848" s="4">
        <v>4.5999999999999999E-2</v>
      </c>
      <c r="P3848" s="1" t="s">
        <v>2721</v>
      </c>
    </row>
    <row r="3849" spans="1:16">
      <c r="A3849" s="1" t="s">
        <v>15</v>
      </c>
      <c r="B3849" s="1">
        <v>11</v>
      </c>
      <c r="C3849" s="1" t="s">
        <v>8272</v>
      </c>
      <c r="D3849" s="1" t="s">
        <v>291</v>
      </c>
      <c r="E3849" s="2">
        <v>45985</v>
      </c>
      <c r="F3849" s="1" t="s">
        <v>292</v>
      </c>
      <c r="G3849" s="1" t="s">
        <v>293</v>
      </c>
      <c r="H3849" s="1" t="s">
        <v>1231</v>
      </c>
      <c r="I3849" s="1">
        <v>1</v>
      </c>
      <c r="J3849" s="3">
        <v>13271</v>
      </c>
      <c r="K3849" s="3">
        <v>12663</v>
      </c>
      <c r="L3849" s="1">
        <v>0</v>
      </c>
      <c r="M3849" s="4">
        <v>0</v>
      </c>
      <c r="N3849" s="1">
        <v>608</v>
      </c>
      <c r="O3849" s="4">
        <v>4.5999999999999999E-2</v>
      </c>
      <c r="P3849" s="1" t="s">
        <v>2721</v>
      </c>
    </row>
    <row r="3850" spans="1:16">
      <c r="A3850" s="1" t="s">
        <v>15</v>
      </c>
      <c r="B3850" s="1">
        <v>11</v>
      </c>
      <c r="C3850" s="1" t="s">
        <v>8273</v>
      </c>
      <c r="D3850" s="1" t="s">
        <v>1467</v>
      </c>
      <c r="E3850" s="2">
        <v>45985</v>
      </c>
      <c r="F3850" s="1" t="s">
        <v>126</v>
      </c>
      <c r="G3850" s="1" t="s">
        <v>1468</v>
      </c>
      <c r="H3850" s="1" t="s">
        <v>1469</v>
      </c>
      <c r="I3850" s="1">
        <v>1</v>
      </c>
      <c r="J3850" s="3">
        <v>17989</v>
      </c>
      <c r="K3850" s="3">
        <v>17165</v>
      </c>
      <c r="L3850" s="1">
        <v>0</v>
      </c>
      <c r="M3850" s="4">
        <v>0</v>
      </c>
      <c r="N3850" s="1">
        <v>824</v>
      </c>
      <c r="O3850" s="4">
        <v>4.5999999999999999E-2</v>
      </c>
      <c r="P3850" s="1" t="s">
        <v>2721</v>
      </c>
    </row>
    <row r="3851" spans="1:16">
      <c r="A3851" s="1" t="s">
        <v>15</v>
      </c>
      <c r="B3851" s="1">
        <v>11</v>
      </c>
      <c r="C3851" s="1" t="s">
        <v>8274</v>
      </c>
      <c r="D3851" s="1" t="s">
        <v>169</v>
      </c>
      <c r="E3851" s="2">
        <v>45985</v>
      </c>
      <c r="F3851" s="1" t="s">
        <v>53</v>
      </c>
      <c r="G3851" s="1" t="s">
        <v>170</v>
      </c>
      <c r="H3851" s="1" t="s">
        <v>171</v>
      </c>
      <c r="I3851" s="1">
        <v>1</v>
      </c>
      <c r="J3851" s="3">
        <v>14332</v>
      </c>
      <c r="K3851" s="3">
        <v>13676</v>
      </c>
      <c r="L3851" s="1">
        <v>0</v>
      </c>
      <c r="M3851" s="4">
        <v>0</v>
      </c>
      <c r="N3851" s="1">
        <v>656</v>
      </c>
      <c r="O3851" s="4">
        <v>4.5999999999999999E-2</v>
      </c>
      <c r="P3851" s="1" t="s">
        <v>2721</v>
      </c>
    </row>
    <row r="3852" spans="1:16">
      <c r="A3852" s="1" t="s">
        <v>15</v>
      </c>
      <c r="B3852" s="1">
        <v>11</v>
      </c>
      <c r="C3852" s="1" t="s">
        <v>8275</v>
      </c>
      <c r="D3852" s="1" t="s">
        <v>178</v>
      </c>
      <c r="E3852" s="2">
        <v>45985</v>
      </c>
      <c r="F3852" s="1" t="s">
        <v>96</v>
      </c>
      <c r="G3852" s="1" t="s">
        <v>179</v>
      </c>
      <c r="H3852" s="1" t="s">
        <v>180</v>
      </c>
      <c r="I3852" s="1">
        <v>1</v>
      </c>
      <c r="J3852" s="3">
        <v>15284</v>
      </c>
      <c r="K3852" s="3">
        <v>14584</v>
      </c>
      <c r="L3852" s="1">
        <v>0</v>
      </c>
      <c r="M3852" s="4">
        <v>0</v>
      </c>
      <c r="N3852" s="1">
        <v>700</v>
      </c>
      <c r="O3852" s="4">
        <v>4.5999999999999999E-2</v>
      </c>
      <c r="P3852" s="1" t="s">
        <v>2721</v>
      </c>
    </row>
    <row r="3853" spans="1:16">
      <c r="A3853" s="1" t="s">
        <v>15</v>
      </c>
      <c r="B3853" s="1">
        <v>11</v>
      </c>
      <c r="C3853" s="1" t="s">
        <v>8276</v>
      </c>
      <c r="D3853" s="1" t="s">
        <v>8277</v>
      </c>
      <c r="E3853" s="2">
        <v>45985</v>
      </c>
      <c r="F3853" s="1" t="s">
        <v>53</v>
      </c>
      <c r="G3853" s="1" t="s">
        <v>8278</v>
      </c>
      <c r="H3853" s="1" t="s">
        <v>8279</v>
      </c>
      <c r="I3853" s="1">
        <v>1</v>
      </c>
      <c r="J3853" s="3">
        <v>12529</v>
      </c>
      <c r="K3853" s="3">
        <v>11956</v>
      </c>
      <c r="L3853" s="1">
        <v>0</v>
      </c>
      <c r="M3853" s="4">
        <v>0</v>
      </c>
      <c r="N3853" s="1">
        <v>573</v>
      </c>
      <c r="O3853" s="4">
        <v>4.5999999999999999E-2</v>
      </c>
      <c r="P3853" s="1" t="s">
        <v>2721</v>
      </c>
    </row>
    <row r="3854" spans="1:16">
      <c r="A3854" s="1" t="s">
        <v>15</v>
      </c>
      <c r="B3854" s="1">
        <v>11</v>
      </c>
      <c r="C3854" s="1" t="s">
        <v>8280</v>
      </c>
      <c r="D3854" s="1" t="s">
        <v>4669</v>
      </c>
      <c r="E3854" s="2">
        <v>45985</v>
      </c>
      <c r="F3854" s="1" t="s">
        <v>63</v>
      </c>
      <c r="G3854" s="1" t="s">
        <v>4670</v>
      </c>
      <c r="H3854" s="1" t="s">
        <v>118</v>
      </c>
      <c r="I3854" s="1">
        <v>1</v>
      </c>
      <c r="J3854" s="3">
        <v>18627</v>
      </c>
      <c r="K3854" s="3">
        <v>17774</v>
      </c>
      <c r="L3854" s="1">
        <v>0</v>
      </c>
      <c r="M3854" s="4">
        <v>0</v>
      </c>
      <c r="N3854" s="1">
        <v>853</v>
      </c>
      <c r="O3854" s="4">
        <v>4.5999999999999999E-2</v>
      </c>
      <c r="P3854" s="1" t="s">
        <v>2721</v>
      </c>
    </row>
    <row r="3855" spans="1:16">
      <c r="A3855" s="1" t="s">
        <v>15</v>
      </c>
      <c r="B3855" s="1">
        <v>11</v>
      </c>
      <c r="C3855" s="1" t="s">
        <v>8281</v>
      </c>
      <c r="D3855" s="1" t="s">
        <v>86</v>
      </c>
      <c r="E3855" s="2">
        <v>45985</v>
      </c>
      <c r="F3855" s="1" t="s">
        <v>53</v>
      </c>
      <c r="G3855" s="1" t="s">
        <v>87</v>
      </c>
      <c r="H3855" s="1" t="s">
        <v>88</v>
      </c>
      <c r="I3855" s="1">
        <v>1</v>
      </c>
      <c r="J3855" s="3">
        <v>14956</v>
      </c>
      <c r="K3855" s="3">
        <v>14272</v>
      </c>
      <c r="L3855" s="1">
        <v>0</v>
      </c>
      <c r="M3855" s="4">
        <v>0</v>
      </c>
      <c r="N3855" s="1">
        <v>684</v>
      </c>
      <c r="O3855" s="4">
        <v>4.5999999999999999E-2</v>
      </c>
      <c r="P3855" s="1" t="s">
        <v>2721</v>
      </c>
    </row>
    <row r="3856" spans="1:16">
      <c r="A3856" s="1" t="s">
        <v>15</v>
      </c>
      <c r="B3856" s="1">
        <v>11</v>
      </c>
      <c r="C3856" s="1" t="s">
        <v>8282</v>
      </c>
      <c r="D3856" s="1" t="s">
        <v>311</v>
      </c>
      <c r="E3856" s="2">
        <v>45985</v>
      </c>
      <c r="F3856" s="1" t="s">
        <v>312</v>
      </c>
      <c r="G3856" s="1" t="s">
        <v>313</v>
      </c>
      <c r="H3856" s="1" t="s">
        <v>4801</v>
      </c>
      <c r="I3856" s="1">
        <v>1</v>
      </c>
      <c r="J3856" s="3">
        <v>28310</v>
      </c>
      <c r="K3856" s="3">
        <v>27014</v>
      </c>
      <c r="L3856" s="1">
        <v>0</v>
      </c>
      <c r="M3856" s="4">
        <v>0</v>
      </c>
      <c r="N3856" s="3">
        <v>1296</v>
      </c>
      <c r="O3856" s="4">
        <v>4.5999999999999999E-2</v>
      </c>
      <c r="P3856" s="1" t="s">
        <v>2721</v>
      </c>
    </row>
    <row r="3857" spans="1:16">
      <c r="A3857" s="1" t="s">
        <v>15</v>
      </c>
      <c r="B3857" s="1">
        <v>11</v>
      </c>
      <c r="C3857" s="1" t="s">
        <v>8282</v>
      </c>
      <c r="D3857" s="1" t="s">
        <v>311</v>
      </c>
      <c r="E3857" s="2">
        <v>45985</v>
      </c>
      <c r="F3857" s="1" t="s">
        <v>312</v>
      </c>
      <c r="G3857" s="1" t="s">
        <v>313</v>
      </c>
      <c r="H3857" s="1" t="s">
        <v>3723</v>
      </c>
      <c r="I3857" s="1">
        <v>1</v>
      </c>
      <c r="J3857" s="3">
        <v>28310</v>
      </c>
      <c r="K3857" s="3">
        <v>27014</v>
      </c>
      <c r="L3857" s="1">
        <v>0</v>
      </c>
      <c r="M3857" s="4">
        <v>0</v>
      </c>
      <c r="N3857" s="3">
        <v>1296</v>
      </c>
      <c r="O3857" s="4">
        <v>4.5999999999999999E-2</v>
      </c>
      <c r="P3857" s="1" t="s">
        <v>2721</v>
      </c>
    </row>
    <row r="3858" spans="1:16">
      <c r="A3858" s="1" t="s">
        <v>15</v>
      </c>
      <c r="B3858" s="1">
        <v>11</v>
      </c>
      <c r="C3858" s="1" t="s">
        <v>8282</v>
      </c>
      <c r="D3858" s="1" t="s">
        <v>311</v>
      </c>
      <c r="E3858" s="2">
        <v>45985</v>
      </c>
      <c r="F3858" s="1" t="s">
        <v>312</v>
      </c>
      <c r="G3858" s="1" t="s">
        <v>313</v>
      </c>
      <c r="H3858" s="1" t="s">
        <v>8283</v>
      </c>
      <c r="I3858" s="1">
        <v>1</v>
      </c>
      <c r="J3858" s="3">
        <v>28310</v>
      </c>
      <c r="K3858" s="3">
        <v>27014</v>
      </c>
      <c r="L3858" s="1">
        <v>0</v>
      </c>
      <c r="M3858" s="4">
        <v>0</v>
      </c>
      <c r="N3858" s="3">
        <v>1296</v>
      </c>
      <c r="O3858" s="4">
        <v>4.5999999999999999E-2</v>
      </c>
      <c r="P3858" s="1" t="s">
        <v>2721</v>
      </c>
    </row>
    <row r="3859" spans="1:16">
      <c r="A3859" s="1" t="s">
        <v>15</v>
      </c>
      <c r="B3859" s="1">
        <v>11</v>
      </c>
      <c r="C3859" s="1" t="s">
        <v>8284</v>
      </c>
      <c r="D3859" s="1" t="s">
        <v>8285</v>
      </c>
      <c r="E3859" s="2">
        <v>45985</v>
      </c>
      <c r="F3859" s="1" t="s">
        <v>1835</v>
      </c>
      <c r="G3859" s="1" t="s">
        <v>1836</v>
      </c>
      <c r="H3859" s="1" t="s">
        <v>1837</v>
      </c>
      <c r="I3859" s="1">
        <v>1</v>
      </c>
      <c r="J3859" s="3">
        <v>33422</v>
      </c>
      <c r="K3859" s="3">
        <v>31892</v>
      </c>
      <c r="L3859" s="1">
        <v>0</v>
      </c>
      <c r="M3859" s="4">
        <v>0</v>
      </c>
      <c r="N3859" s="3">
        <v>1530</v>
      </c>
      <c r="O3859" s="4">
        <v>4.5999999999999999E-2</v>
      </c>
      <c r="P3859" s="1" t="s">
        <v>2721</v>
      </c>
    </row>
    <row r="3860" spans="1:16">
      <c r="A3860" s="1" t="s">
        <v>15</v>
      </c>
      <c r="B3860" s="1">
        <v>11</v>
      </c>
      <c r="C3860" s="1" t="s">
        <v>8286</v>
      </c>
      <c r="D3860" s="1" t="s">
        <v>311</v>
      </c>
      <c r="E3860" s="2">
        <v>45985</v>
      </c>
      <c r="F3860" s="1" t="s">
        <v>312</v>
      </c>
      <c r="G3860" s="1" t="s">
        <v>313</v>
      </c>
      <c r="H3860" s="1" t="s">
        <v>8287</v>
      </c>
      <c r="I3860" s="1">
        <v>1</v>
      </c>
      <c r="J3860" s="3">
        <v>28310</v>
      </c>
      <c r="K3860" s="3">
        <v>27014</v>
      </c>
      <c r="L3860" s="1">
        <v>0</v>
      </c>
      <c r="M3860" s="4">
        <v>0</v>
      </c>
      <c r="N3860" s="3">
        <v>1296</v>
      </c>
      <c r="O3860" s="4">
        <v>4.5999999999999999E-2</v>
      </c>
      <c r="P3860" s="1" t="s">
        <v>2721</v>
      </c>
    </row>
    <row r="3861" spans="1:16">
      <c r="A3861" s="1" t="s">
        <v>15</v>
      </c>
      <c r="B3861" s="1">
        <v>11</v>
      </c>
      <c r="C3861" s="1" t="s">
        <v>8288</v>
      </c>
      <c r="D3861" s="1" t="s">
        <v>234</v>
      </c>
      <c r="E3861" s="2">
        <v>45985</v>
      </c>
      <c r="F3861" s="1" t="s">
        <v>235</v>
      </c>
      <c r="G3861" s="1" t="s">
        <v>236</v>
      </c>
      <c r="H3861" s="1" t="s">
        <v>236</v>
      </c>
      <c r="I3861" s="1">
        <v>1</v>
      </c>
      <c r="J3861" s="3">
        <v>10605</v>
      </c>
      <c r="K3861" s="3">
        <v>10119</v>
      </c>
      <c r="L3861" s="1">
        <v>0</v>
      </c>
      <c r="M3861" s="4">
        <v>0</v>
      </c>
      <c r="N3861" s="1">
        <v>486</v>
      </c>
      <c r="O3861" s="4">
        <v>4.5999999999999999E-2</v>
      </c>
      <c r="P3861" s="1" t="s">
        <v>2721</v>
      </c>
    </row>
    <row r="3862" spans="1:16">
      <c r="A3862" s="1" t="s">
        <v>15</v>
      </c>
      <c r="B3862" s="1">
        <v>11</v>
      </c>
      <c r="C3862" s="1" t="s">
        <v>8288</v>
      </c>
      <c r="D3862" s="1" t="s">
        <v>2448</v>
      </c>
      <c r="E3862" s="2">
        <v>45985</v>
      </c>
      <c r="F3862" s="1" t="s">
        <v>235</v>
      </c>
      <c r="G3862" s="1" t="s">
        <v>2449</v>
      </c>
      <c r="H3862" s="1" t="s">
        <v>2450</v>
      </c>
      <c r="I3862" s="1">
        <v>1</v>
      </c>
      <c r="J3862" s="3">
        <v>22019</v>
      </c>
      <c r="K3862" s="3">
        <v>21011</v>
      </c>
      <c r="L3862" s="1">
        <v>0</v>
      </c>
      <c r="M3862" s="4">
        <v>0</v>
      </c>
      <c r="N3862" s="3">
        <v>1008</v>
      </c>
      <c r="O3862" s="4">
        <v>4.5999999999999999E-2</v>
      </c>
      <c r="P3862" s="1" t="s">
        <v>2721</v>
      </c>
    </row>
    <row r="3863" spans="1:16">
      <c r="A3863" s="1" t="s">
        <v>15</v>
      </c>
      <c r="B3863" s="1">
        <v>11</v>
      </c>
      <c r="C3863" s="1" t="s">
        <v>8289</v>
      </c>
      <c r="D3863" s="1" t="s">
        <v>482</v>
      </c>
      <c r="E3863" s="2">
        <v>45985</v>
      </c>
      <c r="F3863" s="1" t="s">
        <v>483</v>
      </c>
      <c r="G3863" s="1" t="s">
        <v>484</v>
      </c>
      <c r="H3863" s="1" t="s">
        <v>1610</v>
      </c>
      <c r="I3863" s="1">
        <v>2</v>
      </c>
      <c r="J3863" s="3">
        <v>162195</v>
      </c>
      <c r="K3863" s="3">
        <v>154770</v>
      </c>
      <c r="L3863" s="1">
        <v>0</v>
      </c>
      <c r="M3863" s="4">
        <v>0</v>
      </c>
      <c r="N3863" s="3">
        <v>7425</v>
      </c>
      <c r="O3863" s="4">
        <v>4.5999999999999999E-2</v>
      </c>
      <c r="P3863" s="1" t="s">
        <v>2721</v>
      </c>
    </row>
    <row r="3864" spans="1:16">
      <c r="A3864" s="1" t="s">
        <v>15</v>
      </c>
      <c r="B3864" s="1">
        <v>11</v>
      </c>
      <c r="C3864" s="1" t="s">
        <v>8290</v>
      </c>
      <c r="D3864" s="1" t="s">
        <v>2329</v>
      </c>
      <c r="E3864" s="2">
        <v>45985</v>
      </c>
      <c r="F3864" s="1" t="s">
        <v>660</v>
      </c>
      <c r="G3864" s="1" t="s">
        <v>2330</v>
      </c>
      <c r="H3864" s="1" t="s">
        <v>8291</v>
      </c>
      <c r="I3864" s="1">
        <v>1</v>
      </c>
      <c r="J3864" s="3">
        <v>22609</v>
      </c>
      <c r="K3864" s="3">
        <v>21574</v>
      </c>
      <c r="L3864" s="1">
        <v>0</v>
      </c>
      <c r="M3864" s="4">
        <v>0</v>
      </c>
      <c r="N3864" s="3">
        <v>1035</v>
      </c>
      <c r="O3864" s="4">
        <v>4.5999999999999999E-2</v>
      </c>
      <c r="P3864" s="1" t="s">
        <v>2721</v>
      </c>
    </row>
    <row r="3865" spans="1:16">
      <c r="A3865" s="1" t="s">
        <v>15</v>
      </c>
      <c r="B3865" s="1">
        <v>11</v>
      </c>
      <c r="C3865" s="1" t="s">
        <v>8292</v>
      </c>
      <c r="D3865" s="1" t="s">
        <v>4791</v>
      </c>
      <c r="E3865" s="2">
        <v>45985</v>
      </c>
      <c r="F3865" s="1" t="s">
        <v>3625</v>
      </c>
      <c r="G3865" s="1" t="s">
        <v>4792</v>
      </c>
      <c r="H3865" s="1" t="s">
        <v>4793</v>
      </c>
      <c r="I3865" s="1">
        <v>1</v>
      </c>
      <c r="J3865" s="3">
        <v>15728</v>
      </c>
      <c r="K3865" s="3">
        <v>15008</v>
      </c>
      <c r="L3865" s="1">
        <v>0</v>
      </c>
      <c r="M3865" s="4">
        <v>0</v>
      </c>
      <c r="N3865" s="1">
        <v>720</v>
      </c>
      <c r="O3865" s="4">
        <v>4.5999999999999999E-2</v>
      </c>
      <c r="P3865" s="1" t="s">
        <v>2721</v>
      </c>
    </row>
    <row r="3866" spans="1:16">
      <c r="A3866" s="1" t="s">
        <v>15</v>
      </c>
      <c r="B3866" s="1">
        <v>11</v>
      </c>
      <c r="C3866" s="1" t="s">
        <v>8293</v>
      </c>
      <c r="D3866" s="1" t="s">
        <v>116</v>
      </c>
      <c r="E3866" s="2">
        <v>45985</v>
      </c>
      <c r="F3866" s="1" t="s">
        <v>63</v>
      </c>
      <c r="G3866" s="1" t="s">
        <v>117</v>
      </c>
      <c r="H3866" s="1" t="s">
        <v>139</v>
      </c>
      <c r="I3866" s="1">
        <v>1</v>
      </c>
      <c r="J3866" s="3">
        <v>15422</v>
      </c>
      <c r="K3866" s="3">
        <v>14716</v>
      </c>
      <c r="L3866" s="1">
        <v>0</v>
      </c>
      <c r="M3866" s="4">
        <v>0</v>
      </c>
      <c r="N3866" s="1">
        <v>706</v>
      </c>
      <c r="O3866" s="4">
        <v>4.5999999999999999E-2</v>
      </c>
      <c r="P3866" s="1" t="s">
        <v>2721</v>
      </c>
    </row>
    <row r="3867" spans="1:16">
      <c r="A3867" s="1" t="s">
        <v>15</v>
      </c>
      <c r="B3867" s="1">
        <v>11</v>
      </c>
      <c r="C3867" s="1" t="s">
        <v>8294</v>
      </c>
      <c r="D3867" s="1" t="s">
        <v>1070</v>
      </c>
      <c r="E3867" s="2">
        <v>45985</v>
      </c>
      <c r="F3867" s="1" t="s">
        <v>58</v>
      </c>
      <c r="G3867" s="1" t="s">
        <v>1071</v>
      </c>
      <c r="H3867" s="1" t="s">
        <v>1072</v>
      </c>
      <c r="I3867" s="1">
        <v>2</v>
      </c>
      <c r="J3867" s="3">
        <v>21744</v>
      </c>
      <c r="K3867" s="3">
        <v>20749</v>
      </c>
      <c r="L3867" s="1">
        <v>0</v>
      </c>
      <c r="M3867" s="4">
        <v>0</v>
      </c>
      <c r="N3867" s="1">
        <v>995</v>
      </c>
      <c r="O3867" s="4">
        <v>4.5999999999999999E-2</v>
      </c>
      <c r="P3867" s="1" t="s">
        <v>2721</v>
      </c>
    </row>
    <row r="3868" spans="1:16">
      <c r="A3868" s="1" t="s">
        <v>15</v>
      </c>
      <c r="B3868" s="1">
        <v>11</v>
      </c>
      <c r="C3868" s="1" t="s">
        <v>8295</v>
      </c>
      <c r="D3868" s="1" t="s">
        <v>777</v>
      </c>
      <c r="E3868" s="2">
        <v>45985</v>
      </c>
      <c r="F3868" s="1" t="s">
        <v>256</v>
      </c>
      <c r="G3868" s="1" t="s">
        <v>778</v>
      </c>
      <c r="H3868" s="1" t="s">
        <v>779</v>
      </c>
      <c r="I3868" s="1">
        <v>1</v>
      </c>
      <c r="J3868" s="3">
        <v>11010</v>
      </c>
      <c r="K3868" s="3">
        <v>10506</v>
      </c>
      <c r="L3868" s="1">
        <v>0</v>
      </c>
      <c r="M3868" s="4">
        <v>0</v>
      </c>
      <c r="N3868" s="1">
        <v>504</v>
      </c>
      <c r="O3868" s="4">
        <v>4.5999999999999999E-2</v>
      </c>
      <c r="P3868" s="1" t="s">
        <v>2721</v>
      </c>
    </row>
    <row r="3869" spans="1:16">
      <c r="A3869" s="1" t="s">
        <v>15</v>
      </c>
      <c r="B3869" s="1">
        <v>11</v>
      </c>
      <c r="C3869" s="1" t="s">
        <v>8296</v>
      </c>
      <c r="D3869" s="1" t="s">
        <v>169</v>
      </c>
      <c r="E3869" s="2">
        <v>45985</v>
      </c>
      <c r="F3869" s="1" t="s">
        <v>53</v>
      </c>
      <c r="G3869" s="1" t="s">
        <v>170</v>
      </c>
      <c r="H3869" s="1" t="s">
        <v>171</v>
      </c>
      <c r="I3869" s="1">
        <v>1</v>
      </c>
      <c r="J3869" s="3">
        <v>14332</v>
      </c>
      <c r="K3869" s="3">
        <v>13676</v>
      </c>
      <c r="L3869" s="1">
        <v>0</v>
      </c>
      <c r="M3869" s="4">
        <v>0</v>
      </c>
      <c r="N3869" s="1">
        <v>656</v>
      </c>
      <c r="O3869" s="4">
        <v>4.5999999999999999E-2</v>
      </c>
      <c r="P3869" s="1" t="s">
        <v>2721</v>
      </c>
    </row>
    <row r="3870" spans="1:16">
      <c r="A3870" s="1" t="s">
        <v>15</v>
      </c>
      <c r="B3870" s="1">
        <v>11</v>
      </c>
      <c r="C3870" s="1" t="s">
        <v>8297</v>
      </c>
      <c r="D3870" s="1" t="s">
        <v>238</v>
      </c>
      <c r="E3870" s="2">
        <v>45985</v>
      </c>
      <c r="F3870" s="1" t="s">
        <v>239</v>
      </c>
      <c r="G3870" s="1" t="s">
        <v>240</v>
      </c>
      <c r="H3870" s="1" t="s">
        <v>241</v>
      </c>
      <c r="I3870" s="1">
        <v>1</v>
      </c>
      <c r="J3870" s="3">
        <v>11305</v>
      </c>
      <c r="K3870" s="3">
        <v>10787</v>
      </c>
      <c r="L3870" s="1">
        <v>0</v>
      </c>
      <c r="M3870" s="4">
        <v>0</v>
      </c>
      <c r="N3870" s="1">
        <v>518</v>
      </c>
      <c r="O3870" s="4">
        <v>4.5999999999999999E-2</v>
      </c>
      <c r="P3870" s="1" t="s">
        <v>2721</v>
      </c>
    </row>
    <row r="3871" spans="1:16">
      <c r="A3871" s="1" t="s">
        <v>15</v>
      </c>
      <c r="B3871" s="1">
        <v>11</v>
      </c>
      <c r="C3871" s="1" t="s">
        <v>8297</v>
      </c>
      <c r="D3871" s="1" t="s">
        <v>238</v>
      </c>
      <c r="E3871" s="2">
        <v>45985</v>
      </c>
      <c r="F3871" s="1" t="s">
        <v>239</v>
      </c>
      <c r="G3871" s="1" t="s">
        <v>240</v>
      </c>
      <c r="H3871" s="1" t="s">
        <v>242</v>
      </c>
      <c r="I3871" s="1">
        <v>1</v>
      </c>
      <c r="J3871" s="3">
        <v>11305</v>
      </c>
      <c r="K3871" s="3">
        <v>10787</v>
      </c>
      <c r="L3871" s="1">
        <v>0</v>
      </c>
      <c r="M3871" s="4">
        <v>0</v>
      </c>
      <c r="N3871" s="1">
        <v>518</v>
      </c>
      <c r="O3871" s="4">
        <v>4.5999999999999999E-2</v>
      </c>
      <c r="P3871" s="1" t="s">
        <v>2721</v>
      </c>
    </row>
    <row r="3872" spans="1:16">
      <c r="A3872" s="1" t="s">
        <v>15</v>
      </c>
      <c r="B3872" s="1">
        <v>11</v>
      </c>
      <c r="C3872" s="1" t="s">
        <v>8298</v>
      </c>
      <c r="D3872" s="1" t="s">
        <v>504</v>
      </c>
      <c r="E3872" s="2">
        <v>45985</v>
      </c>
      <c r="F3872" s="1" t="s">
        <v>407</v>
      </c>
      <c r="G3872" s="1" t="s">
        <v>505</v>
      </c>
      <c r="H3872" s="1" t="s">
        <v>1004</v>
      </c>
      <c r="I3872" s="1">
        <v>1</v>
      </c>
      <c r="J3872" s="3">
        <v>9339</v>
      </c>
      <c r="K3872" s="3">
        <v>8911</v>
      </c>
      <c r="L3872" s="1">
        <v>0</v>
      </c>
      <c r="M3872" s="4">
        <v>0</v>
      </c>
      <c r="N3872" s="1">
        <v>428</v>
      </c>
      <c r="O3872" s="4">
        <v>4.5999999999999999E-2</v>
      </c>
      <c r="P3872" s="1" t="s">
        <v>2721</v>
      </c>
    </row>
    <row r="3873" spans="1:16">
      <c r="A3873" s="1" t="s">
        <v>15</v>
      </c>
      <c r="B3873" s="1">
        <v>11</v>
      </c>
      <c r="C3873" s="1" t="s">
        <v>8298</v>
      </c>
      <c r="D3873" s="1" t="s">
        <v>1452</v>
      </c>
      <c r="E3873" s="2">
        <v>45985</v>
      </c>
      <c r="F3873" s="1" t="s">
        <v>407</v>
      </c>
      <c r="G3873" s="1" t="s">
        <v>1453</v>
      </c>
      <c r="H3873" s="1" t="s">
        <v>1474</v>
      </c>
      <c r="I3873" s="1">
        <v>1</v>
      </c>
      <c r="J3873" s="3">
        <v>11305</v>
      </c>
      <c r="K3873" s="3">
        <v>10787</v>
      </c>
      <c r="L3873" s="1">
        <v>0</v>
      </c>
      <c r="M3873" s="4">
        <v>0</v>
      </c>
      <c r="N3873" s="1">
        <v>518</v>
      </c>
      <c r="O3873" s="4">
        <v>4.5999999999999999E-2</v>
      </c>
      <c r="P3873" s="1" t="s">
        <v>2721</v>
      </c>
    </row>
    <row r="3874" spans="1:16">
      <c r="A3874" s="1" t="s">
        <v>15</v>
      </c>
      <c r="B3874" s="1">
        <v>11</v>
      </c>
      <c r="C3874" s="1" t="s">
        <v>8299</v>
      </c>
      <c r="D3874" s="1" t="s">
        <v>311</v>
      </c>
      <c r="E3874" s="2">
        <v>45985</v>
      </c>
      <c r="F3874" s="1" t="s">
        <v>312</v>
      </c>
      <c r="G3874" s="1" t="s">
        <v>313</v>
      </c>
      <c r="H3874" s="1" t="s">
        <v>339</v>
      </c>
      <c r="I3874" s="1">
        <v>1</v>
      </c>
      <c r="J3874" s="3">
        <v>28310</v>
      </c>
      <c r="K3874" s="3">
        <v>27014</v>
      </c>
      <c r="L3874" s="1">
        <v>0</v>
      </c>
      <c r="M3874" s="4">
        <v>0</v>
      </c>
      <c r="N3874" s="3">
        <v>1296</v>
      </c>
      <c r="O3874" s="4">
        <v>4.5999999999999999E-2</v>
      </c>
      <c r="P3874" s="1" t="s">
        <v>2721</v>
      </c>
    </row>
    <row r="3875" spans="1:16">
      <c r="A3875" s="1" t="s">
        <v>15</v>
      </c>
      <c r="B3875" s="1">
        <v>11</v>
      </c>
      <c r="C3875" s="1" t="s">
        <v>8300</v>
      </c>
      <c r="D3875" s="1" t="s">
        <v>3725</v>
      </c>
      <c r="E3875" s="2">
        <v>45985</v>
      </c>
      <c r="F3875" s="1" t="s">
        <v>96</v>
      </c>
      <c r="G3875" s="1" t="s">
        <v>3726</v>
      </c>
      <c r="H3875" s="1" t="s">
        <v>3727</v>
      </c>
      <c r="I3875" s="1">
        <v>1</v>
      </c>
      <c r="J3875" s="3">
        <v>16188</v>
      </c>
      <c r="K3875" s="3">
        <v>15447</v>
      </c>
      <c r="L3875" s="1">
        <v>0</v>
      </c>
      <c r="M3875" s="4">
        <v>0</v>
      </c>
      <c r="N3875" s="1">
        <v>741</v>
      </c>
      <c r="O3875" s="4">
        <v>4.5999999999999999E-2</v>
      </c>
      <c r="P3875" s="1" t="s">
        <v>2721</v>
      </c>
    </row>
    <row r="3876" spans="1:16">
      <c r="A3876" s="1" t="s">
        <v>15</v>
      </c>
      <c r="B3876" s="1">
        <v>11</v>
      </c>
      <c r="C3876" s="1" t="s">
        <v>8300</v>
      </c>
      <c r="D3876" s="1" t="s">
        <v>3631</v>
      </c>
      <c r="E3876" s="2">
        <v>45985</v>
      </c>
      <c r="F3876" s="1" t="s">
        <v>96</v>
      </c>
      <c r="G3876" s="1" t="s">
        <v>3632</v>
      </c>
      <c r="H3876" s="1" t="s">
        <v>3633</v>
      </c>
      <c r="I3876" s="1">
        <v>1</v>
      </c>
      <c r="J3876" s="3">
        <v>11666</v>
      </c>
      <c r="K3876" s="3">
        <v>11132</v>
      </c>
      <c r="L3876" s="1">
        <v>0</v>
      </c>
      <c r="M3876" s="4">
        <v>0</v>
      </c>
      <c r="N3876" s="1">
        <v>534</v>
      </c>
      <c r="O3876" s="4">
        <v>4.5999999999999999E-2</v>
      </c>
      <c r="P3876" s="1" t="s">
        <v>2721</v>
      </c>
    </row>
    <row r="3877" spans="1:16">
      <c r="A3877" s="1" t="s">
        <v>15</v>
      </c>
      <c r="B3877" s="1">
        <v>11</v>
      </c>
      <c r="C3877" s="1" t="s">
        <v>8300</v>
      </c>
      <c r="D3877" s="1" t="s">
        <v>104</v>
      </c>
      <c r="E3877" s="2">
        <v>45985</v>
      </c>
      <c r="F3877" s="1" t="s">
        <v>96</v>
      </c>
      <c r="G3877" s="1" t="s">
        <v>105</v>
      </c>
      <c r="H3877" s="1" t="s">
        <v>106</v>
      </c>
      <c r="I3877" s="1">
        <v>1</v>
      </c>
      <c r="J3877" s="3">
        <v>21614</v>
      </c>
      <c r="K3877" s="3">
        <v>20625</v>
      </c>
      <c r="L3877" s="1">
        <v>0</v>
      </c>
      <c r="M3877" s="4">
        <v>0</v>
      </c>
      <c r="N3877" s="1">
        <v>989</v>
      </c>
      <c r="O3877" s="4">
        <v>4.5999999999999999E-2</v>
      </c>
      <c r="P3877" s="1" t="s">
        <v>2721</v>
      </c>
    </row>
    <row r="3878" spans="1:16">
      <c r="A3878" s="1" t="s">
        <v>15</v>
      </c>
      <c r="B3878" s="1">
        <v>11</v>
      </c>
      <c r="C3878" s="1" t="s">
        <v>8301</v>
      </c>
      <c r="D3878" s="1" t="s">
        <v>394</v>
      </c>
      <c r="E3878" s="2">
        <v>45985</v>
      </c>
      <c r="F3878" s="1" t="s">
        <v>395</v>
      </c>
      <c r="G3878" s="1" t="s">
        <v>396</v>
      </c>
      <c r="H3878" s="1" t="s">
        <v>397</v>
      </c>
      <c r="I3878" s="1">
        <v>2</v>
      </c>
      <c r="J3878" s="3">
        <v>37747</v>
      </c>
      <c r="K3878" s="3">
        <v>36019</v>
      </c>
      <c r="L3878" s="1">
        <v>0</v>
      </c>
      <c r="M3878" s="4">
        <v>0</v>
      </c>
      <c r="N3878" s="3">
        <v>1728</v>
      </c>
      <c r="O3878" s="4">
        <v>4.5999999999999999E-2</v>
      </c>
      <c r="P3878" s="1" t="s">
        <v>2721</v>
      </c>
    </row>
    <row r="3879" spans="1:16">
      <c r="A3879" s="1" t="s">
        <v>15</v>
      </c>
      <c r="B3879" s="1">
        <v>11</v>
      </c>
      <c r="C3879" s="1" t="s">
        <v>8302</v>
      </c>
      <c r="D3879" s="1" t="s">
        <v>283</v>
      </c>
      <c r="E3879" s="2">
        <v>45985</v>
      </c>
      <c r="F3879" s="1" t="s">
        <v>200</v>
      </c>
      <c r="G3879" s="1" t="s">
        <v>284</v>
      </c>
      <c r="H3879" s="1" t="s">
        <v>7446</v>
      </c>
      <c r="I3879" s="1">
        <v>1</v>
      </c>
      <c r="J3879" s="3">
        <v>12779</v>
      </c>
      <c r="K3879" s="3">
        <v>12194</v>
      </c>
      <c r="L3879" s="1">
        <v>0</v>
      </c>
      <c r="M3879" s="4">
        <v>0</v>
      </c>
      <c r="N3879" s="1">
        <v>585</v>
      </c>
      <c r="O3879" s="4">
        <v>4.5999999999999999E-2</v>
      </c>
      <c r="P3879" s="1" t="s">
        <v>2721</v>
      </c>
    </row>
    <row r="3880" spans="1:16">
      <c r="A3880" s="1" t="s">
        <v>15</v>
      </c>
      <c r="B3880" s="1">
        <v>11</v>
      </c>
      <c r="C3880" s="1" t="s">
        <v>8303</v>
      </c>
      <c r="D3880" s="1" t="s">
        <v>4235</v>
      </c>
      <c r="E3880" s="2">
        <v>45985</v>
      </c>
      <c r="F3880" s="1" t="s">
        <v>2173</v>
      </c>
      <c r="G3880" s="1" t="s">
        <v>4236</v>
      </c>
      <c r="H3880" s="1" t="s">
        <v>4237</v>
      </c>
      <c r="I3880" s="1">
        <v>1</v>
      </c>
      <c r="J3880" s="3">
        <v>35191</v>
      </c>
      <c r="K3880" s="3">
        <v>33580</v>
      </c>
      <c r="L3880" s="1">
        <v>0</v>
      </c>
      <c r="M3880" s="4">
        <v>0</v>
      </c>
      <c r="N3880" s="3">
        <v>1611</v>
      </c>
      <c r="O3880" s="4">
        <v>4.5999999999999999E-2</v>
      </c>
      <c r="P3880" s="1" t="s">
        <v>2721</v>
      </c>
    </row>
    <row r="3881" spans="1:16">
      <c r="A3881" s="1" t="s">
        <v>15</v>
      </c>
      <c r="B3881" s="1">
        <v>11</v>
      </c>
      <c r="C3881" s="1" t="s">
        <v>8304</v>
      </c>
      <c r="D3881" s="1" t="s">
        <v>228</v>
      </c>
      <c r="E3881" s="2">
        <v>45985</v>
      </c>
      <c r="F3881" s="1" t="s">
        <v>53</v>
      </c>
      <c r="G3881" s="1" t="s">
        <v>229</v>
      </c>
      <c r="H3881" s="1" t="s">
        <v>230</v>
      </c>
      <c r="I3881" s="1">
        <v>1</v>
      </c>
      <c r="J3881" s="3">
        <v>9825</v>
      </c>
      <c r="K3881" s="3">
        <v>9375</v>
      </c>
      <c r="L3881" s="1">
        <v>0</v>
      </c>
      <c r="M3881" s="4">
        <v>0</v>
      </c>
      <c r="N3881" s="1">
        <v>450</v>
      </c>
      <c r="O3881" s="4">
        <v>4.5999999999999999E-2</v>
      </c>
      <c r="P3881" s="1" t="s">
        <v>2721</v>
      </c>
    </row>
    <row r="3882" spans="1:16">
      <c r="A3882" s="1" t="s">
        <v>15</v>
      </c>
      <c r="B3882" s="1">
        <v>11</v>
      </c>
      <c r="C3882" s="1" t="s">
        <v>8305</v>
      </c>
      <c r="D3882" s="1" t="s">
        <v>435</v>
      </c>
      <c r="E3882" s="2">
        <v>45985</v>
      </c>
      <c r="F3882" s="1" t="s">
        <v>63</v>
      </c>
      <c r="G3882" s="1" t="s">
        <v>436</v>
      </c>
      <c r="H3882" s="1" t="s">
        <v>114</v>
      </c>
      <c r="I3882" s="1">
        <v>1</v>
      </c>
      <c r="J3882" s="3">
        <v>8011</v>
      </c>
      <c r="K3882" s="3">
        <v>7645</v>
      </c>
      <c r="L3882" s="1">
        <v>0</v>
      </c>
      <c r="M3882" s="4">
        <v>0</v>
      </c>
      <c r="N3882" s="1">
        <v>366</v>
      </c>
      <c r="O3882" s="4">
        <v>4.5999999999999999E-2</v>
      </c>
      <c r="P3882" s="1" t="s">
        <v>2721</v>
      </c>
    </row>
    <row r="3883" spans="1:16">
      <c r="A3883" s="1" t="s">
        <v>15</v>
      </c>
      <c r="B3883" s="1">
        <v>11</v>
      </c>
      <c r="C3883" s="1" t="s">
        <v>8305</v>
      </c>
      <c r="D3883" s="1" t="s">
        <v>72</v>
      </c>
      <c r="E3883" s="2">
        <v>45985</v>
      </c>
      <c r="F3883" s="1" t="s">
        <v>63</v>
      </c>
      <c r="G3883" s="1" t="s">
        <v>73</v>
      </c>
      <c r="H3883" s="1" t="s">
        <v>74</v>
      </c>
      <c r="I3883" s="1">
        <v>1</v>
      </c>
      <c r="J3883" s="3">
        <v>10456</v>
      </c>
      <c r="K3883" s="3">
        <v>9978</v>
      </c>
      <c r="L3883" s="1">
        <v>0</v>
      </c>
      <c r="M3883" s="4">
        <v>0</v>
      </c>
      <c r="N3883" s="1">
        <v>478</v>
      </c>
      <c r="O3883" s="4">
        <v>4.5999999999999999E-2</v>
      </c>
      <c r="P3883" s="1" t="s">
        <v>2721</v>
      </c>
    </row>
    <row r="3884" spans="1:16">
      <c r="A3884" s="1" t="s">
        <v>15</v>
      </c>
      <c r="B3884" s="1">
        <v>11</v>
      </c>
      <c r="C3884" s="1" t="s">
        <v>8305</v>
      </c>
      <c r="D3884" s="1" t="s">
        <v>4669</v>
      </c>
      <c r="E3884" s="2">
        <v>45985</v>
      </c>
      <c r="F3884" s="1" t="s">
        <v>63</v>
      </c>
      <c r="G3884" s="1" t="s">
        <v>4670</v>
      </c>
      <c r="H3884" s="1" t="s">
        <v>118</v>
      </c>
      <c r="I3884" s="1">
        <v>1</v>
      </c>
      <c r="J3884" s="3">
        <v>18627</v>
      </c>
      <c r="K3884" s="3">
        <v>17774</v>
      </c>
      <c r="L3884" s="1">
        <v>0</v>
      </c>
      <c r="M3884" s="4">
        <v>0</v>
      </c>
      <c r="N3884" s="1">
        <v>853</v>
      </c>
      <c r="O3884" s="4">
        <v>4.5999999999999999E-2</v>
      </c>
      <c r="P3884" s="1" t="s">
        <v>2721</v>
      </c>
    </row>
    <row r="3885" spans="1:16">
      <c r="A3885" s="1" t="s">
        <v>15</v>
      </c>
      <c r="B3885" s="1">
        <v>11</v>
      </c>
      <c r="C3885" s="1" t="s">
        <v>8306</v>
      </c>
      <c r="D3885" s="1" t="s">
        <v>86</v>
      </c>
      <c r="E3885" s="2">
        <v>45985</v>
      </c>
      <c r="F3885" s="1" t="s">
        <v>53</v>
      </c>
      <c r="G3885" s="1" t="s">
        <v>87</v>
      </c>
      <c r="H3885" s="1" t="s">
        <v>88</v>
      </c>
      <c r="I3885" s="1">
        <v>1</v>
      </c>
      <c r="J3885" s="3">
        <v>14956</v>
      </c>
      <c r="K3885" s="3">
        <v>14272</v>
      </c>
      <c r="L3885" s="1">
        <v>0</v>
      </c>
      <c r="M3885" s="4">
        <v>0</v>
      </c>
      <c r="N3885" s="1">
        <v>684</v>
      </c>
      <c r="O3885" s="4">
        <v>4.5999999999999999E-2</v>
      </c>
      <c r="P3885" s="1" t="s">
        <v>2721</v>
      </c>
    </row>
    <row r="3886" spans="1:16">
      <c r="A3886" s="1" t="s">
        <v>15</v>
      </c>
      <c r="B3886" s="1">
        <v>11</v>
      </c>
      <c r="C3886" s="1" t="s">
        <v>8307</v>
      </c>
      <c r="D3886" s="1" t="s">
        <v>228</v>
      </c>
      <c r="E3886" s="2">
        <v>45985</v>
      </c>
      <c r="F3886" s="1" t="s">
        <v>53</v>
      </c>
      <c r="G3886" s="1" t="s">
        <v>229</v>
      </c>
      <c r="H3886" s="1" t="s">
        <v>230</v>
      </c>
      <c r="I3886" s="1">
        <v>1</v>
      </c>
      <c r="J3886" s="3">
        <v>9825</v>
      </c>
      <c r="K3886" s="3">
        <v>9375</v>
      </c>
      <c r="L3886" s="1">
        <v>0</v>
      </c>
      <c r="M3886" s="4">
        <v>0</v>
      </c>
      <c r="N3886" s="1">
        <v>450</v>
      </c>
      <c r="O3886" s="4">
        <v>4.5999999999999999E-2</v>
      </c>
      <c r="P3886" s="1" t="s">
        <v>2721</v>
      </c>
    </row>
    <row r="3887" spans="1:16">
      <c r="A3887" s="1" t="s">
        <v>15</v>
      </c>
      <c r="B3887" s="1">
        <v>11</v>
      </c>
      <c r="C3887" s="1" t="s">
        <v>8308</v>
      </c>
      <c r="D3887" s="1" t="s">
        <v>4669</v>
      </c>
      <c r="E3887" s="2">
        <v>45985</v>
      </c>
      <c r="F3887" s="1" t="s">
        <v>63</v>
      </c>
      <c r="G3887" s="1" t="s">
        <v>4670</v>
      </c>
      <c r="H3887" s="1" t="s">
        <v>118</v>
      </c>
      <c r="I3887" s="1">
        <v>1</v>
      </c>
      <c r="J3887" s="3">
        <v>18627</v>
      </c>
      <c r="K3887" s="3">
        <v>17774</v>
      </c>
      <c r="L3887" s="1">
        <v>0</v>
      </c>
      <c r="M3887" s="4">
        <v>0</v>
      </c>
      <c r="N3887" s="1">
        <v>853</v>
      </c>
      <c r="O3887" s="4">
        <v>4.5999999999999999E-2</v>
      </c>
      <c r="P3887" s="1" t="s">
        <v>2721</v>
      </c>
    </row>
    <row r="3888" spans="1:16">
      <c r="A3888" s="1" t="s">
        <v>15</v>
      </c>
      <c r="B3888" s="1">
        <v>11</v>
      </c>
      <c r="C3888" s="1" t="s">
        <v>8309</v>
      </c>
      <c r="D3888" s="1" t="s">
        <v>4045</v>
      </c>
      <c r="E3888" s="2">
        <v>45985</v>
      </c>
      <c r="F3888" s="1" t="s">
        <v>68</v>
      </c>
      <c r="G3888" s="1" t="s">
        <v>4046</v>
      </c>
      <c r="H3888" s="1" t="s">
        <v>8310</v>
      </c>
      <c r="I3888" s="1">
        <v>1</v>
      </c>
      <c r="J3888" s="3">
        <v>14627</v>
      </c>
      <c r="K3888" s="3">
        <v>13957</v>
      </c>
      <c r="L3888" s="1">
        <v>0</v>
      </c>
      <c r="M3888" s="4">
        <v>0</v>
      </c>
      <c r="N3888" s="1">
        <v>670</v>
      </c>
      <c r="O3888" s="4">
        <v>4.5999999999999999E-2</v>
      </c>
      <c r="P3888" s="1" t="s">
        <v>2721</v>
      </c>
    </row>
    <row r="3889" spans="1:16">
      <c r="A3889" s="1" t="s">
        <v>15</v>
      </c>
      <c r="B3889" s="1">
        <v>11</v>
      </c>
      <c r="C3889" s="1" t="s">
        <v>8311</v>
      </c>
      <c r="D3889" s="1" t="s">
        <v>228</v>
      </c>
      <c r="E3889" s="2">
        <v>45985</v>
      </c>
      <c r="F3889" s="1" t="s">
        <v>53</v>
      </c>
      <c r="G3889" s="1" t="s">
        <v>229</v>
      </c>
      <c r="H3889" s="1" t="s">
        <v>230</v>
      </c>
      <c r="I3889" s="1">
        <v>1</v>
      </c>
      <c r="J3889" s="3">
        <v>9825</v>
      </c>
      <c r="K3889" s="3">
        <v>9375</v>
      </c>
      <c r="L3889" s="1">
        <v>0</v>
      </c>
      <c r="M3889" s="4">
        <v>0</v>
      </c>
      <c r="N3889" s="1">
        <v>450</v>
      </c>
      <c r="O3889" s="4">
        <v>4.5999999999999999E-2</v>
      </c>
      <c r="P3889" s="1" t="s">
        <v>2721</v>
      </c>
    </row>
    <row r="3890" spans="1:16">
      <c r="A3890" s="1" t="s">
        <v>15</v>
      </c>
      <c r="B3890" s="1">
        <v>11</v>
      </c>
      <c r="C3890" s="1" t="s">
        <v>8312</v>
      </c>
      <c r="D3890" s="1" t="s">
        <v>22</v>
      </c>
      <c r="E3890" s="2">
        <v>45985</v>
      </c>
      <c r="F3890" s="1" t="s">
        <v>23</v>
      </c>
      <c r="G3890" s="1" t="s">
        <v>24</v>
      </c>
      <c r="H3890" s="1" t="s">
        <v>25</v>
      </c>
      <c r="I3890" s="1">
        <v>1</v>
      </c>
      <c r="J3890" s="3">
        <v>11305</v>
      </c>
      <c r="K3890" s="3">
        <v>10787</v>
      </c>
      <c r="L3890" s="1">
        <v>0</v>
      </c>
      <c r="M3890" s="4">
        <v>0</v>
      </c>
      <c r="N3890" s="1">
        <v>518</v>
      </c>
      <c r="O3890" s="4">
        <v>4.5999999999999999E-2</v>
      </c>
      <c r="P3890" s="1" t="s">
        <v>2721</v>
      </c>
    </row>
    <row r="3891" spans="1:16">
      <c r="A3891" s="1" t="s">
        <v>15</v>
      </c>
      <c r="B3891" s="1">
        <v>11</v>
      </c>
      <c r="C3891" s="1" t="s">
        <v>8313</v>
      </c>
      <c r="D3891" s="1" t="s">
        <v>4134</v>
      </c>
      <c r="E3891" s="2">
        <v>45985</v>
      </c>
      <c r="F3891" s="1" t="s">
        <v>534</v>
      </c>
      <c r="G3891" s="1" t="s">
        <v>4135</v>
      </c>
      <c r="H3891" s="1" t="s">
        <v>4136</v>
      </c>
      <c r="I3891" s="1">
        <v>1</v>
      </c>
      <c r="J3891" s="3">
        <v>13035</v>
      </c>
      <c r="K3891" s="3">
        <v>12438</v>
      </c>
      <c r="L3891" s="1">
        <v>0</v>
      </c>
      <c r="M3891" s="4">
        <v>0</v>
      </c>
      <c r="N3891" s="1">
        <v>597</v>
      </c>
      <c r="O3891" s="4">
        <v>4.5999999999999999E-2</v>
      </c>
      <c r="P3891" s="1" t="s">
        <v>2721</v>
      </c>
    </row>
    <row r="3892" spans="1:16">
      <c r="A3892" s="1" t="s">
        <v>15</v>
      </c>
      <c r="B3892" s="1">
        <v>11</v>
      </c>
      <c r="C3892" s="1" t="s">
        <v>8314</v>
      </c>
      <c r="D3892" s="1" t="s">
        <v>1294</v>
      </c>
      <c r="E3892" s="2">
        <v>45985</v>
      </c>
      <c r="F3892" s="1" t="s">
        <v>347</v>
      </c>
      <c r="G3892" s="1" t="s">
        <v>1295</v>
      </c>
      <c r="H3892" s="1" t="s">
        <v>4163</v>
      </c>
      <c r="I3892" s="1">
        <v>1</v>
      </c>
      <c r="J3892" s="3">
        <v>18677</v>
      </c>
      <c r="K3892" s="3">
        <v>17822</v>
      </c>
      <c r="L3892" s="1">
        <v>0</v>
      </c>
      <c r="M3892" s="4">
        <v>0</v>
      </c>
      <c r="N3892" s="1">
        <v>855</v>
      </c>
      <c r="O3892" s="4">
        <v>4.5999999999999999E-2</v>
      </c>
      <c r="P3892" s="1" t="s">
        <v>2721</v>
      </c>
    </row>
    <row r="3893" spans="1:16">
      <c r="A3893" s="1" t="s">
        <v>15</v>
      </c>
      <c r="B3893" s="1">
        <v>11</v>
      </c>
      <c r="C3893" s="1" t="s">
        <v>8315</v>
      </c>
      <c r="D3893" s="1" t="s">
        <v>1452</v>
      </c>
      <c r="E3893" s="2">
        <v>45985</v>
      </c>
      <c r="F3893" s="1" t="s">
        <v>407</v>
      </c>
      <c r="G3893" s="1" t="s">
        <v>1453</v>
      </c>
      <c r="H3893" s="1" t="s">
        <v>4530</v>
      </c>
      <c r="I3893" s="1">
        <v>1</v>
      </c>
      <c r="J3893" s="3">
        <v>41286</v>
      </c>
      <c r="K3893" s="3">
        <v>39396</v>
      </c>
      <c r="L3893" s="1">
        <v>0</v>
      </c>
      <c r="M3893" s="4">
        <v>0</v>
      </c>
      <c r="N3893" s="3">
        <v>1890</v>
      </c>
      <c r="O3893" s="4">
        <v>4.5999999999999999E-2</v>
      </c>
      <c r="P3893" s="1" t="s">
        <v>2721</v>
      </c>
    </row>
    <row r="3894" spans="1:16">
      <c r="A3894" s="1" t="s">
        <v>15</v>
      </c>
      <c r="B3894" s="1">
        <v>11</v>
      </c>
      <c r="C3894" s="1" t="s">
        <v>8315</v>
      </c>
      <c r="D3894" s="1" t="s">
        <v>406</v>
      </c>
      <c r="E3894" s="2">
        <v>45985</v>
      </c>
      <c r="F3894" s="1" t="s">
        <v>407</v>
      </c>
      <c r="G3894" s="1" t="s">
        <v>408</v>
      </c>
      <c r="H3894" s="1" t="s">
        <v>8316</v>
      </c>
      <c r="I3894" s="1">
        <v>1</v>
      </c>
      <c r="J3894" s="3">
        <v>27524</v>
      </c>
      <c r="K3894" s="3">
        <v>26264</v>
      </c>
      <c r="L3894" s="1">
        <v>0</v>
      </c>
      <c r="M3894" s="4">
        <v>0</v>
      </c>
      <c r="N3894" s="3">
        <v>1260</v>
      </c>
      <c r="O3894" s="4">
        <v>4.5999999999999999E-2</v>
      </c>
      <c r="P3894" s="1" t="s">
        <v>2721</v>
      </c>
    </row>
    <row r="3895" spans="1:16">
      <c r="A3895" s="1" t="s">
        <v>15</v>
      </c>
      <c r="B3895" s="1">
        <v>11</v>
      </c>
      <c r="C3895" s="1" t="s">
        <v>8317</v>
      </c>
      <c r="D3895" s="1" t="s">
        <v>845</v>
      </c>
      <c r="E3895" s="2">
        <v>45985</v>
      </c>
      <c r="F3895" s="1" t="s">
        <v>846</v>
      </c>
      <c r="G3895" s="1" t="s">
        <v>847</v>
      </c>
      <c r="H3895" s="1" t="s">
        <v>848</v>
      </c>
      <c r="I3895" s="1">
        <v>1</v>
      </c>
      <c r="J3895" s="3">
        <v>112554</v>
      </c>
      <c r="K3895" s="3">
        <v>107401</v>
      </c>
      <c r="L3895" s="1">
        <v>0</v>
      </c>
      <c r="M3895" s="4">
        <v>0</v>
      </c>
      <c r="N3895" s="3">
        <v>5153</v>
      </c>
      <c r="O3895" s="4">
        <v>4.5999999999999999E-2</v>
      </c>
      <c r="P3895" s="1" t="s">
        <v>2721</v>
      </c>
    </row>
    <row r="3896" spans="1:16">
      <c r="A3896" s="1" t="s">
        <v>15</v>
      </c>
      <c r="B3896" s="1">
        <v>11</v>
      </c>
      <c r="C3896" s="1" t="s">
        <v>8318</v>
      </c>
      <c r="D3896" s="1" t="s">
        <v>270</v>
      </c>
      <c r="E3896" s="2">
        <v>45985</v>
      </c>
      <c r="F3896" s="1" t="s">
        <v>271</v>
      </c>
      <c r="G3896" s="1" t="s">
        <v>272</v>
      </c>
      <c r="H3896" s="1" t="s">
        <v>273</v>
      </c>
      <c r="I3896" s="1">
        <v>1</v>
      </c>
      <c r="J3896" s="3">
        <v>25067</v>
      </c>
      <c r="K3896" s="3">
        <v>23919</v>
      </c>
      <c r="L3896" s="1">
        <v>0</v>
      </c>
      <c r="M3896" s="4">
        <v>0</v>
      </c>
      <c r="N3896" s="3">
        <v>1148</v>
      </c>
      <c r="O3896" s="4">
        <v>4.5999999999999999E-2</v>
      </c>
      <c r="P3896" s="1" t="s">
        <v>2721</v>
      </c>
    </row>
    <row r="3897" spans="1:16">
      <c r="A3897" s="1" t="s">
        <v>15</v>
      </c>
      <c r="B3897" s="1">
        <v>11</v>
      </c>
      <c r="C3897" s="1" t="s">
        <v>8319</v>
      </c>
      <c r="D3897" s="1" t="s">
        <v>3356</v>
      </c>
      <c r="E3897" s="2">
        <v>45985</v>
      </c>
      <c r="F3897" s="1" t="s">
        <v>604</v>
      </c>
      <c r="G3897" s="1" t="s">
        <v>3357</v>
      </c>
      <c r="H3897" s="1" t="s">
        <v>3358</v>
      </c>
      <c r="I3897" s="1">
        <v>1</v>
      </c>
      <c r="J3897" s="3">
        <v>7078</v>
      </c>
      <c r="K3897" s="3">
        <v>6754</v>
      </c>
      <c r="L3897" s="1">
        <v>0</v>
      </c>
      <c r="M3897" s="4">
        <v>0</v>
      </c>
      <c r="N3897" s="1">
        <v>324</v>
      </c>
      <c r="O3897" s="4">
        <v>4.5999999999999999E-2</v>
      </c>
      <c r="P3897" s="1" t="s">
        <v>2721</v>
      </c>
    </row>
    <row r="3898" spans="1:16">
      <c r="A3898" s="1" t="s">
        <v>15</v>
      </c>
      <c r="B3898" s="1">
        <v>11</v>
      </c>
      <c r="C3898" s="1" t="s">
        <v>8320</v>
      </c>
      <c r="D3898" s="1" t="s">
        <v>169</v>
      </c>
      <c r="E3898" s="2">
        <v>45985</v>
      </c>
      <c r="F3898" s="1" t="s">
        <v>53</v>
      </c>
      <c r="G3898" s="1" t="s">
        <v>170</v>
      </c>
      <c r="H3898" s="1" t="s">
        <v>171</v>
      </c>
      <c r="I3898" s="1">
        <v>1</v>
      </c>
      <c r="J3898" s="3">
        <v>14332</v>
      </c>
      <c r="K3898" s="3">
        <v>13676</v>
      </c>
      <c r="L3898" s="1">
        <v>0</v>
      </c>
      <c r="M3898" s="4">
        <v>0</v>
      </c>
      <c r="N3898" s="1">
        <v>656</v>
      </c>
      <c r="O3898" s="4">
        <v>4.5999999999999999E-2</v>
      </c>
      <c r="P3898" s="1" t="s">
        <v>2721</v>
      </c>
    </row>
    <row r="3899" spans="1:16">
      <c r="A3899" s="1" t="s">
        <v>15</v>
      </c>
      <c r="B3899" s="1">
        <v>11</v>
      </c>
      <c r="C3899" s="1" t="s">
        <v>8321</v>
      </c>
      <c r="D3899" s="1" t="s">
        <v>955</v>
      </c>
      <c r="E3899" s="2">
        <v>45985</v>
      </c>
      <c r="F3899" s="1" t="s">
        <v>554</v>
      </c>
      <c r="G3899" s="1" t="s">
        <v>956</v>
      </c>
      <c r="H3899" s="1" t="s">
        <v>957</v>
      </c>
      <c r="I3899" s="1">
        <v>1</v>
      </c>
      <c r="J3899" s="3">
        <v>17596</v>
      </c>
      <c r="K3899" s="3">
        <v>16790</v>
      </c>
      <c r="L3899" s="1">
        <v>0</v>
      </c>
      <c r="M3899" s="4">
        <v>0</v>
      </c>
      <c r="N3899" s="1">
        <v>806</v>
      </c>
      <c r="O3899" s="4">
        <v>4.5999999999999999E-2</v>
      </c>
      <c r="P3899" s="1" t="s">
        <v>2721</v>
      </c>
    </row>
    <row r="3900" spans="1:16">
      <c r="A3900" s="1" t="s">
        <v>15</v>
      </c>
      <c r="B3900" s="1">
        <v>11</v>
      </c>
      <c r="C3900" s="1" t="s">
        <v>8322</v>
      </c>
      <c r="D3900" s="1" t="s">
        <v>169</v>
      </c>
      <c r="E3900" s="2">
        <v>45985</v>
      </c>
      <c r="F3900" s="1" t="s">
        <v>53</v>
      </c>
      <c r="G3900" s="1" t="s">
        <v>170</v>
      </c>
      <c r="H3900" s="1" t="s">
        <v>171</v>
      </c>
      <c r="I3900" s="1">
        <v>1</v>
      </c>
      <c r="J3900" s="3">
        <v>14332</v>
      </c>
      <c r="K3900" s="3">
        <v>13676</v>
      </c>
      <c r="L3900" s="1">
        <v>0</v>
      </c>
      <c r="M3900" s="4">
        <v>0</v>
      </c>
      <c r="N3900" s="1">
        <v>656</v>
      </c>
      <c r="O3900" s="4">
        <v>4.5999999999999999E-2</v>
      </c>
      <c r="P3900" s="1" t="s">
        <v>2721</v>
      </c>
    </row>
    <row r="3901" spans="1:16">
      <c r="A3901" s="1" t="s">
        <v>15</v>
      </c>
      <c r="B3901" s="1">
        <v>11</v>
      </c>
      <c r="C3901" s="1" t="s">
        <v>8323</v>
      </c>
      <c r="D3901" s="1" t="s">
        <v>169</v>
      </c>
      <c r="E3901" s="2">
        <v>45985</v>
      </c>
      <c r="F3901" s="1" t="s">
        <v>53</v>
      </c>
      <c r="G3901" s="1" t="s">
        <v>170</v>
      </c>
      <c r="H3901" s="1" t="s">
        <v>171</v>
      </c>
      <c r="I3901" s="1">
        <v>1</v>
      </c>
      <c r="J3901" s="3">
        <v>14332</v>
      </c>
      <c r="K3901" s="3">
        <v>13676</v>
      </c>
      <c r="L3901" s="1">
        <v>0</v>
      </c>
      <c r="M3901" s="4">
        <v>0</v>
      </c>
      <c r="N3901" s="1">
        <v>656</v>
      </c>
      <c r="O3901" s="4">
        <v>4.5999999999999999E-2</v>
      </c>
      <c r="P3901" s="1" t="s">
        <v>2721</v>
      </c>
    </row>
    <row r="3902" spans="1:16">
      <c r="A3902" s="1" t="s">
        <v>15</v>
      </c>
      <c r="B3902" s="1">
        <v>11</v>
      </c>
      <c r="C3902" s="1" t="s">
        <v>8324</v>
      </c>
      <c r="D3902" s="1" t="s">
        <v>4204</v>
      </c>
      <c r="E3902" s="2">
        <v>45985</v>
      </c>
      <c r="F3902" s="1" t="s">
        <v>96</v>
      </c>
      <c r="G3902" s="1" t="s">
        <v>3000</v>
      </c>
      <c r="H3902" s="1" t="s">
        <v>3001</v>
      </c>
      <c r="I3902" s="1">
        <v>1</v>
      </c>
      <c r="J3902" s="3">
        <v>13023</v>
      </c>
      <c r="K3902" s="3">
        <v>12427</v>
      </c>
      <c r="L3902" s="1">
        <v>0</v>
      </c>
      <c r="M3902" s="4">
        <v>0</v>
      </c>
      <c r="N3902" s="1">
        <v>596</v>
      </c>
      <c r="O3902" s="4">
        <v>4.5999999999999999E-2</v>
      </c>
      <c r="P3902" s="1" t="s">
        <v>2721</v>
      </c>
    </row>
    <row r="3903" spans="1:16">
      <c r="A3903" s="1" t="s">
        <v>15</v>
      </c>
      <c r="B3903" s="1">
        <v>11</v>
      </c>
      <c r="C3903" s="1" t="s">
        <v>8325</v>
      </c>
      <c r="D3903" s="1" t="s">
        <v>3644</v>
      </c>
      <c r="E3903" s="2">
        <v>45985</v>
      </c>
      <c r="F3903" s="1" t="s">
        <v>725</v>
      </c>
      <c r="G3903" s="1" t="s">
        <v>3645</v>
      </c>
      <c r="H3903" s="1" t="s">
        <v>3646</v>
      </c>
      <c r="I3903" s="1">
        <v>1</v>
      </c>
      <c r="J3903" s="3">
        <v>120024</v>
      </c>
      <c r="K3903" s="3">
        <v>114530</v>
      </c>
      <c r="L3903" s="1">
        <v>0</v>
      </c>
      <c r="M3903" s="4">
        <v>0</v>
      </c>
      <c r="N3903" s="3">
        <v>5494</v>
      </c>
      <c r="O3903" s="4">
        <v>4.5999999999999999E-2</v>
      </c>
      <c r="P3903" s="1" t="s">
        <v>2721</v>
      </c>
    </row>
    <row r="3904" spans="1:16">
      <c r="A3904" s="1" t="s">
        <v>15</v>
      </c>
      <c r="B3904" s="1">
        <v>11</v>
      </c>
      <c r="C3904" s="1" t="s">
        <v>8326</v>
      </c>
      <c r="D3904" s="1" t="s">
        <v>906</v>
      </c>
      <c r="E3904" s="2">
        <v>45985</v>
      </c>
      <c r="F3904" s="1" t="s">
        <v>554</v>
      </c>
      <c r="G3904" s="1" t="s">
        <v>907</v>
      </c>
      <c r="H3904" s="1" t="s">
        <v>2935</v>
      </c>
      <c r="I3904" s="1">
        <v>1</v>
      </c>
      <c r="J3904" s="3">
        <v>23936</v>
      </c>
      <c r="K3904" s="3">
        <v>22840</v>
      </c>
      <c r="L3904" s="1">
        <v>0</v>
      </c>
      <c r="M3904" s="4">
        <v>0</v>
      </c>
      <c r="N3904" s="3">
        <v>1096</v>
      </c>
      <c r="O3904" s="4">
        <v>4.5999999999999999E-2</v>
      </c>
      <c r="P3904" s="1" t="s">
        <v>2721</v>
      </c>
    </row>
    <row r="3905" spans="1:16">
      <c r="A3905" s="1" t="s">
        <v>15</v>
      </c>
      <c r="B3905" s="1">
        <v>11</v>
      </c>
      <c r="C3905" s="1" t="s">
        <v>8326</v>
      </c>
      <c r="D3905" s="1" t="s">
        <v>955</v>
      </c>
      <c r="E3905" s="2">
        <v>45985</v>
      </c>
      <c r="F3905" s="1" t="s">
        <v>554</v>
      </c>
      <c r="G3905" s="1" t="s">
        <v>956</v>
      </c>
      <c r="H3905" s="1" t="s">
        <v>2654</v>
      </c>
      <c r="I3905" s="1">
        <v>1</v>
      </c>
      <c r="J3905" s="3">
        <v>31653</v>
      </c>
      <c r="K3905" s="3">
        <v>30204</v>
      </c>
      <c r="L3905" s="1">
        <v>0</v>
      </c>
      <c r="M3905" s="4">
        <v>0</v>
      </c>
      <c r="N3905" s="3">
        <v>1449</v>
      </c>
      <c r="O3905" s="4">
        <v>4.5999999999999999E-2</v>
      </c>
      <c r="P3905" s="1" t="s">
        <v>2721</v>
      </c>
    </row>
    <row r="3906" spans="1:16">
      <c r="A3906" s="1" t="s">
        <v>15</v>
      </c>
      <c r="B3906" s="1">
        <v>11</v>
      </c>
      <c r="C3906" s="1" t="s">
        <v>8327</v>
      </c>
      <c r="D3906" s="1" t="s">
        <v>221</v>
      </c>
      <c r="E3906" s="2">
        <v>45985</v>
      </c>
      <c r="F3906" s="1" t="s">
        <v>96</v>
      </c>
      <c r="G3906" s="1" t="s">
        <v>222</v>
      </c>
      <c r="H3906" s="1" t="s">
        <v>223</v>
      </c>
      <c r="I3906" s="1">
        <v>1</v>
      </c>
      <c r="J3906" s="3">
        <v>12571</v>
      </c>
      <c r="K3906" s="3">
        <v>11995</v>
      </c>
      <c r="L3906" s="1">
        <v>0</v>
      </c>
      <c r="M3906" s="4">
        <v>0</v>
      </c>
      <c r="N3906" s="1">
        <v>576</v>
      </c>
      <c r="O3906" s="4">
        <v>4.5999999999999999E-2</v>
      </c>
      <c r="P3906" s="1" t="s">
        <v>2721</v>
      </c>
    </row>
    <row r="3907" spans="1:16">
      <c r="A3907" s="1" t="s">
        <v>15</v>
      </c>
      <c r="B3907" s="1">
        <v>11</v>
      </c>
      <c r="C3907" s="1" t="s">
        <v>8328</v>
      </c>
      <c r="D3907" s="1" t="s">
        <v>3994</v>
      </c>
      <c r="E3907" s="2">
        <v>45985</v>
      </c>
      <c r="F3907" s="1" t="s">
        <v>297</v>
      </c>
      <c r="G3907" s="1" t="s">
        <v>3995</v>
      </c>
      <c r="H3907" s="1" t="s">
        <v>3996</v>
      </c>
      <c r="I3907" s="1">
        <v>1</v>
      </c>
      <c r="J3907" s="3">
        <v>189719</v>
      </c>
      <c r="K3907" s="3">
        <v>181034</v>
      </c>
      <c r="L3907" s="1">
        <v>0</v>
      </c>
      <c r="M3907" s="4">
        <v>0</v>
      </c>
      <c r="N3907" s="3">
        <v>8685</v>
      </c>
      <c r="O3907" s="4">
        <v>4.5999999999999999E-2</v>
      </c>
      <c r="P3907" s="1" t="s">
        <v>2721</v>
      </c>
    </row>
    <row r="3908" spans="1:16">
      <c r="A3908" s="1" t="s">
        <v>15</v>
      </c>
      <c r="B3908" s="1">
        <v>11</v>
      </c>
      <c r="C3908" s="1" t="s">
        <v>8329</v>
      </c>
      <c r="D3908" s="1" t="s">
        <v>939</v>
      </c>
      <c r="E3908" s="2">
        <v>45985</v>
      </c>
      <c r="F3908" s="1" t="s">
        <v>96</v>
      </c>
      <c r="G3908" s="1" t="s">
        <v>940</v>
      </c>
      <c r="H3908" s="1" t="s">
        <v>941</v>
      </c>
      <c r="I3908" s="1">
        <v>1</v>
      </c>
      <c r="J3908" s="3">
        <v>13475</v>
      </c>
      <c r="K3908" s="3">
        <v>12858</v>
      </c>
      <c r="L3908" s="1">
        <v>0</v>
      </c>
      <c r="M3908" s="4">
        <v>0</v>
      </c>
      <c r="N3908" s="1">
        <v>617</v>
      </c>
      <c r="O3908" s="4">
        <v>4.5999999999999999E-2</v>
      </c>
      <c r="P3908" s="1" t="s">
        <v>2721</v>
      </c>
    </row>
    <row r="3909" spans="1:16">
      <c r="A3909" s="1" t="s">
        <v>15</v>
      </c>
      <c r="B3909" s="1">
        <v>11</v>
      </c>
      <c r="C3909" s="1" t="s">
        <v>8330</v>
      </c>
      <c r="D3909" s="1" t="s">
        <v>1457</v>
      </c>
      <c r="E3909" s="2">
        <v>45985</v>
      </c>
      <c r="F3909" s="1" t="s">
        <v>347</v>
      </c>
      <c r="G3909" s="1" t="s">
        <v>1458</v>
      </c>
      <c r="H3909" s="1" t="s">
        <v>3506</v>
      </c>
      <c r="I3909" s="1">
        <v>1</v>
      </c>
      <c r="J3909" s="3">
        <v>22825</v>
      </c>
      <c r="K3909" s="3">
        <v>21780</v>
      </c>
      <c r="L3909" s="1">
        <v>0</v>
      </c>
      <c r="M3909" s="4">
        <v>0</v>
      </c>
      <c r="N3909" s="3">
        <v>1045</v>
      </c>
      <c r="O3909" s="4">
        <v>4.5999999999999999E-2</v>
      </c>
      <c r="P3909" s="1" t="s">
        <v>2721</v>
      </c>
    </row>
    <row r="3910" spans="1:16">
      <c r="A3910" s="1" t="s">
        <v>15</v>
      </c>
      <c r="B3910" s="1">
        <v>11</v>
      </c>
      <c r="C3910" s="1" t="s">
        <v>8331</v>
      </c>
      <c r="D3910" s="1" t="s">
        <v>27</v>
      </c>
      <c r="E3910" s="2">
        <v>45985</v>
      </c>
      <c r="F3910" s="1" t="s">
        <v>28</v>
      </c>
      <c r="G3910" s="1" t="s">
        <v>29</v>
      </c>
      <c r="H3910" s="1" t="s">
        <v>352</v>
      </c>
      <c r="I3910" s="1">
        <v>1</v>
      </c>
      <c r="J3910" s="3">
        <v>27033</v>
      </c>
      <c r="K3910" s="3">
        <v>25795</v>
      </c>
      <c r="L3910" s="1">
        <v>0</v>
      </c>
      <c r="M3910" s="4">
        <v>0</v>
      </c>
      <c r="N3910" s="3">
        <v>1238</v>
      </c>
      <c r="O3910" s="4">
        <v>4.5999999999999999E-2</v>
      </c>
      <c r="P3910" s="1" t="s">
        <v>2721</v>
      </c>
    </row>
    <row r="3911" spans="1:16">
      <c r="A3911" s="1" t="s">
        <v>15</v>
      </c>
      <c r="B3911" s="1">
        <v>11</v>
      </c>
      <c r="C3911" s="1" t="s">
        <v>8332</v>
      </c>
      <c r="D3911" s="1" t="s">
        <v>333</v>
      </c>
      <c r="E3911" s="2">
        <v>45985</v>
      </c>
      <c r="F3911" s="1" t="s">
        <v>334</v>
      </c>
      <c r="G3911" s="1" t="s">
        <v>335</v>
      </c>
      <c r="H3911" s="1" t="s">
        <v>1408</v>
      </c>
      <c r="I3911" s="1">
        <v>1</v>
      </c>
      <c r="J3911" s="3">
        <v>5505</v>
      </c>
      <c r="K3911" s="3">
        <v>5253</v>
      </c>
      <c r="L3911" s="1">
        <v>0</v>
      </c>
      <c r="M3911" s="4">
        <v>0</v>
      </c>
      <c r="N3911" s="1">
        <v>252</v>
      </c>
      <c r="O3911" s="4">
        <v>4.5999999999999999E-2</v>
      </c>
      <c r="P3911" s="1" t="s">
        <v>2721</v>
      </c>
    </row>
    <row r="3912" spans="1:16">
      <c r="A3912" s="1" t="s">
        <v>15</v>
      </c>
      <c r="B3912" s="1">
        <v>11</v>
      </c>
      <c r="C3912" s="1" t="s">
        <v>8333</v>
      </c>
      <c r="D3912" s="1" t="s">
        <v>3644</v>
      </c>
      <c r="E3912" s="2">
        <v>45985</v>
      </c>
      <c r="F3912" s="1" t="s">
        <v>725</v>
      </c>
      <c r="G3912" s="1" t="s">
        <v>3645</v>
      </c>
      <c r="H3912" s="1" t="s">
        <v>3646</v>
      </c>
      <c r="I3912" s="1">
        <v>1</v>
      </c>
      <c r="J3912" s="3">
        <v>120024</v>
      </c>
      <c r="K3912" s="3">
        <v>114530</v>
      </c>
      <c r="L3912" s="1">
        <v>0</v>
      </c>
      <c r="M3912" s="4">
        <v>0</v>
      </c>
      <c r="N3912" s="3">
        <v>5494</v>
      </c>
      <c r="O3912" s="4">
        <v>4.5999999999999999E-2</v>
      </c>
      <c r="P3912" s="1" t="s">
        <v>2721</v>
      </c>
    </row>
    <row r="3913" spans="1:16">
      <c r="A3913" s="1" t="s">
        <v>15</v>
      </c>
      <c r="B3913" s="1">
        <v>11</v>
      </c>
      <c r="C3913" s="1" t="s">
        <v>8334</v>
      </c>
      <c r="D3913" s="1" t="s">
        <v>325</v>
      </c>
      <c r="E3913" s="2">
        <v>45985</v>
      </c>
      <c r="F3913" s="1" t="s">
        <v>256</v>
      </c>
      <c r="G3913" s="1" t="s">
        <v>326</v>
      </c>
      <c r="H3913" s="1" t="s">
        <v>327</v>
      </c>
      <c r="I3913" s="1">
        <v>1</v>
      </c>
      <c r="J3913" s="3">
        <v>39153</v>
      </c>
      <c r="K3913" s="3">
        <v>37361</v>
      </c>
      <c r="L3913" s="1">
        <v>0</v>
      </c>
      <c r="M3913" s="4">
        <v>0</v>
      </c>
      <c r="N3913" s="3">
        <v>1792</v>
      </c>
      <c r="O3913" s="4">
        <v>4.5999999999999999E-2</v>
      </c>
      <c r="P3913" s="1" t="s">
        <v>2721</v>
      </c>
    </row>
    <row r="3914" spans="1:16">
      <c r="A3914" s="1" t="s">
        <v>15</v>
      </c>
      <c r="B3914" s="1">
        <v>11</v>
      </c>
      <c r="C3914" s="1" t="s">
        <v>8335</v>
      </c>
      <c r="D3914" s="1" t="s">
        <v>955</v>
      </c>
      <c r="E3914" s="2">
        <v>45985</v>
      </c>
      <c r="F3914" s="1" t="s">
        <v>554</v>
      </c>
      <c r="G3914" s="1" t="s">
        <v>956</v>
      </c>
      <c r="H3914" s="1" t="s">
        <v>2654</v>
      </c>
      <c r="I3914" s="1">
        <v>1</v>
      </c>
      <c r="J3914" s="3">
        <v>31653</v>
      </c>
      <c r="K3914" s="3">
        <v>30204</v>
      </c>
      <c r="L3914" s="1">
        <v>0</v>
      </c>
      <c r="M3914" s="4">
        <v>0</v>
      </c>
      <c r="N3914" s="3">
        <v>1449</v>
      </c>
      <c r="O3914" s="4">
        <v>4.5999999999999999E-2</v>
      </c>
      <c r="P3914" s="1" t="s">
        <v>2721</v>
      </c>
    </row>
    <row r="3915" spans="1:16">
      <c r="A3915" s="1" t="s">
        <v>15</v>
      </c>
      <c r="B3915" s="1">
        <v>11</v>
      </c>
      <c r="C3915" s="1" t="s">
        <v>8335</v>
      </c>
      <c r="D3915" s="1" t="s">
        <v>504</v>
      </c>
      <c r="E3915" s="2">
        <v>45985</v>
      </c>
      <c r="F3915" s="1" t="s">
        <v>407</v>
      </c>
      <c r="G3915" s="1" t="s">
        <v>505</v>
      </c>
      <c r="H3915" s="1" t="s">
        <v>1322</v>
      </c>
      <c r="I3915" s="1">
        <v>1</v>
      </c>
      <c r="J3915" s="3">
        <v>23592</v>
      </c>
      <c r="K3915" s="3">
        <v>22512</v>
      </c>
      <c r="L3915" s="1">
        <v>0</v>
      </c>
      <c r="M3915" s="4">
        <v>0</v>
      </c>
      <c r="N3915" s="3">
        <v>1080</v>
      </c>
      <c r="O3915" s="4">
        <v>4.5999999999999999E-2</v>
      </c>
      <c r="P3915" s="1" t="s">
        <v>2721</v>
      </c>
    </row>
    <row r="3916" spans="1:16">
      <c r="A3916" s="1" t="s">
        <v>15</v>
      </c>
      <c r="B3916" s="1">
        <v>11</v>
      </c>
      <c r="C3916" s="1" t="s">
        <v>8336</v>
      </c>
      <c r="D3916" s="1" t="s">
        <v>8337</v>
      </c>
      <c r="E3916" s="2">
        <v>45985</v>
      </c>
      <c r="F3916" s="1" t="s">
        <v>68</v>
      </c>
      <c r="G3916" s="1" t="s">
        <v>8338</v>
      </c>
      <c r="H3916" s="1" t="s">
        <v>8339</v>
      </c>
      <c r="I3916" s="1">
        <v>3</v>
      </c>
      <c r="J3916" s="3">
        <v>63109</v>
      </c>
      <c r="K3916" s="3">
        <v>60220</v>
      </c>
      <c r="L3916" s="1">
        <v>0</v>
      </c>
      <c r="M3916" s="4">
        <v>0</v>
      </c>
      <c r="N3916" s="3">
        <v>2889</v>
      </c>
      <c r="O3916" s="4">
        <v>4.5999999999999999E-2</v>
      </c>
      <c r="P3916" s="1" t="s">
        <v>2721</v>
      </c>
    </row>
    <row r="3917" spans="1:16">
      <c r="A3917" s="1" t="s">
        <v>15</v>
      </c>
      <c r="B3917" s="1">
        <v>11</v>
      </c>
      <c r="C3917" s="1" t="s">
        <v>8340</v>
      </c>
      <c r="D3917" s="1" t="s">
        <v>307</v>
      </c>
      <c r="E3917" s="2">
        <v>45985</v>
      </c>
      <c r="F3917" s="1" t="s">
        <v>256</v>
      </c>
      <c r="G3917" s="1" t="s">
        <v>308</v>
      </c>
      <c r="H3917" s="1" t="s">
        <v>4150</v>
      </c>
      <c r="I3917" s="1">
        <v>1</v>
      </c>
      <c r="J3917" s="3">
        <v>11226</v>
      </c>
      <c r="K3917" s="3">
        <v>10712</v>
      </c>
      <c r="L3917" s="1">
        <v>0</v>
      </c>
      <c r="M3917" s="4">
        <v>0</v>
      </c>
      <c r="N3917" s="1">
        <v>514</v>
      </c>
      <c r="O3917" s="4">
        <v>4.5999999999999999E-2</v>
      </c>
      <c r="P3917" s="1" t="s">
        <v>2721</v>
      </c>
    </row>
    <row r="3918" spans="1:16">
      <c r="A3918" s="1" t="s">
        <v>15</v>
      </c>
      <c r="B3918" s="1">
        <v>11</v>
      </c>
      <c r="C3918" s="1" t="s">
        <v>8341</v>
      </c>
      <c r="D3918" s="1" t="s">
        <v>504</v>
      </c>
      <c r="E3918" s="2">
        <v>45985</v>
      </c>
      <c r="F3918" s="1" t="s">
        <v>407</v>
      </c>
      <c r="G3918" s="1" t="s">
        <v>505</v>
      </c>
      <c r="H3918" s="1" t="s">
        <v>1004</v>
      </c>
      <c r="I3918" s="1">
        <v>1</v>
      </c>
      <c r="J3918" s="3">
        <v>9339</v>
      </c>
      <c r="K3918" s="3">
        <v>8911</v>
      </c>
      <c r="L3918" s="1">
        <v>0</v>
      </c>
      <c r="M3918" s="4">
        <v>0</v>
      </c>
      <c r="N3918" s="1">
        <v>428</v>
      </c>
      <c r="O3918" s="4">
        <v>4.5999999999999999E-2</v>
      </c>
      <c r="P3918" s="1" t="s">
        <v>2721</v>
      </c>
    </row>
    <row r="3919" spans="1:16">
      <c r="A3919" s="1" t="s">
        <v>15</v>
      </c>
      <c r="B3919" s="1">
        <v>11</v>
      </c>
      <c r="C3919" s="1" t="s">
        <v>8342</v>
      </c>
      <c r="D3919" s="1" t="s">
        <v>27</v>
      </c>
      <c r="E3919" s="2">
        <v>45985</v>
      </c>
      <c r="F3919" s="1" t="s">
        <v>28</v>
      </c>
      <c r="G3919" s="1" t="s">
        <v>29</v>
      </c>
      <c r="H3919" s="1" t="s">
        <v>352</v>
      </c>
      <c r="I3919" s="1">
        <v>1</v>
      </c>
      <c r="J3919" s="3">
        <v>27033</v>
      </c>
      <c r="K3919" s="3">
        <v>25795</v>
      </c>
      <c r="L3919" s="1">
        <v>0</v>
      </c>
      <c r="M3919" s="4">
        <v>0</v>
      </c>
      <c r="N3919" s="3">
        <v>1238</v>
      </c>
      <c r="O3919" s="4">
        <v>4.5999999999999999E-2</v>
      </c>
      <c r="P3919" s="1" t="s">
        <v>2721</v>
      </c>
    </row>
    <row r="3920" spans="1:16">
      <c r="A3920" s="1" t="s">
        <v>15</v>
      </c>
      <c r="B3920" s="1">
        <v>11</v>
      </c>
      <c r="C3920" s="1" t="s">
        <v>8343</v>
      </c>
      <c r="D3920" s="1" t="s">
        <v>2329</v>
      </c>
      <c r="E3920" s="2">
        <v>45985</v>
      </c>
      <c r="F3920" s="1" t="s">
        <v>660</v>
      </c>
      <c r="G3920" s="1" t="s">
        <v>2330</v>
      </c>
      <c r="H3920" s="1" t="s">
        <v>8291</v>
      </c>
      <c r="I3920" s="1">
        <v>2</v>
      </c>
      <c r="J3920" s="3">
        <v>45218</v>
      </c>
      <c r="K3920" s="3">
        <v>43148</v>
      </c>
      <c r="L3920" s="1">
        <v>0</v>
      </c>
      <c r="M3920" s="4">
        <v>0</v>
      </c>
      <c r="N3920" s="3">
        <v>2070</v>
      </c>
      <c r="O3920" s="4">
        <v>4.5999999999999999E-2</v>
      </c>
      <c r="P3920" s="1" t="s">
        <v>2721</v>
      </c>
    </row>
    <row r="3921" spans="1:16">
      <c r="A3921" s="1" t="s">
        <v>15</v>
      </c>
      <c r="B3921" s="1">
        <v>11</v>
      </c>
      <c r="C3921" s="1" t="s">
        <v>8344</v>
      </c>
      <c r="D3921" s="1" t="s">
        <v>4156</v>
      </c>
      <c r="E3921" s="2">
        <v>45985</v>
      </c>
      <c r="F3921" s="1" t="s">
        <v>53</v>
      </c>
      <c r="G3921" s="1" t="s">
        <v>4157</v>
      </c>
      <c r="H3921" s="1" t="s">
        <v>6338</v>
      </c>
      <c r="I3921" s="1">
        <v>1</v>
      </c>
      <c r="J3921" s="3">
        <v>9825</v>
      </c>
      <c r="K3921" s="3">
        <v>9375</v>
      </c>
      <c r="L3921" s="1">
        <v>0</v>
      </c>
      <c r="M3921" s="4">
        <v>0</v>
      </c>
      <c r="N3921" s="1">
        <v>450</v>
      </c>
      <c r="O3921" s="4">
        <v>4.5999999999999999E-2</v>
      </c>
      <c r="P3921" s="1" t="s">
        <v>2721</v>
      </c>
    </row>
    <row r="3922" spans="1:16">
      <c r="A3922" s="1" t="s">
        <v>15</v>
      </c>
      <c r="B3922" s="1">
        <v>11</v>
      </c>
      <c r="C3922" s="1" t="s">
        <v>8345</v>
      </c>
      <c r="D3922" s="1" t="s">
        <v>1168</v>
      </c>
      <c r="E3922" s="2">
        <v>45985</v>
      </c>
      <c r="F3922" s="1" t="s">
        <v>53</v>
      </c>
      <c r="G3922" s="1" t="s">
        <v>1169</v>
      </c>
      <c r="H3922" s="1" t="s">
        <v>2593</v>
      </c>
      <c r="I3922" s="1">
        <v>1</v>
      </c>
      <c r="J3922" s="3">
        <v>7121</v>
      </c>
      <c r="K3922" s="3">
        <v>6795</v>
      </c>
      <c r="L3922" s="1">
        <v>0</v>
      </c>
      <c r="M3922" s="4">
        <v>0</v>
      </c>
      <c r="N3922" s="1">
        <v>326</v>
      </c>
      <c r="O3922" s="4">
        <v>4.5999999999999999E-2</v>
      </c>
      <c r="P3922" s="1" t="s">
        <v>2721</v>
      </c>
    </row>
    <row r="3923" spans="1:16">
      <c r="A3923" s="1" t="s">
        <v>15</v>
      </c>
      <c r="B3923" s="1">
        <v>11</v>
      </c>
      <c r="C3923" s="1" t="s">
        <v>8346</v>
      </c>
      <c r="D3923" s="1" t="s">
        <v>504</v>
      </c>
      <c r="E3923" s="2">
        <v>45985</v>
      </c>
      <c r="F3923" s="1" t="s">
        <v>407</v>
      </c>
      <c r="G3923" s="1" t="s">
        <v>505</v>
      </c>
      <c r="H3923" s="1" t="s">
        <v>506</v>
      </c>
      <c r="I3923" s="1">
        <v>1</v>
      </c>
      <c r="J3923" s="3">
        <v>40303</v>
      </c>
      <c r="K3923" s="3">
        <v>38458</v>
      </c>
      <c r="L3923" s="1">
        <v>0</v>
      </c>
      <c r="M3923" s="4">
        <v>0</v>
      </c>
      <c r="N3923" s="3">
        <v>1845</v>
      </c>
      <c r="O3923" s="4">
        <v>4.5999999999999999E-2</v>
      </c>
      <c r="P3923" s="1" t="s">
        <v>2721</v>
      </c>
    </row>
    <row r="3924" spans="1:16">
      <c r="A3924" s="1" t="s">
        <v>15</v>
      </c>
      <c r="B3924" s="1">
        <v>11</v>
      </c>
      <c r="C3924" s="1" t="s">
        <v>8347</v>
      </c>
      <c r="D3924" s="1" t="s">
        <v>931</v>
      </c>
      <c r="E3924" s="2">
        <v>45985</v>
      </c>
      <c r="F3924" s="1" t="s">
        <v>932</v>
      </c>
      <c r="G3924" s="1" t="s">
        <v>933</v>
      </c>
      <c r="H3924" s="1" t="s">
        <v>934</v>
      </c>
      <c r="I3924" s="1">
        <v>1</v>
      </c>
      <c r="J3924" s="3">
        <v>19660</v>
      </c>
      <c r="K3924" s="3">
        <v>18760</v>
      </c>
      <c r="L3924" s="1">
        <v>0</v>
      </c>
      <c r="M3924" s="4">
        <v>0</v>
      </c>
      <c r="N3924" s="1">
        <v>900</v>
      </c>
      <c r="O3924" s="4">
        <v>4.5999999999999999E-2</v>
      </c>
      <c r="P3924" s="1" t="s">
        <v>2721</v>
      </c>
    </row>
    <row r="3925" spans="1:16">
      <c r="A3925" s="1" t="s">
        <v>15</v>
      </c>
      <c r="B3925" s="1">
        <v>11</v>
      </c>
      <c r="C3925" s="1" t="s">
        <v>8348</v>
      </c>
      <c r="D3925" s="1" t="s">
        <v>5532</v>
      </c>
      <c r="E3925" s="2">
        <v>45985</v>
      </c>
      <c r="F3925" s="1" t="s">
        <v>426</v>
      </c>
      <c r="G3925" s="1" t="s">
        <v>5533</v>
      </c>
      <c r="H3925" s="1" t="s">
        <v>8349</v>
      </c>
      <c r="I3925" s="1">
        <v>1</v>
      </c>
      <c r="J3925" s="3">
        <v>40303</v>
      </c>
      <c r="K3925" s="3">
        <v>38458</v>
      </c>
      <c r="L3925" s="1">
        <v>0</v>
      </c>
      <c r="M3925" s="4">
        <v>0</v>
      </c>
      <c r="N3925" s="3">
        <v>1845</v>
      </c>
      <c r="O3925" s="4">
        <v>4.5999999999999999E-2</v>
      </c>
      <c r="P3925" s="1" t="s">
        <v>2721</v>
      </c>
    </row>
    <row r="3926" spans="1:16">
      <c r="A3926" s="1" t="s">
        <v>15</v>
      </c>
      <c r="B3926" s="1">
        <v>11</v>
      </c>
      <c r="C3926" s="1" t="s">
        <v>8350</v>
      </c>
      <c r="D3926" s="1" t="s">
        <v>2441</v>
      </c>
      <c r="E3926" s="2">
        <v>45985</v>
      </c>
      <c r="F3926" s="1" t="s">
        <v>2442</v>
      </c>
      <c r="G3926" s="1" t="s">
        <v>2443</v>
      </c>
      <c r="H3926" s="1" t="s">
        <v>2444</v>
      </c>
      <c r="I3926" s="1">
        <v>1</v>
      </c>
      <c r="J3926" s="3">
        <v>14155</v>
      </c>
      <c r="K3926" s="3">
        <v>13507</v>
      </c>
      <c r="L3926" s="1">
        <v>0</v>
      </c>
      <c r="M3926" s="4">
        <v>0</v>
      </c>
      <c r="N3926" s="1">
        <v>648</v>
      </c>
      <c r="O3926" s="4">
        <v>4.5999999999999999E-2</v>
      </c>
      <c r="P3926" s="1" t="s">
        <v>2721</v>
      </c>
    </row>
    <row r="3927" spans="1:16">
      <c r="A3927" s="1" t="s">
        <v>15</v>
      </c>
      <c r="B3927" s="1">
        <v>11</v>
      </c>
      <c r="C3927" s="1" t="s">
        <v>8351</v>
      </c>
      <c r="D3927" s="1" t="s">
        <v>8352</v>
      </c>
      <c r="E3927" s="2">
        <v>45985</v>
      </c>
      <c r="F3927" s="1" t="s">
        <v>2636</v>
      </c>
      <c r="G3927" s="1" t="s">
        <v>8353</v>
      </c>
      <c r="H3927" s="1" t="s">
        <v>8354</v>
      </c>
      <c r="I3927" s="1">
        <v>1</v>
      </c>
      <c r="J3927" s="3">
        <v>9339</v>
      </c>
      <c r="K3927" s="3">
        <v>8911</v>
      </c>
      <c r="L3927" s="1">
        <v>0</v>
      </c>
      <c r="M3927" s="4">
        <v>0</v>
      </c>
      <c r="N3927" s="1">
        <v>428</v>
      </c>
      <c r="O3927" s="4">
        <v>4.5999999999999999E-2</v>
      </c>
      <c r="P3927" s="1" t="s">
        <v>2721</v>
      </c>
    </row>
    <row r="3928" spans="1:16">
      <c r="A3928" s="1" t="s">
        <v>15</v>
      </c>
      <c r="B3928" s="1">
        <v>11</v>
      </c>
      <c r="C3928" s="1" t="s">
        <v>8355</v>
      </c>
      <c r="D3928" s="1" t="s">
        <v>224</v>
      </c>
      <c r="E3928" s="2">
        <v>45985</v>
      </c>
      <c r="F3928" s="1" t="s">
        <v>96</v>
      </c>
      <c r="G3928" s="1" t="s">
        <v>225</v>
      </c>
      <c r="H3928" s="1" t="s">
        <v>896</v>
      </c>
      <c r="I3928" s="1">
        <v>1</v>
      </c>
      <c r="J3928" s="3">
        <v>12571</v>
      </c>
      <c r="K3928" s="3">
        <v>11995</v>
      </c>
      <c r="L3928" s="1">
        <v>0</v>
      </c>
      <c r="M3928" s="4">
        <v>0</v>
      </c>
      <c r="N3928" s="1">
        <v>576</v>
      </c>
      <c r="O3928" s="4">
        <v>4.5999999999999999E-2</v>
      </c>
      <c r="P3928" s="1" t="s">
        <v>2721</v>
      </c>
    </row>
    <row r="3929" spans="1:16">
      <c r="A3929" s="1" t="s">
        <v>15</v>
      </c>
      <c r="B3929" s="1">
        <v>11</v>
      </c>
      <c r="C3929" s="1" t="s">
        <v>8356</v>
      </c>
      <c r="D3929" s="1" t="s">
        <v>116</v>
      </c>
      <c r="E3929" s="2">
        <v>45985</v>
      </c>
      <c r="F3929" s="1" t="s">
        <v>63</v>
      </c>
      <c r="G3929" s="1" t="s">
        <v>117</v>
      </c>
      <c r="H3929" s="1" t="s">
        <v>118</v>
      </c>
      <c r="I3929" s="1">
        <v>1</v>
      </c>
      <c r="J3929" s="3">
        <v>18627</v>
      </c>
      <c r="K3929" s="3">
        <v>17774</v>
      </c>
      <c r="L3929" s="1">
        <v>0</v>
      </c>
      <c r="M3929" s="4">
        <v>0</v>
      </c>
      <c r="N3929" s="1">
        <v>853</v>
      </c>
      <c r="O3929" s="4">
        <v>4.5999999999999999E-2</v>
      </c>
      <c r="P3929" s="1" t="s">
        <v>2721</v>
      </c>
    </row>
    <row r="3930" spans="1:16">
      <c r="A3930" s="1" t="s">
        <v>15</v>
      </c>
      <c r="B3930" s="1">
        <v>11</v>
      </c>
      <c r="C3930" s="1" t="s">
        <v>8357</v>
      </c>
      <c r="D3930" s="1" t="s">
        <v>141</v>
      </c>
      <c r="E3930" s="2">
        <v>45985</v>
      </c>
      <c r="F3930" s="1" t="s">
        <v>142</v>
      </c>
      <c r="G3930" s="1" t="s">
        <v>143</v>
      </c>
      <c r="H3930" s="1" t="s">
        <v>2432</v>
      </c>
      <c r="I3930" s="1">
        <v>1</v>
      </c>
      <c r="J3930" s="3">
        <v>22314</v>
      </c>
      <c r="K3930" s="3">
        <v>21293</v>
      </c>
      <c r="L3930" s="1">
        <v>0</v>
      </c>
      <c r="M3930" s="4">
        <v>0</v>
      </c>
      <c r="N3930" s="3">
        <v>1021</v>
      </c>
      <c r="O3930" s="4">
        <v>4.5999999999999999E-2</v>
      </c>
      <c r="P3930" s="1" t="s">
        <v>2721</v>
      </c>
    </row>
    <row r="3931" spans="1:16">
      <c r="A3931" s="1" t="s">
        <v>15</v>
      </c>
      <c r="B3931" s="1">
        <v>11</v>
      </c>
      <c r="C3931" s="1" t="s">
        <v>8358</v>
      </c>
      <c r="D3931" s="1" t="s">
        <v>260</v>
      </c>
      <c r="E3931" s="2">
        <v>45985</v>
      </c>
      <c r="F3931" s="1" t="s">
        <v>261</v>
      </c>
      <c r="G3931" s="1" t="s">
        <v>262</v>
      </c>
      <c r="H3931" s="1" t="s">
        <v>263</v>
      </c>
      <c r="I3931" s="1">
        <v>1</v>
      </c>
      <c r="J3931" s="3">
        <v>44235</v>
      </c>
      <c r="K3931" s="3">
        <v>42210</v>
      </c>
      <c r="L3931" s="1">
        <v>0</v>
      </c>
      <c r="M3931" s="4">
        <v>0</v>
      </c>
      <c r="N3931" s="3">
        <v>2025</v>
      </c>
      <c r="O3931" s="4">
        <v>4.5999999999999999E-2</v>
      </c>
      <c r="P3931" s="1" t="s">
        <v>2721</v>
      </c>
    </row>
    <row r="3932" spans="1:16">
      <c r="A3932" s="1" t="s">
        <v>15</v>
      </c>
      <c r="B3932" s="1">
        <v>11</v>
      </c>
      <c r="C3932" s="1" t="s">
        <v>8359</v>
      </c>
      <c r="D3932" s="1" t="s">
        <v>90</v>
      </c>
      <c r="E3932" s="2">
        <v>45985</v>
      </c>
      <c r="F3932" s="1" t="s">
        <v>91</v>
      </c>
      <c r="G3932" s="1" t="s">
        <v>92</v>
      </c>
      <c r="H3932" s="1" t="s">
        <v>8360</v>
      </c>
      <c r="I3932" s="1">
        <v>1</v>
      </c>
      <c r="J3932" s="3">
        <v>13526</v>
      </c>
      <c r="K3932" s="3">
        <v>12907</v>
      </c>
      <c r="L3932" s="1">
        <v>0</v>
      </c>
      <c r="M3932" s="4">
        <v>0</v>
      </c>
      <c r="N3932" s="1">
        <v>619</v>
      </c>
      <c r="O3932" s="4">
        <v>4.5999999999999999E-2</v>
      </c>
      <c r="P3932" s="1" t="s">
        <v>2721</v>
      </c>
    </row>
    <row r="3933" spans="1:16">
      <c r="A3933" s="1" t="s">
        <v>15</v>
      </c>
      <c r="B3933" s="1">
        <v>11</v>
      </c>
      <c r="C3933" s="1" t="s">
        <v>8361</v>
      </c>
      <c r="D3933" s="1" t="s">
        <v>3557</v>
      </c>
      <c r="E3933" s="2">
        <v>45985</v>
      </c>
      <c r="F3933" s="1" t="s">
        <v>2537</v>
      </c>
      <c r="G3933" s="1" t="s">
        <v>3558</v>
      </c>
      <c r="H3933" s="1" t="s">
        <v>3559</v>
      </c>
      <c r="I3933" s="1">
        <v>2</v>
      </c>
      <c r="J3933" s="3">
        <v>35388</v>
      </c>
      <c r="K3933" s="3">
        <v>33768</v>
      </c>
      <c r="L3933" s="1">
        <v>0</v>
      </c>
      <c r="M3933" s="4">
        <v>0</v>
      </c>
      <c r="N3933" s="3">
        <v>1620</v>
      </c>
      <c r="O3933" s="4">
        <v>4.5999999999999999E-2</v>
      </c>
      <c r="P3933" s="1" t="s">
        <v>2721</v>
      </c>
    </row>
    <row r="3934" spans="1:16">
      <c r="A3934" s="1" t="s">
        <v>15</v>
      </c>
      <c r="B3934" s="1">
        <v>11</v>
      </c>
      <c r="C3934" s="1" t="s">
        <v>8362</v>
      </c>
      <c r="D3934" s="1" t="s">
        <v>169</v>
      </c>
      <c r="E3934" s="2">
        <v>45985</v>
      </c>
      <c r="F3934" s="1" t="s">
        <v>53</v>
      </c>
      <c r="G3934" s="1" t="s">
        <v>170</v>
      </c>
      <c r="H3934" s="1" t="s">
        <v>171</v>
      </c>
      <c r="I3934" s="1">
        <v>1</v>
      </c>
      <c r="J3934" s="3">
        <v>14332</v>
      </c>
      <c r="K3934" s="3">
        <v>13676</v>
      </c>
      <c r="L3934" s="1">
        <v>0</v>
      </c>
      <c r="M3934" s="4">
        <v>0</v>
      </c>
      <c r="N3934" s="1">
        <v>656</v>
      </c>
      <c r="O3934" s="4">
        <v>4.5999999999999999E-2</v>
      </c>
      <c r="P3934" s="1" t="s">
        <v>2721</v>
      </c>
    </row>
    <row r="3935" spans="1:16">
      <c r="A3935" s="1" t="s">
        <v>15</v>
      </c>
      <c r="B3935" s="1">
        <v>11</v>
      </c>
      <c r="C3935" s="1" t="s">
        <v>8363</v>
      </c>
      <c r="D3935" s="1" t="s">
        <v>3394</v>
      </c>
      <c r="E3935" s="2">
        <v>45985</v>
      </c>
      <c r="F3935" s="1" t="s">
        <v>500</v>
      </c>
      <c r="G3935" s="1" t="s">
        <v>3395</v>
      </c>
      <c r="H3935" s="1" t="s">
        <v>7096</v>
      </c>
      <c r="I3935" s="1">
        <v>1</v>
      </c>
      <c r="J3935" s="3">
        <v>122309</v>
      </c>
      <c r="K3935" s="3">
        <v>116710</v>
      </c>
      <c r="L3935" s="1">
        <v>0</v>
      </c>
      <c r="M3935" s="4">
        <v>0</v>
      </c>
      <c r="N3935" s="3">
        <v>5599</v>
      </c>
      <c r="O3935" s="4">
        <v>4.5999999999999999E-2</v>
      </c>
      <c r="P3935" s="1" t="s">
        <v>2721</v>
      </c>
    </row>
    <row r="3936" spans="1:16">
      <c r="A3936" s="1" t="s">
        <v>15</v>
      </c>
      <c r="B3936" s="1">
        <v>11</v>
      </c>
      <c r="C3936" s="1" t="s">
        <v>8364</v>
      </c>
      <c r="D3936" s="1" t="s">
        <v>504</v>
      </c>
      <c r="E3936" s="2">
        <v>45985</v>
      </c>
      <c r="F3936" s="1" t="s">
        <v>407</v>
      </c>
      <c r="G3936" s="1" t="s">
        <v>505</v>
      </c>
      <c r="H3936" s="1" t="s">
        <v>1334</v>
      </c>
      <c r="I3936" s="1">
        <v>1</v>
      </c>
      <c r="J3936" s="3">
        <v>8552</v>
      </c>
      <c r="K3936" s="3">
        <v>8161</v>
      </c>
      <c r="L3936" s="1">
        <v>0</v>
      </c>
      <c r="M3936" s="4">
        <v>0</v>
      </c>
      <c r="N3936" s="1">
        <v>391</v>
      </c>
      <c r="O3936" s="4">
        <v>4.5999999999999999E-2</v>
      </c>
      <c r="P3936" s="1" t="s">
        <v>2721</v>
      </c>
    </row>
    <row r="3937" spans="1:16">
      <c r="A3937" s="1" t="s">
        <v>15</v>
      </c>
      <c r="B3937" s="1">
        <v>11</v>
      </c>
      <c r="C3937" s="1" t="s">
        <v>8365</v>
      </c>
      <c r="D3937" s="1" t="s">
        <v>244</v>
      </c>
      <c r="E3937" s="2">
        <v>45985</v>
      </c>
      <c r="F3937" s="1" t="s">
        <v>53</v>
      </c>
      <c r="G3937" s="1" t="s">
        <v>245</v>
      </c>
      <c r="H3937" s="1" t="s">
        <v>1166</v>
      </c>
      <c r="I3937" s="1">
        <v>1</v>
      </c>
      <c r="J3937" s="3">
        <v>8272</v>
      </c>
      <c r="K3937" s="3">
        <v>7893</v>
      </c>
      <c r="L3937" s="1">
        <v>0</v>
      </c>
      <c r="M3937" s="4">
        <v>0</v>
      </c>
      <c r="N3937" s="1">
        <v>379</v>
      </c>
      <c r="O3937" s="4">
        <v>4.5999999999999999E-2</v>
      </c>
      <c r="P3937" s="1" t="s">
        <v>2721</v>
      </c>
    </row>
    <row r="3938" spans="1:16">
      <c r="A3938" s="1" t="s">
        <v>15</v>
      </c>
      <c r="B3938" s="1">
        <v>11</v>
      </c>
      <c r="C3938" s="1" t="s">
        <v>8366</v>
      </c>
      <c r="D3938" s="1" t="s">
        <v>234</v>
      </c>
      <c r="E3938" s="2">
        <v>45985</v>
      </c>
      <c r="F3938" s="1" t="s">
        <v>235</v>
      </c>
      <c r="G3938" s="1" t="s">
        <v>236</v>
      </c>
      <c r="H3938" s="1" t="s">
        <v>236</v>
      </c>
      <c r="I3938" s="1">
        <v>1</v>
      </c>
      <c r="J3938" s="3">
        <v>10605</v>
      </c>
      <c r="K3938" s="3">
        <v>10119</v>
      </c>
      <c r="L3938" s="1">
        <v>0</v>
      </c>
      <c r="M3938" s="4">
        <v>0</v>
      </c>
      <c r="N3938" s="1">
        <v>486</v>
      </c>
      <c r="O3938" s="4">
        <v>4.5999999999999999E-2</v>
      </c>
      <c r="P3938" s="1" t="s">
        <v>2721</v>
      </c>
    </row>
    <row r="3939" spans="1:16">
      <c r="A3939" s="1" t="s">
        <v>15</v>
      </c>
      <c r="B3939" s="1">
        <v>11</v>
      </c>
      <c r="C3939" s="1" t="s">
        <v>8367</v>
      </c>
      <c r="D3939" s="1" t="s">
        <v>960</v>
      </c>
      <c r="E3939" s="2">
        <v>45985</v>
      </c>
      <c r="F3939" s="1" t="s">
        <v>407</v>
      </c>
      <c r="G3939" s="1" t="s">
        <v>961</v>
      </c>
      <c r="H3939" s="1" t="s">
        <v>962</v>
      </c>
      <c r="I3939" s="1">
        <v>1</v>
      </c>
      <c r="J3939" s="3">
        <v>14745</v>
      </c>
      <c r="K3939" s="3">
        <v>14070</v>
      </c>
      <c r="L3939" s="1">
        <v>0</v>
      </c>
      <c r="M3939" s="4">
        <v>0</v>
      </c>
      <c r="N3939" s="1">
        <v>675</v>
      </c>
      <c r="O3939" s="4">
        <v>4.5999999999999999E-2</v>
      </c>
      <c r="P3939" s="1" t="s">
        <v>2721</v>
      </c>
    </row>
    <row r="3940" spans="1:16">
      <c r="A3940" s="1" t="s">
        <v>15</v>
      </c>
      <c r="B3940" s="1">
        <v>11</v>
      </c>
      <c r="C3940" s="1" t="s">
        <v>8367</v>
      </c>
      <c r="D3940" s="1" t="s">
        <v>504</v>
      </c>
      <c r="E3940" s="2">
        <v>45985</v>
      </c>
      <c r="F3940" s="1" t="s">
        <v>407</v>
      </c>
      <c r="G3940" s="1" t="s">
        <v>505</v>
      </c>
      <c r="H3940" s="1" t="s">
        <v>1334</v>
      </c>
      <c r="I3940" s="1">
        <v>1</v>
      </c>
      <c r="J3940" s="3">
        <v>8552</v>
      </c>
      <c r="K3940" s="3">
        <v>8161</v>
      </c>
      <c r="L3940" s="1">
        <v>0</v>
      </c>
      <c r="M3940" s="4">
        <v>0</v>
      </c>
      <c r="N3940" s="1">
        <v>391</v>
      </c>
      <c r="O3940" s="4">
        <v>4.5999999999999999E-2</v>
      </c>
      <c r="P3940" s="1" t="s">
        <v>2721</v>
      </c>
    </row>
    <row r="3941" spans="1:16">
      <c r="A3941" s="1" t="s">
        <v>15</v>
      </c>
      <c r="B3941" s="1">
        <v>11</v>
      </c>
      <c r="C3941" s="1" t="s">
        <v>8368</v>
      </c>
      <c r="D3941" s="1" t="s">
        <v>1438</v>
      </c>
      <c r="E3941" s="2">
        <v>45985</v>
      </c>
      <c r="F3941" s="1" t="s">
        <v>126</v>
      </c>
      <c r="G3941" s="1" t="s">
        <v>1439</v>
      </c>
      <c r="H3941" s="1" t="s">
        <v>1440</v>
      </c>
      <c r="I3941" s="1">
        <v>2</v>
      </c>
      <c r="J3941" s="3">
        <v>41286</v>
      </c>
      <c r="K3941" s="3">
        <v>39396</v>
      </c>
      <c r="L3941" s="1">
        <v>0</v>
      </c>
      <c r="M3941" s="4">
        <v>0</v>
      </c>
      <c r="N3941" s="3">
        <v>1890</v>
      </c>
      <c r="O3941" s="4">
        <v>4.5999999999999999E-2</v>
      </c>
      <c r="P3941" s="1" t="s">
        <v>2721</v>
      </c>
    </row>
    <row r="3942" spans="1:16">
      <c r="A3942" s="1" t="s">
        <v>15</v>
      </c>
      <c r="B3942" s="1">
        <v>11</v>
      </c>
      <c r="C3942" s="1" t="s">
        <v>8369</v>
      </c>
      <c r="D3942" s="1" t="s">
        <v>499</v>
      </c>
      <c r="E3942" s="2">
        <v>45985</v>
      </c>
      <c r="F3942" s="1" t="s">
        <v>500</v>
      </c>
      <c r="G3942" s="1" t="s">
        <v>501</v>
      </c>
      <c r="H3942" s="1" t="s">
        <v>502</v>
      </c>
      <c r="I3942" s="1">
        <v>1</v>
      </c>
      <c r="J3942" s="3">
        <v>227073</v>
      </c>
      <c r="K3942" s="3">
        <v>216678</v>
      </c>
      <c r="L3942" s="1">
        <v>0</v>
      </c>
      <c r="M3942" s="4">
        <v>0</v>
      </c>
      <c r="N3942" s="3">
        <v>10395</v>
      </c>
      <c r="O3942" s="4">
        <v>4.5999999999999999E-2</v>
      </c>
      <c r="P3942" s="1" t="s">
        <v>2721</v>
      </c>
    </row>
    <row r="3943" spans="1:16">
      <c r="A3943" s="1" t="s">
        <v>15</v>
      </c>
      <c r="B3943" s="1">
        <v>11</v>
      </c>
      <c r="C3943" s="1" t="s">
        <v>8370</v>
      </c>
      <c r="D3943" s="1" t="s">
        <v>3817</v>
      </c>
      <c r="E3943" s="2">
        <v>45985</v>
      </c>
      <c r="F3943" s="1" t="s">
        <v>1075</v>
      </c>
      <c r="G3943" s="1" t="s">
        <v>3818</v>
      </c>
      <c r="H3943" s="1" t="s">
        <v>3819</v>
      </c>
      <c r="I3943" s="1">
        <v>1</v>
      </c>
      <c r="J3943" s="3">
        <v>27426</v>
      </c>
      <c r="K3943" s="3">
        <v>26170</v>
      </c>
      <c r="L3943" s="1">
        <v>0</v>
      </c>
      <c r="M3943" s="4">
        <v>0</v>
      </c>
      <c r="N3943" s="3">
        <v>1256</v>
      </c>
      <c r="O3943" s="4">
        <v>4.5999999999999999E-2</v>
      </c>
      <c r="P3943" s="1" t="s">
        <v>2721</v>
      </c>
    </row>
    <row r="3944" spans="1:16">
      <c r="A3944" s="1" t="s">
        <v>15</v>
      </c>
      <c r="B3944" s="1">
        <v>11</v>
      </c>
      <c r="C3944" s="1" t="s">
        <v>8371</v>
      </c>
      <c r="D3944" s="1" t="s">
        <v>244</v>
      </c>
      <c r="E3944" s="2">
        <v>45985</v>
      </c>
      <c r="F3944" s="1" t="s">
        <v>53</v>
      </c>
      <c r="G3944" s="1" t="s">
        <v>245</v>
      </c>
      <c r="H3944" s="1" t="s">
        <v>8372</v>
      </c>
      <c r="I3944" s="1">
        <v>1</v>
      </c>
      <c r="J3944" s="3">
        <v>14956</v>
      </c>
      <c r="K3944" s="3">
        <v>14272</v>
      </c>
      <c r="L3944" s="1">
        <v>0</v>
      </c>
      <c r="M3944" s="4">
        <v>0</v>
      </c>
      <c r="N3944" s="1">
        <v>684</v>
      </c>
      <c r="O3944" s="4">
        <v>4.5999999999999999E-2</v>
      </c>
      <c r="P3944" s="1" t="s">
        <v>2721</v>
      </c>
    </row>
    <row r="3945" spans="1:16">
      <c r="A3945" s="1" t="s">
        <v>15</v>
      </c>
      <c r="B3945" s="1">
        <v>11</v>
      </c>
      <c r="C3945" s="1" t="s">
        <v>8373</v>
      </c>
      <c r="D3945" s="1" t="s">
        <v>311</v>
      </c>
      <c r="E3945" s="2">
        <v>45985</v>
      </c>
      <c r="F3945" s="1" t="s">
        <v>312</v>
      </c>
      <c r="G3945" s="1" t="s">
        <v>313</v>
      </c>
      <c r="H3945" s="1" t="s">
        <v>339</v>
      </c>
      <c r="I3945" s="1">
        <v>1</v>
      </c>
      <c r="J3945" s="3">
        <v>28310</v>
      </c>
      <c r="K3945" s="3">
        <v>27014</v>
      </c>
      <c r="L3945" s="1">
        <v>0</v>
      </c>
      <c r="M3945" s="4">
        <v>0</v>
      </c>
      <c r="N3945" s="3">
        <v>1296</v>
      </c>
      <c r="O3945" s="4">
        <v>4.5999999999999999E-2</v>
      </c>
      <c r="P3945" s="1" t="s">
        <v>2721</v>
      </c>
    </row>
    <row r="3946" spans="1:16">
      <c r="A3946" s="1" t="s">
        <v>15</v>
      </c>
      <c r="B3946" s="1">
        <v>11</v>
      </c>
      <c r="C3946" s="1" t="s">
        <v>8374</v>
      </c>
      <c r="D3946" s="1" t="s">
        <v>1604</v>
      </c>
      <c r="E3946" s="2">
        <v>45985</v>
      </c>
      <c r="F3946" s="1" t="s">
        <v>53</v>
      </c>
      <c r="G3946" s="1" t="s">
        <v>1605</v>
      </c>
      <c r="H3946" s="1" t="s">
        <v>8375</v>
      </c>
      <c r="I3946" s="1">
        <v>1</v>
      </c>
      <c r="J3946" s="3">
        <v>9375</v>
      </c>
      <c r="K3946" s="3">
        <v>8946</v>
      </c>
      <c r="L3946" s="1">
        <v>0</v>
      </c>
      <c r="M3946" s="4">
        <v>0</v>
      </c>
      <c r="N3946" s="1">
        <v>429</v>
      </c>
      <c r="O3946" s="4">
        <v>4.5999999999999999E-2</v>
      </c>
      <c r="P3946" s="1" t="s">
        <v>2721</v>
      </c>
    </row>
    <row r="3947" spans="1:16">
      <c r="A3947" s="1" t="s">
        <v>15</v>
      </c>
      <c r="B3947" s="1">
        <v>11</v>
      </c>
      <c r="C3947" s="1" t="s">
        <v>8376</v>
      </c>
      <c r="D3947" s="1" t="s">
        <v>1500</v>
      </c>
      <c r="E3947" s="2">
        <v>45985</v>
      </c>
      <c r="F3947" s="1" t="s">
        <v>96</v>
      </c>
      <c r="G3947" s="1" t="s">
        <v>1501</v>
      </c>
      <c r="H3947" s="1" t="s">
        <v>1502</v>
      </c>
      <c r="I3947" s="1">
        <v>1</v>
      </c>
      <c r="J3947" s="3">
        <v>11305</v>
      </c>
      <c r="K3947" s="3">
        <v>10787</v>
      </c>
      <c r="L3947" s="1">
        <v>0</v>
      </c>
      <c r="M3947" s="4">
        <v>0</v>
      </c>
      <c r="N3947" s="1">
        <v>518</v>
      </c>
      <c r="O3947" s="4">
        <v>4.5999999999999999E-2</v>
      </c>
      <c r="P3947" s="1" t="s">
        <v>2721</v>
      </c>
    </row>
    <row r="3948" spans="1:16">
      <c r="A3948" s="1" t="s">
        <v>15</v>
      </c>
      <c r="B3948" s="1">
        <v>11</v>
      </c>
      <c r="C3948" s="1" t="s">
        <v>8377</v>
      </c>
      <c r="D3948" s="1" t="s">
        <v>3232</v>
      </c>
      <c r="E3948" s="2">
        <v>45985</v>
      </c>
      <c r="F3948" s="1" t="s">
        <v>1772</v>
      </c>
      <c r="G3948" s="1" t="s">
        <v>3233</v>
      </c>
      <c r="H3948" s="1" t="s">
        <v>3234</v>
      </c>
      <c r="I3948" s="1">
        <v>1</v>
      </c>
      <c r="J3948" s="3">
        <v>29077</v>
      </c>
      <c r="K3948" s="3">
        <v>27746</v>
      </c>
      <c r="L3948" s="1">
        <v>0</v>
      </c>
      <c r="M3948" s="4">
        <v>0</v>
      </c>
      <c r="N3948" s="3">
        <v>1331</v>
      </c>
      <c r="O3948" s="4">
        <v>4.5999999999999999E-2</v>
      </c>
      <c r="P3948" s="1" t="s">
        <v>2721</v>
      </c>
    </row>
    <row r="3949" spans="1:16">
      <c r="A3949" s="1" t="s">
        <v>15</v>
      </c>
      <c r="B3949" s="1">
        <v>11</v>
      </c>
      <c r="C3949" s="1" t="s">
        <v>8378</v>
      </c>
      <c r="D3949" s="1" t="s">
        <v>549</v>
      </c>
      <c r="E3949" s="2">
        <v>45985</v>
      </c>
      <c r="F3949" s="1" t="s">
        <v>63</v>
      </c>
      <c r="G3949" s="1" t="s">
        <v>550</v>
      </c>
      <c r="H3949" s="1" t="s">
        <v>551</v>
      </c>
      <c r="I3949" s="1">
        <v>1</v>
      </c>
      <c r="J3949" s="3">
        <v>15422</v>
      </c>
      <c r="K3949" s="3">
        <v>14716</v>
      </c>
      <c r="L3949" s="1">
        <v>0</v>
      </c>
      <c r="M3949" s="4">
        <v>0</v>
      </c>
      <c r="N3949" s="1">
        <v>706</v>
      </c>
      <c r="O3949" s="4">
        <v>4.5999999999999999E-2</v>
      </c>
      <c r="P3949" s="1" t="s">
        <v>2721</v>
      </c>
    </row>
    <row r="3950" spans="1:16">
      <c r="A3950" s="1" t="s">
        <v>15</v>
      </c>
      <c r="B3950" s="1">
        <v>11</v>
      </c>
      <c r="C3950" s="1" t="s">
        <v>8379</v>
      </c>
      <c r="D3950" s="1" t="s">
        <v>76</v>
      </c>
      <c r="E3950" s="2">
        <v>45985</v>
      </c>
      <c r="F3950" s="1" t="s">
        <v>77</v>
      </c>
      <c r="G3950" s="1" t="s">
        <v>78</v>
      </c>
      <c r="H3950" s="1" t="s">
        <v>78</v>
      </c>
      <c r="I3950" s="1">
        <v>1</v>
      </c>
      <c r="J3950" s="3">
        <v>11231</v>
      </c>
      <c r="K3950" s="3">
        <v>10717</v>
      </c>
      <c r="L3950" s="1">
        <v>0</v>
      </c>
      <c r="M3950" s="4">
        <v>0</v>
      </c>
      <c r="N3950" s="1">
        <v>514</v>
      </c>
      <c r="O3950" s="4">
        <v>4.5999999999999999E-2</v>
      </c>
      <c r="P3950" s="1" t="s">
        <v>2721</v>
      </c>
    </row>
    <row r="3951" spans="1:16">
      <c r="A3951" s="1" t="s">
        <v>15</v>
      </c>
      <c r="B3951" s="1">
        <v>11</v>
      </c>
      <c r="C3951" s="1" t="s">
        <v>8380</v>
      </c>
      <c r="D3951" s="1" t="s">
        <v>8381</v>
      </c>
      <c r="E3951" s="2">
        <v>45985</v>
      </c>
      <c r="F3951" s="1" t="s">
        <v>8382</v>
      </c>
      <c r="G3951" s="1" t="s">
        <v>8383</v>
      </c>
      <c r="H3951" s="1" t="s">
        <v>8384</v>
      </c>
      <c r="I3951" s="1">
        <v>1</v>
      </c>
      <c r="J3951" s="3">
        <v>160819</v>
      </c>
      <c r="K3951" s="3">
        <v>153457</v>
      </c>
      <c r="L3951" s="1">
        <v>0</v>
      </c>
      <c r="M3951" s="4">
        <v>0</v>
      </c>
      <c r="N3951" s="3">
        <v>7362</v>
      </c>
      <c r="O3951" s="4">
        <v>4.5999999999999999E-2</v>
      </c>
      <c r="P3951" s="1" t="s">
        <v>2721</v>
      </c>
    </row>
    <row r="3952" spans="1:16">
      <c r="A3952" s="1" t="s">
        <v>15</v>
      </c>
      <c r="B3952" s="1">
        <v>11</v>
      </c>
      <c r="C3952" s="1" t="s">
        <v>8385</v>
      </c>
      <c r="D3952" s="1" t="s">
        <v>482</v>
      </c>
      <c r="E3952" s="2">
        <v>45985</v>
      </c>
      <c r="F3952" s="1" t="s">
        <v>483</v>
      </c>
      <c r="G3952" s="1" t="s">
        <v>484</v>
      </c>
      <c r="H3952" s="1" t="s">
        <v>485</v>
      </c>
      <c r="I3952" s="1">
        <v>1</v>
      </c>
      <c r="J3952" s="3">
        <v>16501</v>
      </c>
      <c r="K3952" s="3">
        <v>15745</v>
      </c>
      <c r="L3952" s="1">
        <v>0</v>
      </c>
      <c r="M3952" s="4">
        <v>0</v>
      </c>
      <c r="N3952" s="1">
        <v>756</v>
      </c>
      <c r="O3952" s="4">
        <v>4.5999999999999999E-2</v>
      </c>
      <c r="P3952" s="1" t="s">
        <v>2721</v>
      </c>
    </row>
    <row r="3953" spans="1:16">
      <c r="A3953" s="1" t="s">
        <v>15</v>
      </c>
      <c r="B3953" s="1">
        <v>11</v>
      </c>
      <c r="C3953" s="1" t="s">
        <v>8386</v>
      </c>
      <c r="D3953" s="1" t="s">
        <v>221</v>
      </c>
      <c r="E3953" s="2">
        <v>45985</v>
      </c>
      <c r="F3953" s="1" t="s">
        <v>96</v>
      </c>
      <c r="G3953" s="1" t="s">
        <v>222</v>
      </c>
      <c r="H3953" s="1" t="s">
        <v>1015</v>
      </c>
      <c r="I3953" s="1">
        <v>1</v>
      </c>
      <c r="J3953" s="3">
        <v>12571</v>
      </c>
      <c r="K3953" s="3">
        <v>11995</v>
      </c>
      <c r="L3953" s="1">
        <v>0</v>
      </c>
      <c r="M3953" s="4">
        <v>0</v>
      </c>
      <c r="N3953" s="1">
        <v>576</v>
      </c>
      <c r="O3953" s="4">
        <v>4.5999999999999999E-2</v>
      </c>
      <c r="P3953" s="1" t="s">
        <v>2721</v>
      </c>
    </row>
    <row r="3954" spans="1:16">
      <c r="A3954" s="1" t="s">
        <v>15</v>
      </c>
      <c r="B3954" s="1">
        <v>11</v>
      </c>
      <c r="C3954" s="1" t="s">
        <v>8387</v>
      </c>
      <c r="D3954" s="1" t="s">
        <v>132</v>
      </c>
      <c r="E3954" s="2">
        <v>45985</v>
      </c>
      <c r="F3954" s="1" t="s">
        <v>53</v>
      </c>
      <c r="G3954" s="1" t="s">
        <v>133</v>
      </c>
      <c r="H3954" s="1" t="s">
        <v>88</v>
      </c>
      <c r="I3954" s="1">
        <v>1</v>
      </c>
      <c r="J3954" s="3">
        <v>17036</v>
      </c>
      <c r="K3954" s="3">
        <v>16256</v>
      </c>
      <c r="L3954" s="1">
        <v>0</v>
      </c>
      <c r="M3954" s="4">
        <v>0</v>
      </c>
      <c r="N3954" s="1">
        <v>780</v>
      </c>
      <c r="O3954" s="4">
        <v>4.5999999999999999E-2</v>
      </c>
      <c r="P3954" s="1" t="s">
        <v>2721</v>
      </c>
    </row>
    <row r="3955" spans="1:16">
      <c r="A3955" s="1" t="s">
        <v>15</v>
      </c>
      <c r="B3955" s="1">
        <v>11</v>
      </c>
      <c r="C3955" s="1" t="s">
        <v>8388</v>
      </c>
      <c r="D3955" s="1" t="s">
        <v>283</v>
      </c>
      <c r="E3955" s="2">
        <v>45985</v>
      </c>
      <c r="F3955" s="1" t="s">
        <v>200</v>
      </c>
      <c r="G3955" s="1" t="s">
        <v>284</v>
      </c>
      <c r="H3955" s="1" t="s">
        <v>285</v>
      </c>
      <c r="I3955" s="1">
        <v>1</v>
      </c>
      <c r="J3955" s="3">
        <v>28016</v>
      </c>
      <c r="K3955" s="3">
        <v>26733</v>
      </c>
      <c r="L3955" s="1">
        <v>0</v>
      </c>
      <c r="M3955" s="4">
        <v>0</v>
      </c>
      <c r="N3955" s="3">
        <v>1283</v>
      </c>
      <c r="O3955" s="4">
        <v>4.5999999999999999E-2</v>
      </c>
      <c r="P3955" s="1" t="s">
        <v>2721</v>
      </c>
    </row>
    <row r="3956" spans="1:16">
      <c r="A3956" s="1" t="s">
        <v>15</v>
      </c>
      <c r="B3956" s="1">
        <v>11</v>
      </c>
      <c r="C3956" s="1" t="s">
        <v>8389</v>
      </c>
      <c r="D3956" s="1" t="s">
        <v>793</v>
      </c>
      <c r="E3956" s="2">
        <v>45985</v>
      </c>
      <c r="F3956" s="1" t="s">
        <v>126</v>
      </c>
      <c r="G3956" s="1" t="s">
        <v>794</v>
      </c>
      <c r="H3956" s="1" t="s">
        <v>7977</v>
      </c>
      <c r="I3956" s="1">
        <v>1</v>
      </c>
      <c r="J3956" s="3">
        <v>18186</v>
      </c>
      <c r="K3956" s="3">
        <v>17353</v>
      </c>
      <c r="L3956" s="1">
        <v>0</v>
      </c>
      <c r="M3956" s="4">
        <v>0</v>
      </c>
      <c r="N3956" s="1">
        <v>833</v>
      </c>
      <c r="O3956" s="4">
        <v>4.5999999999999999E-2</v>
      </c>
      <c r="P3956" s="1" t="s">
        <v>2721</v>
      </c>
    </row>
    <row r="3957" spans="1:16">
      <c r="A3957" s="1" t="s">
        <v>15</v>
      </c>
      <c r="B3957" s="1">
        <v>11</v>
      </c>
      <c r="C3957" s="1" t="s">
        <v>8390</v>
      </c>
      <c r="D3957" s="1" t="s">
        <v>86</v>
      </c>
      <c r="E3957" s="2">
        <v>45985</v>
      </c>
      <c r="F3957" s="1" t="s">
        <v>53</v>
      </c>
      <c r="G3957" s="1" t="s">
        <v>87</v>
      </c>
      <c r="H3957" s="1" t="s">
        <v>88</v>
      </c>
      <c r="I3957" s="1">
        <v>1</v>
      </c>
      <c r="J3957" s="3">
        <v>14956</v>
      </c>
      <c r="K3957" s="3">
        <v>14272</v>
      </c>
      <c r="L3957" s="1">
        <v>0</v>
      </c>
      <c r="M3957" s="4">
        <v>0</v>
      </c>
      <c r="N3957" s="1">
        <v>684</v>
      </c>
      <c r="O3957" s="4">
        <v>4.5999999999999999E-2</v>
      </c>
      <c r="P3957" s="1" t="s">
        <v>2721</v>
      </c>
    </row>
    <row r="3958" spans="1:16">
      <c r="A3958" s="1" t="s">
        <v>15</v>
      </c>
      <c r="B3958" s="1">
        <v>11</v>
      </c>
      <c r="C3958" s="1" t="s">
        <v>8391</v>
      </c>
      <c r="D3958" s="1" t="s">
        <v>238</v>
      </c>
      <c r="E3958" s="2">
        <v>45985</v>
      </c>
      <c r="F3958" s="1" t="s">
        <v>239</v>
      </c>
      <c r="G3958" s="1" t="s">
        <v>240</v>
      </c>
      <c r="H3958" s="1" t="s">
        <v>241</v>
      </c>
      <c r="I3958" s="1">
        <v>1</v>
      </c>
      <c r="J3958" s="3">
        <v>11305</v>
      </c>
      <c r="K3958" s="3">
        <v>10787</v>
      </c>
      <c r="L3958" s="1">
        <v>0</v>
      </c>
      <c r="M3958" s="4">
        <v>0</v>
      </c>
      <c r="N3958" s="1">
        <v>518</v>
      </c>
      <c r="O3958" s="4">
        <v>4.5999999999999999E-2</v>
      </c>
      <c r="P3958" s="1" t="s">
        <v>2721</v>
      </c>
    </row>
    <row r="3959" spans="1:16">
      <c r="A3959" s="1" t="s">
        <v>15</v>
      </c>
      <c r="B3959" s="1">
        <v>11</v>
      </c>
      <c r="C3959" s="1" t="s">
        <v>8391</v>
      </c>
      <c r="D3959" s="1" t="s">
        <v>238</v>
      </c>
      <c r="E3959" s="2">
        <v>45985</v>
      </c>
      <c r="F3959" s="1" t="s">
        <v>239</v>
      </c>
      <c r="G3959" s="1" t="s">
        <v>240</v>
      </c>
      <c r="H3959" s="1" t="s">
        <v>242</v>
      </c>
      <c r="I3959" s="1">
        <v>1</v>
      </c>
      <c r="J3959" s="3">
        <v>11305</v>
      </c>
      <c r="K3959" s="3">
        <v>10787</v>
      </c>
      <c r="L3959" s="1">
        <v>0</v>
      </c>
      <c r="M3959" s="4">
        <v>0</v>
      </c>
      <c r="N3959" s="1">
        <v>518</v>
      </c>
      <c r="O3959" s="4">
        <v>4.5999999999999999E-2</v>
      </c>
      <c r="P3959" s="1" t="s">
        <v>2721</v>
      </c>
    </row>
    <row r="3960" spans="1:16">
      <c r="A3960" s="1" t="s">
        <v>15</v>
      </c>
      <c r="B3960" s="1">
        <v>11</v>
      </c>
      <c r="C3960" s="1" t="s">
        <v>8392</v>
      </c>
      <c r="D3960" s="1" t="s">
        <v>574</v>
      </c>
      <c r="E3960" s="2">
        <v>45985</v>
      </c>
      <c r="F3960" s="1" t="s">
        <v>126</v>
      </c>
      <c r="G3960" s="1" t="s">
        <v>575</v>
      </c>
      <c r="H3960" s="1" t="s">
        <v>576</v>
      </c>
      <c r="I3960" s="1">
        <v>1</v>
      </c>
      <c r="J3960" s="3">
        <v>15237</v>
      </c>
      <c r="K3960" s="3">
        <v>14539</v>
      </c>
      <c r="L3960" s="1">
        <v>0</v>
      </c>
      <c r="M3960" s="4">
        <v>0</v>
      </c>
      <c r="N3960" s="1">
        <v>698</v>
      </c>
      <c r="O3960" s="4">
        <v>4.5999999999999999E-2</v>
      </c>
      <c r="P3960" s="1" t="s">
        <v>2721</v>
      </c>
    </row>
    <row r="3961" spans="1:16">
      <c r="A3961" s="1" t="s">
        <v>15</v>
      </c>
      <c r="B3961" s="1">
        <v>11</v>
      </c>
      <c r="C3961" s="1" t="s">
        <v>8393</v>
      </c>
      <c r="D3961" s="1" t="s">
        <v>1638</v>
      </c>
      <c r="E3961" s="2">
        <v>45985</v>
      </c>
      <c r="F3961" s="1" t="s">
        <v>53</v>
      </c>
      <c r="G3961" s="1" t="s">
        <v>1639</v>
      </c>
      <c r="H3961" s="1" t="s">
        <v>1640</v>
      </c>
      <c r="I3961" s="1">
        <v>1</v>
      </c>
      <c r="J3961" s="3">
        <v>8383</v>
      </c>
      <c r="K3961" s="3">
        <v>7999</v>
      </c>
      <c r="L3961" s="1">
        <v>0</v>
      </c>
      <c r="M3961" s="4">
        <v>0</v>
      </c>
      <c r="N3961" s="1">
        <v>384</v>
      </c>
      <c r="O3961" s="4">
        <v>4.5999999999999999E-2</v>
      </c>
      <c r="P3961" s="1" t="s">
        <v>2721</v>
      </c>
    </row>
    <row r="3962" spans="1:16">
      <c r="A3962" s="1" t="s">
        <v>15</v>
      </c>
      <c r="B3962" s="1">
        <v>11</v>
      </c>
      <c r="C3962" s="1" t="s">
        <v>8394</v>
      </c>
      <c r="D3962" s="1" t="s">
        <v>5545</v>
      </c>
      <c r="E3962" s="2">
        <v>45985</v>
      </c>
      <c r="F3962" s="1" t="s">
        <v>235</v>
      </c>
      <c r="G3962" s="1" t="s">
        <v>5546</v>
      </c>
      <c r="H3962" s="1" t="s">
        <v>5547</v>
      </c>
      <c r="I3962" s="1">
        <v>1</v>
      </c>
      <c r="J3962" s="3">
        <v>10491</v>
      </c>
      <c r="K3962" s="3">
        <v>10010</v>
      </c>
      <c r="L3962" s="1">
        <v>0</v>
      </c>
      <c r="M3962" s="4">
        <v>0</v>
      </c>
      <c r="N3962" s="1">
        <v>481</v>
      </c>
      <c r="O3962" s="4">
        <v>4.5999999999999999E-2</v>
      </c>
      <c r="P3962" s="1" t="s">
        <v>2721</v>
      </c>
    </row>
    <row r="3963" spans="1:16">
      <c r="A3963" s="1" t="s">
        <v>15</v>
      </c>
      <c r="B3963" s="1">
        <v>11</v>
      </c>
      <c r="C3963" s="1" t="s">
        <v>8395</v>
      </c>
      <c r="D3963" s="1" t="s">
        <v>86</v>
      </c>
      <c r="E3963" s="2">
        <v>45985</v>
      </c>
      <c r="F3963" s="1" t="s">
        <v>53</v>
      </c>
      <c r="G3963" s="1" t="s">
        <v>87</v>
      </c>
      <c r="H3963" s="1" t="s">
        <v>88</v>
      </c>
      <c r="I3963" s="1">
        <v>1</v>
      </c>
      <c r="J3963" s="3">
        <v>14956</v>
      </c>
      <c r="K3963" s="3">
        <v>14272</v>
      </c>
      <c r="L3963" s="1">
        <v>0</v>
      </c>
      <c r="M3963" s="4">
        <v>0</v>
      </c>
      <c r="N3963" s="1">
        <v>684</v>
      </c>
      <c r="O3963" s="4">
        <v>4.5999999999999999E-2</v>
      </c>
      <c r="P3963" s="1" t="s">
        <v>2721</v>
      </c>
    </row>
    <row r="3964" spans="1:16">
      <c r="A3964" s="1" t="s">
        <v>15</v>
      </c>
      <c r="B3964" s="1">
        <v>11</v>
      </c>
      <c r="C3964" s="1" t="s">
        <v>8396</v>
      </c>
      <c r="D3964" s="1" t="s">
        <v>850</v>
      </c>
      <c r="E3964" s="2">
        <v>45985</v>
      </c>
      <c r="F3964" s="1" t="s">
        <v>851</v>
      </c>
      <c r="G3964" s="1" t="s">
        <v>852</v>
      </c>
      <c r="H3964" s="1" t="s">
        <v>853</v>
      </c>
      <c r="I3964" s="1">
        <v>1</v>
      </c>
      <c r="J3964" s="3">
        <v>24732</v>
      </c>
      <c r="K3964" s="3">
        <v>23600</v>
      </c>
      <c r="L3964" s="1">
        <v>0</v>
      </c>
      <c r="M3964" s="4">
        <v>0</v>
      </c>
      <c r="N3964" s="3">
        <v>1132</v>
      </c>
      <c r="O3964" s="4">
        <v>4.5999999999999999E-2</v>
      </c>
      <c r="P3964" s="1" t="s">
        <v>2721</v>
      </c>
    </row>
    <row r="3965" spans="1:16">
      <c r="A3965" s="1" t="s">
        <v>15</v>
      </c>
      <c r="B3965" s="1">
        <v>11</v>
      </c>
      <c r="C3965" s="1" t="s">
        <v>8396</v>
      </c>
      <c r="D3965" s="1" t="s">
        <v>3607</v>
      </c>
      <c r="E3965" s="2">
        <v>45985</v>
      </c>
      <c r="F3965" s="1" t="s">
        <v>58</v>
      </c>
      <c r="G3965" s="1" t="s">
        <v>3608</v>
      </c>
      <c r="H3965" s="1" t="s">
        <v>3609</v>
      </c>
      <c r="I3965" s="1">
        <v>1</v>
      </c>
      <c r="J3965" s="3">
        <v>21842</v>
      </c>
      <c r="K3965" s="3">
        <v>20842</v>
      </c>
      <c r="L3965" s="1">
        <v>0</v>
      </c>
      <c r="M3965" s="4">
        <v>0</v>
      </c>
      <c r="N3965" s="3">
        <v>1000</v>
      </c>
      <c r="O3965" s="4">
        <v>4.5999999999999999E-2</v>
      </c>
      <c r="P3965" s="1" t="s">
        <v>2721</v>
      </c>
    </row>
    <row r="3966" spans="1:16">
      <c r="A3966" s="1" t="s">
        <v>15</v>
      </c>
      <c r="B3966" s="1">
        <v>11</v>
      </c>
      <c r="C3966" s="1" t="s">
        <v>8397</v>
      </c>
      <c r="D3966" s="1" t="s">
        <v>8398</v>
      </c>
      <c r="E3966" s="2">
        <v>45985</v>
      </c>
      <c r="F3966" s="1" t="s">
        <v>1949</v>
      </c>
      <c r="G3966" s="1" t="s">
        <v>8399</v>
      </c>
      <c r="H3966" s="1" t="s">
        <v>8400</v>
      </c>
      <c r="I3966" s="1">
        <v>1</v>
      </c>
      <c r="J3966" s="3">
        <v>126807</v>
      </c>
      <c r="K3966" s="3">
        <v>121002</v>
      </c>
      <c r="L3966" s="1">
        <v>0</v>
      </c>
      <c r="M3966" s="4">
        <v>0</v>
      </c>
      <c r="N3966" s="3">
        <v>5805</v>
      </c>
      <c r="O3966" s="4">
        <v>4.5999999999999999E-2</v>
      </c>
      <c r="P3966" s="1" t="s">
        <v>2721</v>
      </c>
    </row>
    <row r="3967" spans="1:16">
      <c r="A3967" s="1" t="s">
        <v>15</v>
      </c>
      <c r="B3967" s="1">
        <v>11</v>
      </c>
      <c r="C3967" s="1" t="s">
        <v>8401</v>
      </c>
      <c r="D3967" s="1" t="s">
        <v>52</v>
      </c>
      <c r="E3967" s="2">
        <v>45985</v>
      </c>
      <c r="F3967" s="1" t="s">
        <v>53</v>
      </c>
      <c r="G3967" s="1" t="s">
        <v>54</v>
      </c>
      <c r="H3967" s="1" t="s">
        <v>248</v>
      </c>
      <c r="I3967" s="1">
        <v>1</v>
      </c>
      <c r="J3967" s="3">
        <v>16135</v>
      </c>
      <c r="K3967" s="3">
        <v>15396</v>
      </c>
      <c r="L3967" s="1">
        <v>0</v>
      </c>
      <c r="M3967" s="4">
        <v>0</v>
      </c>
      <c r="N3967" s="1">
        <v>739</v>
      </c>
      <c r="O3967" s="4">
        <v>4.5999999999999999E-2</v>
      </c>
      <c r="P3967" s="1" t="s">
        <v>2721</v>
      </c>
    </row>
    <row r="3968" spans="1:16">
      <c r="A3968" s="1" t="s">
        <v>15</v>
      </c>
      <c r="B3968" s="1">
        <v>11</v>
      </c>
      <c r="C3968" s="1" t="s">
        <v>8402</v>
      </c>
      <c r="D3968" s="1" t="s">
        <v>390</v>
      </c>
      <c r="E3968" s="2">
        <v>45985</v>
      </c>
      <c r="F3968" s="1" t="s">
        <v>256</v>
      </c>
      <c r="G3968" s="1" t="s">
        <v>391</v>
      </c>
      <c r="H3968" s="1" t="s">
        <v>392</v>
      </c>
      <c r="I3968" s="1">
        <v>1</v>
      </c>
      <c r="J3968" s="3">
        <v>12799</v>
      </c>
      <c r="K3968" s="3">
        <v>12213</v>
      </c>
      <c r="L3968" s="1">
        <v>0</v>
      </c>
      <c r="M3968" s="4">
        <v>0</v>
      </c>
      <c r="N3968" s="1">
        <v>586</v>
      </c>
      <c r="O3968" s="4">
        <v>4.5999999999999999E-2</v>
      </c>
      <c r="P3968" s="1" t="s">
        <v>2721</v>
      </c>
    </row>
    <row r="3969" spans="1:16">
      <c r="A3969" s="1" t="s">
        <v>15</v>
      </c>
      <c r="B3969" s="1">
        <v>11</v>
      </c>
      <c r="C3969" s="1" t="s">
        <v>8403</v>
      </c>
      <c r="D3969" s="1" t="s">
        <v>865</v>
      </c>
      <c r="E3969" s="2">
        <v>45985</v>
      </c>
      <c r="F3969" s="1" t="s">
        <v>334</v>
      </c>
      <c r="G3969" s="1" t="s">
        <v>866</v>
      </c>
      <c r="H3969" s="1" t="s">
        <v>8404</v>
      </c>
      <c r="I3969" s="1">
        <v>1</v>
      </c>
      <c r="J3969" s="3">
        <v>9044</v>
      </c>
      <c r="K3969" s="3">
        <v>8630</v>
      </c>
      <c r="L3969" s="1">
        <v>0</v>
      </c>
      <c r="M3969" s="4">
        <v>0</v>
      </c>
      <c r="N3969" s="1">
        <v>414</v>
      </c>
      <c r="O3969" s="4">
        <v>4.5999999999999999E-2</v>
      </c>
      <c r="P3969" s="1" t="s">
        <v>2721</v>
      </c>
    </row>
    <row r="3970" spans="1:16">
      <c r="A3970" s="1" t="s">
        <v>15</v>
      </c>
      <c r="B3970" s="1">
        <v>11</v>
      </c>
      <c r="C3970" s="1" t="s">
        <v>8405</v>
      </c>
      <c r="D3970" s="1" t="s">
        <v>5187</v>
      </c>
      <c r="E3970" s="2">
        <v>45985</v>
      </c>
      <c r="F3970" s="1" t="s">
        <v>151</v>
      </c>
      <c r="G3970" s="1" t="s">
        <v>5188</v>
      </c>
      <c r="H3970" s="1" t="s">
        <v>5188</v>
      </c>
      <c r="I3970" s="1">
        <v>1</v>
      </c>
      <c r="J3970" s="3">
        <v>24575</v>
      </c>
      <c r="K3970" s="3">
        <v>23450</v>
      </c>
      <c r="L3970" s="1">
        <v>0</v>
      </c>
      <c r="M3970" s="4">
        <v>0</v>
      </c>
      <c r="N3970" s="3">
        <v>1125</v>
      </c>
      <c r="O3970" s="4">
        <v>4.5999999999999999E-2</v>
      </c>
      <c r="P3970" s="1" t="s">
        <v>2721</v>
      </c>
    </row>
    <row r="3971" spans="1:16">
      <c r="A3971" s="1" t="s">
        <v>15</v>
      </c>
      <c r="B3971" s="1">
        <v>11</v>
      </c>
      <c r="C3971" s="1" t="s">
        <v>8405</v>
      </c>
      <c r="D3971" s="1" t="s">
        <v>4134</v>
      </c>
      <c r="E3971" s="2">
        <v>45985</v>
      </c>
      <c r="F3971" s="1" t="s">
        <v>534</v>
      </c>
      <c r="G3971" s="1" t="s">
        <v>4135</v>
      </c>
      <c r="H3971" s="1" t="s">
        <v>4136</v>
      </c>
      <c r="I3971" s="1">
        <v>1</v>
      </c>
      <c r="J3971" s="3">
        <v>13035</v>
      </c>
      <c r="K3971" s="3">
        <v>12438</v>
      </c>
      <c r="L3971" s="1">
        <v>0</v>
      </c>
      <c r="M3971" s="4">
        <v>0</v>
      </c>
      <c r="N3971" s="1">
        <v>597</v>
      </c>
      <c r="O3971" s="4">
        <v>4.5999999999999999E-2</v>
      </c>
      <c r="P3971" s="1" t="s">
        <v>2721</v>
      </c>
    </row>
    <row r="3972" spans="1:16">
      <c r="A3972" s="1" t="s">
        <v>15</v>
      </c>
      <c r="B3972" s="1">
        <v>11</v>
      </c>
      <c r="C3972" s="1" t="s">
        <v>8406</v>
      </c>
      <c r="D3972" s="1" t="s">
        <v>1393</v>
      </c>
      <c r="E3972" s="2">
        <v>45985</v>
      </c>
      <c r="F3972" s="1" t="s">
        <v>235</v>
      </c>
      <c r="G3972" s="1" t="s">
        <v>1394</v>
      </c>
      <c r="H3972" s="1" t="s">
        <v>1395</v>
      </c>
      <c r="I3972" s="1">
        <v>1</v>
      </c>
      <c r="J3972" s="3">
        <v>8110</v>
      </c>
      <c r="K3972" s="3">
        <v>7739</v>
      </c>
      <c r="L3972" s="1">
        <v>0</v>
      </c>
      <c r="M3972" s="4">
        <v>0</v>
      </c>
      <c r="N3972" s="1">
        <v>371</v>
      </c>
      <c r="O3972" s="4">
        <v>4.5999999999999999E-2</v>
      </c>
      <c r="P3972" s="1" t="s">
        <v>2721</v>
      </c>
    </row>
    <row r="3973" spans="1:16">
      <c r="A3973" s="1" t="s">
        <v>15</v>
      </c>
      <c r="B3973" s="1">
        <v>11</v>
      </c>
      <c r="C3973" s="1" t="s">
        <v>8406</v>
      </c>
      <c r="D3973" s="1" t="s">
        <v>1393</v>
      </c>
      <c r="E3973" s="2">
        <v>45985</v>
      </c>
      <c r="F3973" s="1" t="s">
        <v>235</v>
      </c>
      <c r="G3973" s="1" t="s">
        <v>1394</v>
      </c>
      <c r="H3973" s="1" t="s">
        <v>4425</v>
      </c>
      <c r="I3973" s="1">
        <v>1</v>
      </c>
      <c r="J3973" s="3">
        <v>8110</v>
      </c>
      <c r="K3973" s="3">
        <v>7739</v>
      </c>
      <c r="L3973" s="1">
        <v>0</v>
      </c>
      <c r="M3973" s="4">
        <v>0</v>
      </c>
      <c r="N3973" s="1">
        <v>371</v>
      </c>
      <c r="O3973" s="4">
        <v>4.5999999999999999E-2</v>
      </c>
      <c r="P3973" s="1" t="s">
        <v>2721</v>
      </c>
    </row>
    <row r="3974" spans="1:16">
      <c r="A3974" s="1" t="s">
        <v>15</v>
      </c>
      <c r="B3974" s="1">
        <v>11</v>
      </c>
      <c r="C3974" s="1" t="s">
        <v>8407</v>
      </c>
      <c r="D3974" s="1" t="s">
        <v>178</v>
      </c>
      <c r="E3974" s="2">
        <v>45985</v>
      </c>
      <c r="F3974" s="1" t="s">
        <v>96</v>
      </c>
      <c r="G3974" s="1" t="s">
        <v>179</v>
      </c>
      <c r="H3974" s="1" t="s">
        <v>180</v>
      </c>
      <c r="I3974" s="1">
        <v>1</v>
      </c>
      <c r="J3974" s="3">
        <v>15284</v>
      </c>
      <c r="K3974" s="3">
        <v>14584</v>
      </c>
      <c r="L3974" s="1">
        <v>0</v>
      </c>
      <c r="M3974" s="4">
        <v>0</v>
      </c>
      <c r="N3974" s="1">
        <v>700</v>
      </c>
      <c r="O3974" s="4">
        <v>4.5999999999999999E-2</v>
      </c>
      <c r="P3974" s="1" t="s">
        <v>2721</v>
      </c>
    </row>
    <row r="3975" spans="1:16">
      <c r="A3975" s="1" t="s">
        <v>15</v>
      </c>
      <c r="B3975" s="1">
        <v>11</v>
      </c>
      <c r="C3975" s="1" t="s">
        <v>8408</v>
      </c>
      <c r="D3975" s="1" t="s">
        <v>283</v>
      </c>
      <c r="E3975" s="2">
        <v>45985</v>
      </c>
      <c r="F3975" s="1" t="s">
        <v>200</v>
      </c>
      <c r="G3975" s="1" t="s">
        <v>284</v>
      </c>
      <c r="H3975" s="1" t="s">
        <v>285</v>
      </c>
      <c r="I3975" s="1">
        <v>2</v>
      </c>
      <c r="J3975" s="3">
        <v>56031</v>
      </c>
      <c r="K3975" s="3">
        <v>53466</v>
      </c>
      <c r="L3975" s="1">
        <v>0</v>
      </c>
      <c r="M3975" s="4">
        <v>0</v>
      </c>
      <c r="N3975" s="3">
        <v>2565</v>
      </c>
      <c r="O3975" s="4">
        <v>4.5999999999999999E-2</v>
      </c>
      <c r="P3975" s="1" t="s">
        <v>2721</v>
      </c>
    </row>
    <row r="3976" spans="1:16">
      <c r="A3976" s="1" t="s">
        <v>15</v>
      </c>
      <c r="B3976" s="1">
        <v>11</v>
      </c>
      <c r="C3976" s="1" t="s">
        <v>8409</v>
      </c>
      <c r="D3976" s="1" t="s">
        <v>80</v>
      </c>
      <c r="E3976" s="2">
        <v>45985</v>
      </c>
      <c r="F3976" s="1" t="s">
        <v>58</v>
      </c>
      <c r="G3976" s="1" t="s">
        <v>81</v>
      </c>
      <c r="H3976" s="1" t="s">
        <v>745</v>
      </c>
      <c r="I3976" s="1">
        <v>1</v>
      </c>
      <c r="J3976" s="3">
        <v>17301</v>
      </c>
      <c r="K3976" s="3">
        <v>16509</v>
      </c>
      <c r="L3976" s="1">
        <v>0</v>
      </c>
      <c r="M3976" s="4">
        <v>0</v>
      </c>
      <c r="N3976" s="1">
        <v>792</v>
      </c>
      <c r="O3976" s="4">
        <v>4.5999999999999999E-2</v>
      </c>
      <c r="P3976" s="1" t="s">
        <v>2721</v>
      </c>
    </row>
    <row r="3977" spans="1:16">
      <c r="A3977" s="1" t="s">
        <v>15</v>
      </c>
      <c r="B3977" s="1">
        <v>11</v>
      </c>
      <c r="C3977" s="1" t="s">
        <v>8410</v>
      </c>
      <c r="D3977" s="1" t="s">
        <v>27</v>
      </c>
      <c r="E3977" s="2">
        <v>45985</v>
      </c>
      <c r="F3977" s="1" t="s">
        <v>28</v>
      </c>
      <c r="G3977" s="1" t="s">
        <v>29</v>
      </c>
      <c r="H3977" s="1" t="s">
        <v>404</v>
      </c>
      <c r="I3977" s="1">
        <v>1</v>
      </c>
      <c r="J3977" s="3">
        <v>89945</v>
      </c>
      <c r="K3977" s="3">
        <v>85827</v>
      </c>
      <c r="L3977" s="1">
        <v>0</v>
      </c>
      <c r="M3977" s="4">
        <v>0</v>
      </c>
      <c r="N3977" s="3">
        <v>4118</v>
      </c>
      <c r="O3977" s="4">
        <v>4.5999999999999999E-2</v>
      </c>
      <c r="P3977" s="1" t="s">
        <v>2721</v>
      </c>
    </row>
    <row r="3978" spans="1:16">
      <c r="A3978" s="1" t="s">
        <v>15</v>
      </c>
      <c r="B3978" s="1">
        <v>11</v>
      </c>
      <c r="C3978" s="1" t="s">
        <v>8411</v>
      </c>
      <c r="D3978" s="1" t="s">
        <v>415</v>
      </c>
      <c r="E3978" s="2">
        <v>45985</v>
      </c>
      <c r="F3978" s="1" t="s">
        <v>416</v>
      </c>
      <c r="G3978" s="1" t="s">
        <v>417</v>
      </c>
      <c r="H3978" s="1" t="s">
        <v>8412</v>
      </c>
      <c r="I3978" s="1">
        <v>1</v>
      </c>
      <c r="J3978" s="3">
        <v>13467</v>
      </c>
      <c r="K3978" s="3">
        <v>12851</v>
      </c>
      <c r="L3978" s="1">
        <v>0</v>
      </c>
      <c r="M3978" s="4">
        <v>0</v>
      </c>
      <c r="N3978" s="1">
        <v>616</v>
      </c>
      <c r="O3978" s="4">
        <v>4.5999999999999999E-2</v>
      </c>
      <c r="P3978" s="1" t="s">
        <v>2721</v>
      </c>
    </row>
    <row r="3979" spans="1:16">
      <c r="A3979" s="1" t="s">
        <v>15</v>
      </c>
      <c r="B3979" s="1">
        <v>11</v>
      </c>
      <c r="C3979" s="1" t="s">
        <v>8413</v>
      </c>
      <c r="D3979" s="1" t="s">
        <v>27</v>
      </c>
      <c r="E3979" s="2">
        <v>45985</v>
      </c>
      <c r="F3979" s="1" t="s">
        <v>28</v>
      </c>
      <c r="G3979" s="1" t="s">
        <v>29</v>
      </c>
      <c r="H3979" s="1" t="s">
        <v>404</v>
      </c>
      <c r="I3979" s="1">
        <v>1</v>
      </c>
      <c r="J3979" s="3">
        <v>89945</v>
      </c>
      <c r="K3979" s="3">
        <v>85827</v>
      </c>
      <c r="L3979" s="1">
        <v>0</v>
      </c>
      <c r="M3979" s="4">
        <v>0</v>
      </c>
      <c r="N3979" s="3">
        <v>4118</v>
      </c>
      <c r="O3979" s="4">
        <v>4.5999999999999999E-2</v>
      </c>
      <c r="P3979" s="1" t="s">
        <v>2721</v>
      </c>
    </row>
    <row r="3980" spans="1:16">
      <c r="A3980" s="1" t="s">
        <v>15</v>
      </c>
      <c r="B3980" s="1">
        <v>11</v>
      </c>
      <c r="C3980" s="1" t="s">
        <v>8414</v>
      </c>
      <c r="D3980" s="1" t="s">
        <v>482</v>
      </c>
      <c r="E3980" s="2">
        <v>45985</v>
      </c>
      <c r="F3980" s="1" t="s">
        <v>483</v>
      </c>
      <c r="G3980" s="1" t="s">
        <v>484</v>
      </c>
      <c r="H3980" s="1" t="s">
        <v>2644</v>
      </c>
      <c r="I3980" s="1">
        <v>1</v>
      </c>
      <c r="J3980" s="3">
        <v>27426</v>
      </c>
      <c r="K3980" s="3">
        <v>26170</v>
      </c>
      <c r="L3980" s="1">
        <v>0</v>
      </c>
      <c r="M3980" s="4">
        <v>0</v>
      </c>
      <c r="N3980" s="3">
        <v>1256</v>
      </c>
      <c r="O3980" s="4">
        <v>4.5999999999999999E-2</v>
      </c>
      <c r="P3980" s="1" t="s">
        <v>2721</v>
      </c>
    </row>
    <row r="3981" spans="1:16">
      <c r="A3981" s="1" t="s">
        <v>15</v>
      </c>
      <c r="B3981" s="1">
        <v>11</v>
      </c>
      <c r="C3981" s="1" t="s">
        <v>8415</v>
      </c>
      <c r="D3981" s="1" t="s">
        <v>3644</v>
      </c>
      <c r="E3981" s="2">
        <v>45985</v>
      </c>
      <c r="F3981" s="1" t="s">
        <v>725</v>
      </c>
      <c r="G3981" s="1" t="s">
        <v>3645</v>
      </c>
      <c r="H3981" s="1" t="s">
        <v>3646</v>
      </c>
      <c r="I3981" s="1">
        <v>1</v>
      </c>
      <c r="J3981" s="3">
        <v>120024</v>
      </c>
      <c r="K3981" s="3">
        <v>114530</v>
      </c>
      <c r="L3981" s="1">
        <v>0</v>
      </c>
      <c r="M3981" s="4">
        <v>0</v>
      </c>
      <c r="N3981" s="3">
        <v>5494</v>
      </c>
      <c r="O3981" s="4">
        <v>4.5999999999999999E-2</v>
      </c>
      <c r="P3981" s="1" t="s">
        <v>2721</v>
      </c>
    </row>
    <row r="3982" spans="1:16">
      <c r="A3982" s="1" t="s">
        <v>15</v>
      </c>
      <c r="B3982" s="1">
        <v>11</v>
      </c>
      <c r="C3982" s="1" t="s">
        <v>8416</v>
      </c>
      <c r="D3982" s="1" t="s">
        <v>8417</v>
      </c>
      <c r="E3982" s="2">
        <v>45985</v>
      </c>
      <c r="F3982" s="1" t="s">
        <v>1632</v>
      </c>
      <c r="G3982" s="1" t="s">
        <v>8418</v>
      </c>
      <c r="H3982" s="1" t="s">
        <v>8419</v>
      </c>
      <c r="I3982" s="1">
        <v>1</v>
      </c>
      <c r="J3982" s="3">
        <v>16416</v>
      </c>
      <c r="K3982" s="3">
        <v>15665</v>
      </c>
      <c r="L3982" s="1">
        <v>0</v>
      </c>
      <c r="M3982" s="4">
        <v>0</v>
      </c>
      <c r="N3982" s="1">
        <v>751</v>
      </c>
      <c r="O3982" s="4">
        <v>4.5999999999999999E-2</v>
      </c>
      <c r="P3982" s="1" t="s">
        <v>2721</v>
      </c>
    </row>
    <row r="3983" spans="1:16">
      <c r="A3983" s="1" t="s">
        <v>15</v>
      </c>
      <c r="B3983" s="1">
        <v>11</v>
      </c>
      <c r="C3983" s="1" t="s">
        <v>8420</v>
      </c>
      <c r="D3983" s="1" t="s">
        <v>125</v>
      </c>
      <c r="E3983" s="2">
        <v>45985</v>
      </c>
      <c r="F3983" s="1" t="s">
        <v>126</v>
      </c>
      <c r="G3983" s="1" t="s">
        <v>127</v>
      </c>
      <c r="H3983" s="1" t="s">
        <v>128</v>
      </c>
      <c r="I3983" s="1">
        <v>1</v>
      </c>
      <c r="J3983" s="3">
        <v>13959</v>
      </c>
      <c r="K3983" s="3">
        <v>13320</v>
      </c>
      <c r="L3983" s="1">
        <v>0</v>
      </c>
      <c r="M3983" s="4">
        <v>0</v>
      </c>
      <c r="N3983" s="1">
        <v>639</v>
      </c>
      <c r="O3983" s="4">
        <v>4.5999999999999999E-2</v>
      </c>
      <c r="P3983" s="1" t="s">
        <v>2721</v>
      </c>
    </row>
    <row r="3984" spans="1:16">
      <c r="A3984" s="1" t="s">
        <v>15</v>
      </c>
      <c r="B3984" s="1">
        <v>11</v>
      </c>
      <c r="C3984" s="1" t="s">
        <v>8421</v>
      </c>
      <c r="D3984" s="1" t="s">
        <v>52</v>
      </c>
      <c r="E3984" s="2">
        <v>45985</v>
      </c>
      <c r="F3984" s="1" t="s">
        <v>53</v>
      </c>
      <c r="G3984" s="1" t="s">
        <v>54</v>
      </c>
      <c r="H3984" s="1" t="s">
        <v>248</v>
      </c>
      <c r="I3984" s="1">
        <v>1</v>
      </c>
      <c r="J3984" s="3">
        <v>16135</v>
      </c>
      <c r="K3984" s="3">
        <v>15396</v>
      </c>
      <c r="L3984" s="1">
        <v>0</v>
      </c>
      <c r="M3984" s="4">
        <v>0</v>
      </c>
      <c r="N3984" s="1">
        <v>739</v>
      </c>
      <c r="O3984" s="4">
        <v>4.5999999999999999E-2</v>
      </c>
      <c r="P3984" s="1" t="s">
        <v>2721</v>
      </c>
    </row>
    <row r="3985" spans="1:16">
      <c r="A3985" s="1" t="s">
        <v>15</v>
      </c>
      <c r="B3985" s="1">
        <v>11</v>
      </c>
      <c r="C3985" s="1" t="s">
        <v>8422</v>
      </c>
      <c r="D3985" s="1" t="s">
        <v>22</v>
      </c>
      <c r="E3985" s="2">
        <v>45985</v>
      </c>
      <c r="F3985" s="1" t="s">
        <v>23</v>
      </c>
      <c r="G3985" s="1" t="s">
        <v>24</v>
      </c>
      <c r="H3985" s="1" t="s">
        <v>25</v>
      </c>
      <c r="I3985" s="1">
        <v>1</v>
      </c>
      <c r="J3985" s="3">
        <v>11305</v>
      </c>
      <c r="K3985" s="3">
        <v>10787</v>
      </c>
      <c r="L3985" s="1">
        <v>0</v>
      </c>
      <c r="M3985" s="4">
        <v>0</v>
      </c>
      <c r="N3985" s="1">
        <v>518</v>
      </c>
      <c r="O3985" s="4">
        <v>4.5999999999999999E-2</v>
      </c>
      <c r="P3985" s="1" t="s">
        <v>2721</v>
      </c>
    </row>
    <row r="3986" spans="1:16">
      <c r="A3986" s="1" t="s">
        <v>15</v>
      </c>
      <c r="B3986" s="1">
        <v>11</v>
      </c>
      <c r="C3986" s="1" t="s">
        <v>8423</v>
      </c>
      <c r="D3986" s="1" t="s">
        <v>8424</v>
      </c>
      <c r="E3986" s="2">
        <v>45985</v>
      </c>
      <c r="F3986" s="1" t="s">
        <v>3037</v>
      </c>
      <c r="G3986" s="1" t="s">
        <v>8425</v>
      </c>
      <c r="H3986" s="1" t="s">
        <v>8426</v>
      </c>
      <c r="I3986" s="1">
        <v>1</v>
      </c>
      <c r="J3986" s="3">
        <v>14567</v>
      </c>
      <c r="K3986" s="3">
        <v>13900</v>
      </c>
      <c r="L3986" s="1">
        <v>0</v>
      </c>
      <c r="M3986" s="4">
        <v>0</v>
      </c>
      <c r="N3986" s="1">
        <v>667</v>
      </c>
      <c r="O3986" s="4">
        <v>4.5999999999999999E-2</v>
      </c>
      <c r="P3986" s="1" t="s">
        <v>2721</v>
      </c>
    </row>
    <row r="3987" spans="1:16">
      <c r="A3987" s="1" t="s">
        <v>15</v>
      </c>
      <c r="B3987" s="1">
        <v>11</v>
      </c>
      <c r="C3987" s="1" t="s">
        <v>8423</v>
      </c>
      <c r="D3987" s="1" t="s">
        <v>5226</v>
      </c>
      <c r="E3987" s="2">
        <v>45985</v>
      </c>
      <c r="F3987" s="1" t="s">
        <v>1888</v>
      </c>
      <c r="G3987" s="1" t="s">
        <v>5227</v>
      </c>
      <c r="H3987" s="1" t="s">
        <v>7164</v>
      </c>
      <c r="I3987" s="1">
        <v>1</v>
      </c>
      <c r="J3987" s="3">
        <v>9044</v>
      </c>
      <c r="K3987" s="3">
        <v>8630</v>
      </c>
      <c r="L3987" s="1">
        <v>0</v>
      </c>
      <c r="M3987" s="4">
        <v>0</v>
      </c>
      <c r="N3987" s="1">
        <v>414</v>
      </c>
      <c r="O3987" s="4">
        <v>4.5999999999999999E-2</v>
      </c>
      <c r="P3987" s="1" t="s">
        <v>2721</v>
      </c>
    </row>
    <row r="3988" spans="1:16">
      <c r="A3988" s="1" t="s">
        <v>15</v>
      </c>
      <c r="B3988" s="1">
        <v>11</v>
      </c>
      <c r="C3988" s="1" t="s">
        <v>8427</v>
      </c>
      <c r="D3988" s="1" t="s">
        <v>8428</v>
      </c>
      <c r="E3988" s="2">
        <v>45985</v>
      </c>
      <c r="F3988" s="1" t="s">
        <v>3037</v>
      </c>
      <c r="G3988" s="1" t="s">
        <v>8429</v>
      </c>
      <c r="H3988" s="1" t="s">
        <v>8430</v>
      </c>
      <c r="I3988" s="1">
        <v>1</v>
      </c>
      <c r="J3988" s="3">
        <v>13623</v>
      </c>
      <c r="K3988" s="3">
        <v>13000</v>
      </c>
      <c r="L3988" s="1">
        <v>0</v>
      </c>
      <c r="M3988" s="4">
        <v>0</v>
      </c>
      <c r="N3988" s="1">
        <v>623</v>
      </c>
      <c r="O3988" s="4">
        <v>4.5999999999999999E-2</v>
      </c>
      <c r="P3988" s="1" t="s">
        <v>2721</v>
      </c>
    </row>
    <row r="3989" spans="1:16">
      <c r="A3989" s="1" t="s">
        <v>15</v>
      </c>
      <c r="B3989" s="1">
        <v>11</v>
      </c>
      <c r="C3989" s="1" t="s">
        <v>8427</v>
      </c>
      <c r="D3989" s="1" t="s">
        <v>5226</v>
      </c>
      <c r="E3989" s="2">
        <v>45985</v>
      </c>
      <c r="F3989" s="1" t="s">
        <v>1888</v>
      </c>
      <c r="G3989" s="1" t="s">
        <v>5227</v>
      </c>
      <c r="H3989" s="1" t="s">
        <v>7164</v>
      </c>
      <c r="I3989" s="1">
        <v>1</v>
      </c>
      <c r="J3989" s="3">
        <v>9044</v>
      </c>
      <c r="K3989" s="3">
        <v>8630</v>
      </c>
      <c r="L3989" s="1">
        <v>0</v>
      </c>
      <c r="M3989" s="4">
        <v>0</v>
      </c>
      <c r="N3989" s="1">
        <v>414</v>
      </c>
      <c r="O3989" s="4">
        <v>4.5999999999999999E-2</v>
      </c>
      <c r="P3989" s="1" t="s">
        <v>2721</v>
      </c>
    </row>
    <row r="3990" spans="1:16">
      <c r="A3990" s="1" t="s">
        <v>15</v>
      </c>
      <c r="B3990" s="1">
        <v>11</v>
      </c>
      <c r="C3990" s="1" t="s">
        <v>8431</v>
      </c>
      <c r="D3990" s="1" t="s">
        <v>7087</v>
      </c>
      <c r="E3990" s="2">
        <v>45985</v>
      </c>
      <c r="F3990" s="1" t="s">
        <v>7088</v>
      </c>
      <c r="G3990" s="1" t="s">
        <v>7089</v>
      </c>
      <c r="H3990" s="1" t="s">
        <v>7090</v>
      </c>
      <c r="I3990" s="1">
        <v>1</v>
      </c>
      <c r="J3990" s="3">
        <v>15237</v>
      </c>
      <c r="K3990" s="3">
        <v>14539</v>
      </c>
      <c r="L3990" s="1">
        <v>0</v>
      </c>
      <c r="M3990" s="4">
        <v>0</v>
      </c>
      <c r="N3990" s="1">
        <v>698</v>
      </c>
      <c r="O3990" s="4">
        <v>4.5999999999999999E-2</v>
      </c>
      <c r="P3990" s="1" t="s">
        <v>2721</v>
      </c>
    </row>
    <row r="3991" spans="1:16">
      <c r="A3991" s="1" t="s">
        <v>15</v>
      </c>
      <c r="B3991" s="1">
        <v>11</v>
      </c>
      <c r="C3991" s="1" t="s">
        <v>8432</v>
      </c>
      <c r="D3991" s="1" t="s">
        <v>797</v>
      </c>
      <c r="E3991" s="2">
        <v>45985</v>
      </c>
      <c r="F3991" s="1" t="s">
        <v>798</v>
      </c>
      <c r="G3991" s="1" t="s">
        <v>799</v>
      </c>
      <c r="H3991" s="1" t="s">
        <v>800</v>
      </c>
      <c r="I3991" s="1">
        <v>1</v>
      </c>
      <c r="J3991" s="3">
        <v>19660</v>
      </c>
      <c r="K3991" s="3">
        <v>18760</v>
      </c>
      <c r="L3991" s="1">
        <v>0</v>
      </c>
      <c r="M3991" s="4">
        <v>0</v>
      </c>
      <c r="N3991" s="1">
        <v>900</v>
      </c>
      <c r="O3991" s="4">
        <v>4.5999999999999999E-2</v>
      </c>
      <c r="P3991" s="1" t="s">
        <v>2721</v>
      </c>
    </row>
    <row r="3992" spans="1:16">
      <c r="A3992" s="1" t="s">
        <v>15</v>
      </c>
      <c r="B3992" s="1">
        <v>11</v>
      </c>
      <c r="C3992" s="1" t="s">
        <v>8432</v>
      </c>
      <c r="D3992" s="1" t="s">
        <v>797</v>
      </c>
      <c r="E3992" s="2">
        <v>45985</v>
      </c>
      <c r="F3992" s="1" t="s">
        <v>798</v>
      </c>
      <c r="G3992" s="1" t="s">
        <v>799</v>
      </c>
      <c r="H3992" s="1" t="s">
        <v>7332</v>
      </c>
      <c r="I3992" s="1">
        <v>1</v>
      </c>
      <c r="J3992" s="3">
        <v>19660</v>
      </c>
      <c r="K3992" s="3">
        <v>18760</v>
      </c>
      <c r="L3992" s="1">
        <v>0</v>
      </c>
      <c r="M3992" s="4">
        <v>0</v>
      </c>
      <c r="N3992" s="1">
        <v>900</v>
      </c>
      <c r="O3992" s="4">
        <v>4.5999999999999999E-2</v>
      </c>
      <c r="P3992" s="1" t="s">
        <v>2721</v>
      </c>
    </row>
    <row r="3993" spans="1:16">
      <c r="A3993" s="1" t="s">
        <v>15</v>
      </c>
      <c r="B3993" s="1">
        <v>11</v>
      </c>
      <c r="C3993" s="1" t="s">
        <v>8432</v>
      </c>
      <c r="D3993" s="1" t="s">
        <v>797</v>
      </c>
      <c r="E3993" s="2">
        <v>45985</v>
      </c>
      <c r="F3993" s="1" t="s">
        <v>798</v>
      </c>
      <c r="G3993" s="1" t="s">
        <v>799</v>
      </c>
      <c r="H3993" s="1" t="s">
        <v>8433</v>
      </c>
      <c r="I3993" s="1">
        <v>1</v>
      </c>
      <c r="J3993" s="3">
        <v>19660</v>
      </c>
      <c r="K3993" s="3">
        <v>18760</v>
      </c>
      <c r="L3993" s="1">
        <v>0</v>
      </c>
      <c r="M3993" s="4">
        <v>0</v>
      </c>
      <c r="N3993" s="1">
        <v>900</v>
      </c>
      <c r="O3993" s="4">
        <v>4.5999999999999999E-2</v>
      </c>
      <c r="P3993" s="1" t="s">
        <v>2721</v>
      </c>
    </row>
    <row r="3994" spans="1:16">
      <c r="A3994" s="1" t="s">
        <v>15</v>
      </c>
      <c r="B3994" s="1">
        <v>11</v>
      </c>
      <c r="C3994" s="1" t="s">
        <v>8432</v>
      </c>
      <c r="D3994" s="1" t="s">
        <v>797</v>
      </c>
      <c r="E3994" s="2">
        <v>45985</v>
      </c>
      <c r="F3994" s="1" t="s">
        <v>798</v>
      </c>
      <c r="G3994" s="1" t="s">
        <v>799</v>
      </c>
      <c r="H3994" s="1" t="s">
        <v>8434</v>
      </c>
      <c r="I3994" s="1">
        <v>2</v>
      </c>
      <c r="J3994" s="3">
        <v>39320</v>
      </c>
      <c r="K3994" s="3">
        <v>37520</v>
      </c>
      <c r="L3994" s="1">
        <v>0</v>
      </c>
      <c r="M3994" s="4">
        <v>0</v>
      </c>
      <c r="N3994" s="3">
        <v>1800</v>
      </c>
      <c r="O3994" s="4">
        <v>4.5999999999999999E-2</v>
      </c>
      <c r="P3994" s="1" t="s">
        <v>2721</v>
      </c>
    </row>
    <row r="3995" spans="1:16">
      <c r="A3995" s="1" t="s">
        <v>15</v>
      </c>
      <c r="B3995" s="1">
        <v>11</v>
      </c>
      <c r="C3995" s="1" t="s">
        <v>8435</v>
      </c>
      <c r="D3995" s="1" t="s">
        <v>132</v>
      </c>
      <c r="E3995" s="2">
        <v>45985</v>
      </c>
      <c r="F3995" s="1" t="s">
        <v>53</v>
      </c>
      <c r="G3995" s="1" t="s">
        <v>133</v>
      </c>
      <c r="H3995" s="1" t="s">
        <v>88</v>
      </c>
      <c r="I3995" s="1">
        <v>1</v>
      </c>
      <c r="J3995" s="3">
        <v>17036</v>
      </c>
      <c r="K3995" s="3">
        <v>16256</v>
      </c>
      <c r="L3995" s="1">
        <v>0</v>
      </c>
      <c r="M3995" s="4">
        <v>0</v>
      </c>
      <c r="N3995" s="1">
        <v>780</v>
      </c>
      <c r="O3995" s="4">
        <v>4.5999999999999999E-2</v>
      </c>
      <c r="P3995" s="1" t="s">
        <v>2721</v>
      </c>
    </row>
    <row r="3996" spans="1:16">
      <c r="A3996" s="1" t="s">
        <v>15</v>
      </c>
      <c r="B3996" s="1">
        <v>11</v>
      </c>
      <c r="C3996" s="1" t="s">
        <v>8436</v>
      </c>
      <c r="D3996" s="1" t="s">
        <v>1346</v>
      </c>
      <c r="E3996" s="2">
        <v>45985</v>
      </c>
      <c r="F3996" s="1" t="s">
        <v>317</v>
      </c>
      <c r="G3996" s="1" t="s">
        <v>1347</v>
      </c>
      <c r="H3996" s="1" t="s">
        <v>1348</v>
      </c>
      <c r="I3996" s="1">
        <v>1</v>
      </c>
      <c r="J3996" s="3">
        <v>32439</v>
      </c>
      <c r="K3996" s="3">
        <v>30954</v>
      </c>
      <c r="L3996" s="1">
        <v>0</v>
      </c>
      <c r="M3996" s="4">
        <v>0</v>
      </c>
      <c r="N3996" s="3">
        <v>1485</v>
      </c>
      <c r="O3996" s="4">
        <v>4.5999999999999999E-2</v>
      </c>
      <c r="P3996" s="1" t="s">
        <v>2721</v>
      </c>
    </row>
    <row r="3997" spans="1:16">
      <c r="A3997" s="1" t="s">
        <v>15</v>
      </c>
      <c r="B3997" s="1">
        <v>11</v>
      </c>
      <c r="C3997" s="1" t="s">
        <v>8437</v>
      </c>
      <c r="D3997" s="1" t="s">
        <v>86</v>
      </c>
      <c r="E3997" s="2">
        <v>45985</v>
      </c>
      <c r="F3997" s="1" t="s">
        <v>53</v>
      </c>
      <c r="G3997" s="1" t="s">
        <v>87</v>
      </c>
      <c r="H3997" s="1" t="s">
        <v>88</v>
      </c>
      <c r="I3997" s="1">
        <v>1</v>
      </c>
      <c r="J3997" s="3">
        <v>14956</v>
      </c>
      <c r="K3997" s="3">
        <v>14272</v>
      </c>
      <c r="L3997" s="1">
        <v>0</v>
      </c>
      <c r="M3997" s="4">
        <v>0</v>
      </c>
      <c r="N3997" s="1">
        <v>684</v>
      </c>
      <c r="O3997" s="4">
        <v>4.5999999999999999E-2</v>
      </c>
      <c r="P3997" s="1" t="s">
        <v>2721</v>
      </c>
    </row>
    <row r="3998" spans="1:16">
      <c r="A3998" s="1" t="s">
        <v>15</v>
      </c>
      <c r="B3998" s="1">
        <v>11</v>
      </c>
      <c r="C3998" s="1" t="s">
        <v>8438</v>
      </c>
      <c r="D3998" s="1" t="s">
        <v>95</v>
      </c>
      <c r="E3998" s="2">
        <v>45985</v>
      </c>
      <c r="F3998" s="1" t="s">
        <v>96</v>
      </c>
      <c r="G3998" s="1" t="s">
        <v>97</v>
      </c>
      <c r="H3998" s="1" t="s">
        <v>97</v>
      </c>
      <c r="I3998" s="1">
        <v>1</v>
      </c>
      <c r="J3998" s="3">
        <v>12571</v>
      </c>
      <c r="K3998" s="3">
        <v>11995</v>
      </c>
      <c r="L3998" s="1">
        <v>0</v>
      </c>
      <c r="M3998" s="4">
        <v>0</v>
      </c>
      <c r="N3998" s="1">
        <v>576</v>
      </c>
      <c r="O3998" s="4">
        <v>4.5999999999999999E-2</v>
      </c>
      <c r="P3998" s="1" t="s">
        <v>2721</v>
      </c>
    </row>
    <row r="3999" spans="1:16">
      <c r="A3999" s="1" t="s">
        <v>15</v>
      </c>
      <c r="B3999" s="1">
        <v>11</v>
      </c>
      <c r="C3999" s="1" t="s">
        <v>8439</v>
      </c>
      <c r="D3999" s="1" t="s">
        <v>2468</v>
      </c>
      <c r="E3999" s="2">
        <v>45985</v>
      </c>
      <c r="F3999" s="1" t="s">
        <v>1632</v>
      </c>
      <c r="G3999" s="1" t="s">
        <v>2469</v>
      </c>
      <c r="H3999" s="1" t="s">
        <v>8440</v>
      </c>
      <c r="I3999" s="1">
        <v>1</v>
      </c>
      <c r="J3999" s="3">
        <v>17301</v>
      </c>
      <c r="K3999" s="3">
        <v>16509</v>
      </c>
      <c r="L3999" s="1">
        <v>0</v>
      </c>
      <c r="M3999" s="4">
        <v>0</v>
      </c>
      <c r="N3999" s="1">
        <v>792</v>
      </c>
      <c r="O3999" s="4">
        <v>4.5999999999999999E-2</v>
      </c>
      <c r="P3999" s="1" t="s">
        <v>2721</v>
      </c>
    </row>
    <row r="4000" spans="1:16">
      <c r="A4000" s="1" t="s">
        <v>15</v>
      </c>
      <c r="B4000" s="1">
        <v>11</v>
      </c>
      <c r="C4000" s="1" t="s">
        <v>8441</v>
      </c>
      <c r="D4000" s="1" t="s">
        <v>2590</v>
      </c>
      <c r="E4000" s="2">
        <v>45985</v>
      </c>
      <c r="F4000" s="1" t="s">
        <v>53</v>
      </c>
      <c r="G4000" s="1" t="s">
        <v>1820</v>
      </c>
      <c r="H4000" s="1" t="s">
        <v>8442</v>
      </c>
      <c r="I4000" s="1">
        <v>1</v>
      </c>
      <c r="J4000" s="3">
        <v>8924</v>
      </c>
      <c r="K4000" s="3">
        <v>8515</v>
      </c>
      <c r="L4000" s="1">
        <v>0</v>
      </c>
      <c r="M4000" s="4">
        <v>0</v>
      </c>
      <c r="N4000" s="1">
        <v>409</v>
      </c>
      <c r="O4000" s="4">
        <v>4.5999999999999999E-2</v>
      </c>
      <c r="P4000" s="1" t="s">
        <v>2721</v>
      </c>
    </row>
    <row r="4001" spans="1:16">
      <c r="A4001" s="1" t="s">
        <v>15</v>
      </c>
      <c r="B4001" s="1">
        <v>11</v>
      </c>
      <c r="C4001" s="1" t="s">
        <v>8443</v>
      </c>
      <c r="D4001" s="1" t="s">
        <v>1467</v>
      </c>
      <c r="E4001" s="2">
        <v>45985</v>
      </c>
      <c r="F4001" s="1" t="s">
        <v>126</v>
      </c>
      <c r="G4001" s="1" t="s">
        <v>1468</v>
      </c>
      <c r="H4001" s="1" t="s">
        <v>1469</v>
      </c>
      <c r="I4001" s="1">
        <v>1</v>
      </c>
      <c r="J4001" s="3">
        <v>17989</v>
      </c>
      <c r="K4001" s="3">
        <v>17165</v>
      </c>
      <c r="L4001" s="1">
        <v>0</v>
      </c>
      <c r="M4001" s="4">
        <v>0</v>
      </c>
      <c r="N4001" s="1">
        <v>824</v>
      </c>
      <c r="O4001" s="4">
        <v>4.5999999999999999E-2</v>
      </c>
      <c r="P4001" s="1" t="s">
        <v>2721</v>
      </c>
    </row>
    <row r="4002" spans="1:16">
      <c r="A4002" s="1" t="s">
        <v>15</v>
      </c>
      <c r="B4002" s="1">
        <v>11</v>
      </c>
      <c r="C4002" s="1" t="s">
        <v>8444</v>
      </c>
      <c r="D4002" s="1" t="s">
        <v>150</v>
      </c>
      <c r="E4002" s="2">
        <v>45985</v>
      </c>
      <c r="F4002" s="1" t="s">
        <v>151</v>
      </c>
      <c r="G4002" s="1" t="s">
        <v>152</v>
      </c>
      <c r="H4002" s="1" t="s">
        <v>152</v>
      </c>
      <c r="I4002" s="1">
        <v>1</v>
      </c>
      <c r="J4002" s="3">
        <v>36371</v>
      </c>
      <c r="K4002" s="3">
        <v>34706</v>
      </c>
      <c r="L4002" s="1">
        <v>0</v>
      </c>
      <c r="M4002" s="4">
        <v>0</v>
      </c>
      <c r="N4002" s="3">
        <v>1665</v>
      </c>
      <c r="O4002" s="4">
        <v>4.5999999999999999E-2</v>
      </c>
      <c r="P4002" s="1" t="s">
        <v>2721</v>
      </c>
    </row>
    <row r="4003" spans="1:16">
      <c r="A4003" s="1" t="s">
        <v>15</v>
      </c>
      <c r="B4003" s="1">
        <v>11</v>
      </c>
      <c r="C4003" s="1" t="s">
        <v>8445</v>
      </c>
      <c r="D4003" s="1" t="s">
        <v>1079</v>
      </c>
      <c r="E4003" s="2">
        <v>45985</v>
      </c>
      <c r="F4003" s="1" t="s">
        <v>500</v>
      </c>
      <c r="G4003" s="1" t="s">
        <v>1080</v>
      </c>
      <c r="H4003" s="1" t="s">
        <v>1081</v>
      </c>
      <c r="I4003" s="1">
        <v>1</v>
      </c>
      <c r="J4003" s="3">
        <v>113182</v>
      </c>
      <c r="K4003" s="3">
        <v>108000</v>
      </c>
      <c r="L4003" s="1">
        <v>0</v>
      </c>
      <c r="M4003" s="4">
        <v>0</v>
      </c>
      <c r="N4003" s="3">
        <v>5182</v>
      </c>
      <c r="O4003" s="4">
        <v>4.5999999999999999E-2</v>
      </c>
      <c r="P4003" s="1" t="s">
        <v>2721</v>
      </c>
    </row>
    <row r="4004" spans="1:16">
      <c r="A4004" s="1" t="s">
        <v>15</v>
      </c>
      <c r="B4004" s="1">
        <v>11</v>
      </c>
      <c r="C4004" s="1" t="s">
        <v>8446</v>
      </c>
      <c r="D4004" s="1" t="s">
        <v>777</v>
      </c>
      <c r="E4004" s="2">
        <v>45985</v>
      </c>
      <c r="F4004" s="1" t="s">
        <v>256</v>
      </c>
      <c r="G4004" s="1" t="s">
        <v>778</v>
      </c>
      <c r="H4004" s="1" t="s">
        <v>779</v>
      </c>
      <c r="I4004" s="1">
        <v>1</v>
      </c>
      <c r="J4004" s="3">
        <v>11010</v>
      </c>
      <c r="K4004" s="3">
        <v>10506</v>
      </c>
      <c r="L4004" s="1">
        <v>0</v>
      </c>
      <c r="M4004" s="4">
        <v>0</v>
      </c>
      <c r="N4004" s="1">
        <v>504</v>
      </c>
      <c r="O4004" s="4">
        <v>4.5999999999999999E-2</v>
      </c>
      <c r="P4004" s="1" t="s">
        <v>2721</v>
      </c>
    </row>
    <row r="4005" spans="1:16">
      <c r="A4005" s="1" t="s">
        <v>15</v>
      </c>
      <c r="B4005" s="1">
        <v>11</v>
      </c>
      <c r="C4005" s="1" t="s">
        <v>8447</v>
      </c>
      <c r="D4005" s="1" t="s">
        <v>1049</v>
      </c>
      <c r="E4005" s="2">
        <v>45985</v>
      </c>
      <c r="F4005" s="1" t="s">
        <v>469</v>
      </c>
      <c r="G4005" s="1" t="s">
        <v>1050</v>
      </c>
      <c r="H4005" s="1" t="s">
        <v>1051</v>
      </c>
      <c r="I4005" s="1">
        <v>1</v>
      </c>
      <c r="J4005" s="3">
        <v>15728</v>
      </c>
      <c r="K4005" s="3">
        <v>15008</v>
      </c>
      <c r="L4005" s="1">
        <v>0</v>
      </c>
      <c r="M4005" s="4">
        <v>0</v>
      </c>
      <c r="N4005" s="1">
        <v>720</v>
      </c>
      <c r="O4005" s="4">
        <v>4.5999999999999999E-2</v>
      </c>
      <c r="P4005" s="1" t="s">
        <v>2721</v>
      </c>
    </row>
    <row r="4006" spans="1:16">
      <c r="A4006" s="1" t="s">
        <v>15</v>
      </c>
      <c r="B4006" s="1">
        <v>11</v>
      </c>
      <c r="C4006" s="1" t="s">
        <v>8448</v>
      </c>
      <c r="D4006" s="1" t="s">
        <v>960</v>
      </c>
      <c r="E4006" s="2">
        <v>45985</v>
      </c>
      <c r="F4006" s="1" t="s">
        <v>407</v>
      </c>
      <c r="G4006" s="1" t="s">
        <v>961</v>
      </c>
      <c r="H4006" s="1" t="s">
        <v>2367</v>
      </c>
      <c r="I4006" s="1">
        <v>1</v>
      </c>
      <c r="J4006" s="3">
        <v>34405</v>
      </c>
      <c r="K4006" s="3">
        <v>32830</v>
      </c>
      <c r="L4006" s="1">
        <v>0</v>
      </c>
      <c r="M4006" s="4">
        <v>0</v>
      </c>
      <c r="N4006" s="3">
        <v>1575</v>
      </c>
      <c r="O4006" s="4">
        <v>4.5999999999999999E-2</v>
      </c>
      <c r="P4006" s="1" t="s">
        <v>2721</v>
      </c>
    </row>
    <row r="4007" spans="1:16">
      <c r="A4007" s="1" t="s">
        <v>15</v>
      </c>
      <c r="B4007" s="1">
        <v>11</v>
      </c>
      <c r="C4007" s="1" t="s">
        <v>8449</v>
      </c>
      <c r="D4007" s="1" t="s">
        <v>777</v>
      </c>
      <c r="E4007" s="2">
        <v>45985</v>
      </c>
      <c r="F4007" s="1" t="s">
        <v>256</v>
      </c>
      <c r="G4007" s="1" t="s">
        <v>778</v>
      </c>
      <c r="H4007" s="1" t="s">
        <v>779</v>
      </c>
      <c r="I4007" s="1">
        <v>1</v>
      </c>
      <c r="J4007" s="3">
        <v>11010</v>
      </c>
      <c r="K4007" s="3">
        <v>10506</v>
      </c>
      <c r="L4007" s="1">
        <v>0</v>
      </c>
      <c r="M4007" s="4">
        <v>0</v>
      </c>
      <c r="N4007" s="1">
        <v>504</v>
      </c>
      <c r="O4007" s="4">
        <v>4.5999999999999999E-2</v>
      </c>
      <c r="P4007" s="1" t="s">
        <v>2721</v>
      </c>
    </row>
    <row r="4008" spans="1:16">
      <c r="A4008" s="1" t="s">
        <v>15</v>
      </c>
      <c r="B4008" s="1">
        <v>11</v>
      </c>
      <c r="C4008" s="1" t="s">
        <v>8450</v>
      </c>
      <c r="D4008" s="1" t="s">
        <v>212</v>
      </c>
      <c r="E4008" s="2">
        <v>45985</v>
      </c>
      <c r="F4008" s="1" t="s">
        <v>213</v>
      </c>
      <c r="G4008" s="1" t="s">
        <v>214</v>
      </c>
      <c r="H4008" s="1" t="s">
        <v>3551</v>
      </c>
      <c r="I4008" s="1">
        <v>1</v>
      </c>
      <c r="J4008" s="3">
        <v>29490</v>
      </c>
      <c r="K4008" s="3">
        <v>28140</v>
      </c>
      <c r="L4008" s="1">
        <v>0</v>
      </c>
      <c r="M4008" s="4">
        <v>0</v>
      </c>
      <c r="N4008" s="3">
        <v>1350</v>
      </c>
      <c r="O4008" s="4">
        <v>4.5999999999999999E-2</v>
      </c>
      <c r="P4008" s="1" t="s">
        <v>2721</v>
      </c>
    </row>
    <row r="4009" spans="1:16">
      <c r="A4009" s="1" t="s">
        <v>15</v>
      </c>
      <c r="B4009" s="1">
        <v>11</v>
      </c>
      <c r="C4009" s="1" t="s">
        <v>8451</v>
      </c>
      <c r="D4009" s="1" t="s">
        <v>132</v>
      </c>
      <c r="E4009" s="2">
        <v>45985</v>
      </c>
      <c r="F4009" s="1" t="s">
        <v>53</v>
      </c>
      <c r="G4009" s="1" t="s">
        <v>133</v>
      </c>
      <c r="H4009" s="1" t="s">
        <v>88</v>
      </c>
      <c r="I4009" s="1">
        <v>1</v>
      </c>
      <c r="J4009" s="3">
        <v>17036</v>
      </c>
      <c r="K4009" s="3">
        <v>16256</v>
      </c>
      <c r="L4009" s="1">
        <v>0</v>
      </c>
      <c r="M4009" s="4">
        <v>0</v>
      </c>
      <c r="N4009" s="1">
        <v>780</v>
      </c>
      <c r="O4009" s="4">
        <v>4.5999999999999999E-2</v>
      </c>
      <c r="P4009" s="1" t="s">
        <v>2721</v>
      </c>
    </row>
    <row r="4010" spans="1:16">
      <c r="A4010" s="1" t="s">
        <v>15</v>
      </c>
      <c r="B4010" s="1">
        <v>11</v>
      </c>
      <c r="C4010" s="1" t="s">
        <v>8452</v>
      </c>
      <c r="D4010" s="1" t="s">
        <v>8453</v>
      </c>
      <c r="E4010" s="2">
        <v>45985</v>
      </c>
      <c r="F4010" s="1" t="s">
        <v>96</v>
      </c>
      <c r="G4010" s="1" t="s">
        <v>8454</v>
      </c>
      <c r="H4010" s="1" t="s">
        <v>8455</v>
      </c>
      <c r="I4010" s="1">
        <v>2</v>
      </c>
      <c r="J4010" s="3">
        <v>18811</v>
      </c>
      <c r="K4010" s="3">
        <v>17950</v>
      </c>
      <c r="L4010" s="1">
        <v>0</v>
      </c>
      <c r="M4010" s="4">
        <v>0</v>
      </c>
      <c r="N4010" s="1">
        <v>861</v>
      </c>
      <c r="O4010" s="4">
        <v>4.5999999999999999E-2</v>
      </c>
      <c r="P4010" s="1" t="s">
        <v>2721</v>
      </c>
    </row>
    <row r="4011" spans="1:16">
      <c r="A4011" s="1" t="s">
        <v>15</v>
      </c>
      <c r="B4011" s="1">
        <v>11</v>
      </c>
      <c r="C4011" s="1" t="s">
        <v>8456</v>
      </c>
      <c r="D4011" s="1" t="s">
        <v>1026</v>
      </c>
      <c r="E4011" s="2">
        <v>45985</v>
      </c>
      <c r="F4011" s="1" t="s">
        <v>256</v>
      </c>
      <c r="G4011" s="1" t="s">
        <v>1027</v>
      </c>
      <c r="H4011" s="1" t="s">
        <v>1464</v>
      </c>
      <c r="I4011" s="1">
        <v>1</v>
      </c>
      <c r="J4011" s="3">
        <v>15433</v>
      </c>
      <c r="K4011" s="3">
        <v>14727</v>
      </c>
      <c r="L4011" s="1">
        <v>0</v>
      </c>
      <c r="M4011" s="4">
        <v>0</v>
      </c>
      <c r="N4011" s="1">
        <v>706</v>
      </c>
      <c r="O4011" s="4">
        <v>4.5999999999999999E-2</v>
      </c>
      <c r="P4011" s="1" t="s">
        <v>2721</v>
      </c>
    </row>
    <row r="4012" spans="1:16">
      <c r="A4012" s="1" t="s">
        <v>15</v>
      </c>
      <c r="B4012" s="1">
        <v>11</v>
      </c>
      <c r="C4012" s="1" t="s">
        <v>8457</v>
      </c>
      <c r="D4012" s="1" t="s">
        <v>238</v>
      </c>
      <c r="E4012" s="2">
        <v>45985</v>
      </c>
      <c r="F4012" s="1" t="s">
        <v>239</v>
      </c>
      <c r="G4012" s="1" t="s">
        <v>240</v>
      </c>
      <c r="H4012" s="1" t="s">
        <v>242</v>
      </c>
      <c r="I4012" s="1">
        <v>1</v>
      </c>
      <c r="J4012" s="3">
        <v>11305</v>
      </c>
      <c r="K4012" s="3">
        <v>10787</v>
      </c>
      <c r="L4012" s="1">
        <v>0</v>
      </c>
      <c r="M4012" s="4">
        <v>0</v>
      </c>
      <c r="N4012" s="1">
        <v>518</v>
      </c>
      <c r="O4012" s="4">
        <v>4.5999999999999999E-2</v>
      </c>
      <c r="P4012" s="1" t="s">
        <v>2721</v>
      </c>
    </row>
    <row r="4013" spans="1:16">
      <c r="A4013" s="1" t="s">
        <v>15</v>
      </c>
      <c r="B4013" s="1">
        <v>11</v>
      </c>
      <c r="C4013" s="1" t="s">
        <v>8458</v>
      </c>
      <c r="D4013" s="1" t="s">
        <v>52</v>
      </c>
      <c r="E4013" s="2">
        <v>45985</v>
      </c>
      <c r="F4013" s="1" t="s">
        <v>53</v>
      </c>
      <c r="G4013" s="1" t="s">
        <v>54</v>
      </c>
      <c r="H4013" s="1" t="s">
        <v>55</v>
      </c>
      <c r="I4013" s="1">
        <v>1</v>
      </c>
      <c r="J4013" s="3">
        <v>16135</v>
      </c>
      <c r="K4013" s="3">
        <v>15396</v>
      </c>
      <c r="L4013" s="1">
        <v>0</v>
      </c>
      <c r="M4013" s="4">
        <v>0</v>
      </c>
      <c r="N4013" s="1">
        <v>739</v>
      </c>
      <c r="O4013" s="4">
        <v>4.5999999999999999E-2</v>
      </c>
      <c r="P4013" s="1" t="s">
        <v>2721</v>
      </c>
    </row>
    <row r="4014" spans="1:16">
      <c r="A4014" s="1" t="s">
        <v>15</v>
      </c>
      <c r="B4014" s="1">
        <v>11</v>
      </c>
      <c r="C4014" s="1" t="s">
        <v>8459</v>
      </c>
      <c r="D4014" s="1" t="s">
        <v>2474</v>
      </c>
      <c r="E4014" s="2">
        <v>45985</v>
      </c>
      <c r="F4014" s="1" t="s">
        <v>126</v>
      </c>
      <c r="G4014" s="1" t="s">
        <v>2475</v>
      </c>
      <c r="H4014" s="1" t="s">
        <v>2476</v>
      </c>
      <c r="I4014" s="1">
        <v>2</v>
      </c>
      <c r="J4014" s="3">
        <v>45611</v>
      </c>
      <c r="K4014" s="3">
        <v>43523</v>
      </c>
      <c r="L4014" s="1">
        <v>0</v>
      </c>
      <c r="M4014" s="4">
        <v>0</v>
      </c>
      <c r="N4014" s="3">
        <v>2088</v>
      </c>
      <c r="O4014" s="4">
        <v>4.5999999999999999E-2</v>
      </c>
      <c r="P4014" s="1" t="s">
        <v>2721</v>
      </c>
    </row>
    <row r="4015" spans="1:16">
      <c r="A4015" s="1" t="s">
        <v>15</v>
      </c>
      <c r="B4015" s="1">
        <v>11</v>
      </c>
      <c r="C4015" s="1" t="s">
        <v>8460</v>
      </c>
      <c r="D4015" s="1" t="s">
        <v>1557</v>
      </c>
      <c r="E4015" s="2">
        <v>45985</v>
      </c>
      <c r="F4015" s="1" t="s">
        <v>355</v>
      </c>
      <c r="G4015" s="1" t="s">
        <v>1558</v>
      </c>
      <c r="H4015" s="1" t="s">
        <v>1559</v>
      </c>
      <c r="I4015" s="1">
        <v>1</v>
      </c>
      <c r="J4015" s="3">
        <v>231603</v>
      </c>
      <c r="K4015" s="3">
        <v>221000</v>
      </c>
      <c r="L4015" s="1">
        <v>0</v>
      </c>
      <c r="M4015" s="4">
        <v>0</v>
      </c>
      <c r="N4015" s="3">
        <v>10603</v>
      </c>
      <c r="O4015" s="4">
        <v>4.5999999999999999E-2</v>
      </c>
      <c r="P4015" s="1" t="s">
        <v>2721</v>
      </c>
    </row>
    <row r="4016" spans="1:16">
      <c r="A4016" s="1" t="s">
        <v>15</v>
      </c>
      <c r="B4016" s="1">
        <v>11</v>
      </c>
      <c r="C4016" s="1" t="s">
        <v>8461</v>
      </c>
      <c r="D4016" s="1" t="s">
        <v>7477</v>
      </c>
      <c r="E4016" s="2">
        <v>45985</v>
      </c>
      <c r="F4016" s="1" t="s">
        <v>23</v>
      </c>
      <c r="G4016" s="1" t="s">
        <v>7478</v>
      </c>
      <c r="H4016" s="1" t="s">
        <v>7479</v>
      </c>
      <c r="I4016" s="1">
        <v>1</v>
      </c>
      <c r="J4016" s="3">
        <v>15728</v>
      </c>
      <c r="K4016" s="3">
        <v>15008</v>
      </c>
      <c r="L4016" s="1">
        <v>0</v>
      </c>
      <c r="M4016" s="4">
        <v>0</v>
      </c>
      <c r="N4016" s="1">
        <v>720</v>
      </c>
      <c r="O4016" s="4">
        <v>4.5999999999999999E-2</v>
      </c>
      <c r="P4016" s="1" t="s">
        <v>2721</v>
      </c>
    </row>
    <row r="4017" spans="1:16">
      <c r="A4017" s="1" t="s">
        <v>15</v>
      </c>
      <c r="B4017" s="1">
        <v>11</v>
      </c>
      <c r="C4017" s="1" t="s">
        <v>8462</v>
      </c>
      <c r="D4017" s="1" t="s">
        <v>27</v>
      </c>
      <c r="E4017" s="2">
        <v>45985</v>
      </c>
      <c r="F4017" s="1" t="s">
        <v>28</v>
      </c>
      <c r="G4017" s="1" t="s">
        <v>29</v>
      </c>
      <c r="H4017" s="1" t="s">
        <v>352</v>
      </c>
      <c r="I4017" s="1">
        <v>1</v>
      </c>
      <c r="J4017" s="3">
        <v>27033</v>
      </c>
      <c r="K4017" s="3">
        <v>25795</v>
      </c>
      <c r="L4017" s="1">
        <v>0</v>
      </c>
      <c r="M4017" s="4">
        <v>0</v>
      </c>
      <c r="N4017" s="3">
        <v>1238</v>
      </c>
      <c r="O4017" s="4">
        <v>4.5999999999999999E-2</v>
      </c>
      <c r="P4017" s="1" t="s">
        <v>2721</v>
      </c>
    </row>
    <row r="4018" spans="1:16">
      <c r="A4018" s="1" t="s">
        <v>15</v>
      </c>
      <c r="B4018" s="1">
        <v>11</v>
      </c>
      <c r="C4018" s="1" t="s">
        <v>8463</v>
      </c>
      <c r="D4018" s="1" t="s">
        <v>1527</v>
      </c>
      <c r="E4018" s="2">
        <v>45985</v>
      </c>
      <c r="F4018" s="1" t="s">
        <v>431</v>
      </c>
      <c r="G4018" s="1" t="s">
        <v>1528</v>
      </c>
      <c r="H4018" s="1" t="s">
        <v>1529</v>
      </c>
      <c r="I4018" s="1">
        <v>1</v>
      </c>
      <c r="J4018" s="3">
        <v>73725</v>
      </c>
      <c r="K4018" s="3">
        <v>70350</v>
      </c>
      <c r="L4018" s="1">
        <v>0</v>
      </c>
      <c r="M4018" s="4">
        <v>0</v>
      </c>
      <c r="N4018" s="3">
        <v>3375</v>
      </c>
      <c r="O4018" s="4">
        <v>4.5999999999999999E-2</v>
      </c>
      <c r="P4018" s="1" t="s">
        <v>2721</v>
      </c>
    </row>
    <row r="4019" spans="1:16">
      <c r="A4019" s="1" t="s">
        <v>15</v>
      </c>
      <c r="B4019" s="1">
        <v>11</v>
      </c>
      <c r="C4019" s="1" t="s">
        <v>8464</v>
      </c>
      <c r="D4019" s="1" t="s">
        <v>1346</v>
      </c>
      <c r="E4019" s="2">
        <v>45985</v>
      </c>
      <c r="F4019" s="1" t="s">
        <v>317</v>
      </c>
      <c r="G4019" s="1" t="s">
        <v>1347</v>
      </c>
      <c r="H4019" s="1" t="s">
        <v>1348</v>
      </c>
      <c r="I4019" s="1">
        <v>1</v>
      </c>
      <c r="J4019" s="3">
        <v>32439</v>
      </c>
      <c r="K4019" s="3">
        <v>30954</v>
      </c>
      <c r="L4019" s="1">
        <v>0</v>
      </c>
      <c r="M4019" s="4">
        <v>0</v>
      </c>
      <c r="N4019" s="3">
        <v>1485</v>
      </c>
      <c r="O4019" s="4">
        <v>4.5999999999999999E-2</v>
      </c>
      <c r="P4019" s="1" t="s">
        <v>2721</v>
      </c>
    </row>
    <row r="4020" spans="1:16">
      <c r="A4020" s="1" t="s">
        <v>15</v>
      </c>
      <c r="B4020" s="1">
        <v>11</v>
      </c>
      <c r="C4020" s="1" t="s">
        <v>8465</v>
      </c>
      <c r="D4020" s="1" t="s">
        <v>2312</v>
      </c>
      <c r="E4020" s="2">
        <v>45985</v>
      </c>
      <c r="F4020" s="1" t="s">
        <v>1772</v>
      </c>
      <c r="G4020" s="1" t="s">
        <v>1773</v>
      </c>
      <c r="H4020" s="1" t="s">
        <v>8466</v>
      </c>
      <c r="I4020" s="1">
        <v>1</v>
      </c>
      <c r="J4020" s="3">
        <v>23395</v>
      </c>
      <c r="K4020" s="3">
        <v>22324</v>
      </c>
      <c r="L4020" s="1">
        <v>0</v>
      </c>
      <c r="M4020" s="4">
        <v>0</v>
      </c>
      <c r="N4020" s="3">
        <v>1071</v>
      </c>
      <c r="O4020" s="4">
        <v>4.5999999999999999E-2</v>
      </c>
      <c r="P4020" s="1" t="s">
        <v>2721</v>
      </c>
    </row>
    <row r="4021" spans="1:16">
      <c r="A4021" s="1" t="s">
        <v>15</v>
      </c>
      <c r="B4021" s="1">
        <v>11</v>
      </c>
      <c r="C4021" s="1" t="s">
        <v>8465</v>
      </c>
      <c r="D4021" s="1" t="s">
        <v>2312</v>
      </c>
      <c r="E4021" s="2">
        <v>45985</v>
      </c>
      <c r="F4021" s="1" t="s">
        <v>1772</v>
      </c>
      <c r="G4021" s="1" t="s">
        <v>1773</v>
      </c>
      <c r="H4021" s="1" t="s">
        <v>2313</v>
      </c>
      <c r="I4021" s="1">
        <v>1</v>
      </c>
      <c r="J4021" s="3">
        <v>23395</v>
      </c>
      <c r="K4021" s="3">
        <v>22324</v>
      </c>
      <c r="L4021" s="1">
        <v>0</v>
      </c>
      <c r="M4021" s="4">
        <v>0</v>
      </c>
      <c r="N4021" s="3">
        <v>1071</v>
      </c>
      <c r="O4021" s="4">
        <v>4.5999999999999999E-2</v>
      </c>
      <c r="P4021" s="1" t="s">
        <v>2721</v>
      </c>
    </row>
    <row r="4022" spans="1:16">
      <c r="A4022" s="1" t="s">
        <v>15</v>
      </c>
      <c r="B4022" s="1">
        <v>11</v>
      </c>
      <c r="C4022" s="1" t="s">
        <v>8467</v>
      </c>
      <c r="D4022" s="1" t="s">
        <v>482</v>
      </c>
      <c r="E4022" s="2">
        <v>45985</v>
      </c>
      <c r="F4022" s="1" t="s">
        <v>483</v>
      </c>
      <c r="G4022" s="1" t="s">
        <v>484</v>
      </c>
      <c r="H4022" s="1" t="s">
        <v>1777</v>
      </c>
      <c r="I4022" s="1">
        <v>1</v>
      </c>
      <c r="J4022" s="3">
        <v>27426</v>
      </c>
      <c r="K4022" s="3">
        <v>26170</v>
      </c>
      <c r="L4022" s="1">
        <v>0</v>
      </c>
      <c r="M4022" s="4">
        <v>0</v>
      </c>
      <c r="N4022" s="3">
        <v>1256</v>
      </c>
      <c r="O4022" s="4">
        <v>4.5999999999999999E-2</v>
      </c>
      <c r="P4022" s="1" t="s">
        <v>2721</v>
      </c>
    </row>
    <row r="4023" spans="1:16">
      <c r="A4023" s="1" t="s">
        <v>15</v>
      </c>
      <c r="B4023" s="1">
        <v>11</v>
      </c>
      <c r="C4023" s="1" t="s">
        <v>8468</v>
      </c>
      <c r="D4023" s="1" t="s">
        <v>228</v>
      </c>
      <c r="E4023" s="2">
        <v>45985</v>
      </c>
      <c r="F4023" s="1" t="s">
        <v>53</v>
      </c>
      <c r="G4023" s="1" t="s">
        <v>229</v>
      </c>
      <c r="H4023" s="1" t="s">
        <v>230</v>
      </c>
      <c r="I4023" s="1">
        <v>1</v>
      </c>
      <c r="J4023" s="3">
        <v>9825</v>
      </c>
      <c r="K4023" s="3">
        <v>9375</v>
      </c>
      <c r="L4023" s="1">
        <v>0</v>
      </c>
      <c r="M4023" s="4">
        <v>0</v>
      </c>
      <c r="N4023" s="1">
        <v>450</v>
      </c>
      <c r="O4023" s="4">
        <v>4.5999999999999999E-2</v>
      </c>
      <c r="P4023" s="1" t="s">
        <v>2721</v>
      </c>
    </row>
    <row r="4024" spans="1:16">
      <c r="A4024" s="1" t="s">
        <v>15</v>
      </c>
      <c r="B4024" s="1">
        <v>11</v>
      </c>
      <c r="C4024" s="1" t="s">
        <v>8469</v>
      </c>
      <c r="D4024" s="1" t="s">
        <v>918</v>
      </c>
      <c r="E4024" s="2">
        <v>45985</v>
      </c>
      <c r="F4024" s="1" t="s">
        <v>753</v>
      </c>
      <c r="G4024" s="1" t="s">
        <v>919</v>
      </c>
      <c r="H4024" s="1" t="s">
        <v>920</v>
      </c>
      <c r="I4024" s="1">
        <v>1</v>
      </c>
      <c r="J4024" s="3">
        <v>25774</v>
      </c>
      <c r="K4024" s="3">
        <v>24594</v>
      </c>
      <c r="L4024" s="1">
        <v>0</v>
      </c>
      <c r="M4024" s="4">
        <v>0</v>
      </c>
      <c r="N4024" s="3">
        <v>1180</v>
      </c>
      <c r="O4024" s="4">
        <v>4.5999999999999999E-2</v>
      </c>
      <c r="P4024" s="1" t="s">
        <v>2721</v>
      </c>
    </row>
    <row r="4025" spans="1:16">
      <c r="A4025" s="1" t="s">
        <v>15</v>
      </c>
      <c r="B4025" s="1">
        <v>11</v>
      </c>
      <c r="C4025" s="1" t="s">
        <v>8470</v>
      </c>
      <c r="D4025" s="1" t="s">
        <v>845</v>
      </c>
      <c r="E4025" s="2">
        <v>45985</v>
      </c>
      <c r="F4025" s="1" t="s">
        <v>846</v>
      </c>
      <c r="G4025" s="1" t="s">
        <v>847</v>
      </c>
      <c r="H4025" s="1" t="s">
        <v>848</v>
      </c>
      <c r="I4025" s="1">
        <v>1</v>
      </c>
      <c r="J4025" s="3">
        <v>112554</v>
      </c>
      <c r="K4025" s="3">
        <v>107401</v>
      </c>
      <c r="L4025" s="1">
        <v>0</v>
      </c>
      <c r="M4025" s="4">
        <v>0</v>
      </c>
      <c r="N4025" s="3">
        <v>5153</v>
      </c>
      <c r="O4025" s="4">
        <v>4.5999999999999999E-2</v>
      </c>
      <c r="P4025" s="1" t="s">
        <v>2721</v>
      </c>
    </row>
    <row r="4026" spans="1:16">
      <c r="A4026" s="1" t="s">
        <v>15</v>
      </c>
      <c r="B4026" s="1">
        <v>11</v>
      </c>
      <c r="C4026" s="1" t="s">
        <v>8471</v>
      </c>
      <c r="D4026" s="1" t="s">
        <v>7705</v>
      </c>
      <c r="E4026" s="2">
        <v>45985</v>
      </c>
      <c r="F4026" s="1" t="s">
        <v>53</v>
      </c>
      <c r="G4026" s="1" t="s">
        <v>7706</v>
      </c>
      <c r="H4026" s="1" t="s">
        <v>8472</v>
      </c>
      <c r="I4026" s="1">
        <v>1</v>
      </c>
      <c r="J4026" s="3">
        <v>11628</v>
      </c>
      <c r="K4026" s="3">
        <v>11096</v>
      </c>
      <c r="L4026" s="1">
        <v>0</v>
      </c>
      <c r="M4026" s="4">
        <v>0</v>
      </c>
      <c r="N4026" s="1">
        <v>532</v>
      </c>
      <c r="O4026" s="4">
        <v>4.5999999999999999E-2</v>
      </c>
      <c r="P4026" s="1" t="s">
        <v>2721</v>
      </c>
    </row>
    <row r="4027" spans="1:16">
      <c r="A4027" s="1" t="s">
        <v>15</v>
      </c>
      <c r="B4027" s="1">
        <v>11</v>
      </c>
      <c r="C4027" s="1" t="s">
        <v>8473</v>
      </c>
      <c r="D4027" s="1" t="s">
        <v>8474</v>
      </c>
      <c r="E4027" s="2">
        <v>45985</v>
      </c>
      <c r="F4027" s="1" t="s">
        <v>8475</v>
      </c>
      <c r="G4027" s="1" t="s">
        <v>8476</v>
      </c>
      <c r="H4027" s="1" t="s">
        <v>8477</v>
      </c>
      <c r="I4027" s="1">
        <v>1</v>
      </c>
      <c r="J4027" s="3">
        <v>258067</v>
      </c>
      <c r="K4027" s="3">
        <v>246253</v>
      </c>
      <c r="L4027" s="1">
        <v>0</v>
      </c>
      <c r="M4027" s="4">
        <v>0</v>
      </c>
      <c r="N4027" s="3">
        <v>11814</v>
      </c>
      <c r="O4027" s="4">
        <v>4.5999999999999999E-2</v>
      </c>
      <c r="P4027" s="1" t="s">
        <v>2721</v>
      </c>
    </row>
    <row r="4028" spans="1:16">
      <c r="A4028" s="1" t="s">
        <v>15</v>
      </c>
      <c r="B4028" s="1">
        <v>11</v>
      </c>
      <c r="C4028" s="1" t="s">
        <v>8478</v>
      </c>
      <c r="D4028" s="1" t="s">
        <v>7928</v>
      </c>
      <c r="E4028" s="2">
        <v>45985</v>
      </c>
      <c r="F4028" s="1" t="s">
        <v>187</v>
      </c>
      <c r="G4028" s="1" t="s">
        <v>1734</v>
      </c>
      <c r="H4028" s="1" t="s">
        <v>1735</v>
      </c>
      <c r="I4028" s="1">
        <v>3</v>
      </c>
      <c r="J4028" s="3">
        <v>74616</v>
      </c>
      <c r="K4028" s="3">
        <v>71200</v>
      </c>
      <c r="L4028" s="1">
        <v>0</v>
      </c>
      <c r="M4028" s="4">
        <v>0</v>
      </c>
      <c r="N4028" s="3">
        <v>3416</v>
      </c>
      <c r="O4028" s="4">
        <v>4.5999999999999999E-2</v>
      </c>
      <c r="P4028" s="1" t="s">
        <v>2721</v>
      </c>
    </row>
    <row r="4029" spans="1:16">
      <c r="A4029" s="1" t="s">
        <v>15</v>
      </c>
      <c r="B4029" s="1">
        <v>11</v>
      </c>
      <c r="C4029" s="1" t="s">
        <v>8479</v>
      </c>
      <c r="D4029" s="1" t="s">
        <v>132</v>
      </c>
      <c r="E4029" s="2">
        <v>45985</v>
      </c>
      <c r="F4029" s="1" t="s">
        <v>53</v>
      </c>
      <c r="G4029" s="1" t="s">
        <v>133</v>
      </c>
      <c r="H4029" s="1" t="s">
        <v>88</v>
      </c>
      <c r="I4029" s="1">
        <v>1</v>
      </c>
      <c r="J4029" s="3">
        <v>17036</v>
      </c>
      <c r="K4029" s="3">
        <v>16256</v>
      </c>
      <c r="L4029" s="1">
        <v>0</v>
      </c>
      <c r="M4029" s="4">
        <v>0</v>
      </c>
      <c r="N4029" s="1">
        <v>780</v>
      </c>
      <c r="O4029" s="4">
        <v>4.5999999999999999E-2</v>
      </c>
      <c r="P4029" s="1" t="s">
        <v>2721</v>
      </c>
    </row>
    <row r="4030" spans="1:16">
      <c r="A4030" s="1" t="s">
        <v>15</v>
      </c>
      <c r="B4030" s="1">
        <v>11</v>
      </c>
      <c r="C4030" s="1" t="s">
        <v>8480</v>
      </c>
      <c r="D4030" s="1" t="s">
        <v>797</v>
      </c>
      <c r="E4030" s="2">
        <v>45985</v>
      </c>
      <c r="F4030" s="1" t="s">
        <v>798</v>
      </c>
      <c r="G4030" s="1" t="s">
        <v>799</v>
      </c>
      <c r="H4030" s="1" t="s">
        <v>1331</v>
      </c>
      <c r="I4030" s="1">
        <v>1</v>
      </c>
      <c r="J4030" s="3">
        <v>13271</v>
      </c>
      <c r="K4030" s="3">
        <v>12663</v>
      </c>
      <c r="L4030" s="1">
        <v>0</v>
      </c>
      <c r="M4030" s="4">
        <v>0</v>
      </c>
      <c r="N4030" s="1">
        <v>608</v>
      </c>
      <c r="O4030" s="4">
        <v>4.5999999999999999E-2</v>
      </c>
      <c r="P4030" s="1" t="s">
        <v>2721</v>
      </c>
    </row>
    <row r="4031" spans="1:16">
      <c r="A4031" s="1" t="s">
        <v>15</v>
      </c>
      <c r="B4031" s="1">
        <v>11</v>
      </c>
      <c r="C4031" s="1" t="s">
        <v>8481</v>
      </c>
      <c r="D4031" s="1" t="s">
        <v>394</v>
      </c>
      <c r="E4031" s="2">
        <v>45985</v>
      </c>
      <c r="F4031" s="1" t="s">
        <v>395</v>
      </c>
      <c r="G4031" s="1" t="s">
        <v>396</v>
      </c>
      <c r="H4031" s="1" t="s">
        <v>397</v>
      </c>
      <c r="I4031" s="1">
        <v>1</v>
      </c>
      <c r="J4031" s="3">
        <v>18874</v>
      </c>
      <c r="K4031" s="3">
        <v>18010</v>
      </c>
      <c r="L4031" s="1">
        <v>0</v>
      </c>
      <c r="M4031" s="4">
        <v>0</v>
      </c>
      <c r="N4031" s="1">
        <v>864</v>
      </c>
      <c r="O4031" s="4">
        <v>4.5999999999999999E-2</v>
      </c>
      <c r="P4031" s="1" t="s">
        <v>2721</v>
      </c>
    </row>
    <row r="4032" spans="1:16">
      <c r="A4032" s="1" t="s">
        <v>15</v>
      </c>
      <c r="B4032" s="1">
        <v>11</v>
      </c>
      <c r="C4032" s="1" t="s">
        <v>8482</v>
      </c>
      <c r="D4032" s="1" t="s">
        <v>6411</v>
      </c>
      <c r="E4032" s="2">
        <v>45985</v>
      </c>
      <c r="F4032" s="1" t="s">
        <v>4309</v>
      </c>
      <c r="G4032" s="1" t="s">
        <v>6412</v>
      </c>
      <c r="H4032" s="1" t="s">
        <v>6413</v>
      </c>
      <c r="I4032" s="1">
        <v>1</v>
      </c>
      <c r="J4032" s="3">
        <v>21626</v>
      </c>
      <c r="K4032" s="3">
        <v>20636</v>
      </c>
      <c r="L4032" s="1">
        <v>0</v>
      </c>
      <c r="M4032" s="4">
        <v>0</v>
      </c>
      <c r="N4032" s="1">
        <v>990</v>
      </c>
      <c r="O4032" s="4">
        <v>4.5999999999999999E-2</v>
      </c>
      <c r="P4032" s="1" t="s">
        <v>2721</v>
      </c>
    </row>
    <row r="4033" spans="1:16">
      <c r="A4033" s="1" t="s">
        <v>15</v>
      </c>
      <c r="B4033" s="1">
        <v>11</v>
      </c>
      <c r="C4033" s="1" t="s">
        <v>8482</v>
      </c>
      <c r="D4033" s="1" t="s">
        <v>6184</v>
      </c>
      <c r="E4033" s="2">
        <v>45985</v>
      </c>
      <c r="F4033" s="1" t="s">
        <v>4309</v>
      </c>
      <c r="G4033" s="1" t="s">
        <v>6185</v>
      </c>
      <c r="H4033" s="1" t="s">
        <v>6186</v>
      </c>
      <c r="I4033" s="1">
        <v>1</v>
      </c>
      <c r="J4033" s="3">
        <v>12386</v>
      </c>
      <c r="K4033" s="3">
        <v>11819</v>
      </c>
      <c r="L4033" s="1">
        <v>0</v>
      </c>
      <c r="M4033" s="4">
        <v>0</v>
      </c>
      <c r="N4033" s="1">
        <v>567</v>
      </c>
      <c r="O4033" s="4">
        <v>4.5999999999999999E-2</v>
      </c>
      <c r="P4033" s="1" t="s">
        <v>2721</v>
      </c>
    </row>
    <row r="4034" spans="1:16">
      <c r="A4034" s="1" t="s">
        <v>15</v>
      </c>
      <c r="B4034" s="1">
        <v>11</v>
      </c>
      <c r="C4034" s="1" t="s">
        <v>8483</v>
      </c>
      <c r="D4034" s="1" t="s">
        <v>8484</v>
      </c>
      <c r="E4034" s="2">
        <v>45985</v>
      </c>
      <c r="F4034" s="1" t="s">
        <v>5599</v>
      </c>
      <c r="G4034" s="1" t="s">
        <v>6557</v>
      </c>
      <c r="H4034" s="1" t="s">
        <v>8485</v>
      </c>
      <c r="I4034" s="1">
        <v>1</v>
      </c>
      <c r="J4034" s="3">
        <v>9299</v>
      </c>
      <c r="K4034" s="3">
        <v>8873</v>
      </c>
      <c r="L4034" s="1">
        <v>0</v>
      </c>
      <c r="M4034" s="4">
        <v>0</v>
      </c>
      <c r="N4034" s="1">
        <v>426</v>
      </c>
      <c r="O4034" s="4">
        <v>4.5999999999999999E-2</v>
      </c>
      <c r="P4034" s="1" t="s">
        <v>2721</v>
      </c>
    </row>
    <row r="4035" spans="1:16">
      <c r="A4035" s="1" t="s">
        <v>15</v>
      </c>
      <c r="B4035" s="1">
        <v>11</v>
      </c>
      <c r="C4035" s="1" t="s">
        <v>8486</v>
      </c>
      <c r="D4035" s="1" t="s">
        <v>8487</v>
      </c>
      <c r="E4035" s="2">
        <v>45985</v>
      </c>
      <c r="F4035" s="1" t="s">
        <v>1665</v>
      </c>
      <c r="G4035" s="1" t="s">
        <v>8488</v>
      </c>
      <c r="H4035" s="1" t="s">
        <v>8489</v>
      </c>
      <c r="I4035" s="1">
        <v>1</v>
      </c>
      <c r="J4035" s="3">
        <v>20702</v>
      </c>
      <c r="K4035" s="3">
        <v>19754</v>
      </c>
      <c r="L4035" s="1">
        <v>0</v>
      </c>
      <c r="M4035" s="4">
        <v>0</v>
      </c>
      <c r="N4035" s="1">
        <v>948</v>
      </c>
      <c r="O4035" s="4">
        <v>4.5999999999999999E-2</v>
      </c>
      <c r="P4035" s="1" t="s">
        <v>2721</v>
      </c>
    </row>
    <row r="4036" spans="1:16">
      <c r="A4036" s="1" t="s">
        <v>15</v>
      </c>
      <c r="B4036" s="1">
        <v>11</v>
      </c>
      <c r="C4036" s="1" t="s">
        <v>8490</v>
      </c>
      <c r="D4036" s="1" t="s">
        <v>287</v>
      </c>
      <c r="E4036" s="2">
        <v>45985</v>
      </c>
      <c r="F4036" s="1" t="s">
        <v>235</v>
      </c>
      <c r="G4036" s="1" t="s">
        <v>288</v>
      </c>
      <c r="H4036" s="1" t="s">
        <v>8491</v>
      </c>
      <c r="I4036" s="1">
        <v>2</v>
      </c>
      <c r="J4036" s="3">
        <v>29293</v>
      </c>
      <c r="K4036" s="3">
        <v>27952</v>
      </c>
      <c r="L4036" s="1">
        <v>0</v>
      </c>
      <c r="M4036" s="4">
        <v>0</v>
      </c>
      <c r="N4036" s="3">
        <v>1341</v>
      </c>
      <c r="O4036" s="4">
        <v>4.5999999999999999E-2</v>
      </c>
      <c r="P4036" s="1" t="s">
        <v>2721</v>
      </c>
    </row>
    <row r="4037" spans="1:16">
      <c r="A4037" s="1" t="s">
        <v>15</v>
      </c>
      <c r="B4037" s="1">
        <v>11</v>
      </c>
      <c r="C4037" s="1" t="s">
        <v>8492</v>
      </c>
      <c r="D4037" s="1" t="s">
        <v>169</v>
      </c>
      <c r="E4037" s="2">
        <v>45985</v>
      </c>
      <c r="F4037" s="1" t="s">
        <v>53</v>
      </c>
      <c r="G4037" s="1" t="s">
        <v>170</v>
      </c>
      <c r="H4037" s="1" t="s">
        <v>171</v>
      </c>
      <c r="I4037" s="1">
        <v>1</v>
      </c>
      <c r="J4037" s="3">
        <v>14332</v>
      </c>
      <c r="K4037" s="3">
        <v>13676</v>
      </c>
      <c r="L4037" s="1">
        <v>0</v>
      </c>
      <c r="M4037" s="4">
        <v>0</v>
      </c>
      <c r="N4037" s="1">
        <v>656</v>
      </c>
      <c r="O4037" s="4">
        <v>4.5999999999999999E-2</v>
      </c>
      <c r="P4037" s="1" t="s">
        <v>2721</v>
      </c>
    </row>
    <row r="4038" spans="1:16">
      <c r="A4038" s="1" t="s">
        <v>15</v>
      </c>
      <c r="B4038" s="1">
        <v>11</v>
      </c>
      <c r="C4038" s="1" t="s">
        <v>8493</v>
      </c>
      <c r="D4038" s="1" t="s">
        <v>62</v>
      </c>
      <c r="E4038" s="2">
        <v>45985</v>
      </c>
      <c r="F4038" s="1" t="s">
        <v>63</v>
      </c>
      <c r="G4038" s="1" t="s">
        <v>64</v>
      </c>
      <c r="H4038" s="1" t="s">
        <v>8494</v>
      </c>
      <c r="I4038" s="1">
        <v>1</v>
      </c>
      <c r="J4038" s="3">
        <v>11809</v>
      </c>
      <c r="K4038" s="3">
        <v>11268</v>
      </c>
      <c r="L4038" s="1">
        <v>0</v>
      </c>
      <c r="M4038" s="4">
        <v>0</v>
      </c>
      <c r="N4038" s="1">
        <v>541</v>
      </c>
      <c r="O4038" s="4">
        <v>4.5999999999999999E-2</v>
      </c>
      <c r="P4038" s="1" t="s">
        <v>2721</v>
      </c>
    </row>
    <row r="4039" spans="1:16">
      <c r="A4039" s="1" t="s">
        <v>15</v>
      </c>
      <c r="B4039" s="1">
        <v>11</v>
      </c>
      <c r="C4039" s="1" t="s">
        <v>8495</v>
      </c>
      <c r="D4039" s="1" t="s">
        <v>250</v>
      </c>
      <c r="E4039" s="2">
        <v>45985</v>
      </c>
      <c r="F4039" s="1" t="s">
        <v>251</v>
      </c>
      <c r="G4039" s="1" t="s">
        <v>252</v>
      </c>
      <c r="H4039" s="1" t="s">
        <v>253</v>
      </c>
      <c r="I4039" s="1">
        <v>1</v>
      </c>
      <c r="J4039" s="3">
        <v>17203</v>
      </c>
      <c r="K4039" s="3">
        <v>16415</v>
      </c>
      <c r="L4039" s="1">
        <v>0</v>
      </c>
      <c r="M4039" s="4">
        <v>0</v>
      </c>
      <c r="N4039" s="1">
        <v>788</v>
      </c>
      <c r="O4039" s="4">
        <v>4.5999999999999999E-2</v>
      </c>
      <c r="P4039" s="1" t="s">
        <v>2721</v>
      </c>
    </row>
    <row r="4040" spans="1:16">
      <c r="A4040" s="1" t="s">
        <v>15</v>
      </c>
      <c r="B4040" s="1">
        <v>11</v>
      </c>
      <c r="C4040" s="1" t="s">
        <v>8496</v>
      </c>
      <c r="D4040" s="1" t="s">
        <v>4642</v>
      </c>
      <c r="E4040" s="2">
        <v>45985</v>
      </c>
      <c r="F4040" s="1" t="s">
        <v>96</v>
      </c>
      <c r="G4040" s="1" t="s">
        <v>4643</v>
      </c>
      <c r="H4040" s="1" t="s">
        <v>1947</v>
      </c>
      <c r="I4040" s="1">
        <v>1</v>
      </c>
      <c r="J4040" s="3">
        <v>17006</v>
      </c>
      <c r="K4040" s="3">
        <v>16227</v>
      </c>
      <c r="L4040" s="1">
        <v>0</v>
      </c>
      <c r="M4040" s="4">
        <v>0</v>
      </c>
      <c r="N4040" s="1">
        <v>779</v>
      </c>
      <c r="O4040" s="4">
        <v>4.5999999999999999E-2</v>
      </c>
      <c r="P4040" s="1" t="s">
        <v>2721</v>
      </c>
    </row>
    <row r="4041" spans="1:16">
      <c r="A4041" s="1" t="s">
        <v>15</v>
      </c>
      <c r="B4041" s="1">
        <v>11</v>
      </c>
      <c r="C4041" s="1" t="s">
        <v>8497</v>
      </c>
      <c r="D4041" s="1" t="s">
        <v>1026</v>
      </c>
      <c r="E4041" s="2">
        <v>45985</v>
      </c>
      <c r="F4041" s="1" t="s">
        <v>256</v>
      </c>
      <c r="G4041" s="1" t="s">
        <v>1027</v>
      </c>
      <c r="H4041" s="1" t="s">
        <v>1028</v>
      </c>
      <c r="I4041" s="1">
        <v>1</v>
      </c>
      <c r="J4041" s="3">
        <v>5407</v>
      </c>
      <c r="K4041" s="3">
        <v>5159</v>
      </c>
      <c r="L4041" s="1">
        <v>0</v>
      </c>
      <c r="M4041" s="4">
        <v>0</v>
      </c>
      <c r="N4041" s="1">
        <v>248</v>
      </c>
      <c r="O4041" s="4">
        <v>4.5999999999999999E-2</v>
      </c>
      <c r="P4041" s="1" t="s">
        <v>2721</v>
      </c>
    </row>
    <row r="4042" spans="1:16">
      <c r="A4042" s="1" t="s">
        <v>15</v>
      </c>
      <c r="B4042" s="1">
        <v>11</v>
      </c>
      <c r="C4042" s="1" t="s">
        <v>8498</v>
      </c>
      <c r="D4042" s="1" t="s">
        <v>27</v>
      </c>
      <c r="E4042" s="2">
        <v>45985</v>
      </c>
      <c r="F4042" s="1" t="s">
        <v>28</v>
      </c>
      <c r="G4042" s="1" t="s">
        <v>29</v>
      </c>
      <c r="H4042" s="1" t="s">
        <v>352</v>
      </c>
      <c r="I4042" s="1">
        <v>1</v>
      </c>
      <c r="J4042" s="3">
        <v>27033</v>
      </c>
      <c r="K4042" s="3">
        <v>25795</v>
      </c>
      <c r="L4042" s="1">
        <v>0</v>
      </c>
      <c r="M4042" s="4">
        <v>0</v>
      </c>
      <c r="N4042" s="3">
        <v>1238</v>
      </c>
      <c r="O4042" s="4">
        <v>4.5999999999999999E-2</v>
      </c>
      <c r="P4042" s="1" t="s">
        <v>2721</v>
      </c>
    </row>
    <row r="4043" spans="1:16">
      <c r="A4043" s="1" t="s">
        <v>15</v>
      </c>
      <c r="B4043" s="1">
        <v>11</v>
      </c>
      <c r="C4043" s="1" t="s">
        <v>8499</v>
      </c>
      <c r="D4043" s="1" t="s">
        <v>7725</v>
      </c>
      <c r="E4043" s="2">
        <v>45985</v>
      </c>
      <c r="F4043" s="1" t="s">
        <v>256</v>
      </c>
      <c r="G4043" s="1" t="s">
        <v>7726</v>
      </c>
      <c r="H4043" s="1" t="s">
        <v>7727</v>
      </c>
      <c r="I4043" s="1">
        <v>1</v>
      </c>
      <c r="J4043" s="3">
        <v>19901</v>
      </c>
      <c r="K4043" s="3">
        <v>18990</v>
      </c>
      <c r="L4043" s="1">
        <v>0</v>
      </c>
      <c r="M4043" s="4">
        <v>0</v>
      </c>
      <c r="N4043" s="1">
        <v>911</v>
      </c>
      <c r="O4043" s="4">
        <v>4.5999999999999999E-2</v>
      </c>
      <c r="P4043" s="1" t="s">
        <v>2721</v>
      </c>
    </row>
    <row r="4044" spans="1:16">
      <c r="A4044" s="1" t="s">
        <v>15</v>
      </c>
      <c r="B4044" s="1">
        <v>11</v>
      </c>
      <c r="C4044" s="1" t="s">
        <v>8500</v>
      </c>
      <c r="D4044" s="1" t="s">
        <v>238</v>
      </c>
      <c r="E4044" s="2">
        <v>45985</v>
      </c>
      <c r="F4044" s="1" t="s">
        <v>239</v>
      </c>
      <c r="G4044" s="1" t="s">
        <v>240</v>
      </c>
      <c r="H4044" s="1" t="s">
        <v>241</v>
      </c>
      <c r="I4044" s="1">
        <v>1</v>
      </c>
      <c r="J4044" s="3">
        <v>11305</v>
      </c>
      <c r="K4044" s="3">
        <v>10787</v>
      </c>
      <c r="L4044" s="1">
        <v>0</v>
      </c>
      <c r="M4044" s="4">
        <v>0</v>
      </c>
      <c r="N4044" s="1">
        <v>518</v>
      </c>
      <c r="O4044" s="4">
        <v>4.5999999999999999E-2</v>
      </c>
      <c r="P4044" s="1" t="s">
        <v>2721</v>
      </c>
    </row>
    <row r="4045" spans="1:16">
      <c r="A4045" s="1" t="s">
        <v>15</v>
      </c>
      <c r="B4045" s="1">
        <v>11</v>
      </c>
      <c r="C4045" s="1" t="s">
        <v>8501</v>
      </c>
      <c r="D4045" s="1" t="s">
        <v>504</v>
      </c>
      <c r="E4045" s="2">
        <v>45985</v>
      </c>
      <c r="F4045" s="1" t="s">
        <v>407</v>
      </c>
      <c r="G4045" s="1" t="s">
        <v>505</v>
      </c>
      <c r="H4045" s="1" t="s">
        <v>1004</v>
      </c>
      <c r="I4045" s="1">
        <v>1</v>
      </c>
      <c r="J4045" s="3">
        <v>9339</v>
      </c>
      <c r="K4045" s="3">
        <v>8911</v>
      </c>
      <c r="L4045" s="1">
        <v>0</v>
      </c>
      <c r="M4045" s="4">
        <v>0</v>
      </c>
      <c r="N4045" s="1">
        <v>428</v>
      </c>
      <c r="O4045" s="4">
        <v>4.5999999999999999E-2</v>
      </c>
      <c r="P4045" s="1" t="s">
        <v>2721</v>
      </c>
    </row>
    <row r="4046" spans="1:16">
      <c r="A4046" s="1" t="s">
        <v>15</v>
      </c>
      <c r="B4046" s="1">
        <v>11</v>
      </c>
      <c r="C4046" s="1" t="s">
        <v>8502</v>
      </c>
      <c r="D4046" s="1" t="s">
        <v>1088</v>
      </c>
      <c r="E4046" s="2">
        <v>45985</v>
      </c>
      <c r="F4046" s="1" t="s">
        <v>317</v>
      </c>
      <c r="G4046" s="1" t="s">
        <v>1089</v>
      </c>
      <c r="H4046" s="1" t="s">
        <v>8503</v>
      </c>
      <c r="I4046" s="1">
        <v>1</v>
      </c>
      <c r="J4046" s="3">
        <v>31653</v>
      </c>
      <c r="K4046" s="3">
        <v>30204</v>
      </c>
      <c r="L4046" s="1">
        <v>0</v>
      </c>
      <c r="M4046" s="4">
        <v>0</v>
      </c>
      <c r="N4046" s="3">
        <v>1449</v>
      </c>
      <c r="O4046" s="4">
        <v>4.5999999999999999E-2</v>
      </c>
      <c r="P4046" s="1" t="s">
        <v>2721</v>
      </c>
    </row>
    <row r="4047" spans="1:16">
      <c r="A4047" s="1" t="s">
        <v>15</v>
      </c>
      <c r="B4047" s="1">
        <v>11</v>
      </c>
      <c r="C4047" s="1" t="s">
        <v>8504</v>
      </c>
      <c r="D4047" s="1" t="s">
        <v>482</v>
      </c>
      <c r="E4047" s="2">
        <v>45985</v>
      </c>
      <c r="F4047" s="1" t="s">
        <v>483</v>
      </c>
      <c r="G4047" s="1" t="s">
        <v>484</v>
      </c>
      <c r="H4047" s="1" t="s">
        <v>485</v>
      </c>
      <c r="I4047" s="1">
        <v>1</v>
      </c>
      <c r="J4047" s="3">
        <v>16501</v>
      </c>
      <c r="K4047" s="3">
        <v>15745</v>
      </c>
      <c r="L4047" s="1">
        <v>0</v>
      </c>
      <c r="M4047" s="4">
        <v>0</v>
      </c>
      <c r="N4047" s="1">
        <v>756</v>
      </c>
      <c r="O4047" s="4">
        <v>4.5999999999999999E-2</v>
      </c>
      <c r="P4047" s="1" t="s">
        <v>2721</v>
      </c>
    </row>
    <row r="4048" spans="1:16">
      <c r="A4048" s="1" t="s">
        <v>15</v>
      </c>
      <c r="B4048" s="1">
        <v>11</v>
      </c>
      <c r="C4048" s="1" t="s">
        <v>8505</v>
      </c>
      <c r="D4048" s="1" t="s">
        <v>7311</v>
      </c>
      <c r="E4048" s="2">
        <v>45985</v>
      </c>
      <c r="F4048" s="1" t="s">
        <v>646</v>
      </c>
      <c r="G4048" s="1" t="s">
        <v>7312</v>
      </c>
      <c r="H4048" s="1" t="s">
        <v>8506</v>
      </c>
      <c r="I4048" s="1">
        <v>1</v>
      </c>
      <c r="J4048" s="3">
        <v>13762</v>
      </c>
      <c r="K4048" s="3">
        <v>13132</v>
      </c>
      <c r="L4048" s="1">
        <v>0</v>
      </c>
      <c r="M4048" s="4">
        <v>0</v>
      </c>
      <c r="N4048" s="1">
        <v>630</v>
      </c>
      <c r="O4048" s="4">
        <v>4.5999999999999999E-2</v>
      </c>
      <c r="P4048" s="1" t="s">
        <v>2721</v>
      </c>
    </row>
    <row r="4049" spans="1:16">
      <c r="A4049" s="1" t="s">
        <v>15</v>
      </c>
      <c r="B4049" s="1">
        <v>11</v>
      </c>
      <c r="C4049" s="1" t="s">
        <v>8507</v>
      </c>
      <c r="D4049" s="1" t="s">
        <v>492</v>
      </c>
      <c r="E4049" s="2">
        <v>45985</v>
      </c>
      <c r="F4049" s="1" t="s">
        <v>493</v>
      </c>
      <c r="G4049" s="1" t="s">
        <v>494</v>
      </c>
      <c r="H4049" s="1" t="s">
        <v>1120</v>
      </c>
      <c r="I4049" s="1">
        <v>1</v>
      </c>
      <c r="J4049" s="3">
        <v>7569</v>
      </c>
      <c r="K4049" s="3">
        <v>7223</v>
      </c>
      <c r="L4049" s="1">
        <v>0</v>
      </c>
      <c r="M4049" s="4">
        <v>0</v>
      </c>
      <c r="N4049" s="1">
        <v>346</v>
      </c>
      <c r="O4049" s="4">
        <v>4.5999999999999999E-2</v>
      </c>
      <c r="P4049" s="1" t="s">
        <v>2721</v>
      </c>
    </row>
    <row r="4050" spans="1:16">
      <c r="A4050" s="1" t="s">
        <v>15</v>
      </c>
      <c r="B4050" s="1">
        <v>11</v>
      </c>
      <c r="C4050" s="1" t="s">
        <v>8508</v>
      </c>
      <c r="D4050" s="1" t="s">
        <v>104</v>
      </c>
      <c r="E4050" s="2">
        <v>45985</v>
      </c>
      <c r="F4050" s="1" t="s">
        <v>96</v>
      </c>
      <c r="G4050" s="1" t="s">
        <v>105</v>
      </c>
      <c r="H4050" s="1" t="s">
        <v>106</v>
      </c>
      <c r="I4050" s="1">
        <v>1</v>
      </c>
      <c r="J4050" s="3">
        <v>21614</v>
      </c>
      <c r="K4050" s="3">
        <v>20625</v>
      </c>
      <c r="L4050" s="1">
        <v>0</v>
      </c>
      <c r="M4050" s="4">
        <v>0</v>
      </c>
      <c r="N4050" s="1">
        <v>989</v>
      </c>
      <c r="O4050" s="4">
        <v>4.5999999999999999E-2</v>
      </c>
      <c r="P4050" s="1" t="s">
        <v>2721</v>
      </c>
    </row>
    <row r="4051" spans="1:16">
      <c r="A4051" s="1" t="s">
        <v>15</v>
      </c>
      <c r="B4051" s="1">
        <v>11</v>
      </c>
      <c r="C4051" s="1" t="s">
        <v>8508</v>
      </c>
      <c r="D4051" s="1" t="s">
        <v>221</v>
      </c>
      <c r="E4051" s="2">
        <v>45985</v>
      </c>
      <c r="F4051" s="1" t="s">
        <v>96</v>
      </c>
      <c r="G4051" s="1" t="s">
        <v>222</v>
      </c>
      <c r="H4051" s="1" t="s">
        <v>5793</v>
      </c>
      <c r="I4051" s="1">
        <v>1</v>
      </c>
      <c r="J4051" s="3">
        <v>12571</v>
      </c>
      <c r="K4051" s="3">
        <v>11995</v>
      </c>
      <c r="L4051" s="1">
        <v>0</v>
      </c>
      <c r="M4051" s="4">
        <v>0</v>
      </c>
      <c r="N4051" s="1">
        <v>576</v>
      </c>
      <c r="O4051" s="4">
        <v>4.5999999999999999E-2</v>
      </c>
      <c r="P4051" s="1" t="s">
        <v>2721</v>
      </c>
    </row>
    <row r="4052" spans="1:16">
      <c r="A4052" s="1" t="s">
        <v>15</v>
      </c>
      <c r="B4052" s="1">
        <v>11</v>
      </c>
      <c r="C4052" s="1" t="s">
        <v>8509</v>
      </c>
      <c r="D4052" s="1" t="s">
        <v>125</v>
      </c>
      <c r="E4052" s="2">
        <v>45985</v>
      </c>
      <c r="F4052" s="1" t="s">
        <v>126</v>
      </c>
      <c r="G4052" s="1" t="s">
        <v>127</v>
      </c>
      <c r="H4052" s="1" t="s">
        <v>128</v>
      </c>
      <c r="I4052" s="1">
        <v>1</v>
      </c>
      <c r="J4052" s="3">
        <v>13959</v>
      </c>
      <c r="K4052" s="3">
        <v>13320</v>
      </c>
      <c r="L4052" s="1">
        <v>0</v>
      </c>
      <c r="M4052" s="4">
        <v>0</v>
      </c>
      <c r="N4052" s="1">
        <v>639</v>
      </c>
      <c r="O4052" s="4">
        <v>4.5999999999999999E-2</v>
      </c>
      <c r="P4052" s="1" t="s">
        <v>2721</v>
      </c>
    </row>
    <row r="4053" spans="1:16">
      <c r="A4053" s="1" t="s">
        <v>15</v>
      </c>
      <c r="B4053" s="1">
        <v>11</v>
      </c>
      <c r="C4053" s="1" t="s">
        <v>8510</v>
      </c>
      <c r="D4053" s="1" t="s">
        <v>346</v>
      </c>
      <c r="E4053" s="2">
        <v>45985</v>
      </c>
      <c r="F4053" s="1" t="s">
        <v>347</v>
      </c>
      <c r="G4053" s="1" t="s">
        <v>348</v>
      </c>
      <c r="H4053" s="1" t="s">
        <v>3288</v>
      </c>
      <c r="I4053" s="1">
        <v>1</v>
      </c>
      <c r="J4053" s="3">
        <v>20152</v>
      </c>
      <c r="K4053" s="3">
        <v>19229</v>
      </c>
      <c r="L4053" s="1">
        <v>0</v>
      </c>
      <c r="M4053" s="4">
        <v>0</v>
      </c>
      <c r="N4053" s="1">
        <v>923</v>
      </c>
      <c r="O4053" s="4">
        <v>4.5999999999999999E-2</v>
      </c>
      <c r="P4053" s="1" t="s">
        <v>2721</v>
      </c>
    </row>
    <row r="4054" spans="1:16">
      <c r="A4054" s="1" t="s">
        <v>15</v>
      </c>
      <c r="B4054" s="1">
        <v>11</v>
      </c>
      <c r="C4054" s="1" t="s">
        <v>8511</v>
      </c>
      <c r="D4054" s="1" t="s">
        <v>212</v>
      </c>
      <c r="E4054" s="2">
        <v>45985</v>
      </c>
      <c r="F4054" s="1" t="s">
        <v>213</v>
      </c>
      <c r="G4054" s="1" t="s">
        <v>214</v>
      </c>
      <c r="H4054" s="1" t="s">
        <v>215</v>
      </c>
      <c r="I4054" s="1">
        <v>1</v>
      </c>
      <c r="J4054" s="3">
        <v>16220</v>
      </c>
      <c r="K4054" s="3">
        <v>15477</v>
      </c>
      <c r="L4054" s="1">
        <v>0</v>
      </c>
      <c r="M4054" s="4">
        <v>0</v>
      </c>
      <c r="N4054" s="1">
        <v>743</v>
      </c>
      <c r="O4054" s="4">
        <v>4.5999999999999999E-2</v>
      </c>
      <c r="P4054" s="1" t="s">
        <v>2721</v>
      </c>
    </row>
    <row r="4055" spans="1:16">
      <c r="A4055" s="1" t="s">
        <v>15</v>
      </c>
      <c r="B4055" s="1">
        <v>11</v>
      </c>
      <c r="C4055" s="1" t="s">
        <v>8512</v>
      </c>
      <c r="D4055" s="1" t="s">
        <v>1457</v>
      </c>
      <c r="E4055" s="2">
        <v>45985</v>
      </c>
      <c r="F4055" s="1" t="s">
        <v>347</v>
      </c>
      <c r="G4055" s="1" t="s">
        <v>1458</v>
      </c>
      <c r="H4055" s="1" t="s">
        <v>8513</v>
      </c>
      <c r="I4055" s="1">
        <v>1</v>
      </c>
      <c r="J4055" s="3">
        <v>23120</v>
      </c>
      <c r="K4055" s="3">
        <v>22062</v>
      </c>
      <c r="L4055" s="1">
        <v>0</v>
      </c>
      <c r="M4055" s="4">
        <v>0</v>
      </c>
      <c r="N4055" s="3">
        <v>1058</v>
      </c>
      <c r="O4055" s="4">
        <v>4.5999999999999999E-2</v>
      </c>
      <c r="P4055" s="1" t="s">
        <v>2721</v>
      </c>
    </row>
    <row r="4056" spans="1:16">
      <c r="A4056" s="1" t="s">
        <v>15</v>
      </c>
      <c r="B4056" s="1">
        <v>11</v>
      </c>
      <c r="C4056" s="1" t="s">
        <v>8514</v>
      </c>
      <c r="D4056" s="1" t="s">
        <v>3728</v>
      </c>
      <c r="E4056" s="2">
        <v>45985</v>
      </c>
      <c r="F4056" s="1" t="s">
        <v>96</v>
      </c>
      <c r="G4056" s="1" t="s">
        <v>3729</v>
      </c>
      <c r="H4056" s="1" t="s">
        <v>3730</v>
      </c>
      <c r="I4056" s="1">
        <v>1</v>
      </c>
      <c r="J4056" s="3">
        <v>11305</v>
      </c>
      <c r="K4056" s="3">
        <v>10787</v>
      </c>
      <c r="L4056" s="1">
        <v>0</v>
      </c>
      <c r="M4056" s="4">
        <v>0</v>
      </c>
      <c r="N4056" s="1">
        <v>518</v>
      </c>
      <c r="O4056" s="4">
        <v>4.5999999999999999E-2</v>
      </c>
      <c r="P4056" s="1" t="s">
        <v>2721</v>
      </c>
    </row>
    <row r="4057" spans="1:16">
      <c r="A4057" s="1" t="s">
        <v>15</v>
      </c>
      <c r="B4057" s="1">
        <v>11</v>
      </c>
      <c r="C4057" s="1" t="s">
        <v>8515</v>
      </c>
      <c r="D4057" s="1" t="s">
        <v>1137</v>
      </c>
      <c r="E4057" s="2">
        <v>45985</v>
      </c>
      <c r="F4057" s="1" t="s">
        <v>58</v>
      </c>
      <c r="G4057" s="1" t="s">
        <v>1138</v>
      </c>
      <c r="H4057" s="1" t="s">
        <v>2298</v>
      </c>
      <c r="I4057" s="1">
        <v>1</v>
      </c>
      <c r="J4057" s="3">
        <v>14450</v>
      </c>
      <c r="K4057" s="3">
        <v>13789</v>
      </c>
      <c r="L4057" s="1">
        <v>0</v>
      </c>
      <c r="M4057" s="4">
        <v>0</v>
      </c>
      <c r="N4057" s="1">
        <v>661</v>
      </c>
      <c r="O4057" s="4">
        <v>4.5999999999999999E-2</v>
      </c>
      <c r="P4057" s="1" t="s">
        <v>2721</v>
      </c>
    </row>
    <row r="4058" spans="1:16">
      <c r="A4058" s="1" t="s">
        <v>15</v>
      </c>
      <c r="B4058" s="1">
        <v>11</v>
      </c>
      <c r="C4058" s="1" t="s">
        <v>8516</v>
      </c>
      <c r="D4058" s="1" t="s">
        <v>3585</v>
      </c>
      <c r="E4058" s="2">
        <v>45985</v>
      </c>
      <c r="F4058" s="1" t="s">
        <v>856</v>
      </c>
      <c r="G4058" s="1" t="s">
        <v>3586</v>
      </c>
      <c r="H4058" s="1" t="s">
        <v>3587</v>
      </c>
      <c r="I4058" s="1">
        <v>1</v>
      </c>
      <c r="J4058" s="3">
        <v>103215</v>
      </c>
      <c r="K4058" s="3">
        <v>98490</v>
      </c>
      <c r="L4058" s="1">
        <v>0</v>
      </c>
      <c r="M4058" s="4">
        <v>0</v>
      </c>
      <c r="N4058" s="3">
        <v>4725</v>
      </c>
      <c r="O4058" s="4">
        <v>4.5999999999999999E-2</v>
      </c>
      <c r="P4058" s="1" t="s">
        <v>2721</v>
      </c>
    </row>
    <row r="4059" spans="1:16">
      <c r="A4059" s="1" t="s">
        <v>15</v>
      </c>
      <c r="B4059" s="1">
        <v>11</v>
      </c>
      <c r="C4059" s="1" t="s">
        <v>8517</v>
      </c>
      <c r="D4059" s="1" t="s">
        <v>72</v>
      </c>
      <c r="E4059" s="2">
        <v>45985</v>
      </c>
      <c r="F4059" s="1" t="s">
        <v>63</v>
      </c>
      <c r="G4059" s="1" t="s">
        <v>73</v>
      </c>
      <c r="H4059" s="1" t="s">
        <v>74</v>
      </c>
      <c r="I4059" s="1">
        <v>1</v>
      </c>
      <c r="J4059" s="3">
        <v>10456</v>
      </c>
      <c r="K4059" s="3">
        <v>9978</v>
      </c>
      <c r="L4059" s="1">
        <v>0</v>
      </c>
      <c r="M4059" s="4">
        <v>0</v>
      </c>
      <c r="N4059" s="1">
        <v>478</v>
      </c>
      <c r="O4059" s="4">
        <v>4.5999999999999999E-2</v>
      </c>
      <c r="P4059" s="1" t="s">
        <v>2721</v>
      </c>
    </row>
    <row r="4060" spans="1:16">
      <c r="A4060" s="1" t="s">
        <v>15</v>
      </c>
      <c r="B4060" s="1">
        <v>11</v>
      </c>
      <c r="C4060" s="1" t="s">
        <v>8518</v>
      </c>
      <c r="D4060" s="1" t="s">
        <v>238</v>
      </c>
      <c r="E4060" s="2">
        <v>45985</v>
      </c>
      <c r="F4060" s="1" t="s">
        <v>239</v>
      </c>
      <c r="G4060" s="1" t="s">
        <v>240</v>
      </c>
      <c r="H4060" s="1" t="s">
        <v>241</v>
      </c>
      <c r="I4060" s="1">
        <v>1</v>
      </c>
      <c r="J4060" s="3">
        <v>11305</v>
      </c>
      <c r="K4060" s="3">
        <v>10787</v>
      </c>
      <c r="L4060" s="1">
        <v>0</v>
      </c>
      <c r="M4060" s="4">
        <v>0</v>
      </c>
      <c r="N4060" s="1">
        <v>518</v>
      </c>
      <c r="O4060" s="4">
        <v>4.5999999999999999E-2</v>
      </c>
      <c r="P4060" s="1" t="s">
        <v>2721</v>
      </c>
    </row>
    <row r="4061" spans="1:16">
      <c r="A4061" s="1" t="s">
        <v>15</v>
      </c>
      <c r="B4061" s="1">
        <v>11</v>
      </c>
      <c r="C4061" s="1" t="s">
        <v>8519</v>
      </c>
      <c r="D4061" s="1" t="s">
        <v>178</v>
      </c>
      <c r="E4061" s="2">
        <v>45985</v>
      </c>
      <c r="F4061" s="1" t="s">
        <v>96</v>
      </c>
      <c r="G4061" s="1" t="s">
        <v>179</v>
      </c>
      <c r="H4061" s="1" t="s">
        <v>180</v>
      </c>
      <c r="I4061" s="1">
        <v>1</v>
      </c>
      <c r="J4061" s="3">
        <v>15284</v>
      </c>
      <c r="K4061" s="3">
        <v>14584</v>
      </c>
      <c r="L4061" s="1">
        <v>0</v>
      </c>
      <c r="M4061" s="4">
        <v>0</v>
      </c>
      <c r="N4061" s="1">
        <v>700</v>
      </c>
      <c r="O4061" s="4">
        <v>4.5999999999999999E-2</v>
      </c>
      <c r="P4061" s="1" t="s">
        <v>2721</v>
      </c>
    </row>
    <row r="4062" spans="1:16">
      <c r="A4062" s="1" t="s">
        <v>15</v>
      </c>
      <c r="B4062" s="1">
        <v>11</v>
      </c>
      <c r="C4062" s="1" t="s">
        <v>8520</v>
      </c>
      <c r="D4062" s="1" t="s">
        <v>27</v>
      </c>
      <c r="E4062" s="2">
        <v>45985</v>
      </c>
      <c r="F4062" s="1" t="s">
        <v>28</v>
      </c>
      <c r="G4062" s="1" t="s">
        <v>29</v>
      </c>
      <c r="H4062" s="1" t="s">
        <v>352</v>
      </c>
      <c r="I4062" s="1">
        <v>1</v>
      </c>
      <c r="J4062" s="3">
        <v>27033</v>
      </c>
      <c r="K4062" s="3">
        <v>25795</v>
      </c>
      <c r="L4062" s="1">
        <v>0</v>
      </c>
      <c r="M4062" s="4">
        <v>0</v>
      </c>
      <c r="N4062" s="3">
        <v>1238</v>
      </c>
      <c r="O4062" s="4">
        <v>4.5999999999999999E-2</v>
      </c>
      <c r="P4062" s="1" t="s">
        <v>2721</v>
      </c>
    </row>
    <row r="4063" spans="1:16">
      <c r="A4063" s="1" t="s">
        <v>15</v>
      </c>
      <c r="B4063" s="1">
        <v>11</v>
      </c>
      <c r="C4063" s="1" t="s">
        <v>8521</v>
      </c>
      <c r="D4063" s="1" t="s">
        <v>425</v>
      </c>
      <c r="E4063" s="2">
        <v>45985</v>
      </c>
      <c r="F4063" s="1" t="s">
        <v>426</v>
      </c>
      <c r="G4063" s="1" t="s">
        <v>427</v>
      </c>
      <c r="H4063" s="1" t="s">
        <v>1568</v>
      </c>
      <c r="I4063" s="1">
        <v>1</v>
      </c>
      <c r="J4063" s="3">
        <v>24575</v>
      </c>
      <c r="K4063" s="3">
        <v>23450</v>
      </c>
      <c r="L4063" s="1">
        <v>0</v>
      </c>
      <c r="M4063" s="4">
        <v>0</v>
      </c>
      <c r="N4063" s="3">
        <v>1125</v>
      </c>
      <c r="O4063" s="4">
        <v>4.5999999999999999E-2</v>
      </c>
      <c r="P4063" s="1" t="s">
        <v>2721</v>
      </c>
    </row>
    <row r="4064" spans="1:16">
      <c r="A4064" s="1" t="s">
        <v>15</v>
      </c>
      <c r="B4064" s="1">
        <v>11</v>
      </c>
      <c r="C4064" s="1" t="s">
        <v>8522</v>
      </c>
      <c r="D4064" s="1" t="s">
        <v>931</v>
      </c>
      <c r="E4064" s="2">
        <v>45985</v>
      </c>
      <c r="F4064" s="1" t="s">
        <v>932</v>
      </c>
      <c r="G4064" s="1" t="s">
        <v>933</v>
      </c>
      <c r="H4064" s="1" t="s">
        <v>934</v>
      </c>
      <c r="I4064" s="1">
        <v>1</v>
      </c>
      <c r="J4064" s="3">
        <v>19660</v>
      </c>
      <c r="K4064" s="3">
        <v>18760</v>
      </c>
      <c r="L4064" s="1">
        <v>0</v>
      </c>
      <c r="M4064" s="4">
        <v>0</v>
      </c>
      <c r="N4064" s="1">
        <v>900</v>
      </c>
      <c r="O4064" s="4">
        <v>4.5999999999999999E-2</v>
      </c>
      <c r="P4064" s="1" t="s">
        <v>2721</v>
      </c>
    </row>
    <row r="4065" spans="1:16">
      <c r="A4065" s="1" t="s">
        <v>15</v>
      </c>
      <c r="B4065" s="1">
        <v>11</v>
      </c>
      <c r="C4065" s="1" t="s">
        <v>8523</v>
      </c>
      <c r="D4065" s="1" t="s">
        <v>32</v>
      </c>
      <c r="E4065" s="2">
        <v>45985</v>
      </c>
      <c r="F4065" s="1" t="s">
        <v>33</v>
      </c>
      <c r="G4065" s="1" t="s">
        <v>34</v>
      </c>
      <c r="H4065" s="1" t="s">
        <v>8524</v>
      </c>
      <c r="I4065" s="1">
        <v>1</v>
      </c>
      <c r="J4065" s="3">
        <v>85208</v>
      </c>
      <c r="K4065" s="3">
        <v>81308</v>
      </c>
      <c r="L4065" s="1">
        <v>0</v>
      </c>
      <c r="M4065" s="4">
        <v>0</v>
      </c>
      <c r="N4065" s="3">
        <v>3900</v>
      </c>
      <c r="O4065" s="4">
        <v>4.5999999999999999E-2</v>
      </c>
      <c r="P4065" s="1" t="s">
        <v>2721</v>
      </c>
    </row>
    <row r="4066" spans="1:16">
      <c r="A4066" s="1" t="s">
        <v>15</v>
      </c>
      <c r="B4066" s="1">
        <v>11</v>
      </c>
      <c r="C4066" s="1" t="s">
        <v>8523</v>
      </c>
      <c r="D4066" s="1" t="s">
        <v>32</v>
      </c>
      <c r="E4066" s="2">
        <v>45985</v>
      </c>
      <c r="F4066" s="1" t="s">
        <v>33</v>
      </c>
      <c r="G4066" s="1" t="s">
        <v>34</v>
      </c>
      <c r="H4066" s="1" t="s">
        <v>8525</v>
      </c>
      <c r="I4066" s="1">
        <v>1</v>
      </c>
      <c r="J4066" s="3">
        <v>75938</v>
      </c>
      <c r="K4066" s="3">
        <v>72461</v>
      </c>
      <c r="L4066" s="1">
        <v>0</v>
      </c>
      <c r="M4066" s="4">
        <v>0</v>
      </c>
      <c r="N4066" s="3">
        <v>3477</v>
      </c>
      <c r="O4066" s="4">
        <v>4.5999999999999999E-2</v>
      </c>
      <c r="P4066" s="1" t="s">
        <v>2721</v>
      </c>
    </row>
    <row r="4067" spans="1:16">
      <c r="A4067" s="1" t="s">
        <v>15</v>
      </c>
      <c r="B4067" s="1">
        <v>11</v>
      </c>
      <c r="C4067" s="1" t="s">
        <v>8526</v>
      </c>
      <c r="D4067" s="1" t="s">
        <v>482</v>
      </c>
      <c r="E4067" s="2">
        <v>45985</v>
      </c>
      <c r="F4067" s="1" t="s">
        <v>483</v>
      </c>
      <c r="G4067" s="1" t="s">
        <v>484</v>
      </c>
      <c r="H4067" s="1" t="s">
        <v>1018</v>
      </c>
      <c r="I4067" s="1">
        <v>1</v>
      </c>
      <c r="J4067" s="3">
        <v>16501</v>
      </c>
      <c r="K4067" s="3">
        <v>15745</v>
      </c>
      <c r="L4067" s="1">
        <v>0</v>
      </c>
      <c r="M4067" s="4">
        <v>0</v>
      </c>
      <c r="N4067" s="1">
        <v>756</v>
      </c>
      <c r="O4067" s="4">
        <v>4.5999999999999999E-2</v>
      </c>
      <c r="P4067" s="1" t="s">
        <v>2721</v>
      </c>
    </row>
    <row r="4068" spans="1:16">
      <c r="A4068" s="1" t="s">
        <v>15</v>
      </c>
      <c r="B4068" s="1">
        <v>11</v>
      </c>
      <c r="C4068" s="1" t="s">
        <v>8527</v>
      </c>
      <c r="D4068" s="1" t="s">
        <v>17</v>
      </c>
      <c r="E4068" s="2">
        <v>45985</v>
      </c>
      <c r="F4068" s="1" t="s">
        <v>18</v>
      </c>
      <c r="G4068" s="1" t="s">
        <v>19</v>
      </c>
      <c r="H4068" s="1" t="s">
        <v>1428</v>
      </c>
      <c r="I4068" s="1">
        <v>2</v>
      </c>
      <c r="J4068" s="3">
        <v>14332</v>
      </c>
      <c r="K4068" s="3">
        <v>13676</v>
      </c>
      <c r="L4068" s="1">
        <v>0</v>
      </c>
      <c r="M4068" s="4">
        <v>0</v>
      </c>
      <c r="N4068" s="1">
        <v>656</v>
      </c>
      <c r="O4068" s="4">
        <v>4.5999999999999999E-2</v>
      </c>
      <c r="P4068" s="1" t="s">
        <v>2721</v>
      </c>
    </row>
    <row r="4069" spans="1:16">
      <c r="A4069" s="1" t="s">
        <v>15</v>
      </c>
      <c r="B4069" s="1">
        <v>11</v>
      </c>
      <c r="C4069" s="1" t="s">
        <v>8528</v>
      </c>
      <c r="D4069" s="1" t="s">
        <v>478</v>
      </c>
      <c r="E4069" s="2">
        <v>45985</v>
      </c>
      <c r="F4069" s="1" t="s">
        <v>368</v>
      </c>
      <c r="G4069" s="1" t="s">
        <v>479</v>
      </c>
      <c r="H4069" s="1" t="s">
        <v>480</v>
      </c>
      <c r="I4069" s="1">
        <v>2</v>
      </c>
      <c r="J4069" s="3">
        <v>39611</v>
      </c>
      <c r="K4069" s="3">
        <v>37798</v>
      </c>
      <c r="L4069" s="1">
        <v>0</v>
      </c>
      <c r="M4069" s="4">
        <v>0</v>
      </c>
      <c r="N4069" s="3">
        <v>1813</v>
      </c>
      <c r="O4069" s="4">
        <v>4.5999999999999999E-2</v>
      </c>
      <c r="P4069" s="1" t="s">
        <v>2721</v>
      </c>
    </row>
    <row r="4070" spans="1:16">
      <c r="A4070" s="1" t="s">
        <v>15</v>
      </c>
      <c r="B4070" s="1">
        <v>11</v>
      </c>
      <c r="C4070" s="1" t="s">
        <v>8529</v>
      </c>
      <c r="D4070" s="1" t="s">
        <v>169</v>
      </c>
      <c r="E4070" s="2">
        <v>45985</v>
      </c>
      <c r="F4070" s="1" t="s">
        <v>53</v>
      </c>
      <c r="G4070" s="1" t="s">
        <v>170</v>
      </c>
      <c r="H4070" s="1" t="s">
        <v>171</v>
      </c>
      <c r="I4070" s="1">
        <v>1</v>
      </c>
      <c r="J4070" s="3">
        <v>14332</v>
      </c>
      <c r="K4070" s="3">
        <v>13676</v>
      </c>
      <c r="L4070" s="1">
        <v>0</v>
      </c>
      <c r="M4070" s="4">
        <v>0</v>
      </c>
      <c r="N4070" s="1">
        <v>656</v>
      </c>
      <c r="O4070" s="4">
        <v>4.5999999999999999E-2</v>
      </c>
      <c r="P4070" s="1" t="s">
        <v>2721</v>
      </c>
    </row>
    <row r="4071" spans="1:16">
      <c r="A4071" s="1" t="s">
        <v>15</v>
      </c>
      <c r="B4071" s="1">
        <v>11</v>
      </c>
      <c r="C4071" s="1" t="s">
        <v>8530</v>
      </c>
      <c r="D4071" s="1" t="s">
        <v>341</v>
      </c>
      <c r="E4071" s="2">
        <v>45985</v>
      </c>
      <c r="F4071" s="1" t="s">
        <v>53</v>
      </c>
      <c r="G4071" s="1" t="s">
        <v>342</v>
      </c>
      <c r="H4071" s="1" t="s">
        <v>343</v>
      </c>
      <c r="I4071" s="1">
        <v>1</v>
      </c>
      <c r="J4071" s="3">
        <v>16135</v>
      </c>
      <c r="K4071" s="3">
        <v>15396</v>
      </c>
      <c r="L4071" s="1">
        <v>0</v>
      </c>
      <c r="M4071" s="4">
        <v>0</v>
      </c>
      <c r="N4071" s="1">
        <v>739</v>
      </c>
      <c r="O4071" s="4">
        <v>4.5999999999999999E-2</v>
      </c>
      <c r="P4071" s="1" t="s">
        <v>2721</v>
      </c>
    </row>
    <row r="4072" spans="1:16">
      <c r="A4072" s="1" t="s">
        <v>15</v>
      </c>
      <c r="B4072" s="1">
        <v>11</v>
      </c>
      <c r="C4072" s="1" t="s">
        <v>8531</v>
      </c>
      <c r="D4072" s="1" t="s">
        <v>86</v>
      </c>
      <c r="E4072" s="2">
        <v>45985</v>
      </c>
      <c r="F4072" s="1" t="s">
        <v>53</v>
      </c>
      <c r="G4072" s="1" t="s">
        <v>87</v>
      </c>
      <c r="H4072" s="1" t="s">
        <v>88</v>
      </c>
      <c r="I4072" s="1">
        <v>1</v>
      </c>
      <c r="J4072" s="3">
        <v>14956</v>
      </c>
      <c r="K4072" s="3">
        <v>14272</v>
      </c>
      <c r="L4072" s="1">
        <v>0</v>
      </c>
      <c r="M4072" s="4">
        <v>0</v>
      </c>
      <c r="N4072" s="1">
        <v>684</v>
      </c>
      <c r="O4072" s="4">
        <v>4.5999999999999999E-2</v>
      </c>
      <c r="P4072" s="1" t="s">
        <v>2721</v>
      </c>
    </row>
    <row r="4073" spans="1:16">
      <c r="A4073" s="1" t="s">
        <v>15</v>
      </c>
      <c r="B4073" s="1">
        <v>11</v>
      </c>
      <c r="C4073" s="1" t="s">
        <v>8532</v>
      </c>
      <c r="D4073" s="1" t="s">
        <v>238</v>
      </c>
      <c r="E4073" s="2">
        <v>45985</v>
      </c>
      <c r="F4073" s="1" t="s">
        <v>239</v>
      </c>
      <c r="G4073" s="1" t="s">
        <v>240</v>
      </c>
      <c r="H4073" s="1" t="s">
        <v>241</v>
      </c>
      <c r="I4073" s="1">
        <v>1</v>
      </c>
      <c r="J4073" s="3">
        <v>11305</v>
      </c>
      <c r="K4073" s="3">
        <v>10787</v>
      </c>
      <c r="L4073" s="1">
        <v>0</v>
      </c>
      <c r="M4073" s="4">
        <v>0</v>
      </c>
      <c r="N4073" s="1">
        <v>518</v>
      </c>
      <c r="O4073" s="4">
        <v>4.5999999999999999E-2</v>
      </c>
      <c r="P4073" s="1" t="s">
        <v>2721</v>
      </c>
    </row>
    <row r="4074" spans="1:16">
      <c r="A4074" s="1" t="s">
        <v>15</v>
      </c>
      <c r="B4074" s="1">
        <v>11</v>
      </c>
      <c r="C4074" s="1" t="s">
        <v>8533</v>
      </c>
      <c r="D4074" s="1" t="s">
        <v>169</v>
      </c>
      <c r="E4074" s="2">
        <v>45985</v>
      </c>
      <c r="F4074" s="1" t="s">
        <v>53</v>
      </c>
      <c r="G4074" s="1" t="s">
        <v>170</v>
      </c>
      <c r="H4074" s="1" t="s">
        <v>171</v>
      </c>
      <c r="I4074" s="1">
        <v>1</v>
      </c>
      <c r="J4074" s="3">
        <v>14332</v>
      </c>
      <c r="K4074" s="3">
        <v>13676</v>
      </c>
      <c r="L4074" s="1">
        <v>0</v>
      </c>
      <c r="M4074" s="4">
        <v>0</v>
      </c>
      <c r="N4074" s="1">
        <v>656</v>
      </c>
      <c r="O4074" s="4">
        <v>4.5999999999999999E-2</v>
      </c>
      <c r="P4074" s="1" t="s">
        <v>2721</v>
      </c>
    </row>
    <row r="4075" spans="1:16">
      <c r="A4075" s="1" t="s">
        <v>15</v>
      </c>
      <c r="B4075" s="1">
        <v>11</v>
      </c>
      <c r="C4075" s="1" t="s">
        <v>8534</v>
      </c>
      <c r="D4075" s="1" t="s">
        <v>1647</v>
      </c>
      <c r="E4075" s="2">
        <v>45985</v>
      </c>
      <c r="F4075" s="1" t="s">
        <v>1112</v>
      </c>
      <c r="G4075" s="1" t="s">
        <v>1648</v>
      </c>
      <c r="H4075" s="1" t="s">
        <v>1649</v>
      </c>
      <c r="I4075" s="1">
        <v>1</v>
      </c>
      <c r="J4075" s="3">
        <v>47184</v>
      </c>
      <c r="K4075" s="3">
        <v>45024</v>
      </c>
      <c r="L4075" s="1">
        <v>0</v>
      </c>
      <c r="M4075" s="4">
        <v>0</v>
      </c>
      <c r="N4075" s="3">
        <v>2160</v>
      </c>
      <c r="O4075" s="4">
        <v>4.5999999999999999E-2</v>
      </c>
      <c r="P4075" s="1" t="s">
        <v>2721</v>
      </c>
    </row>
    <row r="4076" spans="1:16">
      <c r="A4076" s="1" t="s">
        <v>15</v>
      </c>
      <c r="B4076" s="1">
        <v>11</v>
      </c>
      <c r="C4076" s="1" t="s">
        <v>8535</v>
      </c>
      <c r="D4076" s="1" t="s">
        <v>931</v>
      </c>
      <c r="E4076" s="2">
        <v>45985</v>
      </c>
      <c r="F4076" s="1" t="s">
        <v>932</v>
      </c>
      <c r="G4076" s="1" t="s">
        <v>933</v>
      </c>
      <c r="H4076" s="1" t="s">
        <v>2772</v>
      </c>
      <c r="I4076" s="1">
        <v>1</v>
      </c>
      <c r="J4076" s="3">
        <v>29490</v>
      </c>
      <c r="K4076" s="3">
        <v>28140</v>
      </c>
      <c r="L4076" s="1">
        <v>0</v>
      </c>
      <c r="M4076" s="4">
        <v>0</v>
      </c>
      <c r="N4076" s="3">
        <v>1350</v>
      </c>
      <c r="O4076" s="4">
        <v>4.5999999999999999E-2</v>
      </c>
      <c r="P4076" s="1" t="s">
        <v>2721</v>
      </c>
    </row>
    <row r="4077" spans="1:16">
      <c r="A4077" s="1" t="s">
        <v>15</v>
      </c>
      <c r="B4077" s="1">
        <v>11</v>
      </c>
      <c r="C4077" s="1" t="s">
        <v>8536</v>
      </c>
      <c r="D4077" s="1" t="s">
        <v>1500</v>
      </c>
      <c r="E4077" s="2">
        <v>45985</v>
      </c>
      <c r="F4077" s="1" t="s">
        <v>96</v>
      </c>
      <c r="G4077" s="1" t="s">
        <v>1501</v>
      </c>
      <c r="H4077" s="1" t="s">
        <v>1502</v>
      </c>
      <c r="I4077" s="1">
        <v>1</v>
      </c>
      <c r="J4077" s="3">
        <v>11305</v>
      </c>
      <c r="K4077" s="3">
        <v>10787</v>
      </c>
      <c r="L4077" s="1">
        <v>0</v>
      </c>
      <c r="M4077" s="4">
        <v>0</v>
      </c>
      <c r="N4077" s="1">
        <v>518</v>
      </c>
      <c r="O4077" s="4">
        <v>4.5999999999999999E-2</v>
      </c>
      <c r="P4077" s="1" t="s">
        <v>2721</v>
      </c>
    </row>
    <row r="4078" spans="1:16">
      <c r="A4078" s="1" t="s">
        <v>15</v>
      </c>
      <c r="B4078" s="1">
        <v>11</v>
      </c>
      <c r="C4078" s="1" t="s">
        <v>8537</v>
      </c>
      <c r="D4078" s="1" t="s">
        <v>862</v>
      </c>
      <c r="E4078" s="2">
        <v>45985</v>
      </c>
      <c r="F4078" s="1" t="s">
        <v>334</v>
      </c>
      <c r="G4078" s="1" t="s">
        <v>863</v>
      </c>
      <c r="H4078" s="1" t="s">
        <v>1549</v>
      </c>
      <c r="I4078" s="1">
        <v>1</v>
      </c>
      <c r="J4078" s="3">
        <v>16220</v>
      </c>
      <c r="K4078" s="3">
        <v>15477</v>
      </c>
      <c r="L4078" s="1">
        <v>0</v>
      </c>
      <c r="M4078" s="4">
        <v>0</v>
      </c>
      <c r="N4078" s="1">
        <v>743</v>
      </c>
      <c r="O4078" s="4">
        <v>4.5999999999999999E-2</v>
      </c>
      <c r="P4078" s="1" t="s">
        <v>2721</v>
      </c>
    </row>
    <row r="4079" spans="1:16">
      <c r="A4079" s="1" t="s">
        <v>15</v>
      </c>
      <c r="B4079" s="1">
        <v>11</v>
      </c>
      <c r="C4079" s="1" t="s">
        <v>8538</v>
      </c>
      <c r="D4079" s="1" t="s">
        <v>3649</v>
      </c>
      <c r="E4079" s="2">
        <v>45985</v>
      </c>
      <c r="F4079" s="1" t="s">
        <v>53</v>
      </c>
      <c r="G4079" s="1" t="s">
        <v>3650</v>
      </c>
      <c r="H4079" s="1" t="s">
        <v>8539</v>
      </c>
      <c r="I4079" s="1">
        <v>1</v>
      </c>
      <c r="J4079" s="3">
        <v>7121</v>
      </c>
      <c r="K4079" s="3">
        <v>6795</v>
      </c>
      <c r="L4079" s="1">
        <v>0</v>
      </c>
      <c r="M4079" s="4">
        <v>0</v>
      </c>
      <c r="N4079" s="1">
        <v>326</v>
      </c>
      <c r="O4079" s="4">
        <v>4.5999999999999999E-2</v>
      </c>
      <c r="P4079" s="1" t="s">
        <v>2721</v>
      </c>
    </row>
    <row r="4080" spans="1:16">
      <c r="A4080" s="1" t="s">
        <v>15</v>
      </c>
      <c r="B4080" s="1">
        <v>11</v>
      </c>
      <c r="C4080" s="1" t="s">
        <v>8540</v>
      </c>
      <c r="D4080" s="1" t="s">
        <v>346</v>
      </c>
      <c r="E4080" s="2">
        <v>45985</v>
      </c>
      <c r="F4080" s="1" t="s">
        <v>347</v>
      </c>
      <c r="G4080" s="1" t="s">
        <v>348</v>
      </c>
      <c r="H4080" s="1" t="s">
        <v>3707</v>
      </c>
      <c r="I4080" s="1">
        <v>1</v>
      </c>
      <c r="J4080" s="3">
        <v>19463</v>
      </c>
      <c r="K4080" s="3">
        <v>18572</v>
      </c>
      <c r="L4080" s="1">
        <v>0</v>
      </c>
      <c r="M4080" s="4">
        <v>0</v>
      </c>
      <c r="N4080" s="1">
        <v>891</v>
      </c>
      <c r="O4080" s="4">
        <v>4.5999999999999999E-2</v>
      </c>
      <c r="P4080" s="1" t="s">
        <v>2721</v>
      </c>
    </row>
    <row r="4081" spans="1:16">
      <c r="A4081" s="1" t="s">
        <v>15</v>
      </c>
      <c r="B4081" s="1">
        <v>11</v>
      </c>
      <c r="C4081" s="1" t="s">
        <v>8541</v>
      </c>
      <c r="D4081" s="1" t="s">
        <v>777</v>
      </c>
      <c r="E4081" s="2">
        <v>45985</v>
      </c>
      <c r="F4081" s="1" t="s">
        <v>256</v>
      </c>
      <c r="G4081" s="1" t="s">
        <v>778</v>
      </c>
      <c r="H4081" s="1" t="s">
        <v>1571</v>
      </c>
      <c r="I4081" s="1">
        <v>1</v>
      </c>
      <c r="J4081" s="3">
        <v>19857</v>
      </c>
      <c r="K4081" s="3">
        <v>18948</v>
      </c>
      <c r="L4081" s="1">
        <v>0</v>
      </c>
      <c r="M4081" s="4">
        <v>0</v>
      </c>
      <c r="N4081" s="1">
        <v>909</v>
      </c>
      <c r="O4081" s="4">
        <v>4.5999999999999999E-2</v>
      </c>
      <c r="P4081" s="1" t="s">
        <v>2721</v>
      </c>
    </row>
    <row r="4082" spans="1:16">
      <c r="A4082" s="1" t="s">
        <v>15</v>
      </c>
      <c r="B4082" s="1">
        <v>11</v>
      </c>
      <c r="C4082" s="1" t="s">
        <v>8542</v>
      </c>
      <c r="D4082" s="1" t="s">
        <v>224</v>
      </c>
      <c r="E4082" s="2">
        <v>45985</v>
      </c>
      <c r="F4082" s="1" t="s">
        <v>96</v>
      </c>
      <c r="G4082" s="1" t="s">
        <v>225</v>
      </c>
      <c r="H4082" s="1" t="s">
        <v>896</v>
      </c>
      <c r="I4082" s="1">
        <v>1</v>
      </c>
      <c r="J4082" s="3">
        <v>12571</v>
      </c>
      <c r="K4082" s="3">
        <v>11995</v>
      </c>
      <c r="L4082" s="1">
        <v>0</v>
      </c>
      <c r="M4082" s="4">
        <v>0</v>
      </c>
      <c r="N4082" s="1">
        <v>576</v>
      </c>
      <c r="O4082" s="4">
        <v>4.5999999999999999E-2</v>
      </c>
      <c r="P4082" s="1" t="s">
        <v>2721</v>
      </c>
    </row>
    <row r="4083" spans="1:16">
      <c r="A4083" s="1" t="s">
        <v>15</v>
      </c>
      <c r="B4083" s="1">
        <v>11</v>
      </c>
      <c r="C4083" s="1" t="s">
        <v>8543</v>
      </c>
      <c r="D4083" s="1" t="s">
        <v>7997</v>
      </c>
      <c r="E4083" s="2">
        <v>45985</v>
      </c>
      <c r="F4083" s="1" t="s">
        <v>783</v>
      </c>
      <c r="G4083" s="1" t="s">
        <v>7998</v>
      </c>
      <c r="H4083" s="1" t="s">
        <v>7999</v>
      </c>
      <c r="I4083" s="1">
        <v>1</v>
      </c>
      <c r="J4083" s="3">
        <v>29490</v>
      </c>
      <c r="K4083" s="3">
        <v>28140</v>
      </c>
      <c r="L4083" s="1">
        <v>0</v>
      </c>
      <c r="M4083" s="4">
        <v>0</v>
      </c>
      <c r="N4083" s="3">
        <v>1350</v>
      </c>
      <c r="O4083" s="4">
        <v>4.5999999999999999E-2</v>
      </c>
      <c r="P4083" s="1" t="s">
        <v>2721</v>
      </c>
    </row>
    <row r="4084" spans="1:16">
      <c r="A4084" s="1" t="s">
        <v>15</v>
      </c>
      <c r="B4084" s="1">
        <v>11</v>
      </c>
      <c r="C4084" s="1" t="s">
        <v>8544</v>
      </c>
      <c r="D4084" s="1" t="s">
        <v>27</v>
      </c>
      <c r="E4084" s="2">
        <v>45985</v>
      </c>
      <c r="F4084" s="1" t="s">
        <v>28</v>
      </c>
      <c r="G4084" s="1" t="s">
        <v>29</v>
      </c>
      <c r="H4084" s="1" t="s">
        <v>352</v>
      </c>
      <c r="I4084" s="1">
        <v>1</v>
      </c>
      <c r="J4084" s="3">
        <v>27033</v>
      </c>
      <c r="K4084" s="3">
        <v>25795</v>
      </c>
      <c r="L4084" s="1">
        <v>0</v>
      </c>
      <c r="M4084" s="4">
        <v>0</v>
      </c>
      <c r="N4084" s="3">
        <v>1238</v>
      </c>
      <c r="O4084" s="4">
        <v>4.5999999999999999E-2</v>
      </c>
      <c r="P4084" s="1" t="s">
        <v>2721</v>
      </c>
    </row>
    <row r="4085" spans="1:16">
      <c r="A4085" s="1" t="s">
        <v>15</v>
      </c>
      <c r="B4085" s="1">
        <v>11</v>
      </c>
      <c r="C4085" s="1" t="s">
        <v>8545</v>
      </c>
      <c r="D4085" s="1" t="s">
        <v>169</v>
      </c>
      <c r="E4085" s="2">
        <v>45985</v>
      </c>
      <c r="F4085" s="1" t="s">
        <v>53</v>
      </c>
      <c r="G4085" s="1" t="s">
        <v>170</v>
      </c>
      <c r="H4085" s="1" t="s">
        <v>171</v>
      </c>
      <c r="I4085" s="1">
        <v>1</v>
      </c>
      <c r="J4085" s="3">
        <v>14332</v>
      </c>
      <c r="K4085" s="3">
        <v>13676</v>
      </c>
      <c r="L4085" s="1">
        <v>0</v>
      </c>
      <c r="M4085" s="4">
        <v>0</v>
      </c>
      <c r="N4085" s="1">
        <v>656</v>
      </c>
      <c r="O4085" s="4">
        <v>4.5999999999999999E-2</v>
      </c>
      <c r="P4085" s="1" t="s">
        <v>2721</v>
      </c>
    </row>
    <row r="4086" spans="1:16">
      <c r="A4086" s="1" t="s">
        <v>15</v>
      </c>
      <c r="B4086" s="1">
        <v>11</v>
      </c>
      <c r="C4086" s="1" t="s">
        <v>8546</v>
      </c>
      <c r="D4086" s="1" t="s">
        <v>3762</v>
      </c>
      <c r="E4086" s="2">
        <v>45985</v>
      </c>
      <c r="F4086" s="1" t="s">
        <v>96</v>
      </c>
      <c r="G4086" s="1" t="s">
        <v>596</v>
      </c>
      <c r="H4086" s="1" t="s">
        <v>597</v>
      </c>
      <c r="I4086" s="1">
        <v>1</v>
      </c>
      <c r="J4086" s="3">
        <v>11666</v>
      </c>
      <c r="K4086" s="3">
        <v>11132</v>
      </c>
      <c r="L4086" s="1">
        <v>0</v>
      </c>
      <c r="M4086" s="4">
        <v>0</v>
      </c>
      <c r="N4086" s="1">
        <v>534</v>
      </c>
      <c r="O4086" s="4">
        <v>4.5999999999999999E-2</v>
      </c>
      <c r="P4086" s="1" t="s">
        <v>2721</v>
      </c>
    </row>
    <row r="4087" spans="1:16">
      <c r="A4087" s="1" t="s">
        <v>15</v>
      </c>
      <c r="B4087" s="1">
        <v>11</v>
      </c>
      <c r="C4087" s="1" t="s">
        <v>8547</v>
      </c>
      <c r="D4087" s="1" t="s">
        <v>72</v>
      </c>
      <c r="E4087" s="2">
        <v>45985</v>
      </c>
      <c r="F4087" s="1" t="s">
        <v>63</v>
      </c>
      <c r="G4087" s="1" t="s">
        <v>73</v>
      </c>
      <c r="H4087" s="1" t="s">
        <v>74</v>
      </c>
      <c r="I4087" s="1">
        <v>1</v>
      </c>
      <c r="J4087" s="3">
        <v>10456</v>
      </c>
      <c r="K4087" s="3">
        <v>9978</v>
      </c>
      <c r="L4087" s="1">
        <v>0</v>
      </c>
      <c r="M4087" s="4">
        <v>0</v>
      </c>
      <c r="N4087" s="1">
        <v>478</v>
      </c>
      <c r="O4087" s="4">
        <v>4.5999999999999999E-2</v>
      </c>
      <c r="P4087" s="1" t="s">
        <v>2721</v>
      </c>
    </row>
    <row r="4088" spans="1:16">
      <c r="A4088" s="1" t="s">
        <v>15</v>
      </c>
      <c r="B4088" s="1">
        <v>11</v>
      </c>
      <c r="C4088" s="1" t="s">
        <v>8548</v>
      </c>
      <c r="D4088" s="1" t="s">
        <v>224</v>
      </c>
      <c r="E4088" s="2">
        <v>45985</v>
      </c>
      <c r="F4088" s="1" t="s">
        <v>96</v>
      </c>
      <c r="G4088" s="1" t="s">
        <v>225</v>
      </c>
      <c r="H4088" s="1" t="s">
        <v>896</v>
      </c>
      <c r="I4088" s="1">
        <v>1</v>
      </c>
      <c r="J4088" s="3">
        <v>12571</v>
      </c>
      <c r="K4088" s="3">
        <v>11995</v>
      </c>
      <c r="L4088" s="1">
        <v>0</v>
      </c>
      <c r="M4088" s="4">
        <v>0</v>
      </c>
      <c r="N4088" s="1">
        <v>576</v>
      </c>
      <c r="O4088" s="4">
        <v>4.5999999999999999E-2</v>
      </c>
      <c r="P4088" s="1" t="s">
        <v>2721</v>
      </c>
    </row>
    <row r="4089" spans="1:16">
      <c r="A4089" s="1" t="s">
        <v>15</v>
      </c>
      <c r="B4089" s="1">
        <v>11</v>
      </c>
      <c r="C4089" s="1" t="s">
        <v>8549</v>
      </c>
      <c r="D4089" s="1" t="s">
        <v>238</v>
      </c>
      <c r="E4089" s="2">
        <v>45985</v>
      </c>
      <c r="F4089" s="1" t="s">
        <v>239</v>
      </c>
      <c r="G4089" s="1" t="s">
        <v>240</v>
      </c>
      <c r="H4089" s="1" t="s">
        <v>241</v>
      </c>
      <c r="I4089" s="1">
        <v>1</v>
      </c>
      <c r="J4089" s="3">
        <v>11305</v>
      </c>
      <c r="K4089" s="3">
        <v>10787</v>
      </c>
      <c r="L4089" s="1">
        <v>0</v>
      </c>
      <c r="M4089" s="4">
        <v>0</v>
      </c>
      <c r="N4089" s="1">
        <v>518</v>
      </c>
      <c r="O4089" s="4">
        <v>4.5999999999999999E-2</v>
      </c>
      <c r="P4089" s="1" t="s">
        <v>2721</v>
      </c>
    </row>
    <row r="4090" spans="1:16">
      <c r="A4090" s="1" t="s">
        <v>15</v>
      </c>
      <c r="B4090" s="1">
        <v>11</v>
      </c>
      <c r="C4090" s="1" t="s">
        <v>8550</v>
      </c>
      <c r="D4090" s="1" t="s">
        <v>2398</v>
      </c>
      <c r="E4090" s="2">
        <v>45985</v>
      </c>
      <c r="F4090" s="1" t="s">
        <v>63</v>
      </c>
      <c r="G4090" s="1" t="s">
        <v>2399</v>
      </c>
      <c r="H4090" s="1" t="s">
        <v>2400</v>
      </c>
      <c r="I4090" s="1">
        <v>1</v>
      </c>
      <c r="J4090" s="3">
        <v>32001</v>
      </c>
      <c r="K4090" s="3">
        <v>30536</v>
      </c>
      <c r="L4090" s="1">
        <v>0</v>
      </c>
      <c r="M4090" s="4">
        <v>0</v>
      </c>
      <c r="N4090" s="3">
        <v>1465</v>
      </c>
      <c r="O4090" s="4">
        <v>4.5999999999999999E-2</v>
      </c>
      <c r="P4090" s="1" t="s">
        <v>2721</v>
      </c>
    </row>
    <row r="4091" spans="1:16">
      <c r="A4091" s="1" t="s">
        <v>15</v>
      </c>
      <c r="B4091" s="1">
        <v>11</v>
      </c>
      <c r="C4091" s="1" t="s">
        <v>8551</v>
      </c>
      <c r="D4091" s="1" t="s">
        <v>27</v>
      </c>
      <c r="E4091" s="2">
        <v>45985</v>
      </c>
      <c r="F4091" s="1" t="s">
        <v>28</v>
      </c>
      <c r="G4091" s="1" t="s">
        <v>29</v>
      </c>
      <c r="H4091" s="1" t="s">
        <v>352</v>
      </c>
      <c r="I4091" s="1">
        <v>1</v>
      </c>
      <c r="J4091" s="3">
        <v>27033</v>
      </c>
      <c r="K4091" s="3">
        <v>25795</v>
      </c>
      <c r="L4091" s="1">
        <v>0</v>
      </c>
      <c r="M4091" s="4">
        <v>0</v>
      </c>
      <c r="N4091" s="3">
        <v>1238</v>
      </c>
      <c r="O4091" s="4">
        <v>4.5999999999999999E-2</v>
      </c>
      <c r="P4091" s="1" t="s">
        <v>2721</v>
      </c>
    </row>
    <row r="4092" spans="1:16">
      <c r="A4092" s="1" t="s">
        <v>15</v>
      </c>
      <c r="B4092" s="1">
        <v>11</v>
      </c>
      <c r="C4092" s="1" t="s">
        <v>8552</v>
      </c>
      <c r="D4092" s="1" t="s">
        <v>8553</v>
      </c>
      <c r="E4092" s="2">
        <v>45985</v>
      </c>
      <c r="F4092" s="1" t="s">
        <v>48</v>
      </c>
      <c r="G4092" s="1" t="s">
        <v>1718</v>
      </c>
      <c r="H4092" s="1" t="s">
        <v>1719</v>
      </c>
      <c r="I4092" s="1">
        <v>1</v>
      </c>
      <c r="J4092" s="3">
        <v>17997</v>
      </c>
      <c r="K4092" s="3">
        <v>17173</v>
      </c>
      <c r="L4092" s="1">
        <v>0</v>
      </c>
      <c r="M4092" s="4">
        <v>0</v>
      </c>
      <c r="N4092" s="1">
        <v>824</v>
      </c>
      <c r="O4092" s="4">
        <v>4.5999999999999999E-2</v>
      </c>
      <c r="P4092" s="1" t="s">
        <v>2721</v>
      </c>
    </row>
    <row r="4093" spans="1:16">
      <c r="A4093" s="1" t="s">
        <v>15</v>
      </c>
      <c r="B4093" s="1">
        <v>11</v>
      </c>
      <c r="C4093" s="1" t="s">
        <v>8554</v>
      </c>
      <c r="D4093" s="1" t="s">
        <v>516</v>
      </c>
      <c r="E4093" s="2">
        <v>45985</v>
      </c>
      <c r="F4093" s="1" t="s">
        <v>517</v>
      </c>
      <c r="G4093" s="1" t="s">
        <v>518</v>
      </c>
      <c r="H4093" s="1" t="s">
        <v>519</v>
      </c>
      <c r="I4093" s="1">
        <v>1</v>
      </c>
      <c r="J4093" s="3">
        <v>21528</v>
      </c>
      <c r="K4093" s="3">
        <v>20542</v>
      </c>
      <c r="L4093" s="1">
        <v>0</v>
      </c>
      <c r="M4093" s="4">
        <v>0</v>
      </c>
      <c r="N4093" s="1">
        <v>986</v>
      </c>
      <c r="O4093" s="4">
        <v>4.5999999999999999E-2</v>
      </c>
      <c r="P4093" s="1" t="s">
        <v>2721</v>
      </c>
    </row>
    <row r="4094" spans="1:16">
      <c r="A4094" s="1" t="s">
        <v>15</v>
      </c>
      <c r="B4094" s="1">
        <v>11</v>
      </c>
      <c r="C4094" s="1" t="s">
        <v>8555</v>
      </c>
      <c r="D4094" s="1" t="s">
        <v>1302</v>
      </c>
      <c r="E4094" s="2">
        <v>45985</v>
      </c>
      <c r="F4094" s="1" t="s">
        <v>256</v>
      </c>
      <c r="G4094" s="1" t="s">
        <v>1303</v>
      </c>
      <c r="H4094" s="1" t="s">
        <v>1304</v>
      </c>
      <c r="I4094" s="1">
        <v>1</v>
      </c>
      <c r="J4094" s="3">
        <v>4944</v>
      </c>
      <c r="K4094" s="3">
        <v>4718</v>
      </c>
      <c r="L4094" s="1">
        <v>0</v>
      </c>
      <c r="M4094" s="4">
        <v>0</v>
      </c>
      <c r="N4094" s="1">
        <v>226</v>
      </c>
      <c r="O4094" s="4">
        <v>4.5999999999999999E-2</v>
      </c>
      <c r="P4094" s="1" t="s">
        <v>2721</v>
      </c>
    </row>
    <row r="4095" spans="1:16">
      <c r="A4095" s="1" t="s">
        <v>15</v>
      </c>
      <c r="B4095" s="1">
        <v>11</v>
      </c>
      <c r="C4095" s="1" t="s">
        <v>8556</v>
      </c>
      <c r="D4095" s="1" t="s">
        <v>27</v>
      </c>
      <c r="E4095" s="2">
        <v>45985</v>
      </c>
      <c r="F4095" s="1" t="s">
        <v>28</v>
      </c>
      <c r="G4095" s="1" t="s">
        <v>29</v>
      </c>
      <c r="H4095" s="1" t="s">
        <v>352</v>
      </c>
      <c r="I4095" s="1">
        <v>1</v>
      </c>
      <c r="J4095" s="3">
        <v>27033</v>
      </c>
      <c r="K4095" s="3">
        <v>25795</v>
      </c>
      <c r="L4095" s="1">
        <v>0</v>
      </c>
      <c r="M4095" s="4">
        <v>0</v>
      </c>
      <c r="N4095" s="3">
        <v>1238</v>
      </c>
      <c r="O4095" s="4">
        <v>4.5999999999999999E-2</v>
      </c>
      <c r="P4095" s="1" t="s">
        <v>2721</v>
      </c>
    </row>
    <row r="4096" spans="1:16">
      <c r="A4096" s="1" t="s">
        <v>15</v>
      </c>
      <c r="B4096" s="1">
        <v>11</v>
      </c>
      <c r="C4096" s="1" t="s">
        <v>8557</v>
      </c>
      <c r="D4096" s="1" t="s">
        <v>17</v>
      </c>
      <c r="E4096" s="2">
        <v>45985</v>
      </c>
      <c r="F4096" s="1" t="s">
        <v>18</v>
      </c>
      <c r="G4096" s="1" t="s">
        <v>19</v>
      </c>
      <c r="H4096" s="1" t="s">
        <v>1252</v>
      </c>
      <c r="I4096" s="1">
        <v>1</v>
      </c>
      <c r="J4096" s="3">
        <v>7166</v>
      </c>
      <c r="K4096" s="3">
        <v>6838</v>
      </c>
      <c r="L4096" s="1">
        <v>0</v>
      </c>
      <c r="M4096" s="4">
        <v>0</v>
      </c>
      <c r="N4096" s="1">
        <v>328</v>
      </c>
      <c r="O4096" s="4">
        <v>4.5999999999999999E-2</v>
      </c>
      <c r="P4096" s="1" t="s">
        <v>2721</v>
      </c>
    </row>
    <row r="4097" spans="1:16">
      <c r="A4097" s="1" t="s">
        <v>15</v>
      </c>
      <c r="B4097" s="1">
        <v>11</v>
      </c>
      <c r="C4097" s="1" t="s">
        <v>8558</v>
      </c>
      <c r="D4097" s="1" t="s">
        <v>367</v>
      </c>
      <c r="E4097" s="2">
        <v>45985</v>
      </c>
      <c r="F4097" s="1" t="s">
        <v>368</v>
      </c>
      <c r="G4097" s="1" t="s">
        <v>369</v>
      </c>
      <c r="H4097" s="1" t="s">
        <v>370</v>
      </c>
      <c r="I4097" s="1">
        <v>1</v>
      </c>
      <c r="J4097" s="3">
        <v>14470</v>
      </c>
      <c r="K4097" s="3">
        <v>13807</v>
      </c>
      <c r="L4097" s="1">
        <v>0</v>
      </c>
      <c r="M4097" s="4">
        <v>0</v>
      </c>
      <c r="N4097" s="1">
        <v>663</v>
      </c>
      <c r="O4097" s="4">
        <v>4.5999999999999999E-2</v>
      </c>
      <c r="P4097" s="1" t="s">
        <v>2721</v>
      </c>
    </row>
    <row r="4098" spans="1:16">
      <c r="A4098" s="1" t="s">
        <v>15</v>
      </c>
      <c r="B4098" s="1">
        <v>11</v>
      </c>
      <c r="C4098" s="1" t="s">
        <v>8559</v>
      </c>
      <c r="D4098" s="1" t="s">
        <v>1007</v>
      </c>
      <c r="E4098" s="2">
        <v>45985</v>
      </c>
      <c r="F4098" s="1" t="s">
        <v>892</v>
      </c>
      <c r="G4098" s="1" t="s">
        <v>1008</v>
      </c>
      <c r="H4098" s="1" t="s">
        <v>1009</v>
      </c>
      <c r="I4098" s="1">
        <v>1</v>
      </c>
      <c r="J4098" s="3">
        <v>20643</v>
      </c>
      <c r="K4098" s="3">
        <v>19698</v>
      </c>
      <c r="L4098" s="1">
        <v>0</v>
      </c>
      <c r="M4098" s="4">
        <v>0</v>
      </c>
      <c r="N4098" s="1">
        <v>945</v>
      </c>
      <c r="O4098" s="4">
        <v>4.5999999999999999E-2</v>
      </c>
      <c r="P4098" s="1" t="s">
        <v>2721</v>
      </c>
    </row>
    <row r="4099" spans="1:16">
      <c r="A4099" s="1" t="s">
        <v>15</v>
      </c>
      <c r="B4099" s="1">
        <v>11</v>
      </c>
      <c r="C4099" s="1" t="s">
        <v>8560</v>
      </c>
      <c r="D4099" s="1" t="s">
        <v>2536</v>
      </c>
      <c r="E4099" s="2">
        <v>45985</v>
      </c>
      <c r="F4099" s="1" t="s">
        <v>2537</v>
      </c>
      <c r="G4099" s="1" t="s">
        <v>2538</v>
      </c>
      <c r="H4099" s="1" t="s">
        <v>2539</v>
      </c>
      <c r="I4099" s="1">
        <v>1</v>
      </c>
      <c r="J4099" s="3">
        <v>17694</v>
      </c>
      <c r="K4099" s="3">
        <v>16884</v>
      </c>
      <c r="L4099" s="1">
        <v>0</v>
      </c>
      <c r="M4099" s="4">
        <v>0</v>
      </c>
      <c r="N4099" s="1">
        <v>810</v>
      </c>
      <c r="O4099" s="4">
        <v>4.5999999999999999E-2</v>
      </c>
      <c r="P4099" s="1" t="s">
        <v>2721</v>
      </c>
    </row>
    <row r="4100" spans="1:16">
      <c r="A4100" s="1" t="s">
        <v>15</v>
      </c>
      <c r="B4100" s="1">
        <v>11</v>
      </c>
      <c r="C4100" s="1" t="s">
        <v>8561</v>
      </c>
      <c r="D4100" s="1" t="s">
        <v>238</v>
      </c>
      <c r="E4100" s="2">
        <v>45985</v>
      </c>
      <c r="F4100" s="1" t="s">
        <v>239</v>
      </c>
      <c r="G4100" s="1" t="s">
        <v>240</v>
      </c>
      <c r="H4100" s="1" t="s">
        <v>242</v>
      </c>
      <c r="I4100" s="1">
        <v>1</v>
      </c>
      <c r="J4100" s="3">
        <v>11305</v>
      </c>
      <c r="K4100" s="3">
        <v>10787</v>
      </c>
      <c r="L4100" s="1">
        <v>0</v>
      </c>
      <c r="M4100" s="4">
        <v>0</v>
      </c>
      <c r="N4100" s="1">
        <v>518</v>
      </c>
      <c r="O4100" s="4">
        <v>4.5999999999999999E-2</v>
      </c>
      <c r="P4100" s="1" t="s">
        <v>2721</v>
      </c>
    </row>
    <row r="4101" spans="1:16">
      <c r="A4101" s="1" t="s">
        <v>15</v>
      </c>
      <c r="B4101" s="1">
        <v>11</v>
      </c>
      <c r="C4101" s="1" t="s">
        <v>8562</v>
      </c>
      <c r="D4101" s="1" t="s">
        <v>221</v>
      </c>
      <c r="E4101" s="2">
        <v>45985</v>
      </c>
      <c r="F4101" s="1" t="s">
        <v>96</v>
      </c>
      <c r="G4101" s="1" t="s">
        <v>222</v>
      </c>
      <c r="H4101" s="1" t="s">
        <v>509</v>
      </c>
      <c r="I4101" s="1">
        <v>1</v>
      </c>
      <c r="J4101" s="3">
        <v>12571</v>
      </c>
      <c r="K4101" s="3">
        <v>11995</v>
      </c>
      <c r="L4101" s="1">
        <v>0</v>
      </c>
      <c r="M4101" s="4">
        <v>0</v>
      </c>
      <c r="N4101" s="1">
        <v>576</v>
      </c>
      <c r="O4101" s="4">
        <v>4.5999999999999999E-2</v>
      </c>
      <c r="P4101" s="1" t="s">
        <v>2721</v>
      </c>
    </row>
    <row r="4102" spans="1:16">
      <c r="A4102" s="1" t="s">
        <v>15</v>
      </c>
      <c r="B4102" s="1">
        <v>11</v>
      </c>
      <c r="C4102" s="1" t="s">
        <v>8563</v>
      </c>
      <c r="D4102" s="1" t="s">
        <v>1173</v>
      </c>
      <c r="E4102" s="2">
        <v>45985</v>
      </c>
      <c r="F4102" s="1" t="s">
        <v>1075</v>
      </c>
      <c r="G4102" s="1" t="s">
        <v>1174</v>
      </c>
      <c r="H4102" s="1" t="s">
        <v>7670</v>
      </c>
      <c r="I4102" s="1">
        <v>1</v>
      </c>
      <c r="J4102" s="3">
        <v>14379</v>
      </c>
      <c r="K4102" s="3">
        <v>13721</v>
      </c>
      <c r="L4102" s="1">
        <v>0</v>
      </c>
      <c r="M4102" s="4">
        <v>0</v>
      </c>
      <c r="N4102" s="1">
        <v>658</v>
      </c>
      <c r="O4102" s="4">
        <v>4.5999999999999999E-2</v>
      </c>
      <c r="P4102" s="1" t="s">
        <v>2721</v>
      </c>
    </row>
    <row r="4103" spans="1:16">
      <c r="A4103" s="1" t="s">
        <v>15</v>
      </c>
      <c r="B4103" s="1">
        <v>11</v>
      </c>
      <c r="C4103" s="1" t="s">
        <v>8564</v>
      </c>
      <c r="D4103" s="1" t="s">
        <v>250</v>
      </c>
      <c r="E4103" s="2">
        <v>45985</v>
      </c>
      <c r="F4103" s="1" t="s">
        <v>251</v>
      </c>
      <c r="G4103" s="1" t="s">
        <v>252</v>
      </c>
      <c r="H4103" s="1" t="s">
        <v>2279</v>
      </c>
      <c r="I4103" s="1">
        <v>1</v>
      </c>
      <c r="J4103" s="3">
        <v>21626</v>
      </c>
      <c r="K4103" s="3">
        <v>20636</v>
      </c>
      <c r="L4103" s="1">
        <v>0</v>
      </c>
      <c r="M4103" s="4">
        <v>0</v>
      </c>
      <c r="N4103" s="1">
        <v>990</v>
      </c>
      <c r="O4103" s="4">
        <v>4.5999999999999999E-2</v>
      </c>
      <c r="P4103" s="1" t="s">
        <v>2721</v>
      </c>
    </row>
    <row r="4104" spans="1:16">
      <c r="A4104" s="1" t="s">
        <v>15</v>
      </c>
      <c r="B4104" s="1">
        <v>11</v>
      </c>
      <c r="C4104" s="1" t="s">
        <v>8565</v>
      </c>
      <c r="D4104" s="1" t="s">
        <v>27</v>
      </c>
      <c r="E4104" s="2">
        <v>45985</v>
      </c>
      <c r="F4104" s="1" t="s">
        <v>28</v>
      </c>
      <c r="G4104" s="1" t="s">
        <v>29</v>
      </c>
      <c r="H4104" s="1" t="s">
        <v>352</v>
      </c>
      <c r="I4104" s="1">
        <v>1</v>
      </c>
      <c r="J4104" s="3">
        <v>27033</v>
      </c>
      <c r="K4104" s="3">
        <v>25795</v>
      </c>
      <c r="L4104" s="1">
        <v>0</v>
      </c>
      <c r="M4104" s="4">
        <v>0</v>
      </c>
      <c r="N4104" s="3">
        <v>1238</v>
      </c>
      <c r="O4104" s="4">
        <v>4.5999999999999999E-2</v>
      </c>
      <c r="P4104" s="1" t="s">
        <v>2721</v>
      </c>
    </row>
    <row r="4105" spans="1:16">
      <c r="A4105" s="1" t="s">
        <v>15</v>
      </c>
      <c r="B4105" s="1">
        <v>11</v>
      </c>
      <c r="C4105" s="1" t="s">
        <v>8565</v>
      </c>
      <c r="D4105" s="1" t="s">
        <v>27</v>
      </c>
      <c r="E4105" s="2">
        <v>45985</v>
      </c>
      <c r="F4105" s="1" t="s">
        <v>28</v>
      </c>
      <c r="G4105" s="1" t="s">
        <v>29</v>
      </c>
      <c r="H4105" s="1" t="s">
        <v>30</v>
      </c>
      <c r="I4105" s="1">
        <v>1</v>
      </c>
      <c r="J4105" s="3">
        <v>27033</v>
      </c>
      <c r="K4105" s="3">
        <v>25795</v>
      </c>
      <c r="L4105" s="1">
        <v>0</v>
      </c>
      <c r="M4105" s="4">
        <v>0</v>
      </c>
      <c r="N4105" s="3">
        <v>1238</v>
      </c>
      <c r="O4105" s="4">
        <v>4.5999999999999999E-2</v>
      </c>
      <c r="P4105" s="1" t="s">
        <v>2721</v>
      </c>
    </row>
    <row r="4106" spans="1:16">
      <c r="A4106" s="1" t="s">
        <v>15</v>
      </c>
      <c r="B4106" s="1">
        <v>11</v>
      </c>
      <c r="C4106" s="1" t="s">
        <v>8566</v>
      </c>
      <c r="D4106" s="1" t="s">
        <v>238</v>
      </c>
      <c r="E4106" s="2">
        <v>45985</v>
      </c>
      <c r="F4106" s="1" t="s">
        <v>239</v>
      </c>
      <c r="G4106" s="1" t="s">
        <v>240</v>
      </c>
      <c r="H4106" s="1" t="s">
        <v>241</v>
      </c>
      <c r="I4106" s="1">
        <v>1</v>
      </c>
      <c r="J4106" s="3">
        <v>11305</v>
      </c>
      <c r="K4106" s="3">
        <v>10787</v>
      </c>
      <c r="L4106" s="1">
        <v>0</v>
      </c>
      <c r="M4106" s="4">
        <v>0</v>
      </c>
      <c r="N4106" s="1">
        <v>518</v>
      </c>
      <c r="O4106" s="4">
        <v>4.5999999999999999E-2</v>
      </c>
      <c r="P4106" s="1" t="s">
        <v>2721</v>
      </c>
    </row>
    <row r="4107" spans="1:16">
      <c r="A4107" s="1" t="s">
        <v>15</v>
      </c>
      <c r="B4107" s="1">
        <v>11</v>
      </c>
      <c r="C4107" s="1" t="s">
        <v>8567</v>
      </c>
      <c r="D4107" s="1" t="s">
        <v>27</v>
      </c>
      <c r="E4107" s="2">
        <v>45985</v>
      </c>
      <c r="F4107" s="1" t="s">
        <v>28</v>
      </c>
      <c r="G4107" s="1" t="s">
        <v>29</v>
      </c>
      <c r="H4107" s="1" t="s">
        <v>352</v>
      </c>
      <c r="I4107" s="1">
        <v>1</v>
      </c>
      <c r="J4107" s="3">
        <v>27033</v>
      </c>
      <c r="K4107" s="3">
        <v>25795</v>
      </c>
      <c r="L4107" s="1">
        <v>0</v>
      </c>
      <c r="M4107" s="4">
        <v>0</v>
      </c>
      <c r="N4107" s="3">
        <v>1238</v>
      </c>
      <c r="O4107" s="4">
        <v>4.5999999999999999E-2</v>
      </c>
      <c r="P4107" s="1" t="s">
        <v>2721</v>
      </c>
    </row>
    <row r="4108" spans="1:16">
      <c r="A4108" s="1" t="s">
        <v>15</v>
      </c>
      <c r="B4108" s="1">
        <v>11</v>
      </c>
      <c r="C4108" s="1" t="s">
        <v>8568</v>
      </c>
      <c r="D4108" s="1" t="s">
        <v>250</v>
      </c>
      <c r="E4108" s="2">
        <v>45985</v>
      </c>
      <c r="F4108" s="1" t="s">
        <v>251</v>
      </c>
      <c r="G4108" s="1" t="s">
        <v>252</v>
      </c>
      <c r="H4108" s="1" t="s">
        <v>2279</v>
      </c>
      <c r="I4108" s="1">
        <v>1</v>
      </c>
      <c r="J4108" s="3">
        <v>21626</v>
      </c>
      <c r="K4108" s="3">
        <v>20636</v>
      </c>
      <c r="L4108" s="1">
        <v>0</v>
      </c>
      <c r="M4108" s="4">
        <v>0</v>
      </c>
      <c r="N4108" s="1">
        <v>990</v>
      </c>
      <c r="O4108" s="4">
        <v>4.5999999999999999E-2</v>
      </c>
      <c r="P4108" s="1" t="s">
        <v>2721</v>
      </c>
    </row>
    <row r="4109" spans="1:16">
      <c r="A4109" s="1" t="s">
        <v>15</v>
      </c>
      <c r="B4109" s="1">
        <v>11</v>
      </c>
      <c r="C4109" s="1" t="s">
        <v>8568</v>
      </c>
      <c r="D4109" s="1" t="s">
        <v>250</v>
      </c>
      <c r="E4109" s="2">
        <v>45985</v>
      </c>
      <c r="F4109" s="1" t="s">
        <v>251</v>
      </c>
      <c r="G4109" s="1" t="s">
        <v>252</v>
      </c>
      <c r="H4109" s="1" t="s">
        <v>365</v>
      </c>
      <c r="I4109" s="1">
        <v>1</v>
      </c>
      <c r="J4109" s="3">
        <v>16220</v>
      </c>
      <c r="K4109" s="3">
        <v>15477</v>
      </c>
      <c r="L4109" s="1">
        <v>0</v>
      </c>
      <c r="M4109" s="4">
        <v>0</v>
      </c>
      <c r="N4109" s="1">
        <v>743</v>
      </c>
      <c r="O4109" s="4">
        <v>4.5999999999999999E-2</v>
      </c>
      <c r="P4109" s="1" t="s">
        <v>2721</v>
      </c>
    </row>
    <row r="4110" spans="1:16">
      <c r="A4110" s="1" t="s">
        <v>15</v>
      </c>
      <c r="B4110" s="1">
        <v>11</v>
      </c>
      <c r="C4110" s="1" t="s">
        <v>8569</v>
      </c>
      <c r="D4110" s="1" t="s">
        <v>27</v>
      </c>
      <c r="E4110" s="2">
        <v>45985</v>
      </c>
      <c r="F4110" s="1" t="s">
        <v>28</v>
      </c>
      <c r="G4110" s="1" t="s">
        <v>29</v>
      </c>
      <c r="H4110" s="1" t="s">
        <v>352</v>
      </c>
      <c r="I4110" s="1">
        <v>1</v>
      </c>
      <c r="J4110" s="3">
        <v>27033</v>
      </c>
      <c r="K4110" s="3">
        <v>25795</v>
      </c>
      <c r="L4110" s="1">
        <v>0</v>
      </c>
      <c r="M4110" s="4">
        <v>0</v>
      </c>
      <c r="N4110" s="3">
        <v>1238</v>
      </c>
      <c r="O4110" s="4">
        <v>4.5999999999999999E-2</v>
      </c>
      <c r="P4110" s="1" t="s">
        <v>2721</v>
      </c>
    </row>
    <row r="4111" spans="1:16">
      <c r="A4111" s="1" t="s">
        <v>15</v>
      </c>
      <c r="B4111" s="1">
        <v>11</v>
      </c>
      <c r="C4111" s="1" t="s">
        <v>8570</v>
      </c>
      <c r="D4111" s="1" t="s">
        <v>62</v>
      </c>
      <c r="E4111" s="2">
        <v>45985</v>
      </c>
      <c r="F4111" s="1" t="s">
        <v>63</v>
      </c>
      <c r="G4111" s="1" t="s">
        <v>64</v>
      </c>
      <c r="H4111" s="1" t="s">
        <v>65</v>
      </c>
      <c r="I4111" s="1">
        <v>1</v>
      </c>
      <c r="J4111" s="3">
        <v>11809</v>
      </c>
      <c r="K4111" s="3">
        <v>11268</v>
      </c>
      <c r="L4111" s="1">
        <v>0</v>
      </c>
      <c r="M4111" s="4">
        <v>0</v>
      </c>
      <c r="N4111" s="1">
        <v>541</v>
      </c>
      <c r="O4111" s="4">
        <v>4.5999999999999999E-2</v>
      </c>
      <c r="P4111" s="1" t="s">
        <v>2721</v>
      </c>
    </row>
    <row r="4112" spans="1:16">
      <c r="A4112" s="1" t="s">
        <v>15</v>
      </c>
      <c r="B4112" s="1">
        <v>11</v>
      </c>
      <c r="C4112" s="1" t="s">
        <v>8571</v>
      </c>
      <c r="D4112" s="1" t="s">
        <v>169</v>
      </c>
      <c r="E4112" s="2">
        <v>45985</v>
      </c>
      <c r="F4112" s="1" t="s">
        <v>53</v>
      </c>
      <c r="G4112" s="1" t="s">
        <v>170</v>
      </c>
      <c r="H4112" s="1" t="s">
        <v>171</v>
      </c>
      <c r="I4112" s="1">
        <v>1</v>
      </c>
      <c r="J4112" s="3">
        <v>14332</v>
      </c>
      <c r="K4112" s="3">
        <v>13676</v>
      </c>
      <c r="L4112" s="1">
        <v>0</v>
      </c>
      <c r="M4112" s="4">
        <v>0</v>
      </c>
      <c r="N4112" s="1">
        <v>656</v>
      </c>
      <c r="O4112" s="4">
        <v>4.5999999999999999E-2</v>
      </c>
      <c r="P4112" s="1" t="s">
        <v>2721</v>
      </c>
    </row>
    <row r="4113" spans="1:16">
      <c r="A4113" s="1" t="s">
        <v>15</v>
      </c>
      <c r="B4113" s="1">
        <v>11</v>
      </c>
      <c r="C4113" s="1" t="s">
        <v>8572</v>
      </c>
      <c r="D4113" s="1" t="s">
        <v>132</v>
      </c>
      <c r="E4113" s="2">
        <v>45985</v>
      </c>
      <c r="F4113" s="1" t="s">
        <v>53</v>
      </c>
      <c r="G4113" s="1" t="s">
        <v>133</v>
      </c>
      <c r="H4113" s="1" t="s">
        <v>88</v>
      </c>
      <c r="I4113" s="1">
        <v>1</v>
      </c>
      <c r="J4113" s="3">
        <v>17036</v>
      </c>
      <c r="K4113" s="3">
        <v>16256</v>
      </c>
      <c r="L4113" s="1">
        <v>0</v>
      </c>
      <c r="M4113" s="4">
        <v>0</v>
      </c>
      <c r="N4113" s="1">
        <v>780</v>
      </c>
      <c r="O4113" s="4">
        <v>4.5999999999999999E-2</v>
      </c>
      <c r="P4113" s="1" t="s">
        <v>2721</v>
      </c>
    </row>
    <row r="4114" spans="1:16">
      <c r="A4114" s="1" t="s">
        <v>15</v>
      </c>
      <c r="B4114" s="1">
        <v>11</v>
      </c>
      <c r="C4114" s="1" t="s">
        <v>8573</v>
      </c>
      <c r="D4114" s="1" t="s">
        <v>86</v>
      </c>
      <c r="E4114" s="2">
        <v>45985</v>
      </c>
      <c r="F4114" s="1" t="s">
        <v>53</v>
      </c>
      <c r="G4114" s="1" t="s">
        <v>87</v>
      </c>
      <c r="H4114" s="1" t="s">
        <v>88</v>
      </c>
      <c r="I4114" s="1">
        <v>1</v>
      </c>
      <c r="J4114" s="3">
        <v>14956</v>
      </c>
      <c r="K4114" s="3">
        <v>14272</v>
      </c>
      <c r="L4114" s="1">
        <v>0</v>
      </c>
      <c r="M4114" s="4">
        <v>0</v>
      </c>
      <c r="N4114" s="1">
        <v>684</v>
      </c>
      <c r="O4114" s="4">
        <v>4.5999999999999999E-2</v>
      </c>
      <c r="P4114" s="1" t="s">
        <v>2721</v>
      </c>
    </row>
    <row r="4115" spans="1:16">
      <c r="A4115" s="1" t="s">
        <v>15</v>
      </c>
      <c r="B4115" s="1">
        <v>11</v>
      </c>
      <c r="C4115" s="1" t="s">
        <v>8574</v>
      </c>
      <c r="D4115" s="1" t="s">
        <v>1026</v>
      </c>
      <c r="E4115" s="2">
        <v>45985</v>
      </c>
      <c r="F4115" s="1" t="s">
        <v>256</v>
      </c>
      <c r="G4115" s="1" t="s">
        <v>1027</v>
      </c>
      <c r="H4115" s="1" t="s">
        <v>1464</v>
      </c>
      <c r="I4115" s="1">
        <v>1</v>
      </c>
      <c r="J4115" s="3">
        <v>15433</v>
      </c>
      <c r="K4115" s="3">
        <v>14727</v>
      </c>
      <c r="L4115" s="1">
        <v>0</v>
      </c>
      <c r="M4115" s="4">
        <v>0</v>
      </c>
      <c r="N4115" s="1">
        <v>706</v>
      </c>
      <c r="O4115" s="4">
        <v>4.5999999999999999E-2</v>
      </c>
      <c r="P4115" s="1" t="s">
        <v>2721</v>
      </c>
    </row>
    <row r="4116" spans="1:16">
      <c r="A4116" s="1" t="s">
        <v>15</v>
      </c>
      <c r="B4116" s="1">
        <v>11</v>
      </c>
      <c r="C4116" s="1" t="s">
        <v>8575</v>
      </c>
      <c r="D4116" s="1" t="s">
        <v>104</v>
      </c>
      <c r="E4116" s="2">
        <v>45985</v>
      </c>
      <c r="F4116" s="1" t="s">
        <v>96</v>
      </c>
      <c r="G4116" s="1" t="s">
        <v>105</v>
      </c>
      <c r="H4116" s="1" t="s">
        <v>106</v>
      </c>
      <c r="I4116" s="1">
        <v>1</v>
      </c>
      <c r="J4116" s="3">
        <v>21614</v>
      </c>
      <c r="K4116" s="3">
        <v>20625</v>
      </c>
      <c r="L4116" s="1">
        <v>0</v>
      </c>
      <c r="M4116" s="4">
        <v>0</v>
      </c>
      <c r="N4116" s="1">
        <v>989</v>
      </c>
      <c r="O4116" s="4">
        <v>4.5999999999999999E-2</v>
      </c>
      <c r="P4116" s="1" t="s">
        <v>2721</v>
      </c>
    </row>
    <row r="4117" spans="1:16">
      <c r="A4117" s="1" t="s">
        <v>15</v>
      </c>
      <c r="B4117" s="1">
        <v>11</v>
      </c>
      <c r="C4117" s="1" t="s">
        <v>8576</v>
      </c>
      <c r="D4117" s="1" t="s">
        <v>5092</v>
      </c>
      <c r="E4117" s="2">
        <v>45985</v>
      </c>
      <c r="F4117" s="1" t="s">
        <v>347</v>
      </c>
      <c r="G4117" s="1" t="s">
        <v>5093</v>
      </c>
      <c r="H4117" s="1" t="s">
        <v>7378</v>
      </c>
      <c r="I4117" s="1">
        <v>1</v>
      </c>
      <c r="J4117" s="3">
        <v>28605</v>
      </c>
      <c r="K4117" s="3">
        <v>27296</v>
      </c>
      <c r="L4117" s="1">
        <v>0</v>
      </c>
      <c r="M4117" s="4">
        <v>0</v>
      </c>
      <c r="N4117" s="3">
        <v>1309</v>
      </c>
      <c r="O4117" s="4">
        <v>4.5999999999999999E-2</v>
      </c>
      <c r="P4117" s="1" t="s">
        <v>2721</v>
      </c>
    </row>
    <row r="4118" spans="1:16">
      <c r="A4118" s="1" t="s">
        <v>15</v>
      </c>
      <c r="B4118" s="1">
        <v>11</v>
      </c>
      <c r="C4118" s="1" t="s">
        <v>8577</v>
      </c>
      <c r="D4118" s="1" t="s">
        <v>6475</v>
      </c>
      <c r="E4118" s="2">
        <v>45985</v>
      </c>
      <c r="F4118" s="1" t="s">
        <v>500</v>
      </c>
      <c r="G4118" s="1" t="s">
        <v>6476</v>
      </c>
      <c r="H4118" s="1" t="s">
        <v>6477</v>
      </c>
      <c r="I4118" s="1">
        <v>1</v>
      </c>
      <c r="J4118" s="3">
        <v>224790</v>
      </c>
      <c r="K4118" s="3">
        <v>214500</v>
      </c>
      <c r="L4118" s="1">
        <v>0</v>
      </c>
      <c r="M4118" s="4">
        <v>0</v>
      </c>
      <c r="N4118" s="3">
        <v>10290</v>
      </c>
      <c r="O4118" s="4">
        <v>4.5999999999999999E-2</v>
      </c>
      <c r="P4118" s="1" t="s">
        <v>2721</v>
      </c>
    </row>
    <row r="4119" spans="1:16">
      <c r="A4119" s="1" t="s">
        <v>15</v>
      </c>
      <c r="B4119" s="1">
        <v>11</v>
      </c>
      <c r="C4119" s="1" t="s">
        <v>8578</v>
      </c>
      <c r="D4119" s="1" t="s">
        <v>260</v>
      </c>
      <c r="E4119" s="2">
        <v>45985</v>
      </c>
      <c r="F4119" s="1" t="s">
        <v>261</v>
      </c>
      <c r="G4119" s="1" t="s">
        <v>262</v>
      </c>
      <c r="H4119" s="1" t="s">
        <v>263</v>
      </c>
      <c r="I4119" s="1">
        <v>2</v>
      </c>
      <c r="J4119" s="3">
        <v>88470</v>
      </c>
      <c r="K4119" s="3">
        <v>84420</v>
      </c>
      <c r="L4119" s="1">
        <v>0</v>
      </c>
      <c r="M4119" s="4">
        <v>0</v>
      </c>
      <c r="N4119" s="3">
        <v>4050</v>
      </c>
      <c r="O4119" s="4">
        <v>4.5999999999999999E-2</v>
      </c>
      <c r="P4119" s="1" t="s">
        <v>2721</v>
      </c>
    </row>
    <row r="4120" spans="1:16">
      <c r="A4120" s="1" t="s">
        <v>15</v>
      </c>
      <c r="B4120" s="1">
        <v>11</v>
      </c>
      <c r="C4120" s="1" t="s">
        <v>8578</v>
      </c>
      <c r="D4120" s="1" t="s">
        <v>2334</v>
      </c>
      <c r="E4120" s="2">
        <v>45985</v>
      </c>
      <c r="F4120" s="1" t="s">
        <v>261</v>
      </c>
      <c r="G4120" s="1" t="s">
        <v>2335</v>
      </c>
      <c r="H4120" s="1" t="s">
        <v>2336</v>
      </c>
      <c r="I4120" s="1">
        <v>2</v>
      </c>
      <c r="J4120" s="3">
        <v>51116</v>
      </c>
      <c r="K4120" s="3">
        <v>48776</v>
      </c>
      <c r="L4120" s="1">
        <v>0</v>
      </c>
      <c r="M4120" s="4">
        <v>0</v>
      </c>
      <c r="N4120" s="3">
        <v>2340</v>
      </c>
      <c r="O4120" s="4">
        <v>4.5999999999999999E-2</v>
      </c>
      <c r="P4120" s="1" t="s">
        <v>2721</v>
      </c>
    </row>
    <row r="4121" spans="1:16">
      <c r="A4121" s="1" t="s">
        <v>15</v>
      </c>
      <c r="B4121" s="1">
        <v>11</v>
      </c>
      <c r="C4121" s="1" t="s">
        <v>8578</v>
      </c>
      <c r="D4121" s="1" t="s">
        <v>1546</v>
      </c>
      <c r="E4121" s="2">
        <v>45985</v>
      </c>
      <c r="F4121" s="1" t="s">
        <v>261</v>
      </c>
      <c r="G4121" s="1" t="s">
        <v>706</v>
      </c>
      <c r="H4121" s="1" t="s">
        <v>706</v>
      </c>
      <c r="I4121" s="1">
        <v>2</v>
      </c>
      <c r="J4121" s="3">
        <v>64878</v>
      </c>
      <c r="K4121" s="3">
        <v>61908</v>
      </c>
      <c r="L4121" s="1">
        <v>0</v>
      </c>
      <c r="M4121" s="4">
        <v>0</v>
      </c>
      <c r="N4121" s="3">
        <v>2970</v>
      </c>
      <c r="O4121" s="4">
        <v>4.5999999999999999E-2</v>
      </c>
      <c r="P4121" s="1" t="s">
        <v>2721</v>
      </c>
    </row>
    <row r="4122" spans="1:16">
      <c r="A4122" s="1" t="s">
        <v>15</v>
      </c>
      <c r="B4122" s="1">
        <v>11</v>
      </c>
      <c r="C4122" s="1" t="s">
        <v>8578</v>
      </c>
      <c r="D4122" s="1" t="s">
        <v>4269</v>
      </c>
      <c r="E4122" s="2">
        <v>45985</v>
      </c>
      <c r="F4122" s="1" t="s">
        <v>261</v>
      </c>
      <c r="G4122" s="1" t="s">
        <v>4270</v>
      </c>
      <c r="H4122" s="1" t="s">
        <v>4270</v>
      </c>
      <c r="I4122" s="1">
        <v>2</v>
      </c>
      <c r="J4122" s="3">
        <v>68810</v>
      </c>
      <c r="K4122" s="3">
        <v>65660</v>
      </c>
      <c r="L4122" s="1">
        <v>0</v>
      </c>
      <c r="M4122" s="4">
        <v>0</v>
      </c>
      <c r="N4122" s="3">
        <v>3150</v>
      </c>
      <c r="O4122" s="4">
        <v>4.5999999999999999E-2</v>
      </c>
      <c r="P4122" s="1" t="s">
        <v>2721</v>
      </c>
    </row>
    <row r="4123" spans="1:16">
      <c r="A4123" s="1" t="s">
        <v>15</v>
      </c>
      <c r="B4123" s="1">
        <v>11</v>
      </c>
      <c r="C4123" s="1" t="s">
        <v>8579</v>
      </c>
      <c r="D4123" s="1" t="s">
        <v>169</v>
      </c>
      <c r="E4123" s="2">
        <v>45985</v>
      </c>
      <c r="F4123" s="1" t="s">
        <v>53</v>
      </c>
      <c r="G4123" s="1" t="s">
        <v>170</v>
      </c>
      <c r="H4123" s="1" t="s">
        <v>171</v>
      </c>
      <c r="I4123" s="1">
        <v>1</v>
      </c>
      <c r="J4123" s="3">
        <v>14332</v>
      </c>
      <c r="K4123" s="3">
        <v>13676</v>
      </c>
      <c r="L4123" s="1">
        <v>0</v>
      </c>
      <c r="M4123" s="4">
        <v>0</v>
      </c>
      <c r="N4123" s="1">
        <v>656</v>
      </c>
      <c r="O4123" s="4">
        <v>4.5999999999999999E-2</v>
      </c>
      <c r="P4123" s="1" t="s">
        <v>2721</v>
      </c>
    </row>
    <row r="4124" spans="1:16">
      <c r="A4124" s="1" t="s">
        <v>15</v>
      </c>
      <c r="B4124" s="1">
        <v>11</v>
      </c>
      <c r="C4124" s="1" t="s">
        <v>8580</v>
      </c>
      <c r="D4124" s="1" t="s">
        <v>931</v>
      </c>
      <c r="E4124" s="2">
        <v>45985</v>
      </c>
      <c r="F4124" s="1" t="s">
        <v>932</v>
      </c>
      <c r="G4124" s="1" t="s">
        <v>933</v>
      </c>
      <c r="H4124" s="1" t="s">
        <v>1037</v>
      </c>
      <c r="I4124" s="1">
        <v>1</v>
      </c>
      <c r="J4124" s="3">
        <v>19660</v>
      </c>
      <c r="K4124" s="3">
        <v>18760</v>
      </c>
      <c r="L4124" s="1">
        <v>0</v>
      </c>
      <c r="M4124" s="4">
        <v>0</v>
      </c>
      <c r="N4124" s="1">
        <v>900</v>
      </c>
      <c r="O4124" s="4">
        <v>4.5999999999999999E-2</v>
      </c>
      <c r="P4124" s="1" t="s">
        <v>2721</v>
      </c>
    </row>
    <row r="4125" spans="1:16">
      <c r="A4125" s="1" t="s">
        <v>15</v>
      </c>
      <c r="B4125" s="1">
        <v>11</v>
      </c>
      <c r="C4125" s="1" t="s">
        <v>8581</v>
      </c>
      <c r="D4125" s="1" t="s">
        <v>411</v>
      </c>
      <c r="E4125" s="2">
        <v>45985</v>
      </c>
      <c r="F4125" s="1" t="s">
        <v>312</v>
      </c>
      <c r="G4125" s="1" t="s">
        <v>412</v>
      </c>
      <c r="H4125" s="1" t="s">
        <v>8582</v>
      </c>
      <c r="I4125" s="1">
        <v>1</v>
      </c>
      <c r="J4125" s="3">
        <v>24575</v>
      </c>
      <c r="K4125" s="3">
        <v>23450</v>
      </c>
      <c r="L4125" s="1">
        <v>0</v>
      </c>
      <c r="M4125" s="4">
        <v>0</v>
      </c>
      <c r="N4125" s="3">
        <v>1125</v>
      </c>
      <c r="O4125" s="4">
        <v>4.5999999999999999E-2</v>
      </c>
      <c r="P4125" s="1" t="s">
        <v>2721</v>
      </c>
    </row>
    <row r="4126" spans="1:16">
      <c r="A4126" s="1" t="s">
        <v>15</v>
      </c>
      <c r="B4126" s="1">
        <v>11</v>
      </c>
      <c r="C4126" s="1" t="s">
        <v>8581</v>
      </c>
      <c r="D4126" s="1" t="s">
        <v>411</v>
      </c>
      <c r="E4126" s="2">
        <v>45985</v>
      </c>
      <c r="F4126" s="1" t="s">
        <v>312</v>
      </c>
      <c r="G4126" s="1" t="s">
        <v>412</v>
      </c>
      <c r="H4126" s="1" t="s">
        <v>413</v>
      </c>
      <c r="I4126" s="1">
        <v>1</v>
      </c>
      <c r="J4126" s="3">
        <v>27524</v>
      </c>
      <c r="K4126" s="3">
        <v>26264</v>
      </c>
      <c r="L4126" s="1">
        <v>0</v>
      </c>
      <c r="M4126" s="4">
        <v>0</v>
      </c>
      <c r="N4126" s="3">
        <v>1260</v>
      </c>
      <c r="O4126" s="4">
        <v>4.5999999999999999E-2</v>
      </c>
      <c r="P4126" s="1" t="s">
        <v>2721</v>
      </c>
    </row>
    <row r="4127" spans="1:16">
      <c r="A4127" s="1" t="s">
        <v>577</v>
      </c>
      <c r="B4127" s="1">
        <v>11</v>
      </c>
      <c r="C4127" s="1" t="s">
        <v>8583</v>
      </c>
      <c r="D4127" s="1" t="s">
        <v>1741</v>
      </c>
      <c r="E4127" s="2">
        <v>45985</v>
      </c>
      <c r="F4127" s="1" t="s">
        <v>500</v>
      </c>
      <c r="G4127" s="1" t="s">
        <v>900</v>
      </c>
      <c r="H4127" s="1" t="s">
        <v>1678</v>
      </c>
      <c r="I4127" s="1">
        <v>1</v>
      </c>
      <c r="J4127" s="3">
        <v>102702</v>
      </c>
      <c r="K4127" s="3">
        <v>98000</v>
      </c>
      <c r="L4127" s="1">
        <v>0</v>
      </c>
      <c r="M4127" s="4">
        <v>0</v>
      </c>
      <c r="N4127" s="3">
        <v>4702</v>
      </c>
      <c r="O4127" s="4">
        <v>4.5999999999999999E-2</v>
      </c>
      <c r="P4127" s="1" t="s">
        <v>2721</v>
      </c>
    </row>
    <row r="4128" spans="1:16">
      <c r="A4128" s="1" t="s">
        <v>577</v>
      </c>
      <c r="B4128" s="1">
        <v>11</v>
      </c>
      <c r="C4128" s="1" t="s">
        <v>8584</v>
      </c>
      <c r="D4128" s="1" t="s">
        <v>5583</v>
      </c>
      <c r="E4128" s="2">
        <v>45985</v>
      </c>
      <c r="F4128" s="1" t="s">
        <v>276</v>
      </c>
      <c r="G4128" s="1" t="s">
        <v>2487</v>
      </c>
      <c r="H4128" s="1" t="s">
        <v>2488</v>
      </c>
      <c r="I4128" s="1">
        <v>1</v>
      </c>
      <c r="J4128" s="3">
        <v>15772</v>
      </c>
      <c r="K4128" s="3">
        <v>15050</v>
      </c>
      <c r="L4128" s="1">
        <v>0</v>
      </c>
      <c r="M4128" s="4">
        <v>0</v>
      </c>
      <c r="N4128" s="1">
        <v>722</v>
      </c>
      <c r="O4128" s="4">
        <v>4.5999999999999999E-2</v>
      </c>
      <c r="P4128" s="1" t="s">
        <v>2721</v>
      </c>
    </row>
    <row r="4129" spans="1:16">
      <c r="A4129" s="1" t="s">
        <v>577</v>
      </c>
      <c r="B4129" s="1">
        <v>11</v>
      </c>
      <c r="C4129" s="1" t="s">
        <v>8584</v>
      </c>
      <c r="D4129" s="1" t="s">
        <v>4296</v>
      </c>
      <c r="E4129" s="2">
        <v>45985</v>
      </c>
      <c r="F4129" s="1" t="s">
        <v>1241</v>
      </c>
      <c r="G4129" s="1" t="s">
        <v>3837</v>
      </c>
      <c r="H4129" s="1" t="s">
        <v>4035</v>
      </c>
      <c r="I4129" s="1">
        <v>1</v>
      </c>
      <c r="J4129" s="3">
        <v>14450</v>
      </c>
      <c r="K4129" s="3">
        <v>13789</v>
      </c>
      <c r="L4129" s="1">
        <v>0</v>
      </c>
      <c r="M4129" s="4">
        <v>0</v>
      </c>
      <c r="N4129" s="1">
        <v>661</v>
      </c>
      <c r="O4129" s="4">
        <v>4.5999999999999999E-2</v>
      </c>
      <c r="P4129" s="1" t="s">
        <v>2721</v>
      </c>
    </row>
    <row r="4130" spans="1:16">
      <c r="A4130" s="1" t="s">
        <v>577</v>
      </c>
      <c r="B4130" s="1">
        <v>11</v>
      </c>
      <c r="C4130" s="1" t="s">
        <v>8584</v>
      </c>
      <c r="D4130" s="1" t="s">
        <v>1702</v>
      </c>
      <c r="E4130" s="2">
        <v>45985</v>
      </c>
      <c r="F4130" s="1" t="s">
        <v>347</v>
      </c>
      <c r="G4130" s="1" t="s">
        <v>348</v>
      </c>
      <c r="H4130" s="1" t="s">
        <v>3288</v>
      </c>
      <c r="I4130" s="1">
        <v>1</v>
      </c>
      <c r="J4130" s="3">
        <v>20152</v>
      </c>
      <c r="K4130" s="3">
        <v>19229</v>
      </c>
      <c r="L4130" s="1">
        <v>0</v>
      </c>
      <c r="M4130" s="4">
        <v>0</v>
      </c>
      <c r="N4130" s="1">
        <v>923</v>
      </c>
      <c r="O4130" s="4">
        <v>4.5999999999999999E-2</v>
      </c>
      <c r="P4130" s="1" t="s">
        <v>2721</v>
      </c>
    </row>
    <row r="4131" spans="1:16">
      <c r="A4131" s="1" t="s">
        <v>577</v>
      </c>
      <c r="B4131" s="1">
        <v>11</v>
      </c>
      <c r="C4131" s="1" t="s">
        <v>8585</v>
      </c>
      <c r="D4131" s="1" t="s">
        <v>592</v>
      </c>
      <c r="E4131" s="2">
        <v>45985</v>
      </c>
      <c r="F4131" s="1" t="s">
        <v>33</v>
      </c>
      <c r="G4131" s="1" t="s">
        <v>34</v>
      </c>
      <c r="H4131" s="1" t="s">
        <v>8586</v>
      </c>
      <c r="I4131" s="1">
        <v>1</v>
      </c>
      <c r="J4131" s="3">
        <v>91081</v>
      </c>
      <c r="K4131" s="3">
        <v>86911</v>
      </c>
      <c r="L4131" s="1">
        <v>0</v>
      </c>
      <c r="M4131" s="4">
        <v>0</v>
      </c>
      <c r="N4131" s="3">
        <v>4170</v>
      </c>
      <c r="O4131" s="4">
        <v>4.5999999999999999E-2</v>
      </c>
      <c r="P4131" s="1" t="s">
        <v>2721</v>
      </c>
    </row>
    <row r="4132" spans="1:16">
      <c r="A4132" s="1" t="s">
        <v>577</v>
      </c>
      <c r="B4132" s="1">
        <v>11</v>
      </c>
      <c r="C4132" s="1" t="s">
        <v>8587</v>
      </c>
      <c r="D4132" s="1" t="s">
        <v>4296</v>
      </c>
      <c r="E4132" s="2">
        <v>45985</v>
      </c>
      <c r="F4132" s="1" t="s">
        <v>1241</v>
      </c>
      <c r="G4132" s="1" t="s">
        <v>3837</v>
      </c>
      <c r="H4132" s="1" t="s">
        <v>4035</v>
      </c>
      <c r="I4132" s="1">
        <v>1</v>
      </c>
      <c r="J4132" s="3">
        <v>14450</v>
      </c>
      <c r="K4132" s="3">
        <v>13789</v>
      </c>
      <c r="L4132" s="1">
        <v>0</v>
      </c>
      <c r="M4132" s="4">
        <v>0</v>
      </c>
      <c r="N4132" s="1">
        <v>661</v>
      </c>
      <c r="O4132" s="4">
        <v>4.5999999999999999E-2</v>
      </c>
      <c r="P4132" s="1" t="s">
        <v>2721</v>
      </c>
    </row>
    <row r="4133" spans="1:16">
      <c r="A4133" s="1" t="s">
        <v>577</v>
      </c>
      <c r="B4133" s="1">
        <v>11</v>
      </c>
      <c r="C4133" s="1" t="s">
        <v>8588</v>
      </c>
      <c r="D4133" s="1" t="s">
        <v>8589</v>
      </c>
      <c r="E4133" s="2">
        <v>45985</v>
      </c>
      <c r="F4133" s="1" t="s">
        <v>1632</v>
      </c>
      <c r="G4133" s="1" t="s">
        <v>8590</v>
      </c>
      <c r="H4133" s="1" t="s">
        <v>8591</v>
      </c>
      <c r="I4133" s="1">
        <v>1</v>
      </c>
      <c r="J4133" s="3">
        <v>17301</v>
      </c>
      <c r="K4133" s="3">
        <v>16509</v>
      </c>
      <c r="L4133" s="1">
        <v>0</v>
      </c>
      <c r="M4133" s="4">
        <v>0</v>
      </c>
      <c r="N4133" s="1">
        <v>792</v>
      </c>
      <c r="O4133" s="4">
        <v>4.5999999999999999E-2</v>
      </c>
      <c r="P4133" s="1" t="s">
        <v>2721</v>
      </c>
    </row>
    <row r="4134" spans="1:16">
      <c r="A4134" s="1" t="s">
        <v>577</v>
      </c>
      <c r="B4134" s="1">
        <v>11</v>
      </c>
      <c r="C4134" s="1" t="s">
        <v>8592</v>
      </c>
      <c r="D4134" s="1" t="s">
        <v>8593</v>
      </c>
      <c r="E4134" s="2">
        <v>45985</v>
      </c>
      <c r="F4134" s="1" t="s">
        <v>641</v>
      </c>
      <c r="G4134" s="1" t="s">
        <v>5507</v>
      </c>
      <c r="H4134" s="1" t="s">
        <v>8594</v>
      </c>
      <c r="I4134" s="1">
        <v>1</v>
      </c>
      <c r="J4134" s="3">
        <v>67827</v>
      </c>
      <c r="K4134" s="3">
        <v>64722</v>
      </c>
      <c r="L4134" s="1">
        <v>0</v>
      </c>
      <c r="M4134" s="4">
        <v>0</v>
      </c>
      <c r="N4134" s="3">
        <v>3105</v>
      </c>
      <c r="O4134" s="4">
        <v>4.5999999999999999E-2</v>
      </c>
      <c r="P4134" s="1" t="s">
        <v>2721</v>
      </c>
    </row>
    <row r="4135" spans="1:16">
      <c r="A4135" s="1" t="s">
        <v>577</v>
      </c>
      <c r="B4135" s="1">
        <v>11</v>
      </c>
      <c r="C4135" s="1" t="s">
        <v>8595</v>
      </c>
      <c r="D4135" s="1" t="s">
        <v>4330</v>
      </c>
      <c r="E4135" s="2">
        <v>45985</v>
      </c>
      <c r="F4135" s="1" t="s">
        <v>48</v>
      </c>
      <c r="G4135" s="1" t="s">
        <v>990</v>
      </c>
      <c r="H4135" s="1" t="s">
        <v>991</v>
      </c>
      <c r="I4135" s="1">
        <v>1</v>
      </c>
      <c r="J4135" s="3">
        <v>13113</v>
      </c>
      <c r="K4135" s="3">
        <v>12513</v>
      </c>
      <c r="L4135" s="1">
        <v>0</v>
      </c>
      <c r="M4135" s="4">
        <v>0</v>
      </c>
      <c r="N4135" s="1">
        <v>600</v>
      </c>
      <c r="O4135" s="4">
        <v>4.5999999999999999E-2</v>
      </c>
      <c r="P4135" s="1" t="s">
        <v>2721</v>
      </c>
    </row>
    <row r="4136" spans="1:16">
      <c r="A4136" s="1" t="s">
        <v>577</v>
      </c>
      <c r="B4136" s="1">
        <v>11</v>
      </c>
      <c r="C4136" s="1" t="s">
        <v>8596</v>
      </c>
      <c r="D4136" s="1" t="s">
        <v>8597</v>
      </c>
      <c r="E4136" s="2">
        <v>45985</v>
      </c>
      <c r="F4136" s="1" t="s">
        <v>96</v>
      </c>
      <c r="G4136" s="1" t="s">
        <v>8598</v>
      </c>
      <c r="H4136" s="1" t="s">
        <v>8599</v>
      </c>
      <c r="I4136" s="1">
        <v>1</v>
      </c>
      <c r="J4136" s="3">
        <v>14379</v>
      </c>
      <c r="K4136" s="3">
        <v>13721</v>
      </c>
      <c r="L4136" s="1">
        <v>0</v>
      </c>
      <c r="M4136" s="4">
        <v>0</v>
      </c>
      <c r="N4136" s="1">
        <v>658</v>
      </c>
      <c r="O4136" s="4">
        <v>4.5999999999999999E-2</v>
      </c>
      <c r="P4136" s="1" t="s">
        <v>2721</v>
      </c>
    </row>
    <row r="4137" spans="1:16">
      <c r="A4137" s="1" t="s">
        <v>577</v>
      </c>
      <c r="B4137" s="1">
        <v>11</v>
      </c>
      <c r="C4137" s="1" t="s">
        <v>8600</v>
      </c>
      <c r="D4137" s="1" t="s">
        <v>4300</v>
      </c>
      <c r="E4137" s="2">
        <v>45985</v>
      </c>
      <c r="F4137" s="1" t="s">
        <v>63</v>
      </c>
      <c r="G4137" s="1" t="s">
        <v>3755</v>
      </c>
      <c r="H4137" s="1" t="s">
        <v>6216</v>
      </c>
      <c r="I4137" s="1">
        <v>1</v>
      </c>
      <c r="J4137" s="3">
        <v>5679</v>
      </c>
      <c r="K4137" s="3">
        <v>5419</v>
      </c>
      <c r="L4137" s="1">
        <v>0</v>
      </c>
      <c r="M4137" s="4">
        <v>0</v>
      </c>
      <c r="N4137" s="1">
        <v>260</v>
      </c>
      <c r="O4137" s="4">
        <v>4.5999999999999999E-2</v>
      </c>
      <c r="P4137" s="1" t="s">
        <v>2721</v>
      </c>
    </row>
    <row r="4138" spans="1:16">
      <c r="A4138" s="1" t="s">
        <v>577</v>
      </c>
      <c r="B4138" s="1">
        <v>11</v>
      </c>
      <c r="C4138" s="1" t="s">
        <v>8601</v>
      </c>
      <c r="D4138" s="1" t="s">
        <v>8602</v>
      </c>
      <c r="E4138" s="2">
        <v>45985</v>
      </c>
      <c r="F4138" s="1" t="s">
        <v>725</v>
      </c>
      <c r="G4138" s="1" t="s">
        <v>8603</v>
      </c>
      <c r="H4138" s="1" t="s">
        <v>8603</v>
      </c>
      <c r="I4138" s="1">
        <v>1</v>
      </c>
      <c r="J4138" s="3">
        <v>139488</v>
      </c>
      <c r="K4138" s="3">
        <v>133102</v>
      </c>
      <c r="L4138" s="1">
        <v>0</v>
      </c>
      <c r="M4138" s="4">
        <v>0</v>
      </c>
      <c r="N4138" s="3">
        <v>6386</v>
      </c>
      <c r="O4138" s="4">
        <v>4.5999999999999999E-2</v>
      </c>
      <c r="P4138" s="1" t="s">
        <v>2721</v>
      </c>
    </row>
    <row r="4139" spans="1:16">
      <c r="A4139" s="1" t="s">
        <v>577</v>
      </c>
      <c r="B4139" s="1">
        <v>11</v>
      </c>
      <c r="C4139" s="1" t="s">
        <v>8604</v>
      </c>
      <c r="D4139" s="1" t="s">
        <v>8605</v>
      </c>
      <c r="E4139" s="2">
        <v>45985</v>
      </c>
      <c r="F4139" s="1" t="s">
        <v>292</v>
      </c>
      <c r="G4139" s="1" t="s">
        <v>293</v>
      </c>
      <c r="H4139" s="1" t="s">
        <v>1231</v>
      </c>
      <c r="I4139" s="1">
        <v>1</v>
      </c>
      <c r="J4139" s="3">
        <v>13271</v>
      </c>
      <c r="K4139" s="3">
        <v>12663</v>
      </c>
      <c r="L4139" s="1">
        <v>0</v>
      </c>
      <c r="M4139" s="4">
        <v>0</v>
      </c>
      <c r="N4139" s="1">
        <v>608</v>
      </c>
      <c r="O4139" s="4">
        <v>4.5999999999999999E-2</v>
      </c>
      <c r="P4139" s="1" t="s">
        <v>2721</v>
      </c>
    </row>
    <row r="4140" spans="1:16">
      <c r="A4140" s="1" t="s">
        <v>577</v>
      </c>
      <c r="B4140" s="1">
        <v>11</v>
      </c>
      <c r="C4140" s="1" t="s">
        <v>8606</v>
      </c>
      <c r="D4140" s="1" t="s">
        <v>1762</v>
      </c>
      <c r="E4140" s="2">
        <v>45985</v>
      </c>
      <c r="F4140" s="1" t="s">
        <v>347</v>
      </c>
      <c r="G4140" s="1" t="s">
        <v>1458</v>
      </c>
      <c r="H4140" s="1" t="s">
        <v>2847</v>
      </c>
      <c r="I4140" s="1">
        <v>1</v>
      </c>
      <c r="J4140" s="3">
        <v>22412</v>
      </c>
      <c r="K4140" s="3">
        <v>21386</v>
      </c>
      <c r="L4140" s="1">
        <v>0</v>
      </c>
      <c r="M4140" s="4">
        <v>0</v>
      </c>
      <c r="N4140" s="3">
        <v>1026</v>
      </c>
      <c r="O4140" s="4">
        <v>4.5999999999999999E-2</v>
      </c>
      <c r="P4140" s="1" t="s">
        <v>2721</v>
      </c>
    </row>
    <row r="4141" spans="1:16">
      <c r="A4141" s="1" t="s">
        <v>577</v>
      </c>
      <c r="B4141" s="1">
        <v>11</v>
      </c>
      <c r="C4141" s="1" t="s">
        <v>8607</v>
      </c>
      <c r="D4141" s="1" t="s">
        <v>8608</v>
      </c>
      <c r="E4141" s="2">
        <v>45985</v>
      </c>
      <c r="F4141" s="1" t="s">
        <v>235</v>
      </c>
      <c r="G4141" s="1" t="s">
        <v>2459</v>
      </c>
      <c r="H4141" s="1" t="s">
        <v>8609</v>
      </c>
      <c r="I4141" s="1">
        <v>1</v>
      </c>
      <c r="J4141" s="3">
        <v>18186</v>
      </c>
      <c r="K4141" s="3">
        <v>17353</v>
      </c>
      <c r="L4141" s="1">
        <v>0</v>
      </c>
      <c r="M4141" s="4">
        <v>0</v>
      </c>
      <c r="N4141" s="1">
        <v>833</v>
      </c>
      <c r="O4141" s="4">
        <v>4.5999999999999999E-2</v>
      </c>
      <c r="P4141" s="1" t="s">
        <v>2721</v>
      </c>
    </row>
    <row r="4142" spans="1:16">
      <c r="A4142" s="1" t="s">
        <v>577</v>
      </c>
      <c r="B4142" s="1">
        <v>11</v>
      </c>
      <c r="C4142" s="1" t="s">
        <v>8610</v>
      </c>
      <c r="D4142" s="1" t="s">
        <v>8611</v>
      </c>
      <c r="E4142" s="2">
        <v>45985</v>
      </c>
      <c r="F4142" s="1" t="s">
        <v>441</v>
      </c>
      <c r="G4142" s="1" t="s">
        <v>6066</v>
      </c>
      <c r="H4142" s="1" t="s">
        <v>6067</v>
      </c>
      <c r="I4142" s="1">
        <v>1</v>
      </c>
      <c r="J4142" s="3">
        <v>21135</v>
      </c>
      <c r="K4142" s="3">
        <v>20167</v>
      </c>
      <c r="L4142" s="1">
        <v>0</v>
      </c>
      <c r="M4142" s="4">
        <v>0</v>
      </c>
      <c r="N4142" s="1">
        <v>968</v>
      </c>
      <c r="O4142" s="4">
        <v>4.5999999999999999E-2</v>
      </c>
      <c r="P4142" s="1" t="s">
        <v>2721</v>
      </c>
    </row>
    <row r="4143" spans="1:16">
      <c r="A4143" s="1" t="s">
        <v>577</v>
      </c>
      <c r="B4143" s="1">
        <v>11</v>
      </c>
      <c r="C4143" s="1" t="s">
        <v>8612</v>
      </c>
      <c r="D4143" s="1" t="s">
        <v>1786</v>
      </c>
      <c r="E4143" s="2">
        <v>45985</v>
      </c>
      <c r="F4143" s="1" t="s">
        <v>347</v>
      </c>
      <c r="G4143" s="1" t="s">
        <v>1134</v>
      </c>
      <c r="H4143" s="1" t="s">
        <v>1340</v>
      </c>
      <c r="I4143" s="1">
        <v>1</v>
      </c>
      <c r="J4143" s="3">
        <v>22519</v>
      </c>
      <c r="K4143" s="3">
        <v>21488</v>
      </c>
      <c r="L4143" s="1">
        <v>0</v>
      </c>
      <c r="M4143" s="4">
        <v>0</v>
      </c>
      <c r="N4143" s="3">
        <v>1031</v>
      </c>
      <c r="O4143" s="4">
        <v>4.5999999999999999E-2</v>
      </c>
      <c r="P4143" s="1" t="s">
        <v>2721</v>
      </c>
    </row>
    <row r="4144" spans="1:16">
      <c r="A4144" s="1" t="s">
        <v>577</v>
      </c>
      <c r="B4144" s="1">
        <v>11</v>
      </c>
      <c r="C4144" s="1" t="s">
        <v>8613</v>
      </c>
      <c r="D4144" s="1" t="s">
        <v>1779</v>
      </c>
      <c r="E4144" s="2">
        <v>45985</v>
      </c>
      <c r="F4144" s="1" t="s">
        <v>63</v>
      </c>
      <c r="G4144" s="1" t="s">
        <v>113</v>
      </c>
      <c r="H4144" s="1" t="s">
        <v>1655</v>
      </c>
      <c r="I4144" s="1">
        <v>1</v>
      </c>
      <c r="J4144" s="3">
        <v>6009</v>
      </c>
      <c r="K4144" s="3">
        <v>5734</v>
      </c>
      <c r="L4144" s="1">
        <v>0</v>
      </c>
      <c r="M4144" s="4">
        <v>0</v>
      </c>
      <c r="N4144" s="1">
        <v>275</v>
      </c>
      <c r="O4144" s="4">
        <v>4.5999999999999999E-2</v>
      </c>
      <c r="P4144" s="1" t="s">
        <v>2721</v>
      </c>
    </row>
    <row r="4145" spans="1:16">
      <c r="A4145" s="1" t="s">
        <v>577</v>
      </c>
      <c r="B4145" s="1">
        <v>11</v>
      </c>
      <c r="C4145" s="1" t="s">
        <v>8614</v>
      </c>
      <c r="D4145" s="1" t="s">
        <v>5583</v>
      </c>
      <c r="E4145" s="2">
        <v>45985</v>
      </c>
      <c r="F4145" s="1" t="s">
        <v>276</v>
      </c>
      <c r="G4145" s="1" t="s">
        <v>2487</v>
      </c>
      <c r="H4145" s="1" t="s">
        <v>2488</v>
      </c>
      <c r="I4145" s="1">
        <v>1</v>
      </c>
      <c r="J4145" s="3">
        <v>15772</v>
      </c>
      <c r="K4145" s="3">
        <v>15050</v>
      </c>
      <c r="L4145" s="1">
        <v>0</v>
      </c>
      <c r="M4145" s="4">
        <v>0</v>
      </c>
      <c r="N4145" s="1">
        <v>722</v>
      </c>
      <c r="O4145" s="4">
        <v>4.5999999999999999E-2</v>
      </c>
      <c r="P4145" s="1" t="s">
        <v>2721</v>
      </c>
    </row>
    <row r="4146" spans="1:16">
      <c r="A4146" s="1" t="s">
        <v>577</v>
      </c>
      <c r="B4146" s="1">
        <v>11</v>
      </c>
      <c r="C4146" s="1" t="s">
        <v>8615</v>
      </c>
      <c r="D4146" s="1" t="s">
        <v>8616</v>
      </c>
      <c r="E4146" s="2">
        <v>45985</v>
      </c>
      <c r="F4146" s="1" t="s">
        <v>1403</v>
      </c>
      <c r="G4146" s="1" t="s">
        <v>5432</v>
      </c>
      <c r="H4146" s="1" t="s">
        <v>5433</v>
      </c>
      <c r="I4146" s="1">
        <v>1</v>
      </c>
      <c r="J4146" s="3">
        <v>9142</v>
      </c>
      <c r="K4146" s="3">
        <v>8723</v>
      </c>
      <c r="L4146" s="1">
        <v>0</v>
      </c>
      <c r="M4146" s="4">
        <v>0</v>
      </c>
      <c r="N4146" s="1">
        <v>419</v>
      </c>
      <c r="O4146" s="4">
        <v>4.5999999999999999E-2</v>
      </c>
      <c r="P4146" s="1" t="s">
        <v>2721</v>
      </c>
    </row>
    <row r="4147" spans="1:16">
      <c r="A4147" s="1" t="s">
        <v>577</v>
      </c>
      <c r="B4147" s="1">
        <v>11</v>
      </c>
      <c r="C4147" s="1" t="s">
        <v>8617</v>
      </c>
      <c r="D4147" s="1" t="s">
        <v>8618</v>
      </c>
      <c r="E4147" s="2">
        <v>45985</v>
      </c>
      <c r="F4147" s="1" t="s">
        <v>200</v>
      </c>
      <c r="G4147" s="1" t="s">
        <v>8619</v>
      </c>
      <c r="H4147" s="1" t="s">
        <v>8620</v>
      </c>
      <c r="I4147" s="1">
        <v>1</v>
      </c>
      <c r="J4147" s="3">
        <v>31456</v>
      </c>
      <c r="K4147" s="3">
        <v>30016</v>
      </c>
      <c r="L4147" s="1">
        <v>0</v>
      </c>
      <c r="M4147" s="4">
        <v>0</v>
      </c>
      <c r="N4147" s="3">
        <v>1440</v>
      </c>
      <c r="O4147" s="4">
        <v>4.5999999999999999E-2</v>
      </c>
      <c r="P4147" s="1" t="s">
        <v>2721</v>
      </c>
    </row>
    <row r="4148" spans="1:16">
      <c r="A4148" s="1" t="s">
        <v>577</v>
      </c>
      <c r="B4148" s="1">
        <v>11</v>
      </c>
      <c r="C4148" s="1" t="s">
        <v>8621</v>
      </c>
      <c r="D4148" s="1" t="s">
        <v>8622</v>
      </c>
      <c r="E4148" s="2">
        <v>45985</v>
      </c>
      <c r="F4148" s="1" t="s">
        <v>2555</v>
      </c>
      <c r="G4148" s="1" t="s">
        <v>2556</v>
      </c>
      <c r="H4148" s="1" t="s">
        <v>2557</v>
      </c>
      <c r="I4148" s="1">
        <v>1</v>
      </c>
      <c r="J4148" s="3">
        <v>30670</v>
      </c>
      <c r="K4148" s="3">
        <v>29266</v>
      </c>
      <c r="L4148" s="1">
        <v>0</v>
      </c>
      <c r="M4148" s="4">
        <v>0</v>
      </c>
      <c r="N4148" s="3">
        <v>1404</v>
      </c>
      <c r="O4148" s="4">
        <v>4.5999999999999999E-2</v>
      </c>
      <c r="P4148" s="1" t="s">
        <v>2721</v>
      </c>
    </row>
    <row r="4149" spans="1:16">
      <c r="A4149" s="1" t="s">
        <v>577</v>
      </c>
      <c r="B4149" s="1">
        <v>11</v>
      </c>
      <c r="C4149" s="1" t="s">
        <v>8623</v>
      </c>
      <c r="D4149" s="1" t="s">
        <v>1779</v>
      </c>
      <c r="E4149" s="2">
        <v>45985</v>
      </c>
      <c r="F4149" s="1" t="s">
        <v>63</v>
      </c>
      <c r="G4149" s="1" t="s">
        <v>113</v>
      </c>
      <c r="H4149" s="1" t="s">
        <v>74</v>
      </c>
      <c r="I4149" s="1">
        <v>2</v>
      </c>
      <c r="J4149" s="3">
        <v>20912</v>
      </c>
      <c r="K4149" s="3">
        <v>19955</v>
      </c>
      <c r="L4149" s="1">
        <v>0</v>
      </c>
      <c r="M4149" s="4">
        <v>0</v>
      </c>
      <c r="N4149" s="1">
        <v>957</v>
      </c>
      <c r="O4149" s="4">
        <v>4.5999999999999999E-2</v>
      </c>
      <c r="P4149" s="1" t="s">
        <v>2721</v>
      </c>
    </row>
    <row r="4150" spans="1:16">
      <c r="A4150" s="1" t="s">
        <v>577</v>
      </c>
      <c r="B4150" s="1">
        <v>11</v>
      </c>
      <c r="C4150" s="1" t="s">
        <v>8624</v>
      </c>
      <c r="D4150" s="1" t="s">
        <v>8625</v>
      </c>
      <c r="E4150" s="2">
        <v>45985</v>
      </c>
      <c r="F4150" s="1" t="s">
        <v>53</v>
      </c>
      <c r="G4150" s="1" t="s">
        <v>1012</v>
      </c>
      <c r="H4150" s="1" t="s">
        <v>1013</v>
      </c>
      <c r="I4150" s="1">
        <v>1</v>
      </c>
      <c r="J4150" s="3">
        <v>11628</v>
      </c>
      <c r="K4150" s="3">
        <v>11096</v>
      </c>
      <c r="L4150" s="1">
        <v>0</v>
      </c>
      <c r="M4150" s="4">
        <v>0</v>
      </c>
      <c r="N4150" s="1">
        <v>532</v>
      </c>
      <c r="O4150" s="4">
        <v>4.5999999999999999E-2</v>
      </c>
      <c r="P4150" s="1" t="s">
        <v>2721</v>
      </c>
    </row>
    <row r="4151" spans="1:16">
      <c r="A4151" s="1" t="s">
        <v>577</v>
      </c>
      <c r="B4151" s="1">
        <v>11</v>
      </c>
      <c r="C4151" s="1" t="s">
        <v>8626</v>
      </c>
      <c r="D4151" s="1" t="s">
        <v>8627</v>
      </c>
      <c r="E4151" s="2">
        <v>45985</v>
      </c>
      <c r="F4151" s="1" t="s">
        <v>96</v>
      </c>
      <c r="G4151" s="1" t="s">
        <v>2835</v>
      </c>
      <c r="H4151" s="1" t="s">
        <v>701</v>
      </c>
      <c r="I4151" s="1">
        <v>1</v>
      </c>
      <c r="J4151" s="3">
        <v>11666</v>
      </c>
      <c r="K4151" s="3">
        <v>11132</v>
      </c>
      <c r="L4151" s="1">
        <v>0</v>
      </c>
      <c r="M4151" s="4">
        <v>0</v>
      </c>
      <c r="N4151" s="1">
        <v>534</v>
      </c>
      <c r="O4151" s="4">
        <v>4.5999999999999999E-2</v>
      </c>
      <c r="P4151" s="1" t="s">
        <v>2721</v>
      </c>
    </row>
    <row r="4152" spans="1:16">
      <c r="A4152" s="1" t="s">
        <v>577</v>
      </c>
      <c r="B4152" s="1">
        <v>11</v>
      </c>
      <c r="C4152" s="1" t="s">
        <v>8628</v>
      </c>
      <c r="D4152" s="1" t="s">
        <v>1779</v>
      </c>
      <c r="E4152" s="2">
        <v>45985</v>
      </c>
      <c r="F4152" s="1" t="s">
        <v>63</v>
      </c>
      <c r="G4152" s="1" t="s">
        <v>113</v>
      </c>
      <c r="H4152" s="1" t="s">
        <v>1655</v>
      </c>
      <c r="I4152" s="1">
        <v>1</v>
      </c>
      <c r="J4152" s="3">
        <v>6009</v>
      </c>
      <c r="K4152" s="3">
        <v>5734</v>
      </c>
      <c r="L4152" s="1">
        <v>0</v>
      </c>
      <c r="M4152" s="4">
        <v>0</v>
      </c>
      <c r="N4152" s="1">
        <v>275</v>
      </c>
      <c r="O4152" s="4">
        <v>4.5999999999999999E-2</v>
      </c>
      <c r="P4152" s="1" t="s">
        <v>2721</v>
      </c>
    </row>
    <row r="4153" spans="1:16">
      <c r="A4153" s="1" t="s">
        <v>577</v>
      </c>
      <c r="B4153" s="1">
        <v>11</v>
      </c>
      <c r="C4153" s="1" t="s">
        <v>8629</v>
      </c>
      <c r="D4153" s="1" t="s">
        <v>7203</v>
      </c>
      <c r="E4153" s="2">
        <v>45985</v>
      </c>
      <c r="F4153" s="1" t="s">
        <v>53</v>
      </c>
      <c r="G4153" s="1" t="s">
        <v>4695</v>
      </c>
      <c r="H4153" s="1" t="s">
        <v>4696</v>
      </c>
      <c r="I4153" s="1">
        <v>1</v>
      </c>
      <c r="J4153" s="3">
        <v>12529</v>
      </c>
      <c r="K4153" s="3">
        <v>11956</v>
      </c>
      <c r="L4153" s="1">
        <v>0</v>
      </c>
      <c r="M4153" s="4">
        <v>0</v>
      </c>
      <c r="N4153" s="1">
        <v>573</v>
      </c>
      <c r="O4153" s="4">
        <v>4.5999999999999999E-2</v>
      </c>
      <c r="P4153" s="1" t="s">
        <v>2721</v>
      </c>
    </row>
    <row r="4154" spans="1:16">
      <c r="A4154" s="1" t="s">
        <v>577</v>
      </c>
      <c r="B4154" s="1">
        <v>11</v>
      </c>
      <c r="C4154" s="1" t="s">
        <v>8630</v>
      </c>
      <c r="D4154" s="1" t="s">
        <v>3167</v>
      </c>
      <c r="E4154" s="2">
        <v>45985</v>
      </c>
      <c r="F4154" s="1" t="s">
        <v>334</v>
      </c>
      <c r="G4154" s="1" t="s">
        <v>3168</v>
      </c>
      <c r="H4154" s="1" t="s">
        <v>8631</v>
      </c>
      <c r="I4154" s="1">
        <v>1</v>
      </c>
      <c r="J4154" s="3">
        <v>45611</v>
      </c>
      <c r="K4154" s="3">
        <v>43523</v>
      </c>
      <c r="L4154" s="1">
        <v>0</v>
      </c>
      <c r="M4154" s="4">
        <v>0</v>
      </c>
      <c r="N4154" s="3">
        <v>2088</v>
      </c>
      <c r="O4154" s="4">
        <v>4.5999999999999999E-2</v>
      </c>
      <c r="P4154" s="1" t="s">
        <v>2721</v>
      </c>
    </row>
    <row r="4155" spans="1:16">
      <c r="A4155" s="1" t="s">
        <v>577</v>
      </c>
      <c r="B4155" s="1">
        <v>11</v>
      </c>
      <c r="C4155" s="1" t="s">
        <v>8632</v>
      </c>
      <c r="D4155" s="1" t="s">
        <v>1741</v>
      </c>
      <c r="E4155" s="2">
        <v>45985</v>
      </c>
      <c r="F4155" s="1" t="s">
        <v>500</v>
      </c>
      <c r="G4155" s="1" t="s">
        <v>900</v>
      </c>
      <c r="H4155" s="1" t="s">
        <v>1678</v>
      </c>
      <c r="I4155" s="1">
        <v>1</v>
      </c>
      <c r="J4155" s="3">
        <v>102702</v>
      </c>
      <c r="K4155" s="3">
        <v>98000</v>
      </c>
      <c r="L4155" s="1">
        <v>0</v>
      </c>
      <c r="M4155" s="4">
        <v>0</v>
      </c>
      <c r="N4155" s="3">
        <v>4702</v>
      </c>
      <c r="O4155" s="4">
        <v>4.5999999999999999E-2</v>
      </c>
      <c r="P4155" s="1" t="s">
        <v>2721</v>
      </c>
    </row>
    <row r="4156" spans="1:16">
      <c r="A4156" s="1" t="s">
        <v>577</v>
      </c>
      <c r="B4156" s="1">
        <v>11</v>
      </c>
      <c r="C4156" s="1" t="s">
        <v>8633</v>
      </c>
      <c r="D4156" s="1" t="s">
        <v>1762</v>
      </c>
      <c r="E4156" s="2">
        <v>45985</v>
      </c>
      <c r="F4156" s="1" t="s">
        <v>347</v>
      </c>
      <c r="G4156" s="1" t="s">
        <v>1458</v>
      </c>
      <c r="H4156" s="1" t="s">
        <v>8634</v>
      </c>
      <c r="I4156" s="1">
        <v>1</v>
      </c>
      <c r="J4156" s="3">
        <v>25597</v>
      </c>
      <c r="K4156" s="3">
        <v>24426</v>
      </c>
      <c r="L4156" s="1">
        <v>0</v>
      </c>
      <c r="M4156" s="4">
        <v>0</v>
      </c>
      <c r="N4156" s="3">
        <v>1171</v>
      </c>
      <c r="O4156" s="4">
        <v>4.5999999999999999E-2</v>
      </c>
      <c r="P4156" s="1" t="s">
        <v>2721</v>
      </c>
    </row>
    <row r="4157" spans="1:16">
      <c r="A4157" s="1" t="s">
        <v>577</v>
      </c>
      <c r="B4157" s="1">
        <v>11</v>
      </c>
      <c r="C4157" s="1" t="s">
        <v>8635</v>
      </c>
      <c r="D4157" s="1" t="s">
        <v>8636</v>
      </c>
      <c r="E4157" s="2">
        <v>45985</v>
      </c>
      <c r="F4157" s="1" t="s">
        <v>256</v>
      </c>
      <c r="G4157" s="1" t="s">
        <v>1027</v>
      </c>
      <c r="H4157" s="1" t="s">
        <v>1028</v>
      </c>
      <c r="I4157" s="1">
        <v>1</v>
      </c>
      <c r="J4157" s="3">
        <v>5407</v>
      </c>
      <c r="K4157" s="3">
        <v>5159</v>
      </c>
      <c r="L4157" s="1">
        <v>0</v>
      </c>
      <c r="M4157" s="4">
        <v>0</v>
      </c>
      <c r="N4157" s="1">
        <v>248</v>
      </c>
      <c r="O4157" s="4">
        <v>4.5999999999999999E-2</v>
      </c>
      <c r="P4157" s="1" t="s">
        <v>2721</v>
      </c>
    </row>
    <row r="4158" spans="1:16">
      <c r="A4158" s="1" t="s">
        <v>577</v>
      </c>
      <c r="B4158" s="1">
        <v>11</v>
      </c>
      <c r="C4158" s="1" t="s">
        <v>8637</v>
      </c>
      <c r="D4158" s="1" t="s">
        <v>8638</v>
      </c>
      <c r="E4158" s="2">
        <v>45985</v>
      </c>
      <c r="F4158" s="1" t="s">
        <v>63</v>
      </c>
      <c r="G4158" s="1" t="s">
        <v>1343</v>
      </c>
      <c r="H4158" s="1" t="s">
        <v>1344</v>
      </c>
      <c r="I4158" s="1">
        <v>1</v>
      </c>
      <c r="J4158" s="3">
        <v>28034</v>
      </c>
      <c r="K4158" s="3">
        <v>26751</v>
      </c>
      <c r="L4158" s="1">
        <v>0</v>
      </c>
      <c r="M4158" s="4">
        <v>0</v>
      </c>
      <c r="N4158" s="3">
        <v>1283</v>
      </c>
      <c r="O4158" s="4">
        <v>4.5999999999999999E-2</v>
      </c>
      <c r="P4158" s="1" t="s">
        <v>2721</v>
      </c>
    </row>
    <row r="4159" spans="1:16">
      <c r="A4159" s="1" t="s">
        <v>577</v>
      </c>
      <c r="B4159" s="1">
        <v>11</v>
      </c>
      <c r="C4159" s="1" t="s">
        <v>8639</v>
      </c>
      <c r="D4159" s="1" t="s">
        <v>1786</v>
      </c>
      <c r="E4159" s="2">
        <v>45985</v>
      </c>
      <c r="F4159" s="1" t="s">
        <v>347</v>
      </c>
      <c r="G4159" s="1" t="s">
        <v>1134</v>
      </c>
      <c r="H4159" s="1" t="s">
        <v>1135</v>
      </c>
      <c r="I4159" s="1">
        <v>1</v>
      </c>
      <c r="J4159" s="3">
        <v>22790</v>
      </c>
      <c r="K4159" s="3">
        <v>21747</v>
      </c>
      <c r="L4159" s="1">
        <v>0</v>
      </c>
      <c r="M4159" s="4">
        <v>0</v>
      </c>
      <c r="N4159" s="3">
        <v>1043</v>
      </c>
      <c r="O4159" s="4">
        <v>4.5999999999999999E-2</v>
      </c>
      <c r="P4159" s="1" t="s">
        <v>2721</v>
      </c>
    </row>
    <row r="4160" spans="1:16">
      <c r="A4160" s="1" t="s">
        <v>577</v>
      </c>
      <c r="B4160" s="1">
        <v>11</v>
      </c>
      <c r="C4160" s="1" t="s">
        <v>8640</v>
      </c>
      <c r="D4160" s="1" t="s">
        <v>1750</v>
      </c>
      <c r="E4160" s="2">
        <v>45985</v>
      </c>
      <c r="F4160" s="1" t="s">
        <v>96</v>
      </c>
      <c r="G4160" s="1" t="s">
        <v>1751</v>
      </c>
      <c r="H4160" s="1" t="s">
        <v>1752</v>
      </c>
      <c r="I4160" s="1">
        <v>1</v>
      </c>
      <c r="J4160" s="3">
        <v>17906</v>
      </c>
      <c r="K4160" s="3">
        <v>17087</v>
      </c>
      <c r="L4160" s="1">
        <v>0</v>
      </c>
      <c r="M4160" s="4">
        <v>0</v>
      </c>
      <c r="N4160" s="1">
        <v>819</v>
      </c>
      <c r="O4160" s="4">
        <v>4.5999999999999999E-2</v>
      </c>
      <c r="P4160" s="1" t="s">
        <v>2721</v>
      </c>
    </row>
    <row r="4161" spans="1:16">
      <c r="A4161" s="1" t="s">
        <v>577</v>
      </c>
      <c r="B4161" s="1">
        <v>11</v>
      </c>
      <c r="C4161" s="1" t="s">
        <v>8641</v>
      </c>
      <c r="D4161" s="1" t="s">
        <v>595</v>
      </c>
      <c r="E4161" s="2">
        <v>45985</v>
      </c>
      <c r="F4161" s="1" t="s">
        <v>96</v>
      </c>
      <c r="G4161" s="1" t="s">
        <v>596</v>
      </c>
      <c r="H4161" s="1" t="s">
        <v>597</v>
      </c>
      <c r="I4161" s="1">
        <v>1</v>
      </c>
      <c r="J4161" s="3">
        <v>11666</v>
      </c>
      <c r="K4161" s="3">
        <v>11132</v>
      </c>
      <c r="L4161" s="1">
        <v>0</v>
      </c>
      <c r="M4161" s="4">
        <v>0</v>
      </c>
      <c r="N4161" s="1">
        <v>534</v>
      </c>
      <c r="O4161" s="4">
        <v>4.5999999999999999E-2</v>
      </c>
      <c r="P4161" s="1" t="s">
        <v>2721</v>
      </c>
    </row>
    <row r="4162" spans="1:16">
      <c r="A4162" s="1" t="s">
        <v>577</v>
      </c>
      <c r="B4162" s="1">
        <v>11</v>
      </c>
      <c r="C4162" s="1" t="s">
        <v>8642</v>
      </c>
      <c r="D4162" s="1" t="s">
        <v>5587</v>
      </c>
      <c r="E4162" s="2">
        <v>45985</v>
      </c>
      <c r="F4162" s="1" t="s">
        <v>1255</v>
      </c>
      <c r="G4162" s="1" t="s">
        <v>5588</v>
      </c>
      <c r="H4162" s="1" t="s">
        <v>5589</v>
      </c>
      <c r="I4162" s="1">
        <v>1</v>
      </c>
      <c r="J4162" s="3">
        <v>21528</v>
      </c>
      <c r="K4162" s="3">
        <v>20542</v>
      </c>
      <c r="L4162" s="1">
        <v>0</v>
      </c>
      <c r="M4162" s="4">
        <v>0</v>
      </c>
      <c r="N4162" s="1">
        <v>986</v>
      </c>
      <c r="O4162" s="4">
        <v>4.5999999999999999E-2</v>
      </c>
      <c r="P4162" s="1" t="s">
        <v>2721</v>
      </c>
    </row>
    <row r="4163" spans="1:16">
      <c r="A4163" s="1" t="s">
        <v>577</v>
      </c>
      <c r="B4163" s="1">
        <v>11</v>
      </c>
      <c r="C4163" s="1" t="s">
        <v>8643</v>
      </c>
      <c r="D4163" s="1" t="s">
        <v>6575</v>
      </c>
      <c r="E4163" s="2">
        <v>45985</v>
      </c>
      <c r="F4163" s="1" t="s">
        <v>235</v>
      </c>
      <c r="G4163" s="1" t="s">
        <v>5546</v>
      </c>
      <c r="H4163" s="1" t="s">
        <v>5549</v>
      </c>
      <c r="I4163" s="1">
        <v>1</v>
      </c>
      <c r="J4163" s="3">
        <v>10491</v>
      </c>
      <c r="K4163" s="3">
        <v>10010</v>
      </c>
      <c r="L4163" s="1">
        <v>0</v>
      </c>
      <c r="M4163" s="4">
        <v>0</v>
      </c>
      <c r="N4163" s="1">
        <v>481</v>
      </c>
      <c r="O4163" s="4">
        <v>4.5999999999999999E-2</v>
      </c>
      <c r="P4163" s="1" t="s">
        <v>2721</v>
      </c>
    </row>
    <row r="4164" spans="1:16">
      <c r="A4164" s="1" t="s">
        <v>577</v>
      </c>
      <c r="B4164" s="1">
        <v>11</v>
      </c>
      <c r="C4164" s="1" t="s">
        <v>8644</v>
      </c>
      <c r="D4164" s="1" t="s">
        <v>579</v>
      </c>
      <c r="E4164" s="2">
        <v>45985</v>
      </c>
      <c r="F4164" s="1" t="s">
        <v>63</v>
      </c>
      <c r="G4164" s="1" t="s">
        <v>117</v>
      </c>
      <c r="H4164" s="1" t="s">
        <v>118</v>
      </c>
      <c r="I4164" s="1">
        <v>1</v>
      </c>
      <c r="J4164" s="3">
        <v>18627</v>
      </c>
      <c r="K4164" s="3">
        <v>17774</v>
      </c>
      <c r="L4164" s="1">
        <v>0</v>
      </c>
      <c r="M4164" s="4">
        <v>0</v>
      </c>
      <c r="N4164" s="1">
        <v>853</v>
      </c>
      <c r="O4164" s="4">
        <v>4.5999999999999999E-2</v>
      </c>
      <c r="P4164" s="1" t="s">
        <v>2721</v>
      </c>
    </row>
    <row r="4165" spans="1:16">
      <c r="A4165" s="1" t="s">
        <v>577</v>
      </c>
      <c r="B4165" s="1">
        <v>11</v>
      </c>
      <c r="C4165" s="1" t="s">
        <v>8645</v>
      </c>
      <c r="D4165" s="1" t="s">
        <v>4330</v>
      </c>
      <c r="E4165" s="2">
        <v>45985</v>
      </c>
      <c r="F4165" s="1" t="s">
        <v>48</v>
      </c>
      <c r="G4165" s="1" t="s">
        <v>990</v>
      </c>
      <c r="H4165" s="1" t="s">
        <v>991</v>
      </c>
      <c r="I4165" s="1">
        <v>1</v>
      </c>
      <c r="J4165" s="3">
        <v>13113</v>
      </c>
      <c r="K4165" s="3">
        <v>12513</v>
      </c>
      <c r="L4165" s="1">
        <v>0</v>
      </c>
      <c r="M4165" s="4">
        <v>0</v>
      </c>
      <c r="N4165" s="1">
        <v>600</v>
      </c>
      <c r="O4165" s="4">
        <v>4.5999999999999999E-2</v>
      </c>
      <c r="P4165" s="1" t="s">
        <v>2721</v>
      </c>
    </row>
    <row r="4166" spans="1:16">
      <c r="A4166" s="1" t="s">
        <v>577</v>
      </c>
      <c r="B4166" s="1">
        <v>11</v>
      </c>
      <c r="C4166" s="1" t="s">
        <v>8646</v>
      </c>
      <c r="D4166" s="1" t="s">
        <v>7203</v>
      </c>
      <c r="E4166" s="2">
        <v>45985</v>
      </c>
      <c r="F4166" s="1" t="s">
        <v>53</v>
      </c>
      <c r="G4166" s="1" t="s">
        <v>4695</v>
      </c>
      <c r="H4166" s="1" t="s">
        <v>4696</v>
      </c>
      <c r="I4166" s="1">
        <v>1</v>
      </c>
      <c r="J4166" s="3">
        <v>12529</v>
      </c>
      <c r="K4166" s="3">
        <v>11956</v>
      </c>
      <c r="L4166" s="1">
        <v>0</v>
      </c>
      <c r="M4166" s="4">
        <v>0</v>
      </c>
      <c r="N4166" s="1">
        <v>573</v>
      </c>
      <c r="O4166" s="4">
        <v>4.5999999999999999E-2</v>
      </c>
      <c r="P4166" s="1" t="s">
        <v>2721</v>
      </c>
    </row>
    <row r="4167" spans="1:16">
      <c r="A4167" s="1" t="s">
        <v>577</v>
      </c>
      <c r="B4167" s="1">
        <v>11</v>
      </c>
      <c r="C4167" s="1" t="s">
        <v>8647</v>
      </c>
      <c r="D4167" s="1" t="s">
        <v>7513</v>
      </c>
      <c r="E4167" s="2">
        <v>45985</v>
      </c>
      <c r="F4167" s="1" t="s">
        <v>96</v>
      </c>
      <c r="G4167" s="1" t="s">
        <v>7514</v>
      </c>
      <c r="H4167" s="1" t="s">
        <v>2838</v>
      </c>
      <c r="I4167" s="1">
        <v>1</v>
      </c>
      <c r="J4167" s="3">
        <v>8953</v>
      </c>
      <c r="K4167" s="3">
        <v>8543</v>
      </c>
      <c r="L4167" s="1">
        <v>0</v>
      </c>
      <c r="M4167" s="4">
        <v>0</v>
      </c>
      <c r="N4167" s="1">
        <v>410</v>
      </c>
      <c r="O4167" s="4">
        <v>4.5999999999999999E-2</v>
      </c>
      <c r="P4167" s="1" t="s">
        <v>2721</v>
      </c>
    </row>
    <row r="4168" spans="1:16">
      <c r="A4168" s="1" t="s">
        <v>577</v>
      </c>
      <c r="B4168" s="1">
        <v>11</v>
      </c>
      <c r="C4168" s="1" t="s">
        <v>8648</v>
      </c>
      <c r="D4168" s="1" t="s">
        <v>4344</v>
      </c>
      <c r="E4168" s="2">
        <v>45985</v>
      </c>
      <c r="F4168" s="1" t="s">
        <v>68</v>
      </c>
      <c r="G4168" s="1" t="s">
        <v>4032</v>
      </c>
      <c r="H4168" s="1" t="s">
        <v>8649</v>
      </c>
      <c r="I4168" s="1">
        <v>1</v>
      </c>
      <c r="J4168" s="3">
        <v>14170</v>
      </c>
      <c r="K4168" s="3">
        <v>13521</v>
      </c>
      <c r="L4168" s="1">
        <v>0</v>
      </c>
      <c r="M4168" s="4">
        <v>0</v>
      </c>
      <c r="N4168" s="1">
        <v>649</v>
      </c>
      <c r="O4168" s="4">
        <v>4.5999999999999999E-2</v>
      </c>
      <c r="P4168" s="1" t="s">
        <v>2721</v>
      </c>
    </row>
    <row r="4169" spans="1:16">
      <c r="A4169" s="1" t="s">
        <v>577</v>
      </c>
      <c r="B4169" s="1">
        <v>11</v>
      </c>
      <c r="C4169" s="1" t="s">
        <v>8650</v>
      </c>
      <c r="D4169" s="1" t="s">
        <v>8651</v>
      </c>
      <c r="E4169" s="2">
        <v>45985</v>
      </c>
      <c r="F4169" s="1" t="s">
        <v>256</v>
      </c>
      <c r="G4169" s="1" t="s">
        <v>8652</v>
      </c>
      <c r="H4169" s="1" t="s">
        <v>2047</v>
      </c>
      <c r="I4169" s="1">
        <v>1</v>
      </c>
      <c r="J4169" s="3">
        <v>14057</v>
      </c>
      <c r="K4169" s="3">
        <v>13413</v>
      </c>
      <c r="L4169" s="1">
        <v>0</v>
      </c>
      <c r="M4169" s="4">
        <v>0</v>
      </c>
      <c r="N4169" s="1">
        <v>644</v>
      </c>
      <c r="O4169" s="4">
        <v>4.5999999999999999E-2</v>
      </c>
      <c r="P4169" s="1" t="s">
        <v>2721</v>
      </c>
    </row>
    <row r="4170" spans="1:16">
      <c r="A4170" s="1" t="s">
        <v>577</v>
      </c>
      <c r="B4170" s="1">
        <v>11</v>
      </c>
      <c r="C4170" s="1" t="s">
        <v>8653</v>
      </c>
      <c r="D4170" s="1" t="s">
        <v>1741</v>
      </c>
      <c r="E4170" s="2">
        <v>45985</v>
      </c>
      <c r="F4170" s="1" t="s">
        <v>500</v>
      </c>
      <c r="G4170" s="1" t="s">
        <v>900</v>
      </c>
      <c r="H4170" s="1" t="s">
        <v>1678</v>
      </c>
      <c r="I4170" s="1">
        <v>1</v>
      </c>
      <c r="J4170" s="3">
        <v>102702</v>
      </c>
      <c r="K4170" s="3">
        <v>98000</v>
      </c>
      <c r="L4170" s="1">
        <v>0</v>
      </c>
      <c r="M4170" s="4">
        <v>0</v>
      </c>
      <c r="N4170" s="3">
        <v>4702</v>
      </c>
      <c r="O4170" s="4">
        <v>4.5999999999999999E-2</v>
      </c>
      <c r="P4170" s="1" t="s">
        <v>2721</v>
      </c>
    </row>
    <row r="4171" spans="1:16">
      <c r="A4171" s="1" t="s">
        <v>577</v>
      </c>
      <c r="B4171" s="1">
        <v>11</v>
      </c>
      <c r="C4171" s="1" t="s">
        <v>8654</v>
      </c>
      <c r="D4171" s="1" t="s">
        <v>1738</v>
      </c>
      <c r="E4171" s="2">
        <v>45985</v>
      </c>
      <c r="F4171" s="1" t="s">
        <v>407</v>
      </c>
      <c r="G4171" s="1" t="s">
        <v>1453</v>
      </c>
      <c r="H4171" s="1" t="s">
        <v>1474</v>
      </c>
      <c r="I4171" s="1">
        <v>1</v>
      </c>
      <c r="J4171" s="3">
        <v>11305</v>
      </c>
      <c r="K4171" s="3">
        <v>10787</v>
      </c>
      <c r="L4171" s="1">
        <v>0</v>
      </c>
      <c r="M4171" s="4">
        <v>0</v>
      </c>
      <c r="N4171" s="1">
        <v>518</v>
      </c>
      <c r="O4171" s="4">
        <v>4.5999999999999999E-2</v>
      </c>
      <c r="P4171" s="1" t="s">
        <v>2721</v>
      </c>
    </row>
    <row r="4172" spans="1:16">
      <c r="A4172" s="1" t="s">
        <v>577</v>
      </c>
      <c r="B4172" s="1">
        <v>11</v>
      </c>
      <c r="C4172" s="1" t="s">
        <v>8655</v>
      </c>
      <c r="D4172" s="1" t="s">
        <v>7203</v>
      </c>
      <c r="E4172" s="2">
        <v>45985</v>
      </c>
      <c r="F4172" s="1" t="s">
        <v>53</v>
      </c>
      <c r="G4172" s="1" t="s">
        <v>4695</v>
      </c>
      <c r="H4172" s="1" t="s">
        <v>4696</v>
      </c>
      <c r="I4172" s="1">
        <v>1</v>
      </c>
      <c r="J4172" s="3">
        <v>12529</v>
      </c>
      <c r="K4172" s="3">
        <v>11956</v>
      </c>
      <c r="L4172" s="1">
        <v>0</v>
      </c>
      <c r="M4172" s="4">
        <v>0</v>
      </c>
      <c r="N4172" s="1">
        <v>573</v>
      </c>
      <c r="O4172" s="4">
        <v>4.5999999999999999E-2</v>
      </c>
      <c r="P4172" s="1" t="s">
        <v>2721</v>
      </c>
    </row>
    <row r="4173" spans="1:16">
      <c r="A4173" s="1" t="s">
        <v>602</v>
      </c>
      <c r="B4173" s="1">
        <v>11</v>
      </c>
      <c r="C4173" s="1">
        <v>8100154689749</v>
      </c>
      <c r="D4173" s="1" t="s">
        <v>2629</v>
      </c>
      <c r="E4173" s="2">
        <v>45985</v>
      </c>
      <c r="F4173" s="1" t="s">
        <v>604</v>
      </c>
      <c r="G4173" s="1" t="s">
        <v>2630</v>
      </c>
      <c r="H4173" s="1" t="s">
        <v>5281</v>
      </c>
      <c r="I4173" s="1">
        <v>6</v>
      </c>
      <c r="J4173" s="3">
        <v>85600</v>
      </c>
      <c r="K4173" s="3">
        <v>61900</v>
      </c>
      <c r="L4173" s="3">
        <v>9930</v>
      </c>
      <c r="M4173" s="4">
        <v>0.11600000000000001</v>
      </c>
      <c r="N4173" s="3">
        <v>13770</v>
      </c>
      <c r="O4173" s="4">
        <v>0.161</v>
      </c>
      <c r="P4173" s="1" t="s">
        <v>2721</v>
      </c>
    </row>
    <row r="4174" spans="1:16">
      <c r="A4174" s="1" t="s">
        <v>602</v>
      </c>
      <c r="B4174" s="1">
        <v>11</v>
      </c>
      <c r="C4174" s="1">
        <v>8100154831574</v>
      </c>
      <c r="D4174" s="1" t="s">
        <v>610</v>
      </c>
      <c r="E4174" s="2">
        <v>45985</v>
      </c>
      <c r="F4174" s="1" t="s">
        <v>604</v>
      </c>
      <c r="G4174" s="1" t="s">
        <v>611</v>
      </c>
      <c r="H4174" s="1" t="s">
        <v>3412</v>
      </c>
      <c r="I4174" s="1">
        <v>3</v>
      </c>
      <c r="J4174" s="3">
        <v>33800</v>
      </c>
      <c r="K4174" s="3">
        <v>23950</v>
      </c>
      <c r="L4174" s="3">
        <v>3921</v>
      </c>
      <c r="M4174" s="4">
        <v>0.11600000000000001</v>
      </c>
      <c r="N4174" s="3">
        <v>5929</v>
      </c>
      <c r="O4174" s="4">
        <v>0.17499999999999999</v>
      </c>
      <c r="P4174" s="1" t="s">
        <v>2721</v>
      </c>
    </row>
    <row r="4175" spans="1:16">
      <c r="A4175" s="1" t="s">
        <v>602</v>
      </c>
      <c r="B4175" s="1">
        <v>11</v>
      </c>
      <c r="C4175" s="1">
        <v>31100154623127</v>
      </c>
      <c r="D4175" s="1" t="s">
        <v>603</v>
      </c>
      <c r="E4175" s="2">
        <v>45985</v>
      </c>
      <c r="F4175" s="1" t="s">
        <v>604</v>
      </c>
      <c r="G4175" s="1" t="s">
        <v>605</v>
      </c>
      <c r="H4175" s="1" t="s">
        <v>606</v>
      </c>
      <c r="I4175" s="1">
        <v>5</v>
      </c>
      <c r="J4175" s="3">
        <v>49800</v>
      </c>
      <c r="K4175" s="3">
        <v>38250</v>
      </c>
      <c r="L4175" s="3">
        <v>5777</v>
      </c>
      <c r="M4175" s="4">
        <v>0.11600000000000001</v>
      </c>
      <c r="N4175" s="3">
        <v>5773</v>
      </c>
      <c r="O4175" s="4">
        <v>0.11600000000000001</v>
      </c>
      <c r="P4175" s="1" t="s">
        <v>2721</v>
      </c>
    </row>
    <row r="4176" spans="1:16">
      <c r="A4176" s="1" t="s">
        <v>602</v>
      </c>
      <c r="B4176" s="1">
        <v>11</v>
      </c>
      <c r="C4176" s="1">
        <v>1100154788276</v>
      </c>
      <c r="D4176" s="1" t="s">
        <v>603</v>
      </c>
      <c r="E4176" s="2">
        <v>45985</v>
      </c>
      <c r="F4176" s="1" t="s">
        <v>604</v>
      </c>
      <c r="G4176" s="1" t="s">
        <v>605</v>
      </c>
      <c r="H4176" s="1" t="s">
        <v>606</v>
      </c>
      <c r="I4176" s="1">
        <v>5</v>
      </c>
      <c r="J4176" s="3">
        <v>49800</v>
      </c>
      <c r="K4176" s="3">
        <v>38250</v>
      </c>
      <c r="L4176" s="3">
        <v>5777</v>
      </c>
      <c r="M4176" s="4">
        <v>0.11600000000000001</v>
      </c>
      <c r="N4176" s="3">
        <v>5773</v>
      </c>
      <c r="O4176" s="4">
        <v>0.11600000000000001</v>
      </c>
      <c r="P4176" s="1" t="s">
        <v>2721</v>
      </c>
    </row>
    <row r="4177" spans="1:16">
      <c r="A4177" s="1" t="s">
        <v>602</v>
      </c>
      <c r="B4177" s="1">
        <v>11</v>
      </c>
      <c r="C4177" s="1">
        <v>18100154527814</v>
      </c>
      <c r="D4177" s="1" t="s">
        <v>2629</v>
      </c>
      <c r="E4177" s="2">
        <v>45985</v>
      </c>
      <c r="F4177" s="1" t="s">
        <v>604</v>
      </c>
      <c r="G4177" s="1" t="s">
        <v>2630</v>
      </c>
      <c r="H4177" s="1" t="s">
        <v>5281</v>
      </c>
      <c r="I4177" s="1">
        <v>3</v>
      </c>
      <c r="J4177" s="3">
        <v>42800</v>
      </c>
      <c r="K4177" s="3">
        <v>32200</v>
      </c>
      <c r="L4177" s="3">
        <v>4965</v>
      </c>
      <c r="M4177" s="4">
        <v>0.11600000000000001</v>
      </c>
      <c r="N4177" s="3">
        <v>5635</v>
      </c>
      <c r="O4177" s="4">
        <v>0.13200000000000001</v>
      </c>
      <c r="P4177" s="1" t="s">
        <v>2721</v>
      </c>
    </row>
    <row r="4178" spans="1:16">
      <c r="A4178" s="1" t="s">
        <v>602</v>
      </c>
      <c r="B4178" s="1">
        <v>11</v>
      </c>
      <c r="C4178" s="1">
        <v>26100154548562</v>
      </c>
      <c r="D4178" s="1" t="s">
        <v>6612</v>
      </c>
      <c r="E4178" s="2">
        <v>45985</v>
      </c>
      <c r="F4178" s="1" t="s">
        <v>604</v>
      </c>
      <c r="G4178" s="1" t="s">
        <v>6613</v>
      </c>
      <c r="H4178" s="1" t="s">
        <v>6614</v>
      </c>
      <c r="I4178" s="1">
        <v>3</v>
      </c>
      <c r="J4178" s="3">
        <v>87000</v>
      </c>
      <c r="K4178" s="3">
        <v>48382</v>
      </c>
      <c r="L4178" s="3">
        <v>10092</v>
      </c>
      <c r="M4178" s="4">
        <v>0.11600000000000001</v>
      </c>
      <c r="N4178" s="3">
        <v>28526</v>
      </c>
      <c r="O4178" s="4">
        <v>0.32800000000000001</v>
      </c>
      <c r="P4178" s="1" t="s">
        <v>2721</v>
      </c>
    </row>
    <row r="4179" spans="1:16">
      <c r="A4179" s="1" t="s">
        <v>602</v>
      </c>
      <c r="B4179" s="1">
        <v>11</v>
      </c>
      <c r="C4179" s="1">
        <v>14100154883299</v>
      </c>
      <c r="D4179" s="1" t="s">
        <v>1841</v>
      </c>
      <c r="E4179" s="2">
        <v>45985</v>
      </c>
      <c r="F4179" s="1" t="s">
        <v>604</v>
      </c>
      <c r="G4179" s="1" t="s">
        <v>1842</v>
      </c>
      <c r="H4179" s="1" t="s">
        <v>1843</v>
      </c>
      <c r="I4179" s="1">
        <v>3</v>
      </c>
      <c r="J4179" s="3">
        <v>42800</v>
      </c>
      <c r="K4179" s="3">
        <v>32200</v>
      </c>
      <c r="L4179" s="3">
        <v>4965</v>
      </c>
      <c r="M4179" s="4">
        <v>0.11600000000000001</v>
      </c>
      <c r="N4179" s="3">
        <v>5635</v>
      </c>
      <c r="O4179" s="4">
        <v>0.13200000000000001</v>
      </c>
      <c r="P4179" s="1" t="s">
        <v>2721</v>
      </c>
    </row>
    <row r="4180" spans="1:16">
      <c r="A4180" s="1" t="s">
        <v>602</v>
      </c>
      <c r="B4180" s="1">
        <v>11</v>
      </c>
      <c r="C4180" s="1">
        <v>19100154794784</v>
      </c>
      <c r="D4180" s="1" t="s">
        <v>621</v>
      </c>
      <c r="E4180" s="2">
        <v>45985</v>
      </c>
      <c r="F4180" s="1" t="s">
        <v>604</v>
      </c>
      <c r="G4180" s="1" t="s">
        <v>622</v>
      </c>
      <c r="H4180" s="1" t="s">
        <v>3012</v>
      </c>
      <c r="I4180" s="1">
        <v>1</v>
      </c>
      <c r="J4180" s="3">
        <v>8900</v>
      </c>
      <c r="K4180" s="3">
        <v>3675</v>
      </c>
      <c r="L4180" s="3">
        <v>1032</v>
      </c>
      <c r="M4180" s="4">
        <v>0.11600000000000001</v>
      </c>
      <c r="N4180" s="3">
        <v>4193</v>
      </c>
      <c r="O4180" s="4">
        <v>0.47099999999999997</v>
      </c>
      <c r="P4180" s="1" t="s">
        <v>2721</v>
      </c>
    </row>
    <row r="4181" spans="1:16">
      <c r="A4181" s="1" t="s">
        <v>616</v>
      </c>
      <c r="B4181" s="1">
        <v>11</v>
      </c>
      <c r="C4181" s="1">
        <v>2025112450481450</v>
      </c>
      <c r="D4181" s="1" t="s">
        <v>621</v>
      </c>
      <c r="E4181" s="2">
        <v>45985</v>
      </c>
      <c r="F4181" s="1" t="s">
        <v>604</v>
      </c>
      <c r="G4181" s="1" t="s">
        <v>622</v>
      </c>
      <c r="H4181" s="1" t="s">
        <v>3413</v>
      </c>
      <c r="I4181" s="1">
        <v>1</v>
      </c>
      <c r="J4181" s="3">
        <v>8800</v>
      </c>
      <c r="K4181" s="3">
        <v>3675</v>
      </c>
      <c r="L4181" s="1">
        <v>352</v>
      </c>
      <c r="M4181" s="4">
        <v>0.04</v>
      </c>
      <c r="N4181" s="3">
        <v>4773</v>
      </c>
      <c r="O4181" s="4">
        <v>0.54200000000000004</v>
      </c>
      <c r="P4181" s="1" t="s">
        <v>2721</v>
      </c>
    </row>
    <row r="4182" spans="1:16">
      <c r="A4182" s="1" t="s">
        <v>616</v>
      </c>
      <c r="B4182" s="1">
        <v>11</v>
      </c>
      <c r="C4182" s="1">
        <v>2025112330246490</v>
      </c>
      <c r="D4182" s="1" t="s">
        <v>3017</v>
      </c>
      <c r="E4182" s="2">
        <v>45985</v>
      </c>
      <c r="F4182" s="1" t="s">
        <v>604</v>
      </c>
      <c r="G4182" s="1" t="s">
        <v>3018</v>
      </c>
      <c r="I4182" s="1">
        <v>1</v>
      </c>
      <c r="J4182" s="3">
        <v>29000</v>
      </c>
      <c r="K4182" s="3">
        <v>9980</v>
      </c>
      <c r="L4182" s="3">
        <v>1160</v>
      </c>
      <c r="M4182" s="4">
        <v>0.04</v>
      </c>
      <c r="N4182" s="3">
        <v>17860</v>
      </c>
      <c r="O4182" s="4">
        <v>0.61599999999999999</v>
      </c>
      <c r="P4182" s="1" t="s">
        <v>2721</v>
      </c>
    </row>
    <row r="4183" spans="1:16">
      <c r="A4183" s="1" t="s">
        <v>616</v>
      </c>
      <c r="B4183" s="1">
        <v>11</v>
      </c>
      <c r="C4183" s="1">
        <v>2025112324803180</v>
      </c>
      <c r="D4183" s="1" t="s">
        <v>617</v>
      </c>
      <c r="E4183" s="2">
        <v>45985</v>
      </c>
      <c r="F4183" s="1" t="s">
        <v>604</v>
      </c>
      <c r="G4183" s="1" t="s">
        <v>618</v>
      </c>
      <c r="H4183" s="1" t="s">
        <v>619</v>
      </c>
      <c r="I4183" s="1">
        <v>6</v>
      </c>
      <c r="J4183" s="3">
        <v>39000</v>
      </c>
      <c r="K4183" s="3">
        <v>19300</v>
      </c>
      <c r="L4183" s="3">
        <v>1560</v>
      </c>
      <c r="M4183" s="4">
        <v>0.04</v>
      </c>
      <c r="N4183" s="3">
        <v>18140</v>
      </c>
      <c r="O4183" s="4">
        <v>0.46500000000000002</v>
      </c>
      <c r="P4183" s="1" t="s">
        <v>2721</v>
      </c>
    </row>
    <row r="4184" spans="1:16">
      <c r="A4184" s="1" t="s">
        <v>616</v>
      </c>
      <c r="B4184" s="1">
        <v>11</v>
      </c>
      <c r="C4184" s="1">
        <v>2025112181124630</v>
      </c>
      <c r="D4184" s="1" t="s">
        <v>3017</v>
      </c>
      <c r="E4184" s="2">
        <v>45985</v>
      </c>
      <c r="F4184" s="1" t="s">
        <v>604</v>
      </c>
      <c r="G4184" s="1" t="s">
        <v>3018</v>
      </c>
      <c r="I4184" s="1">
        <v>1</v>
      </c>
      <c r="J4184" s="3">
        <v>29000</v>
      </c>
      <c r="K4184" s="3">
        <v>9980</v>
      </c>
      <c r="L4184" s="3">
        <v>1160</v>
      </c>
      <c r="M4184" s="4">
        <v>0.04</v>
      </c>
      <c r="N4184" s="3">
        <v>17860</v>
      </c>
      <c r="O4184" s="4">
        <v>0.61599999999999999</v>
      </c>
      <c r="P4184" s="1" t="s">
        <v>2721</v>
      </c>
    </row>
    <row r="4185" spans="1:16">
      <c r="A4185" s="1" t="s">
        <v>616</v>
      </c>
      <c r="B4185" s="1">
        <v>11</v>
      </c>
      <c r="C4185" s="1">
        <v>2025112174835940</v>
      </c>
      <c r="D4185" s="1" t="s">
        <v>621</v>
      </c>
      <c r="E4185" s="2">
        <v>45985</v>
      </c>
      <c r="F4185" s="1" t="s">
        <v>604</v>
      </c>
      <c r="G4185" s="1" t="s">
        <v>622</v>
      </c>
      <c r="H4185" s="1" t="s">
        <v>3413</v>
      </c>
      <c r="I4185" s="1">
        <v>1</v>
      </c>
      <c r="J4185" s="3">
        <v>8800</v>
      </c>
      <c r="K4185" s="3">
        <v>3675</v>
      </c>
      <c r="L4185" s="1">
        <v>352</v>
      </c>
      <c r="M4185" s="4">
        <v>0.04</v>
      </c>
      <c r="N4185" s="3">
        <v>4773</v>
      </c>
      <c r="O4185" s="4">
        <v>0.54200000000000004</v>
      </c>
      <c r="P4185" s="1" t="s">
        <v>2721</v>
      </c>
    </row>
    <row r="4186" spans="1:16">
      <c r="A4186" s="1" t="s">
        <v>620</v>
      </c>
      <c r="B4186" s="1">
        <v>11</v>
      </c>
      <c r="C4186" s="1">
        <v>2540655752</v>
      </c>
      <c r="D4186" s="1" t="s">
        <v>1850</v>
      </c>
      <c r="E4186" s="2">
        <v>45985</v>
      </c>
      <c r="F4186" s="1" t="s">
        <v>604</v>
      </c>
      <c r="G4186" s="1" t="s">
        <v>1851</v>
      </c>
      <c r="H4186" s="1" t="s">
        <v>2719</v>
      </c>
      <c r="I4186" s="1">
        <v>5</v>
      </c>
      <c r="J4186" s="3">
        <v>15900</v>
      </c>
      <c r="K4186" s="3">
        <v>12125</v>
      </c>
      <c r="L4186" s="3">
        <v>2067</v>
      </c>
      <c r="M4186" s="4">
        <v>0.13</v>
      </c>
      <c r="N4186" s="3">
        <v>1708</v>
      </c>
      <c r="O4186" s="4">
        <v>0.107</v>
      </c>
      <c r="P4186" s="1" t="s">
        <v>2721</v>
      </c>
    </row>
    <row r="4187" spans="1:16">
      <c r="A4187" s="1" t="s">
        <v>620</v>
      </c>
      <c r="B4187" s="1">
        <v>11</v>
      </c>
      <c r="C4187" s="1">
        <v>4371762746</v>
      </c>
      <c r="D4187" s="1" t="s">
        <v>610</v>
      </c>
      <c r="E4187" s="2">
        <v>45985</v>
      </c>
      <c r="F4187" s="1" t="s">
        <v>604</v>
      </c>
      <c r="G4187" s="1" t="s">
        <v>611</v>
      </c>
      <c r="H4187" s="1" t="s">
        <v>8656</v>
      </c>
      <c r="I4187" s="1">
        <v>5</v>
      </c>
      <c r="J4187" s="3">
        <v>49900</v>
      </c>
      <c r="K4187" s="3">
        <v>38250</v>
      </c>
      <c r="L4187" s="3">
        <v>6487</v>
      </c>
      <c r="M4187" s="4">
        <v>0.13</v>
      </c>
      <c r="N4187" s="3">
        <v>5163</v>
      </c>
      <c r="O4187" s="4">
        <v>0.10299999999999999</v>
      </c>
      <c r="P4187" s="1" t="s">
        <v>2721</v>
      </c>
    </row>
    <row r="4188" spans="1:16">
      <c r="A4188" s="1" t="s">
        <v>626</v>
      </c>
      <c r="B4188" s="1">
        <v>11</v>
      </c>
      <c r="C4188" s="1">
        <v>69381745</v>
      </c>
      <c r="D4188" s="1" t="s">
        <v>627</v>
      </c>
      <c r="E4188" s="2">
        <v>45985</v>
      </c>
      <c r="F4188" s="1" t="s">
        <v>604</v>
      </c>
      <c r="G4188" s="1" t="s">
        <v>628</v>
      </c>
      <c r="H4188" s="1" t="s">
        <v>629</v>
      </c>
      <c r="I4188" s="1">
        <v>1</v>
      </c>
      <c r="J4188" s="3">
        <v>8000</v>
      </c>
      <c r="K4188" s="3">
        <v>1800</v>
      </c>
      <c r="L4188" s="1">
        <v>880</v>
      </c>
      <c r="M4188" s="4">
        <v>0.11</v>
      </c>
      <c r="N4188" s="3">
        <v>5320</v>
      </c>
      <c r="O4188" s="4">
        <v>0.66500000000000004</v>
      </c>
      <c r="P4188" s="1" t="s">
        <v>2721</v>
      </c>
    </row>
    <row r="4189" spans="1:16">
      <c r="A4189" s="1" t="s">
        <v>626</v>
      </c>
      <c r="B4189" s="1">
        <v>11</v>
      </c>
      <c r="C4189" s="1">
        <v>69381612</v>
      </c>
      <c r="D4189" s="1" t="s">
        <v>627</v>
      </c>
      <c r="E4189" s="2">
        <v>45985</v>
      </c>
      <c r="F4189" s="1" t="s">
        <v>604</v>
      </c>
      <c r="G4189" s="1" t="s">
        <v>628</v>
      </c>
      <c r="H4189" s="1" t="s">
        <v>629</v>
      </c>
      <c r="I4189" s="1">
        <v>1</v>
      </c>
      <c r="J4189" s="3">
        <v>8000</v>
      </c>
      <c r="K4189" s="3">
        <v>1800</v>
      </c>
      <c r="L4189" s="1">
        <v>880</v>
      </c>
      <c r="M4189" s="4">
        <v>0.11</v>
      </c>
      <c r="N4189" s="3">
        <v>5320</v>
      </c>
      <c r="O4189" s="4">
        <v>0.66500000000000004</v>
      </c>
      <c r="P4189" s="1" t="s">
        <v>2721</v>
      </c>
    </row>
    <row r="4190" spans="1:16">
      <c r="A4190" s="1" t="s">
        <v>626</v>
      </c>
      <c r="B4190" s="1">
        <v>11</v>
      </c>
      <c r="C4190" s="1">
        <v>69377009</v>
      </c>
      <c r="D4190" s="1" t="s">
        <v>627</v>
      </c>
      <c r="E4190" s="2">
        <v>45985</v>
      </c>
      <c r="F4190" s="1" t="s">
        <v>604</v>
      </c>
      <c r="G4190" s="1" t="s">
        <v>628</v>
      </c>
      <c r="H4190" s="1" t="s">
        <v>629</v>
      </c>
      <c r="I4190" s="1">
        <v>1</v>
      </c>
      <c r="J4190" s="3">
        <v>8000</v>
      </c>
      <c r="K4190" s="3">
        <v>1800</v>
      </c>
      <c r="L4190" s="1">
        <v>880</v>
      </c>
      <c r="M4190" s="4">
        <v>0.11</v>
      </c>
      <c r="N4190" s="3">
        <v>5320</v>
      </c>
      <c r="O4190" s="4">
        <v>0.66500000000000004</v>
      </c>
      <c r="P4190" s="1" t="s">
        <v>2721</v>
      </c>
    </row>
    <row r="4191" spans="1:16">
      <c r="A4191" s="1" t="s">
        <v>626</v>
      </c>
      <c r="B4191" s="1">
        <v>11</v>
      </c>
      <c r="C4191" s="1">
        <v>69359451</v>
      </c>
      <c r="D4191" s="1" t="s">
        <v>627</v>
      </c>
      <c r="E4191" s="2">
        <v>45985</v>
      </c>
      <c r="F4191" s="1" t="s">
        <v>604</v>
      </c>
      <c r="G4191" s="1" t="s">
        <v>628</v>
      </c>
      <c r="H4191" s="1" t="s">
        <v>2271</v>
      </c>
      <c r="I4191" s="1">
        <v>2</v>
      </c>
      <c r="J4191" s="3">
        <v>12800</v>
      </c>
      <c r="K4191" s="3">
        <v>3600</v>
      </c>
      <c r="L4191" s="3">
        <v>1408</v>
      </c>
      <c r="M4191" s="4">
        <v>0.11</v>
      </c>
      <c r="N4191" s="3">
        <v>7792</v>
      </c>
      <c r="O4191" s="4">
        <v>0.60899999999999999</v>
      </c>
      <c r="P4191" s="1" t="s">
        <v>2721</v>
      </c>
    </row>
    <row r="4192" spans="1:16">
      <c r="A4192" s="1" t="s">
        <v>630</v>
      </c>
      <c r="B4192" s="1">
        <v>11</v>
      </c>
      <c r="C4192" s="1">
        <v>1117425771108960</v>
      </c>
      <c r="D4192" s="1" t="s">
        <v>627</v>
      </c>
      <c r="E4192" s="2">
        <v>45985</v>
      </c>
      <c r="F4192" s="1" t="s">
        <v>604</v>
      </c>
      <c r="G4192" s="1" t="s">
        <v>628</v>
      </c>
      <c r="H4192" s="1" t="s">
        <v>1848</v>
      </c>
      <c r="I4192" s="1">
        <v>1</v>
      </c>
      <c r="J4192" s="3">
        <v>6750</v>
      </c>
      <c r="K4192" s="3">
        <v>4300</v>
      </c>
      <c r="L4192" s="1">
        <v>446</v>
      </c>
      <c r="M4192" s="4">
        <v>6.6000000000000003E-2</v>
      </c>
      <c r="N4192" s="3">
        <v>2005</v>
      </c>
      <c r="O4192" s="4">
        <v>0.29699999999999999</v>
      </c>
      <c r="P4192" s="1" t="s">
        <v>2721</v>
      </c>
    </row>
    <row r="4193" spans="1:16">
      <c r="A4193" s="1" t="s">
        <v>630</v>
      </c>
      <c r="B4193" s="1">
        <v>11</v>
      </c>
      <c r="C4193" s="1">
        <v>1117495428764500</v>
      </c>
      <c r="D4193" s="1" t="s">
        <v>627</v>
      </c>
      <c r="E4193" s="2">
        <v>45985</v>
      </c>
      <c r="F4193" s="1" t="s">
        <v>604</v>
      </c>
      <c r="G4193" s="1" t="s">
        <v>628</v>
      </c>
      <c r="H4193" s="1" t="s">
        <v>1848</v>
      </c>
      <c r="I4193" s="1">
        <v>1</v>
      </c>
      <c r="J4193" s="3">
        <v>6750</v>
      </c>
      <c r="K4193" s="3">
        <v>4300</v>
      </c>
      <c r="L4193" s="1">
        <v>446</v>
      </c>
      <c r="M4193" s="4">
        <v>6.6000000000000003E-2</v>
      </c>
      <c r="N4193" s="3">
        <v>2005</v>
      </c>
      <c r="O4193" s="4">
        <v>0.29699999999999999</v>
      </c>
      <c r="P4193" s="1" t="s">
        <v>2721</v>
      </c>
    </row>
    <row r="4194" spans="1:16">
      <c r="A4194" s="1" t="s">
        <v>630</v>
      </c>
      <c r="B4194" s="1">
        <v>11</v>
      </c>
      <c r="C4194" s="1">
        <v>1117437895226650</v>
      </c>
      <c r="D4194" s="1" t="s">
        <v>627</v>
      </c>
      <c r="E4194" s="2">
        <v>45985</v>
      </c>
      <c r="F4194" s="1" t="s">
        <v>604</v>
      </c>
      <c r="G4194" s="1" t="s">
        <v>628</v>
      </c>
      <c r="H4194" s="1" t="s">
        <v>1848</v>
      </c>
      <c r="I4194" s="1">
        <v>1</v>
      </c>
      <c r="J4194" s="3">
        <v>6750</v>
      </c>
      <c r="K4194" s="3">
        <v>4300</v>
      </c>
      <c r="L4194" s="1">
        <v>446</v>
      </c>
      <c r="M4194" s="4">
        <v>6.6000000000000003E-2</v>
      </c>
      <c r="N4194" s="3">
        <v>2005</v>
      </c>
      <c r="O4194" s="4">
        <v>0.29699999999999999</v>
      </c>
      <c r="P4194" s="1" t="s">
        <v>2721</v>
      </c>
    </row>
    <row r="4195" spans="1:16">
      <c r="A4195" s="1" t="s">
        <v>630</v>
      </c>
      <c r="B4195" s="1">
        <v>11</v>
      </c>
      <c r="C4195" s="1">
        <v>1117511352367210</v>
      </c>
      <c r="D4195" s="1" t="s">
        <v>627</v>
      </c>
      <c r="E4195" s="2">
        <v>45985</v>
      </c>
      <c r="F4195" s="1" t="s">
        <v>604</v>
      </c>
      <c r="G4195" s="1" t="s">
        <v>628</v>
      </c>
      <c r="H4195" s="1" t="s">
        <v>1848</v>
      </c>
      <c r="I4195" s="1">
        <v>1</v>
      </c>
      <c r="J4195" s="3">
        <v>6750</v>
      </c>
      <c r="K4195" s="3">
        <v>4300</v>
      </c>
      <c r="L4195" s="1">
        <v>446</v>
      </c>
      <c r="M4195" s="4">
        <v>6.6000000000000003E-2</v>
      </c>
      <c r="N4195" s="3">
        <v>2005</v>
      </c>
      <c r="O4195" s="4">
        <v>0.29699999999999999</v>
      </c>
      <c r="P4195" s="1" t="s">
        <v>2721</v>
      </c>
    </row>
    <row r="4196" spans="1:16">
      <c r="A4196" s="1" t="s">
        <v>739</v>
      </c>
      <c r="B4196" s="1">
        <v>11</v>
      </c>
      <c r="C4196" s="1">
        <v>31492950</v>
      </c>
      <c r="D4196" s="1" t="s">
        <v>3420</v>
      </c>
      <c r="E4196" s="2">
        <v>45985</v>
      </c>
      <c r="F4196" s="1" t="s">
        <v>604</v>
      </c>
      <c r="G4196" s="1" t="s">
        <v>3421</v>
      </c>
      <c r="H4196" s="1" t="s">
        <v>3422</v>
      </c>
      <c r="I4196" s="1">
        <v>1</v>
      </c>
      <c r="J4196" s="3">
        <v>8900</v>
      </c>
      <c r="K4196" s="3">
        <v>5026</v>
      </c>
      <c r="L4196" s="3">
        <v>1175</v>
      </c>
      <c r="M4196" s="4">
        <v>0.13200000000000001</v>
      </c>
      <c r="N4196" s="3">
        <v>2699</v>
      </c>
      <c r="O4196" s="4">
        <v>0.30299999999999999</v>
      </c>
      <c r="P4196" s="1" t="s">
        <v>2721</v>
      </c>
    </row>
    <row r="4197" spans="1:16">
      <c r="A4197" s="1" t="s">
        <v>739</v>
      </c>
      <c r="B4197" s="1">
        <v>11</v>
      </c>
      <c r="C4197" s="1">
        <v>31494942</v>
      </c>
      <c r="D4197" s="1" t="s">
        <v>1859</v>
      </c>
      <c r="E4197" s="2">
        <v>45985</v>
      </c>
      <c r="F4197" s="1" t="s">
        <v>604</v>
      </c>
      <c r="G4197" s="1" t="s">
        <v>1860</v>
      </c>
      <c r="H4197" s="1" t="s">
        <v>1861</v>
      </c>
      <c r="I4197" s="1">
        <v>1</v>
      </c>
      <c r="J4197" s="3">
        <v>8900</v>
      </c>
      <c r="K4197" s="3">
        <v>5026</v>
      </c>
      <c r="L4197" s="3">
        <v>1175</v>
      </c>
      <c r="M4197" s="4">
        <v>0.13200000000000001</v>
      </c>
      <c r="N4197" s="3">
        <v>2699</v>
      </c>
      <c r="O4197" s="4">
        <v>0.30299999999999999</v>
      </c>
      <c r="P4197" s="1" t="s">
        <v>2721</v>
      </c>
    </row>
    <row r="4198" spans="1:16">
      <c r="A4198" s="1" t="s">
        <v>739</v>
      </c>
      <c r="B4198" s="1">
        <v>11</v>
      </c>
      <c r="C4198" s="1">
        <v>31496038</v>
      </c>
      <c r="D4198" s="1" t="s">
        <v>3417</v>
      </c>
      <c r="E4198" s="2">
        <v>45985</v>
      </c>
      <c r="F4198" s="1" t="s">
        <v>604</v>
      </c>
      <c r="G4198" s="1" t="s">
        <v>3418</v>
      </c>
      <c r="H4198" s="1" t="s">
        <v>3419</v>
      </c>
      <c r="I4198" s="1">
        <v>1</v>
      </c>
      <c r="J4198" s="3">
        <v>8900</v>
      </c>
      <c r="K4198" s="3">
        <v>5026</v>
      </c>
      <c r="L4198" s="3">
        <v>1175</v>
      </c>
      <c r="M4198" s="4">
        <v>0.13200000000000001</v>
      </c>
      <c r="N4198" s="3">
        <v>2699</v>
      </c>
      <c r="O4198" s="4">
        <v>0.30299999999999999</v>
      </c>
      <c r="P4198" s="1" t="s">
        <v>2721</v>
      </c>
    </row>
    <row r="4199" spans="1:16">
      <c r="A4199" s="1" t="s">
        <v>739</v>
      </c>
      <c r="B4199" s="1">
        <v>11</v>
      </c>
      <c r="C4199" s="1">
        <v>31498622</v>
      </c>
      <c r="D4199" s="1" t="s">
        <v>3420</v>
      </c>
      <c r="E4199" s="2">
        <v>45985</v>
      </c>
      <c r="F4199" s="1" t="s">
        <v>604</v>
      </c>
      <c r="G4199" s="1" t="s">
        <v>3421</v>
      </c>
      <c r="H4199" s="1" t="s">
        <v>3422</v>
      </c>
      <c r="I4199" s="1">
        <v>1</v>
      </c>
      <c r="J4199" s="3">
        <v>8900</v>
      </c>
      <c r="K4199" s="3">
        <v>5026</v>
      </c>
      <c r="L4199" s="3">
        <v>1175</v>
      </c>
      <c r="M4199" s="4">
        <v>0.13200000000000001</v>
      </c>
      <c r="N4199" s="3">
        <v>2699</v>
      </c>
      <c r="O4199" s="4">
        <v>0.30299999999999999</v>
      </c>
      <c r="P4199" s="1" t="s">
        <v>2721</v>
      </c>
    </row>
    <row r="4200" spans="1:16">
      <c r="A4200" s="1" t="s">
        <v>739</v>
      </c>
      <c r="B4200" s="1">
        <v>11</v>
      </c>
      <c r="C4200" s="1">
        <v>31502894</v>
      </c>
      <c r="D4200" s="1" t="s">
        <v>4913</v>
      </c>
      <c r="E4200" s="2">
        <v>45985</v>
      </c>
      <c r="F4200" s="1" t="s">
        <v>604</v>
      </c>
      <c r="G4200" s="1" t="s">
        <v>4914</v>
      </c>
      <c r="H4200" s="1" t="s">
        <v>8657</v>
      </c>
      <c r="I4200" s="1">
        <v>1</v>
      </c>
      <c r="J4200" s="3">
        <v>8900</v>
      </c>
      <c r="K4200" s="3">
        <v>5026</v>
      </c>
      <c r="L4200" s="3">
        <v>1175</v>
      </c>
      <c r="M4200" s="4">
        <v>0.13200000000000001</v>
      </c>
      <c r="N4200" s="3">
        <v>2699</v>
      </c>
      <c r="O4200" s="4">
        <v>0.30299999999999999</v>
      </c>
      <c r="P4200" s="1" t="s">
        <v>2721</v>
      </c>
    </row>
    <row r="4201" spans="1:16">
      <c r="A4201" s="1" t="s">
        <v>602</v>
      </c>
      <c r="B4201" s="1">
        <v>11</v>
      </c>
      <c r="C4201" s="1">
        <v>8100154828377</v>
      </c>
      <c r="D4201" s="1" t="s">
        <v>1862</v>
      </c>
      <c r="E4201" s="2">
        <v>45985</v>
      </c>
      <c r="F4201" s="1" t="s">
        <v>235</v>
      </c>
      <c r="G4201" s="1" t="s">
        <v>1863</v>
      </c>
      <c r="H4201" s="1" t="s">
        <v>1864</v>
      </c>
      <c r="I4201" s="1">
        <v>1</v>
      </c>
      <c r="J4201" s="3">
        <v>14790</v>
      </c>
      <c r="K4201" s="3">
        <v>7739</v>
      </c>
      <c r="L4201" s="3">
        <v>1716</v>
      </c>
      <c r="M4201" s="4">
        <v>0.11600000000000001</v>
      </c>
      <c r="N4201" s="3">
        <v>5335</v>
      </c>
      <c r="O4201" s="4">
        <v>0.36099999999999999</v>
      </c>
      <c r="P4201" s="1" t="s">
        <v>2721</v>
      </c>
    </row>
    <row r="4202" spans="1:16">
      <c r="A4202" s="1" t="s">
        <v>649</v>
      </c>
      <c r="B4202" s="1">
        <v>11</v>
      </c>
      <c r="C4202" s="1">
        <v>25112323411081</v>
      </c>
      <c r="D4202" s="1" t="s">
        <v>8658</v>
      </c>
      <c r="E4202" s="2">
        <v>45985</v>
      </c>
      <c r="F4202" s="1" t="s">
        <v>347</v>
      </c>
      <c r="G4202" s="1" t="s">
        <v>8659</v>
      </c>
      <c r="H4202" s="1" t="s">
        <v>8660</v>
      </c>
      <c r="I4202" s="1">
        <v>1</v>
      </c>
      <c r="J4202" s="3">
        <v>24055</v>
      </c>
      <c r="K4202" s="3">
        <v>22512</v>
      </c>
      <c r="L4202" s="1">
        <v>0</v>
      </c>
      <c r="M4202" s="4">
        <v>0</v>
      </c>
      <c r="N4202" s="3">
        <v>1543</v>
      </c>
      <c r="O4202" s="4">
        <v>6.4000000000000001E-2</v>
      </c>
      <c r="P4202" s="1" t="s">
        <v>2721</v>
      </c>
    </row>
    <row r="4203" spans="1:16">
      <c r="A4203" s="1" t="s">
        <v>649</v>
      </c>
      <c r="B4203" s="1">
        <v>11</v>
      </c>
      <c r="C4203" s="1">
        <v>25112323250304</v>
      </c>
      <c r="D4203" s="1" t="s">
        <v>3432</v>
      </c>
      <c r="E4203" s="2">
        <v>45985</v>
      </c>
      <c r="F4203" s="1" t="s">
        <v>48</v>
      </c>
      <c r="G4203" s="1" t="s">
        <v>3433</v>
      </c>
      <c r="H4203" s="1" t="s">
        <v>3434</v>
      </c>
      <c r="I4203" s="1">
        <v>1</v>
      </c>
      <c r="J4203" s="3">
        <v>11594</v>
      </c>
      <c r="K4203" s="3">
        <v>9838</v>
      </c>
      <c r="L4203" s="1">
        <v>0</v>
      </c>
      <c r="M4203" s="4">
        <v>0</v>
      </c>
      <c r="N4203" s="3">
        <v>1756</v>
      </c>
      <c r="O4203" s="4">
        <v>0.151</v>
      </c>
      <c r="P4203" s="1" t="s">
        <v>2721</v>
      </c>
    </row>
    <row r="4204" spans="1:16">
      <c r="A4204" s="1" t="s">
        <v>649</v>
      </c>
      <c r="B4204" s="1">
        <v>11</v>
      </c>
      <c r="C4204" s="1">
        <v>25112321470950</v>
      </c>
      <c r="D4204" s="1" t="s">
        <v>6750</v>
      </c>
      <c r="E4204" s="2">
        <v>45985</v>
      </c>
      <c r="F4204" s="1" t="s">
        <v>856</v>
      </c>
      <c r="G4204" s="1" t="s">
        <v>6751</v>
      </c>
      <c r="H4204" s="1" t="s">
        <v>8661</v>
      </c>
      <c r="I4204" s="1">
        <v>1</v>
      </c>
      <c r="J4204" s="3">
        <v>91035</v>
      </c>
      <c r="K4204" s="3">
        <v>85358</v>
      </c>
      <c r="L4204" s="1">
        <v>0</v>
      </c>
      <c r="M4204" s="4">
        <v>0</v>
      </c>
      <c r="N4204" s="3">
        <v>5677</v>
      </c>
      <c r="O4204" s="4">
        <v>6.2E-2</v>
      </c>
      <c r="P4204" s="1" t="s">
        <v>2721</v>
      </c>
    </row>
    <row r="4205" spans="1:16">
      <c r="A4205" s="1" t="s">
        <v>649</v>
      </c>
      <c r="B4205" s="1">
        <v>11</v>
      </c>
      <c r="C4205" s="1">
        <v>25112321141633</v>
      </c>
      <c r="D4205" s="1" t="s">
        <v>8662</v>
      </c>
      <c r="E4205" s="2">
        <v>45985</v>
      </c>
      <c r="F4205" s="1" t="s">
        <v>276</v>
      </c>
      <c r="G4205" s="1" t="s">
        <v>8663</v>
      </c>
      <c r="H4205" s="1" t="s">
        <v>8664</v>
      </c>
      <c r="I4205" s="1">
        <v>1</v>
      </c>
      <c r="J4205" s="3">
        <v>17001</v>
      </c>
      <c r="K4205" s="3">
        <v>15900</v>
      </c>
      <c r="L4205" s="1">
        <v>0</v>
      </c>
      <c r="M4205" s="4">
        <v>0</v>
      </c>
      <c r="N4205" s="3">
        <v>1101</v>
      </c>
      <c r="O4205" s="4">
        <v>6.5000000000000002E-2</v>
      </c>
      <c r="P4205" s="1" t="s">
        <v>2721</v>
      </c>
    </row>
    <row r="4206" spans="1:16">
      <c r="A4206" s="1" t="s">
        <v>649</v>
      </c>
      <c r="B4206" s="1">
        <v>11</v>
      </c>
      <c r="C4206" s="1">
        <v>25112317310795</v>
      </c>
      <c r="D4206" s="1" t="s">
        <v>8665</v>
      </c>
      <c r="E4206" s="2">
        <v>45985</v>
      </c>
      <c r="F4206" s="1" t="s">
        <v>1665</v>
      </c>
      <c r="G4206" s="1" t="s">
        <v>8666</v>
      </c>
      <c r="H4206" s="1" t="s">
        <v>8667</v>
      </c>
      <c r="I4206" s="1">
        <v>1</v>
      </c>
      <c r="J4206" s="3">
        <v>16490</v>
      </c>
      <c r="K4206" s="3">
        <v>11630</v>
      </c>
      <c r="L4206" s="1">
        <v>0</v>
      </c>
      <c r="M4206" s="4">
        <v>0</v>
      </c>
      <c r="N4206" s="3">
        <v>4860</v>
      </c>
      <c r="O4206" s="4">
        <v>0.29499999999999998</v>
      </c>
      <c r="P4206" s="1" t="s">
        <v>2721</v>
      </c>
    </row>
    <row r="4207" spans="1:16">
      <c r="A4207" s="1" t="s">
        <v>649</v>
      </c>
      <c r="B4207" s="1">
        <v>11</v>
      </c>
      <c r="C4207" s="1">
        <v>25112315074354</v>
      </c>
      <c r="D4207" s="1" t="s">
        <v>8668</v>
      </c>
      <c r="E4207" s="2">
        <v>45985</v>
      </c>
      <c r="F4207" s="1" t="s">
        <v>48</v>
      </c>
      <c r="G4207" s="1" t="s">
        <v>8669</v>
      </c>
      <c r="H4207" s="1" t="s">
        <v>8670</v>
      </c>
      <c r="I4207" s="1">
        <v>1</v>
      </c>
      <c r="J4207" s="3">
        <v>14119</v>
      </c>
      <c r="K4207" s="3">
        <v>8535</v>
      </c>
      <c r="L4207" s="1">
        <v>0</v>
      </c>
      <c r="M4207" s="4">
        <v>0</v>
      </c>
      <c r="N4207" s="3">
        <v>5584</v>
      </c>
      <c r="O4207" s="4">
        <v>0.39500000000000002</v>
      </c>
      <c r="P4207" s="1" t="s">
        <v>2721</v>
      </c>
    </row>
    <row r="4208" spans="1:16">
      <c r="A4208" s="1" t="s">
        <v>649</v>
      </c>
      <c r="B4208" s="1">
        <v>11</v>
      </c>
      <c r="C4208" s="1">
        <v>25112313325005</v>
      </c>
      <c r="D4208" s="1" t="s">
        <v>1887</v>
      </c>
      <c r="E4208" s="2">
        <v>45985</v>
      </c>
      <c r="F4208" s="1" t="s">
        <v>1888</v>
      </c>
      <c r="G4208" s="1" t="s">
        <v>1889</v>
      </c>
      <c r="H4208" s="1" t="s">
        <v>1890</v>
      </c>
      <c r="I4208" s="1">
        <v>1</v>
      </c>
      <c r="J4208" s="3">
        <v>15045</v>
      </c>
      <c r="K4208" s="3">
        <v>14070</v>
      </c>
      <c r="L4208" s="1">
        <v>0</v>
      </c>
      <c r="M4208" s="4">
        <v>0</v>
      </c>
      <c r="N4208" s="1">
        <v>975</v>
      </c>
      <c r="O4208" s="4">
        <v>6.5000000000000002E-2</v>
      </c>
      <c r="P4208" s="1" t="s">
        <v>2721</v>
      </c>
    </row>
    <row r="4209" spans="1:16">
      <c r="A4209" s="1" t="s">
        <v>649</v>
      </c>
      <c r="B4209" s="1">
        <v>11</v>
      </c>
      <c r="C4209" s="1">
        <v>25112300581599</v>
      </c>
      <c r="D4209" s="1" t="s">
        <v>3508</v>
      </c>
      <c r="E4209" s="2">
        <v>45985</v>
      </c>
      <c r="F4209" s="1" t="s">
        <v>3509</v>
      </c>
      <c r="G4209" s="1" t="s">
        <v>3510</v>
      </c>
      <c r="H4209" s="1" t="s">
        <v>8671</v>
      </c>
      <c r="I4209" s="1">
        <v>3</v>
      </c>
      <c r="J4209" s="3">
        <v>48197</v>
      </c>
      <c r="K4209" s="3">
        <v>39114</v>
      </c>
      <c r="L4209" s="1">
        <v>0</v>
      </c>
      <c r="M4209" s="4">
        <v>0</v>
      </c>
      <c r="N4209" s="3">
        <v>9083</v>
      </c>
      <c r="O4209" s="4">
        <v>0.188</v>
      </c>
      <c r="P4209" s="1" t="s">
        <v>2721</v>
      </c>
    </row>
    <row r="4210" spans="1:16">
      <c r="A4210" s="1" t="s">
        <v>649</v>
      </c>
      <c r="B4210" s="1">
        <v>11</v>
      </c>
      <c r="C4210" s="1">
        <v>25112310174504</v>
      </c>
      <c r="D4210" s="1" t="s">
        <v>3432</v>
      </c>
      <c r="E4210" s="2">
        <v>45985</v>
      </c>
      <c r="F4210" s="1" t="s">
        <v>48</v>
      </c>
      <c r="G4210" s="1" t="s">
        <v>3433</v>
      </c>
      <c r="H4210" s="1" t="s">
        <v>3434</v>
      </c>
      <c r="I4210" s="1">
        <v>1</v>
      </c>
      <c r="J4210" s="3">
        <v>11594</v>
      </c>
      <c r="K4210" s="3">
        <v>9838</v>
      </c>
      <c r="L4210" s="1">
        <v>0</v>
      </c>
      <c r="M4210" s="4">
        <v>0</v>
      </c>
      <c r="N4210" s="3">
        <v>1756</v>
      </c>
      <c r="O4210" s="4">
        <v>0.151</v>
      </c>
      <c r="P4210" s="1" t="s">
        <v>2721</v>
      </c>
    </row>
    <row r="4211" spans="1:16">
      <c r="A4211" s="1" t="s">
        <v>649</v>
      </c>
      <c r="B4211" s="1">
        <v>11</v>
      </c>
      <c r="C4211" s="1">
        <v>25112222101431</v>
      </c>
      <c r="D4211" s="1" t="s">
        <v>1901</v>
      </c>
      <c r="E4211" s="2">
        <v>45985</v>
      </c>
      <c r="F4211" s="1" t="s">
        <v>1513</v>
      </c>
      <c r="G4211" s="1" t="s">
        <v>1902</v>
      </c>
      <c r="H4211" s="1" t="s">
        <v>1903</v>
      </c>
      <c r="I4211" s="1">
        <v>1</v>
      </c>
      <c r="J4211" s="3">
        <v>9265</v>
      </c>
      <c r="K4211" s="3">
        <v>8600</v>
      </c>
      <c r="L4211" s="1">
        <v>0</v>
      </c>
      <c r="M4211" s="4">
        <v>0</v>
      </c>
      <c r="N4211" s="1">
        <v>665</v>
      </c>
      <c r="O4211" s="4">
        <v>7.1999999999999995E-2</v>
      </c>
      <c r="P4211" s="1" t="s">
        <v>2721</v>
      </c>
    </row>
    <row r="4212" spans="1:16">
      <c r="A4212" s="1" t="s">
        <v>649</v>
      </c>
      <c r="B4212" s="1">
        <v>11</v>
      </c>
      <c r="C4212" s="1">
        <v>25112219504043</v>
      </c>
      <c r="D4212" s="1" t="s">
        <v>4384</v>
      </c>
      <c r="E4212" s="2">
        <v>45985</v>
      </c>
      <c r="F4212" s="1" t="s">
        <v>48</v>
      </c>
      <c r="G4212" s="1" t="s">
        <v>4385</v>
      </c>
      <c r="H4212" s="1" t="s">
        <v>4386</v>
      </c>
      <c r="I4212" s="1">
        <v>1</v>
      </c>
      <c r="J4212" s="3">
        <v>18700</v>
      </c>
      <c r="K4212" s="3">
        <v>15899</v>
      </c>
      <c r="L4212" s="1">
        <v>0</v>
      </c>
      <c r="M4212" s="4">
        <v>0</v>
      </c>
      <c r="N4212" s="3">
        <v>2801</v>
      </c>
      <c r="O4212" s="4">
        <v>0.15</v>
      </c>
      <c r="P4212" s="1" t="s">
        <v>2721</v>
      </c>
    </row>
    <row r="4213" spans="1:16">
      <c r="A4213" s="1" t="s">
        <v>649</v>
      </c>
      <c r="B4213" s="1">
        <v>11</v>
      </c>
      <c r="C4213" s="1">
        <v>25112218095233</v>
      </c>
      <c r="D4213" s="1" t="s">
        <v>8672</v>
      </c>
      <c r="E4213" s="2">
        <v>45985</v>
      </c>
      <c r="F4213" s="1" t="s">
        <v>48</v>
      </c>
      <c r="G4213" s="1" t="s">
        <v>8673</v>
      </c>
      <c r="H4213" s="1" t="s">
        <v>8674</v>
      </c>
      <c r="I4213" s="1">
        <v>1</v>
      </c>
      <c r="J4213" s="3">
        <v>20196</v>
      </c>
      <c r="K4213" s="3">
        <v>17173</v>
      </c>
      <c r="L4213" s="1">
        <v>0</v>
      </c>
      <c r="M4213" s="4">
        <v>0</v>
      </c>
      <c r="N4213" s="3">
        <v>3023</v>
      </c>
      <c r="O4213" s="4">
        <v>0.15</v>
      </c>
      <c r="P4213" s="1" t="s">
        <v>2721</v>
      </c>
    </row>
    <row r="4214" spans="1:16">
      <c r="A4214" s="1" t="s">
        <v>649</v>
      </c>
      <c r="B4214" s="1">
        <v>11</v>
      </c>
      <c r="C4214" s="1">
        <v>25112218095233</v>
      </c>
      <c r="D4214" s="1" t="s">
        <v>769</v>
      </c>
      <c r="E4214" s="2">
        <v>45985</v>
      </c>
      <c r="F4214" s="1" t="s">
        <v>48</v>
      </c>
      <c r="G4214" s="1" t="s">
        <v>770</v>
      </c>
      <c r="H4214" s="1" t="s">
        <v>5898</v>
      </c>
      <c r="I4214" s="1">
        <v>1</v>
      </c>
      <c r="J4214" s="3">
        <v>14680</v>
      </c>
      <c r="K4214" s="3">
        <v>12513</v>
      </c>
      <c r="L4214" s="1">
        <v>0</v>
      </c>
      <c r="M4214" s="4">
        <v>0</v>
      </c>
      <c r="N4214" s="3">
        <v>2167</v>
      </c>
      <c r="O4214" s="4">
        <v>0.14799999999999999</v>
      </c>
      <c r="P4214" s="1" t="s">
        <v>2721</v>
      </c>
    </row>
    <row r="4215" spans="1:16">
      <c r="A4215" s="1" t="s">
        <v>649</v>
      </c>
      <c r="B4215" s="1">
        <v>11</v>
      </c>
      <c r="C4215" s="1">
        <v>25112209384356</v>
      </c>
      <c r="D4215" s="1" t="s">
        <v>2639</v>
      </c>
      <c r="E4215" s="2">
        <v>45985</v>
      </c>
      <c r="F4215" s="1" t="s">
        <v>48</v>
      </c>
      <c r="G4215" s="1" t="s">
        <v>2640</v>
      </c>
      <c r="H4215" s="1" t="s">
        <v>2641</v>
      </c>
      <c r="I4215" s="1">
        <v>1</v>
      </c>
      <c r="J4215" s="3">
        <v>10472</v>
      </c>
      <c r="K4215" s="3">
        <v>8888</v>
      </c>
      <c r="L4215" s="1">
        <v>0</v>
      </c>
      <c r="M4215" s="4">
        <v>0</v>
      </c>
      <c r="N4215" s="3">
        <v>1584</v>
      </c>
      <c r="O4215" s="4">
        <v>0.151</v>
      </c>
      <c r="P4215" s="1" t="s">
        <v>2721</v>
      </c>
    </row>
    <row r="4216" spans="1:16">
      <c r="A4216" s="1" t="s">
        <v>649</v>
      </c>
      <c r="B4216" s="1">
        <v>11</v>
      </c>
      <c r="C4216" s="1">
        <v>25112201014916</v>
      </c>
      <c r="D4216" s="1" t="s">
        <v>2635</v>
      </c>
      <c r="E4216" s="2">
        <v>45985</v>
      </c>
      <c r="F4216" s="1" t="s">
        <v>2636</v>
      </c>
      <c r="G4216" s="1" t="s">
        <v>2637</v>
      </c>
      <c r="H4216" s="1" t="s">
        <v>2638</v>
      </c>
      <c r="I4216" s="1">
        <v>1</v>
      </c>
      <c r="J4216" s="3">
        <v>10472</v>
      </c>
      <c r="K4216" s="3">
        <v>8911</v>
      </c>
      <c r="L4216" s="1">
        <v>0</v>
      </c>
      <c r="M4216" s="4">
        <v>0</v>
      </c>
      <c r="N4216" s="3">
        <v>1561</v>
      </c>
      <c r="O4216" s="4">
        <v>0.14899999999999999</v>
      </c>
      <c r="P4216" s="1" t="s">
        <v>2721</v>
      </c>
    </row>
    <row r="4217" spans="1:16">
      <c r="A4217" s="1" t="s">
        <v>649</v>
      </c>
      <c r="B4217" s="1">
        <v>11</v>
      </c>
      <c r="C4217" s="1">
        <v>25112123203139</v>
      </c>
      <c r="D4217" s="1" t="s">
        <v>2635</v>
      </c>
      <c r="E4217" s="2">
        <v>45985</v>
      </c>
      <c r="F4217" s="1" t="s">
        <v>2636</v>
      </c>
      <c r="G4217" s="1" t="s">
        <v>2637</v>
      </c>
      <c r="H4217" s="1" t="s">
        <v>2638</v>
      </c>
      <c r="I4217" s="1">
        <v>1</v>
      </c>
      <c r="J4217" s="3">
        <v>10472</v>
      </c>
      <c r="K4217" s="3">
        <v>8911</v>
      </c>
      <c r="L4217" s="1">
        <v>0</v>
      </c>
      <c r="M4217" s="4">
        <v>0</v>
      </c>
      <c r="N4217" s="3">
        <v>1561</v>
      </c>
      <c r="O4217" s="4">
        <v>0.14899999999999999</v>
      </c>
      <c r="P4217" s="1" t="s">
        <v>2721</v>
      </c>
    </row>
    <row r="4218" spans="1:16">
      <c r="A4218" s="1" t="s">
        <v>649</v>
      </c>
      <c r="B4218" s="1">
        <v>11</v>
      </c>
      <c r="C4218" s="1">
        <v>25112122042695</v>
      </c>
      <c r="D4218" s="1" t="s">
        <v>769</v>
      </c>
      <c r="E4218" s="2">
        <v>45985</v>
      </c>
      <c r="F4218" s="1" t="s">
        <v>48</v>
      </c>
      <c r="G4218" s="1" t="s">
        <v>770</v>
      </c>
      <c r="H4218" s="1" t="s">
        <v>5898</v>
      </c>
      <c r="I4218" s="1">
        <v>1</v>
      </c>
      <c r="J4218" s="3">
        <v>14680</v>
      </c>
      <c r="K4218" s="3">
        <v>12513</v>
      </c>
      <c r="L4218" s="1">
        <v>0</v>
      </c>
      <c r="M4218" s="4">
        <v>0</v>
      </c>
      <c r="N4218" s="3">
        <v>2167</v>
      </c>
      <c r="O4218" s="4">
        <v>0.14799999999999999</v>
      </c>
      <c r="P4218" s="1" t="s">
        <v>2721</v>
      </c>
    </row>
    <row r="4219" spans="1:16">
      <c r="A4219" s="1" t="s">
        <v>649</v>
      </c>
      <c r="B4219" s="1">
        <v>11</v>
      </c>
      <c r="C4219" s="1">
        <v>25112122015300</v>
      </c>
      <c r="D4219" s="1" t="s">
        <v>769</v>
      </c>
      <c r="E4219" s="2">
        <v>45985</v>
      </c>
      <c r="F4219" s="1" t="s">
        <v>48</v>
      </c>
      <c r="G4219" s="1" t="s">
        <v>770</v>
      </c>
      <c r="H4219" s="1" t="s">
        <v>5898</v>
      </c>
      <c r="I4219" s="1">
        <v>1</v>
      </c>
      <c r="J4219" s="3">
        <v>14680</v>
      </c>
      <c r="K4219" s="3">
        <v>12513</v>
      </c>
      <c r="L4219" s="1">
        <v>0</v>
      </c>
      <c r="M4219" s="4">
        <v>0</v>
      </c>
      <c r="N4219" s="3">
        <v>2167</v>
      </c>
      <c r="O4219" s="4">
        <v>0.14799999999999999</v>
      </c>
      <c r="P4219" s="1" t="s">
        <v>2721</v>
      </c>
    </row>
    <row r="4220" spans="1:16">
      <c r="A4220" s="1" t="s">
        <v>649</v>
      </c>
      <c r="B4220" s="1">
        <v>11</v>
      </c>
      <c r="C4220" s="1">
        <v>25112118234321</v>
      </c>
      <c r="D4220" s="1" t="s">
        <v>8675</v>
      </c>
      <c r="E4220" s="2">
        <v>45985</v>
      </c>
      <c r="F4220" s="1" t="s">
        <v>1403</v>
      </c>
      <c r="G4220" s="1" t="s">
        <v>8676</v>
      </c>
      <c r="H4220" s="1" t="s">
        <v>8677</v>
      </c>
      <c r="I4220" s="1">
        <v>1</v>
      </c>
      <c r="J4220" s="3">
        <v>9350</v>
      </c>
      <c r="K4220" s="3">
        <v>8723</v>
      </c>
      <c r="L4220" s="1">
        <v>0</v>
      </c>
      <c r="M4220" s="4">
        <v>0</v>
      </c>
      <c r="N4220" s="1">
        <v>627</v>
      </c>
      <c r="O4220" s="4">
        <v>6.7000000000000004E-2</v>
      </c>
      <c r="P4220" s="1" t="s">
        <v>2721</v>
      </c>
    </row>
    <row r="4221" spans="1:16">
      <c r="A4221" s="1" t="s">
        <v>649</v>
      </c>
      <c r="B4221" s="1">
        <v>11</v>
      </c>
      <c r="C4221" s="1">
        <v>25112116391183</v>
      </c>
      <c r="D4221" s="1" t="s">
        <v>8678</v>
      </c>
      <c r="E4221" s="2">
        <v>45985</v>
      </c>
      <c r="F4221" s="1" t="s">
        <v>3484</v>
      </c>
      <c r="G4221" s="1" t="s">
        <v>8679</v>
      </c>
      <c r="H4221" s="1" t="s">
        <v>8680</v>
      </c>
      <c r="I4221" s="1">
        <v>1</v>
      </c>
      <c r="J4221" s="3">
        <v>27957</v>
      </c>
      <c r="K4221" s="3">
        <v>23825</v>
      </c>
      <c r="L4221" s="1">
        <v>0</v>
      </c>
      <c r="M4221" s="4">
        <v>0</v>
      </c>
      <c r="N4221" s="3">
        <v>4132</v>
      </c>
      <c r="O4221" s="4">
        <v>0.14799999999999999</v>
      </c>
      <c r="P4221" s="1" t="s">
        <v>2721</v>
      </c>
    </row>
    <row r="4222" spans="1:16">
      <c r="A4222" s="1" t="s">
        <v>649</v>
      </c>
      <c r="B4222" s="1">
        <v>11</v>
      </c>
      <c r="C4222" s="1">
        <v>25112113231325</v>
      </c>
      <c r="D4222" s="1" t="s">
        <v>667</v>
      </c>
      <c r="E4222" s="2">
        <v>45985</v>
      </c>
      <c r="F4222" s="1" t="s">
        <v>48</v>
      </c>
      <c r="G4222" s="1" t="s">
        <v>668</v>
      </c>
      <c r="H4222" s="1" t="s">
        <v>8036</v>
      </c>
      <c r="I4222" s="1">
        <v>2</v>
      </c>
      <c r="J4222" s="3">
        <v>18139</v>
      </c>
      <c r="K4222" s="3">
        <v>15360</v>
      </c>
      <c r="L4222" s="1">
        <v>0</v>
      </c>
      <c r="M4222" s="4">
        <v>0</v>
      </c>
      <c r="N4222" s="3">
        <v>2779</v>
      </c>
      <c r="O4222" s="4">
        <v>0.153</v>
      </c>
      <c r="P4222" s="1" t="s">
        <v>2721</v>
      </c>
    </row>
    <row r="4223" spans="1:16">
      <c r="A4223" s="1" t="s">
        <v>620</v>
      </c>
      <c r="B4223" s="1">
        <v>11</v>
      </c>
      <c r="C4223" s="1">
        <v>4371840502</v>
      </c>
      <c r="D4223" s="1" t="s">
        <v>1968</v>
      </c>
      <c r="E4223" s="2">
        <v>45985</v>
      </c>
      <c r="F4223" s="1" t="s">
        <v>239</v>
      </c>
      <c r="G4223" s="1" t="s">
        <v>1969</v>
      </c>
      <c r="H4223" s="1" t="s">
        <v>8681</v>
      </c>
      <c r="I4223" s="1">
        <v>5</v>
      </c>
      <c r="J4223" s="3">
        <v>113000</v>
      </c>
      <c r="K4223" s="3">
        <v>53935</v>
      </c>
      <c r="L4223" s="3">
        <v>14690</v>
      </c>
      <c r="M4223" s="4">
        <v>0.13</v>
      </c>
      <c r="N4223" s="3">
        <v>44375</v>
      </c>
      <c r="O4223" s="4">
        <v>0.39300000000000002</v>
      </c>
      <c r="P4223" s="1" t="s">
        <v>2721</v>
      </c>
    </row>
    <row r="4224" spans="1:16">
      <c r="A4224" s="1" t="s">
        <v>624</v>
      </c>
      <c r="B4224" s="1">
        <v>11</v>
      </c>
      <c r="C4224" s="1">
        <v>2025112114388540</v>
      </c>
      <c r="D4224" s="1" t="s">
        <v>3020</v>
      </c>
      <c r="E4224" s="2">
        <v>45985</v>
      </c>
      <c r="F4224" s="1" t="s">
        <v>48</v>
      </c>
      <c r="G4224" s="1" t="s">
        <v>3021</v>
      </c>
      <c r="H4224" s="1" t="s">
        <v>167</v>
      </c>
      <c r="I4224" s="1">
        <v>1</v>
      </c>
      <c r="J4224" s="3">
        <v>39342</v>
      </c>
      <c r="K4224" s="3">
        <v>30117</v>
      </c>
      <c r="L4224" s="3">
        <v>5114</v>
      </c>
      <c r="M4224" s="4">
        <v>0.13</v>
      </c>
      <c r="N4224" s="3">
        <v>4111</v>
      </c>
      <c r="O4224" s="4">
        <v>0.104</v>
      </c>
      <c r="P4224" s="1" t="s">
        <v>2721</v>
      </c>
    </row>
    <row r="4225" spans="1:16">
      <c r="A4225" s="1" t="s">
        <v>632</v>
      </c>
      <c r="B4225" s="1">
        <v>11</v>
      </c>
      <c r="C4225" s="1">
        <v>164211981</v>
      </c>
      <c r="D4225" s="1" t="s">
        <v>715</v>
      </c>
      <c r="E4225" s="2">
        <v>45985</v>
      </c>
      <c r="F4225" s="1" t="s">
        <v>500</v>
      </c>
      <c r="G4225" s="1" t="s">
        <v>716</v>
      </c>
      <c r="I4225" s="1">
        <v>2</v>
      </c>
      <c r="J4225" s="3">
        <v>277800</v>
      </c>
      <c r="K4225" s="3">
        <v>222400</v>
      </c>
      <c r="L4225" s="3">
        <v>29447</v>
      </c>
      <c r="M4225" s="4">
        <v>0.106</v>
      </c>
      <c r="N4225" s="3">
        <v>25953</v>
      </c>
      <c r="O4225" s="4">
        <v>9.2999999999999999E-2</v>
      </c>
      <c r="P4225" s="1" t="s">
        <v>2721</v>
      </c>
    </row>
    <row r="4226" spans="1:16">
      <c r="A4226" s="1" t="s">
        <v>632</v>
      </c>
      <c r="B4226" s="1">
        <v>11</v>
      </c>
      <c r="C4226" s="1">
        <v>164211797</v>
      </c>
      <c r="D4226" s="1" t="s">
        <v>682</v>
      </c>
      <c r="E4226" s="2">
        <v>45985</v>
      </c>
      <c r="F4226" s="1" t="s">
        <v>500</v>
      </c>
      <c r="G4226" s="1" t="s">
        <v>683</v>
      </c>
      <c r="I4226" s="1">
        <v>1</v>
      </c>
      <c r="J4226" s="3">
        <v>134900</v>
      </c>
      <c r="K4226" s="3">
        <v>107500</v>
      </c>
      <c r="L4226" s="3">
        <v>14299</v>
      </c>
      <c r="M4226" s="4">
        <v>0.106</v>
      </c>
      <c r="N4226" s="3">
        <v>13100</v>
      </c>
      <c r="O4226" s="4">
        <v>9.7000000000000003E-2</v>
      </c>
      <c r="P4226" s="1" t="s">
        <v>2721</v>
      </c>
    </row>
    <row r="4227" spans="1:16">
      <c r="A4227" s="1" t="s">
        <v>632</v>
      </c>
      <c r="B4227" s="1">
        <v>11</v>
      </c>
      <c r="C4227" s="1">
        <v>164165417</v>
      </c>
      <c r="D4227" s="1" t="s">
        <v>715</v>
      </c>
      <c r="E4227" s="2">
        <v>45985</v>
      </c>
      <c r="F4227" s="1" t="s">
        <v>500</v>
      </c>
      <c r="G4227" s="1" t="s">
        <v>716</v>
      </c>
      <c r="I4227" s="1">
        <v>1</v>
      </c>
      <c r="J4227" s="3">
        <v>138900</v>
      </c>
      <c r="K4227" s="3">
        <v>111200</v>
      </c>
      <c r="L4227" s="3">
        <v>14723</v>
      </c>
      <c r="M4227" s="4">
        <v>0.106</v>
      </c>
      <c r="N4227" s="3">
        <v>12977</v>
      </c>
      <c r="O4227" s="4">
        <v>9.2999999999999999E-2</v>
      </c>
      <c r="P4227" s="1" t="s">
        <v>2721</v>
      </c>
    </row>
    <row r="4228" spans="1:16">
      <c r="A4228" s="1" t="s">
        <v>632</v>
      </c>
      <c r="B4228" s="1">
        <v>11</v>
      </c>
      <c r="C4228" s="1">
        <v>164131493</v>
      </c>
      <c r="D4228" s="1" t="s">
        <v>715</v>
      </c>
      <c r="E4228" s="2">
        <v>45985</v>
      </c>
      <c r="F4228" s="1" t="s">
        <v>500</v>
      </c>
      <c r="G4228" s="1" t="s">
        <v>716</v>
      </c>
      <c r="I4228" s="1">
        <v>1</v>
      </c>
      <c r="J4228" s="3">
        <v>138900</v>
      </c>
      <c r="K4228" s="3">
        <v>111200</v>
      </c>
      <c r="L4228" s="3">
        <v>14723</v>
      </c>
      <c r="M4228" s="4">
        <v>0.106</v>
      </c>
      <c r="N4228" s="3">
        <v>12977</v>
      </c>
      <c r="O4228" s="4">
        <v>9.2999999999999999E-2</v>
      </c>
      <c r="P4228" s="1" t="s">
        <v>2721</v>
      </c>
    </row>
    <row r="4229" spans="1:16">
      <c r="A4229" s="1" t="s">
        <v>632</v>
      </c>
      <c r="B4229" s="1">
        <v>11</v>
      </c>
      <c r="C4229" s="1">
        <v>164117741</v>
      </c>
      <c r="D4229" s="1" t="s">
        <v>2184</v>
      </c>
      <c r="E4229" s="2">
        <v>45985</v>
      </c>
      <c r="F4229" s="1" t="s">
        <v>500</v>
      </c>
      <c r="G4229" s="1" t="s">
        <v>2185</v>
      </c>
      <c r="I4229" s="1">
        <v>1</v>
      </c>
      <c r="J4229" s="3">
        <v>172900</v>
      </c>
      <c r="K4229" s="3">
        <v>98000</v>
      </c>
      <c r="L4229" s="3">
        <v>18327</v>
      </c>
      <c r="M4229" s="4">
        <v>0.106</v>
      </c>
      <c r="N4229" s="3">
        <v>56573</v>
      </c>
      <c r="O4229" s="4">
        <v>0.32700000000000001</v>
      </c>
      <c r="P4229" s="1" t="s">
        <v>2721</v>
      </c>
    </row>
    <row r="4230" spans="1:16">
      <c r="A4230" s="1" t="s">
        <v>632</v>
      </c>
      <c r="B4230" s="1">
        <v>11</v>
      </c>
      <c r="C4230" s="1">
        <v>163934637</v>
      </c>
      <c r="D4230" s="1" t="s">
        <v>715</v>
      </c>
      <c r="E4230" s="2">
        <v>45985</v>
      </c>
      <c r="F4230" s="1" t="s">
        <v>500</v>
      </c>
      <c r="G4230" s="1" t="s">
        <v>716</v>
      </c>
      <c r="I4230" s="1">
        <v>1</v>
      </c>
      <c r="J4230" s="3">
        <v>138900</v>
      </c>
      <c r="K4230" s="3">
        <v>111200</v>
      </c>
      <c r="L4230" s="3">
        <v>14723</v>
      </c>
      <c r="M4230" s="4">
        <v>0.106</v>
      </c>
      <c r="N4230" s="3">
        <v>12977</v>
      </c>
      <c r="O4230" s="4">
        <v>9.2999999999999999E-2</v>
      </c>
      <c r="P4230" s="1" t="s">
        <v>2721</v>
      </c>
    </row>
    <row r="4231" spans="1:16">
      <c r="A4231" s="1" t="s">
        <v>1917</v>
      </c>
      <c r="B4231" s="1">
        <v>11</v>
      </c>
      <c r="C4231" s="1">
        <v>1.18011763876046E+20</v>
      </c>
      <c r="D4231" s="1" t="s">
        <v>8682</v>
      </c>
      <c r="E4231" s="2">
        <v>45985</v>
      </c>
      <c r="F4231" s="1" t="s">
        <v>3710</v>
      </c>
      <c r="G4231" s="1" t="s">
        <v>8683</v>
      </c>
      <c r="H4231" s="1" t="s">
        <v>5129</v>
      </c>
      <c r="I4231" s="1">
        <v>1</v>
      </c>
      <c r="J4231" s="3">
        <v>33840</v>
      </c>
      <c r="K4231" s="3">
        <v>30016</v>
      </c>
      <c r="L4231" s="1">
        <v>0</v>
      </c>
      <c r="M4231" s="4">
        <v>0</v>
      </c>
      <c r="N4231" s="3">
        <v>3824</v>
      </c>
      <c r="O4231" s="4">
        <v>0.113</v>
      </c>
      <c r="P4231" s="1" t="s">
        <v>2721</v>
      </c>
    </row>
    <row r="4232" spans="1:16">
      <c r="A4232" s="1" t="s">
        <v>1917</v>
      </c>
      <c r="B4232" s="1">
        <v>11</v>
      </c>
      <c r="C4232" s="1">
        <v>1.18011763876046E+20</v>
      </c>
      <c r="D4232" s="1" t="s">
        <v>8684</v>
      </c>
      <c r="E4232" s="2">
        <v>45985</v>
      </c>
      <c r="F4232" s="1" t="s">
        <v>2537</v>
      </c>
      <c r="G4232" s="1" t="s">
        <v>8685</v>
      </c>
      <c r="H4232" s="1" t="s">
        <v>8686</v>
      </c>
      <c r="I4232" s="1">
        <v>1</v>
      </c>
      <c r="J4232" s="3">
        <v>18700</v>
      </c>
      <c r="K4232" s="3">
        <v>16884</v>
      </c>
      <c r="L4232" s="1">
        <v>0</v>
      </c>
      <c r="M4232" s="4">
        <v>0</v>
      </c>
      <c r="N4232" s="3">
        <v>1816</v>
      </c>
      <c r="O4232" s="4">
        <v>9.7000000000000003E-2</v>
      </c>
      <c r="P4232" s="1" t="s">
        <v>2721</v>
      </c>
    </row>
    <row r="4233" spans="1:16">
      <c r="A4233" s="1" t="s">
        <v>1917</v>
      </c>
      <c r="B4233" s="1">
        <v>11</v>
      </c>
      <c r="C4233" s="1">
        <v>1.18001763875957E+20</v>
      </c>
      <c r="D4233" s="1" t="s">
        <v>8687</v>
      </c>
      <c r="E4233" s="2">
        <v>45985</v>
      </c>
      <c r="F4233" s="1" t="s">
        <v>256</v>
      </c>
      <c r="G4233" s="1" t="s">
        <v>8688</v>
      </c>
      <c r="H4233" s="1" t="s">
        <v>3666</v>
      </c>
      <c r="I4233" s="1">
        <v>1</v>
      </c>
      <c r="J4233" s="3">
        <v>24748</v>
      </c>
      <c r="K4233" s="3">
        <v>21500</v>
      </c>
      <c r="L4233" s="1">
        <v>0</v>
      </c>
      <c r="M4233" s="4">
        <v>0</v>
      </c>
      <c r="N4233" s="3">
        <v>3248</v>
      </c>
      <c r="O4233" s="4">
        <v>0.13100000000000001</v>
      </c>
      <c r="P4233" s="1" t="s">
        <v>2721</v>
      </c>
    </row>
    <row r="4234" spans="1:16">
      <c r="A4234" s="1" t="s">
        <v>1917</v>
      </c>
      <c r="B4234" s="1">
        <v>11</v>
      </c>
      <c r="C4234" s="1">
        <v>1.18001763875957E+20</v>
      </c>
      <c r="D4234" s="1" t="s">
        <v>8689</v>
      </c>
      <c r="E4234" s="2">
        <v>45985</v>
      </c>
      <c r="F4234" s="1" t="s">
        <v>43</v>
      </c>
      <c r="G4234" s="1" t="s">
        <v>8690</v>
      </c>
      <c r="H4234" s="1" t="s">
        <v>7355</v>
      </c>
      <c r="I4234" s="1">
        <v>1</v>
      </c>
      <c r="J4234" s="3">
        <v>22770</v>
      </c>
      <c r="K4234" s="3">
        <v>20167</v>
      </c>
      <c r="L4234" s="1">
        <v>0</v>
      </c>
      <c r="M4234" s="4">
        <v>0</v>
      </c>
      <c r="N4234" s="3">
        <v>2603</v>
      </c>
      <c r="O4234" s="4">
        <v>0.114</v>
      </c>
      <c r="P4234" s="1" t="s">
        <v>2721</v>
      </c>
    </row>
    <row r="4235" spans="1:16">
      <c r="A4235" s="1" t="s">
        <v>1917</v>
      </c>
      <c r="B4235" s="1">
        <v>11</v>
      </c>
      <c r="C4235" s="1">
        <v>1.1792176377760699E+20</v>
      </c>
      <c r="D4235" s="1" t="s">
        <v>4498</v>
      </c>
      <c r="E4235" s="2">
        <v>45985</v>
      </c>
      <c r="F4235" s="1" t="s">
        <v>1241</v>
      </c>
      <c r="G4235" s="1" t="s">
        <v>4499</v>
      </c>
      <c r="H4235" s="1" t="s">
        <v>8691</v>
      </c>
      <c r="I4235" s="1">
        <v>1</v>
      </c>
      <c r="J4235" s="3">
        <v>30510</v>
      </c>
      <c r="K4235" s="3">
        <v>24576</v>
      </c>
      <c r="L4235" s="1">
        <v>0</v>
      </c>
      <c r="M4235" s="4">
        <v>0</v>
      </c>
      <c r="N4235" s="3">
        <v>5934</v>
      </c>
      <c r="O4235" s="4">
        <v>0.19500000000000001</v>
      </c>
      <c r="P4235" s="1" t="s">
        <v>2721</v>
      </c>
    </row>
    <row r="4236" spans="1:16">
      <c r="A4236" s="1" t="s">
        <v>1917</v>
      </c>
      <c r="B4236" s="1">
        <v>11</v>
      </c>
      <c r="C4236" s="1">
        <v>1.17841763721186E+20</v>
      </c>
      <c r="D4236" s="1" t="s">
        <v>3025</v>
      </c>
      <c r="E4236" s="2">
        <v>45985</v>
      </c>
      <c r="F4236" s="1" t="s">
        <v>368</v>
      </c>
      <c r="G4236" s="1" t="s">
        <v>3026</v>
      </c>
      <c r="H4236" s="1" t="s">
        <v>8692</v>
      </c>
      <c r="I4236" s="1">
        <v>1</v>
      </c>
      <c r="J4236" s="3">
        <v>21510</v>
      </c>
      <c r="K4236" s="3">
        <v>18899</v>
      </c>
      <c r="L4236" s="1">
        <v>0</v>
      </c>
      <c r="M4236" s="4">
        <v>0</v>
      </c>
      <c r="N4236" s="3">
        <v>2611</v>
      </c>
      <c r="O4236" s="4">
        <v>0.121</v>
      </c>
      <c r="P4236" s="1" t="s">
        <v>2721</v>
      </c>
    </row>
    <row r="4237" spans="1:16">
      <c r="A4237" s="1" t="s">
        <v>1849</v>
      </c>
      <c r="B4237" s="1">
        <v>11</v>
      </c>
      <c r="C4237" s="1">
        <v>6942897</v>
      </c>
      <c r="D4237" s="1" t="s">
        <v>1968</v>
      </c>
      <c r="E4237" s="2">
        <v>45985</v>
      </c>
      <c r="F4237" s="1" t="s">
        <v>239</v>
      </c>
      <c r="G4237" s="1" t="s">
        <v>1969</v>
      </c>
      <c r="H4237" s="1" t="s">
        <v>1970</v>
      </c>
      <c r="I4237" s="1">
        <v>1</v>
      </c>
      <c r="J4237" s="3">
        <v>16800</v>
      </c>
      <c r="K4237" s="3">
        <v>10787</v>
      </c>
      <c r="L4237" s="3">
        <v>2520</v>
      </c>
      <c r="M4237" s="4">
        <v>0.15</v>
      </c>
      <c r="N4237" s="3">
        <v>3493</v>
      </c>
      <c r="O4237" s="4">
        <v>0.20799999999999999</v>
      </c>
      <c r="P4237" s="1" t="s">
        <v>2721</v>
      </c>
    </row>
    <row r="4238" spans="1:16">
      <c r="A4238" s="1" t="s">
        <v>1849</v>
      </c>
      <c r="B4238" s="1">
        <v>11</v>
      </c>
      <c r="C4238" s="1">
        <v>311931</v>
      </c>
      <c r="D4238" s="1" t="s">
        <v>3020</v>
      </c>
      <c r="E4238" s="2">
        <v>45985</v>
      </c>
      <c r="F4238" s="1" t="s">
        <v>48</v>
      </c>
      <c r="G4238" s="1" t="s">
        <v>3021</v>
      </c>
      <c r="H4238" s="1" t="s">
        <v>3022</v>
      </c>
      <c r="I4238" s="1">
        <v>1</v>
      </c>
      <c r="J4238" s="3">
        <v>38200</v>
      </c>
      <c r="K4238" s="3">
        <v>30117</v>
      </c>
      <c r="L4238" s="3">
        <v>5730</v>
      </c>
      <c r="M4238" s="4">
        <v>0.15</v>
      </c>
      <c r="N4238" s="3">
        <v>2353</v>
      </c>
      <c r="O4238" s="4">
        <v>6.2E-2</v>
      </c>
      <c r="P4238" s="1" t="s">
        <v>2721</v>
      </c>
    </row>
    <row r="4239" spans="1:16">
      <c r="A4239" s="1" t="s">
        <v>1849</v>
      </c>
      <c r="B4239" s="1">
        <v>11</v>
      </c>
      <c r="C4239" s="1">
        <v>314124</v>
      </c>
      <c r="D4239" s="1" t="s">
        <v>8693</v>
      </c>
      <c r="E4239" s="2">
        <v>45985</v>
      </c>
      <c r="F4239" s="1" t="s">
        <v>235</v>
      </c>
      <c r="G4239" s="1" t="s">
        <v>8694</v>
      </c>
      <c r="H4239" s="1" t="s">
        <v>8695</v>
      </c>
      <c r="I4239" s="1">
        <v>1</v>
      </c>
      <c r="J4239" s="3">
        <v>10800</v>
      </c>
      <c r="K4239" s="3">
        <v>7739</v>
      </c>
      <c r="L4239" s="3">
        <v>1620</v>
      </c>
      <c r="M4239" s="4">
        <v>0.15</v>
      </c>
      <c r="N4239" s="3">
        <v>1441</v>
      </c>
      <c r="O4239" s="4">
        <v>0.13300000000000001</v>
      </c>
      <c r="P4239" s="1" t="s">
        <v>2721</v>
      </c>
    </row>
    <row r="4240" spans="1:16">
      <c r="A4240" s="1" t="s">
        <v>1849</v>
      </c>
      <c r="B4240" s="1">
        <v>11</v>
      </c>
      <c r="C4240" s="1">
        <v>313793</v>
      </c>
      <c r="D4240" s="1" t="s">
        <v>8696</v>
      </c>
      <c r="E4240" s="2">
        <v>45985</v>
      </c>
      <c r="F4240" s="1" t="s">
        <v>48</v>
      </c>
      <c r="G4240" s="1" t="s">
        <v>8697</v>
      </c>
      <c r="H4240" s="1" t="s">
        <v>8698</v>
      </c>
      <c r="I4240" s="1">
        <v>1</v>
      </c>
      <c r="J4240" s="3">
        <v>20700</v>
      </c>
      <c r="K4240" s="3">
        <v>12944</v>
      </c>
      <c r="L4240" s="3">
        <v>3105</v>
      </c>
      <c r="M4240" s="4">
        <v>0.15</v>
      </c>
      <c r="N4240" s="3">
        <v>4651</v>
      </c>
      <c r="O4240" s="4">
        <v>0.22500000000000001</v>
      </c>
      <c r="P4240" s="1" t="s">
        <v>2721</v>
      </c>
    </row>
    <row r="4241" spans="1:16">
      <c r="A4241" s="1" t="s">
        <v>1849</v>
      </c>
      <c r="B4241" s="1">
        <v>11</v>
      </c>
      <c r="C4241" s="1">
        <v>313758</v>
      </c>
      <c r="D4241" s="1" t="s">
        <v>8699</v>
      </c>
      <c r="E4241" s="2">
        <v>45985</v>
      </c>
      <c r="F4241" s="1" t="s">
        <v>8700</v>
      </c>
      <c r="G4241" s="1" t="s">
        <v>8701</v>
      </c>
      <c r="H4241" s="1" t="s">
        <v>8702</v>
      </c>
      <c r="I4241" s="1">
        <v>1</v>
      </c>
      <c r="J4241" s="3">
        <v>176100</v>
      </c>
      <c r="K4241" s="3">
        <v>120064</v>
      </c>
      <c r="L4241" s="3">
        <v>26415</v>
      </c>
      <c r="M4241" s="4">
        <v>0.15</v>
      </c>
      <c r="N4241" s="3">
        <v>29621</v>
      </c>
      <c r="O4241" s="4">
        <v>0.16800000000000001</v>
      </c>
      <c r="P4241" s="1" t="s">
        <v>2721</v>
      </c>
    </row>
    <row r="4242" spans="1:16">
      <c r="A4242" s="1" t="s">
        <v>1849</v>
      </c>
      <c r="B4242" s="1">
        <v>11</v>
      </c>
      <c r="C4242" s="1">
        <v>313750</v>
      </c>
      <c r="D4242" s="1" t="s">
        <v>1977</v>
      </c>
      <c r="E4242" s="2">
        <v>45985</v>
      </c>
      <c r="F4242" s="1" t="s">
        <v>235</v>
      </c>
      <c r="G4242" s="1" t="s">
        <v>1978</v>
      </c>
      <c r="H4242" s="1" t="s">
        <v>1979</v>
      </c>
      <c r="I4242" s="1">
        <v>1</v>
      </c>
      <c r="J4242" s="3">
        <v>15900</v>
      </c>
      <c r="K4242" s="3">
        <v>12579</v>
      </c>
      <c r="L4242" s="3">
        <v>2385</v>
      </c>
      <c r="M4242" s="4">
        <v>0.15</v>
      </c>
      <c r="N4242" s="1">
        <v>936</v>
      </c>
      <c r="O4242" s="4">
        <v>5.8999999999999997E-2</v>
      </c>
      <c r="P4242" s="1" t="s">
        <v>2721</v>
      </c>
    </row>
    <row r="4243" spans="1:16">
      <c r="A4243" s="1" t="s">
        <v>1849</v>
      </c>
      <c r="B4243" s="1">
        <v>11</v>
      </c>
      <c r="C4243" s="1">
        <v>313352</v>
      </c>
      <c r="D4243" s="1" t="s">
        <v>728</v>
      </c>
      <c r="E4243" s="2">
        <v>45985</v>
      </c>
      <c r="F4243" s="1" t="s">
        <v>534</v>
      </c>
      <c r="G4243" s="1" t="s">
        <v>729</v>
      </c>
      <c r="H4243" s="1" t="s">
        <v>3031</v>
      </c>
      <c r="I4243" s="1">
        <v>1</v>
      </c>
      <c r="J4243" s="3">
        <v>48900</v>
      </c>
      <c r="K4243" s="3">
        <v>31500</v>
      </c>
      <c r="L4243" s="3">
        <v>7335</v>
      </c>
      <c r="M4243" s="4">
        <v>0.15</v>
      </c>
      <c r="N4243" s="3">
        <v>10065</v>
      </c>
      <c r="O4243" s="4">
        <v>0.20599999999999999</v>
      </c>
      <c r="P4243" s="1" t="s">
        <v>2721</v>
      </c>
    </row>
    <row r="4244" spans="1:16">
      <c r="A4244" s="1" t="s">
        <v>692</v>
      </c>
      <c r="B4244" s="1">
        <v>11</v>
      </c>
      <c r="C4244" s="1" t="s">
        <v>8703</v>
      </c>
      <c r="D4244" s="1" t="s">
        <v>2048</v>
      </c>
      <c r="E4244" s="2">
        <v>45985</v>
      </c>
      <c r="F4244" s="1" t="s">
        <v>96</v>
      </c>
      <c r="G4244" s="1" t="s">
        <v>2049</v>
      </c>
      <c r="H4244" s="1" t="s">
        <v>1321</v>
      </c>
      <c r="I4244" s="1">
        <v>1</v>
      </c>
      <c r="J4244" s="3">
        <v>8925</v>
      </c>
      <c r="K4244" s="3">
        <v>8112</v>
      </c>
      <c r="L4244" s="1">
        <v>0</v>
      </c>
      <c r="M4244" s="4">
        <v>0</v>
      </c>
      <c r="N4244" s="1">
        <v>813</v>
      </c>
      <c r="O4244" s="4">
        <v>9.0999999999999998E-2</v>
      </c>
      <c r="P4244" s="1" t="s">
        <v>2721</v>
      </c>
    </row>
    <row r="4245" spans="1:16">
      <c r="A4245" s="1" t="s">
        <v>692</v>
      </c>
      <c r="B4245" s="1">
        <v>11</v>
      </c>
      <c r="C4245" s="1" t="s">
        <v>8704</v>
      </c>
      <c r="D4245" s="1" t="s">
        <v>2007</v>
      </c>
      <c r="E4245" s="2">
        <v>45985</v>
      </c>
      <c r="F4245" s="1" t="s">
        <v>2008</v>
      </c>
      <c r="G4245" s="1" t="s">
        <v>2009</v>
      </c>
      <c r="H4245" s="1" t="s">
        <v>2010</v>
      </c>
      <c r="I4245" s="1">
        <v>1</v>
      </c>
      <c r="J4245" s="3">
        <v>253300</v>
      </c>
      <c r="K4245" s="3">
        <v>248570</v>
      </c>
      <c r="L4245" s="1">
        <v>0</v>
      </c>
      <c r="M4245" s="4">
        <v>0</v>
      </c>
      <c r="N4245" s="3">
        <v>4730</v>
      </c>
      <c r="O4245" s="4">
        <v>1.9E-2</v>
      </c>
      <c r="P4245" s="1" t="s">
        <v>2721</v>
      </c>
    </row>
    <row r="4246" spans="1:16">
      <c r="A4246" s="1" t="s">
        <v>692</v>
      </c>
      <c r="B4246" s="1">
        <v>11</v>
      </c>
      <c r="C4246" s="1" t="s">
        <v>8705</v>
      </c>
      <c r="D4246" s="1" t="s">
        <v>6657</v>
      </c>
      <c r="E4246" s="2">
        <v>45985</v>
      </c>
      <c r="F4246" s="1" t="s">
        <v>96</v>
      </c>
      <c r="G4246" s="1" t="s">
        <v>6658</v>
      </c>
      <c r="H4246" s="1" t="s">
        <v>6659</v>
      </c>
      <c r="I4246" s="1">
        <v>1</v>
      </c>
      <c r="J4246" s="3">
        <v>10880</v>
      </c>
      <c r="K4246" s="3">
        <v>10269</v>
      </c>
      <c r="L4246" s="1">
        <v>0</v>
      </c>
      <c r="M4246" s="4">
        <v>0</v>
      </c>
      <c r="N4246" s="1">
        <v>611</v>
      </c>
      <c r="O4246" s="4">
        <v>5.6000000000000001E-2</v>
      </c>
      <c r="P4246" s="1" t="s">
        <v>2721</v>
      </c>
    </row>
    <row r="4247" spans="1:16">
      <c r="A4247" s="1" t="s">
        <v>692</v>
      </c>
      <c r="B4247" s="1">
        <v>11</v>
      </c>
      <c r="C4247" s="1" t="s">
        <v>8706</v>
      </c>
      <c r="D4247" s="1" t="s">
        <v>8707</v>
      </c>
      <c r="E4247" s="2">
        <v>45985</v>
      </c>
      <c r="F4247" s="1" t="s">
        <v>96</v>
      </c>
      <c r="G4247" s="1" t="s">
        <v>8708</v>
      </c>
      <c r="H4247" s="1" t="s">
        <v>8709</v>
      </c>
      <c r="I4247" s="1">
        <v>1</v>
      </c>
      <c r="J4247" s="3">
        <v>10795</v>
      </c>
      <c r="K4247" s="3">
        <v>9488</v>
      </c>
      <c r="L4247" s="1">
        <v>0</v>
      </c>
      <c r="M4247" s="4">
        <v>0</v>
      </c>
      <c r="N4247" s="3">
        <v>1307</v>
      </c>
      <c r="O4247" s="4">
        <v>0.121</v>
      </c>
      <c r="P4247" s="1" t="s">
        <v>2721</v>
      </c>
    </row>
    <row r="4248" spans="1:16">
      <c r="A4248" s="1" t="s">
        <v>692</v>
      </c>
      <c r="B4248" s="1">
        <v>11</v>
      </c>
      <c r="C4248" s="1" t="s">
        <v>8710</v>
      </c>
      <c r="D4248" s="1" t="s">
        <v>694</v>
      </c>
      <c r="E4248" s="2">
        <v>45985</v>
      </c>
      <c r="F4248" s="1" t="s">
        <v>96</v>
      </c>
      <c r="G4248" s="1" t="s">
        <v>695</v>
      </c>
      <c r="H4248" s="1" t="s">
        <v>696</v>
      </c>
      <c r="I4248" s="1">
        <v>1</v>
      </c>
      <c r="J4248" s="3">
        <v>16065</v>
      </c>
      <c r="K4248" s="3">
        <v>14584</v>
      </c>
      <c r="L4248" s="1">
        <v>0</v>
      </c>
      <c r="M4248" s="4">
        <v>0</v>
      </c>
      <c r="N4248" s="3">
        <v>1481</v>
      </c>
      <c r="O4248" s="4">
        <v>9.1999999999999998E-2</v>
      </c>
      <c r="P4248" s="1" t="s">
        <v>2721</v>
      </c>
    </row>
    <row r="4249" spans="1:16">
      <c r="A4249" s="1" t="s">
        <v>2033</v>
      </c>
      <c r="B4249" s="1">
        <v>11</v>
      </c>
      <c r="C4249" s="1">
        <v>2.02511231524301E+18</v>
      </c>
      <c r="D4249" s="1" t="s">
        <v>1945</v>
      </c>
      <c r="E4249" s="2">
        <v>45985</v>
      </c>
      <c r="F4249" s="1" t="s">
        <v>96</v>
      </c>
      <c r="G4249" s="1" t="s">
        <v>1946</v>
      </c>
      <c r="H4249" s="1" t="s">
        <v>1947</v>
      </c>
      <c r="I4249" s="1">
        <v>1</v>
      </c>
      <c r="J4249" s="3">
        <v>16830</v>
      </c>
      <c r="K4249" s="3">
        <v>16227</v>
      </c>
      <c r="L4249" s="1">
        <v>0</v>
      </c>
      <c r="M4249" s="4">
        <v>0</v>
      </c>
      <c r="N4249" s="1">
        <v>603</v>
      </c>
      <c r="O4249" s="4">
        <v>3.5999999999999997E-2</v>
      </c>
      <c r="P4249" s="1" t="s">
        <v>2721</v>
      </c>
    </row>
    <row r="4250" spans="1:16">
      <c r="A4250" s="1" t="s">
        <v>2033</v>
      </c>
      <c r="B4250" s="1">
        <v>11</v>
      </c>
      <c r="C4250" s="1">
        <v>2.02511221135091E+18</v>
      </c>
      <c r="D4250" s="1" t="s">
        <v>8711</v>
      </c>
      <c r="E4250" s="2">
        <v>45985</v>
      </c>
      <c r="F4250" s="1" t="s">
        <v>524</v>
      </c>
      <c r="G4250" s="1" t="s">
        <v>8712</v>
      </c>
      <c r="H4250" s="1" t="s">
        <v>8713</v>
      </c>
      <c r="I4250" s="1">
        <v>2</v>
      </c>
      <c r="J4250" s="3">
        <v>33660</v>
      </c>
      <c r="K4250" s="3">
        <v>30240</v>
      </c>
      <c r="L4250" s="1">
        <v>0</v>
      </c>
      <c r="M4250" s="4">
        <v>0</v>
      </c>
      <c r="N4250" s="3">
        <v>3420</v>
      </c>
      <c r="O4250" s="4">
        <v>0.10199999999999999</v>
      </c>
      <c r="P4250" s="1" t="s">
        <v>2721</v>
      </c>
    </row>
    <row r="4251" spans="1:16">
      <c r="A4251" s="1" t="s">
        <v>2033</v>
      </c>
      <c r="B4251" s="1">
        <v>11</v>
      </c>
      <c r="C4251" s="1">
        <v>2.02511221135091E+18</v>
      </c>
      <c r="D4251" s="1" t="s">
        <v>3487</v>
      </c>
      <c r="E4251" s="2">
        <v>45985</v>
      </c>
      <c r="F4251" s="1" t="s">
        <v>3484</v>
      </c>
      <c r="G4251" s="1" t="s">
        <v>3488</v>
      </c>
      <c r="H4251" s="1" t="s">
        <v>8714</v>
      </c>
      <c r="I4251" s="1">
        <v>1</v>
      </c>
      <c r="J4251" s="3">
        <v>26350</v>
      </c>
      <c r="K4251" s="3">
        <v>25795</v>
      </c>
      <c r="L4251" s="1">
        <v>0</v>
      </c>
      <c r="M4251" s="4">
        <v>0</v>
      </c>
      <c r="N4251" s="1">
        <v>555</v>
      </c>
      <c r="O4251" s="4">
        <v>2.1000000000000001E-2</v>
      </c>
      <c r="P4251" s="1" t="s">
        <v>2721</v>
      </c>
    </row>
    <row r="4252" spans="1:16">
      <c r="A4252" s="1" t="s">
        <v>2033</v>
      </c>
      <c r="B4252" s="1">
        <v>11</v>
      </c>
      <c r="C4252" s="1">
        <v>2.02511221135091E+18</v>
      </c>
      <c r="D4252" s="1" t="s">
        <v>8715</v>
      </c>
      <c r="E4252" s="2">
        <v>45985</v>
      </c>
      <c r="F4252" s="1" t="s">
        <v>360</v>
      </c>
      <c r="G4252" s="1" t="s">
        <v>8716</v>
      </c>
      <c r="H4252" s="1" t="s">
        <v>2994</v>
      </c>
      <c r="I4252" s="1">
        <v>1</v>
      </c>
      <c r="J4252" s="3">
        <v>10965</v>
      </c>
      <c r="K4252" s="3">
        <v>9286</v>
      </c>
      <c r="L4252" s="1">
        <v>0</v>
      </c>
      <c r="M4252" s="4">
        <v>0</v>
      </c>
      <c r="N4252" s="3">
        <v>1679</v>
      </c>
      <c r="O4252" s="4">
        <v>0.153</v>
      </c>
      <c r="P4252" s="1" t="s">
        <v>2721</v>
      </c>
    </row>
    <row r="4253" spans="1:16">
      <c r="A4253" s="1" t="s">
        <v>702</v>
      </c>
      <c r="B4253" s="1">
        <v>11</v>
      </c>
      <c r="C4253" s="1" t="s">
        <v>8717</v>
      </c>
      <c r="D4253" s="1" t="s">
        <v>8718</v>
      </c>
      <c r="E4253" s="2">
        <v>45985</v>
      </c>
      <c r="F4253" s="1" t="s">
        <v>53</v>
      </c>
      <c r="G4253" s="1" t="s">
        <v>8719</v>
      </c>
      <c r="H4253" s="1" t="s">
        <v>1224</v>
      </c>
      <c r="I4253" s="1">
        <v>1</v>
      </c>
      <c r="J4253" s="3">
        <v>7800</v>
      </c>
      <c r="K4253" s="3">
        <v>5935</v>
      </c>
      <c r="L4253" s="1">
        <v>0</v>
      </c>
      <c r="M4253" s="4">
        <v>0</v>
      </c>
      <c r="N4253" s="3">
        <v>1865</v>
      </c>
      <c r="O4253" s="4">
        <v>0.23899999999999999</v>
      </c>
      <c r="P4253" s="1" t="s">
        <v>2721</v>
      </c>
    </row>
    <row r="4254" spans="1:16">
      <c r="A4254" s="1" t="s">
        <v>702</v>
      </c>
      <c r="B4254" s="1">
        <v>11</v>
      </c>
      <c r="C4254" s="1" t="s">
        <v>8720</v>
      </c>
      <c r="D4254" s="1" t="s">
        <v>4524</v>
      </c>
      <c r="E4254" s="2">
        <v>45985</v>
      </c>
      <c r="F4254" s="1" t="s">
        <v>96</v>
      </c>
      <c r="G4254" s="1" t="s">
        <v>4525</v>
      </c>
      <c r="H4254" s="1" t="s">
        <v>8721</v>
      </c>
      <c r="I4254" s="1">
        <v>1</v>
      </c>
      <c r="J4254" s="3">
        <v>9800</v>
      </c>
      <c r="K4254" s="3">
        <v>8457</v>
      </c>
      <c r="L4254" s="1">
        <v>0</v>
      </c>
      <c r="M4254" s="4">
        <v>0</v>
      </c>
      <c r="N4254" s="3">
        <v>1343</v>
      </c>
      <c r="O4254" s="4">
        <v>0.13700000000000001</v>
      </c>
      <c r="P4254" s="1" t="s">
        <v>2721</v>
      </c>
    </row>
    <row r="4255" spans="1:16">
      <c r="A4255" s="1" t="s">
        <v>702</v>
      </c>
      <c r="B4255" s="1">
        <v>11</v>
      </c>
      <c r="C4255" s="1" t="s">
        <v>8722</v>
      </c>
      <c r="D4255" s="1" t="s">
        <v>1919</v>
      </c>
      <c r="E4255" s="2">
        <v>45985</v>
      </c>
      <c r="F4255" s="1" t="s">
        <v>646</v>
      </c>
      <c r="G4255" s="1" t="s">
        <v>1920</v>
      </c>
      <c r="H4255" s="1" t="s">
        <v>8723</v>
      </c>
      <c r="I4255" s="1">
        <v>1</v>
      </c>
      <c r="J4255" s="3">
        <v>157900</v>
      </c>
      <c r="K4255" s="3">
        <v>130382</v>
      </c>
      <c r="L4255" s="1">
        <v>0</v>
      </c>
      <c r="M4255" s="4">
        <v>0</v>
      </c>
      <c r="N4255" s="3">
        <v>27518</v>
      </c>
      <c r="O4255" s="4">
        <v>0.17399999999999999</v>
      </c>
      <c r="P4255" s="1" t="s">
        <v>2721</v>
      </c>
    </row>
    <row r="4256" spans="1:16">
      <c r="A4256" s="1" t="s">
        <v>702</v>
      </c>
      <c r="B4256" s="1">
        <v>11</v>
      </c>
      <c r="C4256" s="1" t="s">
        <v>8722</v>
      </c>
      <c r="D4256" s="1" t="s">
        <v>6682</v>
      </c>
      <c r="E4256" s="2">
        <v>45985</v>
      </c>
      <c r="F4256" s="1" t="s">
        <v>646</v>
      </c>
      <c r="G4256" s="1" t="s">
        <v>6683</v>
      </c>
      <c r="H4256" s="1" t="s">
        <v>8724</v>
      </c>
      <c r="I4256" s="1">
        <v>1</v>
      </c>
      <c r="J4256" s="3">
        <v>157900</v>
      </c>
      <c r="K4256" s="3">
        <v>100366</v>
      </c>
      <c r="L4256" s="1">
        <v>0</v>
      </c>
      <c r="M4256" s="4">
        <v>0</v>
      </c>
      <c r="N4256" s="3">
        <v>57534</v>
      </c>
      <c r="O4256" s="4">
        <v>0.36399999999999999</v>
      </c>
      <c r="P4256" s="1" t="s">
        <v>2721</v>
      </c>
    </row>
    <row r="4257" spans="1:16">
      <c r="A4257" s="1" t="s">
        <v>707</v>
      </c>
      <c r="B4257" s="1">
        <v>11</v>
      </c>
      <c r="C4257" s="1">
        <v>2.0251121192352099E+17</v>
      </c>
      <c r="D4257" s="1" t="s">
        <v>8725</v>
      </c>
      <c r="E4257" s="2">
        <v>45985</v>
      </c>
      <c r="F4257" s="1" t="s">
        <v>91</v>
      </c>
      <c r="G4257" s="1" t="s">
        <v>8726</v>
      </c>
      <c r="H4257" s="1" t="s">
        <v>8727</v>
      </c>
      <c r="I4257" s="1">
        <v>1</v>
      </c>
      <c r="J4257" s="3">
        <v>8600</v>
      </c>
      <c r="K4257" s="3">
        <v>6453</v>
      </c>
      <c r="L4257" s="3">
        <v>1290</v>
      </c>
      <c r="M4257" s="4">
        <v>0.15</v>
      </c>
      <c r="N4257" s="1">
        <v>857</v>
      </c>
      <c r="O4257" s="4">
        <v>0.1</v>
      </c>
      <c r="P4257" s="1" t="s">
        <v>2721</v>
      </c>
    </row>
    <row r="4258" spans="1:16">
      <c r="A4258" s="1" t="s">
        <v>707</v>
      </c>
      <c r="B4258" s="1">
        <v>11</v>
      </c>
      <c r="C4258" s="1">
        <v>2.0251121223006701E+17</v>
      </c>
      <c r="D4258" s="1" t="s">
        <v>3460</v>
      </c>
      <c r="E4258" s="2">
        <v>45985</v>
      </c>
      <c r="F4258" s="1" t="s">
        <v>235</v>
      </c>
      <c r="G4258" s="1" t="s">
        <v>3461</v>
      </c>
      <c r="H4258" s="1" t="s">
        <v>3462</v>
      </c>
      <c r="I4258" s="1">
        <v>1</v>
      </c>
      <c r="J4258" s="3">
        <v>14600</v>
      </c>
      <c r="K4258" s="3">
        <v>10010</v>
      </c>
      <c r="L4258" s="3">
        <v>2190</v>
      </c>
      <c r="M4258" s="4">
        <v>0.15</v>
      </c>
      <c r="N4258" s="3">
        <v>2400</v>
      </c>
      <c r="O4258" s="4">
        <v>0.16400000000000001</v>
      </c>
      <c r="P4258" s="1" t="s">
        <v>2721</v>
      </c>
    </row>
    <row r="4259" spans="1:16">
      <c r="A4259" s="1" t="s">
        <v>707</v>
      </c>
      <c r="B4259" s="1">
        <v>11</v>
      </c>
      <c r="C4259" s="1">
        <v>2.02511220832064E+17</v>
      </c>
      <c r="D4259" s="1" t="s">
        <v>2071</v>
      </c>
      <c r="E4259" s="2">
        <v>45985</v>
      </c>
      <c r="F4259" s="1" t="s">
        <v>235</v>
      </c>
      <c r="G4259" s="1" t="s">
        <v>2072</v>
      </c>
      <c r="H4259" s="1" t="s">
        <v>2073</v>
      </c>
      <c r="I4259" s="1">
        <v>1</v>
      </c>
      <c r="J4259" s="3">
        <v>9800</v>
      </c>
      <c r="K4259" s="3">
        <v>7739</v>
      </c>
      <c r="L4259" s="3">
        <v>1470</v>
      </c>
      <c r="M4259" s="4">
        <v>0.15</v>
      </c>
      <c r="N4259" s="1">
        <v>591</v>
      </c>
      <c r="O4259" s="4">
        <v>0.06</v>
      </c>
      <c r="P4259" s="1" t="s">
        <v>2721</v>
      </c>
    </row>
    <row r="4260" spans="1:16">
      <c r="A4260" s="1" t="s">
        <v>707</v>
      </c>
      <c r="B4260" s="1">
        <v>11</v>
      </c>
      <c r="C4260" s="1">
        <v>2.0251122155603901E+17</v>
      </c>
      <c r="D4260" s="1" t="s">
        <v>1941</v>
      </c>
      <c r="E4260" s="2">
        <v>45985</v>
      </c>
      <c r="F4260" s="1" t="s">
        <v>235</v>
      </c>
      <c r="G4260" s="1" t="s">
        <v>1942</v>
      </c>
      <c r="H4260" s="1" t="s">
        <v>2075</v>
      </c>
      <c r="I4260" s="1">
        <v>1</v>
      </c>
      <c r="J4260" s="3">
        <v>28700</v>
      </c>
      <c r="K4260" s="3">
        <v>21340</v>
      </c>
      <c r="L4260" s="3">
        <v>4305</v>
      </c>
      <c r="M4260" s="4">
        <v>0.15</v>
      </c>
      <c r="N4260" s="3">
        <v>3055</v>
      </c>
      <c r="O4260" s="4">
        <v>0.106</v>
      </c>
      <c r="P4260" s="1" t="s">
        <v>2721</v>
      </c>
    </row>
    <row r="4261" spans="1:16">
      <c r="A4261" s="1" t="s">
        <v>707</v>
      </c>
      <c r="B4261" s="1">
        <v>11</v>
      </c>
      <c r="C4261" s="1">
        <v>2.0251123100805798E+17</v>
      </c>
      <c r="D4261" s="1" t="s">
        <v>6628</v>
      </c>
      <c r="E4261" s="2">
        <v>45985</v>
      </c>
      <c r="F4261" s="1" t="s">
        <v>347</v>
      </c>
      <c r="G4261" s="1" t="s">
        <v>6629</v>
      </c>
      <c r="H4261" s="1" t="s">
        <v>8728</v>
      </c>
      <c r="I4261" s="1">
        <v>1</v>
      </c>
      <c r="J4261" s="3">
        <v>25300</v>
      </c>
      <c r="K4261" s="3">
        <v>19229</v>
      </c>
      <c r="L4261" s="3">
        <v>3795</v>
      </c>
      <c r="M4261" s="4">
        <v>0.15</v>
      </c>
      <c r="N4261" s="3">
        <v>2276</v>
      </c>
      <c r="O4261" s="4">
        <v>0.09</v>
      </c>
      <c r="P4261" s="1" t="s">
        <v>2721</v>
      </c>
    </row>
    <row r="4262" spans="1:16">
      <c r="A4262" s="1" t="s">
        <v>707</v>
      </c>
      <c r="B4262" s="1">
        <v>11</v>
      </c>
      <c r="C4262" s="1">
        <v>2.0251123153449699E+17</v>
      </c>
      <c r="D4262" s="1" t="s">
        <v>3460</v>
      </c>
      <c r="E4262" s="2">
        <v>45985</v>
      </c>
      <c r="F4262" s="1" t="s">
        <v>235</v>
      </c>
      <c r="G4262" s="1" t="s">
        <v>3461</v>
      </c>
      <c r="H4262" s="1" t="s">
        <v>3462</v>
      </c>
      <c r="I4262" s="1">
        <v>1</v>
      </c>
      <c r="J4262" s="3">
        <v>14600</v>
      </c>
      <c r="K4262" s="3">
        <v>10010</v>
      </c>
      <c r="L4262" s="3">
        <v>2190</v>
      </c>
      <c r="M4262" s="4">
        <v>0.15</v>
      </c>
      <c r="N4262" s="3">
        <v>2400</v>
      </c>
      <c r="O4262" s="4">
        <v>0.16400000000000001</v>
      </c>
      <c r="P4262" s="1" t="s">
        <v>2721</v>
      </c>
    </row>
    <row r="4263" spans="1:16">
      <c r="A4263" s="1" t="s">
        <v>707</v>
      </c>
      <c r="B4263" s="1">
        <v>11</v>
      </c>
      <c r="C4263" s="1">
        <v>2.0251123235835398E+17</v>
      </c>
      <c r="D4263" s="1" t="s">
        <v>1862</v>
      </c>
      <c r="E4263" s="2">
        <v>45985</v>
      </c>
      <c r="F4263" s="1" t="s">
        <v>235</v>
      </c>
      <c r="G4263" s="1" t="s">
        <v>1863</v>
      </c>
      <c r="H4263" s="1" t="s">
        <v>2070</v>
      </c>
      <c r="I4263" s="1">
        <v>1</v>
      </c>
      <c r="J4263" s="3">
        <v>9800</v>
      </c>
      <c r="K4263" s="3">
        <v>7739</v>
      </c>
      <c r="L4263" s="3">
        <v>1470</v>
      </c>
      <c r="M4263" s="4">
        <v>0.15</v>
      </c>
      <c r="N4263" s="1">
        <v>591</v>
      </c>
      <c r="O4263" s="4">
        <v>0.06</v>
      </c>
      <c r="P4263" s="1" t="s">
        <v>2721</v>
      </c>
    </row>
    <row r="4264" spans="1:16">
      <c r="A4264" s="1" t="s">
        <v>707</v>
      </c>
      <c r="B4264" s="1">
        <v>11</v>
      </c>
      <c r="C4264" s="1">
        <v>2.0251124083737901E+17</v>
      </c>
      <c r="D4264" s="1" t="s">
        <v>2071</v>
      </c>
      <c r="E4264" s="2">
        <v>45985</v>
      </c>
      <c r="F4264" s="1" t="s">
        <v>235</v>
      </c>
      <c r="G4264" s="1" t="s">
        <v>2072</v>
      </c>
      <c r="H4264" s="1" t="s">
        <v>2073</v>
      </c>
      <c r="I4264" s="1">
        <v>1</v>
      </c>
      <c r="J4264" s="3">
        <v>9800</v>
      </c>
      <c r="K4264" s="3">
        <v>7739</v>
      </c>
      <c r="L4264" s="3">
        <v>1470</v>
      </c>
      <c r="M4264" s="4">
        <v>0.15</v>
      </c>
      <c r="N4264" s="1">
        <v>591</v>
      </c>
      <c r="O4264" s="4">
        <v>0.06</v>
      </c>
      <c r="P4264" s="1" t="s">
        <v>2721</v>
      </c>
    </row>
    <row r="4265" spans="1:16">
      <c r="A4265" s="1" t="s">
        <v>707</v>
      </c>
      <c r="B4265" s="1">
        <v>11</v>
      </c>
      <c r="C4265" s="1">
        <v>2.0251124083828899E+17</v>
      </c>
      <c r="D4265" s="1" t="s">
        <v>2071</v>
      </c>
      <c r="E4265" s="2">
        <v>45985</v>
      </c>
      <c r="F4265" s="1" t="s">
        <v>235</v>
      </c>
      <c r="G4265" s="1" t="s">
        <v>2072</v>
      </c>
      <c r="H4265" s="1" t="s">
        <v>2073</v>
      </c>
      <c r="I4265" s="1">
        <v>1</v>
      </c>
      <c r="J4265" s="3">
        <v>9800</v>
      </c>
      <c r="K4265" s="3">
        <v>7739</v>
      </c>
      <c r="L4265" s="3">
        <v>1470</v>
      </c>
      <c r="M4265" s="4">
        <v>0.15</v>
      </c>
      <c r="N4265" s="1">
        <v>591</v>
      </c>
      <c r="O4265" s="4">
        <v>0.06</v>
      </c>
      <c r="P4265" s="1" t="s">
        <v>2721</v>
      </c>
    </row>
    <row r="4266" spans="1:16">
      <c r="A4266" s="1" t="s">
        <v>707</v>
      </c>
      <c r="B4266" s="1">
        <v>11</v>
      </c>
      <c r="C4266" s="1">
        <v>2.0251124083934899E+17</v>
      </c>
      <c r="D4266" s="1" t="s">
        <v>2071</v>
      </c>
      <c r="E4266" s="2">
        <v>45985</v>
      </c>
      <c r="F4266" s="1" t="s">
        <v>235</v>
      </c>
      <c r="G4266" s="1" t="s">
        <v>2072</v>
      </c>
      <c r="H4266" s="1" t="s">
        <v>2073</v>
      </c>
      <c r="I4266" s="1">
        <v>1</v>
      </c>
      <c r="J4266" s="3">
        <v>9800</v>
      </c>
      <c r="K4266" s="3">
        <v>7739</v>
      </c>
      <c r="L4266" s="3">
        <v>1470</v>
      </c>
      <c r="M4266" s="4">
        <v>0.15</v>
      </c>
      <c r="N4266" s="1">
        <v>591</v>
      </c>
      <c r="O4266" s="4">
        <v>0.06</v>
      </c>
      <c r="P4266" s="1" t="s">
        <v>2721</v>
      </c>
    </row>
    <row r="4267" spans="1:16">
      <c r="A4267" s="1" t="s">
        <v>707</v>
      </c>
      <c r="B4267" s="1">
        <v>11</v>
      </c>
      <c r="C4267" s="1">
        <v>2.0251124084015901E+17</v>
      </c>
      <c r="D4267" s="1" t="s">
        <v>2071</v>
      </c>
      <c r="E4267" s="2">
        <v>45985</v>
      </c>
      <c r="F4267" s="1" t="s">
        <v>235</v>
      </c>
      <c r="G4267" s="1" t="s">
        <v>2072</v>
      </c>
      <c r="H4267" s="1" t="s">
        <v>2073</v>
      </c>
      <c r="I4267" s="1">
        <v>1</v>
      </c>
      <c r="J4267" s="3">
        <v>9800</v>
      </c>
      <c r="K4267" s="3">
        <v>7739</v>
      </c>
      <c r="L4267" s="3">
        <v>1470</v>
      </c>
      <c r="M4267" s="4">
        <v>0.15</v>
      </c>
      <c r="N4267" s="1">
        <v>591</v>
      </c>
      <c r="O4267" s="4">
        <v>0.06</v>
      </c>
      <c r="P4267" s="1" t="s">
        <v>2721</v>
      </c>
    </row>
    <row r="4268" spans="1:16">
      <c r="A4268" s="1" t="s">
        <v>707</v>
      </c>
      <c r="B4268" s="1">
        <v>11</v>
      </c>
      <c r="C4268" s="1">
        <v>2.0251124084120899E+17</v>
      </c>
      <c r="D4268" s="1" t="s">
        <v>2071</v>
      </c>
      <c r="E4268" s="2">
        <v>45985</v>
      </c>
      <c r="F4268" s="1" t="s">
        <v>235</v>
      </c>
      <c r="G4268" s="1" t="s">
        <v>2072</v>
      </c>
      <c r="H4268" s="1" t="s">
        <v>2073</v>
      </c>
      <c r="I4268" s="1">
        <v>1</v>
      </c>
      <c r="J4268" s="3">
        <v>9800</v>
      </c>
      <c r="K4268" s="3">
        <v>7739</v>
      </c>
      <c r="L4268" s="3">
        <v>1470</v>
      </c>
      <c r="M4268" s="4">
        <v>0.15</v>
      </c>
      <c r="N4268" s="1">
        <v>591</v>
      </c>
      <c r="O4268" s="4">
        <v>0.06</v>
      </c>
      <c r="P4268" s="1" t="s">
        <v>2721</v>
      </c>
    </row>
    <row r="4269" spans="1:16">
      <c r="A4269" s="1" t="s">
        <v>707</v>
      </c>
      <c r="B4269" s="1">
        <v>11</v>
      </c>
      <c r="C4269" s="1">
        <v>2.0251124084210899E+17</v>
      </c>
      <c r="D4269" s="1" t="s">
        <v>2071</v>
      </c>
      <c r="E4269" s="2">
        <v>45985</v>
      </c>
      <c r="F4269" s="1" t="s">
        <v>235</v>
      </c>
      <c r="G4269" s="1" t="s">
        <v>2072</v>
      </c>
      <c r="H4269" s="1" t="s">
        <v>2073</v>
      </c>
      <c r="I4269" s="1">
        <v>1</v>
      </c>
      <c r="J4269" s="3">
        <v>9800</v>
      </c>
      <c r="K4269" s="3">
        <v>7739</v>
      </c>
      <c r="L4269" s="3">
        <v>1470</v>
      </c>
      <c r="M4269" s="4">
        <v>0.15</v>
      </c>
      <c r="N4269" s="1">
        <v>591</v>
      </c>
      <c r="O4269" s="4">
        <v>0.06</v>
      </c>
      <c r="P4269" s="1" t="s">
        <v>2721</v>
      </c>
    </row>
    <row r="4270" spans="1:16">
      <c r="A4270" s="1" t="s">
        <v>707</v>
      </c>
      <c r="B4270" s="1">
        <v>11</v>
      </c>
      <c r="C4270" s="1">
        <v>2.0251124084306899E+17</v>
      </c>
      <c r="D4270" s="1" t="s">
        <v>2071</v>
      </c>
      <c r="E4270" s="2">
        <v>45985</v>
      </c>
      <c r="F4270" s="1" t="s">
        <v>235</v>
      </c>
      <c r="G4270" s="1" t="s">
        <v>2072</v>
      </c>
      <c r="H4270" s="1" t="s">
        <v>2073</v>
      </c>
      <c r="I4270" s="1">
        <v>1</v>
      </c>
      <c r="J4270" s="3">
        <v>9800</v>
      </c>
      <c r="K4270" s="3">
        <v>7739</v>
      </c>
      <c r="L4270" s="3">
        <v>1470</v>
      </c>
      <c r="M4270" s="4">
        <v>0.15</v>
      </c>
      <c r="N4270" s="1">
        <v>591</v>
      </c>
      <c r="O4270" s="4">
        <v>0.06</v>
      </c>
      <c r="P4270" s="1" t="s">
        <v>2721</v>
      </c>
    </row>
    <row r="4271" spans="1:16">
      <c r="A4271" s="1" t="s">
        <v>707</v>
      </c>
      <c r="B4271" s="1">
        <v>11</v>
      </c>
      <c r="C4271" s="1">
        <v>2.0251124084416E+17</v>
      </c>
      <c r="D4271" s="1" t="s">
        <v>2071</v>
      </c>
      <c r="E4271" s="2">
        <v>45985</v>
      </c>
      <c r="F4271" s="1" t="s">
        <v>235</v>
      </c>
      <c r="G4271" s="1" t="s">
        <v>2072</v>
      </c>
      <c r="H4271" s="1" t="s">
        <v>2073</v>
      </c>
      <c r="I4271" s="1">
        <v>1</v>
      </c>
      <c r="J4271" s="3">
        <v>9800</v>
      </c>
      <c r="K4271" s="3">
        <v>7739</v>
      </c>
      <c r="L4271" s="3">
        <v>1470</v>
      </c>
      <c r="M4271" s="4">
        <v>0.15</v>
      </c>
      <c r="N4271" s="1">
        <v>591</v>
      </c>
      <c r="O4271" s="4">
        <v>0.06</v>
      </c>
      <c r="P4271" s="1" t="s">
        <v>2721</v>
      </c>
    </row>
    <row r="4272" spans="1:16">
      <c r="A4272" s="1" t="s">
        <v>707</v>
      </c>
      <c r="B4272" s="1">
        <v>11</v>
      </c>
      <c r="C4272" s="1">
        <v>2.0251124084504998E+17</v>
      </c>
      <c r="D4272" s="1" t="s">
        <v>2071</v>
      </c>
      <c r="E4272" s="2">
        <v>45985</v>
      </c>
      <c r="F4272" s="1" t="s">
        <v>235</v>
      </c>
      <c r="G4272" s="1" t="s">
        <v>2072</v>
      </c>
      <c r="H4272" s="1" t="s">
        <v>2073</v>
      </c>
      <c r="I4272" s="1">
        <v>1</v>
      </c>
      <c r="J4272" s="3">
        <v>9800</v>
      </c>
      <c r="K4272" s="3">
        <v>7739</v>
      </c>
      <c r="L4272" s="3">
        <v>1470</v>
      </c>
      <c r="M4272" s="4">
        <v>0.15</v>
      </c>
      <c r="N4272" s="1">
        <v>591</v>
      </c>
      <c r="O4272" s="4">
        <v>0.06</v>
      </c>
      <c r="P4272" s="1" t="s">
        <v>2721</v>
      </c>
    </row>
    <row r="4273" spans="1:16">
      <c r="A4273" s="1" t="s">
        <v>707</v>
      </c>
      <c r="B4273" s="1">
        <v>11</v>
      </c>
      <c r="C4273" s="1">
        <v>2.025112408462E+17</v>
      </c>
      <c r="D4273" s="1" t="s">
        <v>2071</v>
      </c>
      <c r="E4273" s="2">
        <v>45985</v>
      </c>
      <c r="F4273" s="1" t="s">
        <v>235</v>
      </c>
      <c r="G4273" s="1" t="s">
        <v>2072</v>
      </c>
      <c r="H4273" s="1" t="s">
        <v>2073</v>
      </c>
      <c r="I4273" s="1">
        <v>1</v>
      </c>
      <c r="J4273" s="3">
        <v>9800</v>
      </c>
      <c r="K4273" s="3">
        <v>7739</v>
      </c>
      <c r="L4273" s="3">
        <v>1470</v>
      </c>
      <c r="M4273" s="4">
        <v>0.15</v>
      </c>
      <c r="N4273" s="1">
        <v>591</v>
      </c>
      <c r="O4273" s="4">
        <v>0.06</v>
      </c>
      <c r="P4273" s="1" t="s">
        <v>2721</v>
      </c>
    </row>
    <row r="4274" spans="1:16">
      <c r="A4274" s="1" t="s">
        <v>707</v>
      </c>
      <c r="B4274" s="1">
        <v>11</v>
      </c>
      <c r="C4274" s="1">
        <v>2.0251124084703002E+17</v>
      </c>
      <c r="D4274" s="1" t="s">
        <v>2071</v>
      </c>
      <c r="E4274" s="2">
        <v>45985</v>
      </c>
      <c r="F4274" s="1" t="s">
        <v>235</v>
      </c>
      <c r="G4274" s="1" t="s">
        <v>2072</v>
      </c>
      <c r="H4274" s="1" t="s">
        <v>2073</v>
      </c>
      <c r="I4274" s="1">
        <v>1</v>
      </c>
      <c r="J4274" s="3">
        <v>9800</v>
      </c>
      <c r="K4274" s="3">
        <v>7739</v>
      </c>
      <c r="L4274" s="3">
        <v>1470</v>
      </c>
      <c r="M4274" s="4">
        <v>0.15</v>
      </c>
      <c r="N4274" s="1">
        <v>591</v>
      </c>
      <c r="O4274" s="4">
        <v>0.06</v>
      </c>
      <c r="P4274" s="1" t="s">
        <v>2721</v>
      </c>
    </row>
    <row r="4275" spans="1:16">
      <c r="A4275" s="1" t="s">
        <v>711</v>
      </c>
      <c r="B4275" s="1">
        <v>11</v>
      </c>
      <c r="C4275" s="1">
        <v>2.0251122091626499E+17</v>
      </c>
      <c r="D4275" s="1" t="s">
        <v>715</v>
      </c>
      <c r="E4275" s="2">
        <v>45985</v>
      </c>
      <c r="F4275" s="1" t="s">
        <v>500</v>
      </c>
      <c r="G4275" s="1" t="s">
        <v>716</v>
      </c>
      <c r="H4275" s="1" t="s">
        <v>717</v>
      </c>
      <c r="I4275" s="1">
        <v>1</v>
      </c>
      <c r="J4275" s="3">
        <v>136900</v>
      </c>
      <c r="K4275" s="3">
        <v>111200</v>
      </c>
      <c r="L4275" s="3">
        <v>20535</v>
      </c>
      <c r="M4275" s="4">
        <v>0.15</v>
      </c>
      <c r="N4275" s="3">
        <v>5165</v>
      </c>
      <c r="O4275" s="4">
        <v>3.7999999999999999E-2</v>
      </c>
      <c r="P4275" s="1" t="s">
        <v>2721</v>
      </c>
    </row>
    <row r="4276" spans="1:16">
      <c r="A4276" s="1" t="s">
        <v>718</v>
      </c>
      <c r="B4276" s="1">
        <v>11</v>
      </c>
      <c r="C4276" s="1">
        <v>2.0251124083829101E+17</v>
      </c>
      <c r="D4276" s="1" t="s">
        <v>8729</v>
      </c>
      <c r="E4276" s="2">
        <v>45985</v>
      </c>
      <c r="F4276" s="1" t="s">
        <v>1935</v>
      </c>
      <c r="G4276" s="1" t="s">
        <v>8730</v>
      </c>
      <c r="H4276" s="1" t="s">
        <v>8731</v>
      </c>
      <c r="I4276" s="1">
        <v>1</v>
      </c>
      <c r="J4276" s="3">
        <v>23000</v>
      </c>
      <c r="K4276" s="3">
        <v>15946</v>
      </c>
      <c r="L4276" s="3">
        <v>2300</v>
      </c>
      <c r="M4276" s="4">
        <v>0.1</v>
      </c>
      <c r="N4276" s="3">
        <v>4754</v>
      </c>
      <c r="O4276" s="4">
        <v>0.20699999999999999</v>
      </c>
      <c r="P4276" s="1" t="s">
        <v>2721</v>
      </c>
    </row>
    <row r="4277" spans="1:16">
      <c r="A4277" s="1" t="s">
        <v>718</v>
      </c>
      <c r="B4277" s="1">
        <v>11</v>
      </c>
      <c r="C4277" s="1">
        <v>2.0251124083254099E+17</v>
      </c>
      <c r="D4277" s="1" t="s">
        <v>3502</v>
      </c>
      <c r="E4277" s="2">
        <v>45985</v>
      </c>
      <c r="F4277" s="1" t="s">
        <v>483</v>
      </c>
      <c r="G4277" s="1" t="s">
        <v>3503</v>
      </c>
      <c r="H4277" s="1" t="s">
        <v>8732</v>
      </c>
      <c r="I4277" s="1">
        <v>1</v>
      </c>
      <c r="J4277" s="3">
        <v>37000</v>
      </c>
      <c r="K4277" s="3">
        <v>26170</v>
      </c>
      <c r="L4277" s="3">
        <v>3700</v>
      </c>
      <c r="M4277" s="4">
        <v>0.1</v>
      </c>
      <c r="N4277" s="3">
        <v>7130</v>
      </c>
      <c r="O4277" s="4">
        <v>0.193</v>
      </c>
      <c r="P4277" s="1" t="s">
        <v>2721</v>
      </c>
    </row>
    <row r="4278" spans="1:16">
      <c r="A4278" s="1" t="s">
        <v>718</v>
      </c>
      <c r="B4278" s="1">
        <v>11</v>
      </c>
      <c r="C4278" s="1">
        <v>2.0251124014559501E+17</v>
      </c>
      <c r="D4278" s="1" t="s">
        <v>1983</v>
      </c>
      <c r="E4278" s="2">
        <v>45985</v>
      </c>
      <c r="F4278" s="1" t="s">
        <v>239</v>
      </c>
      <c r="G4278" s="1" t="s">
        <v>1984</v>
      </c>
      <c r="H4278" s="1" t="s">
        <v>8733</v>
      </c>
      <c r="I4278" s="1">
        <v>1</v>
      </c>
      <c r="J4278" s="3">
        <v>16000</v>
      </c>
      <c r="K4278" s="3">
        <v>10787</v>
      </c>
      <c r="L4278" s="3">
        <v>1600</v>
      </c>
      <c r="M4278" s="4">
        <v>0.1</v>
      </c>
      <c r="N4278" s="3">
        <v>3613</v>
      </c>
      <c r="O4278" s="4">
        <v>0.22600000000000001</v>
      </c>
      <c r="P4278" s="1" t="s">
        <v>2721</v>
      </c>
    </row>
    <row r="4279" spans="1:16">
      <c r="A4279" s="1" t="s">
        <v>718</v>
      </c>
      <c r="B4279" s="1">
        <v>11</v>
      </c>
      <c r="C4279" s="1">
        <v>2.02511231700112E+17</v>
      </c>
      <c r="D4279" s="1" t="s">
        <v>2093</v>
      </c>
      <c r="E4279" s="2">
        <v>45985</v>
      </c>
      <c r="F4279" s="1" t="s">
        <v>1935</v>
      </c>
      <c r="G4279" s="1" t="s">
        <v>2094</v>
      </c>
      <c r="H4279" s="1" t="s">
        <v>2095</v>
      </c>
      <c r="I4279" s="1">
        <v>1</v>
      </c>
      <c r="J4279" s="3">
        <v>13900</v>
      </c>
      <c r="K4279" s="3">
        <v>11247</v>
      </c>
      <c r="L4279" s="3">
        <v>1390</v>
      </c>
      <c r="M4279" s="4">
        <v>0.1</v>
      </c>
      <c r="N4279" s="3">
        <v>1263</v>
      </c>
      <c r="O4279" s="4">
        <v>9.0999999999999998E-2</v>
      </c>
      <c r="P4279" s="1" t="s">
        <v>2721</v>
      </c>
    </row>
    <row r="4280" spans="1:16">
      <c r="A4280" s="1" t="s">
        <v>718</v>
      </c>
      <c r="B4280" s="1">
        <v>11</v>
      </c>
      <c r="C4280" s="1">
        <v>2.0251123160839101E+17</v>
      </c>
      <c r="D4280" s="1" t="s">
        <v>1941</v>
      </c>
      <c r="E4280" s="2">
        <v>45985</v>
      </c>
      <c r="F4280" s="1" t="s">
        <v>235</v>
      </c>
      <c r="G4280" s="1" t="s">
        <v>1942</v>
      </c>
      <c r="H4280" s="1" t="s">
        <v>7251</v>
      </c>
      <c r="I4280" s="1">
        <v>1</v>
      </c>
      <c r="J4280" s="3">
        <v>24900</v>
      </c>
      <c r="K4280" s="3">
        <v>21340</v>
      </c>
      <c r="L4280" s="3">
        <v>2490</v>
      </c>
      <c r="M4280" s="4">
        <v>0.1</v>
      </c>
      <c r="N4280" s="3">
        <v>1070</v>
      </c>
      <c r="O4280" s="4">
        <v>4.2999999999999997E-2</v>
      </c>
      <c r="P4280" s="1" t="s">
        <v>2721</v>
      </c>
    </row>
    <row r="4281" spans="1:16">
      <c r="A4281" s="1" t="s">
        <v>718</v>
      </c>
      <c r="B4281" s="1">
        <v>11</v>
      </c>
      <c r="C4281" s="1">
        <v>2.02511231438512E+17</v>
      </c>
      <c r="D4281" s="1" t="s">
        <v>2093</v>
      </c>
      <c r="E4281" s="2">
        <v>45985</v>
      </c>
      <c r="F4281" s="1" t="s">
        <v>1935</v>
      </c>
      <c r="G4281" s="1" t="s">
        <v>2094</v>
      </c>
      <c r="H4281" s="1" t="s">
        <v>2095</v>
      </c>
      <c r="I4281" s="1">
        <v>1</v>
      </c>
      <c r="J4281" s="3">
        <v>13900</v>
      </c>
      <c r="K4281" s="3">
        <v>11247</v>
      </c>
      <c r="L4281" s="3">
        <v>1390</v>
      </c>
      <c r="M4281" s="4">
        <v>0.1</v>
      </c>
      <c r="N4281" s="3">
        <v>1263</v>
      </c>
      <c r="O4281" s="4">
        <v>9.0999999999999998E-2</v>
      </c>
      <c r="P4281" s="1" t="s">
        <v>2721</v>
      </c>
    </row>
    <row r="4282" spans="1:16">
      <c r="A4282" s="1" t="s">
        <v>718</v>
      </c>
      <c r="B4282" s="1">
        <v>11</v>
      </c>
      <c r="C4282" s="1">
        <v>2.02511231344564E+17</v>
      </c>
      <c r="D4282" s="1" t="s">
        <v>8729</v>
      </c>
      <c r="E4282" s="2">
        <v>45985</v>
      </c>
      <c r="F4282" s="1" t="s">
        <v>1935</v>
      </c>
      <c r="G4282" s="1" t="s">
        <v>8730</v>
      </c>
      <c r="H4282" s="1" t="s">
        <v>8731</v>
      </c>
      <c r="I4282" s="1">
        <v>1</v>
      </c>
      <c r="J4282" s="3">
        <v>23000</v>
      </c>
      <c r="K4282" s="3">
        <v>15946</v>
      </c>
      <c r="L4282" s="3">
        <v>2300</v>
      </c>
      <c r="M4282" s="4">
        <v>0.1</v>
      </c>
      <c r="N4282" s="3">
        <v>4754</v>
      </c>
      <c r="O4282" s="4">
        <v>0.20699999999999999</v>
      </c>
      <c r="P4282" s="1" t="s">
        <v>2721</v>
      </c>
    </row>
    <row r="4283" spans="1:16">
      <c r="A4283" s="1" t="s">
        <v>718</v>
      </c>
      <c r="B4283" s="1">
        <v>11</v>
      </c>
      <c r="C4283" s="1">
        <v>2.0251123132646202E+17</v>
      </c>
      <c r="D4283" s="1" t="s">
        <v>8734</v>
      </c>
      <c r="E4283" s="2">
        <v>45985</v>
      </c>
      <c r="F4283" s="1" t="s">
        <v>235</v>
      </c>
      <c r="G4283" s="1" t="s">
        <v>8735</v>
      </c>
      <c r="H4283" s="1" t="s">
        <v>8736</v>
      </c>
      <c r="I4283" s="1">
        <v>1</v>
      </c>
      <c r="J4283" s="3">
        <v>21200</v>
      </c>
      <c r="K4283" s="3">
        <v>17706</v>
      </c>
      <c r="L4283" s="3">
        <v>2120</v>
      </c>
      <c r="M4283" s="4">
        <v>0.1</v>
      </c>
      <c r="N4283" s="3">
        <v>1374</v>
      </c>
      <c r="O4283" s="4">
        <v>6.5000000000000002E-2</v>
      </c>
      <c r="P4283" s="1" t="s">
        <v>2721</v>
      </c>
    </row>
    <row r="4284" spans="1:16">
      <c r="A4284" s="1" t="s">
        <v>718</v>
      </c>
      <c r="B4284" s="1">
        <v>11</v>
      </c>
      <c r="C4284" s="1">
        <v>2.02511231300436E+17</v>
      </c>
      <c r="D4284" s="1" t="s">
        <v>8737</v>
      </c>
      <c r="E4284" s="2">
        <v>45985</v>
      </c>
      <c r="F4284" s="1" t="s">
        <v>235</v>
      </c>
      <c r="G4284" s="1" t="s">
        <v>8738</v>
      </c>
      <c r="H4284" s="1" t="s">
        <v>8739</v>
      </c>
      <c r="I4284" s="1">
        <v>1</v>
      </c>
      <c r="J4284" s="3">
        <v>21200</v>
      </c>
      <c r="K4284" s="3">
        <v>17706</v>
      </c>
      <c r="L4284" s="3">
        <v>2120</v>
      </c>
      <c r="M4284" s="4">
        <v>0.1</v>
      </c>
      <c r="N4284" s="3">
        <v>1374</v>
      </c>
      <c r="O4284" s="4">
        <v>6.5000000000000002E-2</v>
      </c>
      <c r="P4284" s="1" t="s">
        <v>2721</v>
      </c>
    </row>
    <row r="4285" spans="1:16">
      <c r="A4285" s="1" t="s">
        <v>718</v>
      </c>
      <c r="B4285" s="1">
        <v>11</v>
      </c>
      <c r="C4285" s="1">
        <v>2.0251123115834202E+17</v>
      </c>
      <c r="D4285" s="1" t="s">
        <v>2096</v>
      </c>
      <c r="E4285" s="2">
        <v>45985</v>
      </c>
      <c r="F4285" s="1" t="s">
        <v>1935</v>
      </c>
      <c r="G4285" s="1" t="s">
        <v>2097</v>
      </c>
      <c r="H4285" s="1" t="s">
        <v>2098</v>
      </c>
      <c r="I4285" s="1">
        <v>1</v>
      </c>
      <c r="J4285" s="3">
        <v>10000</v>
      </c>
      <c r="K4285" s="3">
        <v>7504</v>
      </c>
      <c r="L4285" s="3">
        <v>1000</v>
      </c>
      <c r="M4285" s="4">
        <v>0.1</v>
      </c>
      <c r="N4285" s="3">
        <v>1496</v>
      </c>
      <c r="O4285" s="4">
        <v>0.15</v>
      </c>
      <c r="P4285" s="1" t="s">
        <v>2721</v>
      </c>
    </row>
    <row r="4286" spans="1:16">
      <c r="A4286" s="1" t="s">
        <v>718</v>
      </c>
      <c r="B4286" s="1">
        <v>11</v>
      </c>
      <c r="C4286" s="1">
        <v>2.0251123112801101E+17</v>
      </c>
      <c r="D4286" s="1" t="s">
        <v>8740</v>
      </c>
      <c r="E4286" s="2">
        <v>45985</v>
      </c>
      <c r="F4286" s="1" t="s">
        <v>235</v>
      </c>
      <c r="G4286" s="1" t="s">
        <v>8741</v>
      </c>
      <c r="H4286" s="1" t="s">
        <v>8742</v>
      </c>
      <c r="I4286" s="1">
        <v>1</v>
      </c>
      <c r="J4286" s="3">
        <v>25000</v>
      </c>
      <c r="K4286" s="3">
        <v>17353</v>
      </c>
      <c r="L4286" s="3">
        <v>2500</v>
      </c>
      <c r="M4286" s="4">
        <v>0.1</v>
      </c>
      <c r="N4286" s="3">
        <v>5147</v>
      </c>
      <c r="O4286" s="4">
        <v>0.20599999999999999</v>
      </c>
      <c r="P4286" s="1" t="s">
        <v>2721</v>
      </c>
    </row>
    <row r="4287" spans="1:16">
      <c r="A4287" s="1" t="s">
        <v>718</v>
      </c>
      <c r="B4287" s="1">
        <v>11</v>
      </c>
      <c r="C4287" s="1">
        <v>2.0251123105844602E+17</v>
      </c>
      <c r="D4287" s="1" t="s">
        <v>1862</v>
      </c>
      <c r="E4287" s="2">
        <v>45985</v>
      </c>
      <c r="F4287" s="1" t="s">
        <v>235</v>
      </c>
      <c r="G4287" s="1" t="s">
        <v>1863</v>
      </c>
      <c r="H4287" s="1" t="s">
        <v>8743</v>
      </c>
      <c r="I4287" s="1">
        <v>1</v>
      </c>
      <c r="J4287" s="3">
        <v>11000</v>
      </c>
      <c r="K4287" s="3">
        <v>7739</v>
      </c>
      <c r="L4287" s="3">
        <v>1100</v>
      </c>
      <c r="M4287" s="4">
        <v>0.1</v>
      </c>
      <c r="N4287" s="3">
        <v>2161</v>
      </c>
      <c r="O4287" s="4">
        <v>0.19600000000000001</v>
      </c>
      <c r="P4287" s="1" t="s">
        <v>2721</v>
      </c>
    </row>
    <row r="4288" spans="1:16">
      <c r="A4288" s="1" t="s">
        <v>718</v>
      </c>
      <c r="B4288" s="1">
        <v>11</v>
      </c>
      <c r="C4288" s="1">
        <v>2.0251123103321501E+17</v>
      </c>
      <c r="D4288" s="1" t="s">
        <v>8744</v>
      </c>
      <c r="E4288" s="2">
        <v>45985</v>
      </c>
      <c r="F4288" s="1" t="s">
        <v>235</v>
      </c>
      <c r="G4288" s="1" t="s">
        <v>8745</v>
      </c>
      <c r="H4288" s="1" t="s">
        <v>8746</v>
      </c>
      <c r="I4288" s="1">
        <v>1</v>
      </c>
      <c r="J4288" s="3">
        <v>10000</v>
      </c>
      <c r="K4288" s="3">
        <v>7677</v>
      </c>
      <c r="L4288" s="3">
        <v>1000</v>
      </c>
      <c r="M4288" s="4">
        <v>0.1</v>
      </c>
      <c r="N4288" s="3">
        <v>1323</v>
      </c>
      <c r="O4288" s="4">
        <v>0.13200000000000001</v>
      </c>
      <c r="P4288" s="1" t="s">
        <v>2721</v>
      </c>
    </row>
    <row r="4289" spans="1:16">
      <c r="A4289" s="1" t="s">
        <v>718</v>
      </c>
      <c r="B4289" s="1">
        <v>11</v>
      </c>
      <c r="C4289" s="1">
        <v>2.0251123073433101E+17</v>
      </c>
      <c r="D4289" s="1" t="s">
        <v>2096</v>
      </c>
      <c r="E4289" s="2">
        <v>45985</v>
      </c>
      <c r="F4289" s="1" t="s">
        <v>1935</v>
      </c>
      <c r="G4289" s="1" t="s">
        <v>2097</v>
      </c>
      <c r="H4289" s="1" t="s">
        <v>2098</v>
      </c>
      <c r="I4289" s="1">
        <v>1</v>
      </c>
      <c r="J4289" s="3">
        <v>10000</v>
      </c>
      <c r="K4289" s="3">
        <v>7504</v>
      </c>
      <c r="L4289" s="3">
        <v>1000</v>
      </c>
      <c r="M4289" s="4">
        <v>0.1</v>
      </c>
      <c r="N4289" s="3">
        <v>1496</v>
      </c>
      <c r="O4289" s="4">
        <v>0.15</v>
      </c>
      <c r="P4289" s="1" t="s">
        <v>2721</v>
      </c>
    </row>
    <row r="4290" spans="1:16">
      <c r="A4290" s="1" t="s">
        <v>718</v>
      </c>
      <c r="B4290" s="1">
        <v>11</v>
      </c>
      <c r="C4290" s="1">
        <v>2.0251123062115901E+17</v>
      </c>
      <c r="D4290" s="1" t="s">
        <v>7557</v>
      </c>
      <c r="E4290" s="2">
        <v>45985</v>
      </c>
      <c r="F4290" s="1" t="s">
        <v>235</v>
      </c>
      <c r="G4290" s="1" t="s">
        <v>7558</v>
      </c>
      <c r="H4290" s="1" t="s">
        <v>8747</v>
      </c>
      <c r="I4290" s="1">
        <v>1</v>
      </c>
      <c r="J4290" s="3">
        <v>17100</v>
      </c>
      <c r="K4290" s="3">
        <v>14301</v>
      </c>
      <c r="L4290" s="3">
        <v>1710</v>
      </c>
      <c r="M4290" s="4">
        <v>0.1</v>
      </c>
      <c r="N4290" s="3">
        <v>1089</v>
      </c>
      <c r="O4290" s="4">
        <v>6.4000000000000001E-2</v>
      </c>
      <c r="P4290" s="1" t="s">
        <v>2721</v>
      </c>
    </row>
    <row r="4291" spans="1:16">
      <c r="A4291" s="1" t="s">
        <v>718</v>
      </c>
      <c r="B4291" s="1">
        <v>11</v>
      </c>
      <c r="C4291" s="1">
        <v>2.0251123000417699E+17</v>
      </c>
      <c r="D4291" s="1" t="s">
        <v>8744</v>
      </c>
      <c r="E4291" s="2">
        <v>45985</v>
      </c>
      <c r="F4291" s="1" t="s">
        <v>235</v>
      </c>
      <c r="G4291" s="1" t="s">
        <v>8745</v>
      </c>
      <c r="H4291" s="1" t="s">
        <v>8746</v>
      </c>
      <c r="I4291" s="1">
        <v>1</v>
      </c>
      <c r="J4291" s="3">
        <v>10000</v>
      </c>
      <c r="K4291" s="3">
        <v>7677</v>
      </c>
      <c r="L4291" s="3">
        <v>1000</v>
      </c>
      <c r="M4291" s="4">
        <v>0.1</v>
      </c>
      <c r="N4291" s="3">
        <v>1323</v>
      </c>
      <c r="O4291" s="4">
        <v>0.13200000000000001</v>
      </c>
      <c r="P4291" s="1" t="s">
        <v>2721</v>
      </c>
    </row>
    <row r="4292" spans="1:16">
      <c r="A4292" s="1" t="s">
        <v>718</v>
      </c>
      <c r="B4292" s="1">
        <v>11</v>
      </c>
      <c r="C4292" s="1">
        <v>2.02511222230336E+17</v>
      </c>
      <c r="D4292" s="1" t="s">
        <v>2096</v>
      </c>
      <c r="E4292" s="2">
        <v>45985</v>
      </c>
      <c r="F4292" s="1" t="s">
        <v>1935</v>
      </c>
      <c r="G4292" s="1" t="s">
        <v>2097</v>
      </c>
      <c r="H4292" s="1" t="s">
        <v>2098</v>
      </c>
      <c r="I4292" s="1">
        <v>1</v>
      </c>
      <c r="J4292" s="3">
        <v>10000</v>
      </c>
      <c r="K4292" s="3">
        <v>7504</v>
      </c>
      <c r="L4292" s="3">
        <v>1000</v>
      </c>
      <c r="M4292" s="4">
        <v>0.1</v>
      </c>
      <c r="N4292" s="3">
        <v>1496</v>
      </c>
      <c r="O4292" s="4">
        <v>0.15</v>
      </c>
      <c r="P4292" s="1" t="s">
        <v>2721</v>
      </c>
    </row>
    <row r="4293" spans="1:16">
      <c r="A4293" s="1" t="s">
        <v>718</v>
      </c>
      <c r="B4293" s="1">
        <v>11</v>
      </c>
      <c r="C4293" s="1">
        <v>2.0251122210312701E+17</v>
      </c>
      <c r="D4293" s="1" t="s">
        <v>2093</v>
      </c>
      <c r="E4293" s="2">
        <v>45985</v>
      </c>
      <c r="F4293" s="1" t="s">
        <v>1935</v>
      </c>
      <c r="G4293" s="1" t="s">
        <v>2094</v>
      </c>
      <c r="H4293" s="1" t="s">
        <v>2095</v>
      </c>
      <c r="I4293" s="1">
        <v>1</v>
      </c>
      <c r="J4293" s="3">
        <v>13900</v>
      </c>
      <c r="K4293" s="3">
        <v>11247</v>
      </c>
      <c r="L4293" s="3">
        <v>1390</v>
      </c>
      <c r="M4293" s="4">
        <v>0.1</v>
      </c>
      <c r="N4293" s="3">
        <v>1263</v>
      </c>
      <c r="O4293" s="4">
        <v>9.0999999999999998E-2</v>
      </c>
      <c r="P4293" s="1" t="s">
        <v>2721</v>
      </c>
    </row>
    <row r="4294" spans="1:16">
      <c r="A4294" s="1" t="s">
        <v>718</v>
      </c>
      <c r="B4294" s="1">
        <v>11</v>
      </c>
      <c r="C4294" s="1">
        <v>2.0251122205815699E+17</v>
      </c>
      <c r="D4294" s="1" t="s">
        <v>2089</v>
      </c>
      <c r="E4294" s="2">
        <v>45985</v>
      </c>
      <c r="F4294" s="1" t="s">
        <v>1935</v>
      </c>
      <c r="G4294" s="1" t="s">
        <v>2090</v>
      </c>
      <c r="H4294" s="1" t="s">
        <v>2091</v>
      </c>
      <c r="I4294" s="1">
        <v>1</v>
      </c>
      <c r="J4294" s="3">
        <v>19900</v>
      </c>
      <c r="K4294" s="3">
        <v>16884</v>
      </c>
      <c r="L4294" s="3">
        <v>1990</v>
      </c>
      <c r="M4294" s="4">
        <v>0.1</v>
      </c>
      <c r="N4294" s="3">
        <v>1026</v>
      </c>
      <c r="O4294" s="4">
        <v>5.1999999999999998E-2</v>
      </c>
      <c r="P4294" s="1" t="s">
        <v>2721</v>
      </c>
    </row>
    <row r="4295" spans="1:16">
      <c r="A4295" s="1" t="s">
        <v>718</v>
      </c>
      <c r="B4295" s="1">
        <v>11</v>
      </c>
      <c r="C4295" s="1">
        <v>2.0251122195056998E+17</v>
      </c>
      <c r="D4295" s="1" t="s">
        <v>2096</v>
      </c>
      <c r="E4295" s="2">
        <v>45985</v>
      </c>
      <c r="F4295" s="1" t="s">
        <v>1935</v>
      </c>
      <c r="G4295" s="1" t="s">
        <v>2097</v>
      </c>
      <c r="H4295" s="1" t="s">
        <v>2098</v>
      </c>
      <c r="I4295" s="1">
        <v>1</v>
      </c>
      <c r="J4295" s="3">
        <v>10000</v>
      </c>
      <c r="K4295" s="3">
        <v>7504</v>
      </c>
      <c r="L4295" s="3">
        <v>1000</v>
      </c>
      <c r="M4295" s="4">
        <v>0.1</v>
      </c>
      <c r="N4295" s="3">
        <v>1496</v>
      </c>
      <c r="O4295" s="4">
        <v>0.15</v>
      </c>
      <c r="P4295" s="1" t="s">
        <v>2721</v>
      </c>
    </row>
    <row r="4296" spans="1:16">
      <c r="A4296" s="1" t="s">
        <v>718</v>
      </c>
      <c r="B4296" s="1">
        <v>11</v>
      </c>
      <c r="C4296" s="1">
        <v>2.0251122194133101E+17</v>
      </c>
      <c r="D4296" s="1" t="s">
        <v>2089</v>
      </c>
      <c r="E4296" s="2">
        <v>45985</v>
      </c>
      <c r="F4296" s="1" t="s">
        <v>1935</v>
      </c>
      <c r="G4296" s="1" t="s">
        <v>2090</v>
      </c>
      <c r="H4296" s="1" t="s">
        <v>2091</v>
      </c>
      <c r="I4296" s="1">
        <v>1</v>
      </c>
      <c r="J4296" s="3">
        <v>19900</v>
      </c>
      <c r="K4296" s="3">
        <v>16884</v>
      </c>
      <c r="L4296" s="3">
        <v>1990</v>
      </c>
      <c r="M4296" s="4">
        <v>0.1</v>
      </c>
      <c r="N4296" s="3">
        <v>1026</v>
      </c>
      <c r="O4296" s="4">
        <v>5.1999999999999998E-2</v>
      </c>
      <c r="P4296" s="1" t="s">
        <v>2721</v>
      </c>
    </row>
    <row r="4297" spans="1:16">
      <c r="A4297" s="1" t="s">
        <v>718</v>
      </c>
      <c r="B4297" s="1">
        <v>11</v>
      </c>
      <c r="C4297" s="1">
        <v>2.0251122181528301E+17</v>
      </c>
      <c r="D4297" s="1" t="s">
        <v>8748</v>
      </c>
      <c r="E4297" s="2">
        <v>45985</v>
      </c>
      <c r="F4297" s="1" t="s">
        <v>292</v>
      </c>
      <c r="G4297" s="1" t="s">
        <v>8749</v>
      </c>
      <c r="H4297" s="1" t="s">
        <v>8750</v>
      </c>
      <c r="I4297" s="1">
        <v>1</v>
      </c>
      <c r="J4297" s="3">
        <v>18000</v>
      </c>
      <c r="K4297" s="3">
        <v>12663</v>
      </c>
      <c r="L4297" s="3">
        <v>1800</v>
      </c>
      <c r="M4297" s="4">
        <v>0.1</v>
      </c>
      <c r="N4297" s="3">
        <v>3537</v>
      </c>
      <c r="O4297" s="4">
        <v>0.19700000000000001</v>
      </c>
      <c r="P4297" s="1" t="s">
        <v>2721</v>
      </c>
    </row>
    <row r="4298" spans="1:16">
      <c r="A4298" s="1" t="s">
        <v>718</v>
      </c>
      <c r="B4298" s="1">
        <v>11</v>
      </c>
      <c r="C4298" s="1">
        <v>2.02511221735288E+17</v>
      </c>
      <c r="D4298" s="1" t="s">
        <v>2093</v>
      </c>
      <c r="E4298" s="2">
        <v>45985</v>
      </c>
      <c r="F4298" s="1" t="s">
        <v>1935</v>
      </c>
      <c r="G4298" s="1" t="s">
        <v>2094</v>
      </c>
      <c r="H4298" s="1" t="s">
        <v>2095</v>
      </c>
      <c r="I4298" s="1">
        <v>1</v>
      </c>
      <c r="J4298" s="3">
        <v>13900</v>
      </c>
      <c r="K4298" s="3">
        <v>11247</v>
      </c>
      <c r="L4298" s="3">
        <v>1390</v>
      </c>
      <c r="M4298" s="4">
        <v>0.1</v>
      </c>
      <c r="N4298" s="3">
        <v>1263</v>
      </c>
      <c r="O4298" s="4">
        <v>9.0999999999999998E-2</v>
      </c>
      <c r="P4298" s="1" t="s">
        <v>2721</v>
      </c>
    </row>
    <row r="4299" spans="1:16">
      <c r="A4299" s="1" t="s">
        <v>718</v>
      </c>
      <c r="B4299" s="1">
        <v>11</v>
      </c>
      <c r="C4299" s="1">
        <v>2.0251122154510301E+17</v>
      </c>
      <c r="D4299" s="1" t="s">
        <v>3460</v>
      </c>
      <c r="E4299" s="2">
        <v>45985</v>
      </c>
      <c r="F4299" s="1" t="s">
        <v>235</v>
      </c>
      <c r="G4299" s="1" t="s">
        <v>3461</v>
      </c>
      <c r="H4299" s="1" t="s">
        <v>8751</v>
      </c>
      <c r="I4299" s="1">
        <v>1</v>
      </c>
      <c r="J4299" s="3">
        <v>15000</v>
      </c>
      <c r="K4299" s="3">
        <v>10010</v>
      </c>
      <c r="L4299" s="3">
        <v>1500</v>
      </c>
      <c r="M4299" s="4">
        <v>0.1</v>
      </c>
      <c r="N4299" s="3">
        <v>3490</v>
      </c>
      <c r="O4299" s="4">
        <v>0.23300000000000001</v>
      </c>
      <c r="P4299" s="1" t="s">
        <v>2721</v>
      </c>
    </row>
    <row r="4300" spans="1:16">
      <c r="A4300" s="1" t="s">
        <v>718</v>
      </c>
      <c r="B4300" s="1">
        <v>11</v>
      </c>
      <c r="C4300" s="1">
        <v>2.0251122134740701E+17</v>
      </c>
      <c r="D4300" s="1" t="s">
        <v>8744</v>
      </c>
      <c r="E4300" s="2">
        <v>45985</v>
      </c>
      <c r="F4300" s="1" t="s">
        <v>235</v>
      </c>
      <c r="G4300" s="1" t="s">
        <v>8745</v>
      </c>
      <c r="H4300" s="1" t="s">
        <v>8746</v>
      </c>
      <c r="I4300" s="1">
        <v>1</v>
      </c>
      <c r="J4300" s="3">
        <v>10000</v>
      </c>
      <c r="K4300" s="3">
        <v>7677</v>
      </c>
      <c r="L4300" s="3">
        <v>1000</v>
      </c>
      <c r="M4300" s="4">
        <v>0.1</v>
      </c>
      <c r="N4300" s="3">
        <v>1323</v>
      </c>
      <c r="O4300" s="4">
        <v>0.13200000000000001</v>
      </c>
      <c r="P4300" s="1" t="s">
        <v>2721</v>
      </c>
    </row>
    <row r="4301" spans="1:16">
      <c r="A4301" s="1" t="s">
        <v>718</v>
      </c>
      <c r="B4301" s="1">
        <v>11</v>
      </c>
      <c r="C4301" s="1">
        <v>2.0251121224022499E+17</v>
      </c>
      <c r="D4301" s="1" t="s">
        <v>2093</v>
      </c>
      <c r="E4301" s="2">
        <v>45985</v>
      </c>
      <c r="F4301" s="1" t="s">
        <v>1935</v>
      </c>
      <c r="G4301" s="1" t="s">
        <v>2094</v>
      </c>
      <c r="H4301" s="1" t="s">
        <v>2095</v>
      </c>
      <c r="I4301" s="1">
        <v>1</v>
      </c>
      <c r="J4301" s="3">
        <v>13900</v>
      </c>
      <c r="K4301" s="3">
        <v>11247</v>
      </c>
      <c r="L4301" s="3">
        <v>1390</v>
      </c>
      <c r="M4301" s="4">
        <v>0.1</v>
      </c>
      <c r="N4301" s="3">
        <v>1263</v>
      </c>
      <c r="O4301" s="4">
        <v>9.0999999999999998E-2</v>
      </c>
      <c r="P4301" s="1" t="s">
        <v>2721</v>
      </c>
    </row>
    <row r="4302" spans="1:16">
      <c r="A4302" s="1" t="s">
        <v>718</v>
      </c>
      <c r="B4302" s="1">
        <v>11</v>
      </c>
      <c r="C4302" s="1">
        <v>2.02511211936172E+17</v>
      </c>
      <c r="D4302" s="1" t="s">
        <v>2093</v>
      </c>
      <c r="E4302" s="2">
        <v>45985</v>
      </c>
      <c r="F4302" s="1" t="s">
        <v>1935</v>
      </c>
      <c r="G4302" s="1" t="s">
        <v>2094</v>
      </c>
      <c r="H4302" s="1" t="s">
        <v>2095</v>
      </c>
      <c r="I4302" s="1">
        <v>1</v>
      </c>
      <c r="J4302" s="3">
        <v>13900</v>
      </c>
      <c r="K4302" s="3">
        <v>11247</v>
      </c>
      <c r="L4302" s="3">
        <v>1390</v>
      </c>
      <c r="M4302" s="4">
        <v>0.1</v>
      </c>
      <c r="N4302" s="3">
        <v>1263</v>
      </c>
      <c r="O4302" s="4">
        <v>9.0999999999999998E-2</v>
      </c>
      <c r="P4302" s="1" t="s">
        <v>2721</v>
      </c>
    </row>
    <row r="4303" spans="1:16">
      <c r="A4303" s="1" t="s">
        <v>718</v>
      </c>
      <c r="B4303" s="1">
        <v>11</v>
      </c>
      <c r="C4303" s="1">
        <v>2.02511211928252E+17</v>
      </c>
      <c r="D4303" s="1" t="s">
        <v>1941</v>
      </c>
      <c r="E4303" s="2">
        <v>45985</v>
      </c>
      <c r="F4303" s="1" t="s">
        <v>235</v>
      </c>
      <c r="G4303" s="1" t="s">
        <v>1942</v>
      </c>
      <c r="H4303" s="1" t="s">
        <v>7251</v>
      </c>
      <c r="I4303" s="1">
        <v>1</v>
      </c>
      <c r="J4303" s="3">
        <v>24900</v>
      </c>
      <c r="K4303" s="3">
        <v>21340</v>
      </c>
      <c r="L4303" s="3">
        <v>2490</v>
      </c>
      <c r="M4303" s="4">
        <v>0.1</v>
      </c>
      <c r="N4303" s="3">
        <v>1070</v>
      </c>
      <c r="O4303" s="4">
        <v>4.2999999999999997E-2</v>
      </c>
      <c r="P4303" s="1" t="s">
        <v>2721</v>
      </c>
    </row>
    <row r="4304" spans="1:16">
      <c r="A4304" s="1" t="s">
        <v>722</v>
      </c>
      <c r="B4304" s="1">
        <v>11</v>
      </c>
      <c r="C4304" s="1" t="s">
        <v>8752</v>
      </c>
      <c r="D4304" s="1" t="s">
        <v>8753</v>
      </c>
      <c r="E4304" s="2">
        <v>45985</v>
      </c>
      <c r="F4304" s="1" t="s">
        <v>2683</v>
      </c>
      <c r="G4304" s="1" t="s">
        <v>8754</v>
      </c>
      <c r="H4304" s="1" t="s">
        <v>8755</v>
      </c>
      <c r="I4304" s="1">
        <v>1</v>
      </c>
      <c r="J4304" s="3">
        <v>29925</v>
      </c>
      <c r="K4304" s="3">
        <v>28618</v>
      </c>
      <c r="L4304" s="1">
        <v>0</v>
      </c>
      <c r="M4304" s="4">
        <v>0</v>
      </c>
      <c r="N4304" s="3">
        <v>1307</v>
      </c>
      <c r="O4304" s="4">
        <v>4.3999999999999997E-2</v>
      </c>
      <c r="P4304" s="1" t="s">
        <v>2721</v>
      </c>
    </row>
    <row r="4305" spans="1:16">
      <c r="A4305" s="1" t="s">
        <v>722</v>
      </c>
      <c r="B4305" s="1">
        <v>11</v>
      </c>
      <c r="C4305" s="1" t="s">
        <v>8756</v>
      </c>
      <c r="D4305" s="1" t="s">
        <v>8693</v>
      </c>
      <c r="E4305" s="2">
        <v>45985</v>
      </c>
      <c r="F4305" s="1" t="s">
        <v>235</v>
      </c>
      <c r="G4305" s="1" t="s">
        <v>8694</v>
      </c>
      <c r="H4305" s="1" t="s">
        <v>8757</v>
      </c>
      <c r="I4305" s="1">
        <v>1</v>
      </c>
      <c r="J4305" s="3">
        <v>8400</v>
      </c>
      <c r="K4305" s="3">
        <v>7739</v>
      </c>
      <c r="L4305" s="1">
        <v>0</v>
      </c>
      <c r="M4305" s="4">
        <v>0</v>
      </c>
      <c r="N4305" s="1">
        <v>661</v>
      </c>
      <c r="O4305" s="4">
        <v>7.9000000000000001E-2</v>
      </c>
      <c r="P4305" s="1" t="s">
        <v>2721</v>
      </c>
    </row>
    <row r="4306" spans="1:16">
      <c r="A4306" s="1" t="s">
        <v>722</v>
      </c>
      <c r="B4306" s="1">
        <v>11</v>
      </c>
      <c r="C4306" s="1" t="s">
        <v>8758</v>
      </c>
      <c r="D4306" s="1" t="s">
        <v>8759</v>
      </c>
      <c r="E4306" s="2">
        <v>45985</v>
      </c>
      <c r="F4306" s="1" t="s">
        <v>554</v>
      </c>
      <c r="G4306" s="1" t="s">
        <v>8760</v>
      </c>
      <c r="H4306" s="1" t="s">
        <v>2935</v>
      </c>
      <c r="I4306" s="1">
        <v>1</v>
      </c>
      <c r="J4306" s="3">
        <v>23840</v>
      </c>
      <c r="K4306" s="3">
        <v>22840</v>
      </c>
      <c r="L4306" s="1">
        <v>0</v>
      </c>
      <c r="M4306" s="4">
        <v>0</v>
      </c>
      <c r="N4306" s="3">
        <v>1000</v>
      </c>
      <c r="O4306" s="4">
        <v>4.2000000000000003E-2</v>
      </c>
      <c r="P4306" s="1" t="s">
        <v>2721</v>
      </c>
    </row>
    <row r="4307" spans="1:16">
      <c r="A4307" s="1" t="s">
        <v>722</v>
      </c>
      <c r="B4307" s="1">
        <v>11</v>
      </c>
      <c r="C4307" s="1" t="s">
        <v>8761</v>
      </c>
      <c r="D4307" s="1" t="s">
        <v>728</v>
      </c>
      <c r="E4307" s="2">
        <v>45985</v>
      </c>
      <c r="F4307" s="1" t="s">
        <v>534</v>
      </c>
      <c r="G4307" s="1" t="s">
        <v>729</v>
      </c>
      <c r="H4307" s="1" t="s">
        <v>730</v>
      </c>
      <c r="I4307" s="1">
        <v>1</v>
      </c>
      <c r="J4307" s="3">
        <v>32925</v>
      </c>
      <c r="K4307" s="3">
        <v>31500</v>
      </c>
      <c r="L4307" s="1">
        <v>0</v>
      </c>
      <c r="M4307" s="4">
        <v>0</v>
      </c>
      <c r="N4307" s="3">
        <v>1425</v>
      </c>
      <c r="O4307" s="4">
        <v>4.2999999999999997E-2</v>
      </c>
      <c r="P4307" s="1" t="s">
        <v>2721</v>
      </c>
    </row>
    <row r="4308" spans="1:16">
      <c r="A4308" s="1" t="s">
        <v>722</v>
      </c>
      <c r="B4308" s="1">
        <v>11</v>
      </c>
      <c r="C4308" s="1" t="s">
        <v>8762</v>
      </c>
      <c r="D4308" s="1" t="s">
        <v>8759</v>
      </c>
      <c r="E4308" s="2">
        <v>45985</v>
      </c>
      <c r="F4308" s="1" t="s">
        <v>554</v>
      </c>
      <c r="G4308" s="1" t="s">
        <v>8760</v>
      </c>
      <c r="H4308" s="1" t="s">
        <v>2935</v>
      </c>
      <c r="I4308" s="1">
        <v>1</v>
      </c>
      <c r="J4308" s="3">
        <v>23840</v>
      </c>
      <c r="K4308" s="3">
        <v>22840</v>
      </c>
      <c r="L4308" s="1">
        <v>0</v>
      </c>
      <c r="M4308" s="4">
        <v>0</v>
      </c>
      <c r="N4308" s="3">
        <v>1000</v>
      </c>
      <c r="O4308" s="4">
        <v>4.2000000000000003E-2</v>
      </c>
      <c r="P4308" s="1" t="s">
        <v>2721</v>
      </c>
    </row>
    <row r="4309" spans="1:16">
      <c r="A4309" s="1" t="s">
        <v>733</v>
      </c>
      <c r="B4309" s="1">
        <v>11</v>
      </c>
      <c r="C4309" s="1" t="s">
        <v>8763</v>
      </c>
      <c r="D4309" s="1" t="s">
        <v>4997</v>
      </c>
      <c r="E4309" s="2">
        <v>45985</v>
      </c>
      <c r="F4309" s="1" t="s">
        <v>256</v>
      </c>
      <c r="G4309" s="1" t="s">
        <v>4998</v>
      </c>
      <c r="I4309" s="1">
        <v>1</v>
      </c>
      <c r="J4309" s="3">
        <v>14850</v>
      </c>
      <c r="K4309" s="3">
        <v>10506</v>
      </c>
      <c r="L4309" s="1">
        <v>0</v>
      </c>
      <c r="M4309" s="4">
        <v>0</v>
      </c>
      <c r="N4309" s="3">
        <v>4344</v>
      </c>
      <c r="O4309" s="4">
        <v>0.29299999999999998</v>
      </c>
      <c r="P4309" s="1" t="s">
        <v>2721</v>
      </c>
    </row>
    <row r="4310" spans="1:16">
      <c r="A4310" s="1" t="s">
        <v>733</v>
      </c>
      <c r="B4310" s="1">
        <v>11</v>
      </c>
      <c r="C4310" s="1" t="s">
        <v>8763</v>
      </c>
      <c r="D4310" s="1" t="s">
        <v>8764</v>
      </c>
      <c r="E4310" s="2">
        <v>45985</v>
      </c>
      <c r="F4310" s="1" t="s">
        <v>96</v>
      </c>
      <c r="G4310" s="1" t="s">
        <v>8765</v>
      </c>
      <c r="I4310" s="1">
        <v>1</v>
      </c>
      <c r="J4310" s="3">
        <v>15800</v>
      </c>
      <c r="K4310" s="3">
        <v>13635</v>
      </c>
      <c r="L4310" s="1">
        <v>0</v>
      </c>
      <c r="M4310" s="4">
        <v>0</v>
      </c>
      <c r="N4310" s="3">
        <v>2165</v>
      </c>
      <c r="O4310" s="4">
        <v>0.13700000000000001</v>
      </c>
      <c r="P4310" s="1" t="s">
        <v>2721</v>
      </c>
    </row>
    <row r="4311" spans="1:16">
      <c r="A4311" s="1" t="s">
        <v>733</v>
      </c>
      <c r="B4311" s="1">
        <v>11</v>
      </c>
      <c r="C4311" s="1" t="s">
        <v>8766</v>
      </c>
      <c r="D4311" s="1" t="s">
        <v>5302</v>
      </c>
      <c r="E4311" s="2">
        <v>45985</v>
      </c>
      <c r="F4311" s="1" t="s">
        <v>256</v>
      </c>
      <c r="G4311" s="1" t="s">
        <v>5303</v>
      </c>
      <c r="I4311" s="1">
        <v>1</v>
      </c>
      <c r="J4311" s="3">
        <v>9270</v>
      </c>
      <c r="K4311" s="3">
        <v>4718</v>
      </c>
      <c r="L4311" s="1">
        <v>0</v>
      </c>
      <c r="M4311" s="4">
        <v>0</v>
      </c>
      <c r="N4311" s="3">
        <v>4552</v>
      </c>
      <c r="O4311" s="4">
        <v>0.49099999999999999</v>
      </c>
      <c r="P4311" s="1" t="s">
        <v>2721</v>
      </c>
    </row>
    <row r="4312" spans="1:16">
      <c r="A4312" s="1" t="s">
        <v>739</v>
      </c>
      <c r="B4312" s="1">
        <v>11</v>
      </c>
      <c r="C4312" s="1">
        <v>31491513</v>
      </c>
      <c r="D4312" s="1" t="s">
        <v>8767</v>
      </c>
      <c r="E4312" s="2">
        <v>45985</v>
      </c>
      <c r="F4312" s="1" t="s">
        <v>347</v>
      </c>
      <c r="G4312" s="1" t="s">
        <v>8768</v>
      </c>
      <c r="H4312" s="1" t="s">
        <v>8634</v>
      </c>
      <c r="I4312" s="1">
        <v>1</v>
      </c>
      <c r="J4312" s="3">
        <v>31700</v>
      </c>
      <c r="K4312" s="3">
        <v>24426</v>
      </c>
      <c r="L4312" s="3">
        <v>4184</v>
      </c>
      <c r="M4312" s="4">
        <v>0.13200000000000001</v>
      </c>
      <c r="N4312" s="3">
        <v>3090</v>
      </c>
      <c r="O4312" s="4">
        <v>9.7000000000000003E-2</v>
      </c>
      <c r="P4312" s="1" t="s">
        <v>2721</v>
      </c>
    </row>
    <row r="4313" spans="1:16">
      <c r="A4313" s="1" t="s">
        <v>739</v>
      </c>
      <c r="B4313" s="1">
        <v>11</v>
      </c>
      <c r="C4313" s="1">
        <v>31492925</v>
      </c>
      <c r="D4313" s="1" t="s">
        <v>8769</v>
      </c>
      <c r="E4313" s="2">
        <v>45985</v>
      </c>
      <c r="F4313" s="1" t="s">
        <v>200</v>
      </c>
      <c r="G4313" s="1" t="s">
        <v>8770</v>
      </c>
      <c r="H4313" s="1" t="s">
        <v>8771</v>
      </c>
      <c r="I4313" s="1">
        <v>1</v>
      </c>
      <c r="J4313" s="3">
        <v>25200</v>
      </c>
      <c r="K4313" s="3">
        <v>19229</v>
      </c>
      <c r="L4313" s="3">
        <v>3326</v>
      </c>
      <c r="M4313" s="4">
        <v>0.13200000000000001</v>
      </c>
      <c r="N4313" s="3">
        <v>2645</v>
      </c>
      <c r="O4313" s="4">
        <v>0.105</v>
      </c>
      <c r="P4313" s="1" t="s">
        <v>2721</v>
      </c>
    </row>
    <row r="4314" spans="1:16">
      <c r="A4314" s="1" t="s">
        <v>739</v>
      </c>
      <c r="B4314" s="1">
        <v>11</v>
      </c>
      <c r="C4314" s="1">
        <v>31493276</v>
      </c>
      <c r="D4314" s="1" t="s">
        <v>3086</v>
      </c>
      <c r="E4314" s="2">
        <v>45985</v>
      </c>
      <c r="F4314" s="1" t="s">
        <v>317</v>
      </c>
      <c r="G4314" s="1" t="s">
        <v>3087</v>
      </c>
      <c r="H4314" s="1" t="s">
        <v>1268</v>
      </c>
      <c r="I4314" s="1">
        <v>1</v>
      </c>
      <c r="J4314" s="3">
        <v>31900</v>
      </c>
      <c r="K4314" s="3">
        <v>26264</v>
      </c>
      <c r="L4314" s="3">
        <v>4211</v>
      </c>
      <c r="M4314" s="4">
        <v>0.13200000000000001</v>
      </c>
      <c r="N4314" s="3">
        <v>1425</v>
      </c>
      <c r="O4314" s="4">
        <v>4.4999999999999998E-2</v>
      </c>
      <c r="P4314" s="1" t="s">
        <v>2721</v>
      </c>
    </row>
    <row r="4315" spans="1:16">
      <c r="A4315" s="1" t="s">
        <v>739</v>
      </c>
      <c r="B4315" s="1">
        <v>11</v>
      </c>
      <c r="C4315" s="1">
        <v>31493828</v>
      </c>
      <c r="D4315" s="1" t="s">
        <v>8769</v>
      </c>
      <c r="E4315" s="2">
        <v>45985</v>
      </c>
      <c r="F4315" s="1" t="s">
        <v>200</v>
      </c>
      <c r="G4315" s="1" t="s">
        <v>8770</v>
      </c>
      <c r="H4315" s="1" t="s">
        <v>8771</v>
      </c>
      <c r="I4315" s="1">
        <v>1</v>
      </c>
      <c r="J4315" s="3">
        <v>25200</v>
      </c>
      <c r="K4315" s="3">
        <v>19229</v>
      </c>
      <c r="L4315" s="3">
        <v>3326</v>
      </c>
      <c r="M4315" s="4">
        <v>0.13200000000000001</v>
      </c>
      <c r="N4315" s="3">
        <v>2645</v>
      </c>
      <c r="O4315" s="4">
        <v>0.105</v>
      </c>
      <c r="P4315" s="1" t="s">
        <v>2721</v>
      </c>
    </row>
    <row r="4316" spans="1:16">
      <c r="A4316" s="1" t="s">
        <v>739</v>
      </c>
      <c r="B4316" s="1">
        <v>11</v>
      </c>
      <c r="C4316" s="1">
        <v>31494719</v>
      </c>
      <c r="D4316" s="1" t="s">
        <v>5973</v>
      </c>
      <c r="E4316" s="2">
        <v>45985</v>
      </c>
      <c r="F4316" s="1" t="s">
        <v>347</v>
      </c>
      <c r="G4316" s="1" t="s">
        <v>5974</v>
      </c>
      <c r="H4316" s="1" t="s">
        <v>5975</v>
      </c>
      <c r="I4316" s="1">
        <v>1</v>
      </c>
      <c r="J4316" s="3">
        <v>28200</v>
      </c>
      <c r="K4316" s="3">
        <v>21780</v>
      </c>
      <c r="L4316" s="3">
        <v>3722</v>
      </c>
      <c r="M4316" s="4">
        <v>0.13200000000000001</v>
      </c>
      <c r="N4316" s="3">
        <v>2698</v>
      </c>
      <c r="O4316" s="4">
        <v>9.6000000000000002E-2</v>
      </c>
      <c r="P4316" s="1" t="s">
        <v>2721</v>
      </c>
    </row>
    <row r="4317" spans="1:16">
      <c r="A4317" s="1" t="s">
        <v>739</v>
      </c>
      <c r="B4317" s="1">
        <v>11</v>
      </c>
      <c r="C4317" s="1">
        <v>31496651</v>
      </c>
      <c r="D4317" s="1" t="s">
        <v>8772</v>
      </c>
      <c r="E4317" s="2">
        <v>45985</v>
      </c>
      <c r="F4317" s="1" t="s">
        <v>1772</v>
      </c>
      <c r="G4317" s="1" t="s">
        <v>8773</v>
      </c>
      <c r="H4317" s="1" t="s">
        <v>8774</v>
      </c>
      <c r="I4317" s="1">
        <v>1</v>
      </c>
      <c r="J4317" s="3">
        <v>42900</v>
      </c>
      <c r="K4317" s="3">
        <v>30860</v>
      </c>
      <c r="L4317" s="3">
        <v>5663</v>
      </c>
      <c r="M4317" s="4">
        <v>0.13200000000000001</v>
      </c>
      <c r="N4317" s="3">
        <v>6377</v>
      </c>
      <c r="O4317" s="4">
        <v>0.14899999999999999</v>
      </c>
      <c r="P4317" s="1" t="s">
        <v>2721</v>
      </c>
    </row>
    <row r="4318" spans="1:16">
      <c r="A4318" s="1" t="s">
        <v>739</v>
      </c>
      <c r="B4318" s="1">
        <v>11</v>
      </c>
      <c r="C4318" s="1">
        <v>31497975</v>
      </c>
      <c r="D4318" s="1" t="s">
        <v>6718</v>
      </c>
      <c r="E4318" s="2">
        <v>45985</v>
      </c>
      <c r="F4318" s="1" t="s">
        <v>91</v>
      </c>
      <c r="G4318" s="1" t="s">
        <v>6719</v>
      </c>
      <c r="H4318" s="1" t="s">
        <v>6720</v>
      </c>
      <c r="I4318" s="1">
        <v>1</v>
      </c>
      <c r="J4318" s="3">
        <v>19900</v>
      </c>
      <c r="K4318" s="3">
        <v>12907</v>
      </c>
      <c r="L4318" s="3">
        <v>2627</v>
      </c>
      <c r="M4318" s="4">
        <v>0.13200000000000001</v>
      </c>
      <c r="N4318" s="3">
        <v>4366</v>
      </c>
      <c r="O4318" s="4">
        <v>0.219</v>
      </c>
      <c r="P4318" s="1" t="s">
        <v>2721</v>
      </c>
    </row>
    <row r="4319" spans="1:16">
      <c r="A4319" s="1" t="s">
        <v>739</v>
      </c>
      <c r="B4319" s="1">
        <v>11</v>
      </c>
      <c r="C4319" s="1">
        <v>31499265</v>
      </c>
      <c r="D4319" s="1" t="s">
        <v>8775</v>
      </c>
      <c r="E4319" s="2">
        <v>45985</v>
      </c>
      <c r="F4319" s="1" t="s">
        <v>347</v>
      </c>
      <c r="G4319" s="1" t="s">
        <v>8776</v>
      </c>
      <c r="H4319" s="1" t="s">
        <v>5148</v>
      </c>
      <c r="I4319" s="1">
        <v>1</v>
      </c>
      <c r="J4319" s="3">
        <v>30200</v>
      </c>
      <c r="K4319" s="3">
        <v>23300</v>
      </c>
      <c r="L4319" s="3">
        <v>3986</v>
      </c>
      <c r="M4319" s="4">
        <v>0.13200000000000001</v>
      </c>
      <c r="N4319" s="3">
        <v>2914</v>
      </c>
      <c r="O4319" s="4">
        <v>9.6000000000000002E-2</v>
      </c>
      <c r="P4319" s="1" t="s">
        <v>2721</v>
      </c>
    </row>
    <row r="4320" spans="1:16">
      <c r="A4320" s="1" t="s">
        <v>739</v>
      </c>
      <c r="B4320" s="1">
        <v>11</v>
      </c>
      <c r="C4320" s="1">
        <v>31500210</v>
      </c>
      <c r="D4320" s="1" t="s">
        <v>8777</v>
      </c>
      <c r="E4320" s="2">
        <v>45985</v>
      </c>
      <c r="F4320" s="1" t="s">
        <v>1772</v>
      </c>
      <c r="G4320" s="1" t="s">
        <v>8778</v>
      </c>
      <c r="H4320" s="1" t="s">
        <v>8779</v>
      </c>
      <c r="I4320" s="1">
        <v>1</v>
      </c>
      <c r="J4320" s="3">
        <v>34900</v>
      </c>
      <c r="K4320" s="3">
        <v>27746</v>
      </c>
      <c r="L4320" s="3">
        <v>4607</v>
      </c>
      <c r="M4320" s="4">
        <v>0.13200000000000001</v>
      </c>
      <c r="N4320" s="3">
        <v>2547</v>
      </c>
      <c r="O4320" s="4">
        <v>7.2999999999999995E-2</v>
      </c>
      <c r="P4320" s="1" t="s">
        <v>2721</v>
      </c>
    </row>
    <row r="4321" spans="1:16">
      <c r="A4321" s="1" t="s">
        <v>739</v>
      </c>
      <c r="B4321" s="1">
        <v>11</v>
      </c>
      <c r="C4321" s="1">
        <v>31500447</v>
      </c>
      <c r="D4321" s="1" t="s">
        <v>1943</v>
      </c>
      <c r="E4321" s="2">
        <v>45985</v>
      </c>
      <c r="F4321" s="1" t="s">
        <v>368</v>
      </c>
      <c r="G4321" s="1" t="s">
        <v>1944</v>
      </c>
      <c r="H4321" s="1" t="s">
        <v>370</v>
      </c>
      <c r="I4321" s="1">
        <v>1</v>
      </c>
      <c r="J4321" s="3">
        <v>17900</v>
      </c>
      <c r="K4321" s="3">
        <v>13807</v>
      </c>
      <c r="L4321" s="3">
        <v>2363</v>
      </c>
      <c r="M4321" s="4">
        <v>0.13200000000000001</v>
      </c>
      <c r="N4321" s="3">
        <v>1730</v>
      </c>
      <c r="O4321" s="4">
        <v>9.7000000000000003E-2</v>
      </c>
      <c r="P4321" s="1" t="s">
        <v>2721</v>
      </c>
    </row>
    <row r="4322" spans="1:16">
      <c r="A4322" s="1" t="s">
        <v>739</v>
      </c>
      <c r="B4322" s="1">
        <v>11</v>
      </c>
      <c r="C4322" s="1">
        <v>31500454</v>
      </c>
      <c r="D4322" s="1" t="s">
        <v>2132</v>
      </c>
      <c r="E4322" s="2">
        <v>45985</v>
      </c>
      <c r="F4322" s="1" t="s">
        <v>426</v>
      </c>
      <c r="G4322" s="1" t="s">
        <v>2133</v>
      </c>
      <c r="H4322" s="1" t="s">
        <v>428</v>
      </c>
      <c r="I4322" s="1">
        <v>1</v>
      </c>
      <c r="J4322" s="3">
        <v>31000</v>
      </c>
      <c r="K4322" s="3">
        <v>22512</v>
      </c>
      <c r="L4322" s="3">
        <v>4092</v>
      </c>
      <c r="M4322" s="4">
        <v>0.13200000000000001</v>
      </c>
      <c r="N4322" s="3">
        <v>4396</v>
      </c>
      <c r="O4322" s="4">
        <v>0.14199999999999999</v>
      </c>
      <c r="P4322" s="1" t="s">
        <v>2721</v>
      </c>
    </row>
    <row r="4323" spans="1:16">
      <c r="A4323" s="1" t="s">
        <v>739</v>
      </c>
      <c r="B4323" s="1">
        <v>11</v>
      </c>
      <c r="C4323" s="1">
        <v>31500740</v>
      </c>
      <c r="D4323" s="1" t="s">
        <v>2083</v>
      </c>
      <c r="E4323" s="2">
        <v>45985</v>
      </c>
      <c r="F4323" s="1" t="s">
        <v>426</v>
      </c>
      <c r="G4323" s="1" t="s">
        <v>2084</v>
      </c>
      <c r="H4323" s="1" t="s">
        <v>1568</v>
      </c>
      <c r="I4323" s="1">
        <v>2</v>
      </c>
      <c r="J4323" s="3">
        <v>64000</v>
      </c>
      <c r="K4323" s="3">
        <v>46900</v>
      </c>
      <c r="L4323" s="3">
        <v>8448</v>
      </c>
      <c r="M4323" s="4">
        <v>0.13200000000000001</v>
      </c>
      <c r="N4323" s="3">
        <v>8652</v>
      </c>
      <c r="O4323" s="4">
        <v>0.13500000000000001</v>
      </c>
      <c r="P4323" s="1" t="s">
        <v>2721</v>
      </c>
    </row>
    <row r="4324" spans="1:16">
      <c r="A4324" s="1" t="s">
        <v>739</v>
      </c>
      <c r="B4324" s="1">
        <v>11</v>
      </c>
      <c r="C4324" s="1">
        <v>31501488</v>
      </c>
      <c r="D4324" s="1" t="s">
        <v>5647</v>
      </c>
      <c r="E4324" s="2">
        <v>45985</v>
      </c>
      <c r="F4324" s="1" t="s">
        <v>4309</v>
      </c>
      <c r="G4324" s="1" t="s">
        <v>5648</v>
      </c>
      <c r="H4324" s="1" t="s">
        <v>5649</v>
      </c>
      <c r="I4324" s="1">
        <v>1</v>
      </c>
      <c r="J4324" s="3">
        <v>11500</v>
      </c>
      <c r="K4324" s="3">
        <v>8817</v>
      </c>
      <c r="L4324" s="3">
        <v>1518</v>
      </c>
      <c r="M4324" s="4">
        <v>0.13200000000000001</v>
      </c>
      <c r="N4324" s="3">
        <v>1165</v>
      </c>
      <c r="O4324" s="4">
        <v>0.10100000000000001</v>
      </c>
      <c r="P4324" s="1" t="s">
        <v>2721</v>
      </c>
    </row>
    <row r="4325" spans="1:16">
      <c r="A4325" s="1" t="s">
        <v>739</v>
      </c>
      <c r="B4325" s="1">
        <v>11</v>
      </c>
      <c r="C4325" s="1">
        <v>31501557</v>
      </c>
      <c r="D4325" s="1" t="s">
        <v>8780</v>
      </c>
      <c r="E4325" s="2">
        <v>45985</v>
      </c>
      <c r="F4325" s="1" t="s">
        <v>200</v>
      </c>
      <c r="G4325" s="1" t="s">
        <v>685</v>
      </c>
      <c r="H4325" s="1" t="s">
        <v>202</v>
      </c>
      <c r="I4325" s="1">
        <v>1</v>
      </c>
      <c r="J4325" s="3">
        <v>38100</v>
      </c>
      <c r="K4325" s="3">
        <v>29547</v>
      </c>
      <c r="L4325" s="3">
        <v>5029</v>
      </c>
      <c r="M4325" s="4">
        <v>0.13200000000000001</v>
      </c>
      <c r="N4325" s="3">
        <v>3524</v>
      </c>
      <c r="O4325" s="4">
        <v>9.1999999999999998E-2</v>
      </c>
      <c r="P4325" s="1" t="s">
        <v>2721</v>
      </c>
    </row>
    <row r="4326" spans="1:16">
      <c r="A4326" s="1" t="s">
        <v>756</v>
      </c>
      <c r="B4326" s="1">
        <v>11</v>
      </c>
      <c r="C4326" s="1" t="s">
        <v>8781</v>
      </c>
      <c r="D4326" s="1" t="s">
        <v>8782</v>
      </c>
      <c r="E4326" s="2">
        <v>45985</v>
      </c>
      <c r="F4326" s="1" t="s">
        <v>8783</v>
      </c>
      <c r="G4326" s="1" t="s">
        <v>8784</v>
      </c>
      <c r="H4326" s="1" t="s">
        <v>8785</v>
      </c>
      <c r="I4326" s="1">
        <v>1</v>
      </c>
      <c r="J4326" s="3">
        <v>33000</v>
      </c>
      <c r="K4326" s="3">
        <v>28046</v>
      </c>
      <c r="L4326" s="1">
        <v>0</v>
      </c>
      <c r="M4326" s="4">
        <v>0</v>
      </c>
      <c r="N4326" s="3">
        <v>4954</v>
      </c>
      <c r="O4326" s="4">
        <v>0.15</v>
      </c>
      <c r="P4326" s="1" t="s">
        <v>2723</v>
      </c>
    </row>
    <row r="4327" spans="1:16">
      <c r="A4327" s="1" t="s">
        <v>756</v>
      </c>
      <c r="B4327" s="1">
        <v>11</v>
      </c>
      <c r="C4327" s="1" t="s">
        <v>8786</v>
      </c>
      <c r="D4327" s="1" t="s">
        <v>8787</v>
      </c>
      <c r="E4327" s="2">
        <v>45985</v>
      </c>
      <c r="F4327" s="1" t="s">
        <v>5734</v>
      </c>
      <c r="G4327" s="1" t="s">
        <v>8788</v>
      </c>
      <c r="H4327" s="1" t="s">
        <v>8789</v>
      </c>
      <c r="I4327" s="1">
        <v>1</v>
      </c>
      <c r="J4327" s="3">
        <v>37750</v>
      </c>
      <c r="K4327" s="3">
        <v>34518</v>
      </c>
      <c r="L4327" s="1">
        <v>0</v>
      </c>
      <c r="M4327" s="4">
        <v>0</v>
      </c>
      <c r="N4327" s="3">
        <v>3232</v>
      </c>
      <c r="O4327" s="4">
        <v>8.5999999999999993E-2</v>
      </c>
      <c r="P4327" s="1" t="s">
        <v>2723</v>
      </c>
    </row>
    <row r="4328" spans="1:16">
      <c r="A4328" s="1" t="s">
        <v>756</v>
      </c>
      <c r="B4328" s="1">
        <v>11</v>
      </c>
      <c r="C4328" s="1" t="s">
        <v>8790</v>
      </c>
      <c r="D4328" s="1" t="s">
        <v>8791</v>
      </c>
      <c r="E4328" s="2">
        <v>45985</v>
      </c>
      <c r="F4328" s="1" t="s">
        <v>256</v>
      </c>
      <c r="G4328" s="1" t="s">
        <v>8792</v>
      </c>
      <c r="H4328" s="1" t="s">
        <v>8793</v>
      </c>
      <c r="I4328" s="1">
        <v>1</v>
      </c>
      <c r="J4328" s="3">
        <v>14870</v>
      </c>
      <c r="K4328" s="3">
        <v>12213</v>
      </c>
      <c r="L4328" s="1">
        <v>0</v>
      </c>
      <c r="M4328" s="4">
        <v>0</v>
      </c>
      <c r="N4328" s="3">
        <v>2657</v>
      </c>
      <c r="O4328" s="4">
        <v>0.17899999999999999</v>
      </c>
      <c r="P4328" s="1" t="s">
        <v>2723</v>
      </c>
    </row>
    <row r="4329" spans="1:16">
      <c r="A4329" s="1" t="s">
        <v>756</v>
      </c>
      <c r="B4329" s="1">
        <v>11</v>
      </c>
      <c r="C4329" s="1" t="s">
        <v>8794</v>
      </c>
      <c r="D4329" s="1" t="s">
        <v>670</v>
      </c>
      <c r="E4329" s="2">
        <v>45985</v>
      </c>
      <c r="F4329" s="1" t="s">
        <v>660</v>
      </c>
      <c r="G4329" s="1" t="s">
        <v>671</v>
      </c>
      <c r="H4329" s="1" t="s">
        <v>8795</v>
      </c>
      <c r="I4329" s="1">
        <v>1</v>
      </c>
      <c r="J4329" s="3">
        <v>14100</v>
      </c>
      <c r="K4329" s="3">
        <v>12006</v>
      </c>
      <c r="L4329" s="1">
        <v>0</v>
      </c>
      <c r="M4329" s="4">
        <v>0</v>
      </c>
      <c r="N4329" s="3">
        <v>2094</v>
      </c>
      <c r="O4329" s="4">
        <v>0.14899999999999999</v>
      </c>
      <c r="P4329" s="1" t="s">
        <v>2723</v>
      </c>
    </row>
    <row r="4330" spans="1:16">
      <c r="A4330" s="1" t="s">
        <v>756</v>
      </c>
      <c r="B4330" s="1">
        <v>11</v>
      </c>
      <c r="C4330" s="1" t="s">
        <v>8796</v>
      </c>
      <c r="D4330" s="1" t="s">
        <v>8797</v>
      </c>
      <c r="E4330" s="2">
        <v>45985</v>
      </c>
      <c r="F4330" s="1" t="s">
        <v>783</v>
      </c>
      <c r="G4330" s="1" t="s">
        <v>8798</v>
      </c>
      <c r="H4330" s="1" t="s">
        <v>8799</v>
      </c>
      <c r="I4330" s="1">
        <v>1</v>
      </c>
      <c r="J4330" s="3">
        <v>42210</v>
      </c>
      <c r="K4330" s="3">
        <v>39584</v>
      </c>
      <c r="L4330" s="1">
        <v>0</v>
      </c>
      <c r="M4330" s="4">
        <v>0</v>
      </c>
      <c r="N4330" s="3">
        <v>2626</v>
      </c>
      <c r="O4330" s="4">
        <v>6.2E-2</v>
      </c>
      <c r="P4330" s="1" t="s">
        <v>2723</v>
      </c>
    </row>
    <row r="4331" spans="1:16">
      <c r="A4331" s="1" t="s">
        <v>756</v>
      </c>
      <c r="B4331" s="1">
        <v>11</v>
      </c>
      <c r="C4331" s="1" t="s">
        <v>8800</v>
      </c>
      <c r="D4331" s="1" t="s">
        <v>8801</v>
      </c>
      <c r="E4331" s="2">
        <v>45985</v>
      </c>
      <c r="F4331" s="1" t="s">
        <v>4061</v>
      </c>
      <c r="G4331" s="1" t="s">
        <v>8802</v>
      </c>
      <c r="H4331" s="1" t="s">
        <v>8803</v>
      </c>
      <c r="I4331" s="1">
        <v>1</v>
      </c>
      <c r="J4331" s="3">
        <v>8980</v>
      </c>
      <c r="K4331" s="3">
        <v>8348</v>
      </c>
      <c r="L4331" s="1">
        <v>0</v>
      </c>
      <c r="M4331" s="4">
        <v>0</v>
      </c>
      <c r="N4331" s="1">
        <v>632</v>
      </c>
      <c r="O4331" s="4">
        <v>7.0000000000000007E-2</v>
      </c>
      <c r="P4331" s="1" t="s">
        <v>2723</v>
      </c>
    </row>
    <row r="4332" spans="1:16">
      <c r="A4332" s="1" t="s">
        <v>2179</v>
      </c>
      <c r="B4332" s="1">
        <v>11</v>
      </c>
      <c r="C4332" s="1">
        <v>2.02511222156191E+18</v>
      </c>
      <c r="D4332" s="1" t="s">
        <v>7594</v>
      </c>
      <c r="E4332" s="2">
        <v>45985</v>
      </c>
      <c r="F4332" s="1" t="s">
        <v>524</v>
      </c>
      <c r="G4332" s="1" t="s">
        <v>7595</v>
      </c>
      <c r="H4332" s="1" t="s">
        <v>7596</v>
      </c>
      <c r="I4332" s="1">
        <v>1</v>
      </c>
      <c r="J4332" s="3">
        <v>14400</v>
      </c>
      <c r="K4332" s="3">
        <v>13520</v>
      </c>
      <c r="L4332" s="1">
        <v>0</v>
      </c>
      <c r="M4332" s="4">
        <v>0</v>
      </c>
      <c r="N4332" s="1">
        <v>880</v>
      </c>
      <c r="O4332" s="4">
        <v>6.0999999999999999E-2</v>
      </c>
      <c r="P4332" s="1" t="s">
        <v>2723</v>
      </c>
    </row>
    <row r="4333" spans="1:16">
      <c r="A4333" s="1" t="s">
        <v>2179</v>
      </c>
      <c r="B4333" s="1">
        <v>11</v>
      </c>
      <c r="C4333" s="1">
        <v>2.02511222156191E+18</v>
      </c>
      <c r="D4333" s="1" t="s">
        <v>8804</v>
      </c>
      <c r="E4333" s="2">
        <v>45985</v>
      </c>
      <c r="F4333" s="1" t="s">
        <v>524</v>
      </c>
      <c r="G4333" s="1" t="s">
        <v>8805</v>
      </c>
      <c r="H4333" s="1" t="s">
        <v>8806</v>
      </c>
      <c r="I4333" s="1">
        <v>1</v>
      </c>
      <c r="J4333" s="3">
        <v>13500</v>
      </c>
      <c r="K4333" s="3">
        <v>12720</v>
      </c>
      <c r="L4333" s="1">
        <v>0</v>
      </c>
      <c r="M4333" s="4">
        <v>0</v>
      </c>
      <c r="N4333" s="1">
        <v>780</v>
      </c>
      <c r="O4333" s="4">
        <v>5.8000000000000003E-2</v>
      </c>
      <c r="P4333" s="1" t="s">
        <v>2723</v>
      </c>
    </row>
    <row r="4334" spans="1:16">
      <c r="A4334" s="1" t="s">
        <v>2193</v>
      </c>
      <c r="B4334" s="1">
        <v>11</v>
      </c>
      <c r="C4334" s="1">
        <v>30564467</v>
      </c>
      <c r="D4334" s="1" t="s">
        <v>8807</v>
      </c>
      <c r="E4334" s="2">
        <v>45985</v>
      </c>
      <c r="F4334" s="1" t="s">
        <v>96</v>
      </c>
      <c r="G4334" s="1" t="s">
        <v>8808</v>
      </c>
      <c r="H4334" s="1" t="s">
        <v>8809</v>
      </c>
      <c r="I4334" s="1">
        <v>3</v>
      </c>
      <c r="J4334" s="3">
        <v>24800</v>
      </c>
      <c r="K4334" s="3">
        <v>22782</v>
      </c>
      <c r="L4334" s="1">
        <v>0</v>
      </c>
      <c r="M4334" s="4">
        <v>0</v>
      </c>
      <c r="N4334" s="3">
        <v>2018</v>
      </c>
      <c r="O4334" s="4">
        <v>8.1000000000000003E-2</v>
      </c>
      <c r="P4334" s="1" t="s">
        <v>2723</v>
      </c>
    </row>
    <row r="4335" spans="1:16">
      <c r="A4335" s="1" t="s">
        <v>763</v>
      </c>
      <c r="B4335" s="1">
        <v>11</v>
      </c>
      <c r="C4335" s="1" t="s">
        <v>8810</v>
      </c>
      <c r="D4335" s="1" t="s">
        <v>5983</v>
      </c>
      <c r="E4335" s="2">
        <v>45985</v>
      </c>
      <c r="F4335" s="1" t="s">
        <v>1772</v>
      </c>
      <c r="G4335" s="1" t="s">
        <v>5984</v>
      </c>
      <c r="I4335" s="1">
        <v>1</v>
      </c>
      <c r="J4335" s="3">
        <v>30600</v>
      </c>
      <c r="K4335" s="3">
        <v>27746</v>
      </c>
      <c r="L4335" s="1">
        <v>0</v>
      </c>
      <c r="M4335" s="4">
        <v>0</v>
      </c>
      <c r="N4335" s="3">
        <v>2854</v>
      </c>
      <c r="O4335" s="4">
        <v>9.2999999999999999E-2</v>
      </c>
      <c r="P4335" s="1" t="s">
        <v>2723</v>
      </c>
    </row>
    <row r="4336" spans="1:16">
      <c r="A4336" s="1" t="s">
        <v>763</v>
      </c>
      <c r="B4336" s="1">
        <v>11</v>
      </c>
      <c r="C4336" s="1" t="s">
        <v>8811</v>
      </c>
      <c r="D4336" s="1" t="s">
        <v>6902</v>
      </c>
      <c r="E4336" s="2">
        <v>45985</v>
      </c>
      <c r="F4336" s="1" t="s">
        <v>500</v>
      </c>
      <c r="G4336" s="1" t="s">
        <v>6903</v>
      </c>
      <c r="I4336" s="1">
        <v>1</v>
      </c>
      <c r="J4336" s="3">
        <v>119170</v>
      </c>
      <c r="K4336" s="3">
        <v>108000</v>
      </c>
      <c r="L4336" s="1">
        <v>0</v>
      </c>
      <c r="M4336" s="4">
        <v>0</v>
      </c>
      <c r="N4336" s="3">
        <v>11170</v>
      </c>
      <c r="O4336" s="4">
        <v>9.4E-2</v>
      </c>
      <c r="P4336" s="1" t="s">
        <v>2723</v>
      </c>
    </row>
    <row r="4337" spans="1:16">
      <c r="A4337" s="1" t="s">
        <v>763</v>
      </c>
      <c r="B4337" s="1">
        <v>11</v>
      </c>
      <c r="C4337" s="1" t="s">
        <v>8812</v>
      </c>
      <c r="D4337" s="1" t="s">
        <v>4531</v>
      </c>
      <c r="E4337" s="2">
        <v>45985</v>
      </c>
      <c r="F4337" s="1" t="s">
        <v>38</v>
      </c>
      <c r="G4337" s="1" t="s">
        <v>4532</v>
      </c>
      <c r="I4337" s="1">
        <v>1</v>
      </c>
      <c r="J4337" s="3">
        <v>94180</v>
      </c>
      <c r="K4337" s="3">
        <v>85358</v>
      </c>
      <c r="L4337" s="1">
        <v>0</v>
      </c>
      <c r="M4337" s="4">
        <v>0</v>
      </c>
      <c r="N4337" s="3">
        <v>8822</v>
      </c>
      <c r="O4337" s="4">
        <v>9.4E-2</v>
      </c>
      <c r="P4337" s="1" t="s">
        <v>2723</v>
      </c>
    </row>
    <row r="4338" spans="1:16">
      <c r="A4338" s="1" t="s">
        <v>763</v>
      </c>
      <c r="B4338" s="1">
        <v>11</v>
      </c>
      <c r="C4338" s="1" t="s">
        <v>8813</v>
      </c>
      <c r="D4338" s="1" t="s">
        <v>2248</v>
      </c>
      <c r="E4338" s="2">
        <v>45985</v>
      </c>
      <c r="F4338" s="1" t="s">
        <v>2206</v>
      </c>
      <c r="G4338" s="1" t="s">
        <v>2249</v>
      </c>
      <c r="H4338" s="1" t="s">
        <v>2250</v>
      </c>
      <c r="I4338" s="1">
        <v>1</v>
      </c>
      <c r="J4338" s="3">
        <v>15640</v>
      </c>
      <c r="K4338" s="3">
        <v>14149</v>
      </c>
      <c r="L4338" s="1">
        <v>0</v>
      </c>
      <c r="M4338" s="4">
        <v>0</v>
      </c>
      <c r="N4338" s="3">
        <v>1491</v>
      </c>
      <c r="O4338" s="4">
        <v>9.5000000000000001E-2</v>
      </c>
      <c r="P4338" s="1" t="s">
        <v>2723</v>
      </c>
    </row>
    <row r="4339" spans="1:16">
      <c r="A4339" s="1" t="s">
        <v>763</v>
      </c>
      <c r="B4339" s="1">
        <v>11</v>
      </c>
      <c r="C4339" s="1" t="s">
        <v>8814</v>
      </c>
      <c r="D4339" s="1" t="s">
        <v>765</v>
      </c>
      <c r="E4339" s="2">
        <v>45985</v>
      </c>
      <c r="F4339" s="1" t="s">
        <v>256</v>
      </c>
      <c r="G4339" s="1" t="s">
        <v>766</v>
      </c>
      <c r="H4339" s="1" t="s">
        <v>767</v>
      </c>
      <c r="I4339" s="1">
        <v>1</v>
      </c>
      <c r="J4339" s="3">
        <v>8590</v>
      </c>
      <c r="K4339" s="3">
        <v>7785</v>
      </c>
      <c r="L4339" s="1">
        <v>0</v>
      </c>
      <c r="M4339" s="4">
        <v>0</v>
      </c>
      <c r="N4339" s="1">
        <v>805</v>
      </c>
      <c r="O4339" s="4">
        <v>9.4E-2</v>
      </c>
      <c r="P4339" s="1" t="s">
        <v>2723</v>
      </c>
    </row>
    <row r="4340" spans="1:16">
      <c r="A4340" s="1" t="s">
        <v>763</v>
      </c>
      <c r="B4340" s="1">
        <v>11</v>
      </c>
      <c r="C4340" s="1" t="s">
        <v>8815</v>
      </c>
      <c r="D4340" s="1" t="s">
        <v>8816</v>
      </c>
      <c r="E4340" s="2">
        <v>45985</v>
      </c>
      <c r="F4340" s="1" t="s">
        <v>187</v>
      </c>
      <c r="G4340" s="1" t="s">
        <v>8817</v>
      </c>
      <c r="I4340" s="1">
        <v>1</v>
      </c>
      <c r="J4340" s="3">
        <v>26180</v>
      </c>
      <c r="K4340" s="3">
        <v>22512</v>
      </c>
      <c r="L4340" s="1">
        <v>0</v>
      </c>
      <c r="M4340" s="4">
        <v>0</v>
      </c>
      <c r="N4340" s="3">
        <v>3668</v>
      </c>
      <c r="O4340" s="4">
        <v>0.14000000000000001</v>
      </c>
      <c r="P4340" s="1" t="s">
        <v>2723</v>
      </c>
    </row>
    <row r="4341" spans="1:16">
      <c r="A4341" s="1" t="s">
        <v>763</v>
      </c>
      <c r="B4341" s="1">
        <v>11</v>
      </c>
      <c r="C4341" s="1" t="s">
        <v>8815</v>
      </c>
      <c r="D4341" s="1" t="s">
        <v>5364</v>
      </c>
      <c r="E4341" s="2">
        <v>45985</v>
      </c>
      <c r="F4341" s="1" t="s">
        <v>187</v>
      </c>
      <c r="G4341" s="1" t="s">
        <v>5365</v>
      </c>
      <c r="I4341" s="1">
        <v>1</v>
      </c>
      <c r="J4341" s="3">
        <v>26180</v>
      </c>
      <c r="K4341" s="3">
        <v>23733</v>
      </c>
      <c r="L4341" s="1">
        <v>0</v>
      </c>
      <c r="M4341" s="4">
        <v>0</v>
      </c>
      <c r="N4341" s="3">
        <v>2447</v>
      </c>
      <c r="O4341" s="4">
        <v>9.2999999999999999E-2</v>
      </c>
      <c r="P4341" s="1" t="s">
        <v>2723</v>
      </c>
    </row>
    <row r="4342" spans="1:16">
      <c r="A4342" s="1" t="s">
        <v>763</v>
      </c>
      <c r="B4342" s="1">
        <v>11</v>
      </c>
      <c r="C4342" s="1" t="s">
        <v>8815</v>
      </c>
      <c r="D4342" s="1" t="s">
        <v>7578</v>
      </c>
      <c r="E4342" s="2">
        <v>45985</v>
      </c>
      <c r="F4342" s="1" t="s">
        <v>187</v>
      </c>
      <c r="G4342" s="1" t="s">
        <v>7579</v>
      </c>
      <c r="I4342" s="1">
        <v>1</v>
      </c>
      <c r="J4342" s="3">
        <v>26180</v>
      </c>
      <c r="K4342" s="3">
        <v>23733</v>
      </c>
      <c r="L4342" s="1">
        <v>0</v>
      </c>
      <c r="M4342" s="4">
        <v>0</v>
      </c>
      <c r="N4342" s="3">
        <v>2447</v>
      </c>
      <c r="O4342" s="4">
        <v>9.2999999999999999E-2</v>
      </c>
      <c r="P4342" s="1" t="s">
        <v>2723</v>
      </c>
    </row>
    <row r="4343" spans="1:16">
      <c r="A4343" s="1" t="s">
        <v>763</v>
      </c>
      <c r="B4343" s="1">
        <v>11</v>
      </c>
      <c r="C4343" s="1" t="s">
        <v>8818</v>
      </c>
      <c r="D4343" s="1" t="s">
        <v>2184</v>
      </c>
      <c r="E4343" s="2">
        <v>45985</v>
      </c>
      <c r="F4343" s="1" t="s">
        <v>500</v>
      </c>
      <c r="G4343" s="1" t="s">
        <v>2185</v>
      </c>
      <c r="H4343" s="1" t="s">
        <v>8819</v>
      </c>
      <c r="I4343" s="1">
        <v>1</v>
      </c>
      <c r="J4343" s="3">
        <v>108900</v>
      </c>
      <c r="K4343" s="3">
        <v>98000</v>
      </c>
      <c r="L4343" s="1">
        <v>0</v>
      </c>
      <c r="M4343" s="4">
        <v>0</v>
      </c>
      <c r="N4343" s="3">
        <v>10900</v>
      </c>
      <c r="O4343" s="4">
        <v>0.1</v>
      </c>
      <c r="P4343" s="1" t="s">
        <v>2723</v>
      </c>
    </row>
    <row r="4344" spans="1:16">
      <c r="A4344" s="1" t="s">
        <v>763</v>
      </c>
      <c r="B4344" s="1">
        <v>11</v>
      </c>
      <c r="C4344" s="1" t="s">
        <v>8820</v>
      </c>
      <c r="D4344" s="1" t="s">
        <v>2257</v>
      </c>
      <c r="E4344" s="2">
        <v>45985</v>
      </c>
      <c r="F4344" s="1" t="s">
        <v>2206</v>
      </c>
      <c r="G4344" s="1" t="s">
        <v>2258</v>
      </c>
      <c r="H4344" s="1" t="s">
        <v>2259</v>
      </c>
      <c r="I4344" s="1">
        <v>1</v>
      </c>
      <c r="J4344" s="3">
        <v>37320</v>
      </c>
      <c r="K4344" s="3">
        <v>33800</v>
      </c>
      <c r="L4344" s="1">
        <v>0</v>
      </c>
      <c r="M4344" s="4">
        <v>0</v>
      </c>
      <c r="N4344" s="3">
        <v>3520</v>
      </c>
      <c r="O4344" s="4">
        <v>9.4E-2</v>
      </c>
      <c r="P4344" s="1" t="s">
        <v>2723</v>
      </c>
    </row>
    <row r="4345" spans="1:16">
      <c r="A4345" s="1" t="s">
        <v>763</v>
      </c>
      <c r="B4345" s="1">
        <v>11</v>
      </c>
      <c r="C4345" s="1" t="s">
        <v>8821</v>
      </c>
      <c r="D4345" s="1" t="s">
        <v>2197</v>
      </c>
      <c r="E4345" s="2">
        <v>45985</v>
      </c>
      <c r="F4345" s="1" t="s">
        <v>96</v>
      </c>
      <c r="G4345" s="1" t="s">
        <v>2198</v>
      </c>
      <c r="H4345" s="1" t="s">
        <v>8822</v>
      </c>
      <c r="I4345" s="1">
        <v>1</v>
      </c>
      <c r="J4345" s="3">
        <v>13260</v>
      </c>
      <c r="K4345" s="3">
        <v>10285</v>
      </c>
      <c r="L4345" s="1">
        <v>0</v>
      </c>
      <c r="M4345" s="4">
        <v>0</v>
      </c>
      <c r="N4345" s="3">
        <v>2975</v>
      </c>
      <c r="O4345" s="4">
        <v>0.224</v>
      </c>
      <c r="P4345" s="1" t="s">
        <v>2723</v>
      </c>
    </row>
    <row r="4346" spans="1:16">
      <c r="A4346" s="1" t="s">
        <v>763</v>
      </c>
      <c r="B4346" s="1">
        <v>11</v>
      </c>
      <c r="C4346" s="1" t="s">
        <v>8823</v>
      </c>
      <c r="D4346" s="1" t="s">
        <v>2184</v>
      </c>
      <c r="E4346" s="2">
        <v>45985</v>
      </c>
      <c r="F4346" s="1" t="s">
        <v>500</v>
      </c>
      <c r="G4346" s="1" t="s">
        <v>2185</v>
      </c>
      <c r="H4346" s="1" t="s">
        <v>8819</v>
      </c>
      <c r="I4346" s="1">
        <v>1</v>
      </c>
      <c r="J4346" s="3">
        <v>108900</v>
      </c>
      <c r="K4346" s="3">
        <v>98000</v>
      </c>
      <c r="L4346" s="1">
        <v>0</v>
      </c>
      <c r="M4346" s="4">
        <v>0</v>
      </c>
      <c r="N4346" s="3">
        <v>10900</v>
      </c>
      <c r="O4346" s="4">
        <v>0.1</v>
      </c>
      <c r="P4346" s="1" t="s">
        <v>2723</v>
      </c>
    </row>
    <row r="4347" spans="1:16">
      <c r="A4347" s="1" t="s">
        <v>763</v>
      </c>
      <c r="B4347" s="1">
        <v>11</v>
      </c>
      <c r="C4347" s="1" t="s">
        <v>8824</v>
      </c>
      <c r="D4347" s="1" t="s">
        <v>680</v>
      </c>
      <c r="E4347" s="2">
        <v>45985</v>
      </c>
      <c r="F4347" s="1" t="s">
        <v>500</v>
      </c>
      <c r="G4347" s="1" t="s">
        <v>681</v>
      </c>
      <c r="H4347" s="1" t="s">
        <v>8825</v>
      </c>
      <c r="I4347" s="1">
        <v>1</v>
      </c>
      <c r="J4347" s="3">
        <v>112200</v>
      </c>
      <c r="K4347" s="3">
        <v>101000</v>
      </c>
      <c r="L4347" s="1">
        <v>0</v>
      </c>
      <c r="M4347" s="4">
        <v>0</v>
      </c>
      <c r="N4347" s="3">
        <v>11200</v>
      </c>
      <c r="O4347" s="4">
        <v>0.1</v>
      </c>
      <c r="P4347" s="1" t="s">
        <v>2723</v>
      </c>
    </row>
    <row r="4348" spans="1:16">
      <c r="A4348" s="1" t="s">
        <v>763</v>
      </c>
      <c r="B4348" s="1">
        <v>11</v>
      </c>
      <c r="C4348" s="1" t="s">
        <v>8826</v>
      </c>
      <c r="D4348" s="1" t="s">
        <v>5364</v>
      </c>
      <c r="E4348" s="2">
        <v>45985</v>
      </c>
      <c r="F4348" s="1" t="s">
        <v>187</v>
      </c>
      <c r="G4348" s="1" t="s">
        <v>5365</v>
      </c>
      <c r="I4348" s="1">
        <v>1</v>
      </c>
      <c r="J4348" s="3">
        <v>26180</v>
      </c>
      <c r="K4348" s="3">
        <v>23733</v>
      </c>
      <c r="L4348" s="1">
        <v>0</v>
      </c>
      <c r="M4348" s="4">
        <v>0</v>
      </c>
      <c r="N4348" s="3">
        <v>2447</v>
      </c>
      <c r="O4348" s="4">
        <v>9.2999999999999999E-2</v>
      </c>
      <c r="P4348" s="1" t="s">
        <v>2723</v>
      </c>
    </row>
    <row r="4349" spans="1:16">
      <c r="A4349" s="1" t="s">
        <v>763</v>
      </c>
      <c r="B4349" s="1">
        <v>11</v>
      </c>
      <c r="C4349" s="1" t="s">
        <v>8827</v>
      </c>
      <c r="D4349" s="1" t="s">
        <v>8828</v>
      </c>
      <c r="E4349" s="2">
        <v>45985</v>
      </c>
      <c r="F4349" s="1" t="s">
        <v>53</v>
      </c>
      <c r="G4349" s="1" t="s">
        <v>8829</v>
      </c>
      <c r="H4349" s="1" t="s">
        <v>8830</v>
      </c>
      <c r="I4349" s="1">
        <v>1</v>
      </c>
      <c r="J4349" s="3">
        <v>12240</v>
      </c>
      <c r="K4349" s="3">
        <v>11096</v>
      </c>
      <c r="L4349" s="1">
        <v>0</v>
      </c>
      <c r="M4349" s="4">
        <v>0</v>
      </c>
      <c r="N4349" s="3">
        <v>1144</v>
      </c>
      <c r="O4349" s="4">
        <v>9.2999999999999999E-2</v>
      </c>
      <c r="P4349" s="1" t="s">
        <v>2723</v>
      </c>
    </row>
    <row r="4350" spans="1:16">
      <c r="A4350" s="1" t="s">
        <v>763</v>
      </c>
      <c r="B4350" s="1">
        <v>11</v>
      </c>
      <c r="C4350" s="1" t="s">
        <v>8831</v>
      </c>
      <c r="D4350" s="1" t="s">
        <v>5364</v>
      </c>
      <c r="E4350" s="2">
        <v>45985</v>
      </c>
      <c r="F4350" s="1" t="s">
        <v>187</v>
      </c>
      <c r="G4350" s="1" t="s">
        <v>5365</v>
      </c>
      <c r="I4350" s="1">
        <v>1</v>
      </c>
      <c r="J4350" s="3">
        <v>26180</v>
      </c>
      <c r="K4350" s="3">
        <v>23733</v>
      </c>
      <c r="L4350" s="1">
        <v>0</v>
      </c>
      <c r="M4350" s="4">
        <v>0</v>
      </c>
      <c r="N4350" s="3">
        <v>2447</v>
      </c>
      <c r="O4350" s="4">
        <v>9.2999999999999999E-2</v>
      </c>
      <c r="P4350" s="1" t="s">
        <v>2723</v>
      </c>
    </row>
    <row r="4351" spans="1:16">
      <c r="A4351" s="1" t="s">
        <v>763</v>
      </c>
      <c r="B4351" s="1">
        <v>11</v>
      </c>
      <c r="C4351" s="1" t="s">
        <v>8832</v>
      </c>
      <c r="D4351" s="1" t="s">
        <v>8833</v>
      </c>
      <c r="E4351" s="2">
        <v>45985</v>
      </c>
      <c r="F4351" s="1" t="s">
        <v>256</v>
      </c>
      <c r="G4351" s="1" t="s">
        <v>8834</v>
      </c>
      <c r="H4351" s="1" t="s">
        <v>8835</v>
      </c>
      <c r="I4351" s="1">
        <v>1</v>
      </c>
      <c r="J4351" s="3">
        <v>14540</v>
      </c>
      <c r="K4351" s="3">
        <v>13226</v>
      </c>
      <c r="L4351" s="1">
        <v>0</v>
      </c>
      <c r="M4351" s="4">
        <v>0</v>
      </c>
      <c r="N4351" s="3">
        <v>1314</v>
      </c>
      <c r="O4351" s="4">
        <v>0.09</v>
      </c>
      <c r="P4351" s="1" t="s">
        <v>2723</v>
      </c>
    </row>
    <row r="4352" spans="1:16">
      <c r="A4352" s="1" t="s">
        <v>763</v>
      </c>
      <c r="B4352" s="1">
        <v>11</v>
      </c>
      <c r="C4352" s="1" t="s">
        <v>8836</v>
      </c>
      <c r="D4352" s="1" t="s">
        <v>2663</v>
      </c>
      <c r="E4352" s="2">
        <v>45985</v>
      </c>
      <c r="F4352" s="1" t="s">
        <v>151</v>
      </c>
      <c r="G4352" s="1" t="s">
        <v>2664</v>
      </c>
      <c r="I4352" s="1">
        <v>1</v>
      </c>
      <c r="J4352" s="3">
        <v>15560</v>
      </c>
      <c r="K4352" s="3">
        <v>14070</v>
      </c>
      <c r="L4352" s="1">
        <v>0</v>
      </c>
      <c r="M4352" s="4">
        <v>0</v>
      </c>
      <c r="N4352" s="3">
        <v>1490</v>
      </c>
      <c r="O4352" s="4">
        <v>9.6000000000000002E-2</v>
      </c>
      <c r="P4352" s="1" t="s">
        <v>2723</v>
      </c>
    </row>
    <row r="4353" spans="1:16">
      <c r="A4353" s="1" t="s">
        <v>763</v>
      </c>
      <c r="B4353" s="1">
        <v>11</v>
      </c>
      <c r="C4353" s="1" t="s">
        <v>8837</v>
      </c>
      <c r="D4353" s="1" t="s">
        <v>680</v>
      </c>
      <c r="E4353" s="2">
        <v>45985</v>
      </c>
      <c r="F4353" s="1" t="s">
        <v>500</v>
      </c>
      <c r="G4353" s="1" t="s">
        <v>681</v>
      </c>
      <c r="H4353" s="1" t="s">
        <v>8825</v>
      </c>
      <c r="I4353" s="1">
        <v>1</v>
      </c>
      <c r="J4353" s="3">
        <v>112200</v>
      </c>
      <c r="K4353" s="3">
        <v>101000</v>
      </c>
      <c r="L4353" s="1">
        <v>0</v>
      </c>
      <c r="M4353" s="4">
        <v>0</v>
      </c>
      <c r="N4353" s="3">
        <v>11200</v>
      </c>
      <c r="O4353" s="4">
        <v>0.1</v>
      </c>
      <c r="P4353" s="1" t="s">
        <v>2723</v>
      </c>
    </row>
    <row r="4354" spans="1:16">
      <c r="A4354" s="1" t="s">
        <v>763</v>
      </c>
      <c r="B4354" s="1">
        <v>11</v>
      </c>
      <c r="C4354" s="1" t="s">
        <v>8838</v>
      </c>
      <c r="D4354" s="1" t="s">
        <v>4588</v>
      </c>
      <c r="E4354" s="2">
        <v>45985</v>
      </c>
      <c r="F4354" s="1" t="s">
        <v>53</v>
      </c>
      <c r="G4354" s="1" t="s">
        <v>4589</v>
      </c>
      <c r="H4354" s="1" t="s">
        <v>4590</v>
      </c>
      <c r="I4354" s="1">
        <v>1</v>
      </c>
      <c r="J4354" s="3">
        <v>16920</v>
      </c>
      <c r="K4354" s="3">
        <v>15396</v>
      </c>
      <c r="L4354" s="1">
        <v>0</v>
      </c>
      <c r="M4354" s="4">
        <v>0</v>
      </c>
      <c r="N4354" s="3">
        <v>1524</v>
      </c>
      <c r="O4354" s="4">
        <v>0.09</v>
      </c>
      <c r="P4354" s="1" t="s">
        <v>2723</v>
      </c>
    </row>
    <row r="4355" spans="1:16">
      <c r="A4355" s="1" t="s">
        <v>763</v>
      </c>
      <c r="B4355" s="1">
        <v>11</v>
      </c>
      <c r="C4355" s="1" t="s">
        <v>8839</v>
      </c>
      <c r="D4355" s="1" t="s">
        <v>8840</v>
      </c>
      <c r="E4355" s="2">
        <v>45985</v>
      </c>
      <c r="F4355" s="1" t="s">
        <v>174</v>
      </c>
      <c r="G4355" s="1" t="s">
        <v>8841</v>
      </c>
      <c r="H4355" s="1" t="s">
        <v>8842</v>
      </c>
      <c r="I4355" s="1">
        <v>1</v>
      </c>
      <c r="J4355" s="3">
        <v>50750</v>
      </c>
      <c r="K4355" s="3">
        <v>45962</v>
      </c>
      <c r="L4355" s="1">
        <v>0</v>
      </c>
      <c r="M4355" s="4">
        <v>0</v>
      </c>
      <c r="N4355" s="3">
        <v>4788</v>
      </c>
      <c r="O4355" s="4">
        <v>9.4E-2</v>
      </c>
      <c r="P4355" s="1" t="s">
        <v>2723</v>
      </c>
    </row>
    <row r="4356" spans="1:16">
      <c r="A4356" s="1" t="s">
        <v>763</v>
      </c>
      <c r="B4356" s="1">
        <v>11</v>
      </c>
      <c r="C4356" s="1" t="s">
        <v>8843</v>
      </c>
      <c r="D4356" s="1" t="s">
        <v>2235</v>
      </c>
      <c r="E4356" s="2">
        <v>45985</v>
      </c>
      <c r="F4356" s="1" t="s">
        <v>2188</v>
      </c>
      <c r="G4356" s="1" t="s">
        <v>2236</v>
      </c>
      <c r="H4356" s="1" t="s">
        <v>2237</v>
      </c>
      <c r="I4356" s="1">
        <v>1</v>
      </c>
      <c r="J4356" s="3">
        <v>14700</v>
      </c>
      <c r="K4356" s="3">
        <v>13700</v>
      </c>
      <c r="L4356" s="1">
        <v>0</v>
      </c>
      <c r="M4356" s="4">
        <v>0</v>
      </c>
      <c r="N4356" s="3">
        <v>1000</v>
      </c>
      <c r="O4356" s="4">
        <v>6.8000000000000005E-2</v>
      </c>
      <c r="P4356" s="1" t="s">
        <v>2723</v>
      </c>
    </row>
    <row r="4357" spans="1:16">
      <c r="A4357" s="1" t="s">
        <v>763</v>
      </c>
      <c r="B4357" s="1">
        <v>11</v>
      </c>
      <c r="C4357" s="1" t="s">
        <v>8844</v>
      </c>
      <c r="D4357" s="1" t="s">
        <v>2704</v>
      </c>
      <c r="E4357" s="2">
        <v>45985</v>
      </c>
      <c r="F4357" s="1" t="s">
        <v>48</v>
      </c>
      <c r="G4357" s="1" t="s">
        <v>2705</v>
      </c>
      <c r="H4357" s="1" t="s">
        <v>2706</v>
      </c>
      <c r="I4357" s="1">
        <v>1</v>
      </c>
      <c r="J4357" s="3">
        <v>9900</v>
      </c>
      <c r="K4357" s="3">
        <v>6817</v>
      </c>
      <c r="L4357" s="1">
        <v>0</v>
      </c>
      <c r="M4357" s="4">
        <v>0</v>
      </c>
      <c r="N4357" s="3">
        <v>3083</v>
      </c>
      <c r="O4357" s="4">
        <v>0.311</v>
      </c>
      <c r="P4357" s="1" t="s">
        <v>2723</v>
      </c>
    </row>
    <row r="4358" spans="1:16">
      <c r="A4358" s="1" t="s">
        <v>626</v>
      </c>
      <c r="B4358" s="1">
        <v>11</v>
      </c>
      <c r="C4358" s="1">
        <v>69399344</v>
      </c>
      <c r="D4358" s="1" t="s">
        <v>627</v>
      </c>
      <c r="E4358" s="2">
        <v>45985</v>
      </c>
      <c r="F4358" s="1" t="s">
        <v>604</v>
      </c>
      <c r="G4358" s="1" t="s">
        <v>628</v>
      </c>
      <c r="H4358" s="1" t="s">
        <v>629</v>
      </c>
      <c r="I4358" s="1">
        <v>1</v>
      </c>
      <c r="J4358" s="3">
        <v>8000</v>
      </c>
      <c r="K4358" s="3">
        <v>1800</v>
      </c>
      <c r="L4358" s="1">
        <v>880</v>
      </c>
      <c r="M4358" s="4">
        <v>0.11</v>
      </c>
      <c r="N4358" s="3">
        <v>5320</v>
      </c>
      <c r="O4358" s="4">
        <v>0.66500000000000004</v>
      </c>
      <c r="P4358" s="1" t="s">
        <v>2721</v>
      </c>
    </row>
    <row r="4359" spans="1:16">
      <c r="A4359" s="1" t="s">
        <v>626</v>
      </c>
      <c r="B4359" s="1">
        <v>11</v>
      </c>
      <c r="C4359" s="1">
        <v>69394200</v>
      </c>
      <c r="D4359" s="1" t="s">
        <v>627</v>
      </c>
      <c r="E4359" s="2">
        <v>45985</v>
      </c>
      <c r="F4359" s="1" t="s">
        <v>604</v>
      </c>
      <c r="G4359" s="1" t="s">
        <v>628</v>
      </c>
      <c r="H4359" s="1" t="s">
        <v>2271</v>
      </c>
      <c r="I4359" s="1">
        <v>2</v>
      </c>
      <c r="J4359" s="3">
        <v>12800</v>
      </c>
      <c r="K4359" s="3">
        <v>3600</v>
      </c>
      <c r="L4359" s="3">
        <v>1408</v>
      </c>
      <c r="M4359" s="4">
        <v>0.11</v>
      </c>
      <c r="N4359" s="3">
        <v>7792</v>
      </c>
      <c r="O4359" s="4">
        <v>0.60899999999999999</v>
      </c>
      <c r="P4359" s="1" t="s">
        <v>2721</v>
      </c>
    </row>
    <row r="4360" spans="1:16">
      <c r="A4360" s="1" t="s">
        <v>15</v>
      </c>
      <c r="B4360" s="1">
        <v>11</v>
      </c>
      <c r="C4360" s="1" t="s">
        <v>8845</v>
      </c>
      <c r="D4360" s="1" t="s">
        <v>72</v>
      </c>
      <c r="E4360" s="2">
        <v>45986</v>
      </c>
      <c r="F4360" s="1" t="s">
        <v>63</v>
      </c>
      <c r="G4360" s="1" t="s">
        <v>73</v>
      </c>
      <c r="H4360" s="1" t="s">
        <v>74</v>
      </c>
      <c r="I4360" s="1">
        <v>1</v>
      </c>
      <c r="J4360" s="3">
        <v>10456</v>
      </c>
      <c r="K4360" s="3">
        <v>9978</v>
      </c>
      <c r="L4360" s="1">
        <v>0</v>
      </c>
      <c r="M4360" s="4">
        <v>0</v>
      </c>
      <c r="N4360" s="1">
        <v>478</v>
      </c>
      <c r="O4360" s="4">
        <v>4.5999999999999999E-2</v>
      </c>
      <c r="P4360" s="1" t="s">
        <v>2721</v>
      </c>
    </row>
    <row r="4361" spans="1:16">
      <c r="A4361" s="1" t="s">
        <v>15</v>
      </c>
      <c r="B4361" s="1">
        <v>11</v>
      </c>
      <c r="C4361" s="1" t="s">
        <v>8846</v>
      </c>
      <c r="D4361" s="1" t="s">
        <v>960</v>
      </c>
      <c r="E4361" s="2">
        <v>45986</v>
      </c>
      <c r="F4361" s="1" t="s">
        <v>407</v>
      </c>
      <c r="G4361" s="1" t="s">
        <v>961</v>
      </c>
      <c r="H4361" s="1" t="s">
        <v>2367</v>
      </c>
      <c r="I4361" s="1">
        <v>1</v>
      </c>
      <c r="J4361" s="3">
        <v>34405</v>
      </c>
      <c r="K4361" s="3">
        <v>32830</v>
      </c>
      <c r="L4361" s="1">
        <v>0</v>
      </c>
      <c r="M4361" s="4">
        <v>0</v>
      </c>
      <c r="N4361" s="3">
        <v>1575</v>
      </c>
      <c r="O4361" s="4">
        <v>4.5999999999999999E-2</v>
      </c>
      <c r="P4361" s="1" t="s">
        <v>2721</v>
      </c>
    </row>
    <row r="4362" spans="1:16">
      <c r="A4362" s="1" t="s">
        <v>15</v>
      </c>
      <c r="B4362" s="1">
        <v>11</v>
      </c>
      <c r="C4362" s="1" t="s">
        <v>8847</v>
      </c>
      <c r="D4362" s="1" t="s">
        <v>341</v>
      </c>
      <c r="E4362" s="2">
        <v>45986</v>
      </c>
      <c r="F4362" s="1" t="s">
        <v>53</v>
      </c>
      <c r="G4362" s="1" t="s">
        <v>342</v>
      </c>
      <c r="H4362" s="1" t="s">
        <v>343</v>
      </c>
      <c r="I4362" s="1">
        <v>1</v>
      </c>
      <c r="J4362" s="3">
        <v>16135</v>
      </c>
      <c r="K4362" s="3">
        <v>15396</v>
      </c>
      <c r="L4362" s="1">
        <v>0</v>
      </c>
      <c r="M4362" s="4">
        <v>0</v>
      </c>
      <c r="N4362" s="1">
        <v>739</v>
      </c>
      <c r="O4362" s="4">
        <v>4.5999999999999999E-2</v>
      </c>
      <c r="P4362" s="1" t="s">
        <v>2721</v>
      </c>
    </row>
    <row r="4363" spans="1:16">
      <c r="A4363" s="1" t="s">
        <v>15</v>
      </c>
      <c r="B4363" s="1">
        <v>11</v>
      </c>
      <c r="C4363" s="1" t="s">
        <v>8848</v>
      </c>
      <c r="D4363" s="1" t="s">
        <v>8849</v>
      </c>
      <c r="E4363" s="2">
        <v>45986</v>
      </c>
      <c r="F4363" s="1" t="s">
        <v>8850</v>
      </c>
      <c r="G4363" s="1" t="s">
        <v>8851</v>
      </c>
      <c r="H4363" s="1" t="s">
        <v>8852</v>
      </c>
      <c r="I4363" s="1">
        <v>1</v>
      </c>
      <c r="J4363" s="3">
        <v>51116</v>
      </c>
      <c r="K4363" s="3">
        <v>48776</v>
      </c>
      <c r="L4363" s="1">
        <v>0</v>
      </c>
      <c r="M4363" s="4">
        <v>0</v>
      </c>
      <c r="N4363" s="3">
        <v>2340</v>
      </c>
      <c r="O4363" s="4">
        <v>4.5999999999999999E-2</v>
      </c>
      <c r="P4363" s="1" t="s">
        <v>2721</v>
      </c>
    </row>
    <row r="4364" spans="1:16">
      <c r="A4364" s="1" t="s">
        <v>15</v>
      </c>
      <c r="B4364" s="1">
        <v>11</v>
      </c>
      <c r="C4364" s="1" t="s">
        <v>8853</v>
      </c>
      <c r="D4364" s="1" t="s">
        <v>228</v>
      </c>
      <c r="E4364" s="2">
        <v>45986</v>
      </c>
      <c r="F4364" s="1" t="s">
        <v>53</v>
      </c>
      <c r="G4364" s="1" t="s">
        <v>229</v>
      </c>
      <c r="H4364" s="1" t="s">
        <v>230</v>
      </c>
      <c r="I4364" s="1">
        <v>1</v>
      </c>
      <c r="J4364" s="3">
        <v>9825</v>
      </c>
      <c r="K4364" s="3">
        <v>9375</v>
      </c>
      <c r="L4364" s="1">
        <v>0</v>
      </c>
      <c r="M4364" s="4">
        <v>0</v>
      </c>
      <c r="N4364" s="1">
        <v>450</v>
      </c>
      <c r="O4364" s="4">
        <v>4.5999999999999999E-2</v>
      </c>
      <c r="P4364" s="1" t="s">
        <v>2721</v>
      </c>
    </row>
    <row r="4365" spans="1:16">
      <c r="A4365" s="1" t="s">
        <v>15</v>
      </c>
      <c r="B4365" s="1">
        <v>11</v>
      </c>
      <c r="C4365" s="1" t="s">
        <v>8854</v>
      </c>
      <c r="D4365" s="1" t="s">
        <v>52</v>
      </c>
      <c r="E4365" s="2">
        <v>45986</v>
      </c>
      <c r="F4365" s="1" t="s">
        <v>53</v>
      </c>
      <c r="G4365" s="1" t="s">
        <v>54</v>
      </c>
      <c r="H4365" s="1" t="s">
        <v>55</v>
      </c>
      <c r="I4365" s="1">
        <v>1</v>
      </c>
      <c r="J4365" s="3">
        <v>16135</v>
      </c>
      <c r="K4365" s="3">
        <v>15396</v>
      </c>
      <c r="L4365" s="1">
        <v>0</v>
      </c>
      <c r="M4365" s="4">
        <v>0</v>
      </c>
      <c r="N4365" s="1">
        <v>739</v>
      </c>
      <c r="O4365" s="4">
        <v>4.5999999999999999E-2</v>
      </c>
      <c r="P4365" s="1" t="s">
        <v>2721</v>
      </c>
    </row>
    <row r="4366" spans="1:16">
      <c r="A4366" s="1" t="s">
        <v>15</v>
      </c>
      <c r="B4366" s="1">
        <v>11</v>
      </c>
      <c r="C4366" s="1" t="s">
        <v>8855</v>
      </c>
      <c r="D4366" s="1" t="s">
        <v>538</v>
      </c>
      <c r="E4366" s="2">
        <v>45986</v>
      </c>
      <c r="F4366" s="1" t="s">
        <v>53</v>
      </c>
      <c r="G4366" s="1" t="s">
        <v>539</v>
      </c>
      <c r="H4366" s="1" t="s">
        <v>540</v>
      </c>
      <c r="I4366" s="1">
        <v>1</v>
      </c>
      <c r="J4366" s="3">
        <v>14332</v>
      </c>
      <c r="K4366" s="3">
        <v>13676</v>
      </c>
      <c r="L4366" s="1">
        <v>0</v>
      </c>
      <c r="M4366" s="4">
        <v>0</v>
      </c>
      <c r="N4366" s="1">
        <v>656</v>
      </c>
      <c r="O4366" s="4">
        <v>4.5999999999999999E-2</v>
      </c>
      <c r="P4366" s="1" t="s">
        <v>2721</v>
      </c>
    </row>
    <row r="4367" spans="1:16">
      <c r="A4367" s="1" t="s">
        <v>15</v>
      </c>
      <c r="B4367" s="1">
        <v>11</v>
      </c>
      <c r="C4367" s="1" t="s">
        <v>8856</v>
      </c>
      <c r="D4367" s="1" t="s">
        <v>8857</v>
      </c>
      <c r="E4367" s="2">
        <v>45986</v>
      </c>
      <c r="F4367" s="1" t="s">
        <v>96</v>
      </c>
      <c r="G4367" s="1" t="s">
        <v>8858</v>
      </c>
      <c r="H4367" s="1" t="s">
        <v>5314</v>
      </c>
      <c r="I4367" s="1">
        <v>1</v>
      </c>
      <c r="J4367" s="3">
        <v>8953</v>
      </c>
      <c r="K4367" s="3">
        <v>8543</v>
      </c>
      <c r="L4367" s="1">
        <v>0</v>
      </c>
      <c r="M4367" s="4">
        <v>0</v>
      </c>
      <c r="N4367" s="1">
        <v>410</v>
      </c>
      <c r="O4367" s="4">
        <v>4.5999999999999999E-2</v>
      </c>
      <c r="P4367" s="1" t="s">
        <v>2721</v>
      </c>
    </row>
    <row r="4368" spans="1:16">
      <c r="A4368" s="1" t="s">
        <v>15</v>
      </c>
      <c r="B4368" s="1">
        <v>11</v>
      </c>
      <c r="C4368" s="1" t="s">
        <v>8859</v>
      </c>
      <c r="D4368" s="1" t="s">
        <v>1467</v>
      </c>
      <c r="E4368" s="2">
        <v>45986</v>
      </c>
      <c r="F4368" s="1" t="s">
        <v>126</v>
      </c>
      <c r="G4368" s="1" t="s">
        <v>1468</v>
      </c>
      <c r="H4368" s="1" t="s">
        <v>1469</v>
      </c>
      <c r="I4368" s="1">
        <v>1</v>
      </c>
      <c r="J4368" s="3">
        <v>17989</v>
      </c>
      <c r="K4368" s="3">
        <v>17165</v>
      </c>
      <c r="L4368" s="1">
        <v>0</v>
      </c>
      <c r="M4368" s="4">
        <v>0</v>
      </c>
      <c r="N4368" s="1">
        <v>824</v>
      </c>
      <c r="O4368" s="4">
        <v>4.5999999999999999E-2</v>
      </c>
      <c r="P4368" s="1" t="s">
        <v>2721</v>
      </c>
    </row>
    <row r="4369" spans="1:16">
      <c r="A4369" s="1" t="s">
        <v>15</v>
      </c>
      <c r="B4369" s="1">
        <v>11</v>
      </c>
      <c r="C4369" s="1" t="s">
        <v>8860</v>
      </c>
      <c r="D4369" s="1" t="s">
        <v>17</v>
      </c>
      <c r="E4369" s="2">
        <v>45986</v>
      </c>
      <c r="F4369" s="1" t="s">
        <v>18</v>
      </c>
      <c r="G4369" s="1" t="s">
        <v>19</v>
      </c>
      <c r="H4369" s="1" t="s">
        <v>20</v>
      </c>
      <c r="I4369" s="1">
        <v>1</v>
      </c>
      <c r="J4369" s="3">
        <v>7166</v>
      </c>
      <c r="K4369" s="3">
        <v>6838</v>
      </c>
      <c r="L4369" s="1">
        <v>0</v>
      </c>
      <c r="M4369" s="4">
        <v>0</v>
      </c>
      <c r="N4369" s="1">
        <v>328</v>
      </c>
      <c r="O4369" s="4">
        <v>4.5999999999999999E-2</v>
      </c>
      <c r="P4369" s="1" t="s">
        <v>2721</v>
      </c>
    </row>
    <row r="4370" spans="1:16">
      <c r="A4370" s="1" t="s">
        <v>15</v>
      </c>
      <c r="B4370" s="1">
        <v>11</v>
      </c>
      <c r="C4370" s="1" t="s">
        <v>8861</v>
      </c>
      <c r="D4370" s="1" t="s">
        <v>1410</v>
      </c>
      <c r="E4370" s="2">
        <v>45986</v>
      </c>
      <c r="F4370" s="1" t="s">
        <v>1411</v>
      </c>
      <c r="G4370" s="1" t="s">
        <v>1412</v>
      </c>
      <c r="H4370" s="1" t="s">
        <v>3011</v>
      </c>
      <c r="I4370" s="1">
        <v>1</v>
      </c>
      <c r="J4370" s="3">
        <v>26186</v>
      </c>
      <c r="K4370" s="3">
        <v>24987</v>
      </c>
      <c r="L4370" s="1">
        <v>0</v>
      </c>
      <c r="M4370" s="4">
        <v>0</v>
      </c>
      <c r="N4370" s="3">
        <v>1199</v>
      </c>
      <c r="O4370" s="4">
        <v>4.5999999999999999E-2</v>
      </c>
      <c r="P4370" s="1" t="s">
        <v>2721</v>
      </c>
    </row>
    <row r="4371" spans="1:16">
      <c r="A4371" s="1" t="s">
        <v>15</v>
      </c>
      <c r="B4371" s="1">
        <v>11</v>
      </c>
      <c r="C4371" s="1" t="s">
        <v>8862</v>
      </c>
      <c r="D4371" s="1" t="s">
        <v>818</v>
      </c>
      <c r="E4371" s="2">
        <v>45986</v>
      </c>
      <c r="F4371" s="1" t="s">
        <v>235</v>
      </c>
      <c r="G4371" s="1" t="s">
        <v>819</v>
      </c>
      <c r="H4371" s="1" t="s">
        <v>1187</v>
      </c>
      <c r="I4371" s="1">
        <v>1</v>
      </c>
      <c r="J4371" s="3">
        <v>13565</v>
      </c>
      <c r="K4371" s="3">
        <v>12944</v>
      </c>
      <c r="L4371" s="1">
        <v>0</v>
      </c>
      <c r="M4371" s="4">
        <v>0</v>
      </c>
      <c r="N4371" s="1">
        <v>621</v>
      </c>
      <c r="O4371" s="4">
        <v>4.5999999999999999E-2</v>
      </c>
      <c r="P4371" s="1" t="s">
        <v>2721</v>
      </c>
    </row>
    <row r="4372" spans="1:16">
      <c r="A4372" s="1" t="s">
        <v>15</v>
      </c>
      <c r="B4372" s="1">
        <v>11</v>
      </c>
      <c r="C4372" s="1" t="s">
        <v>8863</v>
      </c>
      <c r="D4372" s="1" t="s">
        <v>3328</v>
      </c>
      <c r="E4372" s="2">
        <v>45986</v>
      </c>
      <c r="F4372" s="1" t="s">
        <v>488</v>
      </c>
      <c r="G4372" s="1" t="s">
        <v>3329</v>
      </c>
      <c r="H4372" s="1" t="s">
        <v>3330</v>
      </c>
      <c r="I4372" s="1">
        <v>1</v>
      </c>
      <c r="J4372" s="3">
        <v>17694</v>
      </c>
      <c r="K4372" s="3">
        <v>16884</v>
      </c>
      <c r="L4372" s="1">
        <v>0</v>
      </c>
      <c r="M4372" s="4">
        <v>0</v>
      </c>
      <c r="N4372" s="1">
        <v>810</v>
      </c>
      <c r="O4372" s="4">
        <v>4.5999999999999999E-2</v>
      </c>
      <c r="P4372" s="1" t="s">
        <v>2721</v>
      </c>
    </row>
    <row r="4373" spans="1:16">
      <c r="A4373" s="1" t="s">
        <v>15</v>
      </c>
      <c r="B4373" s="1">
        <v>11</v>
      </c>
      <c r="C4373" s="1" t="s">
        <v>8864</v>
      </c>
      <c r="D4373" s="1" t="s">
        <v>3337</v>
      </c>
      <c r="E4373" s="2">
        <v>45986</v>
      </c>
      <c r="F4373" s="1" t="s">
        <v>3338</v>
      </c>
      <c r="G4373" s="1" t="s">
        <v>3339</v>
      </c>
      <c r="H4373" s="1" t="s">
        <v>3340</v>
      </c>
      <c r="I4373" s="1">
        <v>1</v>
      </c>
      <c r="J4373" s="3">
        <v>29392</v>
      </c>
      <c r="K4373" s="3">
        <v>28046</v>
      </c>
      <c r="L4373" s="1">
        <v>0</v>
      </c>
      <c r="M4373" s="4">
        <v>0</v>
      </c>
      <c r="N4373" s="3">
        <v>1346</v>
      </c>
      <c r="O4373" s="4">
        <v>4.5999999999999999E-2</v>
      </c>
      <c r="P4373" s="1" t="s">
        <v>2721</v>
      </c>
    </row>
    <row r="4374" spans="1:16">
      <c r="A4374" s="1" t="s">
        <v>15</v>
      </c>
      <c r="B4374" s="1">
        <v>11</v>
      </c>
      <c r="C4374" s="1" t="s">
        <v>8865</v>
      </c>
      <c r="D4374" s="1" t="s">
        <v>8866</v>
      </c>
      <c r="E4374" s="2">
        <v>45986</v>
      </c>
      <c r="F4374" s="1" t="s">
        <v>1255</v>
      </c>
      <c r="G4374" s="1" t="s">
        <v>8867</v>
      </c>
      <c r="H4374" s="1" t="s">
        <v>8868</v>
      </c>
      <c r="I4374" s="1">
        <v>1</v>
      </c>
      <c r="J4374" s="3">
        <v>14548</v>
      </c>
      <c r="K4374" s="3">
        <v>13882</v>
      </c>
      <c r="L4374" s="1">
        <v>0</v>
      </c>
      <c r="M4374" s="4">
        <v>0</v>
      </c>
      <c r="N4374" s="1">
        <v>666</v>
      </c>
      <c r="O4374" s="4">
        <v>4.5999999999999999E-2</v>
      </c>
      <c r="P4374" s="1" t="s">
        <v>2721</v>
      </c>
    </row>
    <row r="4375" spans="1:16">
      <c r="A4375" s="1" t="s">
        <v>15</v>
      </c>
      <c r="B4375" s="1">
        <v>11</v>
      </c>
      <c r="C4375" s="1" t="s">
        <v>8869</v>
      </c>
      <c r="D4375" s="1" t="s">
        <v>104</v>
      </c>
      <c r="E4375" s="2">
        <v>45986</v>
      </c>
      <c r="F4375" s="1" t="s">
        <v>96</v>
      </c>
      <c r="G4375" s="1" t="s">
        <v>105</v>
      </c>
      <c r="H4375" s="1" t="s">
        <v>106</v>
      </c>
      <c r="I4375" s="1">
        <v>1</v>
      </c>
      <c r="J4375" s="3">
        <v>21614</v>
      </c>
      <c r="K4375" s="3">
        <v>20625</v>
      </c>
      <c r="L4375" s="1">
        <v>0</v>
      </c>
      <c r="M4375" s="4">
        <v>0</v>
      </c>
      <c r="N4375" s="1">
        <v>989</v>
      </c>
      <c r="O4375" s="4">
        <v>4.5999999999999999E-2</v>
      </c>
      <c r="P4375" s="1" t="s">
        <v>2721</v>
      </c>
    </row>
    <row r="4376" spans="1:16">
      <c r="A4376" s="1" t="s">
        <v>15</v>
      </c>
      <c r="B4376" s="1">
        <v>11</v>
      </c>
      <c r="C4376" s="1" t="s">
        <v>8870</v>
      </c>
      <c r="D4376" s="1" t="s">
        <v>777</v>
      </c>
      <c r="E4376" s="2">
        <v>45986</v>
      </c>
      <c r="F4376" s="1" t="s">
        <v>256</v>
      </c>
      <c r="G4376" s="1" t="s">
        <v>778</v>
      </c>
      <c r="H4376" s="1" t="s">
        <v>779</v>
      </c>
      <c r="I4376" s="1">
        <v>1</v>
      </c>
      <c r="J4376" s="3">
        <v>11010</v>
      </c>
      <c r="K4376" s="3">
        <v>10506</v>
      </c>
      <c r="L4376" s="1">
        <v>0</v>
      </c>
      <c r="M4376" s="4">
        <v>0</v>
      </c>
      <c r="N4376" s="1">
        <v>504</v>
      </c>
      <c r="O4376" s="4">
        <v>4.5999999999999999E-2</v>
      </c>
      <c r="P4376" s="1" t="s">
        <v>2721</v>
      </c>
    </row>
    <row r="4377" spans="1:16">
      <c r="A4377" s="1" t="s">
        <v>15</v>
      </c>
      <c r="B4377" s="1">
        <v>11</v>
      </c>
      <c r="C4377" s="1" t="s">
        <v>8871</v>
      </c>
      <c r="D4377" s="1" t="s">
        <v>22</v>
      </c>
      <c r="E4377" s="2">
        <v>45986</v>
      </c>
      <c r="F4377" s="1" t="s">
        <v>23</v>
      </c>
      <c r="G4377" s="1" t="s">
        <v>24</v>
      </c>
      <c r="H4377" s="1" t="s">
        <v>25</v>
      </c>
      <c r="I4377" s="1">
        <v>2</v>
      </c>
      <c r="J4377" s="3">
        <v>22609</v>
      </c>
      <c r="K4377" s="3">
        <v>21574</v>
      </c>
      <c r="L4377" s="1">
        <v>0</v>
      </c>
      <c r="M4377" s="4">
        <v>0</v>
      </c>
      <c r="N4377" s="3">
        <v>1035</v>
      </c>
      <c r="O4377" s="4">
        <v>4.5999999999999999E-2</v>
      </c>
      <c r="P4377" s="1" t="s">
        <v>2721</v>
      </c>
    </row>
    <row r="4378" spans="1:16">
      <c r="A4378" s="1" t="s">
        <v>15</v>
      </c>
      <c r="B4378" s="1">
        <v>11</v>
      </c>
      <c r="C4378" s="1" t="s">
        <v>8872</v>
      </c>
      <c r="D4378" s="1" t="s">
        <v>311</v>
      </c>
      <c r="E4378" s="2">
        <v>45986</v>
      </c>
      <c r="F4378" s="1" t="s">
        <v>312</v>
      </c>
      <c r="G4378" s="1" t="s">
        <v>313</v>
      </c>
      <c r="H4378" s="1" t="s">
        <v>3723</v>
      </c>
      <c r="I4378" s="1">
        <v>2</v>
      </c>
      <c r="J4378" s="3">
        <v>56621</v>
      </c>
      <c r="K4378" s="3">
        <v>54029</v>
      </c>
      <c r="L4378" s="1">
        <v>0</v>
      </c>
      <c r="M4378" s="4">
        <v>0</v>
      </c>
      <c r="N4378" s="3">
        <v>2592</v>
      </c>
      <c r="O4378" s="4">
        <v>4.5999999999999999E-2</v>
      </c>
      <c r="P4378" s="1" t="s">
        <v>2721</v>
      </c>
    </row>
    <row r="4379" spans="1:16">
      <c r="A4379" s="1" t="s">
        <v>15</v>
      </c>
      <c r="B4379" s="1">
        <v>11</v>
      </c>
      <c r="C4379" s="1" t="s">
        <v>8873</v>
      </c>
      <c r="D4379" s="1" t="s">
        <v>238</v>
      </c>
      <c r="E4379" s="2">
        <v>45986</v>
      </c>
      <c r="F4379" s="1" t="s">
        <v>239</v>
      </c>
      <c r="G4379" s="1" t="s">
        <v>240</v>
      </c>
      <c r="H4379" s="1" t="s">
        <v>241</v>
      </c>
      <c r="I4379" s="1">
        <v>2</v>
      </c>
      <c r="J4379" s="3">
        <v>22609</v>
      </c>
      <c r="K4379" s="3">
        <v>21574</v>
      </c>
      <c r="L4379" s="1">
        <v>0</v>
      </c>
      <c r="M4379" s="4">
        <v>0</v>
      </c>
      <c r="N4379" s="3">
        <v>1035</v>
      </c>
      <c r="O4379" s="4">
        <v>4.5999999999999999E-2</v>
      </c>
      <c r="P4379" s="1" t="s">
        <v>2721</v>
      </c>
    </row>
    <row r="4380" spans="1:16">
      <c r="A4380" s="1" t="s">
        <v>15</v>
      </c>
      <c r="B4380" s="1">
        <v>11</v>
      </c>
      <c r="C4380" s="1" t="s">
        <v>8874</v>
      </c>
      <c r="D4380" s="1" t="s">
        <v>390</v>
      </c>
      <c r="E4380" s="2">
        <v>45986</v>
      </c>
      <c r="F4380" s="1" t="s">
        <v>256</v>
      </c>
      <c r="G4380" s="1" t="s">
        <v>391</v>
      </c>
      <c r="H4380" s="1" t="s">
        <v>1307</v>
      </c>
      <c r="I4380" s="1">
        <v>1</v>
      </c>
      <c r="J4380" s="3">
        <v>23395</v>
      </c>
      <c r="K4380" s="3">
        <v>22324</v>
      </c>
      <c r="L4380" s="1">
        <v>0</v>
      </c>
      <c r="M4380" s="4">
        <v>0</v>
      </c>
      <c r="N4380" s="3">
        <v>1071</v>
      </c>
      <c r="O4380" s="4">
        <v>4.5999999999999999E-2</v>
      </c>
      <c r="P4380" s="1" t="s">
        <v>2721</v>
      </c>
    </row>
    <row r="4381" spans="1:16">
      <c r="A4381" s="1" t="s">
        <v>15</v>
      </c>
      <c r="B4381" s="1">
        <v>11</v>
      </c>
      <c r="C4381" s="1" t="s">
        <v>8875</v>
      </c>
      <c r="D4381" s="1" t="s">
        <v>1147</v>
      </c>
      <c r="E4381" s="2">
        <v>45986</v>
      </c>
      <c r="F4381" s="1" t="s">
        <v>126</v>
      </c>
      <c r="G4381" s="1" t="s">
        <v>1148</v>
      </c>
      <c r="H4381" s="1" t="s">
        <v>7746</v>
      </c>
      <c r="I4381" s="1">
        <v>1</v>
      </c>
      <c r="J4381" s="3">
        <v>15531</v>
      </c>
      <c r="K4381" s="3">
        <v>14820</v>
      </c>
      <c r="L4381" s="1">
        <v>0</v>
      </c>
      <c r="M4381" s="4">
        <v>0</v>
      </c>
      <c r="N4381" s="1">
        <v>711</v>
      </c>
      <c r="O4381" s="4">
        <v>4.5999999999999999E-2</v>
      </c>
      <c r="P4381" s="1" t="s">
        <v>2721</v>
      </c>
    </row>
    <row r="4382" spans="1:16">
      <c r="A4382" s="1" t="s">
        <v>15</v>
      </c>
      <c r="B4382" s="1">
        <v>11</v>
      </c>
      <c r="C4382" s="1" t="s">
        <v>8876</v>
      </c>
      <c r="D4382" s="1" t="s">
        <v>367</v>
      </c>
      <c r="E4382" s="2">
        <v>45986</v>
      </c>
      <c r="F4382" s="1" t="s">
        <v>368</v>
      </c>
      <c r="G4382" s="1" t="s">
        <v>369</v>
      </c>
      <c r="H4382" s="1" t="s">
        <v>370</v>
      </c>
      <c r="I4382" s="1">
        <v>1</v>
      </c>
      <c r="J4382" s="3">
        <v>14470</v>
      </c>
      <c r="K4382" s="3">
        <v>13807</v>
      </c>
      <c r="L4382" s="1">
        <v>0</v>
      </c>
      <c r="M4382" s="4">
        <v>0</v>
      </c>
      <c r="N4382" s="1">
        <v>663</v>
      </c>
      <c r="O4382" s="4">
        <v>4.5999999999999999E-2</v>
      </c>
      <c r="P4382" s="1" t="s">
        <v>2721</v>
      </c>
    </row>
    <row r="4383" spans="1:16">
      <c r="A4383" s="1" t="s">
        <v>15</v>
      </c>
      <c r="B4383" s="1">
        <v>11</v>
      </c>
      <c r="C4383" s="1" t="s">
        <v>8877</v>
      </c>
      <c r="D4383" s="1" t="s">
        <v>346</v>
      </c>
      <c r="E4383" s="2">
        <v>45986</v>
      </c>
      <c r="F4383" s="1" t="s">
        <v>347</v>
      </c>
      <c r="G4383" s="1" t="s">
        <v>348</v>
      </c>
      <c r="H4383" s="1" t="s">
        <v>1703</v>
      </c>
      <c r="I4383" s="1">
        <v>1</v>
      </c>
      <c r="J4383" s="3">
        <v>18677</v>
      </c>
      <c r="K4383" s="3">
        <v>17822</v>
      </c>
      <c r="L4383" s="1">
        <v>0</v>
      </c>
      <c r="M4383" s="4">
        <v>0</v>
      </c>
      <c r="N4383" s="1">
        <v>855</v>
      </c>
      <c r="O4383" s="4">
        <v>4.5999999999999999E-2</v>
      </c>
      <c r="P4383" s="1" t="s">
        <v>2721</v>
      </c>
    </row>
    <row r="4384" spans="1:16">
      <c r="A4384" s="1" t="s">
        <v>15</v>
      </c>
      <c r="B4384" s="1">
        <v>11</v>
      </c>
      <c r="C4384" s="1" t="s">
        <v>8878</v>
      </c>
      <c r="D4384" s="1" t="s">
        <v>1359</v>
      </c>
      <c r="E4384" s="2">
        <v>45986</v>
      </c>
      <c r="F4384" s="1" t="s">
        <v>63</v>
      </c>
      <c r="G4384" s="1" t="s">
        <v>1360</v>
      </c>
      <c r="H4384" s="1" t="s">
        <v>2352</v>
      </c>
      <c r="I4384" s="1">
        <v>1</v>
      </c>
      <c r="J4384" s="3">
        <v>30765</v>
      </c>
      <c r="K4384" s="3">
        <v>29357</v>
      </c>
      <c r="L4384" s="1">
        <v>0</v>
      </c>
      <c r="M4384" s="4">
        <v>0</v>
      </c>
      <c r="N4384" s="3">
        <v>1408</v>
      </c>
      <c r="O4384" s="4">
        <v>4.5999999999999999E-2</v>
      </c>
      <c r="P4384" s="1" t="s">
        <v>2721</v>
      </c>
    </row>
    <row r="4385" spans="1:16">
      <c r="A4385" s="1" t="s">
        <v>15</v>
      </c>
      <c r="B4385" s="1">
        <v>11</v>
      </c>
      <c r="C4385" s="1" t="s">
        <v>8879</v>
      </c>
      <c r="D4385" s="1" t="s">
        <v>104</v>
      </c>
      <c r="E4385" s="2">
        <v>45986</v>
      </c>
      <c r="F4385" s="1" t="s">
        <v>96</v>
      </c>
      <c r="G4385" s="1" t="s">
        <v>105</v>
      </c>
      <c r="H4385" s="1" t="s">
        <v>106</v>
      </c>
      <c r="I4385" s="1">
        <v>1</v>
      </c>
      <c r="J4385" s="3">
        <v>21614</v>
      </c>
      <c r="K4385" s="3">
        <v>20625</v>
      </c>
      <c r="L4385" s="1">
        <v>0</v>
      </c>
      <c r="M4385" s="4">
        <v>0</v>
      </c>
      <c r="N4385" s="1">
        <v>989</v>
      </c>
      <c r="O4385" s="4">
        <v>4.5999999999999999E-2</v>
      </c>
      <c r="P4385" s="1" t="s">
        <v>2721</v>
      </c>
    </row>
    <row r="4386" spans="1:16">
      <c r="A4386" s="1" t="s">
        <v>15</v>
      </c>
      <c r="B4386" s="1">
        <v>11</v>
      </c>
      <c r="C4386" s="1" t="s">
        <v>8880</v>
      </c>
      <c r="D4386" s="1" t="s">
        <v>132</v>
      </c>
      <c r="E4386" s="2">
        <v>45986</v>
      </c>
      <c r="F4386" s="1" t="s">
        <v>53</v>
      </c>
      <c r="G4386" s="1" t="s">
        <v>133</v>
      </c>
      <c r="H4386" s="1" t="s">
        <v>88</v>
      </c>
      <c r="I4386" s="1">
        <v>2</v>
      </c>
      <c r="J4386" s="3">
        <v>34073</v>
      </c>
      <c r="K4386" s="3">
        <v>32513</v>
      </c>
      <c r="L4386" s="1">
        <v>0</v>
      </c>
      <c r="M4386" s="4">
        <v>0</v>
      </c>
      <c r="N4386" s="3">
        <v>1560</v>
      </c>
      <c r="O4386" s="4">
        <v>4.5999999999999999E-2</v>
      </c>
      <c r="P4386" s="1" t="s">
        <v>2721</v>
      </c>
    </row>
    <row r="4387" spans="1:16">
      <c r="A4387" s="1" t="s">
        <v>15</v>
      </c>
      <c r="B4387" s="1">
        <v>11</v>
      </c>
      <c r="C4387" s="1" t="s">
        <v>8881</v>
      </c>
      <c r="D4387" s="1" t="s">
        <v>32</v>
      </c>
      <c r="E4387" s="2">
        <v>45986</v>
      </c>
      <c r="F4387" s="1" t="s">
        <v>33</v>
      </c>
      <c r="G4387" s="1" t="s">
        <v>34</v>
      </c>
      <c r="H4387" s="1" t="s">
        <v>8882</v>
      </c>
      <c r="I4387" s="1">
        <v>1</v>
      </c>
      <c r="J4387" s="3">
        <v>73499</v>
      </c>
      <c r="K4387" s="3">
        <v>70134</v>
      </c>
      <c r="L4387" s="1">
        <v>0</v>
      </c>
      <c r="M4387" s="4">
        <v>0</v>
      </c>
      <c r="N4387" s="3">
        <v>3365</v>
      </c>
      <c r="O4387" s="4">
        <v>4.5999999999999999E-2</v>
      </c>
      <c r="P4387" s="1" t="s">
        <v>2721</v>
      </c>
    </row>
    <row r="4388" spans="1:16">
      <c r="A4388" s="1" t="s">
        <v>15</v>
      </c>
      <c r="B4388" s="1">
        <v>11</v>
      </c>
      <c r="C4388" s="1" t="s">
        <v>8883</v>
      </c>
      <c r="D4388" s="1" t="s">
        <v>1638</v>
      </c>
      <c r="E4388" s="2">
        <v>45986</v>
      </c>
      <c r="F4388" s="1" t="s">
        <v>53</v>
      </c>
      <c r="G4388" s="1" t="s">
        <v>1639</v>
      </c>
      <c r="H4388" s="1" t="s">
        <v>1640</v>
      </c>
      <c r="I4388" s="1">
        <v>2</v>
      </c>
      <c r="J4388" s="3">
        <v>16766</v>
      </c>
      <c r="K4388" s="3">
        <v>15999</v>
      </c>
      <c r="L4388" s="1">
        <v>0</v>
      </c>
      <c r="M4388" s="4">
        <v>0</v>
      </c>
      <c r="N4388" s="1">
        <v>767</v>
      </c>
      <c r="O4388" s="4">
        <v>4.5999999999999999E-2</v>
      </c>
      <c r="P4388" s="1" t="s">
        <v>2721</v>
      </c>
    </row>
    <row r="4389" spans="1:16">
      <c r="A4389" s="1" t="s">
        <v>15</v>
      </c>
      <c r="B4389" s="1">
        <v>11</v>
      </c>
      <c r="C4389" s="1" t="s">
        <v>8884</v>
      </c>
      <c r="D4389" s="1" t="s">
        <v>1074</v>
      </c>
      <c r="E4389" s="2">
        <v>45986</v>
      </c>
      <c r="F4389" s="1" t="s">
        <v>1075</v>
      </c>
      <c r="G4389" s="1" t="s">
        <v>1076</v>
      </c>
      <c r="H4389" s="1" t="s">
        <v>1585</v>
      </c>
      <c r="I4389" s="1">
        <v>1</v>
      </c>
      <c r="J4389" s="3">
        <v>12503</v>
      </c>
      <c r="K4389" s="3">
        <v>11930</v>
      </c>
      <c r="L4389" s="1">
        <v>0</v>
      </c>
      <c r="M4389" s="4">
        <v>0</v>
      </c>
      <c r="N4389" s="1">
        <v>573</v>
      </c>
      <c r="O4389" s="4">
        <v>4.5999999999999999E-2</v>
      </c>
      <c r="P4389" s="1" t="s">
        <v>2721</v>
      </c>
    </row>
    <row r="4390" spans="1:16">
      <c r="A4390" s="1" t="s">
        <v>15</v>
      </c>
      <c r="B4390" s="1">
        <v>11</v>
      </c>
      <c r="C4390" s="1" t="s">
        <v>8884</v>
      </c>
      <c r="D4390" s="1" t="s">
        <v>5238</v>
      </c>
      <c r="E4390" s="2">
        <v>45986</v>
      </c>
      <c r="F4390" s="1" t="s">
        <v>1075</v>
      </c>
      <c r="G4390" s="1" t="s">
        <v>5239</v>
      </c>
      <c r="H4390" s="1" t="s">
        <v>5240</v>
      </c>
      <c r="I4390" s="1">
        <v>1</v>
      </c>
      <c r="J4390" s="3">
        <v>15237</v>
      </c>
      <c r="K4390" s="3">
        <v>14539</v>
      </c>
      <c r="L4390" s="1">
        <v>0</v>
      </c>
      <c r="M4390" s="4">
        <v>0</v>
      </c>
      <c r="N4390" s="1">
        <v>698</v>
      </c>
      <c r="O4390" s="4">
        <v>4.5999999999999999E-2</v>
      </c>
      <c r="P4390" s="1" t="s">
        <v>2721</v>
      </c>
    </row>
    <row r="4391" spans="1:16">
      <c r="A4391" s="1" t="s">
        <v>15</v>
      </c>
      <c r="B4391" s="1">
        <v>11</v>
      </c>
      <c r="C4391" s="1" t="s">
        <v>8885</v>
      </c>
      <c r="D4391" s="1" t="s">
        <v>1250</v>
      </c>
      <c r="E4391" s="2">
        <v>45986</v>
      </c>
      <c r="F4391" s="1" t="s">
        <v>18</v>
      </c>
      <c r="G4391" s="1" t="s">
        <v>1251</v>
      </c>
      <c r="H4391" s="1" t="s">
        <v>1428</v>
      </c>
      <c r="I4391" s="1">
        <v>2</v>
      </c>
      <c r="J4391" s="3">
        <v>16790</v>
      </c>
      <c r="K4391" s="3">
        <v>16021</v>
      </c>
      <c r="L4391" s="1">
        <v>0</v>
      </c>
      <c r="M4391" s="4">
        <v>0</v>
      </c>
      <c r="N4391" s="1">
        <v>769</v>
      </c>
      <c r="O4391" s="4">
        <v>4.5999999999999999E-2</v>
      </c>
      <c r="P4391" s="1" t="s">
        <v>2721</v>
      </c>
    </row>
    <row r="4392" spans="1:16">
      <c r="A4392" s="1" t="s">
        <v>15</v>
      </c>
      <c r="B4392" s="1">
        <v>11</v>
      </c>
      <c r="C4392" s="1" t="s">
        <v>8886</v>
      </c>
      <c r="D4392" s="1" t="s">
        <v>5679</v>
      </c>
      <c r="E4392" s="2">
        <v>45986</v>
      </c>
      <c r="F4392" s="1" t="s">
        <v>96</v>
      </c>
      <c r="G4392" s="1" t="s">
        <v>5680</v>
      </c>
      <c r="H4392" s="1" t="s">
        <v>8887</v>
      </c>
      <c r="I4392" s="1">
        <v>1</v>
      </c>
      <c r="J4392" s="3">
        <v>17092</v>
      </c>
      <c r="K4392" s="3">
        <v>16310</v>
      </c>
      <c r="L4392" s="1">
        <v>0</v>
      </c>
      <c r="M4392" s="4">
        <v>0</v>
      </c>
      <c r="N4392" s="1">
        <v>782</v>
      </c>
      <c r="O4392" s="4">
        <v>4.5999999999999999E-2</v>
      </c>
      <c r="P4392" s="1" t="s">
        <v>2721</v>
      </c>
    </row>
    <row r="4393" spans="1:16">
      <c r="A4393" s="1" t="s">
        <v>15</v>
      </c>
      <c r="B4393" s="1">
        <v>11</v>
      </c>
      <c r="C4393" s="1" t="s">
        <v>8888</v>
      </c>
      <c r="D4393" s="1" t="s">
        <v>504</v>
      </c>
      <c r="E4393" s="2">
        <v>45986</v>
      </c>
      <c r="F4393" s="1" t="s">
        <v>407</v>
      </c>
      <c r="G4393" s="1" t="s">
        <v>505</v>
      </c>
      <c r="H4393" s="1" t="s">
        <v>506</v>
      </c>
      <c r="I4393" s="1">
        <v>1</v>
      </c>
      <c r="J4393" s="3">
        <v>40303</v>
      </c>
      <c r="K4393" s="3">
        <v>38458</v>
      </c>
      <c r="L4393" s="1">
        <v>0</v>
      </c>
      <c r="M4393" s="4">
        <v>0</v>
      </c>
      <c r="N4393" s="3">
        <v>1845</v>
      </c>
      <c r="O4393" s="4">
        <v>4.5999999999999999E-2</v>
      </c>
      <c r="P4393" s="1" t="s">
        <v>2721</v>
      </c>
    </row>
    <row r="4394" spans="1:16">
      <c r="A4394" s="1" t="s">
        <v>15</v>
      </c>
      <c r="B4394" s="1">
        <v>11</v>
      </c>
      <c r="C4394" s="1" t="s">
        <v>8889</v>
      </c>
      <c r="D4394" s="1" t="s">
        <v>1088</v>
      </c>
      <c r="E4394" s="2">
        <v>45986</v>
      </c>
      <c r="F4394" s="1" t="s">
        <v>317</v>
      </c>
      <c r="G4394" s="1" t="s">
        <v>1089</v>
      </c>
      <c r="H4394" s="1" t="s">
        <v>1090</v>
      </c>
      <c r="I4394" s="1">
        <v>1</v>
      </c>
      <c r="J4394" s="3">
        <v>39615</v>
      </c>
      <c r="K4394" s="3">
        <v>37801</v>
      </c>
      <c r="L4394" s="1">
        <v>0</v>
      </c>
      <c r="M4394" s="4">
        <v>0</v>
      </c>
      <c r="N4394" s="3">
        <v>1814</v>
      </c>
      <c r="O4394" s="4">
        <v>4.5999999999999999E-2</v>
      </c>
      <c r="P4394" s="1" t="s">
        <v>2721</v>
      </c>
    </row>
    <row r="4395" spans="1:16">
      <c r="A4395" s="1" t="s">
        <v>15</v>
      </c>
      <c r="B4395" s="1">
        <v>11</v>
      </c>
      <c r="C4395" s="1" t="s">
        <v>8889</v>
      </c>
      <c r="D4395" s="1" t="s">
        <v>1088</v>
      </c>
      <c r="E4395" s="2">
        <v>45986</v>
      </c>
      <c r="F4395" s="1" t="s">
        <v>317</v>
      </c>
      <c r="G4395" s="1" t="s">
        <v>1089</v>
      </c>
      <c r="H4395" s="1" t="s">
        <v>8890</v>
      </c>
      <c r="I4395" s="1">
        <v>1</v>
      </c>
      <c r="J4395" s="3">
        <v>31653</v>
      </c>
      <c r="K4395" s="3">
        <v>30204</v>
      </c>
      <c r="L4395" s="1">
        <v>0</v>
      </c>
      <c r="M4395" s="4">
        <v>0</v>
      </c>
      <c r="N4395" s="3">
        <v>1449</v>
      </c>
      <c r="O4395" s="4">
        <v>4.5999999999999999E-2</v>
      </c>
      <c r="P4395" s="1" t="s">
        <v>2721</v>
      </c>
    </row>
    <row r="4396" spans="1:16">
      <c r="A4396" s="1" t="s">
        <v>15</v>
      </c>
      <c r="B4396" s="1">
        <v>11</v>
      </c>
      <c r="C4396" s="1" t="s">
        <v>8891</v>
      </c>
      <c r="D4396" s="1" t="s">
        <v>862</v>
      </c>
      <c r="E4396" s="2">
        <v>45986</v>
      </c>
      <c r="F4396" s="1" t="s">
        <v>334</v>
      </c>
      <c r="G4396" s="1" t="s">
        <v>863</v>
      </c>
      <c r="H4396" s="1" t="s">
        <v>1549</v>
      </c>
      <c r="I4396" s="1">
        <v>1</v>
      </c>
      <c r="J4396" s="3">
        <v>16220</v>
      </c>
      <c r="K4396" s="3">
        <v>15477</v>
      </c>
      <c r="L4396" s="1">
        <v>0</v>
      </c>
      <c r="M4396" s="4">
        <v>0</v>
      </c>
      <c r="N4396" s="1">
        <v>743</v>
      </c>
      <c r="O4396" s="4">
        <v>4.5999999999999999E-2</v>
      </c>
      <c r="P4396" s="1" t="s">
        <v>2721</v>
      </c>
    </row>
    <row r="4397" spans="1:16">
      <c r="A4397" s="1" t="s">
        <v>15</v>
      </c>
      <c r="B4397" s="1">
        <v>11</v>
      </c>
      <c r="C4397" s="1" t="s">
        <v>8891</v>
      </c>
      <c r="D4397" s="1" t="s">
        <v>862</v>
      </c>
      <c r="E4397" s="2">
        <v>45986</v>
      </c>
      <c r="F4397" s="1" t="s">
        <v>334</v>
      </c>
      <c r="G4397" s="1" t="s">
        <v>863</v>
      </c>
      <c r="H4397" s="1" t="s">
        <v>2880</v>
      </c>
      <c r="I4397" s="1">
        <v>1</v>
      </c>
      <c r="J4397" s="3">
        <v>16220</v>
      </c>
      <c r="K4397" s="3">
        <v>15477</v>
      </c>
      <c r="L4397" s="1">
        <v>0</v>
      </c>
      <c r="M4397" s="4">
        <v>0</v>
      </c>
      <c r="N4397" s="1">
        <v>743</v>
      </c>
      <c r="O4397" s="4">
        <v>4.5999999999999999E-2</v>
      </c>
      <c r="P4397" s="1" t="s">
        <v>2721</v>
      </c>
    </row>
    <row r="4398" spans="1:16">
      <c r="A4398" s="1" t="s">
        <v>15</v>
      </c>
      <c r="B4398" s="1">
        <v>11</v>
      </c>
      <c r="C4398" s="1" t="s">
        <v>8892</v>
      </c>
      <c r="D4398" s="1" t="s">
        <v>1673</v>
      </c>
      <c r="E4398" s="2">
        <v>45986</v>
      </c>
      <c r="F4398" s="1" t="s">
        <v>660</v>
      </c>
      <c r="G4398" s="1" t="s">
        <v>1674</v>
      </c>
      <c r="H4398" s="1" t="s">
        <v>8893</v>
      </c>
      <c r="I4398" s="1">
        <v>1</v>
      </c>
      <c r="J4398" s="3">
        <v>13074</v>
      </c>
      <c r="K4398" s="3">
        <v>12475</v>
      </c>
      <c r="L4398" s="1">
        <v>0</v>
      </c>
      <c r="M4398" s="4">
        <v>0</v>
      </c>
      <c r="N4398" s="1">
        <v>599</v>
      </c>
      <c r="O4398" s="4">
        <v>4.5999999999999999E-2</v>
      </c>
      <c r="P4398" s="1" t="s">
        <v>2721</v>
      </c>
    </row>
    <row r="4399" spans="1:16">
      <c r="A4399" s="1" t="s">
        <v>15</v>
      </c>
      <c r="B4399" s="1">
        <v>11</v>
      </c>
      <c r="C4399" s="1" t="s">
        <v>8894</v>
      </c>
      <c r="D4399" s="1" t="s">
        <v>3252</v>
      </c>
      <c r="E4399" s="2">
        <v>45986</v>
      </c>
      <c r="F4399" s="1" t="s">
        <v>77</v>
      </c>
      <c r="G4399" s="1" t="s">
        <v>3253</v>
      </c>
      <c r="H4399" s="1" t="s">
        <v>3253</v>
      </c>
      <c r="I4399" s="1">
        <v>1</v>
      </c>
      <c r="J4399" s="3">
        <v>11231</v>
      </c>
      <c r="K4399" s="3">
        <v>10717</v>
      </c>
      <c r="L4399" s="1">
        <v>0</v>
      </c>
      <c r="M4399" s="4">
        <v>0</v>
      </c>
      <c r="N4399" s="1">
        <v>514</v>
      </c>
      <c r="O4399" s="4">
        <v>4.5999999999999999E-2</v>
      </c>
      <c r="P4399" s="1" t="s">
        <v>2721</v>
      </c>
    </row>
    <row r="4400" spans="1:16">
      <c r="A4400" s="1" t="s">
        <v>15</v>
      </c>
      <c r="B4400" s="1">
        <v>11</v>
      </c>
      <c r="C4400" s="1" t="s">
        <v>8895</v>
      </c>
      <c r="D4400" s="1" t="s">
        <v>52</v>
      </c>
      <c r="E4400" s="2">
        <v>45986</v>
      </c>
      <c r="F4400" s="1" t="s">
        <v>53</v>
      </c>
      <c r="G4400" s="1" t="s">
        <v>54</v>
      </c>
      <c r="H4400" s="1" t="s">
        <v>55</v>
      </c>
      <c r="I4400" s="1">
        <v>1</v>
      </c>
      <c r="J4400" s="3">
        <v>16135</v>
      </c>
      <c r="K4400" s="3">
        <v>15396</v>
      </c>
      <c r="L4400" s="1">
        <v>0</v>
      </c>
      <c r="M4400" s="4">
        <v>0</v>
      </c>
      <c r="N4400" s="1">
        <v>739</v>
      </c>
      <c r="O4400" s="4">
        <v>4.5999999999999999E-2</v>
      </c>
      <c r="P4400" s="1" t="s">
        <v>2721</v>
      </c>
    </row>
    <row r="4401" spans="1:16">
      <c r="A4401" s="1" t="s">
        <v>15</v>
      </c>
      <c r="B4401" s="1">
        <v>11</v>
      </c>
      <c r="C4401" s="1" t="s">
        <v>8896</v>
      </c>
      <c r="D4401" s="1" t="s">
        <v>2316</v>
      </c>
      <c r="E4401" s="2">
        <v>45986</v>
      </c>
      <c r="F4401" s="1" t="s">
        <v>368</v>
      </c>
      <c r="G4401" s="1" t="s">
        <v>2317</v>
      </c>
      <c r="H4401" s="1" t="s">
        <v>2318</v>
      </c>
      <c r="I4401" s="1">
        <v>1</v>
      </c>
      <c r="J4401" s="3">
        <v>26950</v>
      </c>
      <c r="K4401" s="3">
        <v>25716</v>
      </c>
      <c r="L4401" s="1">
        <v>0</v>
      </c>
      <c r="M4401" s="4">
        <v>0</v>
      </c>
      <c r="N4401" s="3">
        <v>1234</v>
      </c>
      <c r="O4401" s="4">
        <v>4.5999999999999999E-2</v>
      </c>
      <c r="P4401" s="1" t="s">
        <v>2721</v>
      </c>
    </row>
    <row r="4402" spans="1:16">
      <c r="A4402" s="1" t="s">
        <v>15</v>
      </c>
      <c r="B4402" s="1">
        <v>11</v>
      </c>
      <c r="C4402" s="1" t="s">
        <v>8896</v>
      </c>
      <c r="D4402" s="1" t="s">
        <v>76</v>
      </c>
      <c r="E4402" s="2">
        <v>45986</v>
      </c>
      <c r="F4402" s="1" t="s">
        <v>77</v>
      </c>
      <c r="G4402" s="1" t="s">
        <v>78</v>
      </c>
      <c r="H4402" s="1" t="s">
        <v>78</v>
      </c>
      <c r="I4402" s="1">
        <v>1</v>
      </c>
      <c r="J4402" s="3">
        <v>11231</v>
      </c>
      <c r="K4402" s="3">
        <v>10717</v>
      </c>
      <c r="L4402" s="1">
        <v>0</v>
      </c>
      <c r="M4402" s="4">
        <v>0</v>
      </c>
      <c r="N4402" s="1">
        <v>514</v>
      </c>
      <c r="O4402" s="4">
        <v>4.5999999999999999E-2</v>
      </c>
      <c r="P4402" s="1" t="s">
        <v>2721</v>
      </c>
    </row>
    <row r="4403" spans="1:16">
      <c r="A4403" s="1" t="s">
        <v>15</v>
      </c>
      <c r="B4403" s="1">
        <v>11</v>
      </c>
      <c r="C4403" s="1" t="s">
        <v>8896</v>
      </c>
      <c r="D4403" s="1" t="s">
        <v>3252</v>
      </c>
      <c r="E4403" s="2">
        <v>45986</v>
      </c>
      <c r="F4403" s="1" t="s">
        <v>77</v>
      </c>
      <c r="G4403" s="1" t="s">
        <v>3253</v>
      </c>
      <c r="H4403" s="1" t="s">
        <v>3253</v>
      </c>
      <c r="I4403" s="1">
        <v>1</v>
      </c>
      <c r="J4403" s="3">
        <v>11231</v>
      </c>
      <c r="K4403" s="3">
        <v>10717</v>
      </c>
      <c r="L4403" s="1">
        <v>0</v>
      </c>
      <c r="M4403" s="4">
        <v>0</v>
      </c>
      <c r="N4403" s="1">
        <v>514</v>
      </c>
      <c r="O4403" s="4">
        <v>4.5999999999999999E-2</v>
      </c>
      <c r="P4403" s="1" t="s">
        <v>2721</v>
      </c>
    </row>
    <row r="4404" spans="1:16">
      <c r="A4404" s="1" t="s">
        <v>15</v>
      </c>
      <c r="B4404" s="1">
        <v>11</v>
      </c>
      <c r="C4404" s="1" t="s">
        <v>8896</v>
      </c>
      <c r="D4404" s="1" t="s">
        <v>3703</v>
      </c>
      <c r="E4404" s="2">
        <v>45986</v>
      </c>
      <c r="F4404" s="1" t="s">
        <v>77</v>
      </c>
      <c r="G4404" s="1" t="s">
        <v>3704</v>
      </c>
      <c r="H4404" s="1" t="s">
        <v>3704</v>
      </c>
      <c r="I4404" s="1">
        <v>1</v>
      </c>
      <c r="J4404" s="3">
        <v>11231</v>
      </c>
      <c r="K4404" s="3">
        <v>10717</v>
      </c>
      <c r="L4404" s="1">
        <v>0</v>
      </c>
      <c r="M4404" s="4">
        <v>0</v>
      </c>
      <c r="N4404" s="1">
        <v>514</v>
      </c>
      <c r="O4404" s="4">
        <v>4.5999999999999999E-2</v>
      </c>
      <c r="P4404" s="1" t="s">
        <v>2721</v>
      </c>
    </row>
    <row r="4405" spans="1:16">
      <c r="A4405" s="1" t="s">
        <v>15</v>
      </c>
      <c r="B4405" s="1">
        <v>11</v>
      </c>
      <c r="C4405" s="1" t="s">
        <v>8897</v>
      </c>
      <c r="D4405" s="1" t="s">
        <v>777</v>
      </c>
      <c r="E4405" s="2">
        <v>45986</v>
      </c>
      <c r="F4405" s="1" t="s">
        <v>256</v>
      </c>
      <c r="G4405" s="1" t="s">
        <v>778</v>
      </c>
      <c r="H4405" s="1" t="s">
        <v>779</v>
      </c>
      <c r="I4405" s="1">
        <v>1</v>
      </c>
      <c r="J4405" s="3">
        <v>11010</v>
      </c>
      <c r="K4405" s="3">
        <v>10506</v>
      </c>
      <c r="L4405" s="1">
        <v>0</v>
      </c>
      <c r="M4405" s="4">
        <v>0</v>
      </c>
      <c r="N4405" s="1">
        <v>504</v>
      </c>
      <c r="O4405" s="4">
        <v>4.5999999999999999E-2</v>
      </c>
      <c r="P4405" s="1" t="s">
        <v>2721</v>
      </c>
    </row>
    <row r="4406" spans="1:16">
      <c r="A4406" s="1" t="s">
        <v>15</v>
      </c>
      <c r="B4406" s="1">
        <v>11</v>
      </c>
      <c r="C4406" s="1" t="s">
        <v>8898</v>
      </c>
      <c r="D4406" s="1" t="s">
        <v>250</v>
      </c>
      <c r="E4406" s="2">
        <v>45986</v>
      </c>
      <c r="F4406" s="1" t="s">
        <v>251</v>
      </c>
      <c r="G4406" s="1" t="s">
        <v>252</v>
      </c>
      <c r="H4406" s="1" t="s">
        <v>497</v>
      </c>
      <c r="I4406" s="1">
        <v>1</v>
      </c>
      <c r="J4406" s="3">
        <v>23494</v>
      </c>
      <c r="K4406" s="3">
        <v>22418</v>
      </c>
      <c r="L4406" s="1">
        <v>0</v>
      </c>
      <c r="M4406" s="4">
        <v>0</v>
      </c>
      <c r="N4406" s="3">
        <v>1076</v>
      </c>
      <c r="O4406" s="4">
        <v>4.5999999999999999E-2</v>
      </c>
      <c r="P4406" s="1" t="s">
        <v>2721</v>
      </c>
    </row>
    <row r="4407" spans="1:16">
      <c r="A4407" s="1" t="s">
        <v>15</v>
      </c>
      <c r="B4407" s="1">
        <v>11</v>
      </c>
      <c r="C4407" s="1" t="s">
        <v>8899</v>
      </c>
      <c r="D4407" s="1" t="s">
        <v>390</v>
      </c>
      <c r="E4407" s="2">
        <v>45986</v>
      </c>
      <c r="F4407" s="1" t="s">
        <v>256</v>
      </c>
      <c r="G4407" s="1" t="s">
        <v>391</v>
      </c>
      <c r="H4407" s="1" t="s">
        <v>392</v>
      </c>
      <c r="I4407" s="1">
        <v>1</v>
      </c>
      <c r="J4407" s="3">
        <v>12799</v>
      </c>
      <c r="K4407" s="3">
        <v>12213</v>
      </c>
      <c r="L4407" s="1">
        <v>0</v>
      </c>
      <c r="M4407" s="4">
        <v>0</v>
      </c>
      <c r="N4407" s="1">
        <v>586</v>
      </c>
      <c r="O4407" s="4">
        <v>4.5999999999999999E-2</v>
      </c>
      <c r="P4407" s="1" t="s">
        <v>2721</v>
      </c>
    </row>
    <row r="4408" spans="1:16">
      <c r="A4408" s="1" t="s">
        <v>15</v>
      </c>
      <c r="B4408" s="1">
        <v>11</v>
      </c>
      <c r="C4408" s="1" t="s">
        <v>8900</v>
      </c>
      <c r="D4408" s="1" t="s">
        <v>8901</v>
      </c>
      <c r="E4408" s="2">
        <v>45986</v>
      </c>
      <c r="F4408" s="1" t="s">
        <v>8902</v>
      </c>
      <c r="G4408" s="1" t="s">
        <v>8903</v>
      </c>
      <c r="H4408" s="1" t="s">
        <v>8904</v>
      </c>
      <c r="I4408" s="1">
        <v>1</v>
      </c>
      <c r="J4408" s="3">
        <v>8279</v>
      </c>
      <c r="K4408" s="3">
        <v>7900</v>
      </c>
      <c r="L4408" s="1">
        <v>0</v>
      </c>
      <c r="M4408" s="4">
        <v>0</v>
      </c>
      <c r="N4408" s="1">
        <v>379</v>
      </c>
      <c r="O4408" s="4">
        <v>4.5999999999999999E-2</v>
      </c>
      <c r="P4408" s="1" t="s">
        <v>2721</v>
      </c>
    </row>
    <row r="4409" spans="1:16">
      <c r="A4409" s="1" t="s">
        <v>15</v>
      </c>
      <c r="B4409" s="1">
        <v>11</v>
      </c>
      <c r="C4409" s="1" t="s">
        <v>8905</v>
      </c>
      <c r="D4409" s="1" t="s">
        <v>1500</v>
      </c>
      <c r="E4409" s="2">
        <v>45986</v>
      </c>
      <c r="F4409" s="1" t="s">
        <v>96</v>
      </c>
      <c r="G4409" s="1" t="s">
        <v>1501</v>
      </c>
      <c r="H4409" s="1" t="s">
        <v>1502</v>
      </c>
      <c r="I4409" s="1">
        <v>1</v>
      </c>
      <c r="J4409" s="3">
        <v>11305</v>
      </c>
      <c r="K4409" s="3">
        <v>10787</v>
      </c>
      <c r="L4409" s="1">
        <v>0</v>
      </c>
      <c r="M4409" s="4">
        <v>0</v>
      </c>
      <c r="N4409" s="1">
        <v>518</v>
      </c>
      <c r="O4409" s="4">
        <v>4.5999999999999999E-2</v>
      </c>
      <c r="P4409" s="1" t="s">
        <v>2721</v>
      </c>
    </row>
    <row r="4410" spans="1:16">
      <c r="A4410" s="1" t="s">
        <v>15</v>
      </c>
      <c r="B4410" s="1">
        <v>11</v>
      </c>
      <c r="C4410" s="1" t="s">
        <v>8906</v>
      </c>
      <c r="D4410" s="1" t="s">
        <v>2281</v>
      </c>
      <c r="E4410" s="2">
        <v>45986</v>
      </c>
      <c r="F4410" s="1" t="s">
        <v>1325</v>
      </c>
      <c r="G4410" s="1" t="s">
        <v>2282</v>
      </c>
      <c r="H4410" s="1" t="s">
        <v>2283</v>
      </c>
      <c r="I4410" s="1">
        <v>1</v>
      </c>
      <c r="J4410" s="3">
        <v>7864</v>
      </c>
      <c r="K4410" s="3">
        <v>7504</v>
      </c>
      <c r="L4410" s="1">
        <v>0</v>
      </c>
      <c r="M4410" s="4">
        <v>0</v>
      </c>
      <c r="N4410" s="1">
        <v>360</v>
      </c>
      <c r="O4410" s="4">
        <v>4.5999999999999999E-2</v>
      </c>
      <c r="P4410" s="1" t="s">
        <v>2721</v>
      </c>
    </row>
    <row r="4411" spans="1:16">
      <c r="A4411" s="1" t="s">
        <v>15</v>
      </c>
      <c r="B4411" s="1">
        <v>11</v>
      </c>
      <c r="C4411" s="1" t="s">
        <v>8907</v>
      </c>
      <c r="D4411" s="1" t="s">
        <v>891</v>
      </c>
      <c r="E4411" s="2">
        <v>45986</v>
      </c>
      <c r="F4411" s="1" t="s">
        <v>892</v>
      </c>
      <c r="G4411" s="1" t="s">
        <v>893</v>
      </c>
      <c r="H4411" s="1" t="s">
        <v>894</v>
      </c>
      <c r="I4411" s="1">
        <v>5</v>
      </c>
      <c r="J4411" s="3">
        <v>103215</v>
      </c>
      <c r="K4411" s="3">
        <v>98490</v>
      </c>
      <c r="L4411" s="1">
        <v>0</v>
      </c>
      <c r="M4411" s="4">
        <v>0</v>
      </c>
      <c r="N4411" s="3">
        <v>4725</v>
      </c>
      <c r="O4411" s="4">
        <v>4.5999999999999999E-2</v>
      </c>
      <c r="P4411" s="1" t="s">
        <v>2721</v>
      </c>
    </row>
    <row r="4412" spans="1:16">
      <c r="A4412" s="1" t="s">
        <v>15</v>
      </c>
      <c r="B4412" s="1">
        <v>11</v>
      </c>
      <c r="C4412" s="1" t="s">
        <v>8908</v>
      </c>
      <c r="D4412" s="1" t="s">
        <v>3649</v>
      </c>
      <c r="E4412" s="2">
        <v>45986</v>
      </c>
      <c r="F4412" s="1" t="s">
        <v>53</v>
      </c>
      <c r="G4412" s="1" t="s">
        <v>3650</v>
      </c>
      <c r="H4412" s="1" t="s">
        <v>3651</v>
      </c>
      <c r="I4412" s="1">
        <v>1</v>
      </c>
      <c r="J4412" s="3">
        <v>13431</v>
      </c>
      <c r="K4412" s="3">
        <v>12816</v>
      </c>
      <c r="L4412" s="1">
        <v>0</v>
      </c>
      <c r="M4412" s="4">
        <v>0</v>
      </c>
      <c r="N4412" s="1">
        <v>615</v>
      </c>
      <c r="O4412" s="4">
        <v>4.5999999999999999E-2</v>
      </c>
      <c r="P4412" s="1" t="s">
        <v>2721</v>
      </c>
    </row>
    <row r="4413" spans="1:16">
      <c r="A4413" s="1" t="s">
        <v>15</v>
      </c>
      <c r="B4413" s="1">
        <v>11</v>
      </c>
      <c r="C4413" s="1" t="s">
        <v>8909</v>
      </c>
      <c r="D4413" s="1" t="s">
        <v>1250</v>
      </c>
      <c r="E4413" s="2">
        <v>45986</v>
      </c>
      <c r="F4413" s="1" t="s">
        <v>18</v>
      </c>
      <c r="G4413" s="1" t="s">
        <v>1251</v>
      </c>
      <c r="H4413" s="1" t="s">
        <v>5190</v>
      </c>
      <c r="I4413" s="1">
        <v>1</v>
      </c>
      <c r="J4413" s="3">
        <v>8395</v>
      </c>
      <c r="K4413" s="3">
        <v>8011</v>
      </c>
      <c r="L4413" s="1">
        <v>0</v>
      </c>
      <c r="M4413" s="4">
        <v>0</v>
      </c>
      <c r="N4413" s="1">
        <v>384</v>
      </c>
      <c r="O4413" s="4">
        <v>4.5999999999999999E-2</v>
      </c>
      <c r="P4413" s="1" t="s">
        <v>2721</v>
      </c>
    </row>
    <row r="4414" spans="1:16">
      <c r="A4414" s="1" t="s">
        <v>15</v>
      </c>
      <c r="B4414" s="1">
        <v>11</v>
      </c>
      <c r="C4414" s="1" t="s">
        <v>8910</v>
      </c>
      <c r="D4414" s="1" t="s">
        <v>1246</v>
      </c>
      <c r="E4414" s="2">
        <v>45986</v>
      </c>
      <c r="F4414" s="1" t="s">
        <v>53</v>
      </c>
      <c r="G4414" s="1" t="s">
        <v>1247</v>
      </c>
      <c r="H4414" s="1" t="s">
        <v>7861</v>
      </c>
      <c r="I4414" s="1">
        <v>1</v>
      </c>
      <c r="J4414" s="3">
        <v>8383</v>
      </c>
      <c r="K4414" s="3">
        <v>7999</v>
      </c>
      <c r="L4414" s="1">
        <v>0</v>
      </c>
      <c r="M4414" s="4">
        <v>0</v>
      </c>
      <c r="N4414" s="1">
        <v>384</v>
      </c>
      <c r="O4414" s="4">
        <v>4.5999999999999999E-2</v>
      </c>
      <c r="P4414" s="1" t="s">
        <v>2721</v>
      </c>
    </row>
    <row r="4415" spans="1:16">
      <c r="A4415" s="1" t="s">
        <v>15</v>
      </c>
      <c r="B4415" s="1">
        <v>11</v>
      </c>
      <c r="C4415" s="1" t="s">
        <v>8910</v>
      </c>
      <c r="D4415" s="1" t="s">
        <v>1246</v>
      </c>
      <c r="E4415" s="2">
        <v>45986</v>
      </c>
      <c r="F4415" s="1" t="s">
        <v>53</v>
      </c>
      <c r="G4415" s="1" t="s">
        <v>1247</v>
      </c>
      <c r="H4415" s="1" t="s">
        <v>1248</v>
      </c>
      <c r="I4415" s="1">
        <v>1</v>
      </c>
      <c r="J4415" s="3">
        <v>8383</v>
      </c>
      <c r="K4415" s="3">
        <v>7999</v>
      </c>
      <c r="L4415" s="1">
        <v>0</v>
      </c>
      <c r="M4415" s="4">
        <v>0</v>
      </c>
      <c r="N4415" s="1">
        <v>384</v>
      </c>
      <c r="O4415" s="4">
        <v>4.5999999999999999E-2</v>
      </c>
      <c r="P4415" s="1" t="s">
        <v>2721</v>
      </c>
    </row>
    <row r="4416" spans="1:16">
      <c r="A4416" s="1" t="s">
        <v>15</v>
      </c>
      <c r="B4416" s="1">
        <v>11</v>
      </c>
      <c r="C4416" s="1" t="s">
        <v>8911</v>
      </c>
      <c r="D4416" s="1" t="s">
        <v>533</v>
      </c>
      <c r="E4416" s="2">
        <v>45986</v>
      </c>
      <c r="F4416" s="1" t="s">
        <v>534</v>
      </c>
      <c r="G4416" s="1" t="s">
        <v>535</v>
      </c>
      <c r="H4416" s="1" t="s">
        <v>536</v>
      </c>
      <c r="I4416" s="1">
        <v>1</v>
      </c>
      <c r="J4416" s="3">
        <v>19552</v>
      </c>
      <c r="K4416" s="3">
        <v>18657</v>
      </c>
      <c r="L4416" s="1">
        <v>0</v>
      </c>
      <c r="M4416" s="4">
        <v>0</v>
      </c>
      <c r="N4416" s="1">
        <v>895</v>
      </c>
      <c r="O4416" s="4">
        <v>4.5999999999999999E-2</v>
      </c>
      <c r="P4416" s="1" t="s">
        <v>2721</v>
      </c>
    </row>
    <row r="4417" spans="1:16">
      <c r="A4417" s="1" t="s">
        <v>15</v>
      </c>
      <c r="B4417" s="1">
        <v>11</v>
      </c>
      <c r="C4417" s="1" t="s">
        <v>8912</v>
      </c>
      <c r="D4417" s="1" t="s">
        <v>1100</v>
      </c>
      <c r="E4417" s="2">
        <v>45986</v>
      </c>
      <c r="F4417" s="1" t="s">
        <v>1101</v>
      </c>
      <c r="G4417" s="1" t="s">
        <v>1102</v>
      </c>
      <c r="H4417" s="1" t="s">
        <v>4820</v>
      </c>
      <c r="I4417" s="1">
        <v>1</v>
      </c>
      <c r="J4417" s="3">
        <v>21626</v>
      </c>
      <c r="K4417" s="3">
        <v>20636</v>
      </c>
      <c r="L4417" s="1">
        <v>0</v>
      </c>
      <c r="M4417" s="4">
        <v>0</v>
      </c>
      <c r="N4417" s="1">
        <v>990</v>
      </c>
      <c r="O4417" s="4">
        <v>4.5999999999999999E-2</v>
      </c>
      <c r="P4417" s="1" t="s">
        <v>2721</v>
      </c>
    </row>
    <row r="4418" spans="1:16">
      <c r="A4418" s="1" t="s">
        <v>15</v>
      </c>
      <c r="B4418" s="1">
        <v>11</v>
      </c>
      <c r="C4418" s="1" t="s">
        <v>8913</v>
      </c>
      <c r="D4418" s="1" t="s">
        <v>1105</v>
      </c>
      <c r="E4418" s="2">
        <v>45986</v>
      </c>
      <c r="F4418" s="1" t="s">
        <v>1106</v>
      </c>
      <c r="G4418" s="1" t="s">
        <v>1107</v>
      </c>
      <c r="H4418" s="1" t="s">
        <v>6124</v>
      </c>
      <c r="I4418" s="1">
        <v>1</v>
      </c>
      <c r="J4418" s="3">
        <v>10471</v>
      </c>
      <c r="K4418" s="3">
        <v>9992</v>
      </c>
      <c r="L4418" s="1">
        <v>0</v>
      </c>
      <c r="M4418" s="4">
        <v>0</v>
      </c>
      <c r="N4418" s="1">
        <v>479</v>
      </c>
      <c r="O4418" s="4">
        <v>4.5999999999999999E-2</v>
      </c>
      <c r="P4418" s="1" t="s">
        <v>2721</v>
      </c>
    </row>
    <row r="4419" spans="1:16">
      <c r="A4419" s="1" t="s">
        <v>15</v>
      </c>
      <c r="B4419" s="1">
        <v>11</v>
      </c>
      <c r="C4419" s="1" t="s">
        <v>8914</v>
      </c>
      <c r="D4419" s="1" t="s">
        <v>238</v>
      </c>
      <c r="E4419" s="2">
        <v>45986</v>
      </c>
      <c r="F4419" s="1" t="s">
        <v>239</v>
      </c>
      <c r="G4419" s="1" t="s">
        <v>240</v>
      </c>
      <c r="H4419" s="1" t="s">
        <v>241</v>
      </c>
      <c r="I4419" s="1">
        <v>1</v>
      </c>
      <c r="J4419" s="3">
        <v>11305</v>
      </c>
      <c r="K4419" s="3">
        <v>10787</v>
      </c>
      <c r="L4419" s="1">
        <v>0</v>
      </c>
      <c r="M4419" s="4">
        <v>0</v>
      </c>
      <c r="N4419" s="1">
        <v>518</v>
      </c>
      <c r="O4419" s="4">
        <v>4.5999999999999999E-2</v>
      </c>
      <c r="P4419" s="1" t="s">
        <v>2721</v>
      </c>
    </row>
    <row r="4420" spans="1:16">
      <c r="A4420" s="1" t="s">
        <v>15</v>
      </c>
      <c r="B4420" s="1">
        <v>11</v>
      </c>
      <c r="C4420" s="1" t="s">
        <v>8915</v>
      </c>
      <c r="D4420" s="1" t="s">
        <v>169</v>
      </c>
      <c r="E4420" s="2">
        <v>45986</v>
      </c>
      <c r="F4420" s="1" t="s">
        <v>53</v>
      </c>
      <c r="G4420" s="1" t="s">
        <v>170</v>
      </c>
      <c r="H4420" s="1" t="s">
        <v>171</v>
      </c>
      <c r="I4420" s="1">
        <v>1</v>
      </c>
      <c r="J4420" s="3">
        <v>14332</v>
      </c>
      <c r="K4420" s="3">
        <v>13676</v>
      </c>
      <c r="L4420" s="1">
        <v>0</v>
      </c>
      <c r="M4420" s="4">
        <v>0</v>
      </c>
      <c r="N4420" s="1">
        <v>656</v>
      </c>
      <c r="O4420" s="4">
        <v>4.5999999999999999E-2</v>
      </c>
      <c r="P4420" s="1" t="s">
        <v>2721</v>
      </c>
    </row>
    <row r="4421" spans="1:16">
      <c r="A4421" s="1" t="s">
        <v>15</v>
      </c>
      <c r="B4421" s="1">
        <v>11</v>
      </c>
      <c r="C4421" s="1" t="s">
        <v>8916</v>
      </c>
      <c r="D4421" s="1" t="s">
        <v>4121</v>
      </c>
      <c r="E4421" s="2">
        <v>45986</v>
      </c>
      <c r="F4421" s="1" t="s">
        <v>96</v>
      </c>
      <c r="G4421" s="1" t="s">
        <v>4122</v>
      </c>
      <c r="H4421" s="1" t="s">
        <v>2014</v>
      </c>
      <c r="I4421" s="1">
        <v>1</v>
      </c>
      <c r="J4421" s="3">
        <v>23423</v>
      </c>
      <c r="K4421" s="3">
        <v>22351</v>
      </c>
      <c r="L4421" s="1">
        <v>0</v>
      </c>
      <c r="M4421" s="4">
        <v>0</v>
      </c>
      <c r="N4421" s="3">
        <v>1072</v>
      </c>
      <c r="O4421" s="4">
        <v>4.5999999999999999E-2</v>
      </c>
      <c r="P4421" s="1" t="s">
        <v>2721</v>
      </c>
    </row>
    <row r="4422" spans="1:16">
      <c r="A4422" s="1" t="s">
        <v>15</v>
      </c>
      <c r="B4422" s="1">
        <v>11</v>
      </c>
      <c r="C4422" s="1" t="s">
        <v>8917</v>
      </c>
      <c r="D4422" s="1" t="s">
        <v>1199</v>
      </c>
      <c r="E4422" s="2">
        <v>45986</v>
      </c>
      <c r="F4422" s="1" t="s">
        <v>1200</v>
      </c>
      <c r="G4422" s="1" t="s">
        <v>1201</v>
      </c>
      <c r="H4422" s="1" t="s">
        <v>1202</v>
      </c>
      <c r="I4422" s="1">
        <v>1</v>
      </c>
      <c r="J4422" s="3">
        <v>27033</v>
      </c>
      <c r="K4422" s="3">
        <v>25795</v>
      </c>
      <c r="L4422" s="1">
        <v>0</v>
      </c>
      <c r="M4422" s="4">
        <v>0</v>
      </c>
      <c r="N4422" s="3">
        <v>1238</v>
      </c>
      <c r="O4422" s="4">
        <v>4.5999999999999999E-2</v>
      </c>
      <c r="P4422" s="1" t="s">
        <v>2721</v>
      </c>
    </row>
    <row r="4423" spans="1:16">
      <c r="A4423" s="1" t="s">
        <v>15</v>
      </c>
      <c r="B4423" s="1">
        <v>11</v>
      </c>
      <c r="C4423" s="1" t="s">
        <v>8918</v>
      </c>
      <c r="D4423" s="1" t="s">
        <v>3607</v>
      </c>
      <c r="E4423" s="2">
        <v>45986</v>
      </c>
      <c r="F4423" s="1" t="s">
        <v>58</v>
      </c>
      <c r="G4423" s="1" t="s">
        <v>3608</v>
      </c>
      <c r="H4423" s="1" t="s">
        <v>3609</v>
      </c>
      <c r="I4423" s="1">
        <v>1</v>
      </c>
      <c r="J4423" s="3">
        <v>21842</v>
      </c>
      <c r="K4423" s="3">
        <v>20842</v>
      </c>
      <c r="L4423" s="1">
        <v>0</v>
      </c>
      <c r="M4423" s="4">
        <v>0</v>
      </c>
      <c r="N4423" s="3">
        <v>1000</v>
      </c>
      <c r="O4423" s="4">
        <v>4.5999999999999999E-2</v>
      </c>
      <c r="P4423" s="1" t="s">
        <v>2721</v>
      </c>
    </row>
    <row r="4424" spans="1:16">
      <c r="A4424" s="1" t="s">
        <v>15</v>
      </c>
      <c r="B4424" s="1">
        <v>11</v>
      </c>
      <c r="C4424" s="1" t="s">
        <v>8919</v>
      </c>
      <c r="D4424" s="1" t="s">
        <v>3180</v>
      </c>
      <c r="E4424" s="2">
        <v>45986</v>
      </c>
      <c r="F4424" s="1" t="s">
        <v>554</v>
      </c>
      <c r="G4424" s="1" t="s">
        <v>3181</v>
      </c>
      <c r="H4424" s="1" t="s">
        <v>7309</v>
      </c>
      <c r="I4424" s="1">
        <v>1</v>
      </c>
      <c r="J4424" s="3">
        <v>19070</v>
      </c>
      <c r="K4424" s="3">
        <v>18197</v>
      </c>
      <c r="L4424" s="1">
        <v>0</v>
      </c>
      <c r="M4424" s="4">
        <v>0</v>
      </c>
      <c r="N4424" s="1">
        <v>873</v>
      </c>
      <c r="O4424" s="4">
        <v>4.5999999999999999E-2</v>
      </c>
      <c r="P4424" s="1" t="s">
        <v>2721</v>
      </c>
    </row>
    <row r="4425" spans="1:16">
      <c r="A4425" s="1" t="s">
        <v>15</v>
      </c>
      <c r="B4425" s="1">
        <v>11</v>
      </c>
      <c r="C4425" s="1" t="s">
        <v>8919</v>
      </c>
      <c r="D4425" s="1" t="s">
        <v>955</v>
      </c>
      <c r="E4425" s="2">
        <v>45986</v>
      </c>
      <c r="F4425" s="1" t="s">
        <v>554</v>
      </c>
      <c r="G4425" s="1" t="s">
        <v>956</v>
      </c>
      <c r="H4425" s="1" t="s">
        <v>2654</v>
      </c>
      <c r="I4425" s="1">
        <v>1</v>
      </c>
      <c r="J4425" s="3">
        <v>31653</v>
      </c>
      <c r="K4425" s="3">
        <v>30204</v>
      </c>
      <c r="L4425" s="1">
        <v>0</v>
      </c>
      <c r="M4425" s="4">
        <v>0</v>
      </c>
      <c r="N4425" s="3">
        <v>1449</v>
      </c>
      <c r="O4425" s="4">
        <v>4.5999999999999999E-2</v>
      </c>
      <c r="P4425" s="1" t="s">
        <v>2721</v>
      </c>
    </row>
    <row r="4426" spans="1:16">
      <c r="A4426" s="1" t="s">
        <v>15</v>
      </c>
      <c r="B4426" s="1">
        <v>11</v>
      </c>
      <c r="C4426" s="1" t="s">
        <v>8919</v>
      </c>
      <c r="D4426" s="1" t="s">
        <v>906</v>
      </c>
      <c r="E4426" s="2">
        <v>45986</v>
      </c>
      <c r="F4426" s="1" t="s">
        <v>554</v>
      </c>
      <c r="G4426" s="1" t="s">
        <v>907</v>
      </c>
      <c r="H4426" s="1" t="s">
        <v>2935</v>
      </c>
      <c r="I4426" s="1">
        <v>1</v>
      </c>
      <c r="J4426" s="3">
        <v>23936</v>
      </c>
      <c r="K4426" s="3">
        <v>22840</v>
      </c>
      <c r="L4426" s="1">
        <v>0</v>
      </c>
      <c r="M4426" s="4">
        <v>0</v>
      </c>
      <c r="N4426" s="3">
        <v>1096</v>
      </c>
      <c r="O4426" s="4">
        <v>4.5999999999999999E-2</v>
      </c>
      <c r="P4426" s="1" t="s">
        <v>2721</v>
      </c>
    </row>
    <row r="4427" spans="1:16">
      <c r="A4427" s="1" t="s">
        <v>15</v>
      </c>
      <c r="B4427" s="1">
        <v>11</v>
      </c>
      <c r="C4427" s="1" t="s">
        <v>8920</v>
      </c>
      <c r="D4427" s="1" t="s">
        <v>311</v>
      </c>
      <c r="E4427" s="2">
        <v>45986</v>
      </c>
      <c r="F4427" s="1" t="s">
        <v>312</v>
      </c>
      <c r="G4427" s="1" t="s">
        <v>313</v>
      </c>
      <c r="H4427" s="1" t="s">
        <v>8283</v>
      </c>
      <c r="I4427" s="1">
        <v>1</v>
      </c>
      <c r="J4427" s="3">
        <v>28310</v>
      </c>
      <c r="K4427" s="3">
        <v>27014</v>
      </c>
      <c r="L4427" s="1">
        <v>0</v>
      </c>
      <c r="M4427" s="4">
        <v>0</v>
      </c>
      <c r="N4427" s="3">
        <v>1296</v>
      </c>
      <c r="O4427" s="4">
        <v>4.5999999999999999E-2</v>
      </c>
      <c r="P4427" s="1" t="s">
        <v>2721</v>
      </c>
    </row>
    <row r="4428" spans="1:16">
      <c r="A4428" s="1" t="s">
        <v>15</v>
      </c>
      <c r="B4428" s="1">
        <v>11</v>
      </c>
      <c r="C4428" s="1" t="s">
        <v>8921</v>
      </c>
      <c r="D4428" s="1" t="s">
        <v>8922</v>
      </c>
      <c r="E4428" s="2">
        <v>45986</v>
      </c>
      <c r="F4428" s="1" t="s">
        <v>235</v>
      </c>
      <c r="G4428" s="1" t="s">
        <v>8923</v>
      </c>
      <c r="H4428" s="1" t="s">
        <v>8924</v>
      </c>
      <c r="I4428" s="1">
        <v>1</v>
      </c>
      <c r="J4428" s="3">
        <v>11747</v>
      </c>
      <c r="K4428" s="3">
        <v>11209</v>
      </c>
      <c r="L4428" s="1">
        <v>0</v>
      </c>
      <c r="M4428" s="4">
        <v>0</v>
      </c>
      <c r="N4428" s="1">
        <v>538</v>
      </c>
      <c r="O4428" s="4">
        <v>4.5999999999999999E-2</v>
      </c>
      <c r="P4428" s="1" t="s">
        <v>2721</v>
      </c>
    </row>
    <row r="4429" spans="1:16">
      <c r="A4429" s="1" t="s">
        <v>15</v>
      </c>
      <c r="B4429" s="1">
        <v>11</v>
      </c>
      <c r="C4429" s="1" t="s">
        <v>8925</v>
      </c>
      <c r="D4429" s="1" t="s">
        <v>250</v>
      </c>
      <c r="E4429" s="2">
        <v>45986</v>
      </c>
      <c r="F4429" s="1" t="s">
        <v>251</v>
      </c>
      <c r="G4429" s="1" t="s">
        <v>252</v>
      </c>
      <c r="H4429" s="1" t="s">
        <v>2279</v>
      </c>
      <c r="I4429" s="1">
        <v>1</v>
      </c>
      <c r="J4429" s="3">
        <v>21626</v>
      </c>
      <c r="K4429" s="3">
        <v>20636</v>
      </c>
      <c r="L4429" s="1">
        <v>0</v>
      </c>
      <c r="M4429" s="4">
        <v>0</v>
      </c>
      <c r="N4429" s="1">
        <v>990</v>
      </c>
      <c r="O4429" s="4">
        <v>4.5999999999999999E-2</v>
      </c>
      <c r="P4429" s="1" t="s">
        <v>2721</v>
      </c>
    </row>
    <row r="4430" spans="1:16">
      <c r="A4430" s="1" t="s">
        <v>15</v>
      </c>
      <c r="B4430" s="1">
        <v>11</v>
      </c>
      <c r="C4430" s="1" t="s">
        <v>8926</v>
      </c>
      <c r="D4430" s="1" t="s">
        <v>311</v>
      </c>
      <c r="E4430" s="2">
        <v>45986</v>
      </c>
      <c r="F4430" s="1" t="s">
        <v>312</v>
      </c>
      <c r="G4430" s="1" t="s">
        <v>313</v>
      </c>
      <c r="H4430" s="1" t="s">
        <v>339</v>
      </c>
      <c r="I4430" s="1">
        <v>2</v>
      </c>
      <c r="J4430" s="3">
        <v>56621</v>
      </c>
      <c r="K4430" s="3">
        <v>54029</v>
      </c>
      <c r="L4430" s="1">
        <v>0</v>
      </c>
      <c r="M4430" s="4">
        <v>0</v>
      </c>
      <c r="N4430" s="3">
        <v>2592</v>
      </c>
      <c r="O4430" s="4">
        <v>4.5999999999999999E-2</v>
      </c>
      <c r="P4430" s="1" t="s">
        <v>2721</v>
      </c>
    </row>
    <row r="4431" spans="1:16">
      <c r="A4431" s="1" t="s">
        <v>15</v>
      </c>
      <c r="B4431" s="1">
        <v>11</v>
      </c>
      <c r="C4431" s="1" t="s">
        <v>8927</v>
      </c>
      <c r="D4431" s="1" t="s">
        <v>504</v>
      </c>
      <c r="E4431" s="2">
        <v>45986</v>
      </c>
      <c r="F4431" s="1" t="s">
        <v>407</v>
      </c>
      <c r="G4431" s="1" t="s">
        <v>505</v>
      </c>
      <c r="H4431" s="1" t="s">
        <v>506</v>
      </c>
      <c r="I4431" s="1">
        <v>1</v>
      </c>
      <c r="J4431" s="3">
        <v>40303</v>
      </c>
      <c r="K4431" s="3">
        <v>38458</v>
      </c>
      <c r="L4431" s="1">
        <v>0</v>
      </c>
      <c r="M4431" s="4">
        <v>0</v>
      </c>
      <c r="N4431" s="3">
        <v>1845</v>
      </c>
      <c r="O4431" s="4">
        <v>4.5999999999999999E-2</v>
      </c>
      <c r="P4431" s="1" t="s">
        <v>2721</v>
      </c>
    </row>
    <row r="4432" spans="1:16">
      <c r="A4432" s="1" t="s">
        <v>15</v>
      </c>
      <c r="B4432" s="1">
        <v>11</v>
      </c>
      <c r="C4432" s="1" t="s">
        <v>8928</v>
      </c>
      <c r="D4432" s="1" t="s">
        <v>8929</v>
      </c>
      <c r="E4432" s="2">
        <v>45986</v>
      </c>
      <c r="F4432" s="1" t="s">
        <v>400</v>
      </c>
      <c r="G4432" s="1" t="s">
        <v>8930</v>
      </c>
      <c r="H4432" s="1" t="s">
        <v>8931</v>
      </c>
      <c r="I4432" s="1">
        <v>1</v>
      </c>
      <c r="J4432" s="3">
        <v>23592</v>
      </c>
      <c r="K4432" s="3">
        <v>22512</v>
      </c>
      <c r="L4432" s="1">
        <v>0</v>
      </c>
      <c r="M4432" s="4">
        <v>0</v>
      </c>
      <c r="N4432" s="3">
        <v>1080</v>
      </c>
      <c r="O4432" s="4">
        <v>4.5999999999999999E-2</v>
      </c>
      <c r="P4432" s="1" t="s">
        <v>2721</v>
      </c>
    </row>
    <row r="4433" spans="1:16">
      <c r="A4433" s="1" t="s">
        <v>15</v>
      </c>
      <c r="B4433" s="1">
        <v>11</v>
      </c>
      <c r="C4433" s="1" t="s">
        <v>8932</v>
      </c>
      <c r="D4433" s="1" t="s">
        <v>797</v>
      </c>
      <c r="E4433" s="2">
        <v>45986</v>
      </c>
      <c r="F4433" s="1" t="s">
        <v>798</v>
      </c>
      <c r="G4433" s="1" t="s">
        <v>799</v>
      </c>
      <c r="H4433" s="1" t="s">
        <v>1331</v>
      </c>
      <c r="I4433" s="1">
        <v>1</v>
      </c>
      <c r="J4433" s="3">
        <v>13271</v>
      </c>
      <c r="K4433" s="3">
        <v>12663</v>
      </c>
      <c r="L4433" s="1">
        <v>0</v>
      </c>
      <c r="M4433" s="4">
        <v>0</v>
      </c>
      <c r="N4433" s="1">
        <v>608</v>
      </c>
      <c r="O4433" s="4">
        <v>4.5999999999999999E-2</v>
      </c>
      <c r="P4433" s="1" t="s">
        <v>2721</v>
      </c>
    </row>
    <row r="4434" spans="1:16">
      <c r="A4434" s="1" t="s">
        <v>15</v>
      </c>
      <c r="B4434" s="1">
        <v>11</v>
      </c>
      <c r="C4434" s="1" t="s">
        <v>8933</v>
      </c>
      <c r="D4434" s="1" t="s">
        <v>2584</v>
      </c>
      <c r="E4434" s="2">
        <v>45986</v>
      </c>
      <c r="F4434" s="1" t="s">
        <v>1688</v>
      </c>
      <c r="G4434" s="1" t="s">
        <v>2585</v>
      </c>
      <c r="H4434" s="1" t="s">
        <v>2586</v>
      </c>
      <c r="I4434" s="1">
        <v>2</v>
      </c>
      <c r="J4434" s="3">
        <v>68122</v>
      </c>
      <c r="K4434" s="3">
        <v>65003</v>
      </c>
      <c r="L4434" s="1">
        <v>0</v>
      </c>
      <c r="M4434" s="4">
        <v>0</v>
      </c>
      <c r="N4434" s="3">
        <v>3119</v>
      </c>
      <c r="O4434" s="4">
        <v>4.5999999999999999E-2</v>
      </c>
      <c r="P4434" s="1" t="s">
        <v>2721</v>
      </c>
    </row>
    <row r="4435" spans="1:16">
      <c r="A4435" s="1" t="s">
        <v>15</v>
      </c>
      <c r="B4435" s="1">
        <v>11</v>
      </c>
      <c r="C4435" s="1" t="s">
        <v>8934</v>
      </c>
      <c r="D4435" s="1" t="s">
        <v>1375</v>
      </c>
      <c r="E4435" s="2">
        <v>45986</v>
      </c>
      <c r="F4435" s="1" t="s">
        <v>256</v>
      </c>
      <c r="G4435" s="1" t="s">
        <v>1376</v>
      </c>
      <c r="H4435" s="1" t="s">
        <v>2376</v>
      </c>
      <c r="I4435" s="1">
        <v>3</v>
      </c>
      <c r="J4435" s="3">
        <v>15482</v>
      </c>
      <c r="K4435" s="3">
        <v>14774</v>
      </c>
      <c r="L4435" s="1">
        <v>0</v>
      </c>
      <c r="M4435" s="4">
        <v>0</v>
      </c>
      <c r="N4435" s="1">
        <v>708</v>
      </c>
      <c r="O4435" s="4">
        <v>4.5999999999999999E-2</v>
      </c>
      <c r="P4435" s="1" t="s">
        <v>2721</v>
      </c>
    </row>
    <row r="4436" spans="1:16">
      <c r="A4436" s="1" t="s">
        <v>15</v>
      </c>
      <c r="B4436" s="1">
        <v>11</v>
      </c>
      <c r="C4436" s="1" t="s">
        <v>8935</v>
      </c>
      <c r="D4436" s="1" t="s">
        <v>90</v>
      </c>
      <c r="E4436" s="2">
        <v>45986</v>
      </c>
      <c r="F4436" s="1" t="s">
        <v>91</v>
      </c>
      <c r="G4436" s="1" t="s">
        <v>92</v>
      </c>
      <c r="H4436" s="1" t="s">
        <v>383</v>
      </c>
      <c r="I4436" s="1">
        <v>2</v>
      </c>
      <c r="J4436" s="3">
        <v>27052</v>
      </c>
      <c r="K4436" s="3">
        <v>25814</v>
      </c>
      <c r="L4436" s="1">
        <v>0</v>
      </c>
      <c r="M4436" s="4">
        <v>0</v>
      </c>
      <c r="N4436" s="3">
        <v>1238</v>
      </c>
      <c r="O4436" s="4">
        <v>4.5999999999999999E-2</v>
      </c>
      <c r="P4436" s="1" t="s">
        <v>2721</v>
      </c>
    </row>
    <row r="4437" spans="1:16">
      <c r="A4437" s="1" t="s">
        <v>15</v>
      </c>
      <c r="B4437" s="1">
        <v>11</v>
      </c>
      <c r="C4437" s="1" t="s">
        <v>8936</v>
      </c>
      <c r="D4437" s="1" t="s">
        <v>6161</v>
      </c>
      <c r="E4437" s="2">
        <v>45986</v>
      </c>
      <c r="F4437" s="1" t="s">
        <v>500</v>
      </c>
      <c r="G4437" s="1" t="s">
        <v>4892</v>
      </c>
      <c r="H4437" s="1" t="s">
        <v>4893</v>
      </c>
      <c r="I4437" s="1">
        <v>1</v>
      </c>
      <c r="J4437" s="3">
        <v>288193</v>
      </c>
      <c r="K4437" s="3">
        <v>275000</v>
      </c>
      <c r="L4437" s="1">
        <v>0</v>
      </c>
      <c r="M4437" s="4">
        <v>0</v>
      </c>
      <c r="N4437" s="3">
        <v>13193</v>
      </c>
      <c r="O4437" s="4">
        <v>4.5999999999999999E-2</v>
      </c>
      <c r="P4437" s="1" t="s">
        <v>2721</v>
      </c>
    </row>
    <row r="4438" spans="1:16">
      <c r="A4438" s="1" t="s">
        <v>15</v>
      </c>
      <c r="B4438" s="1">
        <v>11</v>
      </c>
      <c r="C4438" s="1" t="s">
        <v>8937</v>
      </c>
      <c r="D4438" s="1" t="s">
        <v>132</v>
      </c>
      <c r="E4438" s="2">
        <v>45986</v>
      </c>
      <c r="F4438" s="1" t="s">
        <v>53</v>
      </c>
      <c r="G4438" s="1" t="s">
        <v>133</v>
      </c>
      <c r="H4438" s="1" t="s">
        <v>88</v>
      </c>
      <c r="I4438" s="1">
        <v>2</v>
      </c>
      <c r="J4438" s="3">
        <v>34073</v>
      </c>
      <c r="K4438" s="3">
        <v>32513</v>
      </c>
      <c r="L4438" s="1">
        <v>0</v>
      </c>
      <c r="M4438" s="4">
        <v>0</v>
      </c>
      <c r="N4438" s="3">
        <v>1560</v>
      </c>
      <c r="O4438" s="4">
        <v>4.5999999999999999E-2</v>
      </c>
      <c r="P4438" s="1" t="s">
        <v>2721</v>
      </c>
    </row>
    <row r="4439" spans="1:16">
      <c r="A4439" s="1" t="s">
        <v>15</v>
      </c>
      <c r="B4439" s="1">
        <v>11</v>
      </c>
      <c r="C4439" s="1" t="s">
        <v>8938</v>
      </c>
      <c r="D4439" s="1" t="s">
        <v>3607</v>
      </c>
      <c r="E4439" s="2">
        <v>45986</v>
      </c>
      <c r="F4439" s="1" t="s">
        <v>58</v>
      </c>
      <c r="G4439" s="1" t="s">
        <v>3608</v>
      </c>
      <c r="H4439" s="1" t="s">
        <v>3609</v>
      </c>
      <c r="I4439" s="1">
        <v>1</v>
      </c>
      <c r="J4439" s="3">
        <v>21842</v>
      </c>
      <c r="K4439" s="3">
        <v>20842</v>
      </c>
      <c r="L4439" s="1">
        <v>0</v>
      </c>
      <c r="M4439" s="4">
        <v>0</v>
      </c>
      <c r="N4439" s="3">
        <v>1000</v>
      </c>
      <c r="O4439" s="4">
        <v>4.5999999999999999E-2</v>
      </c>
      <c r="P4439" s="1" t="s">
        <v>2721</v>
      </c>
    </row>
    <row r="4440" spans="1:16">
      <c r="A4440" s="1" t="s">
        <v>15</v>
      </c>
      <c r="B4440" s="1">
        <v>11</v>
      </c>
      <c r="C4440" s="1" t="s">
        <v>8939</v>
      </c>
      <c r="D4440" s="1" t="s">
        <v>1531</v>
      </c>
      <c r="E4440" s="2">
        <v>45986</v>
      </c>
      <c r="F4440" s="1" t="s">
        <v>53</v>
      </c>
      <c r="G4440" s="1" t="s">
        <v>1532</v>
      </c>
      <c r="H4440" s="1" t="s">
        <v>1533</v>
      </c>
      <c r="I4440" s="1">
        <v>1</v>
      </c>
      <c r="J4440" s="3">
        <v>8022</v>
      </c>
      <c r="K4440" s="3">
        <v>7655</v>
      </c>
      <c r="L4440" s="1">
        <v>0</v>
      </c>
      <c r="M4440" s="4">
        <v>0</v>
      </c>
      <c r="N4440" s="1">
        <v>367</v>
      </c>
      <c r="O4440" s="4">
        <v>4.5999999999999999E-2</v>
      </c>
      <c r="P4440" s="1" t="s">
        <v>2721</v>
      </c>
    </row>
    <row r="4441" spans="1:16">
      <c r="A4441" s="1" t="s">
        <v>15</v>
      </c>
      <c r="B4441" s="1">
        <v>11</v>
      </c>
      <c r="C4441" s="1" t="s">
        <v>8940</v>
      </c>
      <c r="D4441" s="1" t="s">
        <v>2512</v>
      </c>
      <c r="E4441" s="2">
        <v>45986</v>
      </c>
      <c r="F4441" s="1" t="s">
        <v>395</v>
      </c>
      <c r="G4441" s="1" t="s">
        <v>2513</v>
      </c>
      <c r="H4441" s="1" t="s">
        <v>2514</v>
      </c>
      <c r="I4441" s="1">
        <v>1</v>
      </c>
      <c r="J4441" s="3">
        <v>24575</v>
      </c>
      <c r="K4441" s="3">
        <v>23450</v>
      </c>
      <c r="L4441" s="1">
        <v>0</v>
      </c>
      <c r="M4441" s="4">
        <v>0</v>
      </c>
      <c r="N4441" s="3">
        <v>1125</v>
      </c>
      <c r="O4441" s="4">
        <v>4.5999999999999999E-2</v>
      </c>
      <c r="P4441" s="1" t="s">
        <v>2721</v>
      </c>
    </row>
    <row r="4442" spans="1:16">
      <c r="A4442" s="1" t="s">
        <v>15</v>
      </c>
      <c r="B4442" s="1">
        <v>11</v>
      </c>
      <c r="C4442" s="1" t="s">
        <v>8941</v>
      </c>
      <c r="D4442" s="1" t="s">
        <v>504</v>
      </c>
      <c r="E4442" s="2">
        <v>45986</v>
      </c>
      <c r="F4442" s="1" t="s">
        <v>407</v>
      </c>
      <c r="G4442" s="1" t="s">
        <v>505</v>
      </c>
      <c r="H4442" s="1" t="s">
        <v>1322</v>
      </c>
      <c r="I4442" s="1">
        <v>1</v>
      </c>
      <c r="J4442" s="3">
        <v>23592</v>
      </c>
      <c r="K4442" s="3">
        <v>22512</v>
      </c>
      <c r="L4442" s="1">
        <v>0</v>
      </c>
      <c r="M4442" s="4">
        <v>0</v>
      </c>
      <c r="N4442" s="3">
        <v>1080</v>
      </c>
      <c r="O4442" s="4">
        <v>4.5999999999999999E-2</v>
      </c>
      <c r="P4442" s="1" t="s">
        <v>2721</v>
      </c>
    </row>
    <row r="4443" spans="1:16">
      <c r="A4443" s="1" t="s">
        <v>15</v>
      </c>
      <c r="B4443" s="1">
        <v>11</v>
      </c>
      <c r="C4443" s="1" t="s">
        <v>8942</v>
      </c>
      <c r="D4443" s="1" t="s">
        <v>1467</v>
      </c>
      <c r="E4443" s="2">
        <v>45986</v>
      </c>
      <c r="F4443" s="1" t="s">
        <v>126</v>
      </c>
      <c r="G4443" s="1" t="s">
        <v>1468</v>
      </c>
      <c r="H4443" s="1" t="s">
        <v>6107</v>
      </c>
      <c r="I4443" s="1">
        <v>1</v>
      </c>
      <c r="J4443" s="3">
        <v>21528</v>
      </c>
      <c r="K4443" s="3">
        <v>20542</v>
      </c>
      <c r="L4443" s="1">
        <v>0</v>
      </c>
      <c r="M4443" s="4">
        <v>0</v>
      </c>
      <c r="N4443" s="1">
        <v>986</v>
      </c>
      <c r="O4443" s="4">
        <v>4.5999999999999999E-2</v>
      </c>
      <c r="P4443" s="1" t="s">
        <v>2721</v>
      </c>
    </row>
    <row r="4444" spans="1:16">
      <c r="A4444" s="1" t="s">
        <v>15</v>
      </c>
      <c r="B4444" s="1">
        <v>11</v>
      </c>
      <c r="C4444" s="1" t="s">
        <v>8943</v>
      </c>
      <c r="D4444" s="1" t="s">
        <v>516</v>
      </c>
      <c r="E4444" s="2">
        <v>45986</v>
      </c>
      <c r="F4444" s="1" t="s">
        <v>517</v>
      </c>
      <c r="G4444" s="1" t="s">
        <v>518</v>
      </c>
      <c r="H4444" s="1" t="s">
        <v>519</v>
      </c>
      <c r="I4444" s="1">
        <v>1</v>
      </c>
      <c r="J4444" s="3">
        <v>21528</v>
      </c>
      <c r="K4444" s="3">
        <v>20542</v>
      </c>
      <c r="L4444" s="1">
        <v>0</v>
      </c>
      <c r="M4444" s="4">
        <v>0</v>
      </c>
      <c r="N4444" s="1">
        <v>986</v>
      </c>
      <c r="O4444" s="4">
        <v>4.5999999999999999E-2</v>
      </c>
      <c r="P4444" s="1" t="s">
        <v>2721</v>
      </c>
    </row>
    <row r="4445" spans="1:16">
      <c r="A4445" s="1" t="s">
        <v>15</v>
      </c>
      <c r="B4445" s="1">
        <v>11</v>
      </c>
      <c r="C4445" s="1" t="s">
        <v>8944</v>
      </c>
      <c r="D4445" s="1" t="s">
        <v>3328</v>
      </c>
      <c r="E4445" s="2">
        <v>45986</v>
      </c>
      <c r="F4445" s="1" t="s">
        <v>488</v>
      </c>
      <c r="G4445" s="1" t="s">
        <v>3329</v>
      </c>
      <c r="H4445" s="1" t="s">
        <v>3330</v>
      </c>
      <c r="I4445" s="1">
        <v>1</v>
      </c>
      <c r="J4445" s="3">
        <v>17694</v>
      </c>
      <c r="K4445" s="3">
        <v>16884</v>
      </c>
      <c r="L4445" s="1">
        <v>0</v>
      </c>
      <c r="M4445" s="4">
        <v>0</v>
      </c>
      <c r="N4445" s="1">
        <v>810</v>
      </c>
      <c r="O4445" s="4">
        <v>4.5999999999999999E-2</v>
      </c>
      <c r="P4445" s="1" t="s">
        <v>2721</v>
      </c>
    </row>
    <row r="4446" spans="1:16">
      <c r="A4446" s="1" t="s">
        <v>15</v>
      </c>
      <c r="B4446" s="1">
        <v>11</v>
      </c>
      <c r="C4446" s="1" t="s">
        <v>8945</v>
      </c>
      <c r="D4446" s="1" t="s">
        <v>8946</v>
      </c>
      <c r="E4446" s="2">
        <v>45986</v>
      </c>
      <c r="F4446" s="1" t="s">
        <v>500</v>
      </c>
      <c r="G4446" s="1" t="s">
        <v>8947</v>
      </c>
      <c r="H4446" s="1" t="s">
        <v>8948</v>
      </c>
      <c r="I4446" s="1">
        <v>1</v>
      </c>
      <c r="J4446" s="3">
        <v>169066</v>
      </c>
      <c r="K4446" s="3">
        <v>161327</v>
      </c>
      <c r="L4446" s="1">
        <v>0</v>
      </c>
      <c r="M4446" s="4">
        <v>0</v>
      </c>
      <c r="N4446" s="3">
        <v>7739</v>
      </c>
      <c r="O4446" s="4">
        <v>4.5999999999999999E-2</v>
      </c>
      <c r="P4446" s="1" t="s">
        <v>2721</v>
      </c>
    </row>
    <row r="4447" spans="1:16">
      <c r="A4447" s="1" t="s">
        <v>15</v>
      </c>
      <c r="B4447" s="1">
        <v>11</v>
      </c>
      <c r="C4447" s="1" t="s">
        <v>8949</v>
      </c>
      <c r="D4447" s="1" t="s">
        <v>367</v>
      </c>
      <c r="E4447" s="2">
        <v>45986</v>
      </c>
      <c r="F4447" s="1" t="s">
        <v>368</v>
      </c>
      <c r="G4447" s="1" t="s">
        <v>369</v>
      </c>
      <c r="H4447" s="1" t="s">
        <v>370</v>
      </c>
      <c r="I4447" s="1">
        <v>1</v>
      </c>
      <c r="J4447" s="3">
        <v>14470</v>
      </c>
      <c r="K4447" s="3">
        <v>13807</v>
      </c>
      <c r="L4447" s="1">
        <v>0</v>
      </c>
      <c r="M4447" s="4">
        <v>0</v>
      </c>
      <c r="N4447" s="1">
        <v>663</v>
      </c>
      <c r="O4447" s="4">
        <v>4.5999999999999999E-2</v>
      </c>
      <c r="P4447" s="1" t="s">
        <v>2721</v>
      </c>
    </row>
    <row r="4448" spans="1:16">
      <c r="A4448" s="1" t="s">
        <v>15</v>
      </c>
      <c r="B4448" s="1">
        <v>11</v>
      </c>
      <c r="C4448" s="1" t="s">
        <v>8950</v>
      </c>
      <c r="D4448" s="1" t="s">
        <v>1177</v>
      </c>
      <c r="E4448" s="2">
        <v>45986</v>
      </c>
      <c r="F4448" s="1" t="s">
        <v>251</v>
      </c>
      <c r="G4448" s="1" t="s">
        <v>1178</v>
      </c>
      <c r="H4448" s="1" t="s">
        <v>1179</v>
      </c>
      <c r="I4448" s="1">
        <v>1</v>
      </c>
      <c r="J4448" s="3">
        <v>21429</v>
      </c>
      <c r="K4448" s="3">
        <v>20448</v>
      </c>
      <c r="L4448" s="1">
        <v>0</v>
      </c>
      <c r="M4448" s="4">
        <v>0</v>
      </c>
      <c r="N4448" s="1">
        <v>981</v>
      </c>
      <c r="O4448" s="4">
        <v>4.5999999999999999E-2</v>
      </c>
      <c r="P4448" s="1" t="s">
        <v>2721</v>
      </c>
    </row>
    <row r="4449" spans="1:16">
      <c r="A4449" s="1" t="s">
        <v>15</v>
      </c>
      <c r="B4449" s="1">
        <v>11</v>
      </c>
      <c r="C4449" s="1" t="s">
        <v>8951</v>
      </c>
      <c r="D4449" s="1" t="s">
        <v>3680</v>
      </c>
      <c r="E4449" s="2">
        <v>45986</v>
      </c>
      <c r="F4449" s="1" t="s">
        <v>488</v>
      </c>
      <c r="G4449" s="1" t="s">
        <v>3681</v>
      </c>
      <c r="H4449" s="1" t="s">
        <v>3682</v>
      </c>
      <c r="I4449" s="1">
        <v>1</v>
      </c>
      <c r="J4449" s="3">
        <v>11786</v>
      </c>
      <c r="K4449" s="3">
        <v>11247</v>
      </c>
      <c r="L4449" s="1">
        <v>0</v>
      </c>
      <c r="M4449" s="4">
        <v>0</v>
      </c>
      <c r="N4449" s="1">
        <v>539</v>
      </c>
      <c r="O4449" s="4">
        <v>4.5999999999999999E-2</v>
      </c>
      <c r="P4449" s="1" t="s">
        <v>2721</v>
      </c>
    </row>
    <row r="4450" spans="1:16">
      <c r="A4450" s="1" t="s">
        <v>15</v>
      </c>
      <c r="B4450" s="1">
        <v>11</v>
      </c>
      <c r="C4450" s="1" t="s">
        <v>8951</v>
      </c>
      <c r="D4450" s="1" t="s">
        <v>3719</v>
      </c>
      <c r="E4450" s="2">
        <v>45986</v>
      </c>
      <c r="F4450" s="1" t="s">
        <v>488</v>
      </c>
      <c r="G4450" s="1" t="s">
        <v>3720</v>
      </c>
      <c r="H4450" s="1" t="s">
        <v>3721</v>
      </c>
      <c r="I4450" s="1">
        <v>1</v>
      </c>
      <c r="J4450" s="3">
        <v>8542</v>
      </c>
      <c r="K4450" s="3">
        <v>8151</v>
      </c>
      <c r="L4450" s="1">
        <v>0</v>
      </c>
      <c r="M4450" s="4">
        <v>0</v>
      </c>
      <c r="N4450" s="1">
        <v>391</v>
      </c>
      <c r="O4450" s="4">
        <v>4.5999999999999999E-2</v>
      </c>
      <c r="P4450" s="1" t="s">
        <v>2721</v>
      </c>
    </row>
    <row r="4451" spans="1:16">
      <c r="A4451" s="1" t="s">
        <v>15</v>
      </c>
      <c r="B4451" s="1">
        <v>11</v>
      </c>
      <c r="C4451" s="1" t="s">
        <v>8951</v>
      </c>
      <c r="D4451" s="1" t="s">
        <v>487</v>
      </c>
      <c r="E4451" s="2">
        <v>45986</v>
      </c>
      <c r="F4451" s="1" t="s">
        <v>488</v>
      </c>
      <c r="G4451" s="1" t="s">
        <v>489</v>
      </c>
      <c r="H4451" s="1" t="s">
        <v>490</v>
      </c>
      <c r="I4451" s="1">
        <v>1</v>
      </c>
      <c r="J4451" s="3">
        <v>19169</v>
      </c>
      <c r="K4451" s="3">
        <v>18291</v>
      </c>
      <c r="L4451" s="1">
        <v>0</v>
      </c>
      <c r="M4451" s="4">
        <v>0</v>
      </c>
      <c r="N4451" s="1">
        <v>878</v>
      </c>
      <c r="O4451" s="4">
        <v>4.5999999999999999E-2</v>
      </c>
      <c r="P4451" s="1" t="s">
        <v>2721</v>
      </c>
    </row>
    <row r="4452" spans="1:16">
      <c r="A4452" s="1" t="s">
        <v>15</v>
      </c>
      <c r="B4452" s="1">
        <v>11</v>
      </c>
      <c r="C4452" s="1" t="s">
        <v>8952</v>
      </c>
      <c r="D4452" s="1" t="s">
        <v>5055</v>
      </c>
      <c r="E4452" s="2">
        <v>45986</v>
      </c>
      <c r="F4452" s="1" t="s">
        <v>53</v>
      </c>
      <c r="G4452" s="1" t="s">
        <v>5056</v>
      </c>
      <c r="H4452" s="1" t="s">
        <v>8953</v>
      </c>
      <c r="I4452" s="1">
        <v>1</v>
      </c>
      <c r="J4452" s="3">
        <v>16135</v>
      </c>
      <c r="K4452" s="3">
        <v>15396</v>
      </c>
      <c r="L4452" s="1">
        <v>0</v>
      </c>
      <c r="M4452" s="4">
        <v>0</v>
      </c>
      <c r="N4452" s="1">
        <v>739</v>
      </c>
      <c r="O4452" s="4">
        <v>4.5999999999999999E-2</v>
      </c>
      <c r="P4452" s="1" t="s">
        <v>2721</v>
      </c>
    </row>
    <row r="4453" spans="1:16">
      <c r="A4453" s="1" t="s">
        <v>15</v>
      </c>
      <c r="B4453" s="1">
        <v>11</v>
      </c>
      <c r="C4453" s="1" t="s">
        <v>8954</v>
      </c>
      <c r="D4453" s="1" t="s">
        <v>5822</v>
      </c>
      <c r="E4453" s="2">
        <v>45986</v>
      </c>
      <c r="F4453" s="1" t="s">
        <v>4061</v>
      </c>
      <c r="G4453" s="1" t="s">
        <v>5823</v>
      </c>
      <c r="H4453" s="1" t="s">
        <v>8955</v>
      </c>
      <c r="I4453" s="1">
        <v>1</v>
      </c>
      <c r="J4453" s="3">
        <v>34405</v>
      </c>
      <c r="K4453" s="3">
        <v>32830</v>
      </c>
      <c r="L4453" s="1">
        <v>0</v>
      </c>
      <c r="M4453" s="4">
        <v>0</v>
      </c>
      <c r="N4453" s="3">
        <v>1575</v>
      </c>
      <c r="O4453" s="4">
        <v>4.5999999999999999E-2</v>
      </c>
      <c r="P4453" s="1" t="s">
        <v>2721</v>
      </c>
    </row>
    <row r="4454" spans="1:16">
      <c r="A4454" s="1" t="s">
        <v>15</v>
      </c>
      <c r="B4454" s="1">
        <v>11</v>
      </c>
      <c r="C4454" s="1" t="s">
        <v>8954</v>
      </c>
      <c r="D4454" s="1" t="s">
        <v>5822</v>
      </c>
      <c r="E4454" s="2">
        <v>45986</v>
      </c>
      <c r="F4454" s="1" t="s">
        <v>4061</v>
      </c>
      <c r="G4454" s="1" t="s">
        <v>5823</v>
      </c>
      <c r="H4454" s="1" t="s">
        <v>8956</v>
      </c>
      <c r="I4454" s="1">
        <v>1</v>
      </c>
      <c r="J4454" s="3">
        <v>31456</v>
      </c>
      <c r="K4454" s="3">
        <v>30016</v>
      </c>
      <c r="L4454" s="1">
        <v>0</v>
      </c>
      <c r="M4454" s="4">
        <v>0</v>
      </c>
      <c r="N4454" s="3">
        <v>1440</v>
      </c>
      <c r="O4454" s="4">
        <v>4.5999999999999999E-2</v>
      </c>
      <c r="P4454" s="1" t="s">
        <v>2721</v>
      </c>
    </row>
    <row r="4455" spans="1:16">
      <c r="A4455" s="1" t="s">
        <v>15</v>
      </c>
      <c r="B4455" s="1">
        <v>11</v>
      </c>
      <c r="C4455" s="1" t="s">
        <v>8957</v>
      </c>
      <c r="D4455" s="1" t="s">
        <v>5822</v>
      </c>
      <c r="E4455" s="2">
        <v>45986</v>
      </c>
      <c r="F4455" s="1" t="s">
        <v>4061</v>
      </c>
      <c r="G4455" s="1" t="s">
        <v>5823</v>
      </c>
      <c r="H4455" s="1" t="s">
        <v>8956</v>
      </c>
      <c r="I4455" s="1">
        <v>1</v>
      </c>
      <c r="J4455" s="3">
        <v>31456</v>
      </c>
      <c r="K4455" s="3">
        <v>30016</v>
      </c>
      <c r="L4455" s="1">
        <v>0</v>
      </c>
      <c r="M4455" s="4">
        <v>0</v>
      </c>
      <c r="N4455" s="3">
        <v>1440</v>
      </c>
      <c r="O4455" s="4">
        <v>4.5999999999999999E-2</v>
      </c>
      <c r="P4455" s="1" t="s">
        <v>2721</v>
      </c>
    </row>
    <row r="4456" spans="1:16">
      <c r="A4456" s="1" t="s">
        <v>15</v>
      </c>
      <c r="B4456" s="1">
        <v>11</v>
      </c>
      <c r="C4456" s="1" t="s">
        <v>8958</v>
      </c>
      <c r="D4456" s="1" t="s">
        <v>878</v>
      </c>
      <c r="E4456" s="2">
        <v>45986</v>
      </c>
      <c r="F4456" s="1" t="s">
        <v>856</v>
      </c>
      <c r="G4456" s="1" t="s">
        <v>879</v>
      </c>
      <c r="H4456" s="1" t="s">
        <v>880</v>
      </c>
      <c r="I4456" s="1">
        <v>1</v>
      </c>
      <c r="J4456" s="3">
        <v>89453</v>
      </c>
      <c r="K4456" s="3">
        <v>85358</v>
      </c>
      <c r="L4456" s="1">
        <v>0</v>
      </c>
      <c r="M4456" s="4">
        <v>0</v>
      </c>
      <c r="N4456" s="3">
        <v>4095</v>
      </c>
      <c r="O4456" s="4">
        <v>4.5999999999999999E-2</v>
      </c>
      <c r="P4456" s="1" t="s">
        <v>2721</v>
      </c>
    </row>
    <row r="4457" spans="1:16">
      <c r="A4457" s="1" t="s">
        <v>15</v>
      </c>
      <c r="B4457" s="1">
        <v>11</v>
      </c>
      <c r="C4457" s="1" t="s">
        <v>8959</v>
      </c>
      <c r="D4457" s="1" t="s">
        <v>1133</v>
      </c>
      <c r="E4457" s="2">
        <v>45986</v>
      </c>
      <c r="F4457" s="1" t="s">
        <v>347</v>
      </c>
      <c r="G4457" s="1" t="s">
        <v>1134</v>
      </c>
      <c r="H4457" s="1" t="s">
        <v>1340</v>
      </c>
      <c r="I4457" s="1">
        <v>1</v>
      </c>
      <c r="J4457" s="3">
        <v>22519</v>
      </c>
      <c r="K4457" s="3">
        <v>21488</v>
      </c>
      <c r="L4457" s="1">
        <v>0</v>
      </c>
      <c r="M4457" s="4">
        <v>0</v>
      </c>
      <c r="N4457" s="3">
        <v>1031</v>
      </c>
      <c r="O4457" s="4">
        <v>4.5999999999999999E-2</v>
      </c>
      <c r="P4457" s="1" t="s">
        <v>2721</v>
      </c>
    </row>
    <row r="4458" spans="1:16">
      <c r="A4458" s="1" t="s">
        <v>15</v>
      </c>
      <c r="B4458" s="1">
        <v>11</v>
      </c>
      <c r="C4458" s="1" t="s">
        <v>8960</v>
      </c>
      <c r="D4458" s="1" t="s">
        <v>899</v>
      </c>
      <c r="E4458" s="2">
        <v>45986</v>
      </c>
      <c r="F4458" s="1" t="s">
        <v>500</v>
      </c>
      <c r="G4458" s="1" t="s">
        <v>900</v>
      </c>
      <c r="H4458" s="1" t="s">
        <v>901</v>
      </c>
      <c r="I4458" s="1">
        <v>1</v>
      </c>
      <c r="J4458" s="3">
        <v>105846</v>
      </c>
      <c r="K4458" s="3">
        <v>101000</v>
      </c>
      <c r="L4458" s="1">
        <v>0</v>
      </c>
      <c r="M4458" s="4">
        <v>0</v>
      </c>
      <c r="N4458" s="3">
        <v>4846</v>
      </c>
      <c r="O4458" s="4">
        <v>4.5999999999999999E-2</v>
      </c>
      <c r="P4458" s="1" t="s">
        <v>2721</v>
      </c>
    </row>
    <row r="4459" spans="1:16">
      <c r="A4459" s="1" t="s">
        <v>15</v>
      </c>
      <c r="B4459" s="1">
        <v>11</v>
      </c>
      <c r="C4459" s="1" t="s">
        <v>8961</v>
      </c>
      <c r="D4459" s="1" t="s">
        <v>463</v>
      </c>
      <c r="E4459" s="2">
        <v>45986</v>
      </c>
      <c r="F4459" s="1" t="s">
        <v>464</v>
      </c>
      <c r="G4459" s="1" t="s">
        <v>465</v>
      </c>
      <c r="H4459" s="1" t="s">
        <v>466</v>
      </c>
      <c r="I4459" s="1">
        <v>1</v>
      </c>
      <c r="J4459" s="3">
        <v>11624</v>
      </c>
      <c r="K4459" s="3">
        <v>11092</v>
      </c>
      <c r="L4459" s="1">
        <v>0</v>
      </c>
      <c r="M4459" s="4">
        <v>0</v>
      </c>
      <c r="N4459" s="1">
        <v>532</v>
      </c>
      <c r="O4459" s="4">
        <v>4.5999999999999999E-2</v>
      </c>
      <c r="P4459" s="1" t="s">
        <v>2721</v>
      </c>
    </row>
    <row r="4460" spans="1:16">
      <c r="A4460" s="1" t="s">
        <v>15</v>
      </c>
      <c r="B4460" s="1">
        <v>11</v>
      </c>
      <c r="C4460" s="1" t="s">
        <v>8962</v>
      </c>
      <c r="D4460" s="1" t="s">
        <v>27</v>
      </c>
      <c r="E4460" s="2">
        <v>45986</v>
      </c>
      <c r="F4460" s="1" t="s">
        <v>28</v>
      </c>
      <c r="G4460" s="1" t="s">
        <v>29</v>
      </c>
      <c r="H4460" s="1" t="s">
        <v>352</v>
      </c>
      <c r="I4460" s="1">
        <v>1</v>
      </c>
      <c r="J4460" s="3">
        <v>27033</v>
      </c>
      <c r="K4460" s="3">
        <v>25795</v>
      </c>
      <c r="L4460" s="1">
        <v>0</v>
      </c>
      <c r="M4460" s="4">
        <v>0</v>
      </c>
      <c r="N4460" s="3">
        <v>1238</v>
      </c>
      <c r="O4460" s="4">
        <v>4.5999999999999999E-2</v>
      </c>
      <c r="P4460" s="1" t="s">
        <v>2721</v>
      </c>
    </row>
    <row r="4461" spans="1:16">
      <c r="A4461" s="1" t="s">
        <v>15</v>
      </c>
      <c r="B4461" s="1">
        <v>11</v>
      </c>
      <c r="C4461" s="1" t="s">
        <v>8962</v>
      </c>
      <c r="D4461" s="1" t="s">
        <v>516</v>
      </c>
      <c r="E4461" s="2">
        <v>45986</v>
      </c>
      <c r="F4461" s="1" t="s">
        <v>517</v>
      </c>
      <c r="G4461" s="1" t="s">
        <v>518</v>
      </c>
      <c r="H4461" s="1" t="s">
        <v>519</v>
      </c>
      <c r="I4461" s="1">
        <v>1</v>
      </c>
      <c r="J4461" s="3">
        <v>21528</v>
      </c>
      <c r="K4461" s="3">
        <v>20542</v>
      </c>
      <c r="L4461" s="1">
        <v>0</v>
      </c>
      <c r="M4461" s="4">
        <v>0</v>
      </c>
      <c r="N4461" s="1">
        <v>986</v>
      </c>
      <c r="O4461" s="4">
        <v>4.5999999999999999E-2</v>
      </c>
      <c r="P4461" s="1" t="s">
        <v>2721</v>
      </c>
    </row>
    <row r="4462" spans="1:16">
      <c r="A4462" s="1" t="s">
        <v>15</v>
      </c>
      <c r="B4462" s="1">
        <v>11</v>
      </c>
      <c r="C4462" s="1" t="s">
        <v>8963</v>
      </c>
      <c r="D4462" s="1" t="s">
        <v>1250</v>
      </c>
      <c r="E4462" s="2">
        <v>45986</v>
      </c>
      <c r="F4462" s="1" t="s">
        <v>18</v>
      </c>
      <c r="G4462" s="1" t="s">
        <v>1251</v>
      </c>
      <c r="H4462" s="1" t="s">
        <v>20</v>
      </c>
      <c r="I4462" s="1">
        <v>1</v>
      </c>
      <c r="J4462" s="3">
        <v>8395</v>
      </c>
      <c r="K4462" s="3">
        <v>8011</v>
      </c>
      <c r="L4462" s="1">
        <v>0</v>
      </c>
      <c r="M4462" s="4">
        <v>0</v>
      </c>
      <c r="N4462" s="1">
        <v>384</v>
      </c>
      <c r="O4462" s="4">
        <v>4.5999999999999999E-2</v>
      </c>
      <c r="P4462" s="1" t="s">
        <v>2721</v>
      </c>
    </row>
    <row r="4463" spans="1:16">
      <c r="A4463" s="1" t="s">
        <v>15</v>
      </c>
      <c r="B4463" s="1">
        <v>11</v>
      </c>
      <c r="C4463" s="1" t="s">
        <v>8964</v>
      </c>
      <c r="D4463" s="1" t="s">
        <v>1302</v>
      </c>
      <c r="E4463" s="2">
        <v>45986</v>
      </c>
      <c r="F4463" s="1" t="s">
        <v>256</v>
      </c>
      <c r="G4463" s="1" t="s">
        <v>1303</v>
      </c>
      <c r="H4463" s="1" t="s">
        <v>1304</v>
      </c>
      <c r="I4463" s="1">
        <v>1</v>
      </c>
      <c r="J4463" s="3">
        <v>4944</v>
      </c>
      <c r="K4463" s="3">
        <v>4718</v>
      </c>
      <c r="L4463" s="1">
        <v>0</v>
      </c>
      <c r="M4463" s="4">
        <v>0</v>
      </c>
      <c r="N4463" s="1">
        <v>226</v>
      </c>
      <c r="O4463" s="4">
        <v>4.5999999999999999E-2</v>
      </c>
      <c r="P4463" s="1" t="s">
        <v>2721</v>
      </c>
    </row>
    <row r="4464" spans="1:16">
      <c r="A4464" s="1" t="s">
        <v>15</v>
      </c>
      <c r="B4464" s="1">
        <v>11</v>
      </c>
      <c r="C4464" s="1" t="s">
        <v>8965</v>
      </c>
      <c r="D4464" s="1" t="s">
        <v>2486</v>
      </c>
      <c r="E4464" s="2">
        <v>45986</v>
      </c>
      <c r="F4464" s="1" t="s">
        <v>276</v>
      </c>
      <c r="G4464" s="1" t="s">
        <v>2487</v>
      </c>
      <c r="H4464" s="1" t="s">
        <v>2488</v>
      </c>
      <c r="I4464" s="1">
        <v>1</v>
      </c>
      <c r="J4464" s="3">
        <v>15772</v>
      </c>
      <c r="K4464" s="3">
        <v>15050</v>
      </c>
      <c r="L4464" s="1">
        <v>0</v>
      </c>
      <c r="M4464" s="4">
        <v>0</v>
      </c>
      <c r="N4464" s="1">
        <v>722</v>
      </c>
      <c r="O4464" s="4">
        <v>4.5999999999999999E-2</v>
      </c>
      <c r="P4464" s="1" t="s">
        <v>2721</v>
      </c>
    </row>
    <row r="4465" spans="1:16">
      <c r="A4465" s="1" t="s">
        <v>15</v>
      </c>
      <c r="B4465" s="1">
        <v>11</v>
      </c>
      <c r="C4465" s="1" t="s">
        <v>8966</v>
      </c>
      <c r="D4465" s="1" t="s">
        <v>329</v>
      </c>
      <c r="E4465" s="2">
        <v>45986</v>
      </c>
      <c r="F4465" s="1" t="s">
        <v>174</v>
      </c>
      <c r="G4465" s="1" t="s">
        <v>330</v>
      </c>
      <c r="H4465" s="1" t="s">
        <v>331</v>
      </c>
      <c r="I4465" s="1">
        <v>1</v>
      </c>
      <c r="J4465" s="3">
        <v>16711</v>
      </c>
      <c r="K4465" s="3">
        <v>15946</v>
      </c>
      <c r="L4465" s="1">
        <v>0</v>
      </c>
      <c r="M4465" s="4">
        <v>0</v>
      </c>
      <c r="N4465" s="1">
        <v>765</v>
      </c>
      <c r="O4465" s="4">
        <v>4.5999999999999999E-2</v>
      </c>
      <c r="P4465" s="1" t="s">
        <v>2721</v>
      </c>
    </row>
    <row r="4466" spans="1:16">
      <c r="A4466" s="1" t="s">
        <v>15</v>
      </c>
      <c r="B4466" s="1">
        <v>11</v>
      </c>
      <c r="C4466" s="1" t="s">
        <v>8967</v>
      </c>
      <c r="D4466" s="1" t="s">
        <v>3703</v>
      </c>
      <c r="E4466" s="2">
        <v>45986</v>
      </c>
      <c r="F4466" s="1" t="s">
        <v>77</v>
      </c>
      <c r="G4466" s="1" t="s">
        <v>3704</v>
      </c>
      <c r="H4466" s="1" t="s">
        <v>3704</v>
      </c>
      <c r="I4466" s="1">
        <v>1</v>
      </c>
      <c r="J4466" s="3">
        <v>11231</v>
      </c>
      <c r="K4466" s="3">
        <v>10717</v>
      </c>
      <c r="L4466" s="1">
        <v>0</v>
      </c>
      <c r="M4466" s="4">
        <v>0</v>
      </c>
      <c r="N4466" s="1">
        <v>514</v>
      </c>
      <c r="O4466" s="4">
        <v>4.5999999999999999E-2</v>
      </c>
      <c r="P4466" s="1" t="s">
        <v>2721</v>
      </c>
    </row>
    <row r="4467" spans="1:16">
      <c r="A4467" s="1" t="s">
        <v>15</v>
      </c>
      <c r="B4467" s="1">
        <v>11</v>
      </c>
      <c r="C4467" s="1" t="s">
        <v>8968</v>
      </c>
      <c r="D4467" s="1" t="s">
        <v>3585</v>
      </c>
      <c r="E4467" s="2">
        <v>45986</v>
      </c>
      <c r="F4467" s="1" t="s">
        <v>856</v>
      </c>
      <c r="G4467" s="1" t="s">
        <v>3586</v>
      </c>
      <c r="H4467" s="1" t="s">
        <v>3587</v>
      </c>
      <c r="I4467" s="1">
        <v>1</v>
      </c>
      <c r="J4467" s="3">
        <v>103215</v>
      </c>
      <c r="K4467" s="3">
        <v>98490</v>
      </c>
      <c r="L4467" s="1">
        <v>0</v>
      </c>
      <c r="M4467" s="4">
        <v>0</v>
      </c>
      <c r="N4467" s="3">
        <v>4725</v>
      </c>
      <c r="O4467" s="4">
        <v>4.5999999999999999E-2</v>
      </c>
      <c r="P4467" s="1" t="s">
        <v>2721</v>
      </c>
    </row>
    <row r="4468" spans="1:16">
      <c r="A4468" s="1" t="s">
        <v>15</v>
      </c>
      <c r="B4468" s="1">
        <v>11</v>
      </c>
      <c r="C4468" s="1" t="s">
        <v>8969</v>
      </c>
      <c r="D4468" s="1" t="s">
        <v>52</v>
      </c>
      <c r="E4468" s="2">
        <v>45986</v>
      </c>
      <c r="F4468" s="1" t="s">
        <v>53</v>
      </c>
      <c r="G4468" s="1" t="s">
        <v>54</v>
      </c>
      <c r="H4468" s="1" t="s">
        <v>248</v>
      </c>
      <c r="I4468" s="1">
        <v>1</v>
      </c>
      <c r="J4468" s="3">
        <v>16135</v>
      </c>
      <c r="K4468" s="3">
        <v>15396</v>
      </c>
      <c r="L4468" s="1">
        <v>0</v>
      </c>
      <c r="M4468" s="4">
        <v>0</v>
      </c>
      <c r="N4468" s="1">
        <v>739</v>
      </c>
      <c r="O4468" s="4">
        <v>4.5999999999999999E-2</v>
      </c>
      <c r="P4468" s="1" t="s">
        <v>2721</v>
      </c>
    </row>
    <row r="4469" spans="1:16">
      <c r="A4469" s="1" t="s">
        <v>15</v>
      </c>
      <c r="B4469" s="1">
        <v>11</v>
      </c>
      <c r="C4469" s="1" t="s">
        <v>8970</v>
      </c>
      <c r="D4469" s="1" t="s">
        <v>169</v>
      </c>
      <c r="E4469" s="2">
        <v>45986</v>
      </c>
      <c r="F4469" s="1" t="s">
        <v>53</v>
      </c>
      <c r="G4469" s="1" t="s">
        <v>170</v>
      </c>
      <c r="H4469" s="1" t="s">
        <v>171</v>
      </c>
      <c r="I4469" s="1">
        <v>1</v>
      </c>
      <c r="J4469" s="3">
        <v>14332</v>
      </c>
      <c r="K4469" s="3">
        <v>13676</v>
      </c>
      <c r="L4469" s="1">
        <v>0</v>
      </c>
      <c r="M4469" s="4">
        <v>0</v>
      </c>
      <c r="N4469" s="1">
        <v>656</v>
      </c>
      <c r="O4469" s="4">
        <v>4.5999999999999999E-2</v>
      </c>
      <c r="P4469" s="1" t="s">
        <v>2721</v>
      </c>
    </row>
    <row r="4470" spans="1:16">
      <c r="A4470" s="1" t="s">
        <v>15</v>
      </c>
      <c r="B4470" s="1">
        <v>11</v>
      </c>
      <c r="C4470" s="1" t="s">
        <v>8971</v>
      </c>
      <c r="D4470" s="1" t="s">
        <v>1531</v>
      </c>
      <c r="E4470" s="2">
        <v>45986</v>
      </c>
      <c r="F4470" s="1" t="s">
        <v>53</v>
      </c>
      <c r="G4470" s="1" t="s">
        <v>1532</v>
      </c>
      <c r="H4470" s="1" t="s">
        <v>1533</v>
      </c>
      <c r="I4470" s="1">
        <v>1</v>
      </c>
      <c r="J4470" s="3">
        <v>8022</v>
      </c>
      <c r="K4470" s="3">
        <v>7655</v>
      </c>
      <c r="L4470" s="1">
        <v>0</v>
      </c>
      <c r="M4470" s="4">
        <v>0</v>
      </c>
      <c r="N4470" s="1">
        <v>367</v>
      </c>
      <c r="O4470" s="4">
        <v>4.5999999999999999E-2</v>
      </c>
      <c r="P4470" s="1" t="s">
        <v>2721</v>
      </c>
    </row>
    <row r="4471" spans="1:16">
      <c r="A4471" s="1" t="s">
        <v>15</v>
      </c>
      <c r="B4471" s="1">
        <v>11</v>
      </c>
      <c r="C4471" s="1" t="s">
        <v>8972</v>
      </c>
      <c r="D4471" s="1" t="s">
        <v>3592</v>
      </c>
      <c r="E4471" s="2">
        <v>45986</v>
      </c>
      <c r="F4471" s="1" t="s">
        <v>261</v>
      </c>
      <c r="G4471" s="1" t="s">
        <v>3593</v>
      </c>
      <c r="H4471" s="1" t="s">
        <v>3593</v>
      </c>
      <c r="I4471" s="1">
        <v>1</v>
      </c>
      <c r="J4471" s="3">
        <v>70776</v>
      </c>
      <c r="K4471" s="3">
        <v>67536</v>
      </c>
      <c r="L4471" s="1">
        <v>0</v>
      </c>
      <c r="M4471" s="4">
        <v>0</v>
      </c>
      <c r="N4471" s="3">
        <v>3240</v>
      </c>
      <c r="O4471" s="4">
        <v>4.5999999999999999E-2</v>
      </c>
      <c r="P4471" s="1" t="s">
        <v>2721</v>
      </c>
    </row>
    <row r="4472" spans="1:16">
      <c r="A4472" s="1" t="s">
        <v>15</v>
      </c>
      <c r="B4472" s="1">
        <v>11</v>
      </c>
      <c r="C4472" s="1" t="s">
        <v>8973</v>
      </c>
      <c r="D4472" s="1" t="s">
        <v>1375</v>
      </c>
      <c r="E4472" s="2">
        <v>45986</v>
      </c>
      <c r="F4472" s="1" t="s">
        <v>256</v>
      </c>
      <c r="G4472" s="1" t="s">
        <v>1376</v>
      </c>
      <c r="H4472" s="1" t="s">
        <v>2376</v>
      </c>
      <c r="I4472" s="1">
        <v>1</v>
      </c>
      <c r="J4472" s="3">
        <v>5161</v>
      </c>
      <c r="K4472" s="3">
        <v>4925</v>
      </c>
      <c r="L4472" s="1">
        <v>0</v>
      </c>
      <c r="M4472" s="4">
        <v>0</v>
      </c>
      <c r="N4472" s="1">
        <v>236</v>
      </c>
      <c r="O4472" s="4">
        <v>4.5999999999999999E-2</v>
      </c>
      <c r="P4472" s="1" t="s">
        <v>2721</v>
      </c>
    </row>
    <row r="4473" spans="1:16">
      <c r="A4473" s="1" t="s">
        <v>15</v>
      </c>
      <c r="B4473" s="1">
        <v>11</v>
      </c>
      <c r="C4473" s="1" t="s">
        <v>8974</v>
      </c>
      <c r="D4473" s="1" t="s">
        <v>523</v>
      </c>
      <c r="E4473" s="2">
        <v>45986</v>
      </c>
      <c r="F4473" s="1" t="s">
        <v>524</v>
      </c>
      <c r="G4473" s="1" t="s">
        <v>525</v>
      </c>
      <c r="H4473" s="1" t="s">
        <v>526</v>
      </c>
      <c r="I4473" s="1">
        <v>1</v>
      </c>
      <c r="J4473" s="3">
        <v>23907</v>
      </c>
      <c r="K4473" s="3">
        <v>22812</v>
      </c>
      <c r="L4473" s="1">
        <v>0</v>
      </c>
      <c r="M4473" s="4">
        <v>0</v>
      </c>
      <c r="N4473" s="3">
        <v>1095</v>
      </c>
      <c r="O4473" s="4">
        <v>4.5999999999999999E-2</v>
      </c>
      <c r="P4473" s="1" t="s">
        <v>2721</v>
      </c>
    </row>
    <row r="4474" spans="1:16">
      <c r="A4474" s="1" t="s">
        <v>15</v>
      </c>
      <c r="B4474" s="1">
        <v>11</v>
      </c>
      <c r="C4474" s="1" t="s">
        <v>8975</v>
      </c>
      <c r="D4474" s="1" t="s">
        <v>7928</v>
      </c>
      <c r="E4474" s="2">
        <v>45986</v>
      </c>
      <c r="F4474" s="1" t="s">
        <v>187</v>
      </c>
      <c r="G4474" s="1" t="s">
        <v>1734</v>
      </c>
      <c r="H4474" s="1" t="s">
        <v>1735</v>
      </c>
      <c r="I4474" s="1">
        <v>1</v>
      </c>
      <c r="J4474" s="3">
        <v>24872</v>
      </c>
      <c r="K4474" s="3">
        <v>23733</v>
      </c>
      <c r="L4474" s="1">
        <v>0</v>
      </c>
      <c r="M4474" s="4">
        <v>0</v>
      </c>
      <c r="N4474" s="3">
        <v>1139</v>
      </c>
      <c r="O4474" s="4">
        <v>4.5999999999999999E-2</v>
      </c>
      <c r="P4474" s="1" t="s">
        <v>2721</v>
      </c>
    </row>
    <row r="4475" spans="1:16">
      <c r="A4475" s="1" t="s">
        <v>15</v>
      </c>
      <c r="B4475" s="1">
        <v>11</v>
      </c>
      <c r="C4475" s="1" t="s">
        <v>8975</v>
      </c>
      <c r="D4475" s="1" t="s">
        <v>186</v>
      </c>
      <c r="E4475" s="2">
        <v>45986</v>
      </c>
      <c r="F4475" s="1" t="s">
        <v>187</v>
      </c>
      <c r="G4475" s="1" t="s">
        <v>188</v>
      </c>
      <c r="H4475" s="1" t="s">
        <v>189</v>
      </c>
      <c r="I4475" s="1">
        <v>1</v>
      </c>
      <c r="J4475" s="3">
        <v>19660</v>
      </c>
      <c r="K4475" s="3">
        <v>18760</v>
      </c>
      <c r="L4475" s="1">
        <v>0</v>
      </c>
      <c r="M4475" s="4">
        <v>0</v>
      </c>
      <c r="N4475" s="1">
        <v>900</v>
      </c>
      <c r="O4475" s="4">
        <v>4.5999999999999999E-2</v>
      </c>
      <c r="P4475" s="1" t="s">
        <v>2721</v>
      </c>
    </row>
    <row r="4476" spans="1:16">
      <c r="A4476" s="1" t="s">
        <v>15</v>
      </c>
      <c r="B4476" s="1">
        <v>11</v>
      </c>
      <c r="C4476" s="1" t="s">
        <v>8976</v>
      </c>
      <c r="D4476" s="1" t="s">
        <v>283</v>
      </c>
      <c r="E4476" s="2">
        <v>45986</v>
      </c>
      <c r="F4476" s="1" t="s">
        <v>200</v>
      </c>
      <c r="G4476" s="1" t="s">
        <v>284</v>
      </c>
      <c r="H4476" s="1" t="s">
        <v>7446</v>
      </c>
      <c r="I4476" s="1">
        <v>1</v>
      </c>
      <c r="J4476" s="3">
        <v>12779</v>
      </c>
      <c r="K4476" s="3">
        <v>12194</v>
      </c>
      <c r="L4476" s="1">
        <v>0</v>
      </c>
      <c r="M4476" s="4">
        <v>0</v>
      </c>
      <c r="N4476" s="1">
        <v>585</v>
      </c>
      <c r="O4476" s="4">
        <v>4.5999999999999999E-2</v>
      </c>
      <c r="P4476" s="1" t="s">
        <v>2721</v>
      </c>
    </row>
    <row r="4477" spans="1:16">
      <c r="A4477" s="1" t="s">
        <v>15</v>
      </c>
      <c r="B4477" s="1">
        <v>11</v>
      </c>
      <c r="C4477" s="1" t="s">
        <v>8977</v>
      </c>
      <c r="D4477" s="1" t="s">
        <v>270</v>
      </c>
      <c r="E4477" s="2">
        <v>45986</v>
      </c>
      <c r="F4477" s="1" t="s">
        <v>271</v>
      </c>
      <c r="G4477" s="1" t="s">
        <v>272</v>
      </c>
      <c r="H4477" s="1" t="s">
        <v>273</v>
      </c>
      <c r="I4477" s="1">
        <v>1</v>
      </c>
      <c r="J4477" s="3">
        <v>25067</v>
      </c>
      <c r="K4477" s="3">
        <v>23919</v>
      </c>
      <c r="L4477" s="1">
        <v>0</v>
      </c>
      <c r="M4477" s="4">
        <v>0</v>
      </c>
      <c r="N4477" s="3">
        <v>1148</v>
      </c>
      <c r="O4477" s="4">
        <v>4.5999999999999999E-2</v>
      </c>
      <c r="P4477" s="1" t="s">
        <v>2721</v>
      </c>
    </row>
    <row r="4478" spans="1:16">
      <c r="A4478" s="1" t="s">
        <v>15</v>
      </c>
      <c r="B4478" s="1">
        <v>11</v>
      </c>
      <c r="C4478" s="1" t="s">
        <v>8978</v>
      </c>
      <c r="D4478" s="1" t="s">
        <v>777</v>
      </c>
      <c r="E4478" s="2">
        <v>45986</v>
      </c>
      <c r="F4478" s="1" t="s">
        <v>256</v>
      </c>
      <c r="G4478" s="1" t="s">
        <v>778</v>
      </c>
      <c r="H4478" s="1" t="s">
        <v>8979</v>
      </c>
      <c r="I4478" s="1">
        <v>1</v>
      </c>
      <c r="J4478" s="3">
        <v>29588</v>
      </c>
      <c r="K4478" s="3">
        <v>28234</v>
      </c>
      <c r="L4478" s="1">
        <v>0</v>
      </c>
      <c r="M4478" s="4">
        <v>0</v>
      </c>
      <c r="N4478" s="3">
        <v>1354</v>
      </c>
      <c r="O4478" s="4">
        <v>4.5999999999999999E-2</v>
      </c>
      <c r="P4478" s="1" t="s">
        <v>2721</v>
      </c>
    </row>
    <row r="4479" spans="1:16">
      <c r="A4479" s="1" t="s">
        <v>15</v>
      </c>
      <c r="B4479" s="1">
        <v>11</v>
      </c>
      <c r="C4479" s="1" t="s">
        <v>8980</v>
      </c>
      <c r="D4479" s="1" t="s">
        <v>828</v>
      </c>
      <c r="E4479" s="2">
        <v>45986</v>
      </c>
      <c r="F4479" s="1" t="s">
        <v>689</v>
      </c>
      <c r="G4479" s="1" t="s">
        <v>829</v>
      </c>
      <c r="H4479" s="1" t="s">
        <v>830</v>
      </c>
      <c r="I4479" s="1">
        <v>1</v>
      </c>
      <c r="J4479" s="3">
        <v>12779</v>
      </c>
      <c r="K4479" s="3">
        <v>12194</v>
      </c>
      <c r="L4479" s="1">
        <v>0</v>
      </c>
      <c r="M4479" s="4">
        <v>0</v>
      </c>
      <c r="N4479" s="1">
        <v>585</v>
      </c>
      <c r="O4479" s="4">
        <v>4.5999999999999999E-2</v>
      </c>
      <c r="P4479" s="1" t="s">
        <v>2721</v>
      </c>
    </row>
    <row r="4480" spans="1:16">
      <c r="A4480" s="1" t="s">
        <v>15</v>
      </c>
      <c r="B4480" s="1">
        <v>11</v>
      </c>
      <c r="C4480" s="1" t="s">
        <v>8981</v>
      </c>
      <c r="D4480" s="1" t="s">
        <v>2329</v>
      </c>
      <c r="E4480" s="2">
        <v>45986</v>
      </c>
      <c r="F4480" s="1" t="s">
        <v>660</v>
      </c>
      <c r="G4480" s="1" t="s">
        <v>2330</v>
      </c>
      <c r="H4480" s="1" t="s">
        <v>2331</v>
      </c>
      <c r="I4480" s="1">
        <v>1</v>
      </c>
      <c r="J4480" s="3">
        <v>12582</v>
      </c>
      <c r="K4480" s="3">
        <v>12006</v>
      </c>
      <c r="L4480" s="1">
        <v>0</v>
      </c>
      <c r="M4480" s="4">
        <v>0</v>
      </c>
      <c r="N4480" s="1">
        <v>576</v>
      </c>
      <c r="O4480" s="4">
        <v>4.5999999999999999E-2</v>
      </c>
      <c r="P4480" s="1" t="s">
        <v>2721</v>
      </c>
    </row>
    <row r="4481" spans="1:16">
      <c r="A4481" s="1" t="s">
        <v>15</v>
      </c>
      <c r="B4481" s="1">
        <v>11</v>
      </c>
      <c r="C4481" s="1" t="s">
        <v>8982</v>
      </c>
      <c r="D4481" s="1" t="s">
        <v>1168</v>
      </c>
      <c r="E4481" s="2">
        <v>45986</v>
      </c>
      <c r="F4481" s="1" t="s">
        <v>53</v>
      </c>
      <c r="G4481" s="1" t="s">
        <v>1169</v>
      </c>
      <c r="H4481" s="1" t="s">
        <v>6465</v>
      </c>
      <c r="I4481" s="1">
        <v>1</v>
      </c>
      <c r="J4481" s="3">
        <v>7121</v>
      </c>
      <c r="K4481" s="3">
        <v>6795</v>
      </c>
      <c r="L4481" s="1">
        <v>0</v>
      </c>
      <c r="M4481" s="4">
        <v>0</v>
      </c>
      <c r="N4481" s="1">
        <v>326</v>
      </c>
      <c r="O4481" s="4">
        <v>4.5999999999999999E-2</v>
      </c>
      <c r="P4481" s="1" t="s">
        <v>2721</v>
      </c>
    </row>
    <row r="4482" spans="1:16">
      <c r="A4482" s="1" t="s">
        <v>15</v>
      </c>
      <c r="B4482" s="1">
        <v>11</v>
      </c>
      <c r="C4482" s="1" t="s">
        <v>8983</v>
      </c>
      <c r="D4482" s="1" t="s">
        <v>2524</v>
      </c>
      <c r="E4482" s="2">
        <v>45986</v>
      </c>
      <c r="F4482" s="1" t="s">
        <v>488</v>
      </c>
      <c r="G4482" s="1" t="s">
        <v>2525</v>
      </c>
      <c r="H4482" s="1" t="s">
        <v>2526</v>
      </c>
      <c r="I4482" s="1">
        <v>1</v>
      </c>
      <c r="J4482" s="3">
        <v>9339</v>
      </c>
      <c r="K4482" s="3">
        <v>8911</v>
      </c>
      <c r="L4482" s="1">
        <v>0</v>
      </c>
      <c r="M4482" s="4">
        <v>0</v>
      </c>
      <c r="N4482" s="1">
        <v>428</v>
      </c>
      <c r="O4482" s="4">
        <v>4.5999999999999999E-2</v>
      </c>
      <c r="P4482" s="1" t="s">
        <v>2721</v>
      </c>
    </row>
    <row r="4483" spans="1:16">
      <c r="A4483" s="1" t="s">
        <v>15</v>
      </c>
      <c r="B4483" s="1">
        <v>11</v>
      </c>
      <c r="C4483" s="1" t="s">
        <v>8984</v>
      </c>
      <c r="D4483" s="1" t="s">
        <v>2981</v>
      </c>
      <c r="E4483" s="2">
        <v>45986</v>
      </c>
      <c r="F4483" s="1" t="s">
        <v>1665</v>
      </c>
      <c r="G4483" s="1" t="s">
        <v>2982</v>
      </c>
      <c r="H4483" s="1" t="s">
        <v>8985</v>
      </c>
      <c r="I4483" s="1">
        <v>1</v>
      </c>
      <c r="J4483" s="3">
        <v>15276</v>
      </c>
      <c r="K4483" s="3">
        <v>14577</v>
      </c>
      <c r="L4483" s="1">
        <v>0</v>
      </c>
      <c r="M4483" s="4">
        <v>0</v>
      </c>
      <c r="N4483" s="1">
        <v>699</v>
      </c>
      <c r="O4483" s="4">
        <v>4.5999999999999999E-2</v>
      </c>
      <c r="P4483" s="1" t="s">
        <v>2721</v>
      </c>
    </row>
    <row r="4484" spans="1:16">
      <c r="A4484" s="1" t="s">
        <v>15</v>
      </c>
      <c r="B4484" s="1">
        <v>11</v>
      </c>
      <c r="C4484" s="1" t="s">
        <v>8986</v>
      </c>
      <c r="D4484" s="1" t="s">
        <v>132</v>
      </c>
      <c r="E4484" s="2">
        <v>45986</v>
      </c>
      <c r="F4484" s="1" t="s">
        <v>53</v>
      </c>
      <c r="G4484" s="1" t="s">
        <v>133</v>
      </c>
      <c r="H4484" s="1" t="s">
        <v>88</v>
      </c>
      <c r="I4484" s="1">
        <v>1</v>
      </c>
      <c r="J4484" s="3">
        <v>17036</v>
      </c>
      <c r="K4484" s="3">
        <v>16256</v>
      </c>
      <c r="L4484" s="1">
        <v>0</v>
      </c>
      <c r="M4484" s="4">
        <v>0</v>
      </c>
      <c r="N4484" s="1">
        <v>780</v>
      </c>
      <c r="O4484" s="4">
        <v>4.5999999999999999E-2</v>
      </c>
      <c r="P4484" s="1" t="s">
        <v>2721</v>
      </c>
    </row>
    <row r="4485" spans="1:16">
      <c r="A4485" s="1" t="s">
        <v>15</v>
      </c>
      <c r="B4485" s="1">
        <v>11</v>
      </c>
      <c r="C4485" s="1" t="s">
        <v>8987</v>
      </c>
      <c r="D4485" s="1" t="s">
        <v>169</v>
      </c>
      <c r="E4485" s="2">
        <v>45986</v>
      </c>
      <c r="F4485" s="1" t="s">
        <v>53</v>
      </c>
      <c r="G4485" s="1" t="s">
        <v>170</v>
      </c>
      <c r="H4485" s="1" t="s">
        <v>171</v>
      </c>
      <c r="I4485" s="1">
        <v>1</v>
      </c>
      <c r="J4485" s="3">
        <v>14332</v>
      </c>
      <c r="K4485" s="3">
        <v>13676</v>
      </c>
      <c r="L4485" s="1">
        <v>0</v>
      </c>
      <c r="M4485" s="4">
        <v>0</v>
      </c>
      <c r="N4485" s="1">
        <v>656</v>
      </c>
      <c r="O4485" s="4">
        <v>4.5999999999999999E-2</v>
      </c>
      <c r="P4485" s="1" t="s">
        <v>2721</v>
      </c>
    </row>
    <row r="4486" spans="1:16">
      <c r="A4486" s="1" t="s">
        <v>15</v>
      </c>
      <c r="B4486" s="1">
        <v>11</v>
      </c>
      <c r="C4486" s="1" t="s">
        <v>8988</v>
      </c>
      <c r="D4486" s="1" t="s">
        <v>2490</v>
      </c>
      <c r="E4486" s="2">
        <v>45986</v>
      </c>
      <c r="F4486" s="1" t="s">
        <v>753</v>
      </c>
      <c r="G4486" s="1" t="s">
        <v>2491</v>
      </c>
      <c r="H4486" s="1" t="s">
        <v>4873</v>
      </c>
      <c r="I4486" s="1">
        <v>2</v>
      </c>
      <c r="J4486" s="3">
        <v>95548</v>
      </c>
      <c r="K4486" s="3">
        <v>91174</v>
      </c>
      <c r="L4486" s="1">
        <v>0</v>
      </c>
      <c r="M4486" s="4">
        <v>0</v>
      </c>
      <c r="N4486" s="3">
        <v>4374</v>
      </c>
      <c r="O4486" s="4">
        <v>4.5999999999999999E-2</v>
      </c>
      <c r="P4486" s="1" t="s">
        <v>2721</v>
      </c>
    </row>
    <row r="4487" spans="1:16">
      <c r="A4487" s="1" t="s">
        <v>15</v>
      </c>
      <c r="B4487" s="1">
        <v>11</v>
      </c>
      <c r="C4487" s="1" t="s">
        <v>8988</v>
      </c>
      <c r="D4487" s="1" t="s">
        <v>2871</v>
      </c>
      <c r="E4487" s="2">
        <v>45986</v>
      </c>
      <c r="F4487" s="1" t="s">
        <v>441</v>
      </c>
      <c r="G4487" s="1" t="s">
        <v>2872</v>
      </c>
      <c r="H4487" s="1" t="s">
        <v>2873</v>
      </c>
      <c r="I4487" s="1">
        <v>1</v>
      </c>
      <c r="J4487" s="3">
        <v>31456</v>
      </c>
      <c r="K4487" s="3">
        <v>30016</v>
      </c>
      <c r="L4487" s="1">
        <v>0</v>
      </c>
      <c r="M4487" s="4">
        <v>0</v>
      </c>
      <c r="N4487" s="3">
        <v>1440</v>
      </c>
      <c r="O4487" s="4">
        <v>4.5999999999999999E-2</v>
      </c>
      <c r="P4487" s="1" t="s">
        <v>2721</v>
      </c>
    </row>
    <row r="4488" spans="1:16">
      <c r="A4488" s="1" t="s">
        <v>15</v>
      </c>
      <c r="B4488" s="1">
        <v>11</v>
      </c>
      <c r="C4488" s="1" t="s">
        <v>8989</v>
      </c>
      <c r="D4488" s="1" t="s">
        <v>160</v>
      </c>
      <c r="E4488" s="2">
        <v>45986</v>
      </c>
      <c r="F4488" s="1" t="s">
        <v>161</v>
      </c>
      <c r="G4488" s="1" t="s">
        <v>162</v>
      </c>
      <c r="H4488" s="1" t="s">
        <v>810</v>
      </c>
      <c r="I4488" s="1">
        <v>1</v>
      </c>
      <c r="J4488" s="3">
        <v>9928</v>
      </c>
      <c r="K4488" s="3">
        <v>9474</v>
      </c>
      <c r="L4488" s="1">
        <v>0</v>
      </c>
      <c r="M4488" s="4">
        <v>0</v>
      </c>
      <c r="N4488" s="1">
        <v>454</v>
      </c>
      <c r="O4488" s="4">
        <v>4.5999999999999999E-2</v>
      </c>
      <c r="P4488" s="1" t="s">
        <v>2721</v>
      </c>
    </row>
    <row r="4489" spans="1:16">
      <c r="A4489" s="1" t="s">
        <v>15</v>
      </c>
      <c r="B4489" s="1">
        <v>11</v>
      </c>
      <c r="C4489" s="1" t="s">
        <v>8990</v>
      </c>
      <c r="D4489" s="1" t="s">
        <v>504</v>
      </c>
      <c r="E4489" s="2">
        <v>45986</v>
      </c>
      <c r="F4489" s="1" t="s">
        <v>407</v>
      </c>
      <c r="G4489" s="1" t="s">
        <v>505</v>
      </c>
      <c r="H4489" s="1" t="s">
        <v>506</v>
      </c>
      <c r="I4489" s="1">
        <v>1</v>
      </c>
      <c r="J4489" s="3">
        <v>40303</v>
      </c>
      <c r="K4489" s="3">
        <v>38458</v>
      </c>
      <c r="L4489" s="1">
        <v>0</v>
      </c>
      <c r="M4489" s="4">
        <v>0</v>
      </c>
      <c r="N4489" s="3">
        <v>1845</v>
      </c>
      <c r="O4489" s="4">
        <v>4.5999999999999999E-2</v>
      </c>
      <c r="P4489" s="1" t="s">
        <v>2721</v>
      </c>
    </row>
    <row r="4490" spans="1:16">
      <c r="A4490" s="1" t="s">
        <v>15</v>
      </c>
      <c r="B4490" s="1">
        <v>11</v>
      </c>
      <c r="C4490" s="1" t="s">
        <v>8991</v>
      </c>
      <c r="D4490" s="1" t="s">
        <v>1669</v>
      </c>
      <c r="E4490" s="2">
        <v>45986</v>
      </c>
      <c r="F4490" s="1" t="s">
        <v>266</v>
      </c>
      <c r="G4490" s="1" t="s">
        <v>1670</v>
      </c>
      <c r="H4490" s="1" t="s">
        <v>1671</v>
      </c>
      <c r="I4490" s="1">
        <v>1</v>
      </c>
      <c r="J4490" s="3">
        <v>22511</v>
      </c>
      <c r="K4490" s="3">
        <v>21480</v>
      </c>
      <c r="L4490" s="1">
        <v>0</v>
      </c>
      <c r="M4490" s="4">
        <v>0</v>
      </c>
      <c r="N4490" s="3">
        <v>1031</v>
      </c>
      <c r="O4490" s="4">
        <v>4.5999999999999999E-2</v>
      </c>
      <c r="P4490" s="1" t="s">
        <v>2721</v>
      </c>
    </row>
    <row r="4491" spans="1:16">
      <c r="A4491" s="1" t="s">
        <v>15</v>
      </c>
      <c r="B4491" s="1">
        <v>11</v>
      </c>
      <c r="C4491" s="1" t="s">
        <v>8992</v>
      </c>
      <c r="D4491" s="1" t="s">
        <v>1191</v>
      </c>
      <c r="E4491" s="2">
        <v>45986</v>
      </c>
      <c r="F4491" s="1" t="s">
        <v>570</v>
      </c>
      <c r="G4491" s="1" t="s">
        <v>1192</v>
      </c>
      <c r="H4491" s="1" t="s">
        <v>1193</v>
      </c>
      <c r="I4491" s="1">
        <v>1</v>
      </c>
      <c r="J4491" s="3">
        <v>16514</v>
      </c>
      <c r="K4491" s="3">
        <v>15758</v>
      </c>
      <c r="L4491" s="1">
        <v>0</v>
      </c>
      <c r="M4491" s="4">
        <v>0</v>
      </c>
      <c r="N4491" s="1">
        <v>756</v>
      </c>
      <c r="O4491" s="4">
        <v>4.5999999999999999E-2</v>
      </c>
      <c r="P4491" s="1" t="s">
        <v>2721</v>
      </c>
    </row>
    <row r="4492" spans="1:16">
      <c r="A4492" s="1" t="s">
        <v>15</v>
      </c>
      <c r="B4492" s="1">
        <v>11</v>
      </c>
      <c r="C4492" s="1" t="s">
        <v>8993</v>
      </c>
      <c r="D4492" s="1" t="s">
        <v>482</v>
      </c>
      <c r="E4492" s="2">
        <v>45986</v>
      </c>
      <c r="F4492" s="1" t="s">
        <v>483</v>
      </c>
      <c r="G4492" s="1" t="s">
        <v>484</v>
      </c>
      <c r="H4492" s="1" t="s">
        <v>1039</v>
      </c>
      <c r="I4492" s="1">
        <v>1</v>
      </c>
      <c r="J4492" s="3">
        <v>27426</v>
      </c>
      <c r="K4492" s="3">
        <v>26170</v>
      </c>
      <c r="L4492" s="1">
        <v>0</v>
      </c>
      <c r="M4492" s="4">
        <v>0</v>
      </c>
      <c r="N4492" s="3">
        <v>1256</v>
      </c>
      <c r="O4492" s="4">
        <v>4.5999999999999999E-2</v>
      </c>
      <c r="P4492" s="1" t="s">
        <v>2721</v>
      </c>
    </row>
    <row r="4493" spans="1:16">
      <c r="A4493" s="1" t="s">
        <v>15</v>
      </c>
      <c r="B4493" s="1">
        <v>11</v>
      </c>
      <c r="C4493" s="1" t="s">
        <v>8993</v>
      </c>
      <c r="D4493" s="1" t="s">
        <v>482</v>
      </c>
      <c r="E4493" s="2">
        <v>45986</v>
      </c>
      <c r="F4493" s="1" t="s">
        <v>483</v>
      </c>
      <c r="G4493" s="1" t="s">
        <v>484</v>
      </c>
      <c r="H4493" s="1" t="s">
        <v>1777</v>
      </c>
      <c r="I4493" s="1">
        <v>1</v>
      </c>
      <c r="J4493" s="3">
        <v>27426</v>
      </c>
      <c r="K4493" s="3">
        <v>26170</v>
      </c>
      <c r="L4493" s="1">
        <v>0</v>
      </c>
      <c r="M4493" s="4">
        <v>0</v>
      </c>
      <c r="N4493" s="3">
        <v>1256</v>
      </c>
      <c r="O4493" s="4">
        <v>4.5999999999999999E-2</v>
      </c>
      <c r="P4493" s="1" t="s">
        <v>2721</v>
      </c>
    </row>
    <row r="4494" spans="1:16">
      <c r="A4494" s="1" t="s">
        <v>15</v>
      </c>
      <c r="B4494" s="1">
        <v>11</v>
      </c>
      <c r="C4494" s="1" t="s">
        <v>8994</v>
      </c>
      <c r="D4494" s="1" t="s">
        <v>169</v>
      </c>
      <c r="E4494" s="2">
        <v>45986</v>
      </c>
      <c r="F4494" s="1" t="s">
        <v>53</v>
      </c>
      <c r="G4494" s="1" t="s">
        <v>170</v>
      </c>
      <c r="H4494" s="1" t="s">
        <v>171</v>
      </c>
      <c r="I4494" s="1">
        <v>1</v>
      </c>
      <c r="J4494" s="3">
        <v>14332</v>
      </c>
      <c r="K4494" s="3">
        <v>13676</v>
      </c>
      <c r="L4494" s="1">
        <v>0</v>
      </c>
      <c r="M4494" s="4">
        <v>0</v>
      </c>
      <c r="N4494" s="1">
        <v>656</v>
      </c>
      <c r="O4494" s="4">
        <v>4.5999999999999999E-2</v>
      </c>
      <c r="P4494" s="1" t="s">
        <v>2721</v>
      </c>
    </row>
    <row r="4495" spans="1:16">
      <c r="A4495" s="1" t="s">
        <v>15</v>
      </c>
      <c r="B4495" s="1">
        <v>11</v>
      </c>
      <c r="C4495" s="1" t="s">
        <v>8995</v>
      </c>
      <c r="D4495" s="1" t="s">
        <v>165</v>
      </c>
      <c r="E4495" s="2">
        <v>45986</v>
      </c>
      <c r="F4495" s="1" t="s">
        <v>48</v>
      </c>
      <c r="G4495" s="1" t="s">
        <v>166</v>
      </c>
      <c r="H4495" s="1" t="s">
        <v>167</v>
      </c>
      <c r="I4495" s="1">
        <v>1</v>
      </c>
      <c r="J4495" s="3">
        <v>31562</v>
      </c>
      <c r="K4495" s="3">
        <v>30117</v>
      </c>
      <c r="L4495" s="1">
        <v>0</v>
      </c>
      <c r="M4495" s="4">
        <v>0</v>
      </c>
      <c r="N4495" s="3">
        <v>1445</v>
      </c>
      <c r="O4495" s="4">
        <v>4.5999999999999999E-2</v>
      </c>
      <c r="P4495" s="1" t="s">
        <v>2721</v>
      </c>
    </row>
    <row r="4496" spans="1:16">
      <c r="A4496" s="1" t="s">
        <v>15</v>
      </c>
      <c r="B4496" s="1">
        <v>11</v>
      </c>
      <c r="C4496" s="1" t="s">
        <v>8996</v>
      </c>
      <c r="D4496" s="1" t="s">
        <v>4667</v>
      </c>
      <c r="E4496" s="2">
        <v>45986</v>
      </c>
      <c r="F4496" s="1" t="s">
        <v>53</v>
      </c>
      <c r="G4496" s="1" t="s">
        <v>583</v>
      </c>
      <c r="H4496" s="1" t="s">
        <v>8997</v>
      </c>
      <c r="I4496" s="1">
        <v>1</v>
      </c>
      <c r="J4496" s="3">
        <v>13431</v>
      </c>
      <c r="K4496" s="3">
        <v>12816</v>
      </c>
      <c r="L4496" s="1">
        <v>0</v>
      </c>
      <c r="M4496" s="4">
        <v>0</v>
      </c>
      <c r="N4496" s="1">
        <v>615</v>
      </c>
      <c r="O4496" s="4">
        <v>4.5999999999999999E-2</v>
      </c>
      <c r="P4496" s="1" t="s">
        <v>2721</v>
      </c>
    </row>
    <row r="4497" spans="1:16">
      <c r="A4497" s="1" t="s">
        <v>15</v>
      </c>
      <c r="B4497" s="1">
        <v>11</v>
      </c>
      <c r="C4497" s="1" t="s">
        <v>8998</v>
      </c>
      <c r="D4497" s="1" t="s">
        <v>212</v>
      </c>
      <c r="E4497" s="2">
        <v>45986</v>
      </c>
      <c r="F4497" s="1" t="s">
        <v>213</v>
      </c>
      <c r="G4497" s="1" t="s">
        <v>214</v>
      </c>
      <c r="H4497" s="1" t="s">
        <v>215</v>
      </c>
      <c r="I4497" s="1">
        <v>1</v>
      </c>
      <c r="J4497" s="3">
        <v>16220</v>
      </c>
      <c r="K4497" s="3">
        <v>15477</v>
      </c>
      <c r="L4497" s="1">
        <v>0</v>
      </c>
      <c r="M4497" s="4">
        <v>0</v>
      </c>
      <c r="N4497" s="1">
        <v>743</v>
      </c>
      <c r="O4497" s="4">
        <v>4.5999999999999999E-2</v>
      </c>
      <c r="P4497" s="1" t="s">
        <v>2721</v>
      </c>
    </row>
    <row r="4498" spans="1:16">
      <c r="A4498" s="1" t="s">
        <v>15</v>
      </c>
      <c r="B4498" s="1">
        <v>11</v>
      </c>
      <c r="C4498" s="1" t="s">
        <v>8999</v>
      </c>
      <c r="D4498" s="1" t="s">
        <v>549</v>
      </c>
      <c r="E4498" s="2">
        <v>45986</v>
      </c>
      <c r="F4498" s="1" t="s">
        <v>63</v>
      </c>
      <c r="G4498" s="1" t="s">
        <v>550</v>
      </c>
      <c r="H4498" s="1" t="s">
        <v>551</v>
      </c>
      <c r="I4498" s="1">
        <v>1</v>
      </c>
      <c r="J4498" s="3">
        <v>15422</v>
      </c>
      <c r="K4498" s="3">
        <v>14716</v>
      </c>
      <c r="L4498" s="1">
        <v>0</v>
      </c>
      <c r="M4498" s="4">
        <v>0</v>
      </c>
      <c r="N4498" s="1">
        <v>706</v>
      </c>
      <c r="O4498" s="4">
        <v>4.5999999999999999E-2</v>
      </c>
      <c r="P4498" s="1" t="s">
        <v>2721</v>
      </c>
    </row>
    <row r="4499" spans="1:16">
      <c r="A4499" s="1" t="s">
        <v>15</v>
      </c>
      <c r="B4499" s="1">
        <v>11</v>
      </c>
      <c r="C4499" s="1" t="s">
        <v>9000</v>
      </c>
      <c r="D4499" s="1" t="s">
        <v>341</v>
      </c>
      <c r="E4499" s="2">
        <v>45986</v>
      </c>
      <c r="F4499" s="1" t="s">
        <v>53</v>
      </c>
      <c r="G4499" s="1" t="s">
        <v>342</v>
      </c>
      <c r="H4499" s="1" t="s">
        <v>343</v>
      </c>
      <c r="I4499" s="1">
        <v>1</v>
      </c>
      <c r="J4499" s="3">
        <v>16135</v>
      </c>
      <c r="K4499" s="3">
        <v>15396</v>
      </c>
      <c r="L4499" s="1">
        <v>0</v>
      </c>
      <c r="M4499" s="4">
        <v>0</v>
      </c>
      <c r="N4499" s="1">
        <v>739</v>
      </c>
      <c r="O4499" s="4">
        <v>4.5999999999999999E-2</v>
      </c>
      <c r="P4499" s="1" t="s">
        <v>2721</v>
      </c>
    </row>
    <row r="4500" spans="1:16">
      <c r="A4500" s="1" t="s">
        <v>15</v>
      </c>
      <c r="B4500" s="1">
        <v>11</v>
      </c>
      <c r="C4500" s="1" t="s">
        <v>9001</v>
      </c>
      <c r="D4500" s="1" t="s">
        <v>27</v>
      </c>
      <c r="E4500" s="2">
        <v>45986</v>
      </c>
      <c r="F4500" s="1" t="s">
        <v>28</v>
      </c>
      <c r="G4500" s="1" t="s">
        <v>29</v>
      </c>
      <c r="H4500" s="1" t="s">
        <v>30</v>
      </c>
      <c r="I4500" s="1">
        <v>1</v>
      </c>
      <c r="J4500" s="3">
        <v>27033</v>
      </c>
      <c r="K4500" s="3">
        <v>25795</v>
      </c>
      <c r="L4500" s="1">
        <v>0</v>
      </c>
      <c r="M4500" s="4">
        <v>0</v>
      </c>
      <c r="N4500" s="3">
        <v>1238</v>
      </c>
      <c r="O4500" s="4">
        <v>4.5999999999999999E-2</v>
      </c>
      <c r="P4500" s="1" t="s">
        <v>2721</v>
      </c>
    </row>
    <row r="4501" spans="1:16">
      <c r="A4501" s="1" t="s">
        <v>15</v>
      </c>
      <c r="B4501" s="1">
        <v>11</v>
      </c>
      <c r="C4501" s="1" t="s">
        <v>9001</v>
      </c>
      <c r="D4501" s="1" t="s">
        <v>9002</v>
      </c>
      <c r="E4501" s="2">
        <v>45986</v>
      </c>
      <c r="F4501" s="1" t="s">
        <v>534</v>
      </c>
      <c r="G4501" s="1" t="s">
        <v>9003</v>
      </c>
      <c r="H4501" s="1" t="s">
        <v>9004</v>
      </c>
      <c r="I4501" s="1">
        <v>1</v>
      </c>
      <c r="J4501" s="3">
        <v>18466</v>
      </c>
      <c r="K4501" s="3">
        <v>17620</v>
      </c>
      <c r="L4501" s="1">
        <v>0</v>
      </c>
      <c r="M4501" s="4">
        <v>0</v>
      </c>
      <c r="N4501" s="1">
        <v>846</v>
      </c>
      <c r="O4501" s="4">
        <v>4.5999999999999999E-2</v>
      </c>
      <c r="P4501" s="1" t="s">
        <v>2721</v>
      </c>
    </row>
    <row r="4502" spans="1:16">
      <c r="A4502" s="1" t="s">
        <v>15</v>
      </c>
      <c r="B4502" s="1">
        <v>11</v>
      </c>
      <c r="C4502" s="1" t="s">
        <v>9005</v>
      </c>
      <c r="D4502" s="1" t="s">
        <v>1026</v>
      </c>
      <c r="E4502" s="2">
        <v>45986</v>
      </c>
      <c r="F4502" s="1" t="s">
        <v>256</v>
      </c>
      <c r="G4502" s="1" t="s">
        <v>1027</v>
      </c>
      <c r="H4502" s="1" t="s">
        <v>1464</v>
      </c>
      <c r="I4502" s="1">
        <v>1</v>
      </c>
      <c r="J4502" s="3">
        <v>15433</v>
      </c>
      <c r="K4502" s="3">
        <v>14727</v>
      </c>
      <c r="L4502" s="1">
        <v>0</v>
      </c>
      <c r="M4502" s="4">
        <v>0</v>
      </c>
      <c r="N4502" s="1">
        <v>706</v>
      </c>
      <c r="O4502" s="4">
        <v>4.5999999999999999E-2</v>
      </c>
      <c r="P4502" s="1" t="s">
        <v>2721</v>
      </c>
    </row>
    <row r="4503" spans="1:16">
      <c r="A4503" s="1" t="s">
        <v>15</v>
      </c>
      <c r="B4503" s="1">
        <v>11</v>
      </c>
      <c r="C4503" s="1" t="s">
        <v>9006</v>
      </c>
      <c r="D4503" s="1" t="s">
        <v>221</v>
      </c>
      <c r="E4503" s="2">
        <v>45986</v>
      </c>
      <c r="F4503" s="1" t="s">
        <v>96</v>
      </c>
      <c r="G4503" s="1" t="s">
        <v>222</v>
      </c>
      <c r="H4503" s="1" t="s">
        <v>1223</v>
      </c>
      <c r="I4503" s="1">
        <v>1</v>
      </c>
      <c r="J4503" s="3">
        <v>12571</v>
      </c>
      <c r="K4503" s="3">
        <v>11995</v>
      </c>
      <c r="L4503" s="1">
        <v>0</v>
      </c>
      <c r="M4503" s="4">
        <v>0</v>
      </c>
      <c r="N4503" s="1">
        <v>576</v>
      </c>
      <c r="O4503" s="4">
        <v>4.5999999999999999E-2</v>
      </c>
      <c r="P4503" s="1" t="s">
        <v>2721</v>
      </c>
    </row>
    <row r="4504" spans="1:16">
      <c r="A4504" s="1" t="s">
        <v>15</v>
      </c>
      <c r="B4504" s="1">
        <v>11</v>
      </c>
      <c r="C4504" s="1" t="s">
        <v>9007</v>
      </c>
      <c r="D4504" s="1" t="s">
        <v>165</v>
      </c>
      <c r="E4504" s="2">
        <v>45986</v>
      </c>
      <c r="F4504" s="1" t="s">
        <v>48</v>
      </c>
      <c r="G4504" s="1" t="s">
        <v>166</v>
      </c>
      <c r="H4504" s="1" t="s">
        <v>167</v>
      </c>
      <c r="I4504" s="1">
        <v>1</v>
      </c>
      <c r="J4504" s="3">
        <v>31562</v>
      </c>
      <c r="K4504" s="3">
        <v>30117</v>
      </c>
      <c r="L4504" s="1">
        <v>0</v>
      </c>
      <c r="M4504" s="4">
        <v>0</v>
      </c>
      <c r="N4504" s="3">
        <v>1445</v>
      </c>
      <c r="O4504" s="4">
        <v>4.5999999999999999E-2</v>
      </c>
      <c r="P4504" s="1" t="s">
        <v>2721</v>
      </c>
    </row>
    <row r="4505" spans="1:16">
      <c r="A4505" s="1" t="s">
        <v>15</v>
      </c>
      <c r="B4505" s="1">
        <v>11</v>
      </c>
      <c r="C4505" s="1" t="s">
        <v>9008</v>
      </c>
      <c r="D4505" s="1" t="s">
        <v>1254</v>
      </c>
      <c r="E4505" s="2">
        <v>45986</v>
      </c>
      <c r="F4505" s="1" t="s">
        <v>1255</v>
      </c>
      <c r="G4505" s="1" t="s">
        <v>1256</v>
      </c>
      <c r="H4505" s="1" t="s">
        <v>1257</v>
      </c>
      <c r="I4505" s="1">
        <v>1</v>
      </c>
      <c r="J4505" s="3">
        <v>20545</v>
      </c>
      <c r="K4505" s="3">
        <v>19604</v>
      </c>
      <c r="L4505" s="1">
        <v>0</v>
      </c>
      <c r="M4505" s="4">
        <v>0</v>
      </c>
      <c r="N4505" s="1">
        <v>941</v>
      </c>
      <c r="O4505" s="4">
        <v>4.5999999999999999E-2</v>
      </c>
      <c r="P4505" s="1" t="s">
        <v>2721</v>
      </c>
    </row>
    <row r="4506" spans="1:16">
      <c r="A4506" s="1" t="s">
        <v>15</v>
      </c>
      <c r="B4506" s="1">
        <v>11</v>
      </c>
      <c r="C4506" s="1" t="s">
        <v>9009</v>
      </c>
      <c r="D4506" s="1" t="s">
        <v>72</v>
      </c>
      <c r="E4506" s="2">
        <v>45986</v>
      </c>
      <c r="F4506" s="1" t="s">
        <v>63</v>
      </c>
      <c r="G4506" s="1" t="s">
        <v>73</v>
      </c>
      <c r="H4506" s="1" t="s">
        <v>74</v>
      </c>
      <c r="I4506" s="1">
        <v>1</v>
      </c>
      <c r="J4506" s="3">
        <v>10456</v>
      </c>
      <c r="K4506" s="3">
        <v>9978</v>
      </c>
      <c r="L4506" s="1">
        <v>0</v>
      </c>
      <c r="M4506" s="4">
        <v>0</v>
      </c>
      <c r="N4506" s="1">
        <v>478</v>
      </c>
      <c r="O4506" s="4">
        <v>4.5999999999999999E-2</v>
      </c>
      <c r="P4506" s="1" t="s">
        <v>2721</v>
      </c>
    </row>
    <row r="4507" spans="1:16">
      <c r="A4507" s="1" t="s">
        <v>15</v>
      </c>
      <c r="B4507" s="1">
        <v>11</v>
      </c>
      <c r="C4507" s="1" t="s">
        <v>9010</v>
      </c>
      <c r="D4507" s="1" t="s">
        <v>1389</v>
      </c>
      <c r="E4507" s="2">
        <v>45986</v>
      </c>
      <c r="F4507" s="1" t="s">
        <v>96</v>
      </c>
      <c r="G4507" s="1" t="s">
        <v>1390</v>
      </c>
      <c r="H4507" s="1" t="s">
        <v>9011</v>
      </c>
      <c r="I4507" s="1">
        <v>1</v>
      </c>
      <c r="J4507" s="3">
        <v>10518</v>
      </c>
      <c r="K4507" s="3">
        <v>10037</v>
      </c>
      <c r="L4507" s="1">
        <v>0</v>
      </c>
      <c r="M4507" s="4">
        <v>0</v>
      </c>
      <c r="N4507" s="1">
        <v>481</v>
      </c>
      <c r="O4507" s="4">
        <v>4.5999999999999999E-2</v>
      </c>
      <c r="P4507" s="1" t="s">
        <v>2721</v>
      </c>
    </row>
    <row r="4508" spans="1:16">
      <c r="A4508" s="1" t="s">
        <v>15</v>
      </c>
      <c r="B4508" s="1">
        <v>11</v>
      </c>
      <c r="C4508" s="1" t="s">
        <v>9012</v>
      </c>
      <c r="D4508" s="1" t="s">
        <v>9013</v>
      </c>
      <c r="E4508" s="2">
        <v>45986</v>
      </c>
      <c r="F4508" s="1" t="s">
        <v>1665</v>
      </c>
      <c r="G4508" s="1" t="s">
        <v>9014</v>
      </c>
      <c r="H4508" s="1" t="s">
        <v>9015</v>
      </c>
      <c r="I4508" s="1">
        <v>1</v>
      </c>
      <c r="J4508" s="3">
        <v>29480</v>
      </c>
      <c r="K4508" s="3">
        <v>28131</v>
      </c>
      <c r="L4508" s="1">
        <v>0</v>
      </c>
      <c r="M4508" s="4">
        <v>0</v>
      </c>
      <c r="N4508" s="3">
        <v>1349</v>
      </c>
      <c r="O4508" s="4">
        <v>4.5999999999999999E-2</v>
      </c>
      <c r="P4508" s="1" t="s">
        <v>2721</v>
      </c>
    </row>
    <row r="4509" spans="1:16">
      <c r="A4509" s="1" t="s">
        <v>15</v>
      </c>
      <c r="B4509" s="1">
        <v>11</v>
      </c>
      <c r="C4509" s="1" t="s">
        <v>9016</v>
      </c>
      <c r="D4509" s="1" t="s">
        <v>538</v>
      </c>
      <c r="E4509" s="2">
        <v>45986</v>
      </c>
      <c r="F4509" s="1" t="s">
        <v>53</v>
      </c>
      <c r="G4509" s="1" t="s">
        <v>539</v>
      </c>
      <c r="H4509" s="1" t="s">
        <v>540</v>
      </c>
      <c r="I4509" s="1">
        <v>1</v>
      </c>
      <c r="J4509" s="3">
        <v>14332</v>
      </c>
      <c r="K4509" s="3">
        <v>13676</v>
      </c>
      <c r="L4509" s="1">
        <v>0</v>
      </c>
      <c r="M4509" s="4">
        <v>0</v>
      </c>
      <c r="N4509" s="1">
        <v>656</v>
      </c>
      <c r="O4509" s="4">
        <v>4.5999999999999999E-2</v>
      </c>
      <c r="P4509" s="1" t="s">
        <v>2721</v>
      </c>
    </row>
    <row r="4510" spans="1:16">
      <c r="A4510" s="1" t="s">
        <v>15</v>
      </c>
      <c r="B4510" s="1">
        <v>11</v>
      </c>
      <c r="C4510" s="1" t="s">
        <v>9017</v>
      </c>
      <c r="D4510" s="1" t="s">
        <v>9018</v>
      </c>
      <c r="E4510" s="2">
        <v>45986</v>
      </c>
      <c r="F4510" s="1" t="s">
        <v>500</v>
      </c>
      <c r="G4510" s="1" t="s">
        <v>9019</v>
      </c>
      <c r="H4510" s="1" t="s">
        <v>9020</v>
      </c>
      <c r="I4510" s="1">
        <v>1</v>
      </c>
      <c r="J4510" s="3">
        <v>268281</v>
      </c>
      <c r="K4510" s="3">
        <v>256000</v>
      </c>
      <c r="L4510" s="1">
        <v>0</v>
      </c>
      <c r="M4510" s="4">
        <v>0</v>
      </c>
      <c r="N4510" s="3">
        <v>12281</v>
      </c>
      <c r="O4510" s="4">
        <v>4.5999999999999999E-2</v>
      </c>
      <c r="P4510" s="1" t="s">
        <v>2721</v>
      </c>
    </row>
    <row r="4511" spans="1:16">
      <c r="A4511" s="1" t="s">
        <v>15</v>
      </c>
      <c r="B4511" s="1">
        <v>11</v>
      </c>
      <c r="C4511" s="1" t="s">
        <v>9021</v>
      </c>
      <c r="D4511" s="1" t="s">
        <v>8428</v>
      </c>
      <c r="E4511" s="2">
        <v>45986</v>
      </c>
      <c r="F4511" s="1" t="s">
        <v>3037</v>
      </c>
      <c r="G4511" s="1" t="s">
        <v>8429</v>
      </c>
      <c r="H4511" s="1" t="s">
        <v>8430</v>
      </c>
      <c r="I4511" s="1">
        <v>1</v>
      </c>
      <c r="J4511" s="3">
        <v>13623</v>
      </c>
      <c r="K4511" s="3">
        <v>13000</v>
      </c>
      <c r="L4511" s="1">
        <v>0</v>
      </c>
      <c r="M4511" s="4">
        <v>0</v>
      </c>
      <c r="N4511" s="1">
        <v>623</v>
      </c>
      <c r="O4511" s="4">
        <v>4.5999999999999999E-2</v>
      </c>
      <c r="P4511" s="1" t="s">
        <v>2721</v>
      </c>
    </row>
    <row r="4512" spans="1:16">
      <c r="A4512" s="1" t="s">
        <v>15</v>
      </c>
      <c r="B4512" s="1">
        <v>11</v>
      </c>
      <c r="C4512" s="1" t="s">
        <v>9022</v>
      </c>
      <c r="D4512" s="1" t="s">
        <v>7630</v>
      </c>
      <c r="E4512" s="2">
        <v>45986</v>
      </c>
      <c r="F4512" s="1" t="s">
        <v>77</v>
      </c>
      <c r="G4512" s="1" t="s">
        <v>7631</v>
      </c>
      <c r="H4512" s="1" t="s">
        <v>7631</v>
      </c>
      <c r="I4512" s="1">
        <v>3</v>
      </c>
      <c r="J4512" s="3">
        <v>33692</v>
      </c>
      <c r="K4512" s="3">
        <v>32150</v>
      </c>
      <c r="L4512" s="1">
        <v>0</v>
      </c>
      <c r="M4512" s="4">
        <v>0</v>
      </c>
      <c r="N4512" s="3">
        <v>1542</v>
      </c>
      <c r="O4512" s="4">
        <v>4.5999999999999999E-2</v>
      </c>
      <c r="P4512" s="1" t="s">
        <v>2721</v>
      </c>
    </row>
    <row r="4513" spans="1:16">
      <c r="A4513" s="1" t="s">
        <v>15</v>
      </c>
      <c r="B4513" s="1">
        <v>11</v>
      </c>
      <c r="C4513" s="1" t="s">
        <v>9023</v>
      </c>
      <c r="D4513" s="1" t="s">
        <v>250</v>
      </c>
      <c r="E4513" s="2">
        <v>45986</v>
      </c>
      <c r="F4513" s="1" t="s">
        <v>251</v>
      </c>
      <c r="G4513" s="1" t="s">
        <v>252</v>
      </c>
      <c r="H4513" s="1" t="s">
        <v>2279</v>
      </c>
      <c r="I4513" s="1">
        <v>1</v>
      </c>
      <c r="J4513" s="3">
        <v>21626</v>
      </c>
      <c r="K4513" s="3">
        <v>20636</v>
      </c>
      <c r="L4513" s="1">
        <v>0</v>
      </c>
      <c r="M4513" s="4">
        <v>0</v>
      </c>
      <c r="N4513" s="1">
        <v>990</v>
      </c>
      <c r="O4513" s="4">
        <v>4.5999999999999999E-2</v>
      </c>
      <c r="P4513" s="1" t="s">
        <v>2721</v>
      </c>
    </row>
    <row r="4514" spans="1:16">
      <c r="A4514" s="1" t="s">
        <v>15</v>
      </c>
      <c r="B4514" s="1">
        <v>11</v>
      </c>
      <c r="C4514" s="1" t="s">
        <v>9024</v>
      </c>
      <c r="D4514" s="1" t="s">
        <v>3247</v>
      </c>
      <c r="E4514" s="2">
        <v>45986</v>
      </c>
      <c r="F4514" s="1" t="s">
        <v>77</v>
      </c>
      <c r="G4514" s="1" t="s">
        <v>3248</v>
      </c>
      <c r="H4514" s="1" t="s">
        <v>3248</v>
      </c>
      <c r="I4514" s="1">
        <v>1</v>
      </c>
      <c r="J4514" s="3">
        <v>26541</v>
      </c>
      <c r="K4514" s="3">
        <v>25326</v>
      </c>
      <c r="L4514" s="1">
        <v>0</v>
      </c>
      <c r="M4514" s="4">
        <v>0</v>
      </c>
      <c r="N4514" s="3">
        <v>1215</v>
      </c>
      <c r="O4514" s="4">
        <v>4.5999999999999999E-2</v>
      </c>
      <c r="P4514" s="1" t="s">
        <v>2721</v>
      </c>
    </row>
    <row r="4515" spans="1:16">
      <c r="A4515" s="1" t="s">
        <v>15</v>
      </c>
      <c r="B4515" s="1">
        <v>11</v>
      </c>
      <c r="C4515" s="1" t="s">
        <v>9025</v>
      </c>
      <c r="D4515" s="1" t="s">
        <v>80</v>
      </c>
      <c r="E4515" s="2">
        <v>45986</v>
      </c>
      <c r="F4515" s="1" t="s">
        <v>58</v>
      </c>
      <c r="G4515" s="1" t="s">
        <v>81</v>
      </c>
      <c r="H4515" s="1" t="s">
        <v>745</v>
      </c>
      <c r="I4515" s="1">
        <v>1</v>
      </c>
      <c r="J4515" s="3">
        <v>17301</v>
      </c>
      <c r="K4515" s="3">
        <v>16509</v>
      </c>
      <c r="L4515" s="1">
        <v>0</v>
      </c>
      <c r="M4515" s="4">
        <v>0</v>
      </c>
      <c r="N4515" s="1">
        <v>792</v>
      </c>
      <c r="O4515" s="4">
        <v>4.5999999999999999E-2</v>
      </c>
      <c r="P4515" s="1" t="s">
        <v>2721</v>
      </c>
    </row>
    <row r="4516" spans="1:16">
      <c r="A4516" s="1" t="s">
        <v>15</v>
      </c>
      <c r="B4516" s="1">
        <v>11</v>
      </c>
      <c r="C4516" s="1" t="s">
        <v>9026</v>
      </c>
      <c r="D4516" s="1" t="s">
        <v>178</v>
      </c>
      <c r="E4516" s="2">
        <v>45986</v>
      </c>
      <c r="F4516" s="1" t="s">
        <v>96</v>
      </c>
      <c r="G4516" s="1" t="s">
        <v>179</v>
      </c>
      <c r="H4516" s="1" t="s">
        <v>180</v>
      </c>
      <c r="I4516" s="1">
        <v>1</v>
      </c>
      <c r="J4516" s="3">
        <v>15284</v>
      </c>
      <c r="K4516" s="3">
        <v>14584</v>
      </c>
      <c r="L4516" s="1">
        <v>0</v>
      </c>
      <c r="M4516" s="4">
        <v>0</v>
      </c>
      <c r="N4516" s="1">
        <v>700</v>
      </c>
      <c r="O4516" s="4">
        <v>4.5999999999999999E-2</v>
      </c>
      <c r="P4516" s="1" t="s">
        <v>2721</v>
      </c>
    </row>
    <row r="4517" spans="1:16">
      <c r="A4517" s="1" t="s">
        <v>15</v>
      </c>
      <c r="B4517" s="1">
        <v>11</v>
      </c>
      <c r="C4517" s="1" t="s">
        <v>9027</v>
      </c>
      <c r="D4517" s="1" t="s">
        <v>4261</v>
      </c>
      <c r="E4517" s="2">
        <v>45986</v>
      </c>
      <c r="F4517" s="1" t="s">
        <v>1075</v>
      </c>
      <c r="G4517" s="1" t="s">
        <v>4262</v>
      </c>
      <c r="H4517" s="1" t="s">
        <v>9028</v>
      </c>
      <c r="I4517" s="1">
        <v>1</v>
      </c>
      <c r="J4517" s="3">
        <v>20665</v>
      </c>
      <c r="K4517" s="3">
        <v>19719</v>
      </c>
      <c r="L4517" s="1">
        <v>0</v>
      </c>
      <c r="M4517" s="4">
        <v>0</v>
      </c>
      <c r="N4517" s="1">
        <v>946</v>
      </c>
      <c r="O4517" s="4">
        <v>4.5999999999999999E-2</v>
      </c>
      <c r="P4517" s="1" t="s">
        <v>2721</v>
      </c>
    </row>
    <row r="4518" spans="1:16">
      <c r="A4518" s="1" t="s">
        <v>15</v>
      </c>
      <c r="B4518" s="1">
        <v>11</v>
      </c>
      <c r="C4518" s="1" t="s">
        <v>9029</v>
      </c>
      <c r="D4518" s="1" t="s">
        <v>86</v>
      </c>
      <c r="E4518" s="2">
        <v>45986</v>
      </c>
      <c r="F4518" s="1" t="s">
        <v>53</v>
      </c>
      <c r="G4518" s="1" t="s">
        <v>87</v>
      </c>
      <c r="H4518" s="1" t="s">
        <v>88</v>
      </c>
      <c r="I4518" s="1">
        <v>1</v>
      </c>
      <c r="J4518" s="3">
        <v>14956</v>
      </c>
      <c r="K4518" s="3">
        <v>14272</v>
      </c>
      <c r="L4518" s="1">
        <v>0</v>
      </c>
      <c r="M4518" s="4">
        <v>0</v>
      </c>
      <c r="N4518" s="1">
        <v>684</v>
      </c>
      <c r="O4518" s="4">
        <v>4.5999999999999999E-2</v>
      </c>
      <c r="P4518" s="1" t="s">
        <v>2721</v>
      </c>
    </row>
    <row r="4519" spans="1:16">
      <c r="A4519" s="1" t="s">
        <v>15</v>
      </c>
      <c r="B4519" s="1">
        <v>11</v>
      </c>
      <c r="C4519" s="1" t="s">
        <v>9030</v>
      </c>
      <c r="D4519" s="1" t="s">
        <v>6065</v>
      </c>
      <c r="E4519" s="2">
        <v>45986</v>
      </c>
      <c r="F4519" s="1" t="s">
        <v>441</v>
      </c>
      <c r="G4519" s="1" t="s">
        <v>6066</v>
      </c>
      <c r="H4519" s="1" t="s">
        <v>6067</v>
      </c>
      <c r="I4519" s="1">
        <v>1</v>
      </c>
      <c r="J4519" s="3">
        <v>21135</v>
      </c>
      <c r="K4519" s="3">
        <v>20167</v>
      </c>
      <c r="L4519" s="1">
        <v>0</v>
      </c>
      <c r="M4519" s="4">
        <v>0</v>
      </c>
      <c r="N4519" s="1">
        <v>968</v>
      </c>
      <c r="O4519" s="4">
        <v>4.5999999999999999E-2</v>
      </c>
      <c r="P4519" s="1" t="s">
        <v>2721</v>
      </c>
    </row>
    <row r="4520" spans="1:16">
      <c r="A4520" s="1" t="s">
        <v>577</v>
      </c>
      <c r="B4520" s="1">
        <v>11</v>
      </c>
      <c r="C4520" s="1" t="s">
        <v>9031</v>
      </c>
      <c r="D4520" s="1" t="s">
        <v>9032</v>
      </c>
      <c r="E4520" s="2">
        <v>45986</v>
      </c>
      <c r="F4520" s="1" t="s">
        <v>235</v>
      </c>
      <c r="G4520" s="1" t="s">
        <v>9033</v>
      </c>
      <c r="H4520" s="1" t="s">
        <v>9034</v>
      </c>
      <c r="I4520" s="1">
        <v>2</v>
      </c>
      <c r="J4520" s="3">
        <v>25414</v>
      </c>
      <c r="K4520" s="3">
        <v>24251</v>
      </c>
      <c r="L4520" s="1">
        <v>0</v>
      </c>
      <c r="M4520" s="4">
        <v>0</v>
      </c>
      <c r="N4520" s="3">
        <v>1163</v>
      </c>
      <c r="O4520" s="4">
        <v>4.5999999999999999E-2</v>
      </c>
      <c r="P4520" s="1" t="s">
        <v>2721</v>
      </c>
    </row>
    <row r="4521" spans="1:16">
      <c r="A4521" s="1" t="s">
        <v>577</v>
      </c>
      <c r="B4521" s="1">
        <v>11</v>
      </c>
      <c r="C4521" s="1" t="s">
        <v>9035</v>
      </c>
      <c r="D4521" s="1" t="s">
        <v>9036</v>
      </c>
      <c r="E4521" s="2">
        <v>45986</v>
      </c>
      <c r="F4521" s="1" t="s">
        <v>1021</v>
      </c>
      <c r="G4521" s="1" t="s">
        <v>9037</v>
      </c>
      <c r="H4521" s="1" t="s">
        <v>9038</v>
      </c>
      <c r="I4521" s="1">
        <v>1</v>
      </c>
      <c r="J4521" s="3">
        <v>19871</v>
      </c>
      <c r="K4521" s="3">
        <v>18962</v>
      </c>
      <c r="L4521" s="1">
        <v>0</v>
      </c>
      <c r="M4521" s="4">
        <v>0</v>
      </c>
      <c r="N4521" s="1">
        <v>909</v>
      </c>
      <c r="O4521" s="4">
        <v>4.5999999999999999E-2</v>
      </c>
      <c r="P4521" s="1" t="s">
        <v>2721</v>
      </c>
    </row>
    <row r="4522" spans="1:16">
      <c r="A4522" s="1" t="s">
        <v>577</v>
      </c>
      <c r="B4522" s="1">
        <v>11</v>
      </c>
      <c r="C4522" s="1" t="s">
        <v>9039</v>
      </c>
      <c r="D4522" s="1" t="s">
        <v>9040</v>
      </c>
      <c r="E4522" s="2">
        <v>45986</v>
      </c>
      <c r="F4522" s="1" t="s">
        <v>725</v>
      </c>
      <c r="G4522" s="1" t="s">
        <v>9041</v>
      </c>
      <c r="H4522" s="1" t="s">
        <v>9042</v>
      </c>
      <c r="I4522" s="1">
        <v>2</v>
      </c>
      <c r="J4522" s="3">
        <v>1189430</v>
      </c>
      <c r="K4522" s="3">
        <v>1134980</v>
      </c>
      <c r="L4522" s="1">
        <v>0</v>
      </c>
      <c r="M4522" s="4">
        <v>0</v>
      </c>
      <c r="N4522" s="3">
        <v>54450</v>
      </c>
      <c r="O4522" s="4">
        <v>4.5999999999999999E-2</v>
      </c>
      <c r="P4522" s="1" t="s">
        <v>2721</v>
      </c>
    </row>
    <row r="4523" spans="1:16">
      <c r="A4523" s="1" t="s">
        <v>577</v>
      </c>
      <c r="B4523" s="1">
        <v>11</v>
      </c>
      <c r="C4523" s="1" t="s">
        <v>9043</v>
      </c>
      <c r="D4523" s="1" t="s">
        <v>1779</v>
      </c>
      <c r="E4523" s="2">
        <v>45986</v>
      </c>
      <c r="F4523" s="1" t="s">
        <v>63</v>
      </c>
      <c r="G4523" s="1" t="s">
        <v>113</v>
      </c>
      <c r="H4523" s="1" t="s">
        <v>1655</v>
      </c>
      <c r="I4523" s="1">
        <v>2</v>
      </c>
      <c r="J4523" s="3">
        <v>12018</v>
      </c>
      <c r="K4523" s="3">
        <v>11468</v>
      </c>
      <c r="L4523" s="1">
        <v>0</v>
      </c>
      <c r="M4523" s="4">
        <v>0</v>
      </c>
      <c r="N4523" s="1">
        <v>550</v>
      </c>
      <c r="O4523" s="4">
        <v>4.5999999999999999E-2</v>
      </c>
      <c r="P4523" s="1" t="s">
        <v>2721</v>
      </c>
    </row>
    <row r="4524" spans="1:16">
      <c r="A4524" s="1" t="s">
        <v>577</v>
      </c>
      <c r="B4524" s="1">
        <v>11</v>
      </c>
      <c r="C4524" s="1" t="s">
        <v>9044</v>
      </c>
      <c r="D4524" s="1" t="s">
        <v>1776</v>
      </c>
      <c r="E4524" s="2">
        <v>45986</v>
      </c>
      <c r="F4524" s="1" t="s">
        <v>483</v>
      </c>
      <c r="G4524" s="1" t="s">
        <v>484</v>
      </c>
      <c r="H4524" s="1" t="s">
        <v>1039</v>
      </c>
      <c r="I4524" s="1">
        <v>1</v>
      </c>
      <c r="J4524" s="3">
        <v>27426</v>
      </c>
      <c r="K4524" s="3">
        <v>26170</v>
      </c>
      <c r="L4524" s="1">
        <v>0</v>
      </c>
      <c r="M4524" s="4">
        <v>0</v>
      </c>
      <c r="N4524" s="3">
        <v>1256</v>
      </c>
      <c r="O4524" s="4">
        <v>4.5999999999999999E-2</v>
      </c>
      <c r="P4524" s="1" t="s">
        <v>2721</v>
      </c>
    </row>
    <row r="4525" spans="1:16">
      <c r="A4525" s="1" t="s">
        <v>577</v>
      </c>
      <c r="B4525" s="1">
        <v>11</v>
      </c>
      <c r="C4525" s="1" t="s">
        <v>9045</v>
      </c>
      <c r="D4525" s="1" t="s">
        <v>9046</v>
      </c>
      <c r="E4525" s="2">
        <v>45986</v>
      </c>
      <c r="F4525" s="1" t="s">
        <v>53</v>
      </c>
      <c r="G4525" s="1" t="s">
        <v>2765</v>
      </c>
      <c r="H4525" s="1" t="s">
        <v>2766</v>
      </c>
      <c r="I4525" s="1">
        <v>1</v>
      </c>
      <c r="J4525" s="3">
        <v>14332</v>
      </c>
      <c r="K4525" s="3">
        <v>13676</v>
      </c>
      <c r="L4525" s="1">
        <v>0</v>
      </c>
      <c r="M4525" s="4">
        <v>0</v>
      </c>
      <c r="N4525" s="1">
        <v>656</v>
      </c>
      <c r="O4525" s="4">
        <v>4.5999999999999999E-2</v>
      </c>
      <c r="P4525" s="1" t="s">
        <v>2721</v>
      </c>
    </row>
    <row r="4526" spans="1:16">
      <c r="A4526" s="1" t="s">
        <v>577</v>
      </c>
      <c r="B4526" s="1">
        <v>11</v>
      </c>
      <c r="C4526" s="1" t="s">
        <v>9047</v>
      </c>
      <c r="D4526" s="1" t="s">
        <v>2616</v>
      </c>
      <c r="E4526" s="2">
        <v>45986</v>
      </c>
      <c r="F4526" s="1" t="s">
        <v>407</v>
      </c>
      <c r="G4526" s="1" t="s">
        <v>961</v>
      </c>
      <c r="H4526" s="1" t="s">
        <v>2830</v>
      </c>
      <c r="I4526" s="1">
        <v>1</v>
      </c>
      <c r="J4526" s="3">
        <v>16711</v>
      </c>
      <c r="K4526" s="3">
        <v>15946</v>
      </c>
      <c r="L4526" s="1">
        <v>0</v>
      </c>
      <c r="M4526" s="4">
        <v>0</v>
      </c>
      <c r="N4526" s="1">
        <v>765</v>
      </c>
      <c r="O4526" s="4">
        <v>4.5999999999999999E-2</v>
      </c>
      <c r="P4526" s="1" t="s">
        <v>2721</v>
      </c>
    </row>
    <row r="4527" spans="1:16">
      <c r="A4527" s="1" t="s">
        <v>577</v>
      </c>
      <c r="B4527" s="1">
        <v>11</v>
      </c>
      <c r="C4527" s="1" t="s">
        <v>9047</v>
      </c>
      <c r="D4527" s="1" t="s">
        <v>1776</v>
      </c>
      <c r="E4527" s="2">
        <v>45986</v>
      </c>
      <c r="F4527" s="1" t="s">
        <v>483</v>
      </c>
      <c r="G4527" s="1" t="s">
        <v>484</v>
      </c>
      <c r="H4527" s="1" t="s">
        <v>485</v>
      </c>
      <c r="I4527" s="1">
        <v>1</v>
      </c>
      <c r="J4527" s="3">
        <v>16501</v>
      </c>
      <c r="K4527" s="3">
        <v>15745</v>
      </c>
      <c r="L4527" s="1">
        <v>0</v>
      </c>
      <c r="M4527" s="4">
        <v>0</v>
      </c>
      <c r="N4527" s="1">
        <v>756</v>
      </c>
      <c r="O4527" s="4">
        <v>4.5999999999999999E-2</v>
      </c>
      <c r="P4527" s="1" t="s">
        <v>2721</v>
      </c>
    </row>
    <row r="4528" spans="1:16">
      <c r="A4528" s="1" t="s">
        <v>577</v>
      </c>
      <c r="B4528" s="1">
        <v>11</v>
      </c>
      <c r="C4528" s="1" t="s">
        <v>9048</v>
      </c>
      <c r="D4528" s="1" t="s">
        <v>9049</v>
      </c>
      <c r="E4528" s="2">
        <v>45986</v>
      </c>
      <c r="F4528" s="1" t="s">
        <v>5957</v>
      </c>
      <c r="G4528" s="1" t="s">
        <v>9050</v>
      </c>
      <c r="H4528" s="1" t="s">
        <v>9051</v>
      </c>
      <c r="I4528" s="1">
        <v>1</v>
      </c>
      <c r="J4528" s="3">
        <v>23592</v>
      </c>
      <c r="K4528" s="3">
        <v>22512</v>
      </c>
      <c r="L4528" s="1">
        <v>0</v>
      </c>
      <c r="M4528" s="4">
        <v>0</v>
      </c>
      <c r="N4528" s="3">
        <v>1080</v>
      </c>
      <c r="O4528" s="4">
        <v>4.5999999999999999E-2</v>
      </c>
      <c r="P4528" s="1" t="s">
        <v>2721</v>
      </c>
    </row>
    <row r="4529" spans="1:16">
      <c r="A4529" s="1" t="s">
        <v>577</v>
      </c>
      <c r="B4529" s="1">
        <v>11</v>
      </c>
      <c r="C4529" s="1" t="s">
        <v>9052</v>
      </c>
      <c r="D4529" s="1" t="s">
        <v>1826</v>
      </c>
      <c r="E4529" s="2">
        <v>45986</v>
      </c>
      <c r="F4529" s="1" t="s">
        <v>500</v>
      </c>
      <c r="G4529" s="1" t="s">
        <v>1827</v>
      </c>
      <c r="H4529" s="1" t="s">
        <v>1828</v>
      </c>
      <c r="I4529" s="1">
        <v>1</v>
      </c>
      <c r="J4529" s="3">
        <v>141099</v>
      </c>
      <c r="K4529" s="3">
        <v>134640</v>
      </c>
      <c r="L4529" s="1">
        <v>0</v>
      </c>
      <c r="M4529" s="4">
        <v>0</v>
      </c>
      <c r="N4529" s="3">
        <v>6459</v>
      </c>
      <c r="O4529" s="4">
        <v>4.5999999999999999E-2</v>
      </c>
      <c r="P4529" s="1" t="s">
        <v>2721</v>
      </c>
    </row>
    <row r="4530" spans="1:16">
      <c r="A4530" s="1" t="s">
        <v>577</v>
      </c>
      <c r="B4530" s="1">
        <v>11</v>
      </c>
      <c r="C4530" s="1" t="s">
        <v>9053</v>
      </c>
      <c r="D4530" s="1" t="s">
        <v>9054</v>
      </c>
      <c r="E4530" s="2">
        <v>45986</v>
      </c>
      <c r="F4530" s="1" t="s">
        <v>200</v>
      </c>
      <c r="G4530" s="1" t="s">
        <v>201</v>
      </c>
      <c r="H4530" s="1" t="s">
        <v>9055</v>
      </c>
      <c r="I4530" s="1">
        <v>1</v>
      </c>
      <c r="J4530" s="3">
        <v>20152</v>
      </c>
      <c r="K4530" s="3">
        <v>19229</v>
      </c>
      <c r="L4530" s="1">
        <v>0</v>
      </c>
      <c r="M4530" s="4">
        <v>0</v>
      </c>
      <c r="N4530" s="1">
        <v>923</v>
      </c>
      <c r="O4530" s="4">
        <v>4.5999999999999999E-2</v>
      </c>
      <c r="P4530" s="1" t="s">
        <v>2721</v>
      </c>
    </row>
    <row r="4531" spans="1:16">
      <c r="A4531" s="1" t="s">
        <v>577</v>
      </c>
      <c r="B4531" s="1">
        <v>11</v>
      </c>
      <c r="C4531" s="1" t="s">
        <v>9056</v>
      </c>
      <c r="D4531" s="1" t="s">
        <v>9057</v>
      </c>
      <c r="E4531" s="2">
        <v>45986</v>
      </c>
      <c r="F4531" s="1" t="s">
        <v>783</v>
      </c>
      <c r="G4531" s="1" t="s">
        <v>9058</v>
      </c>
      <c r="H4531" s="1" t="s">
        <v>9059</v>
      </c>
      <c r="I4531" s="1">
        <v>1</v>
      </c>
      <c r="J4531" s="3">
        <v>48069</v>
      </c>
      <c r="K4531" s="3">
        <v>45868</v>
      </c>
      <c r="L4531" s="1">
        <v>0</v>
      </c>
      <c r="M4531" s="4">
        <v>0</v>
      </c>
      <c r="N4531" s="3">
        <v>2201</v>
      </c>
      <c r="O4531" s="4">
        <v>4.5999999999999999E-2</v>
      </c>
      <c r="P4531" s="1" t="s">
        <v>2721</v>
      </c>
    </row>
    <row r="4532" spans="1:16">
      <c r="A4532" s="1" t="s">
        <v>577</v>
      </c>
      <c r="B4532" s="1">
        <v>11</v>
      </c>
      <c r="C4532" s="1" t="s">
        <v>9060</v>
      </c>
      <c r="D4532" s="1" t="s">
        <v>8012</v>
      </c>
      <c r="E4532" s="2">
        <v>45986</v>
      </c>
      <c r="F4532" s="1" t="s">
        <v>368</v>
      </c>
      <c r="G4532" s="1" t="s">
        <v>1386</v>
      </c>
      <c r="H4532" s="1" t="s">
        <v>1387</v>
      </c>
      <c r="I4532" s="1">
        <v>1</v>
      </c>
      <c r="J4532" s="3">
        <v>8953</v>
      </c>
      <c r="K4532" s="3">
        <v>8543</v>
      </c>
      <c r="L4532" s="1">
        <v>0</v>
      </c>
      <c r="M4532" s="4">
        <v>0</v>
      </c>
      <c r="N4532" s="1">
        <v>410</v>
      </c>
      <c r="O4532" s="4">
        <v>4.5999999999999999E-2</v>
      </c>
      <c r="P4532" s="1" t="s">
        <v>2721</v>
      </c>
    </row>
    <row r="4533" spans="1:16">
      <c r="A4533" s="1" t="s">
        <v>577</v>
      </c>
      <c r="B4533" s="1">
        <v>11</v>
      </c>
      <c r="C4533" s="1" t="s">
        <v>9061</v>
      </c>
      <c r="D4533" s="1" t="s">
        <v>1784</v>
      </c>
      <c r="E4533" s="2">
        <v>45986</v>
      </c>
      <c r="F4533" s="1" t="s">
        <v>256</v>
      </c>
      <c r="G4533" s="1" t="s">
        <v>778</v>
      </c>
      <c r="H4533" s="1" t="s">
        <v>779</v>
      </c>
      <c r="I4533" s="1">
        <v>1</v>
      </c>
      <c r="J4533" s="3">
        <v>11010</v>
      </c>
      <c r="K4533" s="3">
        <v>10506</v>
      </c>
      <c r="L4533" s="1">
        <v>0</v>
      </c>
      <c r="M4533" s="4">
        <v>0</v>
      </c>
      <c r="N4533" s="1">
        <v>504</v>
      </c>
      <c r="O4533" s="4">
        <v>4.5999999999999999E-2</v>
      </c>
      <c r="P4533" s="1" t="s">
        <v>2721</v>
      </c>
    </row>
    <row r="4534" spans="1:16">
      <c r="A4534" s="1" t="s">
        <v>577</v>
      </c>
      <c r="B4534" s="1">
        <v>11</v>
      </c>
      <c r="C4534" s="1" t="s">
        <v>9062</v>
      </c>
      <c r="D4534" s="1" t="s">
        <v>9063</v>
      </c>
      <c r="E4534" s="2">
        <v>45986</v>
      </c>
      <c r="F4534" s="1" t="s">
        <v>725</v>
      </c>
      <c r="G4534" s="1" t="s">
        <v>3654</v>
      </c>
      <c r="H4534" s="1" t="s">
        <v>9064</v>
      </c>
      <c r="I4534" s="1">
        <v>1</v>
      </c>
      <c r="J4534" s="3">
        <v>131919</v>
      </c>
      <c r="K4534" s="3">
        <v>125880</v>
      </c>
      <c r="L4534" s="1">
        <v>0</v>
      </c>
      <c r="M4534" s="4">
        <v>0</v>
      </c>
      <c r="N4534" s="3">
        <v>6039</v>
      </c>
      <c r="O4534" s="4">
        <v>4.5999999999999999E-2</v>
      </c>
      <c r="P4534" s="1" t="s">
        <v>2721</v>
      </c>
    </row>
    <row r="4535" spans="1:16">
      <c r="A4535" s="1" t="s">
        <v>577</v>
      </c>
      <c r="B4535" s="1">
        <v>11</v>
      </c>
      <c r="C4535" s="1" t="s">
        <v>9065</v>
      </c>
      <c r="D4535" s="1" t="s">
        <v>4330</v>
      </c>
      <c r="E4535" s="2">
        <v>45986</v>
      </c>
      <c r="F4535" s="1" t="s">
        <v>48</v>
      </c>
      <c r="G4535" s="1" t="s">
        <v>990</v>
      </c>
      <c r="H4535" s="1" t="s">
        <v>991</v>
      </c>
      <c r="I4535" s="1">
        <v>1</v>
      </c>
      <c r="J4535" s="3">
        <v>13113</v>
      </c>
      <c r="K4535" s="3">
        <v>12513</v>
      </c>
      <c r="L4535" s="1">
        <v>0</v>
      </c>
      <c r="M4535" s="4">
        <v>0</v>
      </c>
      <c r="N4535" s="1">
        <v>600</v>
      </c>
      <c r="O4535" s="4">
        <v>4.5999999999999999E-2</v>
      </c>
      <c r="P4535" s="1" t="s">
        <v>2721</v>
      </c>
    </row>
    <row r="4536" spans="1:16">
      <c r="A4536" s="1" t="s">
        <v>577</v>
      </c>
      <c r="B4536" s="1">
        <v>11</v>
      </c>
      <c r="C4536" s="1" t="s">
        <v>9066</v>
      </c>
      <c r="D4536" s="1" t="s">
        <v>9067</v>
      </c>
      <c r="E4536" s="2">
        <v>45986</v>
      </c>
      <c r="F4536" s="1" t="s">
        <v>58</v>
      </c>
      <c r="G4536" s="1" t="s">
        <v>2785</v>
      </c>
      <c r="H4536" s="1" t="s">
        <v>5362</v>
      </c>
      <c r="I4536" s="1">
        <v>1</v>
      </c>
      <c r="J4536" s="3">
        <v>10813</v>
      </c>
      <c r="K4536" s="3">
        <v>10318</v>
      </c>
      <c r="L4536" s="1">
        <v>0</v>
      </c>
      <c r="M4536" s="4">
        <v>0</v>
      </c>
      <c r="N4536" s="1">
        <v>495</v>
      </c>
      <c r="O4536" s="4">
        <v>4.5999999999999999E-2</v>
      </c>
      <c r="P4536" s="1" t="s">
        <v>2721</v>
      </c>
    </row>
    <row r="4537" spans="1:16">
      <c r="A4537" s="1" t="s">
        <v>602</v>
      </c>
      <c r="B4537" s="1">
        <v>11</v>
      </c>
      <c r="C4537" s="1">
        <v>11100154934462</v>
      </c>
      <c r="D4537" s="1" t="s">
        <v>607</v>
      </c>
      <c r="E4537" s="2">
        <v>45986</v>
      </c>
      <c r="F4537" s="1" t="s">
        <v>604</v>
      </c>
      <c r="G4537" s="1" t="s">
        <v>608</v>
      </c>
      <c r="H4537" s="1" t="s">
        <v>609</v>
      </c>
      <c r="I4537" s="1">
        <v>3</v>
      </c>
      <c r="J4537" s="3">
        <v>42800</v>
      </c>
      <c r="K4537" s="3">
        <v>32200</v>
      </c>
      <c r="L4537" s="3">
        <v>4965</v>
      </c>
      <c r="M4537" s="4">
        <v>0.11600000000000001</v>
      </c>
      <c r="N4537" s="3">
        <v>5635</v>
      </c>
      <c r="O4537" s="4">
        <v>0.13200000000000001</v>
      </c>
      <c r="P4537" s="1" t="s">
        <v>2721</v>
      </c>
    </row>
    <row r="4538" spans="1:16">
      <c r="A4538" s="1" t="s">
        <v>602</v>
      </c>
      <c r="B4538" s="1">
        <v>11</v>
      </c>
      <c r="C4538" s="1">
        <v>30100155319429</v>
      </c>
      <c r="D4538" s="1" t="s">
        <v>4364</v>
      </c>
      <c r="E4538" s="2">
        <v>45986</v>
      </c>
      <c r="F4538" s="1" t="s">
        <v>604</v>
      </c>
      <c r="G4538" s="1" t="s">
        <v>4365</v>
      </c>
      <c r="H4538" s="1" t="s">
        <v>5392</v>
      </c>
      <c r="I4538" s="1">
        <v>3</v>
      </c>
      <c r="J4538" s="3">
        <v>42800</v>
      </c>
      <c r="K4538" s="3">
        <v>32200</v>
      </c>
      <c r="L4538" s="3">
        <v>4965</v>
      </c>
      <c r="M4538" s="4">
        <v>0.11600000000000001</v>
      </c>
      <c r="N4538" s="3">
        <v>5635</v>
      </c>
      <c r="O4538" s="4">
        <v>0.13200000000000001</v>
      </c>
      <c r="P4538" s="1" t="s">
        <v>2721</v>
      </c>
    </row>
    <row r="4539" spans="1:16">
      <c r="A4539" s="1" t="s">
        <v>649</v>
      </c>
      <c r="B4539" s="1">
        <v>11</v>
      </c>
      <c r="C4539" s="1">
        <v>25112419243787</v>
      </c>
      <c r="D4539" s="1" t="s">
        <v>617</v>
      </c>
      <c r="E4539" s="2">
        <v>45986</v>
      </c>
      <c r="F4539" s="1" t="s">
        <v>604</v>
      </c>
      <c r="G4539" s="1" t="s">
        <v>618</v>
      </c>
      <c r="H4539" s="1" t="s">
        <v>2627</v>
      </c>
      <c r="I4539" s="1">
        <v>1</v>
      </c>
      <c r="J4539" s="3">
        <v>7225</v>
      </c>
      <c r="K4539" s="3">
        <v>5300</v>
      </c>
      <c r="L4539" s="1">
        <v>0</v>
      </c>
      <c r="M4539" s="4">
        <v>0</v>
      </c>
      <c r="N4539" s="3">
        <v>1925</v>
      </c>
      <c r="O4539" s="4">
        <v>0.26600000000000001</v>
      </c>
      <c r="P4539" s="1" t="s">
        <v>2721</v>
      </c>
    </row>
    <row r="4540" spans="1:16">
      <c r="A4540" s="1" t="s">
        <v>620</v>
      </c>
      <c r="B4540" s="1">
        <v>11</v>
      </c>
      <c r="C4540" s="1">
        <v>2540895213</v>
      </c>
      <c r="D4540" s="1" t="s">
        <v>9068</v>
      </c>
      <c r="E4540" s="2">
        <v>45986</v>
      </c>
      <c r="F4540" s="1" t="s">
        <v>604</v>
      </c>
      <c r="G4540" s="1" t="s">
        <v>9069</v>
      </c>
      <c r="H4540" s="1" t="s">
        <v>9070</v>
      </c>
      <c r="I4540" s="1">
        <v>5</v>
      </c>
      <c r="J4540" s="3">
        <v>16900</v>
      </c>
      <c r="K4540" s="3">
        <v>13225</v>
      </c>
      <c r="L4540" s="3">
        <v>2197</v>
      </c>
      <c r="M4540" s="4">
        <v>0.13</v>
      </c>
      <c r="N4540" s="3">
        <v>1478</v>
      </c>
      <c r="O4540" s="4">
        <v>8.6999999999999994E-2</v>
      </c>
      <c r="P4540" s="1" t="s">
        <v>2721</v>
      </c>
    </row>
    <row r="4541" spans="1:16">
      <c r="A4541" s="1" t="s">
        <v>620</v>
      </c>
      <c r="B4541" s="1">
        <v>11</v>
      </c>
      <c r="C4541" s="1">
        <v>2540888684</v>
      </c>
      <c r="D4541" s="1" t="s">
        <v>9071</v>
      </c>
      <c r="E4541" s="2">
        <v>45986</v>
      </c>
      <c r="F4541" s="1" t="s">
        <v>604</v>
      </c>
      <c r="G4541" s="1" t="s">
        <v>9072</v>
      </c>
      <c r="H4541" s="1" t="s">
        <v>9073</v>
      </c>
      <c r="I4541" s="1">
        <v>1</v>
      </c>
      <c r="J4541" s="3">
        <v>9000</v>
      </c>
      <c r="K4541" s="3">
        <v>5026</v>
      </c>
      <c r="L4541" s="3">
        <v>1170</v>
      </c>
      <c r="M4541" s="4">
        <v>0.13</v>
      </c>
      <c r="N4541" s="3">
        <v>2804</v>
      </c>
      <c r="O4541" s="4">
        <v>0.312</v>
      </c>
      <c r="P4541" s="1" t="s">
        <v>2721</v>
      </c>
    </row>
    <row r="4542" spans="1:16">
      <c r="A4542" s="1" t="s">
        <v>624</v>
      </c>
      <c r="B4542" s="1">
        <v>11</v>
      </c>
      <c r="C4542" s="1">
        <v>2025112415834980</v>
      </c>
      <c r="D4542" s="1" t="s">
        <v>3017</v>
      </c>
      <c r="E4542" s="2">
        <v>45986</v>
      </c>
      <c r="F4542" s="1" t="s">
        <v>604</v>
      </c>
      <c r="G4542" s="1" t="s">
        <v>3018</v>
      </c>
      <c r="H4542" s="1" t="s">
        <v>9074</v>
      </c>
      <c r="I4542" s="1">
        <v>2</v>
      </c>
      <c r="J4542" s="3">
        <v>55822</v>
      </c>
      <c r="K4542" s="3">
        <v>17460</v>
      </c>
      <c r="L4542" s="3">
        <v>7257</v>
      </c>
      <c r="M4542" s="4">
        <v>0.13</v>
      </c>
      <c r="N4542" s="3">
        <v>31105</v>
      </c>
      <c r="O4542" s="4">
        <v>0.55700000000000005</v>
      </c>
      <c r="P4542" s="1" t="s">
        <v>2721</v>
      </c>
    </row>
    <row r="4543" spans="1:16">
      <c r="A4543" s="1" t="s">
        <v>626</v>
      </c>
      <c r="B4543" s="1">
        <v>11</v>
      </c>
      <c r="C4543" s="1">
        <v>69417710</v>
      </c>
      <c r="D4543" s="1" t="s">
        <v>627</v>
      </c>
      <c r="E4543" s="2">
        <v>45986</v>
      </c>
      <c r="F4543" s="1" t="s">
        <v>604</v>
      </c>
      <c r="G4543" s="1" t="s">
        <v>628</v>
      </c>
      <c r="H4543" s="1" t="s">
        <v>2271</v>
      </c>
      <c r="I4543" s="1">
        <v>2</v>
      </c>
      <c r="J4543" s="3">
        <v>12800</v>
      </c>
      <c r="K4543" s="3">
        <v>3600</v>
      </c>
      <c r="L4543" s="3">
        <v>1408</v>
      </c>
      <c r="M4543" s="4">
        <v>0.11</v>
      </c>
      <c r="N4543" s="3">
        <v>7792</v>
      </c>
      <c r="O4543" s="4">
        <v>0.60899999999999999</v>
      </c>
      <c r="P4543" s="1" t="s">
        <v>2721</v>
      </c>
    </row>
    <row r="4544" spans="1:16">
      <c r="A4544" s="1" t="s">
        <v>626</v>
      </c>
      <c r="B4544" s="1">
        <v>11</v>
      </c>
      <c r="C4544" s="1">
        <v>69417091</v>
      </c>
      <c r="D4544" s="1" t="s">
        <v>627</v>
      </c>
      <c r="E4544" s="2">
        <v>45986</v>
      </c>
      <c r="F4544" s="1" t="s">
        <v>604</v>
      </c>
      <c r="G4544" s="1" t="s">
        <v>628</v>
      </c>
      <c r="H4544" s="1" t="s">
        <v>629</v>
      </c>
      <c r="I4544" s="1">
        <v>1</v>
      </c>
      <c r="J4544" s="3">
        <v>8000</v>
      </c>
      <c r="K4544" s="3">
        <v>1800</v>
      </c>
      <c r="L4544" s="1">
        <v>880</v>
      </c>
      <c r="M4544" s="4">
        <v>0.11</v>
      </c>
      <c r="N4544" s="3">
        <v>5320</v>
      </c>
      <c r="O4544" s="4">
        <v>0.66500000000000004</v>
      </c>
      <c r="P4544" s="1" t="s">
        <v>2721</v>
      </c>
    </row>
    <row r="4545" spans="1:16">
      <c r="A4545" s="1" t="s">
        <v>630</v>
      </c>
      <c r="B4545" s="1">
        <v>11</v>
      </c>
      <c r="C4545" s="1">
        <v>1117590230695160</v>
      </c>
      <c r="D4545" s="1" t="s">
        <v>627</v>
      </c>
      <c r="E4545" s="2">
        <v>45986</v>
      </c>
      <c r="F4545" s="1" t="s">
        <v>604</v>
      </c>
      <c r="G4545" s="1" t="s">
        <v>628</v>
      </c>
      <c r="H4545" s="1" t="s">
        <v>1848</v>
      </c>
      <c r="I4545" s="1">
        <v>1</v>
      </c>
      <c r="J4545" s="3">
        <v>6750</v>
      </c>
      <c r="K4545" s="3">
        <v>4300</v>
      </c>
      <c r="L4545" s="1">
        <v>446</v>
      </c>
      <c r="M4545" s="4">
        <v>6.6000000000000003E-2</v>
      </c>
      <c r="N4545" s="3">
        <v>2005</v>
      </c>
      <c r="O4545" s="4">
        <v>0.29699999999999999</v>
      </c>
      <c r="P4545" s="1" t="s">
        <v>2721</v>
      </c>
    </row>
    <row r="4546" spans="1:16">
      <c r="A4546" s="1" t="s">
        <v>630</v>
      </c>
      <c r="B4546" s="1">
        <v>11</v>
      </c>
      <c r="C4546" s="1">
        <v>1117584393246360</v>
      </c>
      <c r="D4546" s="1" t="s">
        <v>627</v>
      </c>
      <c r="E4546" s="2">
        <v>45986</v>
      </c>
      <c r="F4546" s="1" t="s">
        <v>604</v>
      </c>
      <c r="G4546" s="1" t="s">
        <v>628</v>
      </c>
      <c r="H4546" s="1" t="s">
        <v>1848</v>
      </c>
      <c r="I4546" s="1">
        <v>1</v>
      </c>
      <c r="J4546" s="3">
        <v>6750</v>
      </c>
      <c r="K4546" s="3">
        <v>4300</v>
      </c>
      <c r="L4546" s="1">
        <v>446</v>
      </c>
      <c r="M4546" s="4">
        <v>6.6000000000000003E-2</v>
      </c>
      <c r="N4546" s="3">
        <v>2005</v>
      </c>
      <c r="O4546" s="4">
        <v>0.29699999999999999</v>
      </c>
      <c r="P4546" s="1" t="s">
        <v>2721</v>
      </c>
    </row>
    <row r="4547" spans="1:16">
      <c r="A4547" s="1" t="s">
        <v>630</v>
      </c>
      <c r="B4547" s="1">
        <v>11</v>
      </c>
      <c r="C4547" s="1">
        <v>1117500908876940</v>
      </c>
      <c r="D4547" s="1" t="s">
        <v>627</v>
      </c>
      <c r="E4547" s="2">
        <v>45986</v>
      </c>
      <c r="F4547" s="1" t="s">
        <v>604</v>
      </c>
      <c r="G4547" s="1" t="s">
        <v>628</v>
      </c>
      <c r="H4547" s="1" t="s">
        <v>1848</v>
      </c>
      <c r="I4547" s="1">
        <v>2</v>
      </c>
      <c r="J4547" s="3">
        <v>13500</v>
      </c>
      <c r="K4547" s="3">
        <v>6100</v>
      </c>
      <c r="L4547" s="1">
        <v>891</v>
      </c>
      <c r="M4547" s="4">
        <v>6.6000000000000003E-2</v>
      </c>
      <c r="N4547" s="3">
        <v>6509</v>
      </c>
      <c r="O4547" s="4">
        <v>0.48199999999999998</v>
      </c>
      <c r="P4547" s="1" t="s">
        <v>2721</v>
      </c>
    </row>
    <row r="4548" spans="1:16">
      <c r="A4548" s="1" t="s">
        <v>630</v>
      </c>
      <c r="B4548" s="1">
        <v>11</v>
      </c>
      <c r="C4548" s="1">
        <v>1117494522860860</v>
      </c>
      <c r="D4548" s="1" t="s">
        <v>627</v>
      </c>
      <c r="E4548" s="2">
        <v>45986</v>
      </c>
      <c r="F4548" s="1" t="s">
        <v>604</v>
      </c>
      <c r="G4548" s="1" t="s">
        <v>628</v>
      </c>
      <c r="H4548" s="1" t="s">
        <v>1848</v>
      </c>
      <c r="I4548" s="1">
        <v>1</v>
      </c>
      <c r="J4548" s="3">
        <v>6750</v>
      </c>
      <c r="K4548" s="3">
        <v>4300</v>
      </c>
      <c r="L4548" s="1">
        <v>446</v>
      </c>
      <c r="M4548" s="4">
        <v>6.6000000000000003E-2</v>
      </c>
      <c r="N4548" s="3">
        <v>2005</v>
      </c>
      <c r="O4548" s="4">
        <v>0.29699999999999999</v>
      </c>
      <c r="P4548" s="1" t="s">
        <v>2721</v>
      </c>
    </row>
    <row r="4549" spans="1:16">
      <c r="A4549" s="1" t="s">
        <v>739</v>
      </c>
      <c r="B4549" s="1">
        <v>11</v>
      </c>
      <c r="C4549" s="1">
        <v>31506376</v>
      </c>
      <c r="D4549" s="1" t="s">
        <v>1853</v>
      </c>
      <c r="E4549" s="2">
        <v>45986</v>
      </c>
      <c r="F4549" s="1" t="s">
        <v>604</v>
      </c>
      <c r="G4549" s="1" t="s">
        <v>1854</v>
      </c>
      <c r="H4549" s="1" t="s">
        <v>1855</v>
      </c>
      <c r="I4549" s="1">
        <v>1</v>
      </c>
      <c r="J4549" s="3">
        <v>8900</v>
      </c>
      <c r="K4549" s="3">
        <v>5026</v>
      </c>
      <c r="L4549" s="3">
        <v>1175</v>
      </c>
      <c r="M4549" s="4">
        <v>0.13200000000000001</v>
      </c>
      <c r="N4549" s="3">
        <v>2699</v>
      </c>
      <c r="O4549" s="4">
        <v>0.30299999999999999</v>
      </c>
      <c r="P4549" s="1" t="s">
        <v>2721</v>
      </c>
    </row>
    <row r="4550" spans="1:16">
      <c r="A4550" s="1" t="s">
        <v>739</v>
      </c>
      <c r="B4550" s="1">
        <v>11</v>
      </c>
      <c r="C4550" s="1">
        <v>31506376</v>
      </c>
      <c r="D4550" s="1" t="s">
        <v>1859</v>
      </c>
      <c r="E4550" s="2">
        <v>45986</v>
      </c>
      <c r="F4550" s="1" t="s">
        <v>604</v>
      </c>
      <c r="G4550" s="1" t="s">
        <v>1860</v>
      </c>
      <c r="H4550" s="1" t="s">
        <v>1861</v>
      </c>
      <c r="I4550" s="1">
        <v>1</v>
      </c>
      <c r="J4550" s="3">
        <v>8900</v>
      </c>
      <c r="K4550" s="3">
        <v>5026</v>
      </c>
      <c r="L4550" s="3">
        <v>1175</v>
      </c>
      <c r="M4550" s="4">
        <v>0.13200000000000001</v>
      </c>
      <c r="N4550" s="3">
        <v>2699</v>
      </c>
      <c r="O4550" s="4">
        <v>0.30299999999999999</v>
      </c>
      <c r="P4550" s="1" t="s">
        <v>2721</v>
      </c>
    </row>
    <row r="4551" spans="1:16">
      <c r="A4551" s="1" t="s">
        <v>602</v>
      </c>
      <c r="B4551" s="1">
        <v>11</v>
      </c>
      <c r="C4551" s="1">
        <v>20100154974644</v>
      </c>
      <c r="D4551" s="1" t="s">
        <v>1862</v>
      </c>
      <c r="E4551" s="2">
        <v>45986</v>
      </c>
      <c r="F4551" s="1" t="s">
        <v>235</v>
      </c>
      <c r="G4551" s="1" t="s">
        <v>1863</v>
      </c>
      <c r="H4551" s="1" t="s">
        <v>1864</v>
      </c>
      <c r="I4551" s="1">
        <v>1</v>
      </c>
      <c r="J4551" s="3">
        <v>14790</v>
      </c>
      <c r="K4551" s="3">
        <v>7739</v>
      </c>
      <c r="L4551" s="3">
        <v>1716</v>
      </c>
      <c r="M4551" s="4">
        <v>0.11600000000000001</v>
      </c>
      <c r="N4551" s="3">
        <v>5335</v>
      </c>
      <c r="O4551" s="4">
        <v>0.36099999999999999</v>
      </c>
      <c r="P4551" s="1" t="s">
        <v>2721</v>
      </c>
    </row>
    <row r="4552" spans="1:16">
      <c r="A4552" s="1" t="s">
        <v>649</v>
      </c>
      <c r="B4552" s="1">
        <v>11</v>
      </c>
      <c r="C4552" s="1">
        <v>25112507533432</v>
      </c>
      <c r="D4552" s="1" t="s">
        <v>2126</v>
      </c>
      <c r="E4552" s="2">
        <v>45986</v>
      </c>
      <c r="F4552" s="1" t="s">
        <v>395</v>
      </c>
      <c r="G4552" s="1" t="s">
        <v>2127</v>
      </c>
      <c r="H4552" s="1" t="s">
        <v>6623</v>
      </c>
      <c r="I4552" s="1">
        <v>1</v>
      </c>
      <c r="J4552" s="3">
        <v>25075</v>
      </c>
      <c r="K4552" s="3">
        <v>23450</v>
      </c>
      <c r="L4552" s="1">
        <v>0</v>
      </c>
      <c r="M4552" s="4">
        <v>0</v>
      </c>
      <c r="N4552" s="3">
        <v>1625</v>
      </c>
      <c r="O4552" s="4">
        <v>6.5000000000000002E-2</v>
      </c>
      <c r="P4552" s="1" t="s">
        <v>2721</v>
      </c>
    </row>
    <row r="4553" spans="1:16">
      <c r="A4553" s="1" t="s">
        <v>649</v>
      </c>
      <c r="B4553" s="1">
        <v>11</v>
      </c>
      <c r="C4553" s="1">
        <v>25112507250835</v>
      </c>
      <c r="D4553" s="1" t="s">
        <v>2248</v>
      </c>
      <c r="E4553" s="2">
        <v>45986</v>
      </c>
      <c r="F4553" s="1" t="s">
        <v>2206</v>
      </c>
      <c r="G4553" s="1" t="s">
        <v>2249</v>
      </c>
      <c r="H4553" s="1" t="s">
        <v>5902</v>
      </c>
      <c r="I4553" s="1">
        <v>1</v>
      </c>
      <c r="J4553" s="3">
        <v>16643</v>
      </c>
      <c r="K4553" s="3">
        <v>14149</v>
      </c>
      <c r="L4553" s="1">
        <v>0</v>
      </c>
      <c r="M4553" s="4">
        <v>0</v>
      </c>
      <c r="N4553" s="3">
        <v>2494</v>
      </c>
      <c r="O4553" s="4">
        <v>0.15</v>
      </c>
      <c r="P4553" s="1" t="s">
        <v>2721</v>
      </c>
    </row>
    <row r="4554" spans="1:16">
      <c r="A4554" s="1" t="s">
        <v>649</v>
      </c>
      <c r="B4554" s="1">
        <v>11</v>
      </c>
      <c r="C4554" s="1">
        <v>25112501115206</v>
      </c>
      <c r="D4554" s="1" t="s">
        <v>9075</v>
      </c>
      <c r="E4554" s="2">
        <v>45986</v>
      </c>
      <c r="F4554" s="1" t="s">
        <v>1665</v>
      </c>
      <c r="G4554" s="1" t="s">
        <v>9076</v>
      </c>
      <c r="H4554" s="1" t="s">
        <v>9077</v>
      </c>
      <c r="I4554" s="1">
        <v>1</v>
      </c>
      <c r="J4554" s="3">
        <v>22611</v>
      </c>
      <c r="K4554" s="3">
        <v>14537</v>
      </c>
      <c r="L4554" s="1">
        <v>0</v>
      </c>
      <c r="M4554" s="4">
        <v>0</v>
      </c>
      <c r="N4554" s="3">
        <v>8074</v>
      </c>
      <c r="O4554" s="4">
        <v>0.35699999999999998</v>
      </c>
      <c r="P4554" s="1" t="s">
        <v>2721</v>
      </c>
    </row>
    <row r="4555" spans="1:16">
      <c r="A4555" s="1" t="s">
        <v>649</v>
      </c>
      <c r="B4555" s="1">
        <v>11</v>
      </c>
      <c r="C4555" s="1">
        <v>25112422152307</v>
      </c>
      <c r="D4555" s="1" t="s">
        <v>2184</v>
      </c>
      <c r="E4555" s="2">
        <v>45986</v>
      </c>
      <c r="F4555" s="1" t="s">
        <v>500</v>
      </c>
      <c r="G4555" s="1" t="s">
        <v>2185</v>
      </c>
      <c r="H4555" s="1" t="s">
        <v>5903</v>
      </c>
      <c r="I4555" s="1">
        <v>1</v>
      </c>
      <c r="J4555" s="3">
        <v>104550</v>
      </c>
      <c r="K4555" s="3">
        <v>98000</v>
      </c>
      <c r="L4555" s="1">
        <v>0</v>
      </c>
      <c r="M4555" s="4">
        <v>0</v>
      </c>
      <c r="N4555" s="3">
        <v>6550</v>
      </c>
      <c r="O4555" s="4">
        <v>6.3E-2</v>
      </c>
      <c r="P4555" s="1" t="s">
        <v>2721</v>
      </c>
    </row>
    <row r="4556" spans="1:16">
      <c r="A4556" s="1" t="s">
        <v>649</v>
      </c>
      <c r="B4556" s="1">
        <v>11</v>
      </c>
      <c r="C4556" s="1">
        <v>25112419425041</v>
      </c>
      <c r="D4556" s="1" t="s">
        <v>9078</v>
      </c>
      <c r="E4556" s="2">
        <v>45986</v>
      </c>
      <c r="F4556" s="1" t="s">
        <v>500</v>
      </c>
      <c r="G4556" s="1" t="s">
        <v>9079</v>
      </c>
      <c r="H4556" s="1" t="s">
        <v>9080</v>
      </c>
      <c r="I4556" s="1">
        <v>1</v>
      </c>
      <c r="J4556" s="3">
        <v>72845</v>
      </c>
      <c r="K4556" s="3">
        <v>68310</v>
      </c>
      <c r="L4556" s="1">
        <v>0</v>
      </c>
      <c r="M4556" s="4">
        <v>0</v>
      </c>
      <c r="N4556" s="3">
        <v>4535</v>
      </c>
      <c r="O4556" s="4">
        <v>6.2E-2</v>
      </c>
      <c r="P4556" s="1" t="s">
        <v>2721</v>
      </c>
    </row>
    <row r="4557" spans="1:16">
      <c r="A4557" s="1" t="s">
        <v>649</v>
      </c>
      <c r="B4557" s="1">
        <v>11</v>
      </c>
      <c r="C4557" s="1">
        <v>25112419264936</v>
      </c>
      <c r="D4557" s="1" t="s">
        <v>5895</v>
      </c>
      <c r="E4557" s="2">
        <v>45986</v>
      </c>
      <c r="F4557" s="1" t="s">
        <v>48</v>
      </c>
      <c r="G4557" s="1" t="s">
        <v>5896</v>
      </c>
      <c r="H4557" s="1" t="s">
        <v>5897</v>
      </c>
      <c r="I4557" s="1">
        <v>1</v>
      </c>
      <c r="J4557" s="3">
        <v>11688</v>
      </c>
      <c r="K4557" s="3">
        <v>9924</v>
      </c>
      <c r="L4557" s="1">
        <v>0</v>
      </c>
      <c r="M4557" s="4">
        <v>0</v>
      </c>
      <c r="N4557" s="3">
        <v>1764</v>
      </c>
      <c r="O4557" s="4">
        <v>0.151</v>
      </c>
      <c r="P4557" s="1" t="s">
        <v>2721</v>
      </c>
    </row>
    <row r="4558" spans="1:16">
      <c r="A4558" s="1" t="s">
        <v>649</v>
      </c>
      <c r="B4558" s="1">
        <v>11</v>
      </c>
      <c r="C4558" s="1">
        <v>25112418134747</v>
      </c>
      <c r="D4558" s="1" t="s">
        <v>9081</v>
      </c>
      <c r="E4558" s="2">
        <v>45986</v>
      </c>
      <c r="F4558" s="1" t="s">
        <v>400</v>
      </c>
      <c r="G4558" s="1" t="s">
        <v>9082</v>
      </c>
      <c r="H4558" s="1" t="s">
        <v>9083</v>
      </c>
      <c r="I4558" s="1">
        <v>1</v>
      </c>
      <c r="J4558" s="3">
        <v>16915</v>
      </c>
      <c r="K4558" s="3">
        <v>15832</v>
      </c>
      <c r="L4558" s="1">
        <v>0</v>
      </c>
      <c r="M4558" s="4">
        <v>0</v>
      </c>
      <c r="N4558" s="3">
        <v>1083</v>
      </c>
      <c r="O4558" s="4">
        <v>6.4000000000000001E-2</v>
      </c>
      <c r="P4558" s="1" t="s">
        <v>2721</v>
      </c>
    </row>
    <row r="4559" spans="1:16">
      <c r="A4559" s="1" t="s">
        <v>649</v>
      </c>
      <c r="B4559" s="1">
        <v>11</v>
      </c>
      <c r="C4559" s="1">
        <v>25112415594181</v>
      </c>
      <c r="D4559" s="1" t="s">
        <v>9084</v>
      </c>
      <c r="E4559" s="2">
        <v>45986</v>
      </c>
      <c r="F4559" s="1" t="s">
        <v>1562</v>
      </c>
      <c r="G4559" s="1" t="s">
        <v>9085</v>
      </c>
      <c r="H4559" s="1" t="s">
        <v>9086</v>
      </c>
      <c r="I4559" s="1">
        <v>1</v>
      </c>
      <c r="J4559" s="3">
        <v>380035</v>
      </c>
      <c r="K4559" s="3">
        <v>356440</v>
      </c>
      <c r="L4559" s="1">
        <v>0</v>
      </c>
      <c r="M4559" s="4">
        <v>0</v>
      </c>
      <c r="N4559" s="3">
        <v>23595</v>
      </c>
      <c r="O4559" s="4">
        <v>6.2E-2</v>
      </c>
      <c r="P4559" s="1" t="s">
        <v>2721</v>
      </c>
    </row>
    <row r="4560" spans="1:16">
      <c r="A4560" s="1" t="s">
        <v>649</v>
      </c>
      <c r="B4560" s="1">
        <v>11</v>
      </c>
      <c r="C4560" s="1">
        <v>25112409185546</v>
      </c>
      <c r="D4560" s="1" t="s">
        <v>2635</v>
      </c>
      <c r="E4560" s="2">
        <v>45986</v>
      </c>
      <c r="F4560" s="1" t="s">
        <v>2636</v>
      </c>
      <c r="G4560" s="1" t="s">
        <v>2637</v>
      </c>
      <c r="H4560" s="1" t="s">
        <v>2638</v>
      </c>
      <c r="I4560" s="1">
        <v>1</v>
      </c>
      <c r="J4560" s="3">
        <v>10472</v>
      </c>
      <c r="K4560" s="3">
        <v>8911</v>
      </c>
      <c r="L4560" s="1">
        <v>0</v>
      </c>
      <c r="M4560" s="4">
        <v>0</v>
      </c>
      <c r="N4560" s="3">
        <v>1561</v>
      </c>
      <c r="O4560" s="4">
        <v>0.14899999999999999</v>
      </c>
      <c r="P4560" s="1" t="s">
        <v>2721</v>
      </c>
    </row>
    <row r="4561" spans="1:16">
      <c r="A4561" s="1" t="s">
        <v>632</v>
      </c>
      <c r="B4561" s="1">
        <v>11</v>
      </c>
      <c r="C4561" s="1">
        <v>164374725</v>
      </c>
      <c r="D4561" s="1" t="s">
        <v>682</v>
      </c>
      <c r="E4561" s="2">
        <v>45986</v>
      </c>
      <c r="F4561" s="1" t="s">
        <v>500</v>
      </c>
      <c r="G4561" s="1" t="s">
        <v>683</v>
      </c>
      <c r="I4561" s="1">
        <v>1</v>
      </c>
      <c r="J4561" s="3">
        <v>134900</v>
      </c>
      <c r="K4561" s="3">
        <v>107500</v>
      </c>
      <c r="L4561" s="3">
        <v>14299</v>
      </c>
      <c r="M4561" s="4">
        <v>0.106</v>
      </c>
      <c r="N4561" s="3">
        <v>13100</v>
      </c>
      <c r="O4561" s="4">
        <v>9.7000000000000003E-2</v>
      </c>
      <c r="P4561" s="1" t="s">
        <v>2721</v>
      </c>
    </row>
    <row r="4562" spans="1:16">
      <c r="A4562" s="1" t="s">
        <v>632</v>
      </c>
      <c r="B4562" s="1">
        <v>11</v>
      </c>
      <c r="C4562" s="1">
        <v>164367231</v>
      </c>
      <c r="D4562" s="1" t="s">
        <v>715</v>
      </c>
      <c r="E4562" s="2">
        <v>45986</v>
      </c>
      <c r="F4562" s="1" t="s">
        <v>500</v>
      </c>
      <c r="G4562" s="1" t="s">
        <v>716</v>
      </c>
      <c r="I4562" s="1">
        <v>1</v>
      </c>
      <c r="J4562" s="3">
        <v>138900</v>
      </c>
      <c r="K4562" s="3">
        <v>111200</v>
      </c>
      <c r="L4562" s="3">
        <v>14723</v>
      </c>
      <c r="M4562" s="4">
        <v>0.106</v>
      </c>
      <c r="N4562" s="3">
        <v>12977</v>
      </c>
      <c r="O4562" s="4">
        <v>9.2999999999999999E-2</v>
      </c>
      <c r="P4562" s="1" t="s">
        <v>2721</v>
      </c>
    </row>
    <row r="4563" spans="1:16">
      <c r="A4563" s="1" t="s">
        <v>632</v>
      </c>
      <c r="B4563" s="1">
        <v>11</v>
      </c>
      <c r="C4563" s="1">
        <v>164314127</v>
      </c>
      <c r="D4563" s="1" t="s">
        <v>4412</v>
      </c>
      <c r="E4563" s="2">
        <v>45986</v>
      </c>
      <c r="F4563" s="1" t="s">
        <v>200</v>
      </c>
      <c r="G4563" s="1" t="s">
        <v>4413</v>
      </c>
      <c r="I4563" s="1">
        <v>1</v>
      </c>
      <c r="J4563" s="3">
        <v>37000</v>
      </c>
      <c r="K4563" s="3">
        <v>30016</v>
      </c>
      <c r="L4563" s="3">
        <v>3922</v>
      </c>
      <c r="M4563" s="4">
        <v>0.106</v>
      </c>
      <c r="N4563" s="3">
        <v>3062</v>
      </c>
      <c r="O4563" s="4">
        <v>8.3000000000000004E-2</v>
      </c>
      <c r="P4563" s="1" t="s">
        <v>2721</v>
      </c>
    </row>
    <row r="4564" spans="1:16">
      <c r="A4564" s="1" t="s">
        <v>1917</v>
      </c>
      <c r="B4564" s="1">
        <v>11</v>
      </c>
      <c r="C4564" s="1">
        <v>1.18071763978776E+20</v>
      </c>
      <c r="D4564" s="1" t="s">
        <v>1898</v>
      </c>
      <c r="E4564" s="2">
        <v>45986</v>
      </c>
      <c r="F4564" s="1" t="s">
        <v>1513</v>
      </c>
      <c r="G4564" s="1" t="s">
        <v>1899</v>
      </c>
      <c r="H4564" s="1" t="s">
        <v>9087</v>
      </c>
      <c r="I4564" s="1">
        <v>1</v>
      </c>
      <c r="J4564" s="3">
        <v>23828</v>
      </c>
      <c r="K4564" s="3">
        <v>18150</v>
      </c>
      <c r="L4564" s="1">
        <v>0</v>
      </c>
      <c r="M4564" s="4">
        <v>0</v>
      </c>
      <c r="N4564" s="3">
        <v>5678</v>
      </c>
      <c r="O4564" s="4">
        <v>0.23799999999999999</v>
      </c>
      <c r="P4564" s="1" t="s">
        <v>2721</v>
      </c>
    </row>
    <row r="4565" spans="1:16">
      <c r="A4565" s="1" t="s">
        <v>1917</v>
      </c>
      <c r="B4565" s="1">
        <v>11</v>
      </c>
      <c r="C4565" s="1">
        <v>1.18041763942023E+20</v>
      </c>
      <c r="D4565" s="1" t="s">
        <v>9088</v>
      </c>
      <c r="E4565" s="2">
        <v>45986</v>
      </c>
      <c r="F4565" s="1" t="s">
        <v>96</v>
      </c>
      <c r="G4565" s="1" t="s">
        <v>9089</v>
      </c>
      <c r="H4565" s="1" t="s">
        <v>9090</v>
      </c>
      <c r="I4565" s="1">
        <v>1</v>
      </c>
      <c r="J4565" s="3">
        <v>9108</v>
      </c>
      <c r="K4565" s="3">
        <v>7096</v>
      </c>
      <c r="L4565" s="1">
        <v>0</v>
      </c>
      <c r="M4565" s="4">
        <v>0</v>
      </c>
      <c r="N4565" s="3">
        <v>2012</v>
      </c>
      <c r="O4565" s="4">
        <v>0.221</v>
      </c>
      <c r="P4565" s="1" t="s">
        <v>2721</v>
      </c>
    </row>
    <row r="4566" spans="1:16">
      <c r="A4566" s="1" t="s">
        <v>1849</v>
      </c>
      <c r="B4566" s="1">
        <v>11</v>
      </c>
      <c r="C4566" s="1">
        <v>315365</v>
      </c>
      <c r="D4566" s="1" t="s">
        <v>9091</v>
      </c>
      <c r="E4566" s="2">
        <v>45986</v>
      </c>
      <c r="F4566" s="1" t="s">
        <v>256</v>
      </c>
      <c r="G4566" s="1" t="s">
        <v>9092</v>
      </c>
      <c r="H4566" s="1" t="s">
        <v>9093</v>
      </c>
      <c r="I4566" s="1">
        <v>1</v>
      </c>
      <c r="J4566" s="3">
        <v>16500</v>
      </c>
      <c r="K4566" s="3">
        <v>10928</v>
      </c>
      <c r="L4566" s="3">
        <v>2475</v>
      </c>
      <c r="M4566" s="4">
        <v>0.15</v>
      </c>
      <c r="N4566" s="3">
        <v>3097</v>
      </c>
      <c r="O4566" s="4">
        <v>0.188</v>
      </c>
      <c r="P4566" s="1" t="s">
        <v>2721</v>
      </c>
    </row>
    <row r="4567" spans="1:16">
      <c r="A4567" s="1" t="s">
        <v>1849</v>
      </c>
      <c r="B4567" s="1">
        <v>11</v>
      </c>
      <c r="C4567" s="1">
        <v>314929</v>
      </c>
      <c r="D4567" s="1" t="s">
        <v>8052</v>
      </c>
      <c r="E4567" s="2">
        <v>45986</v>
      </c>
      <c r="F4567" s="1" t="s">
        <v>256</v>
      </c>
      <c r="G4567" s="1" t="s">
        <v>8053</v>
      </c>
      <c r="H4567" s="1" t="s">
        <v>8054</v>
      </c>
      <c r="I4567" s="1">
        <v>1</v>
      </c>
      <c r="J4567" s="3">
        <v>12800</v>
      </c>
      <c r="K4567" s="3">
        <v>7739</v>
      </c>
      <c r="L4567" s="3">
        <v>1920</v>
      </c>
      <c r="M4567" s="4">
        <v>0.15</v>
      </c>
      <c r="N4567" s="3">
        <v>3141</v>
      </c>
      <c r="O4567" s="4">
        <v>0.245</v>
      </c>
      <c r="P4567" s="1" t="s">
        <v>2721</v>
      </c>
    </row>
    <row r="4568" spans="1:16">
      <c r="A4568" s="1" t="s">
        <v>1849</v>
      </c>
      <c r="B4568" s="1">
        <v>11</v>
      </c>
      <c r="C4568" s="1">
        <v>314769</v>
      </c>
      <c r="D4568" s="1" t="s">
        <v>8696</v>
      </c>
      <c r="E4568" s="2">
        <v>45986</v>
      </c>
      <c r="F4568" s="1" t="s">
        <v>48</v>
      </c>
      <c r="G4568" s="1" t="s">
        <v>8697</v>
      </c>
      <c r="H4568" s="1" t="s">
        <v>8698</v>
      </c>
      <c r="I4568" s="1">
        <v>1</v>
      </c>
      <c r="J4568" s="3">
        <v>20700</v>
      </c>
      <c r="K4568" s="3">
        <v>12944</v>
      </c>
      <c r="L4568" s="3">
        <v>3105</v>
      </c>
      <c r="M4568" s="4">
        <v>0.15</v>
      </c>
      <c r="N4568" s="3">
        <v>4651</v>
      </c>
      <c r="O4568" s="4">
        <v>0.22500000000000001</v>
      </c>
      <c r="P4568" s="1" t="s">
        <v>2721</v>
      </c>
    </row>
    <row r="4569" spans="1:16">
      <c r="A4569" s="1" t="s">
        <v>702</v>
      </c>
      <c r="B4569" s="1">
        <v>11</v>
      </c>
      <c r="C4569" s="1" t="s">
        <v>9094</v>
      </c>
      <c r="D4569" s="1" t="s">
        <v>8052</v>
      </c>
      <c r="E4569" s="2">
        <v>45986</v>
      </c>
      <c r="F4569" s="1" t="s">
        <v>256</v>
      </c>
      <c r="G4569" s="1" t="s">
        <v>8053</v>
      </c>
      <c r="H4569" s="1" t="s">
        <v>9095</v>
      </c>
      <c r="I4569" s="1">
        <v>1</v>
      </c>
      <c r="J4569" s="3">
        <v>10100</v>
      </c>
      <c r="K4569" s="3">
        <v>7739</v>
      </c>
      <c r="L4569" s="1">
        <v>0</v>
      </c>
      <c r="M4569" s="4">
        <v>0</v>
      </c>
      <c r="N4569" s="3">
        <v>2361</v>
      </c>
      <c r="O4569" s="4">
        <v>0.23400000000000001</v>
      </c>
      <c r="P4569" s="1" t="s">
        <v>2721</v>
      </c>
    </row>
    <row r="4570" spans="1:16">
      <c r="A4570" s="1" t="s">
        <v>2737</v>
      </c>
      <c r="B4570" s="1">
        <v>11</v>
      </c>
      <c r="C4570" s="1">
        <v>2.0251124121640899E+17</v>
      </c>
      <c r="D4570" s="1" t="s">
        <v>2184</v>
      </c>
      <c r="E4570" s="2">
        <v>45986</v>
      </c>
      <c r="F4570" s="1" t="s">
        <v>500</v>
      </c>
      <c r="G4570" s="1" t="s">
        <v>2185</v>
      </c>
      <c r="H4570" s="1" t="s">
        <v>9096</v>
      </c>
      <c r="I4570" s="1">
        <v>1</v>
      </c>
      <c r="J4570" s="3">
        <v>148000</v>
      </c>
      <c r="K4570" s="3">
        <v>98000</v>
      </c>
      <c r="L4570" s="3">
        <v>29600</v>
      </c>
      <c r="M4570" s="4">
        <v>0.2</v>
      </c>
      <c r="N4570" s="3">
        <v>20400</v>
      </c>
      <c r="O4570" s="4">
        <v>0.13800000000000001</v>
      </c>
      <c r="P4570" s="1" t="s">
        <v>2721</v>
      </c>
    </row>
    <row r="4571" spans="1:16">
      <c r="A4571" s="1" t="s">
        <v>707</v>
      </c>
      <c r="B4571" s="1">
        <v>11</v>
      </c>
      <c r="C4571" s="1">
        <v>2.02511242224092E+17</v>
      </c>
      <c r="D4571" s="1" t="s">
        <v>2071</v>
      </c>
      <c r="E4571" s="2">
        <v>45986</v>
      </c>
      <c r="F4571" s="1" t="s">
        <v>235</v>
      </c>
      <c r="G4571" s="1" t="s">
        <v>2072</v>
      </c>
      <c r="H4571" s="1" t="s">
        <v>2073</v>
      </c>
      <c r="I4571" s="1">
        <v>1</v>
      </c>
      <c r="J4571" s="3">
        <v>9800</v>
      </c>
      <c r="K4571" s="3">
        <v>7739</v>
      </c>
      <c r="L4571" s="3">
        <v>1470</v>
      </c>
      <c r="M4571" s="4">
        <v>0.15</v>
      </c>
      <c r="N4571" s="1">
        <v>591</v>
      </c>
      <c r="O4571" s="4">
        <v>0.06</v>
      </c>
      <c r="P4571" s="1" t="s">
        <v>2721</v>
      </c>
    </row>
    <row r="4572" spans="1:16">
      <c r="A4572" s="1" t="s">
        <v>707</v>
      </c>
      <c r="B4572" s="1">
        <v>11</v>
      </c>
      <c r="C4572" s="1">
        <v>2.0251125053916899E+17</v>
      </c>
      <c r="D4572" s="1" t="s">
        <v>4414</v>
      </c>
      <c r="E4572" s="2">
        <v>45986</v>
      </c>
      <c r="F4572" s="1" t="s">
        <v>48</v>
      </c>
      <c r="G4572" s="1" t="s">
        <v>4415</v>
      </c>
      <c r="H4572" s="1" t="s">
        <v>6670</v>
      </c>
      <c r="I4572" s="1">
        <v>1</v>
      </c>
      <c r="J4572" s="3">
        <v>17900</v>
      </c>
      <c r="K4572" s="3">
        <v>13714</v>
      </c>
      <c r="L4572" s="3">
        <v>2685</v>
      </c>
      <c r="M4572" s="4">
        <v>0.15</v>
      </c>
      <c r="N4572" s="3">
        <v>1501</v>
      </c>
      <c r="O4572" s="4">
        <v>8.4000000000000005E-2</v>
      </c>
      <c r="P4572" s="1" t="s">
        <v>2721</v>
      </c>
    </row>
    <row r="4573" spans="1:16">
      <c r="A4573" s="1" t="s">
        <v>707</v>
      </c>
      <c r="B4573" s="1">
        <v>11</v>
      </c>
      <c r="C4573" s="1">
        <v>2.0251125081637101E+17</v>
      </c>
      <c r="D4573" s="1" t="s">
        <v>2071</v>
      </c>
      <c r="E4573" s="2">
        <v>45986</v>
      </c>
      <c r="F4573" s="1" t="s">
        <v>235</v>
      </c>
      <c r="G4573" s="1" t="s">
        <v>2072</v>
      </c>
      <c r="H4573" s="1" t="s">
        <v>2073</v>
      </c>
      <c r="I4573" s="1">
        <v>1</v>
      </c>
      <c r="J4573" s="3">
        <v>9800</v>
      </c>
      <c r="K4573" s="3">
        <v>7739</v>
      </c>
      <c r="L4573" s="3">
        <v>1470</v>
      </c>
      <c r="M4573" s="4">
        <v>0.15</v>
      </c>
      <c r="N4573" s="1">
        <v>591</v>
      </c>
      <c r="O4573" s="4">
        <v>0.06</v>
      </c>
      <c r="P4573" s="1" t="s">
        <v>2721</v>
      </c>
    </row>
    <row r="4574" spans="1:16">
      <c r="A4574" s="1" t="s">
        <v>707</v>
      </c>
      <c r="B4574" s="1">
        <v>11</v>
      </c>
      <c r="C4574" s="1">
        <v>2.0251125081755101E+17</v>
      </c>
      <c r="D4574" s="1" t="s">
        <v>2071</v>
      </c>
      <c r="E4574" s="2">
        <v>45986</v>
      </c>
      <c r="F4574" s="1" t="s">
        <v>235</v>
      </c>
      <c r="G4574" s="1" t="s">
        <v>2072</v>
      </c>
      <c r="H4574" s="1" t="s">
        <v>2073</v>
      </c>
      <c r="I4574" s="1">
        <v>1</v>
      </c>
      <c r="J4574" s="3">
        <v>9800</v>
      </c>
      <c r="K4574" s="3">
        <v>7739</v>
      </c>
      <c r="L4574" s="3">
        <v>1470</v>
      </c>
      <c r="M4574" s="4">
        <v>0.15</v>
      </c>
      <c r="N4574" s="1">
        <v>591</v>
      </c>
      <c r="O4574" s="4">
        <v>0.06</v>
      </c>
      <c r="P4574" s="1" t="s">
        <v>2721</v>
      </c>
    </row>
    <row r="4575" spans="1:16">
      <c r="A4575" s="1" t="s">
        <v>707</v>
      </c>
      <c r="B4575" s="1">
        <v>11</v>
      </c>
      <c r="C4575" s="1">
        <v>2.0251125081849101E+17</v>
      </c>
      <c r="D4575" s="1" t="s">
        <v>2071</v>
      </c>
      <c r="E4575" s="2">
        <v>45986</v>
      </c>
      <c r="F4575" s="1" t="s">
        <v>235</v>
      </c>
      <c r="G4575" s="1" t="s">
        <v>2072</v>
      </c>
      <c r="H4575" s="1" t="s">
        <v>2073</v>
      </c>
      <c r="I4575" s="1">
        <v>1</v>
      </c>
      <c r="J4575" s="3">
        <v>9800</v>
      </c>
      <c r="K4575" s="3">
        <v>7739</v>
      </c>
      <c r="L4575" s="3">
        <v>1470</v>
      </c>
      <c r="M4575" s="4">
        <v>0.15</v>
      </c>
      <c r="N4575" s="1">
        <v>591</v>
      </c>
      <c r="O4575" s="4">
        <v>0.06</v>
      </c>
      <c r="P4575" s="1" t="s">
        <v>2721</v>
      </c>
    </row>
    <row r="4576" spans="1:16">
      <c r="A4576" s="1" t="s">
        <v>2082</v>
      </c>
      <c r="B4576" s="1">
        <v>11</v>
      </c>
      <c r="C4576" s="1">
        <v>2.0251124000513402E+17</v>
      </c>
      <c r="D4576" s="1" t="s">
        <v>9097</v>
      </c>
      <c r="E4576" s="2">
        <v>45986</v>
      </c>
      <c r="F4576" s="1" t="s">
        <v>33</v>
      </c>
      <c r="G4576" s="1" t="s">
        <v>9098</v>
      </c>
      <c r="H4576" s="1" t="s">
        <v>9099</v>
      </c>
      <c r="I4576" s="1">
        <v>1</v>
      </c>
      <c r="J4576" s="3">
        <v>82800</v>
      </c>
      <c r="K4576" s="3">
        <v>57406</v>
      </c>
      <c r="L4576" s="3">
        <v>12420</v>
      </c>
      <c r="M4576" s="4">
        <v>0.15</v>
      </c>
      <c r="N4576" s="3">
        <v>12974</v>
      </c>
      <c r="O4576" s="4">
        <v>0.157</v>
      </c>
      <c r="P4576" s="1" t="s">
        <v>2721</v>
      </c>
    </row>
    <row r="4577" spans="1:16">
      <c r="A4577" s="1" t="s">
        <v>2082</v>
      </c>
      <c r="B4577" s="1">
        <v>11</v>
      </c>
      <c r="C4577" s="1">
        <v>2.02511241750452E+17</v>
      </c>
      <c r="D4577" s="1" t="s">
        <v>9100</v>
      </c>
      <c r="E4577" s="2">
        <v>45986</v>
      </c>
      <c r="F4577" s="1" t="s">
        <v>426</v>
      </c>
      <c r="G4577" s="1" t="s">
        <v>9101</v>
      </c>
      <c r="H4577" s="1" t="s">
        <v>9102</v>
      </c>
      <c r="I4577" s="1">
        <v>1</v>
      </c>
      <c r="J4577" s="3">
        <v>59900</v>
      </c>
      <c r="K4577" s="3">
        <v>45024</v>
      </c>
      <c r="L4577" s="3">
        <v>8985</v>
      </c>
      <c r="M4577" s="4">
        <v>0.15</v>
      </c>
      <c r="N4577" s="3">
        <v>5891</v>
      </c>
      <c r="O4577" s="4">
        <v>9.8000000000000004E-2</v>
      </c>
      <c r="P4577" s="1" t="s">
        <v>2721</v>
      </c>
    </row>
    <row r="4578" spans="1:16">
      <c r="A4578" s="1" t="s">
        <v>711</v>
      </c>
      <c r="B4578" s="1">
        <v>11</v>
      </c>
      <c r="C4578" s="1">
        <v>2.02511241616388E+17</v>
      </c>
      <c r="D4578" s="1" t="s">
        <v>682</v>
      </c>
      <c r="E4578" s="2">
        <v>45986</v>
      </c>
      <c r="F4578" s="1" t="s">
        <v>500</v>
      </c>
      <c r="G4578" s="1" t="s">
        <v>683</v>
      </c>
      <c r="H4578" s="1" t="s">
        <v>2669</v>
      </c>
      <c r="I4578" s="1">
        <v>1</v>
      </c>
      <c r="J4578" s="3">
        <v>132900</v>
      </c>
      <c r="K4578" s="3">
        <v>107500</v>
      </c>
      <c r="L4578" s="3">
        <v>19935</v>
      </c>
      <c r="M4578" s="4">
        <v>0.15</v>
      </c>
      <c r="N4578" s="3">
        <v>5465</v>
      </c>
      <c r="O4578" s="4">
        <v>4.1000000000000002E-2</v>
      </c>
      <c r="P4578" s="1" t="s">
        <v>2721</v>
      </c>
    </row>
    <row r="4579" spans="1:16">
      <c r="A4579" s="1" t="s">
        <v>718</v>
      </c>
      <c r="B4579" s="1">
        <v>11</v>
      </c>
      <c r="C4579" s="1">
        <v>2.0251124174220998E+17</v>
      </c>
      <c r="D4579" s="1" t="s">
        <v>2093</v>
      </c>
      <c r="E4579" s="2">
        <v>45986</v>
      </c>
      <c r="F4579" s="1" t="s">
        <v>1935</v>
      </c>
      <c r="G4579" s="1" t="s">
        <v>2094</v>
      </c>
      <c r="H4579" s="1" t="s">
        <v>2095</v>
      </c>
      <c r="I4579" s="1">
        <v>1</v>
      </c>
      <c r="J4579" s="3">
        <v>12900</v>
      </c>
      <c r="K4579" s="3">
        <v>11247</v>
      </c>
      <c r="L4579" s="3">
        <v>1290</v>
      </c>
      <c r="M4579" s="4">
        <v>0.1</v>
      </c>
      <c r="N4579" s="1">
        <v>363</v>
      </c>
      <c r="O4579" s="4">
        <v>2.8000000000000001E-2</v>
      </c>
      <c r="P4579" s="1" t="s">
        <v>2721</v>
      </c>
    </row>
    <row r="4580" spans="1:16">
      <c r="A4580" s="1" t="s">
        <v>722</v>
      </c>
      <c r="B4580" s="1">
        <v>11</v>
      </c>
      <c r="C4580" s="1" t="s">
        <v>9103</v>
      </c>
      <c r="D4580" s="1" t="s">
        <v>7837</v>
      </c>
      <c r="E4580" s="2">
        <v>45986</v>
      </c>
      <c r="F4580" s="1" t="s">
        <v>725</v>
      </c>
      <c r="G4580" s="1" t="s">
        <v>7838</v>
      </c>
      <c r="I4580" s="1">
        <v>1</v>
      </c>
      <c r="J4580" s="3">
        <v>119250</v>
      </c>
      <c r="K4580" s="3">
        <v>103180</v>
      </c>
      <c r="L4580" s="1">
        <v>0</v>
      </c>
      <c r="M4580" s="4">
        <v>0</v>
      </c>
      <c r="N4580" s="3">
        <v>16070</v>
      </c>
      <c r="O4580" s="4">
        <v>0.13500000000000001</v>
      </c>
      <c r="P4580" s="1" t="s">
        <v>2721</v>
      </c>
    </row>
    <row r="4581" spans="1:16">
      <c r="A4581" s="1" t="s">
        <v>733</v>
      </c>
      <c r="B4581" s="1">
        <v>11</v>
      </c>
      <c r="C4581" s="1" t="s">
        <v>9104</v>
      </c>
      <c r="D4581" s="1" t="s">
        <v>9105</v>
      </c>
      <c r="E4581" s="2">
        <v>45986</v>
      </c>
      <c r="F4581" s="1" t="s">
        <v>500</v>
      </c>
      <c r="G4581" s="1" t="s">
        <v>9106</v>
      </c>
      <c r="I4581" s="1">
        <v>1</v>
      </c>
      <c r="J4581" s="3">
        <v>217455</v>
      </c>
      <c r="K4581" s="3">
        <v>183900</v>
      </c>
      <c r="L4581" s="1">
        <v>0</v>
      </c>
      <c r="M4581" s="4">
        <v>0</v>
      </c>
      <c r="N4581" s="3">
        <v>33555</v>
      </c>
      <c r="O4581" s="4">
        <v>0.154</v>
      </c>
      <c r="P4581" s="1" t="s">
        <v>2721</v>
      </c>
    </row>
    <row r="4582" spans="1:16">
      <c r="A4582" s="1" t="s">
        <v>739</v>
      </c>
      <c r="B4582" s="1">
        <v>11</v>
      </c>
      <c r="C4582" s="1">
        <v>31506598</v>
      </c>
      <c r="D4582" s="1" t="s">
        <v>2083</v>
      </c>
      <c r="E4582" s="2">
        <v>45986</v>
      </c>
      <c r="F4582" s="1" t="s">
        <v>426</v>
      </c>
      <c r="G4582" s="1" t="s">
        <v>2084</v>
      </c>
      <c r="H4582" s="1" t="s">
        <v>1568</v>
      </c>
      <c r="I4582" s="1">
        <v>1</v>
      </c>
      <c r="J4582" s="3">
        <v>32000</v>
      </c>
      <c r="K4582" s="3">
        <v>23450</v>
      </c>
      <c r="L4582" s="3">
        <v>4224</v>
      </c>
      <c r="M4582" s="4">
        <v>0.13200000000000001</v>
      </c>
      <c r="N4582" s="3">
        <v>4326</v>
      </c>
      <c r="O4582" s="4">
        <v>0.13500000000000001</v>
      </c>
      <c r="P4582" s="1" t="s">
        <v>2721</v>
      </c>
    </row>
    <row r="4583" spans="1:16">
      <c r="A4583" s="1" t="s">
        <v>739</v>
      </c>
      <c r="B4583" s="1">
        <v>11</v>
      </c>
      <c r="C4583" s="1">
        <v>31507600</v>
      </c>
      <c r="D4583" s="1" t="s">
        <v>7588</v>
      </c>
      <c r="E4583" s="2">
        <v>45986</v>
      </c>
      <c r="F4583" s="1" t="s">
        <v>63</v>
      </c>
      <c r="G4583" s="1" t="s">
        <v>7589</v>
      </c>
      <c r="H4583" s="1" t="s">
        <v>9107</v>
      </c>
      <c r="I4583" s="1">
        <v>1</v>
      </c>
      <c r="J4583" s="3">
        <v>37500</v>
      </c>
      <c r="K4583" s="3">
        <v>25400</v>
      </c>
      <c r="L4583" s="3">
        <v>4950</v>
      </c>
      <c r="M4583" s="4">
        <v>0.13200000000000001</v>
      </c>
      <c r="N4583" s="3">
        <v>7150</v>
      </c>
      <c r="O4583" s="4">
        <v>0.191</v>
      </c>
      <c r="P4583" s="1" t="s">
        <v>2721</v>
      </c>
    </row>
    <row r="4584" spans="1:16">
      <c r="A4584" s="1" t="s">
        <v>739</v>
      </c>
      <c r="B4584" s="1">
        <v>11</v>
      </c>
      <c r="C4584" s="1">
        <v>31509659</v>
      </c>
      <c r="D4584" s="1" t="s">
        <v>769</v>
      </c>
      <c r="E4584" s="2">
        <v>45986</v>
      </c>
      <c r="F4584" s="1" t="s">
        <v>48</v>
      </c>
      <c r="G4584" s="1" t="s">
        <v>770</v>
      </c>
      <c r="H4584" s="1" t="s">
        <v>991</v>
      </c>
      <c r="I4584" s="1">
        <v>1</v>
      </c>
      <c r="J4584" s="3">
        <v>15700</v>
      </c>
      <c r="K4584" s="3">
        <v>12513</v>
      </c>
      <c r="L4584" s="3">
        <v>2072</v>
      </c>
      <c r="M4584" s="4">
        <v>0.13200000000000001</v>
      </c>
      <c r="N4584" s="3">
        <v>1115</v>
      </c>
      <c r="O4584" s="4">
        <v>7.0999999999999994E-2</v>
      </c>
      <c r="P4584" s="1" t="s">
        <v>2721</v>
      </c>
    </row>
    <row r="4585" spans="1:16">
      <c r="A4585" s="1" t="s">
        <v>756</v>
      </c>
      <c r="B4585" s="1">
        <v>11</v>
      </c>
      <c r="C4585" s="1" t="s">
        <v>9108</v>
      </c>
      <c r="D4585" s="1" t="s">
        <v>9109</v>
      </c>
      <c r="E4585" s="2">
        <v>45986</v>
      </c>
      <c r="F4585" s="1" t="s">
        <v>783</v>
      </c>
      <c r="G4585" s="1" t="s">
        <v>9110</v>
      </c>
      <c r="H4585" s="1" t="s">
        <v>9111</v>
      </c>
      <c r="I4585" s="1">
        <v>1</v>
      </c>
      <c r="J4585" s="3">
        <v>49410</v>
      </c>
      <c r="K4585" s="3">
        <v>45868</v>
      </c>
      <c r="L4585" s="1">
        <v>0</v>
      </c>
      <c r="M4585" s="4">
        <v>0</v>
      </c>
      <c r="N4585" s="3">
        <v>3542</v>
      </c>
      <c r="O4585" s="4">
        <v>7.1999999999999995E-2</v>
      </c>
      <c r="P4585" s="1" t="s">
        <v>2723</v>
      </c>
    </row>
    <row r="4586" spans="1:16">
      <c r="A4586" s="1" t="s">
        <v>756</v>
      </c>
      <c r="B4586" s="1">
        <v>11</v>
      </c>
      <c r="C4586" s="1" t="s">
        <v>9112</v>
      </c>
      <c r="D4586" s="1" t="s">
        <v>5665</v>
      </c>
      <c r="E4586" s="2">
        <v>45986</v>
      </c>
      <c r="F4586" s="1" t="s">
        <v>256</v>
      </c>
      <c r="G4586" s="1" t="s">
        <v>5666</v>
      </c>
      <c r="H4586" s="1" t="s">
        <v>9113</v>
      </c>
      <c r="I4586" s="1">
        <v>1</v>
      </c>
      <c r="J4586" s="3">
        <v>13110</v>
      </c>
      <c r="K4586" s="3">
        <v>10928</v>
      </c>
      <c r="L4586" s="1">
        <v>0</v>
      </c>
      <c r="M4586" s="4">
        <v>0</v>
      </c>
      <c r="N4586" s="3">
        <v>2182</v>
      </c>
      <c r="O4586" s="4">
        <v>0.16600000000000001</v>
      </c>
      <c r="P4586" s="1" t="s">
        <v>2723</v>
      </c>
    </row>
    <row r="4587" spans="1:16">
      <c r="A4587" s="1" t="s">
        <v>756</v>
      </c>
      <c r="B4587" s="1">
        <v>11</v>
      </c>
      <c r="C4587" s="1" t="s">
        <v>9114</v>
      </c>
      <c r="D4587" s="1" t="s">
        <v>724</v>
      </c>
      <c r="E4587" s="2">
        <v>45986</v>
      </c>
      <c r="F4587" s="1" t="s">
        <v>725</v>
      </c>
      <c r="G4587" s="1" t="s">
        <v>726</v>
      </c>
      <c r="H4587" s="1" t="s">
        <v>9115</v>
      </c>
      <c r="I4587" s="1">
        <v>1</v>
      </c>
      <c r="J4587" s="3">
        <v>135360</v>
      </c>
      <c r="K4587" s="3">
        <v>121940</v>
      </c>
      <c r="L4587" s="1">
        <v>0</v>
      </c>
      <c r="M4587" s="4">
        <v>0</v>
      </c>
      <c r="N4587" s="3">
        <v>13420</v>
      </c>
      <c r="O4587" s="4">
        <v>9.9000000000000005E-2</v>
      </c>
      <c r="P4587" s="1" t="s">
        <v>2723</v>
      </c>
    </row>
    <row r="4588" spans="1:16">
      <c r="A4588" s="1" t="s">
        <v>756</v>
      </c>
      <c r="B4588" s="1">
        <v>11</v>
      </c>
      <c r="C4588" s="1" t="s">
        <v>9116</v>
      </c>
      <c r="D4588" s="1" t="s">
        <v>8729</v>
      </c>
      <c r="E4588" s="2">
        <v>45986</v>
      </c>
      <c r="F4588" s="1" t="s">
        <v>1935</v>
      </c>
      <c r="G4588" s="1" t="s">
        <v>8730</v>
      </c>
      <c r="H4588" s="1" t="s">
        <v>9117</v>
      </c>
      <c r="I4588" s="1">
        <v>2</v>
      </c>
      <c r="J4588" s="3">
        <v>34140</v>
      </c>
      <c r="K4588" s="3">
        <v>31892</v>
      </c>
      <c r="L4588" s="1">
        <v>0</v>
      </c>
      <c r="M4588" s="4">
        <v>0</v>
      </c>
      <c r="N4588" s="3">
        <v>2248</v>
      </c>
      <c r="O4588" s="4">
        <v>6.6000000000000003E-2</v>
      </c>
      <c r="P4588" s="1" t="s">
        <v>2723</v>
      </c>
    </row>
    <row r="4589" spans="1:16">
      <c r="A4589" s="1" t="s">
        <v>756</v>
      </c>
      <c r="B4589" s="1">
        <v>11</v>
      </c>
      <c r="C4589" s="1" t="s">
        <v>9118</v>
      </c>
      <c r="D4589" s="1" t="s">
        <v>3025</v>
      </c>
      <c r="E4589" s="2">
        <v>45986</v>
      </c>
      <c r="F4589" s="1" t="s">
        <v>368</v>
      </c>
      <c r="G4589" s="1" t="s">
        <v>3026</v>
      </c>
      <c r="H4589" s="1" t="s">
        <v>9119</v>
      </c>
      <c r="I4589" s="1">
        <v>1</v>
      </c>
      <c r="J4589" s="3">
        <v>22700</v>
      </c>
      <c r="K4589" s="3">
        <v>18899</v>
      </c>
      <c r="L4589" s="1">
        <v>0</v>
      </c>
      <c r="M4589" s="4">
        <v>0</v>
      </c>
      <c r="N4589" s="3">
        <v>3801</v>
      </c>
      <c r="O4589" s="4">
        <v>0.16700000000000001</v>
      </c>
      <c r="P4589" s="1" t="s">
        <v>2723</v>
      </c>
    </row>
    <row r="4590" spans="1:16">
      <c r="A4590" s="1" t="s">
        <v>2200</v>
      </c>
      <c r="B4590" s="1">
        <v>11</v>
      </c>
      <c r="C4590" s="1">
        <v>249465642</v>
      </c>
      <c r="D4590" s="1" t="s">
        <v>2160</v>
      </c>
      <c r="E4590" s="2">
        <v>45986</v>
      </c>
      <c r="F4590" s="1" t="s">
        <v>126</v>
      </c>
      <c r="G4590" s="1" t="s">
        <v>2161</v>
      </c>
      <c r="H4590" s="1" t="s">
        <v>9120</v>
      </c>
      <c r="I4590" s="1">
        <v>1</v>
      </c>
      <c r="J4590" s="3">
        <v>18500</v>
      </c>
      <c r="K4590" s="3">
        <v>17165</v>
      </c>
      <c r="L4590" s="1">
        <v>0</v>
      </c>
      <c r="M4590" s="4">
        <v>0</v>
      </c>
      <c r="N4590" s="3">
        <v>1335</v>
      </c>
      <c r="O4590" s="4">
        <v>7.1999999999999995E-2</v>
      </c>
      <c r="P4590" s="1" t="s">
        <v>2723</v>
      </c>
    </row>
    <row r="4591" spans="1:16">
      <c r="A4591" s="1" t="s">
        <v>763</v>
      </c>
      <c r="B4591" s="1">
        <v>11</v>
      </c>
      <c r="C4591" s="1" t="s">
        <v>9121</v>
      </c>
      <c r="D4591" s="1" t="s">
        <v>9122</v>
      </c>
      <c r="E4591" s="2">
        <v>45986</v>
      </c>
      <c r="F4591" s="1" t="s">
        <v>407</v>
      </c>
      <c r="G4591" s="1" t="s">
        <v>2367</v>
      </c>
      <c r="H4591" s="1" t="s">
        <v>9123</v>
      </c>
      <c r="I4591" s="1">
        <v>1</v>
      </c>
      <c r="J4591" s="3">
        <v>33000</v>
      </c>
      <c r="K4591" s="3">
        <v>32830</v>
      </c>
      <c r="L4591" s="1">
        <v>0</v>
      </c>
      <c r="M4591" s="4">
        <v>0</v>
      </c>
      <c r="N4591" s="1">
        <v>170</v>
      </c>
      <c r="O4591" s="4">
        <v>5.0000000000000001E-3</v>
      </c>
      <c r="P4591" s="1" t="s">
        <v>2723</v>
      </c>
    </row>
    <row r="4592" spans="1:16">
      <c r="A4592" s="1" t="s">
        <v>763</v>
      </c>
      <c r="B4592" s="1">
        <v>11</v>
      </c>
      <c r="C4592" s="1" t="s">
        <v>9124</v>
      </c>
      <c r="D4592" s="1" t="s">
        <v>2205</v>
      </c>
      <c r="E4592" s="2">
        <v>45986</v>
      </c>
      <c r="F4592" s="1" t="s">
        <v>2206</v>
      </c>
      <c r="G4592" s="1" t="s">
        <v>2207</v>
      </c>
      <c r="H4592" s="1" t="s">
        <v>2208</v>
      </c>
      <c r="I4592" s="1">
        <v>1</v>
      </c>
      <c r="J4592" s="3">
        <v>22610</v>
      </c>
      <c r="K4592" s="3">
        <v>20437</v>
      </c>
      <c r="L4592" s="1">
        <v>0</v>
      </c>
      <c r="M4592" s="4">
        <v>0</v>
      </c>
      <c r="N4592" s="3">
        <v>2173</v>
      </c>
      <c r="O4592" s="4">
        <v>9.6000000000000002E-2</v>
      </c>
      <c r="P4592" s="1" t="s">
        <v>2723</v>
      </c>
    </row>
    <row r="4593" spans="1:16">
      <c r="A4593" s="1" t="s">
        <v>763</v>
      </c>
      <c r="B4593" s="1">
        <v>11</v>
      </c>
      <c r="C4593" s="1" t="s">
        <v>9125</v>
      </c>
      <c r="D4593" s="1" t="s">
        <v>2089</v>
      </c>
      <c r="E4593" s="2">
        <v>45986</v>
      </c>
      <c r="F4593" s="1" t="s">
        <v>1935</v>
      </c>
      <c r="G4593" s="1" t="s">
        <v>2090</v>
      </c>
      <c r="I4593" s="1">
        <v>1</v>
      </c>
      <c r="J4593" s="3">
        <v>18620</v>
      </c>
      <c r="K4593" s="3">
        <v>16884</v>
      </c>
      <c r="L4593" s="1">
        <v>0</v>
      </c>
      <c r="M4593" s="4">
        <v>0</v>
      </c>
      <c r="N4593" s="3">
        <v>1736</v>
      </c>
      <c r="O4593" s="4">
        <v>9.2999999999999999E-2</v>
      </c>
      <c r="P4593" s="1" t="s">
        <v>2723</v>
      </c>
    </row>
    <row r="4594" spans="1:16">
      <c r="A4594" s="1" t="s">
        <v>763</v>
      </c>
      <c r="B4594" s="1">
        <v>11</v>
      </c>
      <c r="C4594" s="1" t="s">
        <v>9126</v>
      </c>
      <c r="D4594" s="1" t="s">
        <v>2639</v>
      </c>
      <c r="E4594" s="2">
        <v>45986</v>
      </c>
      <c r="F4594" s="1" t="s">
        <v>48</v>
      </c>
      <c r="G4594" s="1" t="s">
        <v>2640</v>
      </c>
      <c r="H4594" s="1" t="s">
        <v>9127</v>
      </c>
      <c r="I4594" s="1">
        <v>1</v>
      </c>
      <c r="J4594" s="3">
        <v>12900</v>
      </c>
      <c r="K4594" s="3">
        <v>8888</v>
      </c>
      <c r="L4594" s="1">
        <v>0</v>
      </c>
      <c r="M4594" s="4">
        <v>0</v>
      </c>
      <c r="N4594" s="3">
        <v>4012</v>
      </c>
      <c r="O4594" s="4">
        <v>0.311</v>
      </c>
      <c r="P4594" s="1" t="s">
        <v>2723</v>
      </c>
    </row>
    <row r="4595" spans="1:16">
      <c r="A4595" s="1" t="s">
        <v>763</v>
      </c>
      <c r="B4595" s="1">
        <v>11</v>
      </c>
      <c r="C4595" s="1" t="s">
        <v>9128</v>
      </c>
      <c r="D4595" s="1" t="s">
        <v>9129</v>
      </c>
      <c r="E4595" s="2">
        <v>45986</v>
      </c>
      <c r="F4595" s="1" t="s">
        <v>2188</v>
      </c>
      <c r="G4595" s="1" t="s">
        <v>9130</v>
      </c>
      <c r="H4595" s="1" t="s">
        <v>9131</v>
      </c>
      <c r="I4595" s="1">
        <v>1</v>
      </c>
      <c r="J4595" s="3">
        <v>20450</v>
      </c>
      <c r="K4595" s="3">
        <v>18000</v>
      </c>
      <c r="L4595" s="1">
        <v>0</v>
      </c>
      <c r="M4595" s="4">
        <v>0</v>
      </c>
      <c r="N4595" s="3">
        <v>2450</v>
      </c>
      <c r="O4595" s="4">
        <v>0.12</v>
      </c>
      <c r="P4595" s="1" t="s">
        <v>2723</v>
      </c>
    </row>
    <row r="4596" spans="1:16">
      <c r="A4596" s="1" t="s">
        <v>763</v>
      </c>
      <c r="B4596" s="1">
        <v>11</v>
      </c>
      <c r="C4596" s="1" t="s">
        <v>9132</v>
      </c>
      <c r="D4596" s="1" t="s">
        <v>9133</v>
      </c>
      <c r="E4596" s="2">
        <v>45986</v>
      </c>
      <c r="F4596" s="1" t="s">
        <v>96</v>
      </c>
      <c r="G4596" s="1" t="s">
        <v>9134</v>
      </c>
      <c r="H4596" s="1" t="s">
        <v>9135</v>
      </c>
      <c r="I4596" s="1">
        <v>1</v>
      </c>
      <c r="J4596" s="3">
        <v>13260</v>
      </c>
      <c r="K4596" s="3">
        <v>11995</v>
      </c>
      <c r="L4596" s="1">
        <v>0</v>
      </c>
      <c r="M4596" s="4">
        <v>0</v>
      </c>
      <c r="N4596" s="3">
        <v>1265</v>
      </c>
      <c r="O4596" s="4">
        <v>9.5000000000000001E-2</v>
      </c>
      <c r="P4596" s="1" t="s">
        <v>2723</v>
      </c>
    </row>
    <row r="4597" spans="1:16">
      <c r="A4597" s="1" t="s">
        <v>763</v>
      </c>
      <c r="B4597" s="1">
        <v>11</v>
      </c>
      <c r="C4597" s="1" t="s">
        <v>9136</v>
      </c>
      <c r="D4597" s="1" t="s">
        <v>2639</v>
      </c>
      <c r="E4597" s="2">
        <v>45986</v>
      </c>
      <c r="F4597" s="1" t="s">
        <v>48</v>
      </c>
      <c r="G4597" s="1" t="s">
        <v>2640</v>
      </c>
      <c r="H4597" s="1" t="s">
        <v>9127</v>
      </c>
      <c r="I4597" s="1">
        <v>1</v>
      </c>
      <c r="J4597" s="3">
        <v>12900</v>
      </c>
      <c r="K4597" s="3">
        <v>8888</v>
      </c>
      <c r="L4597" s="1">
        <v>0</v>
      </c>
      <c r="M4597" s="4">
        <v>0</v>
      </c>
      <c r="N4597" s="3">
        <v>4012</v>
      </c>
      <c r="O4597" s="4">
        <v>0.311</v>
      </c>
      <c r="P4597" s="1" t="s">
        <v>2723</v>
      </c>
    </row>
    <row r="4598" spans="1:16">
      <c r="A4598" s="1" t="s">
        <v>763</v>
      </c>
      <c r="B4598" s="1">
        <v>11</v>
      </c>
      <c r="C4598" s="1" t="s">
        <v>9137</v>
      </c>
      <c r="D4598" s="1" t="s">
        <v>2248</v>
      </c>
      <c r="E4598" s="2">
        <v>45986</v>
      </c>
      <c r="F4598" s="1" t="s">
        <v>2206</v>
      </c>
      <c r="G4598" s="1" t="s">
        <v>2249</v>
      </c>
      <c r="H4598" s="1" t="s">
        <v>2250</v>
      </c>
      <c r="I4598" s="1">
        <v>1</v>
      </c>
      <c r="J4598" s="3">
        <v>15640</v>
      </c>
      <c r="K4598" s="3">
        <v>14149</v>
      </c>
      <c r="L4598" s="1">
        <v>0</v>
      </c>
      <c r="M4598" s="4">
        <v>0</v>
      </c>
      <c r="N4598" s="3">
        <v>1491</v>
      </c>
      <c r="O4598" s="4">
        <v>9.5000000000000001E-2</v>
      </c>
      <c r="P4598" s="1" t="s">
        <v>2723</v>
      </c>
    </row>
    <row r="4599" spans="1:16">
      <c r="A4599" s="1" t="s">
        <v>626</v>
      </c>
      <c r="B4599" s="1">
        <v>11</v>
      </c>
      <c r="C4599" s="1">
        <v>69434381</v>
      </c>
      <c r="D4599" s="1" t="s">
        <v>627</v>
      </c>
      <c r="E4599" s="2">
        <v>45986</v>
      </c>
      <c r="F4599" s="1" t="s">
        <v>604</v>
      </c>
      <c r="G4599" s="1" t="s">
        <v>628</v>
      </c>
      <c r="H4599" s="1" t="s">
        <v>629</v>
      </c>
      <c r="I4599" s="1">
        <v>1</v>
      </c>
      <c r="J4599" s="3">
        <v>8000</v>
      </c>
      <c r="K4599" s="3">
        <v>1800</v>
      </c>
      <c r="L4599" s="1">
        <v>880</v>
      </c>
      <c r="M4599" s="4">
        <v>0.11</v>
      </c>
      <c r="N4599" s="3">
        <v>5320</v>
      </c>
      <c r="O4599" s="4">
        <v>0.66500000000000004</v>
      </c>
      <c r="P4599" s="1" t="s">
        <v>2721</v>
      </c>
    </row>
    <row r="4600" spans="1:16">
      <c r="A4600" s="1" t="s">
        <v>2733</v>
      </c>
      <c r="B4600" s="1">
        <v>11</v>
      </c>
      <c r="C4600" s="1" t="s">
        <v>9138</v>
      </c>
      <c r="D4600" s="1" t="s">
        <v>9139</v>
      </c>
      <c r="E4600" s="2">
        <v>45986</v>
      </c>
      <c r="F4600" s="1" t="s">
        <v>604</v>
      </c>
      <c r="G4600" s="1" t="s">
        <v>1684</v>
      </c>
      <c r="I4600" s="1">
        <v>1</v>
      </c>
      <c r="J4600" s="3">
        <v>14900</v>
      </c>
      <c r="K4600" s="3">
        <v>11600</v>
      </c>
      <c r="L4600" s="1">
        <v>0</v>
      </c>
      <c r="M4600" s="4">
        <v>0</v>
      </c>
      <c r="N4600" s="3">
        <v>3300</v>
      </c>
      <c r="O4600" s="4">
        <v>0.221</v>
      </c>
      <c r="P4600" s="1" t="s">
        <v>2721</v>
      </c>
    </row>
    <row r="4601" spans="1:16">
      <c r="A4601" s="1" t="s">
        <v>15</v>
      </c>
      <c r="B4601" s="1">
        <v>11</v>
      </c>
      <c r="C4601" s="1" t="s">
        <v>9140</v>
      </c>
      <c r="D4601" s="1" t="s">
        <v>862</v>
      </c>
      <c r="E4601" s="2">
        <v>45987</v>
      </c>
      <c r="F4601" s="1" t="s">
        <v>334</v>
      </c>
      <c r="G4601" s="1" t="s">
        <v>863</v>
      </c>
      <c r="H4601" s="1" t="s">
        <v>864</v>
      </c>
      <c r="I4601" s="1">
        <v>1</v>
      </c>
      <c r="J4601" s="3">
        <v>16220</v>
      </c>
      <c r="K4601" s="3">
        <v>15477</v>
      </c>
      <c r="L4601" s="1">
        <v>0</v>
      </c>
      <c r="M4601" s="4">
        <v>0</v>
      </c>
      <c r="N4601" s="1">
        <v>743</v>
      </c>
      <c r="O4601" s="4">
        <v>4.5999999999999999E-2</v>
      </c>
      <c r="P4601" s="1" t="s">
        <v>2721</v>
      </c>
    </row>
    <row r="4602" spans="1:16">
      <c r="A4602" s="1" t="s">
        <v>15</v>
      </c>
      <c r="B4602" s="1">
        <v>11</v>
      </c>
      <c r="C4602" s="1" t="s">
        <v>9141</v>
      </c>
      <c r="D4602" s="1" t="s">
        <v>482</v>
      </c>
      <c r="E4602" s="2">
        <v>45987</v>
      </c>
      <c r="F4602" s="1" t="s">
        <v>483</v>
      </c>
      <c r="G4602" s="1" t="s">
        <v>484</v>
      </c>
      <c r="H4602" s="1" t="s">
        <v>860</v>
      </c>
      <c r="I4602" s="1">
        <v>2</v>
      </c>
      <c r="J4602" s="3">
        <v>54851</v>
      </c>
      <c r="K4602" s="3">
        <v>52340</v>
      </c>
      <c r="L4602" s="1">
        <v>0</v>
      </c>
      <c r="M4602" s="4">
        <v>0</v>
      </c>
      <c r="N4602" s="3">
        <v>2511</v>
      </c>
      <c r="O4602" s="4">
        <v>4.5999999999999999E-2</v>
      </c>
      <c r="P4602" s="1" t="s">
        <v>2721</v>
      </c>
    </row>
    <row r="4603" spans="1:16">
      <c r="A4603" s="1" t="s">
        <v>15</v>
      </c>
      <c r="B4603" s="1">
        <v>11</v>
      </c>
      <c r="C4603" s="1" t="s">
        <v>9142</v>
      </c>
      <c r="D4603" s="1" t="s">
        <v>2468</v>
      </c>
      <c r="E4603" s="2">
        <v>45987</v>
      </c>
      <c r="F4603" s="1" t="s">
        <v>1632</v>
      </c>
      <c r="G4603" s="1" t="s">
        <v>2469</v>
      </c>
      <c r="H4603" s="1" t="s">
        <v>2470</v>
      </c>
      <c r="I4603" s="1">
        <v>1</v>
      </c>
      <c r="J4603" s="3">
        <v>29195</v>
      </c>
      <c r="K4603" s="3">
        <v>27859</v>
      </c>
      <c r="L4603" s="1">
        <v>0</v>
      </c>
      <c r="M4603" s="4">
        <v>0</v>
      </c>
      <c r="N4603" s="3">
        <v>1336</v>
      </c>
      <c r="O4603" s="4">
        <v>4.5999999999999999E-2</v>
      </c>
      <c r="P4603" s="1" t="s">
        <v>2721</v>
      </c>
    </row>
    <row r="4604" spans="1:16">
      <c r="A4604" s="1" t="s">
        <v>15</v>
      </c>
      <c r="B4604" s="1">
        <v>11</v>
      </c>
      <c r="C4604" s="1" t="s">
        <v>9143</v>
      </c>
      <c r="D4604" s="1" t="s">
        <v>72</v>
      </c>
      <c r="E4604" s="2">
        <v>45987</v>
      </c>
      <c r="F4604" s="1" t="s">
        <v>63</v>
      </c>
      <c r="G4604" s="1" t="s">
        <v>73</v>
      </c>
      <c r="H4604" s="1" t="s">
        <v>74</v>
      </c>
      <c r="I4604" s="1">
        <v>1</v>
      </c>
      <c r="J4604" s="3">
        <v>10456</v>
      </c>
      <c r="K4604" s="3">
        <v>9978</v>
      </c>
      <c r="L4604" s="1">
        <v>0</v>
      </c>
      <c r="M4604" s="4">
        <v>0</v>
      </c>
      <c r="N4604" s="1">
        <v>478</v>
      </c>
      <c r="O4604" s="4">
        <v>4.5999999999999999E-2</v>
      </c>
      <c r="P4604" s="1" t="s">
        <v>2721</v>
      </c>
    </row>
    <row r="4605" spans="1:16">
      <c r="A4605" s="1" t="s">
        <v>15</v>
      </c>
      <c r="B4605" s="1">
        <v>11</v>
      </c>
      <c r="C4605" s="1" t="s">
        <v>9144</v>
      </c>
      <c r="D4605" s="1" t="s">
        <v>1324</v>
      </c>
      <c r="E4605" s="2">
        <v>45987</v>
      </c>
      <c r="F4605" s="1" t="s">
        <v>1325</v>
      </c>
      <c r="G4605" s="1" t="s">
        <v>1326</v>
      </c>
      <c r="H4605" s="1" t="s">
        <v>1327</v>
      </c>
      <c r="I4605" s="1">
        <v>1</v>
      </c>
      <c r="J4605" s="3">
        <v>9437</v>
      </c>
      <c r="K4605" s="3">
        <v>9005</v>
      </c>
      <c r="L4605" s="1">
        <v>0</v>
      </c>
      <c r="M4605" s="4">
        <v>0</v>
      </c>
      <c r="N4605" s="1">
        <v>432</v>
      </c>
      <c r="O4605" s="4">
        <v>4.5999999999999999E-2</v>
      </c>
      <c r="P4605" s="1" t="s">
        <v>2721</v>
      </c>
    </row>
    <row r="4606" spans="1:16">
      <c r="A4606" s="1" t="s">
        <v>15</v>
      </c>
      <c r="B4606" s="1">
        <v>11</v>
      </c>
      <c r="C4606" s="1" t="s">
        <v>9145</v>
      </c>
      <c r="D4606" s="1" t="s">
        <v>228</v>
      </c>
      <c r="E4606" s="2">
        <v>45987</v>
      </c>
      <c r="F4606" s="1" t="s">
        <v>53</v>
      </c>
      <c r="G4606" s="1" t="s">
        <v>229</v>
      </c>
      <c r="H4606" s="1" t="s">
        <v>230</v>
      </c>
      <c r="I4606" s="1">
        <v>1</v>
      </c>
      <c r="J4606" s="3">
        <v>9825</v>
      </c>
      <c r="K4606" s="3">
        <v>9375</v>
      </c>
      <c r="L4606" s="1">
        <v>0</v>
      </c>
      <c r="M4606" s="4">
        <v>0</v>
      </c>
      <c r="N4606" s="1">
        <v>450</v>
      </c>
      <c r="O4606" s="4">
        <v>4.5999999999999999E-2</v>
      </c>
      <c r="P4606" s="1" t="s">
        <v>2721</v>
      </c>
    </row>
    <row r="4607" spans="1:16">
      <c r="A4607" s="1" t="s">
        <v>15</v>
      </c>
      <c r="B4607" s="1">
        <v>11</v>
      </c>
      <c r="C4607" s="1" t="s">
        <v>9146</v>
      </c>
      <c r="D4607" s="1" t="s">
        <v>32</v>
      </c>
      <c r="E4607" s="2">
        <v>45987</v>
      </c>
      <c r="F4607" s="1" t="s">
        <v>33</v>
      </c>
      <c r="G4607" s="1" t="s">
        <v>34</v>
      </c>
      <c r="H4607" s="1" t="s">
        <v>9147</v>
      </c>
      <c r="I4607" s="1">
        <v>1</v>
      </c>
      <c r="J4607" s="3">
        <v>67746</v>
      </c>
      <c r="K4607" s="3">
        <v>64645</v>
      </c>
      <c r="L4607" s="1">
        <v>0</v>
      </c>
      <c r="M4607" s="4">
        <v>0</v>
      </c>
      <c r="N4607" s="3">
        <v>3101</v>
      </c>
      <c r="O4607" s="4">
        <v>4.5999999999999999E-2</v>
      </c>
      <c r="P4607" s="1" t="s">
        <v>2721</v>
      </c>
    </row>
    <row r="4608" spans="1:16">
      <c r="A4608" s="1" t="s">
        <v>15</v>
      </c>
      <c r="B4608" s="1">
        <v>11</v>
      </c>
      <c r="C4608" s="1" t="s">
        <v>9148</v>
      </c>
      <c r="D4608" s="1" t="s">
        <v>311</v>
      </c>
      <c r="E4608" s="2">
        <v>45987</v>
      </c>
      <c r="F4608" s="1" t="s">
        <v>312</v>
      </c>
      <c r="G4608" s="1" t="s">
        <v>313</v>
      </c>
      <c r="H4608" s="1" t="s">
        <v>2295</v>
      </c>
      <c r="I4608" s="1">
        <v>1</v>
      </c>
      <c r="J4608" s="3">
        <v>28310</v>
      </c>
      <c r="K4608" s="3">
        <v>27014</v>
      </c>
      <c r="L4608" s="1">
        <v>0</v>
      </c>
      <c r="M4608" s="4">
        <v>0</v>
      </c>
      <c r="N4608" s="3">
        <v>1296</v>
      </c>
      <c r="O4608" s="4">
        <v>4.5999999999999999E-2</v>
      </c>
      <c r="P4608" s="1" t="s">
        <v>2721</v>
      </c>
    </row>
    <row r="4609" spans="1:16">
      <c r="A4609" s="1" t="s">
        <v>15</v>
      </c>
      <c r="B4609" s="1">
        <v>11</v>
      </c>
      <c r="C4609" s="1" t="s">
        <v>9149</v>
      </c>
      <c r="D4609" s="1" t="s">
        <v>542</v>
      </c>
      <c r="E4609" s="2">
        <v>45987</v>
      </c>
      <c r="F4609" s="1" t="s">
        <v>543</v>
      </c>
      <c r="G4609" s="1" t="s">
        <v>544</v>
      </c>
      <c r="H4609" s="1" t="s">
        <v>545</v>
      </c>
      <c r="I4609" s="1">
        <v>1</v>
      </c>
      <c r="J4609" s="3">
        <v>36371</v>
      </c>
      <c r="K4609" s="3">
        <v>34706</v>
      </c>
      <c r="L4609" s="1">
        <v>0</v>
      </c>
      <c r="M4609" s="4">
        <v>0</v>
      </c>
      <c r="N4609" s="3">
        <v>1665</v>
      </c>
      <c r="O4609" s="4">
        <v>4.5999999999999999E-2</v>
      </c>
      <c r="P4609" s="1" t="s">
        <v>2721</v>
      </c>
    </row>
    <row r="4610" spans="1:16">
      <c r="A4610" s="1" t="s">
        <v>15</v>
      </c>
      <c r="B4610" s="1">
        <v>11</v>
      </c>
      <c r="C4610" s="1" t="s">
        <v>9150</v>
      </c>
      <c r="D4610" s="1" t="s">
        <v>9151</v>
      </c>
      <c r="E4610" s="2">
        <v>45987</v>
      </c>
      <c r="F4610" s="1" t="s">
        <v>155</v>
      </c>
      <c r="G4610" s="1" t="s">
        <v>9152</v>
      </c>
      <c r="H4610" s="1" t="s">
        <v>9153</v>
      </c>
      <c r="I4610" s="1">
        <v>1</v>
      </c>
      <c r="J4610" s="3">
        <v>44702</v>
      </c>
      <c r="K4610" s="3">
        <v>42656</v>
      </c>
      <c r="L4610" s="1">
        <v>0</v>
      </c>
      <c r="M4610" s="4">
        <v>0</v>
      </c>
      <c r="N4610" s="3">
        <v>2046</v>
      </c>
      <c r="O4610" s="4">
        <v>4.5999999999999999E-2</v>
      </c>
      <c r="P4610" s="1" t="s">
        <v>2721</v>
      </c>
    </row>
    <row r="4611" spans="1:16">
      <c r="A4611" s="1" t="s">
        <v>15</v>
      </c>
      <c r="B4611" s="1">
        <v>11</v>
      </c>
      <c r="C4611" s="1" t="s">
        <v>9154</v>
      </c>
      <c r="D4611" s="1" t="s">
        <v>116</v>
      </c>
      <c r="E4611" s="2">
        <v>45987</v>
      </c>
      <c r="F4611" s="1" t="s">
        <v>63</v>
      </c>
      <c r="G4611" s="1" t="s">
        <v>117</v>
      </c>
      <c r="H4611" s="1" t="s">
        <v>139</v>
      </c>
      <c r="I4611" s="1">
        <v>1</v>
      </c>
      <c r="J4611" s="3">
        <v>15422</v>
      </c>
      <c r="K4611" s="3">
        <v>14716</v>
      </c>
      <c r="L4611" s="1">
        <v>0</v>
      </c>
      <c r="M4611" s="4">
        <v>0</v>
      </c>
      <c r="N4611" s="1">
        <v>706</v>
      </c>
      <c r="O4611" s="4">
        <v>4.5999999999999999E-2</v>
      </c>
      <c r="P4611" s="1" t="s">
        <v>2721</v>
      </c>
    </row>
    <row r="4612" spans="1:16">
      <c r="A4612" s="1" t="s">
        <v>15</v>
      </c>
      <c r="B4612" s="1">
        <v>11</v>
      </c>
      <c r="C4612" s="1" t="s">
        <v>9155</v>
      </c>
      <c r="D4612" s="1" t="s">
        <v>394</v>
      </c>
      <c r="E4612" s="2">
        <v>45987</v>
      </c>
      <c r="F4612" s="1" t="s">
        <v>395</v>
      </c>
      <c r="G4612" s="1" t="s">
        <v>396</v>
      </c>
      <c r="H4612" s="1" t="s">
        <v>397</v>
      </c>
      <c r="I4612" s="1">
        <v>1</v>
      </c>
      <c r="J4612" s="3">
        <v>18874</v>
      </c>
      <c r="K4612" s="3">
        <v>18010</v>
      </c>
      <c r="L4612" s="1">
        <v>0</v>
      </c>
      <c r="M4612" s="4">
        <v>0</v>
      </c>
      <c r="N4612" s="1">
        <v>864</v>
      </c>
      <c r="O4612" s="4">
        <v>4.5999999999999999E-2</v>
      </c>
      <c r="P4612" s="1" t="s">
        <v>2721</v>
      </c>
    </row>
    <row r="4613" spans="1:16">
      <c r="A4613" s="1" t="s">
        <v>15</v>
      </c>
      <c r="B4613" s="1">
        <v>11</v>
      </c>
      <c r="C4613" s="1" t="s">
        <v>9156</v>
      </c>
      <c r="D4613" s="1" t="s">
        <v>1219</v>
      </c>
      <c r="E4613" s="2">
        <v>45987</v>
      </c>
      <c r="F4613" s="1" t="s">
        <v>256</v>
      </c>
      <c r="G4613" s="1" t="s">
        <v>1220</v>
      </c>
      <c r="H4613" s="1" t="s">
        <v>1280</v>
      </c>
      <c r="I4613" s="1">
        <v>1</v>
      </c>
      <c r="J4613" s="3">
        <v>20692</v>
      </c>
      <c r="K4613" s="3">
        <v>19745</v>
      </c>
      <c r="L4613" s="1">
        <v>0</v>
      </c>
      <c r="M4613" s="4">
        <v>0</v>
      </c>
      <c r="N4613" s="1">
        <v>947</v>
      </c>
      <c r="O4613" s="4">
        <v>4.5999999999999999E-2</v>
      </c>
      <c r="P4613" s="1" t="s">
        <v>2721</v>
      </c>
    </row>
    <row r="4614" spans="1:16">
      <c r="A4614" s="1" t="s">
        <v>15</v>
      </c>
      <c r="B4614" s="1">
        <v>11</v>
      </c>
      <c r="C4614" s="1" t="s">
        <v>9157</v>
      </c>
      <c r="D4614" s="1" t="s">
        <v>5850</v>
      </c>
      <c r="E4614" s="2">
        <v>45987</v>
      </c>
      <c r="F4614" s="1" t="s">
        <v>1271</v>
      </c>
      <c r="G4614" s="1" t="s">
        <v>5851</v>
      </c>
      <c r="H4614" s="1" t="s">
        <v>9158</v>
      </c>
      <c r="I4614" s="1">
        <v>1</v>
      </c>
      <c r="J4614" s="3">
        <v>28507</v>
      </c>
      <c r="K4614" s="3">
        <v>27202</v>
      </c>
      <c r="L4614" s="1">
        <v>0</v>
      </c>
      <c r="M4614" s="4">
        <v>0</v>
      </c>
      <c r="N4614" s="3">
        <v>1305</v>
      </c>
      <c r="O4614" s="4">
        <v>4.5999999999999999E-2</v>
      </c>
      <c r="P4614" s="1" t="s">
        <v>2721</v>
      </c>
    </row>
    <row r="4615" spans="1:16">
      <c r="A4615" s="1" t="s">
        <v>15</v>
      </c>
      <c r="B4615" s="1">
        <v>11</v>
      </c>
      <c r="C4615" s="1" t="s">
        <v>9159</v>
      </c>
      <c r="D4615" s="1" t="s">
        <v>1587</v>
      </c>
      <c r="E4615" s="2">
        <v>45987</v>
      </c>
      <c r="F4615" s="1" t="s">
        <v>126</v>
      </c>
      <c r="G4615" s="1" t="s">
        <v>1588</v>
      </c>
      <c r="H4615" s="1" t="s">
        <v>1589</v>
      </c>
      <c r="I4615" s="1">
        <v>1</v>
      </c>
      <c r="J4615" s="3">
        <v>12484</v>
      </c>
      <c r="K4615" s="3">
        <v>11913</v>
      </c>
      <c r="L4615" s="1">
        <v>0</v>
      </c>
      <c r="M4615" s="4">
        <v>0</v>
      </c>
      <c r="N4615" s="1">
        <v>571</v>
      </c>
      <c r="O4615" s="4">
        <v>4.5999999999999999E-2</v>
      </c>
      <c r="P4615" s="1" t="s">
        <v>2721</v>
      </c>
    </row>
    <row r="4616" spans="1:16">
      <c r="A4616" s="1" t="s">
        <v>15</v>
      </c>
      <c r="B4616" s="1">
        <v>11</v>
      </c>
      <c r="C4616" s="1" t="s">
        <v>9160</v>
      </c>
      <c r="D4616" s="1" t="s">
        <v>2441</v>
      </c>
      <c r="E4616" s="2">
        <v>45987</v>
      </c>
      <c r="F4616" s="1" t="s">
        <v>2442</v>
      </c>
      <c r="G4616" s="1" t="s">
        <v>2443</v>
      </c>
      <c r="H4616" s="1" t="s">
        <v>2444</v>
      </c>
      <c r="I4616" s="1">
        <v>1</v>
      </c>
      <c r="J4616" s="3">
        <v>14155</v>
      </c>
      <c r="K4616" s="3">
        <v>13507</v>
      </c>
      <c r="L4616" s="1">
        <v>0</v>
      </c>
      <c r="M4616" s="4">
        <v>0</v>
      </c>
      <c r="N4616" s="1">
        <v>648</v>
      </c>
      <c r="O4616" s="4">
        <v>4.5999999999999999E-2</v>
      </c>
      <c r="P4616" s="1" t="s">
        <v>2721</v>
      </c>
    </row>
    <row r="4617" spans="1:16">
      <c r="A4617" s="1" t="s">
        <v>15</v>
      </c>
      <c r="B4617" s="1">
        <v>11</v>
      </c>
      <c r="C4617" s="1" t="s">
        <v>9161</v>
      </c>
      <c r="D4617" s="1" t="s">
        <v>22</v>
      </c>
      <c r="E4617" s="2">
        <v>45987</v>
      </c>
      <c r="F4617" s="1" t="s">
        <v>23</v>
      </c>
      <c r="G4617" s="1" t="s">
        <v>24</v>
      </c>
      <c r="H4617" s="1" t="s">
        <v>25</v>
      </c>
      <c r="I4617" s="1">
        <v>1</v>
      </c>
      <c r="J4617" s="3">
        <v>11305</v>
      </c>
      <c r="K4617" s="3">
        <v>10787</v>
      </c>
      <c r="L4617" s="1">
        <v>0</v>
      </c>
      <c r="M4617" s="4">
        <v>0</v>
      </c>
      <c r="N4617" s="1">
        <v>518</v>
      </c>
      <c r="O4617" s="4">
        <v>4.5999999999999999E-2</v>
      </c>
      <c r="P4617" s="1" t="s">
        <v>2721</v>
      </c>
    </row>
    <row r="4618" spans="1:16">
      <c r="A4618" s="1" t="s">
        <v>15</v>
      </c>
      <c r="B4618" s="1">
        <v>11</v>
      </c>
      <c r="C4618" s="1" t="s">
        <v>9162</v>
      </c>
      <c r="D4618" s="1" t="s">
        <v>3571</v>
      </c>
      <c r="E4618" s="2">
        <v>45987</v>
      </c>
      <c r="F4618" s="1" t="s">
        <v>235</v>
      </c>
      <c r="G4618" s="1" t="s">
        <v>3572</v>
      </c>
      <c r="H4618" s="1" t="s">
        <v>3572</v>
      </c>
      <c r="I4618" s="1">
        <v>3</v>
      </c>
      <c r="J4618" s="3">
        <v>40696</v>
      </c>
      <c r="K4618" s="3">
        <v>38833</v>
      </c>
      <c r="L4618" s="1">
        <v>0</v>
      </c>
      <c r="M4618" s="4">
        <v>0</v>
      </c>
      <c r="N4618" s="3">
        <v>1863</v>
      </c>
      <c r="O4618" s="4">
        <v>4.5999999999999999E-2</v>
      </c>
      <c r="P4618" s="1" t="s">
        <v>2721</v>
      </c>
    </row>
    <row r="4619" spans="1:16">
      <c r="A4619" s="1" t="s">
        <v>15</v>
      </c>
      <c r="B4619" s="1">
        <v>11</v>
      </c>
      <c r="C4619" s="1" t="s">
        <v>9163</v>
      </c>
      <c r="D4619" s="1" t="s">
        <v>3607</v>
      </c>
      <c r="E4619" s="2">
        <v>45987</v>
      </c>
      <c r="F4619" s="1" t="s">
        <v>58</v>
      </c>
      <c r="G4619" s="1" t="s">
        <v>3608</v>
      </c>
      <c r="H4619" s="1" t="s">
        <v>3609</v>
      </c>
      <c r="I4619" s="1">
        <v>1</v>
      </c>
      <c r="J4619" s="3">
        <v>21842</v>
      </c>
      <c r="K4619" s="3">
        <v>20842</v>
      </c>
      <c r="L4619" s="1">
        <v>0</v>
      </c>
      <c r="M4619" s="4">
        <v>0</v>
      </c>
      <c r="N4619" s="3">
        <v>1000</v>
      </c>
      <c r="O4619" s="4">
        <v>4.5999999999999999E-2</v>
      </c>
      <c r="P4619" s="1" t="s">
        <v>2721</v>
      </c>
    </row>
    <row r="4620" spans="1:16">
      <c r="A4620" s="1" t="s">
        <v>15</v>
      </c>
      <c r="B4620" s="1">
        <v>11</v>
      </c>
      <c r="C4620" s="1" t="s">
        <v>9164</v>
      </c>
      <c r="D4620" s="1" t="s">
        <v>504</v>
      </c>
      <c r="E4620" s="2">
        <v>45987</v>
      </c>
      <c r="F4620" s="1" t="s">
        <v>407</v>
      </c>
      <c r="G4620" s="1" t="s">
        <v>505</v>
      </c>
      <c r="H4620" s="1" t="s">
        <v>1322</v>
      </c>
      <c r="I4620" s="1">
        <v>1</v>
      </c>
      <c r="J4620" s="3">
        <v>23592</v>
      </c>
      <c r="K4620" s="3">
        <v>22512</v>
      </c>
      <c r="L4620" s="1">
        <v>0</v>
      </c>
      <c r="M4620" s="4">
        <v>0</v>
      </c>
      <c r="N4620" s="3">
        <v>1080</v>
      </c>
      <c r="O4620" s="4">
        <v>4.5999999999999999E-2</v>
      </c>
      <c r="P4620" s="1" t="s">
        <v>2721</v>
      </c>
    </row>
    <row r="4621" spans="1:16">
      <c r="A4621" s="1" t="s">
        <v>15</v>
      </c>
      <c r="B4621" s="1">
        <v>11</v>
      </c>
      <c r="C4621" s="1" t="s">
        <v>9165</v>
      </c>
      <c r="D4621" s="1" t="s">
        <v>132</v>
      </c>
      <c r="E4621" s="2">
        <v>45987</v>
      </c>
      <c r="F4621" s="1" t="s">
        <v>53</v>
      </c>
      <c r="G4621" s="1" t="s">
        <v>133</v>
      </c>
      <c r="H4621" s="1" t="s">
        <v>88</v>
      </c>
      <c r="I4621" s="1">
        <v>1</v>
      </c>
      <c r="J4621" s="3">
        <v>17036</v>
      </c>
      <c r="K4621" s="3">
        <v>16256</v>
      </c>
      <c r="L4621" s="1">
        <v>0</v>
      </c>
      <c r="M4621" s="4">
        <v>0</v>
      </c>
      <c r="N4621" s="1">
        <v>780</v>
      </c>
      <c r="O4621" s="4">
        <v>4.5999999999999999E-2</v>
      </c>
      <c r="P4621" s="1" t="s">
        <v>2721</v>
      </c>
    </row>
    <row r="4622" spans="1:16">
      <c r="A4622" s="1" t="s">
        <v>15</v>
      </c>
      <c r="B4622" s="1">
        <v>11</v>
      </c>
      <c r="C4622" s="1" t="s">
        <v>9166</v>
      </c>
      <c r="D4622" s="1" t="s">
        <v>1168</v>
      </c>
      <c r="E4622" s="2">
        <v>45987</v>
      </c>
      <c r="F4622" s="1" t="s">
        <v>53</v>
      </c>
      <c r="G4622" s="1" t="s">
        <v>1169</v>
      </c>
      <c r="H4622" s="1" t="s">
        <v>2592</v>
      </c>
      <c r="I4622" s="1">
        <v>1</v>
      </c>
      <c r="J4622" s="3">
        <v>13431</v>
      </c>
      <c r="K4622" s="3">
        <v>12816</v>
      </c>
      <c r="L4622" s="1">
        <v>0</v>
      </c>
      <c r="M4622" s="4">
        <v>0</v>
      </c>
      <c r="N4622" s="1">
        <v>615</v>
      </c>
      <c r="O4622" s="4">
        <v>4.5999999999999999E-2</v>
      </c>
      <c r="P4622" s="1" t="s">
        <v>2721</v>
      </c>
    </row>
    <row r="4623" spans="1:16">
      <c r="A4623" s="1" t="s">
        <v>15</v>
      </c>
      <c r="B4623" s="1">
        <v>11</v>
      </c>
      <c r="C4623" s="1" t="s">
        <v>9167</v>
      </c>
      <c r="D4623" s="1" t="s">
        <v>169</v>
      </c>
      <c r="E4623" s="2">
        <v>45987</v>
      </c>
      <c r="F4623" s="1" t="s">
        <v>53</v>
      </c>
      <c r="G4623" s="1" t="s">
        <v>170</v>
      </c>
      <c r="H4623" s="1" t="s">
        <v>171</v>
      </c>
      <c r="I4623" s="1">
        <v>1</v>
      </c>
      <c r="J4623" s="3">
        <v>14332</v>
      </c>
      <c r="K4623" s="3">
        <v>13676</v>
      </c>
      <c r="L4623" s="1">
        <v>0</v>
      </c>
      <c r="M4623" s="4">
        <v>0</v>
      </c>
      <c r="N4623" s="1">
        <v>656</v>
      </c>
      <c r="O4623" s="4">
        <v>4.5999999999999999E-2</v>
      </c>
      <c r="P4623" s="1" t="s">
        <v>2721</v>
      </c>
    </row>
    <row r="4624" spans="1:16">
      <c r="A4624" s="1" t="s">
        <v>15</v>
      </c>
      <c r="B4624" s="1">
        <v>11</v>
      </c>
      <c r="C4624" s="1" t="s">
        <v>9168</v>
      </c>
      <c r="D4624" s="1" t="s">
        <v>2584</v>
      </c>
      <c r="E4624" s="2">
        <v>45987</v>
      </c>
      <c r="F4624" s="1" t="s">
        <v>1688</v>
      </c>
      <c r="G4624" s="1" t="s">
        <v>2585</v>
      </c>
      <c r="H4624" s="1" t="s">
        <v>2586</v>
      </c>
      <c r="I4624" s="1">
        <v>1</v>
      </c>
      <c r="J4624" s="3">
        <v>34061</v>
      </c>
      <c r="K4624" s="3">
        <v>32502</v>
      </c>
      <c r="L4624" s="1">
        <v>0</v>
      </c>
      <c r="M4624" s="4">
        <v>0</v>
      </c>
      <c r="N4624" s="3">
        <v>1559</v>
      </c>
      <c r="O4624" s="4">
        <v>4.5999999999999999E-2</v>
      </c>
      <c r="P4624" s="1" t="s">
        <v>2721</v>
      </c>
    </row>
    <row r="4625" spans="1:16">
      <c r="A4625" s="1" t="s">
        <v>15</v>
      </c>
      <c r="B4625" s="1">
        <v>11</v>
      </c>
      <c r="C4625" s="1" t="s">
        <v>9169</v>
      </c>
      <c r="D4625" s="1" t="s">
        <v>212</v>
      </c>
      <c r="E4625" s="2">
        <v>45987</v>
      </c>
      <c r="F4625" s="1" t="s">
        <v>213</v>
      </c>
      <c r="G4625" s="1" t="s">
        <v>214</v>
      </c>
      <c r="H4625" s="1" t="s">
        <v>215</v>
      </c>
      <c r="I4625" s="1">
        <v>1</v>
      </c>
      <c r="J4625" s="3">
        <v>16220</v>
      </c>
      <c r="K4625" s="3">
        <v>15477</v>
      </c>
      <c r="L4625" s="1">
        <v>0</v>
      </c>
      <c r="M4625" s="4">
        <v>0</v>
      </c>
      <c r="N4625" s="1">
        <v>743</v>
      </c>
      <c r="O4625" s="4">
        <v>4.5999999999999999E-2</v>
      </c>
      <c r="P4625" s="1" t="s">
        <v>2721</v>
      </c>
    </row>
    <row r="4626" spans="1:16">
      <c r="A4626" s="1" t="s">
        <v>15</v>
      </c>
      <c r="B4626" s="1">
        <v>11</v>
      </c>
      <c r="C4626" s="1" t="s">
        <v>9170</v>
      </c>
      <c r="D4626" s="1" t="s">
        <v>9171</v>
      </c>
      <c r="E4626" s="2">
        <v>45987</v>
      </c>
      <c r="F4626" s="1" t="s">
        <v>1075</v>
      </c>
      <c r="G4626" s="1" t="s">
        <v>9172</v>
      </c>
      <c r="H4626" s="1" t="s">
        <v>9173</v>
      </c>
      <c r="I4626" s="1">
        <v>1</v>
      </c>
      <c r="J4626" s="3">
        <v>14352</v>
      </c>
      <c r="K4626" s="3">
        <v>13695</v>
      </c>
      <c r="L4626" s="1">
        <v>0</v>
      </c>
      <c r="M4626" s="4">
        <v>0</v>
      </c>
      <c r="N4626" s="1">
        <v>657</v>
      </c>
      <c r="O4626" s="4">
        <v>4.5999999999999999E-2</v>
      </c>
      <c r="P4626" s="1" t="s">
        <v>2721</v>
      </c>
    </row>
    <row r="4627" spans="1:16">
      <c r="A4627" s="1" t="s">
        <v>15</v>
      </c>
      <c r="B4627" s="1">
        <v>11</v>
      </c>
      <c r="C4627" s="1" t="s">
        <v>9170</v>
      </c>
      <c r="D4627" s="1" t="s">
        <v>1074</v>
      </c>
      <c r="E4627" s="2">
        <v>45987</v>
      </c>
      <c r="F4627" s="1" t="s">
        <v>1075</v>
      </c>
      <c r="G4627" s="1" t="s">
        <v>1076</v>
      </c>
      <c r="H4627" s="1" t="s">
        <v>1585</v>
      </c>
      <c r="I4627" s="1">
        <v>1</v>
      </c>
      <c r="J4627" s="3">
        <v>12503</v>
      </c>
      <c r="K4627" s="3">
        <v>11930</v>
      </c>
      <c r="L4627" s="1">
        <v>0</v>
      </c>
      <c r="M4627" s="4">
        <v>0</v>
      </c>
      <c r="N4627" s="1">
        <v>573</v>
      </c>
      <c r="O4627" s="4">
        <v>4.5999999999999999E-2</v>
      </c>
      <c r="P4627" s="1" t="s">
        <v>2721</v>
      </c>
    </row>
    <row r="4628" spans="1:16">
      <c r="A4628" s="1" t="s">
        <v>15</v>
      </c>
      <c r="B4628" s="1">
        <v>11</v>
      </c>
      <c r="C4628" s="1" t="s">
        <v>9174</v>
      </c>
      <c r="D4628" s="1" t="s">
        <v>955</v>
      </c>
      <c r="E4628" s="2">
        <v>45987</v>
      </c>
      <c r="F4628" s="1" t="s">
        <v>554</v>
      </c>
      <c r="G4628" s="1" t="s">
        <v>956</v>
      </c>
      <c r="H4628" s="1" t="s">
        <v>2654</v>
      </c>
      <c r="I4628" s="1">
        <v>1</v>
      </c>
      <c r="J4628" s="3">
        <v>31653</v>
      </c>
      <c r="K4628" s="3">
        <v>30204</v>
      </c>
      <c r="L4628" s="1">
        <v>0</v>
      </c>
      <c r="M4628" s="4">
        <v>0</v>
      </c>
      <c r="N4628" s="3">
        <v>1449</v>
      </c>
      <c r="O4628" s="4">
        <v>4.5999999999999999E-2</v>
      </c>
      <c r="P4628" s="1" t="s">
        <v>2721</v>
      </c>
    </row>
    <row r="4629" spans="1:16">
      <c r="A4629" s="1" t="s">
        <v>15</v>
      </c>
      <c r="B4629" s="1">
        <v>11</v>
      </c>
      <c r="C4629" s="1" t="s">
        <v>9175</v>
      </c>
      <c r="D4629" s="1" t="s">
        <v>238</v>
      </c>
      <c r="E4629" s="2">
        <v>45987</v>
      </c>
      <c r="F4629" s="1" t="s">
        <v>239</v>
      </c>
      <c r="G4629" s="1" t="s">
        <v>240</v>
      </c>
      <c r="H4629" s="1" t="s">
        <v>242</v>
      </c>
      <c r="I4629" s="1">
        <v>1</v>
      </c>
      <c r="J4629" s="3">
        <v>11305</v>
      </c>
      <c r="K4629" s="3">
        <v>10787</v>
      </c>
      <c r="L4629" s="1">
        <v>0</v>
      </c>
      <c r="M4629" s="4">
        <v>0</v>
      </c>
      <c r="N4629" s="1">
        <v>518</v>
      </c>
      <c r="O4629" s="4">
        <v>4.5999999999999999E-2</v>
      </c>
      <c r="P4629" s="1" t="s">
        <v>2721</v>
      </c>
    </row>
    <row r="4630" spans="1:16">
      <c r="A4630" s="1" t="s">
        <v>15</v>
      </c>
      <c r="B4630" s="1">
        <v>11</v>
      </c>
      <c r="C4630" s="1" t="s">
        <v>9175</v>
      </c>
      <c r="D4630" s="1" t="s">
        <v>3292</v>
      </c>
      <c r="E4630" s="2">
        <v>45987</v>
      </c>
      <c r="F4630" s="1" t="s">
        <v>239</v>
      </c>
      <c r="G4630" s="1" t="s">
        <v>3293</v>
      </c>
      <c r="H4630" s="1" t="s">
        <v>5375</v>
      </c>
      <c r="I4630" s="1">
        <v>1</v>
      </c>
      <c r="J4630" s="3">
        <v>11305</v>
      </c>
      <c r="K4630" s="3">
        <v>10787</v>
      </c>
      <c r="L4630" s="1">
        <v>0</v>
      </c>
      <c r="M4630" s="4">
        <v>0</v>
      </c>
      <c r="N4630" s="1">
        <v>518</v>
      </c>
      <c r="O4630" s="4">
        <v>4.5999999999999999E-2</v>
      </c>
      <c r="P4630" s="1" t="s">
        <v>2721</v>
      </c>
    </row>
    <row r="4631" spans="1:16">
      <c r="A4631" s="1" t="s">
        <v>15</v>
      </c>
      <c r="B4631" s="1">
        <v>11</v>
      </c>
      <c r="C4631" s="1" t="s">
        <v>9176</v>
      </c>
      <c r="D4631" s="1" t="s">
        <v>1673</v>
      </c>
      <c r="E4631" s="2">
        <v>45987</v>
      </c>
      <c r="F4631" s="1" t="s">
        <v>660</v>
      </c>
      <c r="G4631" s="1" t="s">
        <v>1674</v>
      </c>
      <c r="H4631" s="1" t="s">
        <v>1675</v>
      </c>
      <c r="I4631" s="1">
        <v>1</v>
      </c>
      <c r="J4631" s="3">
        <v>11285</v>
      </c>
      <c r="K4631" s="3">
        <v>10768</v>
      </c>
      <c r="L4631" s="1">
        <v>0</v>
      </c>
      <c r="M4631" s="4">
        <v>0</v>
      </c>
      <c r="N4631" s="1">
        <v>517</v>
      </c>
      <c r="O4631" s="4">
        <v>4.5999999999999999E-2</v>
      </c>
      <c r="P4631" s="1" t="s">
        <v>2721</v>
      </c>
    </row>
    <row r="4632" spans="1:16">
      <c r="A4632" s="1" t="s">
        <v>15</v>
      </c>
      <c r="B4632" s="1">
        <v>11</v>
      </c>
      <c r="C4632" s="1" t="s">
        <v>9177</v>
      </c>
      <c r="D4632" s="1" t="s">
        <v>325</v>
      </c>
      <c r="E4632" s="2">
        <v>45987</v>
      </c>
      <c r="F4632" s="1" t="s">
        <v>256</v>
      </c>
      <c r="G4632" s="1" t="s">
        <v>326</v>
      </c>
      <c r="H4632" s="1" t="s">
        <v>910</v>
      </c>
      <c r="I4632" s="1">
        <v>1</v>
      </c>
      <c r="J4632" s="3">
        <v>14204</v>
      </c>
      <c r="K4632" s="3">
        <v>13554</v>
      </c>
      <c r="L4632" s="1">
        <v>0</v>
      </c>
      <c r="M4632" s="4">
        <v>0</v>
      </c>
      <c r="N4632" s="1">
        <v>650</v>
      </c>
      <c r="O4632" s="4">
        <v>4.5999999999999999E-2</v>
      </c>
      <c r="P4632" s="1" t="s">
        <v>2721</v>
      </c>
    </row>
    <row r="4633" spans="1:16">
      <c r="A4633" s="1" t="s">
        <v>15</v>
      </c>
      <c r="B4633" s="1">
        <v>11</v>
      </c>
      <c r="C4633" s="1" t="s">
        <v>9178</v>
      </c>
      <c r="D4633" s="1" t="s">
        <v>265</v>
      </c>
      <c r="E4633" s="2">
        <v>45987</v>
      </c>
      <c r="F4633" s="1" t="s">
        <v>266</v>
      </c>
      <c r="G4633" s="1" t="s">
        <v>267</v>
      </c>
      <c r="H4633" s="1" t="s">
        <v>1671</v>
      </c>
      <c r="I4633" s="1">
        <v>5</v>
      </c>
      <c r="J4633" s="3">
        <v>112554</v>
      </c>
      <c r="K4633" s="3">
        <v>107401</v>
      </c>
      <c r="L4633" s="1">
        <v>0</v>
      </c>
      <c r="M4633" s="4">
        <v>0</v>
      </c>
      <c r="N4633" s="3">
        <v>5153</v>
      </c>
      <c r="O4633" s="4">
        <v>4.5999999999999999E-2</v>
      </c>
      <c r="P4633" s="1" t="s">
        <v>2721</v>
      </c>
    </row>
    <row r="4634" spans="1:16">
      <c r="A4634" s="1" t="s">
        <v>15</v>
      </c>
      <c r="B4634" s="1">
        <v>11</v>
      </c>
      <c r="C4634" s="1" t="s">
        <v>9179</v>
      </c>
      <c r="D4634" s="1" t="s">
        <v>228</v>
      </c>
      <c r="E4634" s="2">
        <v>45987</v>
      </c>
      <c r="F4634" s="1" t="s">
        <v>53</v>
      </c>
      <c r="G4634" s="1" t="s">
        <v>229</v>
      </c>
      <c r="H4634" s="1" t="s">
        <v>230</v>
      </c>
      <c r="I4634" s="1">
        <v>1</v>
      </c>
      <c r="J4634" s="3">
        <v>9825</v>
      </c>
      <c r="K4634" s="3">
        <v>9375</v>
      </c>
      <c r="L4634" s="1">
        <v>0</v>
      </c>
      <c r="M4634" s="4">
        <v>0</v>
      </c>
      <c r="N4634" s="1">
        <v>450</v>
      </c>
      <c r="O4634" s="4">
        <v>4.5999999999999999E-2</v>
      </c>
      <c r="P4634" s="1" t="s">
        <v>2721</v>
      </c>
    </row>
    <row r="4635" spans="1:16">
      <c r="A4635" s="1" t="s">
        <v>15</v>
      </c>
      <c r="B4635" s="1">
        <v>11</v>
      </c>
      <c r="C4635" s="1" t="s">
        <v>9180</v>
      </c>
      <c r="D4635" s="1" t="s">
        <v>3836</v>
      </c>
      <c r="E4635" s="2">
        <v>45987</v>
      </c>
      <c r="F4635" s="1" t="s">
        <v>1241</v>
      </c>
      <c r="G4635" s="1" t="s">
        <v>3837</v>
      </c>
      <c r="H4635" s="1" t="s">
        <v>4035</v>
      </c>
      <c r="I4635" s="1">
        <v>1</v>
      </c>
      <c r="J4635" s="3">
        <v>14450</v>
      </c>
      <c r="K4635" s="3">
        <v>13789</v>
      </c>
      <c r="L4635" s="1">
        <v>0</v>
      </c>
      <c r="M4635" s="4">
        <v>0</v>
      </c>
      <c r="N4635" s="1">
        <v>661</v>
      </c>
      <c r="O4635" s="4">
        <v>4.5999999999999999E-2</v>
      </c>
      <c r="P4635" s="1" t="s">
        <v>2721</v>
      </c>
    </row>
    <row r="4636" spans="1:16">
      <c r="A4636" s="1" t="s">
        <v>15</v>
      </c>
      <c r="B4636" s="1">
        <v>11</v>
      </c>
      <c r="C4636" s="1" t="s">
        <v>9181</v>
      </c>
      <c r="D4636" s="1" t="s">
        <v>558</v>
      </c>
      <c r="E4636" s="2">
        <v>45987</v>
      </c>
      <c r="F4636" s="1" t="s">
        <v>256</v>
      </c>
      <c r="G4636" s="1" t="s">
        <v>559</v>
      </c>
      <c r="H4636" s="1" t="s">
        <v>560</v>
      </c>
      <c r="I4636" s="1">
        <v>1</v>
      </c>
      <c r="J4636" s="3">
        <v>9339</v>
      </c>
      <c r="K4636" s="3">
        <v>8911</v>
      </c>
      <c r="L4636" s="1">
        <v>0</v>
      </c>
      <c r="M4636" s="4">
        <v>0</v>
      </c>
      <c r="N4636" s="1">
        <v>428</v>
      </c>
      <c r="O4636" s="4">
        <v>4.5999999999999999E-2</v>
      </c>
      <c r="P4636" s="1" t="s">
        <v>2721</v>
      </c>
    </row>
    <row r="4637" spans="1:16">
      <c r="A4637" s="1" t="s">
        <v>15</v>
      </c>
      <c r="B4637" s="1">
        <v>11</v>
      </c>
      <c r="C4637" s="1" t="s">
        <v>9182</v>
      </c>
      <c r="D4637" s="1" t="s">
        <v>3381</v>
      </c>
      <c r="E4637" s="2">
        <v>45987</v>
      </c>
      <c r="F4637" s="1" t="s">
        <v>235</v>
      </c>
      <c r="G4637" s="1" t="s">
        <v>3382</v>
      </c>
      <c r="H4637" s="1" t="s">
        <v>3382</v>
      </c>
      <c r="I4637" s="1">
        <v>1</v>
      </c>
      <c r="J4637" s="3">
        <v>22363</v>
      </c>
      <c r="K4637" s="3">
        <v>21340</v>
      </c>
      <c r="L4637" s="1">
        <v>0</v>
      </c>
      <c r="M4637" s="4">
        <v>0</v>
      </c>
      <c r="N4637" s="3">
        <v>1023</v>
      </c>
      <c r="O4637" s="4">
        <v>4.5999999999999999E-2</v>
      </c>
      <c r="P4637" s="1" t="s">
        <v>2721</v>
      </c>
    </row>
    <row r="4638" spans="1:16">
      <c r="A4638" s="1" t="s">
        <v>15</v>
      </c>
      <c r="B4638" s="1">
        <v>11</v>
      </c>
      <c r="C4638" s="1" t="s">
        <v>9183</v>
      </c>
      <c r="D4638" s="1" t="s">
        <v>1375</v>
      </c>
      <c r="E4638" s="2">
        <v>45987</v>
      </c>
      <c r="F4638" s="1" t="s">
        <v>256</v>
      </c>
      <c r="G4638" s="1" t="s">
        <v>1376</v>
      </c>
      <c r="H4638" s="1" t="s">
        <v>1377</v>
      </c>
      <c r="I4638" s="1">
        <v>1</v>
      </c>
      <c r="J4638" s="3">
        <v>8208</v>
      </c>
      <c r="K4638" s="3">
        <v>7832</v>
      </c>
      <c r="L4638" s="1">
        <v>0</v>
      </c>
      <c r="M4638" s="4">
        <v>0</v>
      </c>
      <c r="N4638" s="1">
        <v>376</v>
      </c>
      <c r="O4638" s="4">
        <v>4.5999999999999999E-2</v>
      </c>
      <c r="P4638" s="1" t="s">
        <v>2721</v>
      </c>
    </row>
    <row r="4639" spans="1:16">
      <c r="A4639" s="1" t="s">
        <v>15</v>
      </c>
      <c r="B4639" s="1">
        <v>11</v>
      </c>
      <c r="C4639" s="1" t="s">
        <v>9184</v>
      </c>
      <c r="D4639" s="1" t="s">
        <v>325</v>
      </c>
      <c r="E4639" s="2">
        <v>45987</v>
      </c>
      <c r="F4639" s="1" t="s">
        <v>256</v>
      </c>
      <c r="G4639" s="1" t="s">
        <v>326</v>
      </c>
      <c r="H4639" s="1" t="s">
        <v>910</v>
      </c>
      <c r="I4639" s="1">
        <v>1</v>
      </c>
      <c r="J4639" s="3">
        <v>14204</v>
      </c>
      <c r="K4639" s="3">
        <v>13554</v>
      </c>
      <c r="L4639" s="1">
        <v>0</v>
      </c>
      <c r="M4639" s="4">
        <v>0</v>
      </c>
      <c r="N4639" s="1">
        <v>650</v>
      </c>
      <c r="O4639" s="4">
        <v>4.5999999999999999E-2</v>
      </c>
      <c r="P4639" s="1" t="s">
        <v>2721</v>
      </c>
    </row>
    <row r="4640" spans="1:16">
      <c r="A4640" s="1" t="s">
        <v>15</v>
      </c>
      <c r="B4640" s="1">
        <v>11</v>
      </c>
      <c r="C4640" s="1" t="s">
        <v>9185</v>
      </c>
      <c r="D4640" s="1" t="s">
        <v>862</v>
      </c>
      <c r="E4640" s="2">
        <v>45987</v>
      </c>
      <c r="F4640" s="1" t="s">
        <v>334</v>
      </c>
      <c r="G4640" s="1" t="s">
        <v>863</v>
      </c>
      <c r="H4640" s="1" t="s">
        <v>2958</v>
      </c>
      <c r="I4640" s="1">
        <v>1</v>
      </c>
      <c r="J4640" s="3">
        <v>16220</v>
      </c>
      <c r="K4640" s="3">
        <v>15477</v>
      </c>
      <c r="L4640" s="1">
        <v>0</v>
      </c>
      <c r="M4640" s="4">
        <v>0</v>
      </c>
      <c r="N4640" s="1">
        <v>743</v>
      </c>
      <c r="O4640" s="4">
        <v>4.5999999999999999E-2</v>
      </c>
      <c r="P4640" s="1" t="s">
        <v>2721</v>
      </c>
    </row>
    <row r="4641" spans="1:16">
      <c r="A4641" s="1" t="s">
        <v>15</v>
      </c>
      <c r="B4641" s="1">
        <v>11</v>
      </c>
      <c r="C4641" s="1" t="s">
        <v>9186</v>
      </c>
      <c r="D4641" s="1" t="s">
        <v>1137</v>
      </c>
      <c r="E4641" s="2">
        <v>45987</v>
      </c>
      <c r="F4641" s="1" t="s">
        <v>58</v>
      </c>
      <c r="G4641" s="1" t="s">
        <v>1138</v>
      </c>
      <c r="H4641" s="1" t="s">
        <v>1139</v>
      </c>
      <c r="I4641" s="1">
        <v>1</v>
      </c>
      <c r="J4641" s="3">
        <v>14450</v>
      </c>
      <c r="K4641" s="3">
        <v>13789</v>
      </c>
      <c r="L4641" s="1">
        <v>0</v>
      </c>
      <c r="M4641" s="4">
        <v>0</v>
      </c>
      <c r="N4641" s="1">
        <v>661</v>
      </c>
      <c r="O4641" s="4">
        <v>4.5999999999999999E-2</v>
      </c>
      <c r="P4641" s="1" t="s">
        <v>2721</v>
      </c>
    </row>
    <row r="4642" spans="1:16">
      <c r="A4642" s="1" t="s">
        <v>15</v>
      </c>
      <c r="B4642" s="1">
        <v>11</v>
      </c>
      <c r="C4642" s="1" t="s">
        <v>9187</v>
      </c>
      <c r="D4642" s="1" t="s">
        <v>1254</v>
      </c>
      <c r="E4642" s="2">
        <v>45987</v>
      </c>
      <c r="F4642" s="1" t="s">
        <v>1255</v>
      </c>
      <c r="G4642" s="1" t="s">
        <v>1256</v>
      </c>
      <c r="H4642" s="1" t="s">
        <v>4768</v>
      </c>
      <c r="I4642" s="1">
        <v>2</v>
      </c>
      <c r="J4642" s="3">
        <v>99283</v>
      </c>
      <c r="K4642" s="3">
        <v>94738</v>
      </c>
      <c r="L4642" s="1">
        <v>0</v>
      </c>
      <c r="M4642" s="4">
        <v>0</v>
      </c>
      <c r="N4642" s="3">
        <v>4545</v>
      </c>
      <c r="O4642" s="4">
        <v>4.5999999999999999E-2</v>
      </c>
      <c r="P4642" s="1" t="s">
        <v>2721</v>
      </c>
    </row>
    <row r="4643" spans="1:16">
      <c r="A4643" s="1" t="s">
        <v>15</v>
      </c>
      <c r="B4643" s="1">
        <v>11</v>
      </c>
      <c r="C4643" s="1" t="s">
        <v>9188</v>
      </c>
      <c r="D4643" s="1" t="s">
        <v>1375</v>
      </c>
      <c r="E4643" s="2">
        <v>45987</v>
      </c>
      <c r="F4643" s="1" t="s">
        <v>256</v>
      </c>
      <c r="G4643" s="1" t="s">
        <v>1376</v>
      </c>
      <c r="H4643" s="1" t="s">
        <v>2376</v>
      </c>
      <c r="I4643" s="1">
        <v>1</v>
      </c>
      <c r="J4643" s="3">
        <v>5161</v>
      </c>
      <c r="K4643" s="3">
        <v>4925</v>
      </c>
      <c r="L4643" s="1">
        <v>0</v>
      </c>
      <c r="M4643" s="4">
        <v>0</v>
      </c>
      <c r="N4643" s="1">
        <v>236</v>
      </c>
      <c r="O4643" s="4">
        <v>4.5999999999999999E-2</v>
      </c>
      <c r="P4643" s="1" t="s">
        <v>2721</v>
      </c>
    </row>
    <row r="4644" spans="1:16">
      <c r="A4644" s="1" t="s">
        <v>15</v>
      </c>
      <c r="B4644" s="1">
        <v>11</v>
      </c>
      <c r="C4644" s="1" t="s">
        <v>9189</v>
      </c>
      <c r="D4644" s="1" t="s">
        <v>141</v>
      </c>
      <c r="E4644" s="2">
        <v>45987</v>
      </c>
      <c r="F4644" s="1" t="s">
        <v>142</v>
      </c>
      <c r="G4644" s="1" t="s">
        <v>143</v>
      </c>
      <c r="H4644" s="1" t="s">
        <v>144</v>
      </c>
      <c r="I4644" s="1">
        <v>1</v>
      </c>
      <c r="J4644" s="3">
        <v>22314</v>
      </c>
      <c r="K4644" s="3">
        <v>21293</v>
      </c>
      <c r="L4644" s="1">
        <v>0</v>
      </c>
      <c r="M4644" s="4">
        <v>0</v>
      </c>
      <c r="N4644" s="3">
        <v>1021</v>
      </c>
      <c r="O4644" s="4">
        <v>4.5999999999999999E-2</v>
      </c>
      <c r="P4644" s="1" t="s">
        <v>2721</v>
      </c>
    </row>
    <row r="4645" spans="1:16">
      <c r="A4645" s="1" t="s">
        <v>15</v>
      </c>
      <c r="B4645" s="1">
        <v>11</v>
      </c>
      <c r="C4645" s="1" t="s">
        <v>9190</v>
      </c>
      <c r="D4645" s="1" t="s">
        <v>6501</v>
      </c>
      <c r="E4645" s="2">
        <v>45987</v>
      </c>
      <c r="F4645" s="1" t="s">
        <v>1815</v>
      </c>
      <c r="G4645" s="1" t="s">
        <v>1816</v>
      </c>
      <c r="H4645" s="1" t="s">
        <v>1817</v>
      </c>
      <c r="I4645" s="1">
        <v>1</v>
      </c>
      <c r="J4645" s="3">
        <v>14057</v>
      </c>
      <c r="K4645" s="3">
        <v>13413</v>
      </c>
      <c r="L4645" s="1">
        <v>0</v>
      </c>
      <c r="M4645" s="4">
        <v>0</v>
      </c>
      <c r="N4645" s="1">
        <v>644</v>
      </c>
      <c r="O4645" s="4">
        <v>4.5999999999999999E-2</v>
      </c>
      <c r="P4645" s="1" t="s">
        <v>2721</v>
      </c>
    </row>
    <row r="4646" spans="1:16">
      <c r="A4646" s="1" t="s">
        <v>15</v>
      </c>
      <c r="B4646" s="1">
        <v>11</v>
      </c>
      <c r="C4646" s="1" t="s">
        <v>9191</v>
      </c>
      <c r="D4646" s="1" t="s">
        <v>1393</v>
      </c>
      <c r="E4646" s="2">
        <v>45987</v>
      </c>
      <c r="F4646" s="1" t="s">
        <v>235</v>
      </c>
      <c r="G4646" s="1" t="s">
        <v>1394</v>
      </c>
      <c r="H4646" s="1" t="s">
        <v>4425</v>
      </c>
      <c r="I4646" s="1">
        <v>1</v>
      </c>
      <c r="J4646" s="3">
        <v>8110</v>
      </c>
      <c r="K4646" s="3">
        <v>7739</v>
      </c>
      <c r="L4646" s="1">
        <v>0</v>
      </c>
      <c r="M4646" s="4">
        <v>0</v>
      </c>
      <c r="N4646" s="1">
        <v>371</v>
      </c>
      <c r="O4646" s="4">
        <v>4.5999999999999999E-2</v>
      </c>
      <c r="P4646" s="1" t="s">
        <v>2721</v>
      </c>
    </row>
    <row r="4647" spans="1:16">
      <c r="A4647" s="1" t="s">
        <v>15</v>
      </c>
      <c r="B4647" s="1">
        <v>11</v>
      </c>
      <c r="C4647" s="1" t="s">
        <v>9192</v>
      </c>
      <c r="D4647" s="1" t="s">
        <v>311</v>
      </c>
      <c r="E4647" s="2">
        <v>45987</v>
      </c>
      <c r="F4647" s="1" t="s">
        <v>312</v>
      </c>
      <c r="G4647" s="1" t="s">
        <v>313</v>
      </c>
      <c r="H4647" s="1" t="s">
        <v>3723</v>
      </c>
      <c r="I4647" s="1">
        <v>1</v>
      </c>
      <c r="J4647" s="3">
        <v>28310</v>
      </c>
      <c r="K4647" s="3">
        <v>27014</v>
      </c>
      <c r="L4647" s="1">
        <v>0</v>
      </c>
      <c r="M4647" s="4">
        <v>0</v>
      </c>
      <c r="N4647" s="3">
        <v>1296</v>
      </c>
      <c r="O4647" s="4">
        <v>4.5999999999999999E-2</v>
      </c>
      <c r="P4647" s="1" t="s">
        <v>2721</v>
      </c>
    </row>
    <row r="4648" spans="1:16">
      <c r="A4648" s="1" t="s">
        <v>15</v>
      </c>
      <c r="B4648" s="1">
        <v>11</v>
      </c>
      <c r="C4648" s="1" t="s">
        <v>9193</v>
      </c>
      <c r="D4648" s="1" t="s">
        <v>1597</v>
      </c>
      <c r="E4648" s="2">
        <v>45987</v>
      </c>
      <c r="F4648" s="1" t="s">
        <v>464</v>
      </c>
      <c r="G4648" s="1" t="s">
        <v>1598</v>
      </c>
      <c r="H4648" s="1" t="s">
        <v>1599</v>
      </c>
      <c r="I4648" s="1">
        <v>1</v>
      </c>
      <c r="J4648" s="3">
        <v>12707</v>
      </c>
      <c r="K4648" s="3">
        <v>12126</v>
      </c>
      <c r="L4648" s="1">
        <v>0</v>
      </c>
      <c r="M4648" s="4">
        <v>0</v>
      </c>
      <c r="N4648" s="1">
        <v>581</v>
      </c>
      <c r="O4648" s="4">
        <v>4.5999999999999999E-2</v>
      </c>
      <c r="P4648" s="1" t="s">
        <v>2721</v>
      </c>
    </row>
    <row r="4649" spans="1:16">
      <c r="A4649" s="1" t="s">
        <v>15</v>
      </c>
      <c r="B4649" s="1">
        <v>11</v>
      </c>
      <c r="C4649" s="1" t="s">
        <v>9194</v>
      </c>
      <c r="D4649" s="1" t="s">
        <v>2855</v>
      </c>
      <c r="E4649" s="2">
        <v>45987</v>
      </c>
      <c r="F4649" s="1" t="s">
        <v>58</v>
      </c>
      <c r="G4649" s="1" t="s">
        <v>2856</v>
      </c>
      <c r="H4649" s="1" t="s">
        <v>2857</v>
      </c>
      <c r="I4649" s="1">
        <v>1</v>
      </c>
      <c r="J4649" s="3">
        <v>21842</v>
      </c>
      <c r="K4649" s="3">
        <v>20842</v>
      </c>
      <c r="L4649" s="1">
        <v>0</v>
      </c>
      <c r="M4649" s="4">
        <v>0</v>
      </c>
      <c r="N4649" s="3">
        <v>1000</v>
      </c>
      <c r="O4649" s="4">
        <v>4.5999999999999999E-2</v>
      </c>
      <c r="P4649" s="1" t="s">
        <v>2721</v>
      </c>
    </row>
    <row r="4650" spans="1:16">
      <c r="A4650" s="1" t="s">
        <v>15</v>
      </c>
      <c r="B4650" s="1">
        <v>11</v>
      </c>
      <c r="C4650" s="1" t="s">
        <v>9195</v>
      </c>
      <c r="D4650" s="1" t="s">
        <v>4095</v>
      </c>
      <c r="E4650" s="2">
        <v>45987</v>
      </c>
      <c r="F4650" s="1" t="s">
        <v>58</v>
      </c>
      <c r="G4650" s="1" t="s">
        <v>4096</v>
      </c>
      <c r="H4650" s="1" t="s">
        <v>4097</v>
      </c>
      <c r="I4650" s="1">
        <v>1</v>
      </c>
      <c r="J4650" s="3">
        <v>21842</v>
      </c>
      <c r="K4650" s="3">
        <v>20842</v>
      </c>
      <c r="L4650" s="1">
        <v>0</v>
      </c>
      <c r="M4650" s="4">
        <v>0</v>
      </c>
      <c r="N4650" s="3">
        <v>1000</v>
      </c>
      <c r="O4650" s="4">
        <v>4.5999999999999999E-2</v>
      </c>
      <c r="P4650" s="1" t="s">
        <v>2721</v>
      </c>
    </row>
    <row r="4651" spans="1:16">
      <c r="A4651" s="1" t="s">
        <v>15</v>
      </c>
      <c r="B4651" s="1">
        <v>11</v>
      </c>
      <c r="C4651" s="1" t="s">
        <v>9196</v>
      </c>
      <c r="D4651" s="1" t="s">
        <v>154</v>
      </c>
      <c r="E4651" s="2">
        <v>45987</v>
      </c>
      <c r="F4651" s="1" t="s">
        <v>155</v>
      </c>
      <c r="G4651" s="1" t="s">
        <v>156</v>
      </c>
      <c r="H4651" s="1" t="s">
        <v>193</v>
      </c>
      <c r="I4651" s="1">
        <v>1</v>
      </c>
      <c r="J4651" s="3">
        <v>13565</v>
      </c>
      <c r="K4651" s="3">
        <v>12944</v>
      </c>
      <c r="L4651" s="1">
        <v>0</v>
      </c>
      <c r="M4651" s="4">
        <v>0</v>
      </c>
      <c r="N4651" s="1">
        <v>621</v>
      </c>
      <c r="O4651" s="4">
        <v>4.5999999999999999E-2</v>
      </c>
      <c r="P4651" s="1" t="s">
        <v>2721</v>
      </c>
    </row>
    <row r="4652" spans="1:16">
      <c r="A4652" s="1" t="s">
        <v>15</v>
      </c>
      <c r="B4652" s="1">
        <v>11</v>
      </c>
      <c r="C4652" s="1" t="s">
        <v>9197</v>
      </c>
      <c r="D4652" s="1" t="s">
        <v>504</v>
      </c>
      <c r="E4652" s="2">
        <v>45987</v>
      </c>
      <c r="F4652" s="1" t="s">
        <v>407</v>
      </c>
      <c r="G4652" s="1" t="s">
        <v>505</v>
      </c>
      <c r="H4652" s="1" t="s">
        <v>1004</v>
      </c>
      <c r="I4652" s="1">
        <v>1</v>
      </c>
      <c r="J4652" s="3">
        <v>9339</v>
      </c>
      <c r="K4652" s="3">
        <v>8911</v>
      </c>
      <c r="L4652" s="1">
        <v>0</v>
      </c>
      <c r="M4652" s="4">
        <v>0</v>
      </c>
      <c r="N4652" s="1">
        <v>428</v>
      </c>
      <c r="O4652" s="4">
        <v>4.5999999999999999E-2</v>
      </c>
      <c r="P4652" s="1" t="s">
        <v>2721</v>
      </c>
    </row>
    <row r="4653" spans="1:16">
      <c r="A4653" s="1" t="s">
        <v>15</v>
      </c>
      <c r="B4653" s="1">
        <v>11</v>
      </c>
      <c r="C4653" s="1" t="s">
        <v>9197</v>
      </c>
      <c r="D4653" s="1" t="s">
        <v>960</v>
      </c>
      <c r="E4653" s="2">
        <v>45987</v>
      </c>
      <c r="F4653" s="1" t="s">
        <v>407</v>
      </c>
      <c r="G4653" s="1" t="s">
        <v>961</v>
      </c>
      <c r="H4653" s="1" t="s">
        <v>2830</v>
      </c>
      <c r="I4653" s="1">
        <v>1</v>
      </c>
      <c r="J4653" s="3">
        <v>16711</v>
      </c>
      <c r="K4653" s="3">
        <v>15946</v>
      </c>
      <c r="L4653" s="1">
        <v>0</v>
      </c>
      <c r="M4653" s="4">
        <v>0</v>
      </c>
      <c r="N4653" s="1">
        <v>765</v>
      </c>
      <c r="O4653" s="4">
        <v>4.5999999999999999E-2</v>
      </c>
      <c r="P4653" s="1" t="s">
        <v>2721</v>
      </c>
    </row>
    <row r="4654" spans="1:16">
      <c r="A4654" s="1" t="s">
        <v>15</v>
      </c>
      <c r="B4654" s="1">
        <v>11</v>
      </c>
      <c r="C4654" s="1" t="s">
        <v>9198</v>
      </c>
      <c r="D4654" s="1" t="s">
        <v>72</v>
      </c>
      <c r="E4654" s="2">
        <v>45987</v>
      </c>
      <c r="F4654" s="1" t="s">
        <v>63</v>
      </c>
      <c r="G4654" s="1" t="s">
        <v>73</v>
      </c>
      <c r="H4654" s="1" t="s">
        <v>74</v>
      </c>
      <c r="I4654" s="1">
        <v>2</v>
      </c>
      <c r="J4654" s="3">
        <v>20912</v>
      </c>
      <c r="K4654" s="3">
        <v>19955</v>
      </c>
      <c r="L4654" s="1">
        <v>0</v>
      </c>
      <c r="M4654" s="4">
        <v>0</v>
      </c>
      <c r="N4654" s="1">
        <v>957</v>
      </c>
      <c r="O4654" s="4">
        <v>4.5999999999999999E-2</v>
      </c>
      <c r="P4654" s="1" t="s">
        <v>2721</v>
      </c>
    </row>
    <row r="4655" spans="1:16">
      <c r="A4655" s="1" t="s">
        <v>15</v>
      </c>
      <c r="B4655" s="1">
        <v>11</v>
      </c>
      <c r="C4655" s="1" t="s">
        <v>9199</v>
      </c>
      <c r="D4655" s="1" t="s">
        <v>72</v>
      </c>
      <c r="E4655" s="2">
        <v>45987</v>
      </c>
      <c r="F4655" s="1" t="s">
        <v>63</v>
      </c>
      <c r="G4655" s="1" t="s">
        <v>73</v>
      </c>
      <c r="H4655" s="1" t="s">
        <v>74</v>
      </c>
      <c r="I4655" s="1">
        <v>2</v>
      </c>
      <c r="J4655" s="3">
        <v>20912</v>
      </c>
      <c r="K4655" s="3">
        <v>19955</v>
      </c>
      <c r="L4655" s="1">
        <v>0</v>
      </c>
      <c r="M4655" s="4">
        <v>0</v>
      </c>
      <c r="N4655" s="1">
        <v>957</v>
      </c>
      <c r="O4655" s="4">
        <v>4.5999999999999999E-2</v>
      </c>
      <c r="P4655" s="1" t="s">
        <v>2721</v>
      </c>
    </row>
    <row r="4656" spans="1:16">
      <c r="A4656" s="1" t="s">
        <v>15</v>
      </c>
      <c r="B4656" s="1">
        <v>11</v>
      </c>
      <c r="C4656" s="1" t="s">
        <v>9200</v>
      </c>
      <c r="D4656" s="1" t="s">
        <v>504</v>
      </c>
      <c r="E4656" s="2">
        <v>45987</v>
      </c>
      <c r="F4656" s="1" t="s">
        <v>407</v>
      </c>
      <c r="G4656" s="1" t="s">
        <v>505</v>
      </c>
      <c r="H4656" s="1" t="s">
        <v>1004</v>
      </c>
      <c r="I4656" s="1">
        <v>1</v>
      </c>
      <c r="J4656" s="3">
        <v>9339</v>
      </c>
      <c r="K4656" s="3">
        <v>8911</v>
      </c>
      <c r="L4656" s="1">
        <v>0</v>
      </c>
      <c r="M4656" s="4">
        <v>0</v>
      </c>
      <c r="N4656" s="1">
        <v>428</v>
      </c>
      <c r="O4656" s="4">
        <v>4.5999999999999999E-2</v>
      </c>
      <c r="P4656" s="1" t="s">
        <v>2721</v>
      </c>
    </row>
    <row r="4657" spans="1:16">
      <c r="A4657" s="1" t="s">
        <v>15</v>
      </c>
      <c r="B4657" s="1">
        <v>11</v>
      </c>
      <c r="C4657" s="1" t="s">
        <v>9201</v>
      </c>
      <c r="D4657" s="1" t="s">
        <v>504</v>
      </c>
      <c r="E4657" s="2">
        <v>45987</v>
      </c>
      <c r="F4657" s="1" t="s">
        <v>407</v>
      </c>
      <c r="G4657" s="1" t="s">
        <v>505</v>
      </c>
      <c r="H4657" s="1" t="s">
        <v>963</v>
      </c>
      <c r="I4657" s="1">
        <v>1</v>
      </c>
      <c r="J4657" s="3">
        <v>35880</v>
      </c>
      <c r="K4657" s="3">
        <v>34237</v>
      </c>
      <c r="L4657" s="1">
        <v>0</v>
      </c>
      <c r="M4657" s="4">
        <v>0</v>
      </c>
      <c r="N4657" s="3">
        <v>1643</v>
      </c>
      <c r="O4657" s="4">
        <v>4.5999999999999999E-2</v>
      </c>
      <c r="P4657" s="1" t="s">
        <v>2721</v>
      </c>
    </row>
    <row r="4658" spans="1:16">
      <c r="A4658" s="1" t="s">
        <v>15</v>
      </c>
      <c r="B4658" s="1">
        <v>11</v>
      </c>
      <c r="C4658" s="1" t="s">
        <v>9202</v>
      </c>
      <c r="D4658" s="1" t="s">
        <v>468</v>
      </c>
      <c r="E4658" s="2">
        <v>45987</v>
      </c>
      <c r="F4658" s="1" t="s">
        <v>469</v>
      </c>
      <c r="G4658" s="1" t="s">
        <v>470</v>
      </c>
      <c r="H4658" s="1" t="s">
        <v>471</v>
      </c>
      <c r="I4658" s="1">
        <v>1</v>
      </c>
      <c r="J4658" s="3">
        <v>24477</v>
      </c>
      <c r="K4658" s="3">
        <v>23356</v>
      </c>
      <c r="L4658" s="1">
        <v>0</v>
      </c>
      <c r="M4658" s="4">
        <v>0</v>
      </c>
      <c r="N4658" s="3">
        <v>1121</v>
      </c>
      <c r="O4658" s="4">
        <v>4.5999999999999999E-2</v>
      </c>
      <c r="P4658" s="1" t="s">
        <v>2721</v>
      </c>
    </row>
    <row r="4659" spans="1:16">
      <c r="A4659" s="1" t="s">
        <v>15</v>
      </c>
      <c r="B4659" s="1">
        <v>11</v>
      </c>
      <c r="C4659" s="1" t="s">
        <v>9203</v>
      </c>
      <c r="D4659" s="1" t="s">
        <v>72</v>
      </c>
      <c r="E4659" s="2">
        <v>45987</v>
      </c>
      <c r="F4659" s="1" t="s">
        <v>63</v>
      </c>
      <c r="G4659" s="1" t="s">
        <v>73</v>
      </c>
      <c r="H4659" s="1" t="s">
        <v>74</v>
      </c>
      <c r="I4659" s="1">
        <v>2</v>
      </c>
      <c r="J4659" s="3">
        <v>20912</v>
      </c>
      <c r="K4659" s="3">
        <v>19955</v>
      </c>
      <c r="L4659" s="1">
        <v>0</v>
      </c>
      <c r="M4659" s="4">
        <v>0</v>
      </c>
      <c r="N4659" s="1">
        <v>957</v>
      </c>
      <c r="O4659" s="4">
        <v>4.5999999999999999E-2</v>
      </c>
      <c r="P4659" s="1" t="s">
        <v>2721</v>
      </c>
    </row>
    <row r="4660" spans="1:16">
      <c r="A4660" s="1" t="s">
        <v>15</v>
      </c>
      <c r="B4660" s="1">
        <v>11</v>
      </c>
      <c r="C4660" s="1" t="s">
        <v>9204</v>
      </c>
      <c r="D4660" s="1" t="s">
        <v>818</v>
      </c>
      <c r="E4660" s="2">
        <v>45987</v>
      </c>
      <c r="F4660" s="1" t="s">
        <v>235</v>
      </c>
      <c r="G4660" s="1" t="s">
        <v>819</v>
      </c>
      <c r="H4660" s="1" t="s">
        <v>820</v>
      </c>
      <c r="I4660" s="1">
        <v>3</v>
      </c>
      <c r="J4660" s="3">
        <v>24182</v>
      </c>
      <c r="K4660" s="3">
        <v>23075</v>
      </c>
      <c r="L4660" s="1">
        <v>0</v>
      </c>
      <c r="M4660" s="4">
        <v>0</v>
      </c>
      <c r="N4660" s="3">
        <v>1107</v>
      </c>
      <c r="O4660" s="4">
        <v>4.5999999999999999E-2</v>
      </c>
      <c r="P4660" s="1" t="s">
        <v>2721</v>
      </c>
    </row>
    <row r="4661" spans="1:16">
      <c r="A4661" s="1" t="s">
        <v>15</v>
      </c>
      <c r="B4661" s="1">
        <v>11</v>
      </c>
      <c r="C4661" s="1" t="s">
        <v>9205</v>
      </c>
      <c r="D4661" s="1" t="s">
        <v>862</v>
      </c>
      <c r="E4661" s="2">
        <v>45987</v>
      </c>
      <c r="F4661" s="1" t="s">
        <v>334</v>
      </c>
      <c r="G4661" s="1" t="s">
        <v>863</v>
      </c>
      <c r="H4661" s="1" t="s">
        <v>2958</v>
      </c>
      <c r="I4661" s="1">
        <v>1</v>
      </c>
      <c r="J4661" s="3">
        <v>16220</v>
      </c>
      <c r="K4661" s="3">
        <v>15477</v>
      </c>
      <c r="L4661" s="1">
        <v>0</v>
      </c>
      <c r="M4661" s="4">
        <v>0</v>
      </c>
      <c r="N4661" s="1">
        <v>743</v>
      </c>
      <c r="O4661" s="4">
        <v>4.5999999999999999E-2</v>
      </c>
      <c r="P4661" s="1" t="s">
        <v>2721</v>
      </c>
    </row>
    <row r="4662" spans="1:16">
      <c r="A4662" s="1" t="s">
        <v>15</v>
      </c>
      <c r="B4662" s="1">
        <v>11</v>
      </c>
      <c r="C4662" s="1" t="s">
        <v>9206</v>
      </c>
      <c r="D4662" s="1" t="s">
        <v>341</v>
      </c>
      <c r="E4662" s="2">
        <v>45987</v>
      </c>
      <c r="F4662" s="1" t="s">
        <v>53</v>
      </c>
      <c r="G4662" s="1" t="s">
        <v>342</v>
      </c>
      <c r="H4662" s="1" t="s">
        <v>343</v>
      </c>
      <c r="I4662" s="1">
        <v>1</v>
      </c>
      <c r="J4662" s="3">
        <v>16135</v>
      </c>
      <c r="K4662" s="3">
        <v>15396</v>
      </c>
      <c r="L4662" s="1">
        <v>0</v>
      </c>
      <c r="M4662" s="4">
        <v>0</v>
      </c>
      <c r="N4662" s="1">
        <v>739</v>
      </c>
      <c r="O4662" s="4">
        <v>4.5999999999999999E-2</v>
      </c>
      <c r="P4662" s="1" t="s">
        <v>2721</v>
      </c>
    </row>
    <row r="4663" spans="1:16">
      <c r="A4663" s="1" t="s">
        <v>15</v>
      </c>
      <c r="B4663" s="1">
        <v>11</v>
      </c>
      <c r="C4663" s="1" t="s">
        <v>9207</v>
      </c>
      <c r="D4663" s="1" t="s">
        <v>538</v>
      </c>
      <c r="E4663" s="2">
        <v>45987</v>
      </c>
      <c r="F4663" s="1" t="s">
        <v>53</v>
      </c>
      <c r="G4663" s="1" t="s">
        <v>539</v>
      </c>
      <c r="H4663" s="1" t="s">
        <v>540</v>
      </c>
      <c r="I4663" s="1">
        <v>1</v>
      </c>
      <c r="J4663" s="3">
        <v>14332</v>
      </c>
      <c r="K4663" s="3">
        <v>13676</v>
      </c>
      <c r="L4663" s="1">
        <v>0</v>
      </c>
      <c r="M4663" s="4">
        <v>0</v>
      </c>
      <c r="N4663" s="1">
        <v>656</v>
      </c>
      <c r="O4663" s="4">
        <v>4.5999999999999999E-2</v>
      </c>
      <c r="P4663" s="1" t="s">
        <v>2721</v>
      </c>
    </row>
    <row r="4664" spans="1:16">
      <c r="A4664" s="1" t="s">
        <v>15</v>
      </c>
      <c r="B4664" s="1">
        <v>11</v>
      </c>
      <c r="C4664" s="1" t="s">
        <v>9208</v>
      </c>
      <c r="D4664" s="1" t="s">
        <v>265</v>
      </c>
      <c r="E4664" s="2">
        <v>45987</v>
      </c>
      <c r="F4664" s="1" t="s">
        <v>266</v>
      </c>
      <c r="G4664" s="1" t="s">
        <v>267</v>
      </c>
      <c r="H4664" s="1" t="s">
        <v>3793</v>
      </c>
      <c r="I4664" s="1">
        <v>1</v>
      </c>
      <c r="J4664" s="3">
        <v>14450</v>
      </c>
      <c r="K4664" s="3">
        <v>13789</v>
      </c>
      <c r="L4664" s="1">
        <v>0</v>
      </c>
      <c r="M4664" s="4">
        <v>0</v>
      </c>
      <c r="N4664" s="1">
        <v>661</v>
      </c>
      <c r="O4664" s="4">
        <v>4.5999999999999999E-2</v>
      </c>
      <c r="P4664" s="1" t="s">
        <v>2721</v>
      </c>
    </row>
    <row r="4665" spans="1:16">
      <c r="A4665" s="1" t="s">
        <v>15</v>
      </c>
      <c r="B4665" s="1">
        <v>11</v>
      </c>
      <c r="C4665" s="1" t="s">
        <v>9209</v>
      </c>
      <c r="D4665" s="1" t="s">
        <v>5242</v>
      </c>
      <c r="E4665" s="2">
        <v>45987</v>
      </c>
      <c r="F4665" s="1" t="s">
        <v>18</v>
      </c>
      <c r="G4665" s="1" t="s">
        <v>5243</v>
      </c>
      <c r="H4665" s="1" t="s">
        <v>5243</v>
      </c>
      <c r="I4665" s="1">
        <v>2</v>
      </c>
      <c r="J4665" s="3">
        <v>27917</v>
      </c>
      <c r="K4665" s="3">
        <v>26639</v>
      </c>
      <c r="L4665" s="1">
        <v>0</v>
      </c>
      <c r="M4665" s="4">
        <v>0</v>
      </c>
      <c r="N4665" s="3">
        <v>1278</v>
      </c>
      <c r="O4665" s="4">
        <v>4.5999999999999999E-2</v>
      </c>
      <c r="P4665" s="1" t="s">
        <v>2721</v>
      </c>
    </row>
    <row r="4666" spans="1:16">
      <c r="A4666" s="1" t="s">
        <v>15</v>
      </c>
      <c r="B4666" s="1">
        <v>11</v>
      </c>
      <c r="C4666" s="1" t="s">
        <v>9210</v>
      </c>
      <c r="D4666" s="1" t="s">
        <v>27</v>
      </c>
      <c r="E4666" s="2">
        <v>45987</v>
      </c>
      <c r="F4666" s="1" t="s">
        <v>28</v>
      </c>
      <c r="G4666" s="1" t="s">
        <v>29</v>
      </c>
      <c r="H4666" s="1" t="s">
        <v>352</v>
      </c>
      <c r="I4666" s="1">
        <v>1</v>
      </c>
      <c r="J4666" s="3">
        <v>27033</v>
      </c>
      <c r="K4666" s="3">
        <v>25795</v>
      </c>
      <c r="L4666" s="1">
        <v>0</v>
      </c>
      <c r="M4666" s="4">
        <v>0</v>
      </c>
      <c r="N4666" s="3">
        <v>1238</v>
      </c>
      <c r="O4666" s="4">
        <v>4.5999999999999999E-2</v>
      </c>
      <c r="P4666" s="1" t="s">
        <v>2721</v>
      </c>
    </row>
    <row r="4667" spans="1:16">
      <c r="A4667" s="1" t="s">
        <v>15</v>
      </c>
      <c r="B4667" s="1">
        <v>11</v>
      </c>
      <c r="C4667" s="1" t="s">
        <v>9211</v>
      </c>
      <c r="D4667" s="1" t="s">
        <v>533</v>
      </c>
      <c r="E4667" s="2">
        <v>45987</v>
      </c>
      <c r="F4667" s="1" t="s">
        <v>534</v>
      </c>
      <c r="G4667" s="1" t="s">
        <v>535</v>
      </c>
      <c r="H4667" s="1" t="s">
        <v>536</v>
      </c>
      <c r="I4667" s="1">
        <v>1</v>
      </c>
      <c r="J4667" s="3">
        <v>19552</v>
      </c>
      <c r="K4667" s="3">
        <v>18657</v>
      </c>
      <c r="L4667" s="1">
        <v>0</v>
      </c>
      <c r="M4667" s="4">
        <v>0</v>
      </c>
      <c r="N4667" s="1">
        <v>895</v>
      </c>
      <c r="O4667" s="4">
        <v>4.5999999999999999E-2</v>
      </c>
      <c r="P4667" s="1" t="s">
        <v>2721</v>
      </c>
    </row>
    <row r="4668" spans="1:16">
      <c r="A4668" s="1" t="s">
        <v>15</v>
      </c>
      <c r="B4668" s="1">
        <v>11</v>
      </c>
      <c r="C4668" s="1" t="s">
        <v>9212</v>
      </c>
      <c r="D4668" s="1" t="s">
        <v>5136</v>
      </c>
      <c r="E4668" s="2">
        <v>45987</v>
      </c>
      <c r="F4668" s="1" t="s">
        <v>256</v>
      </c>
      <c r="G4668" s="1" t="s">
        <v>5137</v>
      </c>
      <c r="H4668" s="1" t="s">
        <v>5138</v>
      </c>
      <c r="I4668" s="1">
        <v>1</v>
      </c>
      <c r="J4668" s="3">
        <v>14401</v>
      </c>
      <c r="K4668" s="3">
        <v>13742</v>
      </c>
      <c r="L4668" s="1">
        <v>0</v>
      </c>
      <c r="M4668" s="4">
        <v>0</v>
      </c>
      <c r="N4668" s="1">
        <v>659</v>
      </c>
      <c r="O4668" s="4">
        <v>4.5999999999999999E-2</v>
      </c>
      <c r="P4668" s="1" t="s">
        <v>2721</v>
      </c>
    </row>
    <row r="4669" spans="1:16">
      <c r="A4669" s="1" t="s">
        <v>15</v>
      </c>
      <c r="B4669" s="1">
        <v>11</v>
      </c>
      <c r="C4669" s="1" t="s">
        <v>9213</v>
      </c>
      <c r="D4669" s="1" t="s">
        <v>204</v>
      </c>
      <c r="E4669" s="2">
        <v>45987</v>
      </c>
      <c r="F4669" s="1" t="s">
        <v>53</v>
      </c>
      <c r="G4669" s="1" t="s">
        <v>205</v>
      </c>
      <c r="H4669" s="1" t="s">
        <v>206</v>
      </c>
      <c r="I4669" s="1">
        <v>1</v>
      </c>
      <c r="J4669" s="3">
        <v>5318</v>
      </c>
      <c r="K4669" s="3">
        <v>5075</v>
      </c>
      <c r="L4669" s="1">
        <v>0</v>
      </c>
      <c r="M4669" s="4">
        <v>0</v>
      </c>
      <c r="N4669" s="1">
        <v>243</v>
      </c>
      <c r="O4669" s="4">
        <v>4.5999999999999999E-2</v>
      </c>
      <c r="P4669" s="1" t="s">
        <v>2721</v>
      </c>
    </row>
    <row r="4670" spans="1:16">
      <c r="A4670" s="1" t="s">
        <v>15</v>
      </c>
      <c r="B4670" s="1">
        <v>11</v>
      </c>
      <c r="C4670" s="1" t="s">
        <v>9214</v>
      </c>
      <c r="D4670" s="1" t="s">
        <v>224</v>
      </c>
      <c r="E4670" s="2">
        <v>45987</v>
      </c>
      <c r="F4670" s="1" t="s">
        <v>96</v>
      </c>
      <c r="G4670" s="1" t="s">
        <v>225</v>
      </c>
      <c r="H4670" s="1" t="s">
        <v>896</v>
      </c>
      <c r="I4670" s="1">
        <v>1</v>
      </c>
      <c r="J4670" s="3">
        <v>12571</v>
      </c>
      <c r="K4670" s="3">
        <v>11995</v>
      </c>
      <c r="L4670" s="1">
        <v>0</v>
      </c>
      <c r="M4670" s="4">
        <v>0</v>
      </c>
      <c r="N4670" s="1">
        <v>576</v>
      </c>
      <c r="O4670" s="4">
        <v>4.5999999999999999E-2</v>
      </c>
      <c r="P4670" s="1" t="s">
        <v>2721</v>
      </c>
    </row>
    <row r="4671" spans="1:16">
      <c r="A4671" s="1" t="s">
        <v>15</v>
      </c>
      <c r="B4671" s="1">
        <v>11</v>
      </c>
      <c r="C4671" s="1" t="s">
        <v>9214</v>
      </c>
      <c r="D4671" s="1" t="s">
        <v>104</v>
      </c>
      <c r="E4671" s="2">
        <v>45987</v>
      </c>
      <c r="F4671" s="1" t="s">
        <v>96</v>
      </c>
      <c r="G4671" s="1" t="s">
        <v>105</v>
      </c>
      <c r="H4671" s="1" t="s">
        <v>106</v>
      </c>
      <c r="I4671" s="1">
        <v>1</v>
      </c>
      <c r="J4671" s="3">
        <v>21614</v>
      </c>
      <c r="K4671" s="3">
        <v>20625</v>
      </c>
      <c r="L4671" s="1">
        <v>0</v>
      </c>
      <c r="M4671" s="4">
        <v>0</v>
      </c>
      <c r="N4671" s="1">
        <v>989</v>
      </c>
      <c r="O4671" s="4">
        <v>4.5999999999999999E-2</v>
      </c>
      <c r="P4671" s="1" t="s">
        <v>2721</v>
      </c>
    </row>
    <row r="4672" spans="1:16">
      <c r="A4672" s="1" t="s">
        <v>15</v>
      </c>
      <c r="B4672" s="1">
        <v>11</v>
      </c>
      <c r="C4672" s="1" t="s">
        <v>9215</v>
      </c>
      <c r="D4672" s="1" t="s">
        <v>1133</v>
      </c>
      <c r="E4672" s="2">
        <v>45987</v>
      </c>
      <c r="F4672" s="1" t="s">
        <v>347</v>
      </c>
      <c r="G4672" s="1" t="s">
        <v>1134</v>
      </c>
      <c r="H4672" s="1" t="s">
        <v>1340</v>
      </c>
      <c r="I4672" s="1">
        <v>1</v>
      </c>
      <c r="J4672" s="3">
        <v>22519</v>
      </c>
      <c r="K4672" s="3">
        <v>21488</v>
      </c>
      <c r="L4672" s="1">
        <v>0</v>
      </c>
      <c r="M4672" s="4">
        <v>0</v>
      </c>
      <c r="N4672" s="3">
        <v>1031</v>
      </c>
      <c r="O4672" s="4">
        <v>4.5999999999999999E-2</v>
      </c>
      <c r="P4672" s="1" t="s">
        <v>2721</v>
      </c>
    </row>
    <row r="4673" spans="1:16">
      <c r="A4673" s="1" t="s">
        <v>15</v>
      </c>
      <c r="B4673" s="1">
        <v>11</v>
      </c>
      <c r="C4673" s="1" t="s">
        <v>9216</v>
      </c>
      <c r="D4673" s="1" t="s">
        <v>1457</v>
      </c>
      <c r="E4673" s="2">
        <v>45987</v>
      </c>
      <c r="F4673" s="1" t="s">
        <v>347</v>
      </c>
      <c r="G4673" s="1" t="s">
        <v>1458</v>
      </c>
      <c r="H4673" s="1" t="s">
        <v>6725</v>
      </c>
      <c r="I4673" s="1">
        <v>1</v>
      </c>
      <c r="J4673" s="3">
        <v>23828</v>
      </c>
      <c r="K4673" s="3">
        <v>22737</v>
      </c>
      <c r="L4673" s="1">
        <v>0</v>
      </c>
      <c r="M4673" s="4">
        <v>0</v>
      </c>
      <c r="N4673" s="3">
        <v>1091</v>
      </c>
      <c r="O4673" s="4">
        <v>4.5999999999999999E-2</v>
      </c>
      <c r="P4673" s="1" t="s">
        <v>2721</v>
      </c>
    </row>
    <row r="4674" spans="1:16">
      <c r="A4674" s="1" t="s">
        <v>15</v>
      </c>
      <c r="B4674" s="1">
        <v>11</v>
      </c>
      <c r="C4674" s="1" t="s">
        <v>9217</v>
      </c>
      <c r="D4674" s="1" t="s">
        <v>169</v>
      </c>
      <c r="E4674" s="2">
        <v>45987</v>
      </c>
      <c r="F4674" s="1" t="s">
        <v>53</v>
      </c>
      <c r="G4674" s="1" t="s">
        <v>170</v>
      </c>
      <c r="H4674" s="1" t="s">
        <v>171</v>
      </c>
      <c r="I4674" s="1">
        <v>1</v>
      </c>
      <c r="J4674" s="3">
        <v>14332</v>
      </c>
      <c r="K4674" s="3">
        <v>13676</v>
      </c>
      <c r="L4674" s="1">
        <v>0</v>
      </c>
      <c r="M4674" s="4">
        <v>0</v>
      </c>
      <c r="N4674" s="1">
        <v>656</v>
      </c>
      <c r="O4674" s="4">
        <v>4.5999999999999999E-2</v>
      </c>
      <c r="P4674" s="1" t="s">
        <v>2721</v>
      </c>
    </row>
    <row r="4675" spans="1:16">
      <c r="A4675" s="1" t="s">
        <v>15</v>
      </c>
      <c r="B4675" s="1">
        <v>11</v>
      </c>
      <c r="C4675" s="1" t="s">
        <v>9218</v>
      </c>
      <c r="D4675" s="1" t="s">
        <v>3836</v>
      </c>
      <c r="E4675" s="2">
        <v>45987</v>
      </c>
      <c r="F4675" s="1" t="s">
        <v>1241</v>
      </c>
      <c r="G4675" s="1" t="s">
        <v>3837</v>
      </c>
      <c r="H4675" s="1" t="s">
        <v>3838</v>
      </c>
      <c r="I4675" s="1">
        <v>1</v>
      </c>
      <c r="J4675" s="3">
        <v>25067</v>
      </c>
      <c r="K4675" s="3">
        <v>23919</v>
      </c>
      <c r="L4675" s="1">
        <v>0</v>
      </c>
      <c r="M4675" s="4">
        <v>0</v>
      </c>
      <c r="N4675" s="3">
        <v>1148</v>
      </c>
      <c r="O4675" s="4">
        <v>4.5999999999999999E-2</v>
      </c>
      <c r="P4675" s="1" t="s">
        <v>2721</v>
      </c>
    </row>
    <row r="4676" spans="1:16">
      <c r="A4676" s="1" t="s">
        <v>15</v>
      </c>
      <c r="B4676" s="1">
        <v>11</v>
      </c>
      <c r="C4676" s="1" t="s">
        <v>9219</v>
      </c>
      <c r="D4676" s="1" t="s">
        <v>238</v>
      </c>
      <c r="E4676" s="2">
        <v>45987</v>
      </c>
      <c r="F4676" s="1" t="s">
        <v>239</v>
      </c>
      <c r="G4676" s="1" t="s">
        <v>240</v>
      </c>
      <c r="H4676" s="1" t="s">
        <v>241</v>
      </c>
      <c r="I4676" s="1">
        <v>1</v>
      </c>
      <c r="J4676" s="3">
        <v>11305</v>
      </c>
      <c r="K4676" s="3">
        <v>10787</v>
      </c>
      <c r="L4676" s="1">
        <v>0</v>
      </c>
      <c r="M4676" s="4">
        <v>0</v>
      </c>
      <c r="N4676" s="1">
        <v>518</v>
      </c>
      <c r="O4676" s="4">
        <v>4.5999999999999999E-2</v>
      </c>
      <c r="P4676" s="1" t="s">
        <v>2721</v>
      </c>
    </row>
    <row r="4677" spans="1:16">
      <c r="A4677" s="1" t="s">
        <v>15</v>
      </c>
      <c r="B4677" s="1">
        <v>11</v>
      </c>
      <c r="C4677" s="1" t="s">
        <v>9220</v>
      </c>
      <c r="D4677" s="1" t="s">
        <v>3541</v>
      </c>
      <c r="E4677" s="2">
        <v>45987</v>
      </c>
      <c r="F4677" s="1" t="s">
        <v>500</v>
      </c>
      <c r="G4677" s="1" t="s">
        <v>1827</v>
      </c>
      <c r="H4677" s="1" t="s">
        <v>1828</v>
      </c>
      <c r="I4677" s="1">
        <v>1</v>
      </c>
      <c r="J4677" s="3">
        <v>141099</v>
      </c>
      <c r="K4677" s="3">
        <v>134640</v>
      </c>
      <c r="L4677" s="1">
        <v>0</v>
      </c>
      <c r="M4677" s="4">
        <v>0</v>
      </c>
      <c r="N4677" s="3">
        <v>6459</v>
      </c>
      <c r="O4677" s="4">
        <v>4.5999999999999999E-2</v>
      </c>
      <c r="P4677" s="1" t="s">
        <v>2721</v>
      </c>
    </row>
    <row r="4678" spans="1:16">
      <c r="A4678" s="1" t="s">
        <v>15</v>
      </c>
      <c r="B4678" s="1">
        <v>11</v>
      </c>
      <c r="C4678" s="1" t="s">
        <v>9221</v>
      </c>
      <c r="D4678" s="1" t="s">
        <v>1261</v>
      </c>
      <c r="E4678" s="2">
        <v>45987</v>
      </c>
      <c r="F4678" s="1" t="s">
        <v>33</v>
      </c>
      <c r="G4678" s="1" t="s">
        <v>1262</v>
      </c>
      <c r="H4678" s="1" t="s">
        <v>9222</v>
      </c>
      <c r="I4678" s="1">
        <v>1</v>
      </c>
      <c r="J4678" s="3">
        <v>103871</v>
      </c>
      <c r="K4678" s="3">
        <v>99116</v>
      </c>
      <c r="L4678" s="1">
        <v>0</v>
      </c>
      <c r="M4678" s="4">
        <v>0</v>
      </c>
      <c r="N4678" s="3">
        <v>4755</v>
      </c>
      <c r="O4678" s="4">
        <v>4.5999999999999999E-2</v>
      </c>
      <c r="P4678" s="1" t="s">
        <v>2721</v>
      </c>
    </row>
    <row r="4679" spans="1:16">
      <c r="A4679" s="1" t="s">
        <v>15</v>
      </c>
      <c r="B4679" s="1">
        <v>11</v>
      </c>
      <c r="C4679" s="1" t="s">
        <v>9221</v>
      </c>
      <c r="D4679" s="1" t="s">
        <v>1261</v>
      </c>
      <c r="E4679" s="2">
        <v>45987</v>
      </c>
      <c r="F4679" s="1" t="s">
        <v>33</v>
      </c>
      <c r="G4679" s="1" t="s">
        <v>1262</v>
      </c>
      <c r="H4679" s="1" t="s">
        <v>9223</v>
      </c>
      <c r="I4679" s="1">
        <v>1</v>
      </c>
      <c r="J4679" s="3">
        <v>107512</v>
      </c>
      <c r="K4679" s="3">
        <v>102590</v>
      </c>
      <c r="L4679" s="1">
        <v>0</v>
      </c>
      <c r="M4679" s="4">
        <v>0</v>
      </c>
      <c r="N4679" s="3">
        <v>4922</v>
      </c>
      <c r="O4679" s="4">
        <v>4.5999999999999999E-2</v>
      </c>
      <c r="P4679" s="1" t="s">
        <v>2721</v>
      </c>
    </row>
    <row r="4680" spans="1:16">
      <c r="A4680" s="1" t="s">
        <v>15</v>
      </c>
      <c r="B4680" s="1">
        <v>11</v>
      </c>
      <c r="C4680" s="1" t="s">
        <v>9224</v>
      </c>
      <c r="D4680" s="1" t="s">
        <v>7087</v>
      </c>
      <c r="E4680" s="2">
        <v>45987</v>
      </c>
      <c r="F4680" s="1" t="s">
        <v>7088</v>
      </c>
      <c r="G4680" s="1" t="s">
        <v>7089</v>
      </c>
      <c r="H4680" s="1" t="s">
        <v>8216</v>
      </c>
      <c r="I4680" s="1">
        <v>1</v>
      </c>
      <c r="J4680" s="3">
        <v>15237</v>
      </c>
      <c r="K4680" s="3">
        <v>14539</v>
      </c>
      <c r="L4680" s="1">
        <v>0</v>
      </c>
      <c r="M4680" s="4">
        <v>0</v>
      </c>
      <c r="N4680" s="1">
        <v>698</v>
      </c>
      <c r="O4680" s="4">
        <v>4.5999999999999999E-2</v>
      </c>
      <c r="P4680" s="1" t="s">
        <v>2721</v>
      </c>
    </row>
    <row r="4681" spans="1:16">
      <c r="A4681" s="1" t="s">
        <v>15</v>
      </c>
      <c r="B4681" s="1">
        <v>11</v>
      </c>
      <c r="C4681" s="1" t="s">
        <v>9225</v>
      </c>
      <c r="D4681" s="1" t="s">
        <v>3754</v>
      </c>
      <c r="E4681" s="2">
        <v>45987</v>
      </c>
      <c r="F4681" s="1" t="s">
        <v>63</v>
      </c>
      <c r="G4681" s="1" t="s">
        <v>3755</v>
      </c>
      <c r="H4681" s="1" t="s">
        <v>3789</v>
      </c>
      <c r="I4681" s="1">
        <v>2</v>
      </c>
      <c r="J4681" s="3">
        <v>9917</v>
      </c>
      <c r="K4681" s="3">
        <v>9463</v>
      </c>
      <c r="L4681" s="1">
        <v>0</v>
      </c>
      <c r="M4681" s="4">
        <v>0</v>
      </c>
      <c r="N4681" s="1">
        <v>454</v>
      </c>
      <c r="O4681" s="4">
        <v>4.5999999999999999E-2</v>
      </c>
      <c r="P4681" s="1" t="s">
        <v>2721</v>
      </c>
    </row>
    <row r="4682" spans="1:16">
      <c r="A4682" s="1" t="s">
        <v>15</v>
      </c>
      <c r="B4682" s="1">
        <v>11</v>
      </c>
      <c r="C4682" s="1" t="s">
        <v>9226</v>
      </c>
      <c r="D4682" s="1" t="s">
        <v>212</v>
      </c>
      <c r="E4682" s="2">
        <v>45987</v>
      </c>
      <c r="F4682" s="1" t="s">
        <v>213</v>
      </c>
      <c r="G4682" s="1" t="s">
        <v>214</v>
      </c>
      <c r="H4682" s="1" t="s">
        <v>215</v>
      </c>
      <c r="I4682" s="1">
        <v>1</v>
      </c>
      <c r="J4682" s="3">
        <v>16220</v>
      </c>
      <c r="K4682" s="3">
        <v>15477</v>
      </c>
      <c r="L4682" s="1">
        <v>0</v>
      </c>
      <c r="M4682" s="4">
        <v>0</v>
      </c>
      <c r="N4682" s="1">
        <v>743</v>
      </c>
      <c r="O4682" s="4">
        <v>4.5999999999999999E-2</v>
      </c>
      <c r="P4682" s="1" t="s">
        <v>2721</v>
      </c>
    </row>
    <row r="4683" spans="1:16">
      <c r="A4683" s="1" t="s">
        <v>15</v>
      </c>
      <c r="B4683" s="1">
        <v>11</v>
      </c>
      <c r="C4683" s="1" t="s">
        <v>9227</v>
      </c>
      <c r="D4683" s="1" t="s">
        <v>777</v>
      </c>
      <c r="E4683" s="2">
        <v>45987</v>
      </c>
      <c r="F4683" s="1" t="s">
        <v>256</v>
      </c>
      <c r="G4683" s="1" t="s">
        <v>778</v>
      </c>
      <c r="H4683" s="1" t="s">
        <v>779</v>
      </c>
      <c r="I4683" s="1">
        <v>1</v>
      </c>
      <c r="J4683" s="3">
        <v>11010</v>
      </c>
      <c r="K4683" s="3">
        <v>10506</v>
      </c>
      <c r="L4683" s="1">
        <v>0</v>
      </c>
      <c r="M4683" s="4">
        <v>0</v>
      </c>
      <c r="N4683" s="1">
        <v>504</v>
      </c>
      <c r="O4683" s="4">
        <v>4.5999999999999999E-2</v>
      </c>
      <c r="P4683" s="1" t="s">
        <v>2721</v>
      </c>
    </row>
    <row r="4684" spans="1:16">
      <c r="A4684" s="1" t="s">
        <v>15</v>
      </c>
      <c r="B4684" s="1">
        <v>11</v>
      </c>
      <c r="C4684" s="1" t="s">
        <v>9227</v>
      </c>
      <c r="D4684" s="1" t="s">
        <v>1375</v>
      </c>
      <c r="E4684" s="2">
        <v>45987</v>
      </c>
      <c r="F4684" s="1" t="s">
        <v>256</v>
      </c>
      <c r="G4684" s="1" t="s">
        <v>1376</v>
      </c>
      <c r="H4684" s="1" t="s">
        <v>2376</v>
      </c>
      <c r="I4684" s="1">
        <v>1</v>
      </c>
      <c r="J4684" s="3">
        <v>5161</v>
      </c>
      <c r="K4684" s="3">
        <v>4925</v>
      </c>
      <c r="L4684" s="1">
        <v>0</v>
      </c>
      <c r="M4684" s="4">
        <v>0</v>
      </c>
      <c r="N4684" s="1">
        <v>236</v>
      </c>
      <c r="O4684" s="4">
        <v>4.5999999999999999E-2</v>
      </c>
      <c r="P4684" s="1" t="s">
        <v>2721</v>
      </c>
    </row>
    <row r="4685" spans="1:16">
      <c r="A4685" s="1" t="s">
        <v>15</v>
      </c>
      <c r="B4685" s="1">
        <v>11</v>
      </c>
      <c r="C4685" s="1" t="s">
        <v>9228</v>
      </c>
      <c r="D4685" s="1" t="s">
        <v>32</v>
      </c>
      <c r="E4685" s="2">
        <v>45987</v>
      </c>
      <c r="F4685" s="1" t="s">
        <v>33</v>
      </c>
      <c r="G4685" s="1" t="s">
        <v>34</v>
      </c>
      <c r="H4685" s="1" t="s">
        <v>9229</v>
      </c>
      <c r="I4685" s="1">
        <v>1</v>
      </c>
      <c r="J4685" s="3">
        <v>76290</v>
      </c>
      <c r="K4685" s="3">
        <v>72797</v>
      </c>
      <c r="L4685" s="1">
        <v>0</v>
      </c>
      <c r="M4685" s="4">
        <v>0</v>
      </c>
      <c r="N4685" s="3">
        <v>3493</v>
      </c>
      <c r="O4685" s="4">
        <v>4.5999999999999999E-2</v>
      </c>
      <c r="P4685" s="1" t="s">
        <v>2721</v>
      </c>
    </row>
    <row r="4686" spans="1:16">
      <c r="A4686" s="1" t="s">
        <v>15</v>
      </c>
      <c r="B4686" s="1">
        <v>11</v>
      </c>
      <c r="C4686" s="1" t="s">
        <v>9230</v>
      </c>
      <c r="D4686" s="1" t="s">
        <v>132</v>
      </c>
      <c r="E4686" s="2">
        <v>45987</v>
      </c>
      <c r="F4686" s="1" t="s">
        <v>53</v>
      </c>
      <c r="G4686" s="1" t="s">
        <v>133</v>
      </c>
      <c r="H4686" s="1" t="s">
        <v>88</v>
      </c>
      <c r="I4686" s="1">
        <v>1</v>
      </c>
      <c r="J4686" s="3">
        <v>17036</v>
      </c>
      <c r="K4686" s="3">
        <v>16256</v>
      </c>
      <c r="L4686" s="1">
        <v>0</v>
      </c>
      <c r="M4686" s="4">
        <v>0</v>
      </c>
      <c r="N4686" s="1">
        <v>780</v>
      </c>
      <c r="O4686" s="4">
        <v>4.5999999999999999E-2</v>
      </c>
      <c r="P4686" s="1" t="s">
        <v>2721</v>
      </c>
    </row>
    <row r="4687" spans="1:16">
      <c r="A4687" s="1" t="s">
        <v>15</v>
      </c>
      <c r="B4687" s="1">
        <v>11</v>
      </c>
      <c r="C4687" s="1" t="s">
        <v>9231</v>
      </c>
      <c r="D4687" s="1" t="s">
        <v>903</v>
      </c>
      <c r="E4687" s="2">
        <v>45987</v>
      </c>
      <c r="F4687" s="1" t="s">
        <v>23</v>
      </c>
      <c r="G4687" s="1" t="s">
        <v>587</v>
      </c>
      <c r="H4687" s="1" t="s">
        <v>588</v>
      </c>
      <c r="I4687" s="1">
        <v>1</v>
      </c>
      <c r="J4687" s="3">
        <v>13762</v>
      </c>
      <c r="K4687" s="3">
        <v>13132</v>
      </c>
      <c r="L4687" s="1">
        <v>0</v>
      </c>
      <c r="M4687" s="4">
        <v>0</v>
      </c>
      <c r="N4687" s="1">
        <v>630</v>
      </c>
      <c r="O4687" s="4">
        <v>4.5999999999999999E-2</v>
      </c>
      <c r="P4687" s="1" t="s">
        <v>2721</v>
      </c>
    </row>
    <row r="4688" spans="1:16">
      <c r="A4688" s="1" t="s">
        <v>15</v>
      </c>
      <c r="B4688" s="1">
        <v>11</v>
      </c>
      <c r="C4688" s="1" t="s">
        <v>9232</v>
      </c>
      <c r="D4688" s="1" t="s">
        <v>1254</v>
      </c>
      <c r="E4688" s="2">
        <v>45987</v>
      </c>
      <c r="F4688" s="1" t="s">
        <v>1255</v>
      </c>
      <c r="G4688" s="1" t="s">
        <v>1256</v>
      </c>
      <c r="H4688" s="1" t="s">
        <v>1257</v>
      </c>
      <c r="I4688" s="1">
        <v>1</v>
      </c>
      <c r="J4688" s="3">
        <v>20545</v>
      </c>
      <c r="K4688" s="3">
        <v>19604</v>
      </c>
      <c r="L4688" s="1">
        <v>0</v>
      </c>
      <c r="M4688" s="4">
        <v>0</v>
      </c>
      <c r="N4688" s="1">
        <v>941</v>
      </c>
      <c r="O4688" s="4">
        <v>4.5999999999999999E-2</v>
      </c>
      <c r="P4688" s="1" t="s">
        <v>2721</v>
      </c>
    </row>
    <row r="4689" spans="1:16">
      <c r="A4689" s="1" t="s">
        <v>15</v>
      </c>
      <c r="B4689" s="1">
        <v>11</v>
      </c>
      <c r="C4689" s="1" t="s">
        <v>9233</v>
      </c>
      <c r="D4689" s="1" t="s">
        <v>1105</v>
      </c>
      <c r="E4689" s="2">
        <v>45987</v>
      </c>
      <c r="F4689" s="1" t="s">
        <v>1106</v>
      </c>
      <c r="G4689" s="1" t="s">
        <v>1107</v>
      </c>
      <c r="H4689" s="1" t="s">
        <v>9234</v>
      </c>
      <c r="I4689" s="1">
        <v>1</v>
      </c>
      <c r="J4689" s="3">
        <v>10471</v>
      </c>
      <c r="K4689" s="3">
        <v>9992</v>
      </c>
      <c r="L4689" s="1">
        <v>0</v>
      </c>
      <c r="M4689" s="4">
        <v>0</v>
      </c>
      <c r="N4689" s="1">
        <v>479</v>
      </c>
      <c r="O4689" s="4">
        <v>4.5999999999999999E-2</v>
      </c>
      <c r="P4689" s="1" t="s">
        <v>2721</v>
      </c>
    </row>
    <row r="4690" spans="1:16">
      <c r="A4690" s="1" t="s">
        <v>15</v>
      </c>
      <c r="B4690" s="1">
        <v>11</v>
      </c>
      <c r="C4690" s="1" t="s">
        <v>9235</v>
      </c>
      <c r="D4690" s="1" t="s">
        <v>9236</v>
      </c>
      <c r="E4690" s="2">
        <v>45987</v>
      </c>
      <c r="F4690" s="1" t="s">
        <v>914</v>
      </c>
      <c r="G4690" s="1" t="s">
        <v>9237</v>
      </c>
      <c r="H4690" s="1" t="s">
        <v>9238</v>
      </c>
      <c r="I4690" s="1">
        <v>2</v>
      </c>
      <c r="J4690" s="3">
        <v>17124</v>
      </c>
      <c r="K4690" s="3">
        <v>16340</v>
      </c>
      <c r="L4690" s="1">
        <v>0</v>
      </c>
      <c r="M4690" s="4">
        <v>0</v>
      </c>
      <c r="N4690" s="1">
        <v>784</v>
      </c>
      <c r="O4690" s="4">
        <v>4.5999999999999999E-2</v>
      </c>
      <c r="P4690" s="1" t="s">
        <v>2721</v>
      </c>
    </row>
    <row r="4691" spans="1:16">
      <c r="A4691" s="1" t="s">
        <v>15</v>
      </c>
      <c r="B4691" s="1">
        <v>11</v>
      </c>
      <c r="C4691" s="1" t="s">
        <v>9235</v>
      </c>
      <c r="D4691" s="1" t="s">
        <v>9239</v>
      </c>
      <c r="E4691" s="2">
        <v>45987</v>
      </c>
      <c r="F4691" s="1" t="s">
        <v>914</v>
      </c>
      <c r="G4691" s="1" t="s">
        <v>9240</v>
      </c>
      <c r="H4691" s="1" t="s">
        <v>9241</v>
      </c>
      <c r="I4691" s="1">
        <v>1</v>
      </c>
      <c r="J4691" s="3">
        <v>20321</v>
      </c>
      <c r="K4691" s="3">
        <v>19390</v>
      </c>
      <c r="L4691" s="1">
        <v>0</v>
      </c>
      <c r="M4691" s="4">
        <v>0</v>
      </c>
      <c r="N4691" s="1">
        <v>931</v>
      </c>
      <c r="O4691" s="4">
        <v>4.5999999999999999E-2</v>
      </c>
      <c r="P4691" s="1" t="s">
        <v>2721</v>
      </c>
    </row>
    <row r="4692" spans="1:16">
      <c r="A4692" s="1" t="s">
        <v>15</v>
      </c>
      <c r="B4692" s="1">
        <v>11</v>
      </c>
      <c r="C4692" s="1" t="s">
        <v>9242</v>
      </c>
      <c r="D4692" s="1" t="s">
        <v>287</v>
      </c>
      <c r="E4692" s="2">
        <v>45987</v>
      </c>
      <c r="F4692" s="1" t="s">
        <v>235</v>
      </c>
      <c r="G4692" s="1" t="s">
        <v>288</v>
      </c>
      <c r="H4692" s="1" t="s">
        <v>8491</v>
      </c>
      <c r="I4692" s="1">
        <v>1</v>
      </c>
      <c r="J4692" s="3">
        <v>14647</v>
      </c>
      <c r="K4692" s="3">
        <v>13976</v>
      </c>
      <c r="L4692" s="1">
        <v>0</v>
      </c>
      <c r="M4692" s="4">
        <v>0</v>
      </c>
      <c r="N4692" s="1">
        <v>671</v>
      </c>
      <c r="O4692" s="4">
        <v>4.5999999999999999E-2</v>
      </c>
      <c r="P4692" s="1" t="s">
        <v>2721</v>
      </c>
    </row>
    <row r="4693" spans="1:16">
      <c r="A4693" s="1" t="s">
        <v>15</v>
      </c>
      <c r="B4693" s="1">
        <v>11</v>
      </c>
      <c r="C4693" s="1" t="s">
        <v>9243</v>
      </c>
      <c r="D4693" s="1" t="s">
        <v>1389</v>
      </c>
      <c r="E4693" s="2">
        <v>45987</v>
      </c>
      <c r="F4693" s="1" t="s">
        <v>96</v>
      </c>
      <c r="G4693" s="1" t="s">
        <v>1390</v>
      </c>
      <c r="H4693" s="1" t="s">
        <v>9011</v>
      </c>
      <c r="I4693" s="1">
        <v>1</v>
      </c>
      <c r="J4693" s="3">
        <v>10518</v>
      </c>
      <c r="K4693" s="3">
        <v>10037</v>
      </c>
      <c r="L4693" s="1">
        <v>0</v>
      </c>
      <c r="M4693" s="4">
        <v>0</v>
      </c>
      <c r="N4693" s="1">
        <v>481</v>
      </c>
      <c r="O4693" s="4">
        <v>4.5999999999999999E-2</v>
      </c>
      <c r="P4693" s="1" t="s">
        <v>2721</v>
      </c>
    </row>
    <row r="4694" spans="1:16">
      <c r="A4694" s="1" t="s">
        <v>15</v>
      </c>
      <c r="B4694" s="1">
        <v>11</v>
      </c>
      <c r="C4694" s="1" t="s">
        <v>9244</v>
      </c>
      <c r="D4694" s="1" t="s">
        <v>482</v>
      </c>
      <c r="E4694" s="2">
        <v>45987</v>
      </c>
      <c r="F4694" s="1" t="s">
        <v>483</v>
      </c>
      <c r="G4694" s="1" t="s">
        <v>484</v>
      </c>
      <c r="H4694" s="1" t="s">
        <v>485</v>
      </c>
      <c r="I4694" s="1">
        <v>1</v>
      </c>
      <c r="J4694" s="3">
        <v>16501</v>
      </c>
      <c r="K4694" s="3">
        <v>15745</v>
      </c>
      <c r="L4694" s="1">
        <v>0</v>
      </c>
      <c r="M4694" s="4">
        <v>0</v>
      </c>
      <c r="N4694" s="1">
        <v>756</v>
      </c>
      <c r="O4694" s="4">
        <v>4.5999999999999999E-2</v>
      </c>
      <c r="P4694" s="1" t="s">
        <v>2721</v>
      </c>
    </row>
    <row r="4695" spans="1:16">
      <c r="A4695" s="1" t="s">
        <v>15</v>
      </c>
      <c r="B4695" s="1">
        <v>11</v>
      </c>
      <c r="C4695" s="1" t="s">
        <v>9245</v>
      </c>
      <c r="D4695" s="1" t="s">
        <v>1133</v>
      </c>
      <c r="E4695" s="2">
        <v>45987</v>
      </c>
      <c r="F4695" s="1" t="s">
        <v>347</v>
      </c>
      <c r="G4695" s="1" t="s">
        <v>1134</v>
      </c>
      <c r="H4695" s="1" t="s">
        <v>1135</v>
      </c>
      <c r="I4695" s="1">
        <v>1</v>
      </c>
      <c r="J4695" s="3">
        <v>22790</v>
      </c>
      <c r="K4695" s="3">
        <v>21747</v>
      </c>
      <c r="L4695" s="1">
        <v>0</v>
      </c>
      <c r="M4695" s="4">
        <v>0</v>
      </c>
      <c r="N4695" s="3">
        <v>1043</v>
      </c>
      <c r="O4695" s="4">
        <v>4.5999999999999999E-2</v>
      </c>
      <c r="P4695" s="1" t="s">
        <v>2721</v>
      </c>
    </row>
    <row r="4696" spans="1:16">
      <c r="A4696" s="1" t="s">
        <v>15</v>
      </c>
      <c r="B4696" s="1">
        <v>11</v>
      </c>
      <c r="C4696" s="1" t="s">
        <v>9245</v>
      </c>
      <c r="D4696" s="1" t="s">
        <v>887</v>
      </c>
      <c r="E4696" s="2">
        <v>45987</v>
      </c>
      <c r="F4696" s="1" t="s">
        <v>53</v>
      </c>
      <c r="G4696" s="1" t="s">
        <v>888</v>
      </c>
      <c r="H4696" s="1" t="s">
        <v>2436</v>
      </c>
      <c r="I4696" s="1">
        <v>1</v>
      </c>
      <c r="J4696" s="3">
        <v>20553</v>
      </c>
      <c r="K4696" s="3">
        <v>19612</v>
      </c>
      <c r="L4696" s="1">
        <v>0</v>
      </c>
      <c r="M4696" s="4">
        <v>0</v>
      </c>
      <c r="N4696" s="1">
        <v>941</v>
      </c>
      <c r="O4696" s="4">
        <v>4.5999999999999999E-2</v>
      </c>
      <c r="P4696" s="1" t="s">
        <v>2721</v>
      </c>
    </row>
    <row r="4697" spans="1:16">
      <c r="A4697" s="1" t="s">
        <v>15</v>
      </c>
      <c r="B4697" s="1">
        <v>11</v>
      </c>
      <c r="C4697" s="1" t="s">
        <v>9246</v>
      </c>
      <c r="D4697" s="1" t="s">
        <v>311</v>
      </c>
      <c r="E4697" s="2">
        <v>45987</v>
      </c>
      <c r="F4697" s="1" t="s">
        <v>312</v>
      </c>
      <c r="G4697" s="1" t="s">
        <v>313</v>
      </c>
      <c r="H4697" s="1" t="s">
        <v>314</v>
      </c>
      <c r="I4697" s="1">
        <v>1</v>
      </c>
      <c r="J4697" s="3">
        <v>28310</v>
      </c>
      <c r="K4697" s="3">
        <v>27014</v>
      </c>
      <c r="L4697" s="1">
        <v>0</v>
      </c>
      <c r="M4697" s="4">
        <v>0</v>
      </c>
      <c r="N4697" s="3">
        <v>1296</v>
      </c>
      <c r="O4697" s="4">
        <v>4.5999999999999999E-2</v>
      </c>
      <c r="P4697" s="1" t="s">
        <v>2721</v>
      </c>
    </row>
    <row r="4698" spans="1:16">
      <c r="A4698" s="1" t="s">
        <v>15</v>
      </c>
      <c r="B4698" s="1">
        <v>11</v>
      </c>
      <c r="C4698" s="1" t="s">
        <v>9247</v>
      </c>
      <c r="D4698" s="1" t="s">
        <v>125</v>
      </c>
      <c r="E4698" s="2">
        <v>45987</v>
      </c>
      <c r="F4698" s="1" t="s">
        <v>126</v>
      </c>
      <c r="G4698" s="1" t="s">
        <v>127</v>
      </c>
      <c r="H4698" s="1" t="s">
        <v>128</v>
      </c>
      <c r="I4698" s="1">
        <v>1</v>
      </c>
      <c r="J4698" s="3">
        <v>13959</v>
      </c>
      <c r="K4698" s="3">
        <v>13320</v>
      </c>
      <c r="L4698" s="1">
        <v>0</v>
      </c>
      <c r="M4698" s="4">
        <v>0</v>
      </c>
      <c r="N4698" s="1">
        <v>639</v>
      </c>
      <c r="O4698" s="4">
        <v>4.5999999999999999E-2</v>
      </c>
      <c r="P4698" s="1" t="s">
        <v>2721</v>
      </c>
    </row>
    <row r="4699" spans="1:16">
      <c r="A4699" s="1" t="s">
        <v>15</v>
      </c>
      <c r="B4699" s="1">
        <v>11</v>
      </c>
      <c r="C4699" s="1" t="s">
        <v>9248</v>
      </c>
      <c r="D4699" s="1" t="s">
        <v>1490</v>
      </c>
      <c r="E4699" s="2">
        <v>45987</v>
      </c>
      <c r="F4699" s="1" t="s">
        <v>187</v>
      </c>
      <c r="G4699" s="1" t="s">
        <v>1491</v>
      </c>
      <c r="H4699" s="1" t="s">
        <v>9249</v>
      </c>
      <c r="I4699" s="1">
        <v>1</v>
      </c>
      <c r="J4699" s="3">
        <v>44235</v>
      </c>
      <c r="K4699" s="3">
        <v>42210</v>
      </c>
      <c r="L4699" s="1">
        <v>0</v>
      </c>
      <c r="M4699" s="4">
        <v>0</v>
      </c>
      <c r="N4699" s="3">
        <v>2025</v>
      </c>
      <c r="O4699" s="4">
        <v>4.5999999999999999E-2</v>
      </c>
      <c r="P4699" s="1" t="s">
        <v>2721</v>
      </c>
    </row>
    <row r="4700" spans="1:16">
      <c r="A4700" s="1" t="s">
        <v>15</v>
      </c>
      <c r="B4700" s="1">
        <v>11</v>
      </c>
      <c r="C4700" s="1" t="s">
        <v>9250</v>
      </c>
      <c r="D4700" s="1" t="s">
        <v>1184</v>
      </c>
      <c r="E4700" s="2">
        <v>45987</v>
      </c>
      <c r="F4700" s="1" t="s">
        <v>524</v>
      </c>
      <c r="G4700" s="1" t="s">
        <v>1185</v>
      </c>
      <c r="H4700" s="1" t="s">
        <v>1186</v>
      </c>
      <c r="I4700" s="1">
        <v>1</v>
      </c>
      <c r="J4700" s="3">
        <v>19912</v>
      </c>
      <c r="K4700" s="3">
        <v>19000</v>
      </c>
      <c r="L4700" s="1">
        <v>0</v>
      </c>
      <c r="M4700" s="4">
        <v>0</v>
      </c>
      <c r="N4700" s="1">
        <v>912</v>
      </c>
      <c r="O4700" s="4">
        <v>4.5999999999999999E-2</v>
      </c>
      <c r="P4700" s="1" t="s">
        <v>2721</v>
      </c>
    </row>
    <row r="4701" spans="1:16">
      <c r="A4701" s="1" t="s">
        <v>15</v>
      </c>
      <c r="B4701" s="1">
        <v>11</v>
      </c>
      <c r="C4701" s="1" t="s">
        <v>9251</v>
      </c>
      <c r="D4701" s="1" t="s">
        <v>390</v>
      </c>
      <c r="E4701" s="2">
        <v>45987</v>
      </c>
      <c r="F4701" s="1" t="s">
        <v>256</v>
      </c>
      <c r="G4701" s="1" t="s">
        <v>391</v>
      </c>
      <c r="H4701" s="1" t="s">
        <v>1307</v>
      </c>
      <c r="I4701" s="1">
        <v>1</v>
      </c>
      <c r="J4701" s="3">
        <v>23395</v>
      </c>
      <c r="K4701" s="3">
        <v>22324</v>
      </c>
      <c r="L4701" s="1">
        <v>0</v>
      </c>
      <c r="M4701" s="4">
        <v>0</v>
      </c>
      <c r="N4701" s="3">
        <v>1071</v>
      </c>
      <c r="O4701" s="4">
        <v>4.5999999999999999E-2</v>
      </c>
      <c r="P4701" s="1" t="s">
        <v>2721</v>
      </c>
    </row>
    <row r="4702" spans="1:16">
      <c r="A4702" s="1" t="s">
        <v>15</v>
      </c>
      <c r="B4702" s="1">
        <v>11</v>
      </c>
      <c r="C4702" s="1" t="s">
        <v>9252</v>
      </c>
      <c r="D4702" s="1" t="s">
        <v>5092</v>
      </c>
      <c r="E4702" s="2">
        <v>45987</v>
      </c>
      <c r="F4702" s="1" t="s">
        <v>347</v>
      </c>
      <c r="G4702" s="1" t="s">
        <v>5093</v>
      </c>
      <c r="H4702" s="1" t="s">
        <v>9253</v>
      </c>
      <c r="I4702" s="1">
        <v>1</v>
      </c>
      <c r="J4702" s="3">
        <v>29490</v>
      </c>
      <c r="K4702" s="3">
        <v>28140</v>
      </c>
      <c r="L4702" s="1">
        <v>0</v>
      </c>
      <c r="M4702" s="4">
        <v>0</v>
      </c>
      <c r="N4702" s="3">
        <v>1350</v>
      </c>
      <c r="O4702" s="4">
        <v>4.5999999999999999E-2</v>
      </c>
      <c r="P4702" s="1" t="s">
        <v>2721</v>
      </c>
    </row>
    <row r="4703" spans="1:16">
      <c r="A4703" s="1" t="s">
        <v>15</v>
      </c>
      <c r="B4703" s="1">
        <v>11</v>
      </c>
      <c r="C4703" s="1" t="s">
        <v>9254</v>
      </c>
      <c r="D4703" s="1" t="s">
        <v>797</v>
      </c>
      <c r="E4703" s="2">
        <v>45987</v>
      </c>
      <c r="F4703" s="1" t="s">
        <v>798</v>
      </c>
      <c r="G4703" s="1" t="s">
        <v>799</v>
      </c>
      <c r="H4703" s="1" t="s">
        <v>1331</v>
      </c>
      <c r="I4703" s="1">
        <v>1</v>
      </c>
      <c r="J4703" s="3">
        <v>13271</v>
      </c>
      <c r="K4703" s="3">
        <v>12663</v>
      </c>
      <c r="L4703" s="1">
        <v>0</v>
      </c>
      <c r="M4703" s="4">
        <v>0</v>
      </c>
      <c r="N4703" s="1">
        <v>608</v>
      </c>
      <c r="O4703" s="4">
        <v>4.5999999999999999E-2</v>
      </c>
      <c r="P4703" s="1" t="s">
        <v>2721</v>
      </c>
    </row>
    <row r="4704" spans="1:16">
      <c r="A4704" s="1" t="s">
        <v>15</v>
      </c>
      <c r="B4704" s="1">
        <v>11</v>
      </c>
      <c r="C4704" s="1" t="s">
        <v>9255</v>
      </c>
      <c r="D4704" s="1" t="s">
        <v>27</v>
      </c>
      <c r="E4704" s="2">
        <v>45987</v>
      </c>
      <c r="F4704" s="1" t="s">
        <v>28</v>
      </c>
      <c r="G4704" s="1" t="s">
        <v>29</v>
      </c>
      <c r="H4704" s="1" t="s">
        <v>352</v>
      </c>
      <c r="I4704" s="1">
        <v>1</v>
      </c>
      <c r="J4704" s="3">
        <v>27033</v>
      </c>
      <c r="K4704" s="3">
        <v>25795</v>
      </c>
      <c r="L4704" s="1">
        <v>0</v>
      </c>
      <c r="M4704" s="4">
        <v>0</v>
      </c>
      <c r="N4704" s="3">
        <v>1238</v>
      </c>
      <c r="O4704" s="4">
        <v>4.5999999999999999E-2</v>
      </c>
      <c r="P4704" s="1" t="s">
        <v>2721</v>
      </c>
    </row>
    <row r="4705" spans="1:16">
      <c r="A4705" s="1" t="s">
        <v>15</v>
      </c>
      <c r="B4705" s="1">
        <v>11</v>
      </c>
      <c r="C4705" s="1" t="s">
        <v>9256</v>
      </c>
      <c r="D4705" s="1" t="s">
        <v>5092</v>
      </c>
      <c r="E4705" s="2">
        <v>45987</v>
      </c>
      <c r="F4705" s="1" t="s">
        <v>347</v>
      </c>
      <c r="G4705" s="1" t="s">
        <v>5093</v>
      </c>
      <c r="H4705" s="1" t="s">
        <v>9253</v>
      </c>
      <c r="I4705" s="1">
        <v>1</v>
      </c>
      <c r="J4705" s="3">
        <v>29490</v>
      </c>
      <c r="K4705" s="3">
        <v>28140</v>
      </c>
      <c r="L4705" s="1">
        <v>0</v>
      </c>
      <c r="M4705" s="4">
        <v>0</v>
      </c>
      <c r="N4705" s="3">
        <v>1350</v>
      </c>
      <c r="O4705" s="4">
        <v>4.5999999999999999E-2</v>
      </c>
      <c r="P4705" s="1" t="s">
        <v>2721</v>
      </c>
    </row>
    <row r="4706" spans="1:16">
      <c r="A4706" s="1" t="s">
        <v>15</v>
      </c>
      <c r="B4706" s="1">
        <v>11</v>
      </c>
      <c r="C4706" s="1" t="s">
        <v>9257</v>
      </c>
      <c r="D4706" s="1" t="s">
        <v>386</v>
      </c>
      <c r="E4706" s="2">
        <v>45987</v>
      </c>
      <c r="F4706" s="1" t="s">
        <v>368</v>
      </c>
      <c r="G4706" s="1" t="s">
        <v>387</v>
      </c>
      <c r="H4706" s="1" t="s">
        <v>388</v>
      </c>
      <c r="I4706" s="1">
        <v>1</v>
      </c>
      <c r="J4706" s="3">
        <v>8953</v>
      </c>
      <c r="K4706" s="3">
        <v>8543</v>
      </c>
      <c r="L4706" s="1">
        <v>0</v>
      </c>
      <c r="M4706" s="4">
        <v>0</v>
      </c>
      <c r="N4706" s="1">
        <v>410</v>
      </c>
      <c r="O4706" s="4">
        <v>4.5999999999999999E-2</v>
      </c>
      <c r="P4706" s="1" t="s">
        <v>2721</v>
      </c>
    </row>
    <row r="4707" spans="1:16">
      <c r="A4707" s="1" t="s">
        <v>15</v>
      </c>
      <c r="B4707" s="1">
        <v>11</v>
      </c>
      <c r="C4707" s="1" t="s">
        <v>9258</v>
      </c>
      <c r="D4707" s="1" t="s">
        <v>899</v>
      </c>
      <c r="E4707" s="2">
        <v>45987</v>
      </c>
      <c r="F4707" s="1" t="s">
        <v>500</v>
      </c>
      <c r="G4707" s="1" t="s">
        <v>900</v>
      </c>
      <c r="H4707" s="1" t="s">
        <v>1678</v>
      </c>
      <c r="I4707" s="1">
        <v>1</v>
      </c>
      <c r="J4707" s="3">
        <v>102702</v>
      </c>
      <c r="K4707" s="3">
        <v>98000</v>
      </c>
      <c r="L4707" s="1">
        <v>0</v>
      </c>
      <c r="M4707" s="4">
        <v>0</v>
      </c>
      <c r="N4707" s="3">
        <v>4702</v>
      </c>
      <c r="O4707" s="4">
        <v>4.5999999999999999E-2</v>
      </c>
      <c r="P4707" s="1" t="s">
        <v>2721</v>
      </c>
    </row>
    <row r="4708" spans="1:16">
      <c r="A4708" s="1" t="s">
        <v>15</v>
      </c>
      <c r="B4708" s="1">
        <v>11</v>
      </c>
      <c r="C4708" s="1" t="s">
        <v>9259</v>
      </c>
      <c r="D4708" s="1" t="s">
        <v>3649</v>
      </c>
      <c r="E4708" s="2">
        <v>45987</v>
      </c>
      <c r="F4708" s="1" t="s">
        <v>53</v>
      </c>
      <c r="G4708" s="1" t="s">
        <v>3650</v>
      </c>
      <c r="H4708" s="1" t="s">
        <v>3651</v>
      </c>
      <c r="I4708" s="1">
        <v>1</v>
      </c>
      <c r="J4708" s="3">
        <v>13431</v>
      </c>
      <c r="K4708" s="3">
        <v>12816</v>
      </c>
      <c r="L4708" s="1">
        <v>0</v>
      </c>
      <c r="M4708" s="4">
        <v>0</v>
      </c>
      <c r="N4708" s="1">
        <v>615</v>
      </c>
      <c r="O4708" s="4">
        <v>4.5999999999999999E-2</v>
      </c>
      <c r="P4708" s="1" t="s">
        <v>2721</v>
      </c>
    </row>
    <row r="4709" spans="1:16">
      <c r="A4709" s="1" t="s">
        <v>15</v>
      </c>
      <c r="B4709" s="1">
        <v>11</v>
      </c>
      <c r="C4709" s="1" t="s">
        <v>9260</v>
      </c>
      <c r="D4709" s="1" t="s">
        <v>169</v>
      </c>
      <c r="E4709" s="2">
        <v>45987</v>
      </c>
      <c r="F4709" s="1" t="s">
        <v>53</v>
      </c>
      <c r="G4709" s="1" t="s">
        <v>170</v>
      </c>
      <c r="H4709" s="1" t="s">
        <v>171</v>
      </c>
      <c r="I4709" s="1">
        <v>1</v>
      </c>
      <c r="J4709" s="3">
        <v>14332</v>
      </c>
      <c r="K4709" s="3">
        <v>13676</v>
      </c>
      <c r="L4709" s="1">
        <v>0</v>
      </c>
      <c r="M4709" s="4">
        <v>0</v>
      </c>
      <c r="N4709" s="1">
        <v>656</v>
      </c>
      <c r="O4709" s="4">
        <v>4.5999999999999999E-2</v>
      </c>
      <c r="P4709" s="1" t="s">
        <v>2721</v>
      </c>
    </row>
    <row r="4710" spans="1:16">
      <c r="A4710" s="1" t="s">
        <v>15</v>
      </c>
      <c r="B4710" s="1">
        <v>11</v>
      </c>
      <c r="C4710" s="1" t="s">
        <v>9261</v>
      </c>
      <c r="D4710" s="1" t="s">
        <v>9262</v>
      </c>
      <c r="E4710" s="2">
        <v>45987</v>
      </c>
      <c r="F4710" s="1" t="s">
        <v>4673</v>
      </c>
      <c r="G4710" s="1" t="s">
        <v>9263</v>
      </c>
      <c r="H4710" s="1" t="s">
        <v>9264</v>
      </c>
      <c r="I4710" s="1">
        <v>1</v>
      </c>
      <c r="J4710" s="3">
        <v>24575</v>
      </c>
      <c r="K4710" s="3">
        <v>23450</v>
      </c>
      <c r="L4710" s="1">
        <v>0</v>
      </c>
      <c r="M4710" s="4">
        <v>0</v>
      </c>
      <c r="N4710" s="3">
        <v>1125</v>
      </c>
      <c r="O4710" s="4">
        <v>4.5999999999999999E-2</v>
      </c>
      <c r="P4710" s="1" t="s">
        <v>2721</v>
      </c>
    </row>
    <row r="4711" spans="1:16">
      <c r="A4711" s="1" t="s">
        <v>15</v>
      </c>
      <c r="B4711" s="1">
        <v>11</v>
      </c>
      <c r="C4711" s="1" t="s">
        <v>9265</v>
      </c>
      <c r="D4711" s="1" t="s">
        <v>221</v>
      </c>
      <c r="E4711" s="2">
        <v>45987</v>
      </c>
      <c r="F4711" s="1" t="s">
        <v>96</v>
      </c>
      <c r="G4711" s="1" t="s">
        <v>222</v>
      </c>
      <c r="H4711" s="1" t="s">
        <v>5793</v>
      </c>
      <c r="I4711" s="1">
        <v>1</v>
      </c>
      <c r="J4711" s="3">
        <v>12571</v>
      </c>
      <c r="K4711" s="3">
        <v>11995</v>
      </c>
      <c r="L4711" s="1">
        <v>0</v>
      </c>
      <c r="M4711" s="4">
        <v>0</v>
      </c>
      <c r="N4711" s="1">
        <v>576</v>
      </c>
      <c r="O4711" s="4">
        <v>4.5999999999999999E-2</v>
      </c>
      <c r="P4711" s="1" t="s">
        <v>2721</v>
      </c>
    </row>
    <row r="4712" spans="1:16">
      <c r="A4712" s="1" t="s">
        <v>15</v>
      </c>
      <c r="B4712" s="1">
        <v>11</v>
      </c>
      <c r="C4712" s="1" t="s">
        <v>9266</v>
      </c>
      <c r="D4712" s="1" t="s">
        <v>72</v>
      </c>
      <c r="E4712" s="2">
        <v>45987</v>
      </c>
      <c r="F4712" s="1" t="s">
        <v>63</v>
      </c>
      <c r="G4712" s="1" t="s">
        <v>73</v>
      </c>
      <c r="H4712" s="1" t="s">
        <v>74</v>
      </c>
      <c r="I4712" s="1">
        <v>1</v>
      </c>
      <c r="J4712" s="3">
        <v>10456</v>
      </c>
      <c r="K4712" s="3">
        <v>9978</v>
      </c>
      <c r="L4712" s="1">
        <v>0</v>
      </c>
      <c r="M4712" s="4">
        <v>0</v>
      </c>
      <c r="N4712" s="1">
        <v>478</v>
      </c>
      <c r="O4712" s="4">
        <v>4.5999999999999999E-2</v>
      </c>
      <c r="P4712" s="1" t="s">
        <v>2721</v>
      </c>
    </row>
    <row r="4713" spans="1:16">
      <c r="A4713" s="1" t="s">
        <v>15</v>
      </c>
      <c r="B4713" s="1">
        <v>11</v>
      </c>
      <c r="C4713" s="1" t="s">
        <v>9267</v>
      </c>
      <c r="D4713" s="1" t="s">
        <v>1346</v>
      </c>
      <c r="E4713" s="2">
        <v>45987</v>
      </c>
      <c r="F4713" s="1" t="s">
        <v>317</v>
      </c>
      <c r="G4713" s="1" t="s">
        <v>1347</v>
      </c>
      <c r="H4713" s="1" t="s">
        <v>3848</v>
      </c>
      <c r="I4713" s="1">
        <v>1</v>
      </c>
      <c r="J4713" s="3">
        <v>29982</v>
      </c>
      <c r="K4713" s="3">
        <v>28609</v>
      </c>
      <c r="L4713" s="1">
        <v>0</v>
      </c>
      <c r="M4713" s="4">
        <v>0</v>
      </c>
      <c r="N4713" s="3">
        <v>1373</v>
      </c>
      <c r="O4713" s="4">
        <v>4.5999999999999999E-2</v>
      </c>
      <c r="P4713" s="1" t="s">
        <v>2721</v>
      </c>
    </row>
    <row r="4714" spans="1:16">
      <c r="A4714" s="1" t="s">
        <v>15</v>
      </c>
      <c r="B4714" s="1">
        <v>11</v>
      </c>
      <c r="C4714" s="1" t="s">
        <v>9268</v>
      </c>
      <c r="D4714" s="1" t="s">
        <v>4031</v>
      </c>
      <c r="E4714" s="2">
        <v>45987</v>
      </c>
      <c r="F4714" s="1" t="s">
        <v>68</v>
      </c>
      <c r="G4714" s="1" t="s">
        <v>4032</v>
      </c>
      <c r="H4714" s="1" t="s">
        <v>9269</v>
      </c>
      <c r="I4714" s="1">
        <v>1</v>
      </c>
      <c r="J4714" s="3">
        <v>15084</v>
      </c>
      <c r="K4714" s="3">
        <v>14394</v>
      </c>
      <c r="L4714" s="1">
        <v>0</v>
      </c>
      <c r="M4714" s="4">
        <v>0</v>
      </c>
      <c r="N4714" s="1">
        <v>690</v>
      </c>
      <c r="O4714" s="4">
        <v>4.5999999999999999E-2</v>
      </c>
      <c r="P4714" s="1" t="s">
        <v>2721</v>
      </c>
    </row>
    <row r="4715" spans="1:16">
      <c r="A4715" s="1" t="s">
        <v>15</v>
      </c>
      <c r="B4715" s="1">
        <v>11</v>
      </c>
      <c r="C4715" s="1" t="s">
        <v>9268</v>
      </c>
      <c r="D4715" s="1" t="s">
        <v>4031</v>
      </c>
      <c r="E4715" s="2">
        <v>45987</v>
      </c>
      <c r="F4715" s="1" t="s">
        <v>68</v>
      </c>
      <c r="G4715" s="1" t="s">
        <v>4032</v>
      </c>
      <c r="H4715" s="1" t="s">
        <v>4033</v>
      </c>
      <c r="I4715" s="1">
        <v>1</v>
      </c>
      <c r="J4715" s="3">
        <v>15084</v>
      </c>
      <c r="K4715" s="3">
        <v>14394</v>
      </c>
      <c r="L4715" s="1">
        <v>0</v>
      </c>
      <c r="M4715" s="4">
        <v>0</v>
      </c>
      <c r="N4715" s="1">
        <v>690</v>
      </c>
      <c r="O4715" s="4">
        <v>4.5999999999999999E-2</v>
      </c>
      <c r="P4715" s="1" t="s">
        <v>2721</v>
      </c>
    </row>
    <row r="4716" spans="1:16">
      <c r="A4716" s="1" t="s">
        <v>15</v>
      </c>
      <c r="B4716" s="1">
        <v>11</v>
      </c>
      <c r="C4716" s="1" t="s">
        <v>9270</v>
      </c>
      <c r="D4716" s="1" t="s">
        <v>4785</v>
      </c>
      <c r="E4716" s="2">
        <v>45987</v>
      </c>
      <c r="F4716" s="1" t="s">
        <v>554</v>
      </c>
      <c r="G4716" s="1" t="s">
        <v>4786</v>
      </c>
      <c r="H4716" s="1" t="s">
        <v>4787</v>
      </c>
      <c r="I4716" s="1">
        <v>1</v>
      </c>
      <c r="J4716" s="3">
        <v>13418</v>
      </c>
      <c r="K4716" s="3">
        <v>12804</v>
      </c>
      <c r="L4716" s="1">
        <v>0</v>
      </c>
      <c r="M4716" s="4">
        <v>0</v>
      </c>
      <c r="N4716" s="1">
        <v>614</v>
      </c>
      <c r="O4716" s="4">
        <v>4.5999999999999999E-2</v>
      </c>
      <c r="P4716" s="1" t="s">
        <v>2721</v>
      </c>
    </row>
    <row r="4717" spans="1:16">
      <c r="A4717" s="1" t="s">
        <v>15</v>
      </c>
      <c r="B4717" s="1">
        <v>11</v>
      </c>
      <c r="C4717" s="1" t="s">
        <v>9271</v>
      </c>
      <c r="D4717" s="1" t="s">
        <v>27</v>
      </c>
      <c r="E4717" s="2">
        <v>45987</v>
      </c>
      <c r="F4717" s="1" t="s">
        <v>28</v>
      </c>
      <c r="G4717" s="1" t="s">
        <v>29</v>
      </c>
      <c r="H4717" s="1" t="s">
        <v>352</v>
      </c>
      <c r="I4717" s="1">
        <v>1</v>
      </c>
      <c r="J4717" s="3">
        <v>27033</v>
      </c>
      <c r="K4717" s="3">
        <v>25795</v>
      </c>
      <c r="L4717" s="1">
        <v>0</v>
      </c>
      <c r="M4717" s="4">
        <v>0</v>
      </c>
      <c r="N4717" s="3">
        <v>1238</v>
      </c>
      <c r="O4717" s="4">
        <v>4.5999999999999999E-2</v>
      </c>
      <c r="P4717" s="1" t="s">
        <v>2721</v>
      </c>
    </row>
    <row r="4718" spans="1:16">
      <c r="A4718" s="1" t="s">
        <v>15</v>
      </c>
      <c r="B4718" s="1">
        <v>11</v>
      </c>
      <c r="C4718" s="1" t="s">
        <v>9272</v>
      </c>
      <c r="D4718" s="1" t="s">
        <v>32</v>
      </c>
      <c r="E4718" s="2">
        <v>45987</v>
      </c>
      <c r="F4718" s="1" t="s">
        <v>33</v>
      </c>
      <c r="G4718" s="1" t="s">
        <v>34</v>
      </c>
      <c r="H4718" s="1" t="s">
        <v>8254</v>
      </c>
      <c r="I4718" s="1">
        <v>1</v>
      </c>
      <c r="J4718" s="3">
        <v>109599</v>
      </c>
      <c r="K4718" s="3">
        <v>104581</v>
      </c>
      <c r="L4718" s="1">
        <v>0</v>
      </c>
      <c r="M4718" s="4">
        <v>0</v>
      </c>
      <c r="N4718" s="3">
        <v>5018</v>
      </c>
      <c r="O4718" s="4">
        <v>4.5999999999999999E-2</v>
      </c>
      <c r="P4718" s="1" t="s">
        <v>2721</v>
      </c>
    </row>
    <row r="4719" spans="1:16">
      <c r="A4719" s="1" t="s">
        <v>15</v>
      </c>
      <c r="B4719" s="1">
        <v>11</v>
      </c>
      <c r="C4719" s="1" t="s">
        <v>9273</v>
      </c>
      <c r="D4719" s="1" t="s">
        <v>132</v>
      </c>
      <c r="E4719" s="2">
        <v>45987</v>
      </c>
      <c r="F4719" s="1" t="s">
        <v>53</v>
      </c>
      <c r="G4719" s="1" t="s">
        <v>133</v>
      </c>
      <c r="H4719" s="1" t="s">
        <v>88</v>
      </c>
      <c r="I4719" s="1">
        <v>2</v>
      </c>
      <c r="J4719" s="3">
        <v>34073</v>
      </c>
      <c r="K4719" s="3">
        <v>32513</v>
      </c>
      <c r="L4719" s="1">
        <v>0</v>
      </c>
      <c r="M4719" s="4">
        <v>0</v>
      </c>
      <c r="N4719" s="3">
        <v>1560</v>
      </c>
      <c r="O4719" s="4">
        <v>4.5999999999999999E-2</v>
      </c>
      <c r="P4719" s="1" t="s">
        <v>2721</v>
      </c>
    </row>
    <row r="4720" spans="1:16">
      <c r="A4720" s="1" t="s">
        <v>15</v>
      </c>
      <c r="B4720" s="1">
        <v>11</v>
      </c>
      <c r="C4720" s="1" t="s">
        <v>9274</v>
      </c>
      <c r="D4720" s="1" t="s">
        <v>27</v>
      </c>
      <c r="E4720" s="2">
        <v>45987</v>
      </c>
      <c r="F4720" s="1" t="s">
        <v>28</v>
      </c>
      <c r="G4720" s="1" t="s">
        <v>29</v>
      </c>
      <c r="H4720" s="1" t="s">
        <v>352</v>
      </c>
      <c r="I4720" s="1">
        <v>1</v>
      </c>
      <c r="J4720" s="3">
        <v>27033</v>
      </c>
      <c r="K4720" s="3">
        <v>25795</v>
      </c>
      <c r="L4720" s="1">
        <v>0</v>
      </c>
      <c r="M4720" s="4">
        <v>0</v>
      </c>
      <c r="N4720" s="3">
        <v>1238</v>
      </c>
      <c r="O4720" s="4">
        <v>4.5999999999999999E-2</v>
      </c>
      <c r="P4720" s="1" t="s">
        <v>2721</v>
      </c>
    </row>
    <row r="4721" spans="1:16">
      <c r="A4721" s="1" t="s">
        <v>15</v>
      </c>
      <c r="B4721" s="1">
        <v>11</v>
      </c>
      <c r="C4721" s="1" t="s">
        <v>9275</v>
      </c>
      <c r="D4721" s="1" t="s">
        <v>52</v>
      </c>
      <c r="E4721" s="2">
        <v>45987</v>
      </c>
      <c r="F4721" s="1" t="s">
        <v>53</v>
      </c>
      <c r="G4721" s="1" t="s">
        <v>54</v>
      </c>
      <c r="H4721" s="1" t="s">
        <v>55</v>
      </c>
      <c r="I4721" s="1">
        <v>1</v>
      </c>
      <c r="J4721" s="3">
        <v>16135</v>
      </c>
      <c r="K4721" s="3">
        <v>15396</v>
      </c>
      <c r="L4721" s="1">
        <v>0</v>
      </c>
      <c r="M4721" s="4">
        <v>0</v>
      </c>
      <c r="N4721" s="1">
        <v>739</v>
      </c>
      <c r="O4721" s="4">
        <v>4.5999999999999999E-2</v>
      </c>
      <c r="P4721" s="1" t="s">
        <v>2721</v>
      </c>
    </row>
    <row r="4722" spans="1:16">
      <c r="A4722" s="1" t="s">
        <v>15</v>
      </c>
      <c r="B4722" s="1">
        <v>11</v>
      </c>
      <c r="C4722" s="1" t="s">
        <v>9276</v>
      </c>
      <c r="D4722" s="1" t="s">
        <v>394</v>
      </c>
      <c r="E4722" s="2">
        <v>45987</v>
      </c>
      <c r="F4722" s="1" t="s">
        <v>395</v>
      </c>
      <c r="G4722" s="1" t="s">
        <v>396</v>
      </c>
      <c r="H4722" s="1" t="s">
        <v>397</v>
      </c>
      <c r="I4722" s="1">
        <v>1</v>
      </c>
      <c r="J4722" s="3">
        <v>18874</v>
      </c>
      <c r="K4722" s="3">
        <v>18010</v>
      </c>
      <c r="L4722" s="1">
        <v>0</v>
      </c>
      <c r="M4722" s="4">
        <v>0</v>
      </c>
      <c r="N4722" s="1">
        <v>864</v>
      </c>
      <c r="O4722" s="4">
        <v>4.5999999999999999E-2</v>
      </c>
      <c r="P4722" s="1" t="s">
        <v>2721</v>
      </c>
    </row>
    <row r="4723" spans="1:16">
      <c r="A4723" s="1" t="s">
        <v>15</v>
      </c>
      <c r="B4723" s="1">
        <v>11</v>
      </c>
      <c r="C4723" s="1" t="s">
        <v>9277</v>
      </c>
      <c r="D4723" s="1" t="s">
        <v>169</v>
      </c>
      <c r="E4723" s="2">
        <v>45987</v>
      </c>
      <c r="F4723" s="1" t="s">
        <v>53</v>
      </c>
      <c r="G4723" s="1" t="s">
        <v>170</v>
      </c>
      <c r="H4723" s="1" t="s">
        <v>171</v>
      </c>
      <c r="I4723" s="1">
        <v>1</v>
      </c>
      <c r="J4723" s="3">
        <v>14332</v>
      </c>
      <c r="K4723" s="3">
        <v>13676</v>
      </c>
      <c r="L4723" s="1">
        <v>0</v>
      </c>
      <c r="M4723" s="4">
        <v>0</v>
      </c>
      <c r="N4723" s="1">
        <v>656</v>
      </c>
      <c r="O4723" s="4">
        <v>4.5999999999999999E-2</v>
      </c>
      <c r="P4723" s="1" t="s">
        <v>2721</v>
      </c>
    </row>
    <row r="4724" spans="1:16">
      <c r="A4724" s="1" t="s">
        <v>15</v>
      </c>
      <c r="B4724" s="1">
        <v>11</v>
      </c>
      <c r="C4724" s="1" t="s">
        <v>9278</v>
      </c>
      <c r="D4724" s="1" t="s">
        <v>112</v>
      </c>
      <c r="E4724" s="2">
        <v>45987</v>
      </c>
      <c r="F4724" s="1" t="s">
        <v>63</v>
      </c>
      <c r="G4724" s="1" t="s">
        <v>113</v>
      </c>
      <c r="H4724" s="1" t="s">
        <v>872</v>
      </c>
      <c r="I4724" s="1">
        <v>1</v>
      </c>
      <c r="J4724" s="3">
        <v>8834</v>
      </c>
      <c r="K4724" s="3">
        <v>8430</v>
      </c>
      <c r="L4724" s="1">
        <v>0</v>
      </c>
      <c r="M4724" s="4">
        <v>0</v>
      </c>
      <c r="N4724" s="1">
        <v>404</v>
      </c>
      <c r="O4724" s="4">
        <v>4.5999999999999999E-2</v>
      </c>
      <c r="P4724" s="1" t="s">
        <v>2721</v>
      </c>
    </row>
    <row r="4725" spans="1:16">
      <c r="A4725" s="1" t="s">
        <v>15</v>
      </c>
      <c r="B4725" s="1">
        <v>11</v>
      </c>
      <c r="C4725" s="1" t="s">
        <v>9279</v>
      </c>
      <c r="D4725" s="1" t="s">
        <v>5155</v>
      </c>
      <c r="E4725" s="2">
        <v>45987</v>
      </c>
      <c r="F4725" s="1" t="s">
        <v>1798</v>
      </c>
      <c r="G4725" s="1" t="s">
        <v>5156</v>
      </c>
      <c r="H4725" s="1" t="s">
        <v>5157</v>
      </c>
      <c r="I4725" s="1">
        <v>1</v>
      </c>
      <c r="J4725" s="3">
        <v>31948</v>
      </c>
      <c r="K4725" s="3">
        <v>30485</v>
      </c>
      <c r="L4725" s="1">
        <v>0</v>
      </c>
      <c r="M4725" s="4">
        <v>0</v>
      </c>
      <c r="N4725" s="3">
        <v>1463</v>
      </c>
      <c r="O4725" s="4">
        <v>4.5999999999999999E-2</v>
      </c>
      <c r="P4725" s="1" t="s">
        <v>2721</v>
      </c>
    </row>
    <row r="4726" spans="1:16">
      <c r="A4726" s="1" t="s">
        <v>15</v>
      </c>
      <c r="B4726" s="1">
        <v>11</v>
      </c>
      <c r="C4726" s="1" t="s">
        <v>9280</v>
      </c>
      <c r="D4726" s="1" t="s">
        <v>862</v>
      </c>
      <c r="E4726" s="2">
        <v>45987</v>
      </c>
      <c r="F4726" s="1" t="s">
        <v>334</v>
      </c>
      <c r="G4726" s="1" t="s">
        <v>863</v>
      </c>
      <c r="H4726" s="1" t="s">
        <v>9281</v>
      </c>
      <c r="I4726" s="1">
        <v>1</v>
      </c>
      <c r="J4726" s="3">
        <v>16220</v>
      </c>
      <c r="K4726" s="3">
        <v>15477</v>
      </c>
      <c r="L4726" s="1">
        <v>0</v>
      </c>
      <c r="M4726" s="4">
        <v>0</v>
      </c>
      <c r="N4726" s="1">
        <v>743</v>
      </c>
      <c r="O4726" s="4">
        <v>4.5999999999999999E-2</v>
      </c>
      <c r="P4726" s="1" t="s">
        <v>2721</v>
      </c>
    </row>
    <row r="4727" spans="1:16">
      <c r="A4727" s="1" t="s">
        <v>15</v>
      </c>
      <c r="B4727" s="1">
        <v>11</v>
      </c>
      <c r="C4727" s="1" t="s">
        <v>9282</v>
      </c>
      <c r="D4727" s="1" t="s">
        <v>504</v>
      </c>
      <c r="E4727" s="2">
        <v>45987</v>
      </c>
      <c r="F4727" s="1" t="s">
        <v>407</v>
      </c>
      <c r="G4727" s="1" t="s">
        <v>505</v>
      </c>
      <c r="H4727" s="1" t="s">
        <v>1334</v>
      </c>
      <c r="I4727" s="1">
        <v>1</v>
      </c>
      <c r="J4727" s="3">
        <v>8552</v>
      </c>
      <c r="K4727" s="3">
        <v>8161</v>
      </c>
      <c r="L4727" s="1">
        <v>0</v>
      </c>
      <c r="M4727" s="4">
        <v>0</v>
      </c>
      <c r="N4727" s="1">
        <v>391</v>
      </c>
      <c r="O4727" s="4">
        <v>4.5999999999999999E-2</v>
      </c>
      <c r="P4727" s="1" t="s">
        <v>2721</v>
      </c>
    </row>
    <row r="4728" spans="1:16">
      <c r="A4728" s="1" t="s">
        <v>15</v>
      </c>
      <c r="B4728" s="1">
        <v>11</v>
      </c>
      <c r="C4728" s="1" t="s">
        <v>9283</v>
      </c>
      <c r="D4728" s="1" t="s">
        <v>221</v>
      </c>
      <c r="E4728" s="2">
        <v>45987</v>
      </c>
      <c r="F4728" s="1" t="s">
        <v>96</v>
      </c>
      <c r="G4728" s="1" t="s">
        <v>222</v>
      </c>
      <c r="H4728" s="1" t="s">
        <v>509</v>
      </c>
      <c r="I4728" s="1">
        <v>1</v>
      </c>
      <c r="J4728" s="3">
        <v>12571</v>
      </c>
      <c r="K4728" s="3">
        <v>11995</v>
      </c>
      <c r="L4728" s="1">
        <v>0</v>
      </c>
      <c r="M4728" s="4">
        <v>0</v>
      </c>
      <c r="N4728" s="1">
        <v>576</v>
      </c>
      <c r="O4728" s="4">
        <v>4.5999999999999999E-2</v>
      </c>
      <c r="P4728" s="1" t="s">
        <v>2721</v>
      </c>
    </row>
    <row r="4729" spans="1:16">
      <c r="A4729" s="1" t="s">
        <v>15</v>
      </c>
      <c r="B4729" s="1">
        <v>11</v>
      </c>
      <c r="C4729" s="1" t="s">
        <v>9283</v>
      </c>
      <c r="D4729" s="1" t="s">
        <v>221</v>
      </c>
      <c r="E4729" s="2">
        <v>45987</v>
      </c>
      <c r="F4729" s="1" t="s">
        <v>96</v>
      </c>
      <c r="G4729" s="1" t="s">
        <v>222</v>
      </c>
      <c r="H4729" s="1" t="s">
        <v>5793</v>
      </c>
      <c r="I4729" s="1">
        <v>1</v>
      </c>
      <c r="J4729" s="3">
        <v>12571</v>
      </c>
      <c r="K4729" s="3">
        <v>11995</v>
      </c>
      <c r="L4729" s="1">
        <v>0</v>
      </c>
      <c r="M4729" s="4">
        <v>0</v>
      </c>
      <c r="N4729" s="1">
        <v>576</v>
      </c>
      <c r="O4729" s="4">
        <v>4.5999999999999999E-2</v>
      </c>
      <c r="P4729" s="1" t="s">
        <v>2721</v>
      </c>
    </row>
    <row r="4730" spans="1:16">
      <c r="A4730" s="1" t="s">
        <v>15</v>
      </c>
      <c r="B4730" s="1">
        <v>11</v>
      </c>
      <c r="C4730" s="1" t="s">
        <v>9284</v>
      </c>
      <c r="D4730" s="1" t="s">
        <v>549</v>
      </c>
      <c r="E4730" s="2">
        <v>45987</v>
      </c>
      <c r="F4730" s="1" t="s">
        <v>63</v>
      </c>
      <c r="G4730" s="1" t="s">
        <v>550</v>
      </c>
      <c r="H4730" s="1" t="s">
        <v>551</v>
      </c>
      <c r="I4730" s="1">
        <v>1</v>
      </c>
      <c r="J4730" s="3">
        <v>15422</v>
      </c>
      <c r="K4730" s="3">
        <v>14716</v>
      </c>
      <c r="L4730" s="1">
        <v>0</v>
      </c>
      <c r="M4730" s="4">
        <v>0</v>
      </c>
      <c r="N4730" s="1">
        <v>706</v>
      </c>
      <c r="O4730" s="4">
        <v>4.5999999999999999E-2</v>
      </c>
      <c r="P4730" s="1" t="s">
        <v>2721</v>
      </c>
    </row>
    <row r="4731" spans="1:16">
      <c r="A4731" s="1" t="s">
        <v>15</v>
      </c>
      <c r="B4731" s="1">
        <v>11</v>
      </c>
      <c r="C4731" s="1" t="s">
        <v>9285</v>
      </c>
      <c r="D4731" s="1" t="s">
        <v>1302</v>
      </c>
      <c r="E4731" s="2">
        <v>45987</v>
      </c>
      <c r="F4731" s="1" t="s">
        <v>256</v>
      </c>
      <c r="G4731" s="1" t="s">
        <v>1303</v>
      </c>
      <c r="H4731" s="1" t="s">
        <v>1304</v>
      </c>
      <c r="I4731" s="1">
        <v>1</v>
      </c>
      <c r="J4731" s="3">
        <v>4944</v>
      </c>
      <c r="K4731" s="3">
        <v>4718</v>
      </c>
      <c r="L4731" s="1">
        <v>0</v>
      </c>
      <c r="M4731" s="4">
        <v>0</v>
      </c>
      <c r="N4731" s="1">
        <v>226</v>
      </c>
      <c r="O4731" s="4">
        <v>4.5999999999999999E-2</v>
      </c>
      <c r="P4731" s="1" t="s">
        <v>2721</v>
      </c>
    </row>
    <row r="4732" spans="1:16">
      <c r="A4732" s="1" t="s">
        <v>15</v>
      </c>
      <c r="B4732" s="1">
        <v>11</v>
      </c>
      <c r="C4732" s="1" t="s">
        <v>9286</v>
      </c>
      <c r="D4732" s="1" t="s">
        <v>250</v>
      </c>
      <c r="E4732" s="2">
        <v>45987</v>
      </c>
      <c r="F4732" s="1" t="s">
        <v>251</v>
      </c>
      <c r="G4732" s="1" t="s">
        <v>252</v>
      </c>
      <c r="H4732" s="1" t="s">
        <v>253</v>
      </c>
      <c r="I4732" s="1">
        <v>1</v>
      </c>
      <c r="J4732" s="3">
        <v>17203</v>
      </c>
      <c r="K4732" s="3">
        <v>16415</v>
      </c>
      <c r="L4732" s="1">
        <v>0</v>
      </c>
      <c r="M4732" s="4">
        <v>0</v>
      </c>
      <c r="N4732" s="1">
        <v>788</v>
      </c>
      <c r="O4732" s="4">
        <v>4.5999999999999999E-2</v>
      </c>
      <c r="P4732" s="1" t="s">
        <v>2721</v>
      </c>
    </row>
    <row r="4733" spans="1:16">
      <c r="A4733" s="1" t="s">
        <v>15</v>
      </c>
      <c r="B4733" s="1">
        <v>11</v>
      </c>
      <c r="C4733" s="1" t="s">
        <v>9287</v>
      </c>
      <c r="D4733" s="1" t="s">
        <v>2490</v>
      </c>
      <c r="E4733" s="2">
        <v>45987</v>
      </c>
      <c r="F4733" s="1" t="s">
        <v>753</v>
      </c>
      <c r="G4733" s="1" t="s">
        <v>2491</v>
      </c>
      <c r="H4733" s="1" t="s">
        <v>2492</v>
      </c>
      <c r="I4733" s="1">
        <v>1</v>
      </c>
      <c r="J4733" s="3">
        <v>24870</v>
      </c>
      <c r="K4733" s="3">
        <v>23731</v>
      </c>
      <c r="L4733" s="1">
        <v>0</v>
      </c>
      <c r="M4733" s="4">
        <v>0</v>
      </c>
      <c r="N4733" s="3">
        <v>1139</v>
      </c>
      <c r="O4733" s="4">
        <v>4.5999999999999999E-2</v>
      </c>
      <c r="P4733" s="1" t="s">
        <v>2721</v>
      </c>
    </row>
    <row r="4734" spans="1:16">
      <c r="A4734" s="1" t="s">
        <v>15</v>
      </c>
      <c r="B4734" s="1">
        <v>11</v>
      </c>
      <c r="C4734" s="1" t="s">
        <v>9288</v>
      </c>
      <c r="D4734" s="1" t="s">
        <v>777</v>
      </c>
      <c r="E4734" s="2">
        <v>45987</v>
      </c>
      <c r="F4734" s="1" t="s">
        <v>256</v>
      </c>
      <c r="G4734" s="1" t="s">
        <v>778</v>
      </c>
      <c r="H4734" s="1" t="s">
        <v>1571</v>
      </c>
      <c r="I4734" s="1">
        <v>1</v>
      </c>
      <c r="J4734" s="3">
        <v>19857</v>
      </c>
      <c r="K4734" s="3">
        <v>18948</v>
      </c>
      <c r="L4734" s="1">
        <v>0</v>
      </c>
      <c r="M4734" s="4">
        <v>0</v>
      </c>
      <c r="N4734" s="1">
        <v>909</v>
      </c>
      <c r="O4734" s="4">
        <v>4.5999999999999999E-2</v>
      </c>
      <c r="P4734" s="1" t="s">
        <v>2721</v>
      </c>
    </row>
    <row r="4735" spans="1:16">
      <c r="A4735" s="1" t="s">
        <v>15</v>
      </c>
      <c r="B4735" s="1">
        <v>11</v>
      </c>
      <c r="C4735" s="1" t="s">
        <v>9289</v>
      </c>
      <c r="D4735" s="1" t="s">
        <v>1587</v>
      </c>
      <c r="E4735" s="2">
        <v>45987</v>
      </c>
      <c r="F4735" s="1" t="s">
        <v>126</v>
      </c>
      <c r="G4735" s="1" t="s">
        <v>1588</v>
      </c>
      <c r="H4735" s="1" t="s">
        <v>1589</v>
      </c>
      <c r="I4735" s="1">
        <v>1</v>
      </c>
      <c r="J4735" s="3">
        <v>12484</v>
      </c>
      <c r="K4735" s="3">
        <v>11913</v>
      </c>
      <c r="L4735" s="1">
        <v>0</v>
      </c>
      <c r="M4735" s="4">
        <v>0</v>
      </c>
      <c r="N4735" s="1">
        <v>571</v>
      </c>
      <c r="O4735" s="4">
        <v>4.5999999999999999E-2</v>
      </c>
      <c r="P4735" s="1" t="s">
        <v>2721</v>
      </c>
    </row>
    <row r="4736" spans="1:16">
      <c r="A4736" s="1" t="s">
        <v>15</v>
      </c>
      <c r="B4736" s="1">
        <v>11</v>
      </c>
      <c r="C4736" s="1" t="s">
        <v>9290</v>
      </c>
      <c r="D4736" s="1" t="s">
        <v>72</v>
      </c>
      <c r="E4736" s="2">
        <v>45987</v>
      </c>
      <c r="F4736" s="1" t="s">
        <v>63</v>
      </c>
      <c r="G4736" s="1" t="s">
        <v>73</v>
      </c>
      <c r="H4736" s="1" t="s">
        <v>74</v>
      </c>
      <c r="I4736" s="1">
        <v>2</v>
      </c>
      <c r="J4736" s="3">
        <v>20912</v>
      </c>
      <c r="K4736" s="3">
        <v>19955</v>
      </c>
      <c r="L4736" s="1">
        <v>0</v>
      </c>
      <c r="M4736" s="4">
        <v>0</v>
      </c>
      <c r="N4736" s="1">
        <v>957</v>
      </c>
      <c r="O4736" s="4">
        <v>4.5999999999999999E-2</v>
      </c>
      <c r="P4736" s="1" t="s">
        <v>2721</v>
      </c>
    </row>
    <row r="4737" spans="1:16">
      <c r="A4737" s="1" t="s">
        <v>15</v>
      </c>
      <c r="B4737" s="1">
        <v>11</v>
      </c>
      <c r="C4737" s="1" t="s">
        <v>9291</v>
      </c>
      <c r="D4737" s="1" t="s">
        <v>1254</v>
      </c>
      <c r="E4737" s="2">
        <v>45987</v>
      </c>
      <c r="F4737" s="1" t="s">
        <v>1255</v>
      </c>
      <c r="G4737" s="1" t="s">
        <v>1256</v>
      </c>
      <c r="H4737" s="1" t="s">
        <v>1257</v>
      </c>
      <c r="I4737" s="1">
        <v>3</v>
      </c>
      <c r="J4737" s="3">
        <v>61634</v>
      </c>
      <c r="K4737" s="3">
        <v>58813</v>
      </c>
      <c r="L4737" s="1">
        <v>0</v>
      </c>
      <c r="M4737" s="4">
        <v>0</v>
      </c>
      <c r="N4737" s="3">
        <v>2821</v>
      </c>
      <c r="O4737" s="4">
        <v>4.5999999999999999E-2</v>
      </c>
      <c r="P4737" s="1" t="s">
        <v>2721</v>
      </c>
    </row>
    <row r="4738" spans="1:16">
      <c r="A4738" s="1" t="s">
        <v>15</v>
      </c>
      <c r="B4738" s="1">
        <v>11</v>
      </c>
      <c r="C4738" s="1" t="s">
        <v>9292</v>
      </c>
      <c r="D4738" s="1" t="s">
        <v>3406</v>
      </c>
      <c r="E4738" s="2">
        <v>45987</v>
      </c>
      <c r="F4738" s="1" t="s">
        <v>570</v>
      </c>
      <c r="G4738" s="1" t="s">
        <v>3407</v>
      </c>
      <c r="H4738" s="1" t="s">
        <v>3408</v>
      </c>
      <c r="I4738" s="1">
        <v>1</v>
      </c>
      <c r="J4738" s="3">
        <v>29490</v>
      </c>
      <c r="K4738" s="3">
        <v>28140</v>
      </c>
      <c r="L4738" s="1">
        <v>0</v>
      </c>
      <c r="M4738" s="4">
        <v>0</v>
      </c>
      <c r="N4738" s="3">
        <v>1350</v>
      </c>
      <c r="O4738" s="4">
        <v>4.5999999999999999E-2</v>
      </c>
      <c r="P4738" s="1" t="s">
        <v>2721</v>
      </c>
    </row>
    <row r="4739" spans="1:16">
      <c r="A4739" s="1" t="s">
        <v>15</v>
      </c>
      <c r="B4739" s="1">
        <v>11</v>
      </c>
      <c r="C4739" s="1" t="s">
        <v>9293</v>
      </c>
      <c r="D4739" s="1" t="s">
        <v>1346</v>
      </c>
      <c r="E4739" s="2">
        <v>45987</v>
      </c>
      <c r="F4739" s="1" t="s">
        <v>317</v>
      </c>
      <c r="G4739" s="1" t="s">
        <v>1347</v>
      </c>
      <c r="H4739" s="1" t="s">
        <v>3848</v>
      </c>
      <c r="I4739" s="1">
        <v>1</v>
      </c>
      <c r="J4739" s="3">
        <v>29982</v>
      </c>
      <c r="K4739" s="3">
        <v>28609</v>
      </c>
      <c r="L4739" s="1">
        <v>0</v>
      </c>
      <c r="M4739" s="4">
        <v>0</v>
      </c>
      <c r="N4739" s="3">
        <v>1373</v>
      </c>
      <c r="O4739" s="4">
        <v>4.5999999999999999E-2</v>
      </c>
      <c r="P4739" s="1" t="s">
        <v>2721</v>
      </c>
    </row>
    <row r="4740" spans="1:16">
      <c r="A4740" s="1" t="s">
        <v>15</v>
      </c>
      <c r="B4740" s="1">
        <v>11</v>
      </c>
      <c r="C4740" s="1" t="s">
        <v>9294</v>
      </c>
      <c r="D4740" s="1" t="s">
        <v>1026</v>
      </c>
      <c r="E4740" s="2">
        <v>45987</v>
      </c>
      <c r="F4740" s="1" t="s">
        <v>256</v>
      </c>
      <c r="G4740" s="1" t="s">
        <v>1027</v>
      </c>
      <c r="H4740" s="1" t="s">
        <v>1028</v>
      </c>
      <c r="I4740" s="1">
        <v>1</v>
      </c>
      <c r="J4740" s="3">
        <v>5407</v>
      </c>
      <c r="K4740" s="3">
        <v>5159</v>
      </c>
      <c r="L4740" s="1">
        <v>0</v>
      </c>
      <c r="M4740" s="4">
        <v>0</v>
      </c>
      <c r="N4740" s="1">
        <v>248</v>
      </c>
      <c r="O4740" s="4">
        <v>4.5999999999999999E-2</v>
      </c>
      <c r="P4740" s="1" t="s">
        <v>2721</v>
      </c>
    </row>
    <row r="4741" spans="1:16">
      <c r="A4741" s="1" t="s">
        <v>15</v>
      </c>
      <c r="B4741" s="1">
        <v>11</v>
      </c>
      <c r="C4741" s="1" t="s">
        <v>9295</v>
      </c>
      <c r="D4741" s="1" t="s">
        <v>333</v>
      </c>
      <c r="E4741" s="2">
        <v>45987</v>
      </c>
      <c r="F4741" s="1" t="s">
        <v>334</v>
      </c>
      <c r="G4741" s="1" t="s">
        <v>335</v>
      </c>
      <c r="H4741" s="1" t="s">
        <v>3664</v>
      </c>
      <c r="I4741" s="1">
        <v>1</v>
      </c>
      <c r="J4741" s="3">
        <v>5112</v>
      </c>
      <c r="K4741" s="3">
        <v>4878</v>
      </c>
      <c r="L4741" s="1">
        <v>0</v>
      </c>
      <c r="M4741" s="4">
        <v>0</v>
      </c>
      <c r="N4741" s="1">
        <v>234</v>
      </c>
      <c r="O4741" s="4">
        <v>4.5999999999999999E-2</v>
      </c>
      <c r="P4741" s="1" t="s">
        <v>2721</v>
      </c>
    </row>
    <row r="4742" spans="1:16">
      <c r="A4742" s="1" t="s">
        <v>15</v>
      </c>
      <c r="B4742" s="1">
        <v>11</v>
      </c>
      <c r="C4742" s="1" t="s">
        <v>9296</v>
      </c>
      <c r="D4742" s="1" t="s">
        <v>1250</v>
      </c>
      <c r="E4742" s="2">
        <v>45987</v>
      </c>
      <c r="F4742" s="1" t="s">
        <v>18</v>
      </c>
      <c r="G4742" s="1" t="s">
        <v>1251</v>
      </c>
      <c r="H4742" s="1" t="s">
        <v>1428</v>
      </c>
      <c r="I4742" s="1">
        <v>1</v>
      </c>
      <c r="J4742" s="3">
        <v>8395</v>
      </c>
      <c r="K4742" s="3">
        <v>8011</v>
      </c>
      <c r="L4742" s="1">
        <v>0</v>
      </c>
      <c r="M4742" s="4">
        <v>0</v>
      </c>
      <c r="N4742" s="1">
        <v>384</v>
      </c>
      <c r="O4742" s="4">
        <v>4.5999999999999999E-2</v>
      </c>
      <c r="P4742" s="1" t="s">
        <v>2721</v>
      </c>
    </row>
    <row r="4743" spans="1:16">
      <c r="A4743" s="1" t="s">
        <v>15</v>
      </c>
      <c r="B4743" s="1">
        <v>11</v>
      </c>
      <c r="C4743" s="1" t="s">
        <v>9297</v>
      </c>
      <c r="D4743" s="1" t="s">
        <v>291</v>
      </c>
      <c r="E4743" s="2">
        <v>45987</v>
      </c>
      <c r="F4743" s="1" t="s">
        <v>292</v>
      </c>
      <c r="G4743" s="1" t="s">
        <v>293</v>
      </c>
      <c r="H4743" s="1" t="s">
        <v>294</v>
      </c>
      <c r="I4743" s="1">
        <v>1</v>
      </c>
      <c r="J4743" s="3">
        <v>13271</v>
      </c>
      <c r="K4743" s="3">
        <v>12663</v>
      </c>
      <c r="L4743" s="1">
        <v>0</v>
      </c>
      <c r="M4743" s="4">
        <v>0</v>
      </c>
      <c r="N4743" s="1">
        <v>608</v>
      </c>
      <c r="O4743" s="4">
        <v>4.5999999999999999E-2</v>
      </c>
      <c r="P4743" s="1" t="s">
        <v>2721</v>
      </c>
    </row>
    <row r="4744" spans="1:16">
      <c r="A4744" s="1" t="s">
        <v>15</v>
      </c>
      <c r="B4744" s="1">
        <v>11</v>
      </c>
      <c r="C4744" s="1" t="s">
        <v>9298</v>
      </c>
      <c r="D4744" s="1" t="s">
        <v>1125</v>
      </c>
      <c r="E4744" s="2">
        <v>45987</v>
      </c>
      <c r="F4744" s="1" t="s">
        <v>96</v>
      </c>
      <c r="G4744" s="1" t="s">
        <v>1126</v>
      </c>
      <c r="H4744" s="1" t="s">
        <v>1127</v>
      </c>
      <c r="I4744" s="1">
        <v>1</v>
      </c>
      <c r="J4744" s="3">
        <v>9858</v>
      </c>
      <c r="K4744" s="3">
        <v>9406</v>
      </c>
      <c r="L4744" s="1">
        <v>0</v>
      </c>
      <c r="M4744" s="4">
        <v>0</v>
      </c>
      <c r="N4744" s="1">
        <v>452</v>
      </c>
      <c r="O4744" s="4">
        <v>4.5999999999999999E-2</v>
      </c>
      <c r="P4744" s="1" t="s">
        <v>2721</v>
      </c>
    </row>
    <row r="4745" spans="1:16">
      <c r="A4745" s="1" t="s">
        <v>15</v>
      </c>
      <c r="B4745" s="1">
        <v>11</v>
      </c>
      <c r="C4745" s="1" t="s">
        <v>9299</v>
      </c>
      <c r="D4745" s="1" t="s">
        <v>1508</v>
      </c>
      <c r="E4745" s="2">
        <v>45987</v>
      </c>
      <c r="F4745" s="1" t="s">
        <v>53</v>
      </c>
      <c r="G4745" s="1" t="s">
        <v>1509</v>
      </c>
      <c r="H4745" s="1" t="s">
        <v>3372</v>
      </c>
      <c r="I4745" s="1">
        <v>1</v>
      </c>
      <c r="J4745" s="3">
        <v>8022</v>
      </c>
      <c r="K4745" s="3">
        <v>7655</v>
      </c>
      <c r="L4745" s="1">
        <v>0</v>
      </c>
      <c r="M4745" s="4">
        <v>0</v>
      </c>
      <c r="N4745" s="1">
        <v>367</v>
      </c>
      <c r="O4745" s="4">
        <v>4.5999999999999999E-2</v>
      </c>
      <c r="P4745" s="1" t="s">
        <v>2721</v>
      </c>
    </row>
    <row r="4746" spans="1:16">
      <c r="A4746" s="1" t="s">
        <v>577</v>
      </c>
      <c r="B4746" s="1">
        <v>11</v>
      </c>
      <c r="C4746" s="1" t="s">
        <v>9300</v>
      </c>
      <c r="D4746" s="1" t="s">
        <v>1786</v>
      </c>
      <c r="E4746" s="2">
        <v>45987</v>
      </c>
      <c r="F4746" s="1" t="s">
        <v>347</v>
      </c>
      <c r="G4746" s="1" t="s">
        <v>1134</v>
      </c>
      <c r="H4746" s="1" t="s">
        <v>9301</v>
      </c>
      <c r="I4746" s="1">
        <v>1</v>
      </c>
      <c r="J4746" s="3">
        <v>22157</v>
      </c>
      <c r="K4746" s="3">
        <v>21143</v>
      </c>
      <c r="L4746" s="1">
        <v>0</v>
      </c>
      <c r="M4746" s="4">
        <v>0</v>
      </c>
      <c r="N4746" s="3">
        <v>1014</v>
      </c>
      <c r="O4746" s="4">
        <v>4.5999999999999999E-2</v>
      </c>
      <c r="P4746" s="1" t="s">
        <v>2721</v>
      </c>
    </row>
    <row r="4747" spans="1:16">
      <c r="A4747" s="1" t="s">
        <v>577</v>
      </c>
      <c r="B4747" s="1">
        <v>11</v>
      </c>
      <c r="C4747" s="1" t="s">
        <v>9302</v>
      </c>
      <c r="D4747" s="1" t="s">
        <v>9303</v>
      </c>
      <c r="E4747" s="2">
        <v>45987</v>
      </c>
      <c r="F4747" s="1" t="s">
        <v>8382</v>
      </c>
      <c r="G4747" s="1" t="s">
        <v>9304</v>
      </c>
      <c r="H4747" s="1" t="s">
        <v>9305</v>
      </c>
      <c r="I4747" s="1">
        <v>1</v>
      </c>
      <c r="J4747" s="3">
        <v>145976</v>
      </c>
      <c r="K4747" s="3">
        <v>139293</v>
      </c>
      <c r="L4747" s="1">
        <v>0</v>
      </c>
      <c r="M4747" s="4">
        <v>0</v>
      </c>
      <c r="N4747" s="3">
        <v>6683</v>
      </c>
      <c r="O4747" s="4">
        <v>4.5999999999999999E-2</v>
      </c>
      <c r="P4747" s="1" t="s">
        <v>2721</v>
      </c>
    </row>
    <row r="4748" spans="1:16">
      <c r="A4748" s="1" t="s">
        <v>577</v>
      </c>
      <c r="B4748" s="1">
        <v>11</v>
      </c>
      <c r="C4748" s="1" t="s">
        <v>9306</v>
      </c>
      <c r="D4748" s="1" t="s">
        <v>9307</v>
      </c>
      <c r="E4748" s="2">
        <v>45987</v>
      </c>
      <c r="F4748" s="1" t="s">
        <v>1075</v>
      </c>
      <c r="G4748" s="1" t="s">
        <v>9172</v>
      </c>
      <c r="H4748" s="1" t="s">
        <v>9173</v>
      </c>
      <c r="I4748" s="1">
        <v>2</v>
      </c>
      <c r="J4748" s="3">
        <v>28704</v>
      </c>
      <c r="K4748" s="3">
        <v>27390</v>
      </c>
      <c r="L4748" s="1">
        <v>0</v>
      </c>
      <c r="M4748" s="4">
        <v>0</v>
      </c>
      <c r="N4748" s="3">
        <v>1314</v>
      </c>
      <c r="O4748" s="4">
        <v>4.5999999999999999E-2</v>
      </c>
      <c r="P4748" s="1" t="s">
        <v>2721</v>
      </c>
    </row>
    <row r="4749" spans="1:16">
      <c r="A4749" s="1" t="s">
        <v>577</v>
      </c>
      <c r="B4749" s="1">
        <v>11</v>
      </c>
      <c r="C4749" s="1" t="s">
        <v>9308</v>
      </c>
      <c r="D4749" s="1" t="s">
        <v>9309</v>
      </c>
      <c r="E4749" s="2">
        <v>45987</v>
      </c>
      <c r="F4749" s="1" t="s">
        <v>161</v>
      </c>
      <c r="G4749" s="1" t="s">
        <v>2580</v>
      </c>
      <c r="H4749" s="1" t="s">
        <v>9310</v>
      </c>
      <c r="I4749" s="1">
        <v>1</v>
      </c>
      <c r="J4749" s="3">
        <v>8257</v>
      </c>
      <c r="K4749" s="3">
        <v>7879</v>
      </c>
      <c r="L4749" s="1">
        <v>0</v>
      </c>
      <c r="M4749" s="4">
        <v>0</v>
      </c>
      <c r="N4749" s="1">
        <v>378</v>
      </c>
      <c r="O4749" s="4">
        <v>4.5999999999999999E-2</v>
      </c>
      <c r="P4749" s="1" t="s">
        <v>2721</v>
      </c>
    </row>
    <row r="4750" spans="1:16">
      <c r="A4750" s="1" t="s">
        <v>577</v>
      </c>
      <c r="B4750" s="1">
        <v>11</v>
      </c>
      <c r="C4750" s="1" t="s">
        <v>9311</v>
      </c>
      <c r="D4750" s="1" t="s">
        <v>1700</v>
      </c>
      <c r="E4750" s="2">
        <v>45987</v>
      </c>
      <c r="F4750" s="1" t="s">
        <v>395</v>
      </c>
      <c r="G4750" s="1" t="s">
        <v>396</v>
      </c>
      <c r="H4750" s="1" t="s">
        <v>397</v>
      </c>
      <c r="I4750" s="1">
        <v>1</v>
      </c>
      <c r="J4750" s="3">
        <v>18874</v>
      </c>
      <c r="K4750" s="3">
        <v>18010</v>
      </c>
      <c r="L4750" s="1">
        <v>0</v>
      </c>
      <c r="M4750" s="4">
        <v>0</v>
      </c>
      <c r="N4750" s="1">
        <v>864</v>
      </c>
      <c r="O4750" s="4">
        <v>4.5999999999999999E-2</v>
      </c>
      <c r="P4750" s="1" t="s">
        <v>2721</v>
      </c>
    </row>
    <row r="4751" spans="1:16">
      <c r="A4751" s="1" t="s">
        <v>577</v>
      </c>
      <c r="B4751" s="1">
        <v>11</v>
      </c>
      <c r="C4751" s="1" t="s">
        <v>9312</v>
      </c>
      <c r="D4751" s="1" t="s">
        <v>9313</v>
      </c>
      <c r="E4751" s="2">
        <v>45987</v>
      </c>
      <c r="F4751" s="1" t="s">
        <v>161</v>
      </c>
      <c r="G4751" s="1" t="s">
        <v>2928</v>
      </c>
      <c r="H4751" s="1" t="s">
        <v>2929</v>
      </c>
      <c r="I4751" s="1">
        <v>1</v>
      </c>
      <c r="J4751" s="3">
        <v>9437</v>
      </c>
      <c r="K4751" s="3">
        <v>9005</v>
      </c>
      <c r="L4751" s="1">
        <v>0</v>
      </c>
      <c r="M4751" s="4">
        <v>0</v>
      </c>
      <c r="N4751" s="1">
        <v>432</v>
      </c>
      <c r="O4751" s="4">
        <v>4.5999999999999999E-2</v>
      </c>
      <c r="P4751" s="1" t="s">
        <v>2721</v>
      </c>
    </row>
    <row r="4752" spans="1:16">
      <c r="A4752" s="1" t="s">
        <v>577</v>
      </c>
      <c r="B4752" s="1">
        <v>11</v>
      </c>
      <c r="C4752" s="1" t="s">
        <v>9314</v>
      </c>
      <c r="D4752" s="1" t="s">
        <v>9315</v>
      </c>
      <c r="E4752" s="2">
        <v>45987</v>
      </c>
      <c r="F4752" s="1" t="s">
        <v>58</v>
      </c>
      <c r="G4752" s="1" t="s">
        <v>9316</v>
      </c>
      <c r="H4752" s="1" t="s">
        <v>9317</v>
      </c>
      <c r="I4752" s="1">
        <v>1</v>
      </c>
      <c r="J4752" s="3">
        <v>10872</v>
      </c>
      <c r="K4752" s="3">
        <v>10374</v>
      </c>
      <c r="L4752" s="1">
        <v>0</v>
      </c>
      <c r="M4752" s="4">
        <v>0</v>
      </c>
      <c r="N4752" s="1">
        <v>498</v>
      </c>
      <c r="O4752" s="4">
        <v>4.5999999999999999E-2</v>
      </c>
      <c r="P4752" s="1" t="s">
        <v>2721</v>
      </c>
    </row>
    <row r="4753" spans="1:16">
      <c r="A4753" s="1" t="s">
        <v>577</v>
      </c>
      <c r="B4753" s="1">
        <v>11</v>
      </c>
      <c r="C4753" s="1" t="s">
        <v>9318</v>
      </c>
      <c r="D4753" s="1" t="s">
        <v>1784</v>
      </c>
      <c r="E4753" s="2">
        <v>45987</v>
      </c>
      <c r="F4753" s="1" t="s">
        <v>256</v>
      </c>
      <c r="G4753" s="1" t="s">
        <v>778</v>
      </c>
      <c r="H4753" s="1" t="s">
        <v>779</v>
      </c>
      <c r="I4753" s="1">
        <v>1</v>
      </c>
      <c r="J4753" s="3">
        <v>11010</v>
      </c>
      <c r="K4753" s="3">
        <v>10506</v>
      </c>
      <c r="L4753" s="1">
        <v>0</v>
      </c>
      <c r="M4753" s="4">
        <v>0</v>
      </c>
      <c r="N4753" s="1">
        <v>504</v>
      </c>
      <c r="O4753" s="4">
        <v>4.5999999999999999E-2</v>
      </c>
      <c r="P4753" s="1" t="s">
        <v>2721</v>
      </c>
    </row>
    <row r="4754" spans="1:16">
      <c r="A4754" s="1" t="s">
        <v>577</v>
      </c>
      <c r="B4754" s="1">
        <v>11</v>
      </c>
      <c r="C4754" s="1" t="s">
        <v>9319</v>
      </c>
      <c r="D4754" s="1" t="s">
        <v>9320</v>
      </c>
      <c r="E4754" s="2">
        <v>45987</v>
      </c>
      <c r="F4754" s="1" t="s">
        <v>524</v>
      </c>
      <c r="G4754" s="1" t="s">
        <v>9321</v>
      </c>
      <c r="H4754" s="1" t="s">
        <v>9322</v>
      </c>
      <c r="I4754" s="1">
        <v>1</v>
      </c>
      <c r="J4754" s="3">
        <v>13330</v>
      </c>
      <c r="K4754" s="3">
        <v>12720</v>
      </c>
      <c r="L4754" s="1">
        <v>0</v>
      </c>
      <c r="M4754" s="4">
        <v>0</v>
      </c>
      <c r="N4754" s="1">
        <v>610</v>
      </c>
      <c r="O4754" s="4">
        <v>4.5999999999999999E-2</v>
      </c>
      <c r="P4754" s="1" t="s">
        <v>2721</v>
      </c>
    </row>
    <row r="4755" spans="1:16">
      <c r="A4755" s="1" t="s">
        <v>577</v>
      </c>
      <c r="B4755" s="1">
        <v>11</v>
      </c>
      <c r="C4755" s="1" t="s">
        <v>9319</v>
      </c>
      <c r="D4755" s="1" t="s">
        <v>9320</v>
      </c>
      <c r="E4755" s="2">
        <v>45987</v>
      </c>
      <c r="F4755" s="1" t="s">
        <v>524</v>
      </c>
      <c r="G4755" s="1" t="s">
        <v>9321</v>
      </c>
      <c r="H4755" s="1" t="s">
        <v>9323</v>
      </c>
      <c r="I4755" s="1">
        <v>1</v>
      </c>
      <c r="J4755" s="3">
        <v>13330</v>
      </c>
      <c r="K4755" s="3">
        <v>12720</v>
      </c>
      <c r="L4755" s="1">
        <v>0</v>
      </c>
      <c r="M4755" s="4">
        <v>0</v>
      </c>
      <c r="N4755" s="1">
        <v>610</v>
      </c>
      <c r="O4755" s="4">
        <v>4.5999999999999999E-2</v>
      </c>
      <c r="P4755" s="1" t="s">
        <v>2721</v>
      </c>
    </row>
    <row r="4756" spans="1:16">
      <c r="A4756" s="1" t="s">
        <v>577</v>
      </c>
      <c r="B4756" s="1">
        <v>11</v>
      </c>
      <c r="C4756" s="1" t="s">
        <v>9319</v>
      </c>
      <c r="D4756" s="1" t="s">
        <v>9320</v>
      </c>
      <c r="E4756" s="2">
        <v>45987</v>
      </c>
      <c r="F4756" s="1" t="s">
        <v>524</v>
      </c>
      <c r="G4756" s="1" t="s">
        <v>9321</v>
      </c>
      <c r="H4756" s="1" t="s">
        <v>9324</v>
      </c>
      <c r="I4756" s="1">
        <v>1</v>
      </c>
      <c r="J4756" s="3">
        <v>13330</v>
      </c>
      <c r="K4756" s="3">
        <v>12720</v>
      </c>
      <c r="L4756" s="1">
        <v>0</v>
      </c>
      <c r="M4756" s="4">
        <v>0</v>
      </c>
      <c r="N4756" s="1">
        <v>610</v>
      </c>
      <c r="O4756" s="4">
        <v>4.5999999999999999E-2</v>
      </c>
      <c r="P4756" s="1" t="s">
        <v>2721</v>
      </c>
    </row>
    <row r="4757" spans="1:16">
      <c r="A4757" s="1" t="s">
        <v>577</v>
      </c>
      <c r="B4757" s="1">
        <v>11</v>
      </c>
      <c r="C4757" s="1" t="s">
        <v>9319</v>
      </c>
      <c r="D4757" s="1" t="s">
        <v>9320</v>
      </c>
      <c r="E4757" s="2">
        <v>45987</v>
      </c>
      <c r="F4757" s="1" t="s">
        <v>524</v>
      </c>
      <c r="G4757" s="1" t="s">
        <v>9321</v>
      </c>
      <c r="H4757" s="1" t="s">
        <v>9325</v>
      </c>
      <c r="I4757" s="1">
        <v>1</v>
      </c>
      <c r="J4757" s="3">
        <v>14169</v>
      </c>
      <c r="K4757" s="3">
        <v>13520</v>
      </c>
      <c r="L4757" s="1">
        <v>0</v>
      </c>
      <c r="M4757" s="4">
        <v>0</v>
      </c>
      <c r="N4757" s="1">
        <v>649</v>
      </c>
      <c r="O4757" s="4">
        <v>4.5999999999999999E-2</v>
      </c>
      <c r="P4757" s="1" t="s">
        <v>2721</v>
      </c>
    </row>
    <row r="4758" spans="1:16">
      <c r="A4758" s="1" t="s">
        <v>577</v>
      </c>
      <c r="B4758" s="1">
        <v>11</v>
      </c>
      <c r="C4758" s="1" t="s">
        <v>9326</v>
      </c>
      <c r="D4758" s="1" t="s">
        <v>5871</v>
      </c>
      <c r="E4758" s="2">
        <v>45987</v>
      </c>
      <c r="F4758" s="1" t="s">
        <v>312</v>
      </c>
      <c r="G4758" s="1" t="s">
        <v>313</v>
      </c>
      <c r="H4758" s="1" t="s">
        <v>339</v>
      </c>
      <c r="I4758" s="1">
        <v>1</v>
      </c>
      <c r="J4758" s="3">
        <v>28310</v>
      </c>
      <c r="K4758" s="3">
        <v>27014</v>
      </c>
      <c r="L4758" s="1">
        <v>0</v>
      </c>
      <c r="M4758" s="4">
        <v>0</v>
      </c>
      <c r="N4758" s="3">
        <v>1296</v>
      </c>
      <c r="O4758" s="4">
        <v>4.5999999999999999E-2</v>
      </c>
      <c r="P4758" s="1" t="s">
        <v>2721</v>
      </c>
    </row>
    <row r="4759" spans="1:16">
      <c r="A4759" s="1" t="s">
        <v>577</v>
      </c>
      <c r="B4759" s="1">
        <v>11</v>
      </c>
      <c r="C4759" s="1" t="s">
        <v>9327</v>
      </c>
      <c r="D4759" s="1" t="s">
        <v>9328</v>
      </c>
      <c r="E4759" s="2">
        <v>45987</v>
      </c>
      <c r="F4759" s="1" t="s">
        <v>68</v>
      </c>
      <c r="G4759" s="1" t="s">
        <v>69</v>
      </c>
      <c r="H4759" s="1" t="s">
        <v>70</v>
      </c>
      <c r="I4759" s="1">
        <v>1</v>
      </c>
      <c r="J4759" s="3">
        <v>43842</v>
      </c>
      <c r="K4759" s="3">
        <v>41835</v>
      </c>
      <c r="L4759" s="1">
        <v>0</v>
      </c>
      <c r="M4759" s="4">
        <v>0</v>
      </c>
      <c r="N4759" s="3">
        <v>2007</v>
      </c>
      <c r="O4759" s="4">
        <v>4.5999999999999999E-2</v>
      </c>
      <c r="P4759" s="1" t="s">
        <v>2721</v>
      </c>
    </row>
    <row r="4760" spans="1:16">
      <c r="A4760" s="1" t="s">
        <v>2730</v>
      </c>
      <c r="B4760" s="1">
        <v>11</v>
      </c>
      <c r="C4760" s="1">
        <v>1.23456789101112E+20</v>
      </c>
      <c r="D4760" s="1" t="s">
        <v>9329</v>
      </c>
      <c r="E4760" s="2">
        <v>45987</v>
      </c>
      <c r="F4760" s="1" t="s">
        <v>33</v>
      </c>
      <c r="G4760" s="1" t="s">
        <v>9330</v>
      </c>
      <c r="I4760" s="1">
        <v>1</v>
      </c>
      <c r="J4760" s="3">
        <v>130785</v>
      </c>
      <c r="K4760" s="3">
        <v>125554</v>
      </c>
      <c r="L4760" s="3">
        <v>5231</v>
      </c>
      <c r="M4760" s="4">
        <v>0.04</v>
      </c>
      <c r="N4760" s="1">
        <v>0</v>
      </c>
      <c r="O4760" s="4">
        <v>0</v>
      </c>
      <c r="P4760" s="1" t="s">
        <v>2721</v>
      </c>
    </row>
    <row r="4761" spans="1:16">
      <c r="A4761" s="1" t="s">
        <v>2730</v>
      </c>
      <c r="B4761" s="1">
        <v>11</v>
      </c>
      <c r="C4761" s="1">
        <v>1.23456789101112E+20</v>
      </c>
      <c r="D4761" s="1" t="s">
        <v>9331</v>
      </c>
      <c r="E4761" s="2">
        <v>45987</v>
      </c>
      <c r="F4761" s="1" t="s">
        <v>33</v>
      </c>
      <c r="G4761" s="1" t="s">
        <v>9332</v>
      </c>
      <c r="I4761" s="1">
        <v>1</v>
      </c>
      <c r="J4761" s="3">
        <v>149165</v>
      </c>
      <c r="K4761" s="3">
        <v>143198</v>
      </c>
      <c r="L4761" s="3">
        <v>5967</v>
      </c>
      <c r="M4761" s="4">
        <v>0.04</v>
      </c>
      <c r="N4761" s="1">
        <v>0</v>
      </c>
      <c r="O4761" s="4">
        <v>0</v>
      </c>
      <c r="P4761" s="1" t="s">
        <v>2721</v>
      </c>
    </row>
    <row r="4762" spans="1:16">
      <c r="A4762" s="1" t="s">
        <v>2730</v>
      </c>
      <c r="B4762" s="1">
        <v>11</v>
      </c>
      <c r="C4762" s="1">
        <v>1.23456789101112E+20</v>
      </c>
      <c r="D4762" s="1" t="s">
        <v>9333</v>
      </c>
      <c r="E4762" s="2">
        <v>45987</v>
      </c>
      <c r="F4762" s="1" t="s">
        <v>33</v>
      </c>
      <c r="G4762" s="1" t="s">
        <v>9334</v>
      </c>
      <c r="I4762" s="1">
        <v>1</v>
      </c>
      <c r="J4762" s="3">
        <v>119950</v>
      </c>
      <c r="K4762" s="3">
        <v>114246</v>
      </c>
      <c r="L4762" s="3">
        <v>4798</v>
      </c>
      <c r="M4762" s="4">
        <v>0.04</v>
      </c>
      <c r="N4762" s="1">
        <v>906</v>
      </c>
      <c r="O4762" s="4">
        <v>8.0000000000000002E-3</v>
      </c>
      <c r="P4762" s="1" t="s">
        <v>2721</v>
      </c>
    </row>
    <row r="4763" spans="1:16">
      <c r="A4763" s="1" t="s">
        <v>602</v>
      </c>
      <c r="B4763" s="1">
        <v>11</v>
      </c>
      <c r="C4763" s="1">
        <v>17100155073318</v>
      </c>
      <c r="D4763" s="1" t="s">
        <v>2629</v>
      </c>
      <c r="E4763" s="2">
        <v>45987</v>
      </c>
      <c r="F4763" s="1" t="s">
        <v>604</v>
      </c>
      <c r="G4763" s="1" t="s">
        <v>2630</v>
      </c>
      <c r="H4763" s="1" t="s">
        <v>5281</v>
      </c>
      <c r="I4763" s="1">
        <v>3</v>
      </c>
      <c r="J4763" s="3">
        <v>42800</v>
      </c>
      <c r="K4763" s="3">
        <v>32200</v>
      </c>
      <c r="L4763" s="3">
        <v>4965</v>
      </c>
      <c r="M4763" s="4">
        <v>0.11600000000000001</v>
      </c>
      <c r="N4763" s="3">
        <v>5635</v>
      </c>
      <c r="O4763" s="4">
        <v>0.13200000000000001</v>
      </c>
      <c r="P4763" s="1" t="s">
        <v>2721</v>
      </c>
    </row>
    <row r="4764" spans="1:16">
      <c r="A4764" s="1" t="s">
        <v>649</v>
      </c>
      <c r="B4764" s="1">
        <v>11</v>
      </c>
      <c r="C4764" s="1">
        <v>25112520165946</v>
      </c>
      <c r="D4764" s="1" t="s">
        <v>9335</v>
      </c>
      <c r="E4764" s="2">
        <v>45987</v>
      </c>
      <c r="F4764" s="1" t="s">
        <v>604</v>
      </c>
      <c r="G4764" s="1" t="s">
        <v>9336</v>
      </c>
      <c r="H4764" s="1" t="s">
        <v>9337</v>
      </c>
      <c r="I4764" s="1">
        <v>1</v>
      </c>
      <c r="J4764" s="3">
        <v>10710</v>
      </c>
      <c r="K4764" s="3">
        <v>5748</v>
      </c>
      <c r="L4764" s="1">
        <v>0</v>
      </c>
      <c r="M4764" s="4">
        <v>0</v>
      </c>
      <c r="N4764" s="3">
        <v>4962</v>
      </c>
      <c r="O4764" s="4">
        <v>0.46300000000000002</v>
      </c>
      <c r="P4764" s="1" t="s">
        <v>2721</v>
      </c>
    </row>
    <row r="4765" spans="1:16">
      <c r="A4765" s="1" t="s">
        <v>616</v>
      </c>
      <c r="B4765" s="1">
        <v>11</v>
      </c>
      <c r="C4765" s="1">
        <v>2025112531551550</v>
      </c>
      <c r="D4765" s="1" t="s">
        <v>617</v>
      </c>
      <c r="E4765" s="2">
        <v>45987</v>
      </c>
      <c r="F4765" s="1" t="s">
        <v>604</v>
      </c>
      <c r="G4765" s="1" t="s">
        <v>618</v>
      </c>
      <c r="H4765" s="1" t="s">
        <v>619</v>
      </c>
      <c r="I4765" s="1">
        <v>6</v>
      </c>
      <c r="J4765" s="3">
        <v>39000</v>
      </c>
      <c r="K4765" s="3">
        <v>19300</v>
      </c>
      <c r="L4765" s="3">
        <v>1560</v>
      </c>
      <c r="M4765" s="4">
        <v>0.04</v>
      </c>
      <c r="N4765" s="3">
        <v>18140</v>
      </c>
      <c r="O4765" s="4">
        <v>0.46500000000000002</v>
      </c>
      <c r="P4765" s="1" t="s">
        <v>2721</v>
      </c>
    </row>
    <row r="4766" spans="1:16">
      <c r="A4766" s="1" t="s">
        <v>616</v>
      </c>
      <c r="B4766" s="1">
        <v>11</v>
      </c>
      <c r="C4766" s="1">
        <v>2025112531038840</v>
      </c>
      <c r="D4766" s="1" t="s">
        <v>617</v>
      </c>
      <c r="E4766" s="2">
        <v>45987</v>
      </c>
      <c r="F4766" s="1" t="s">
        <v>604</v>
      </c>
      <c r="G4766" s="1" t="s">
        <v>618</v>
      </c>
      <c r="H4766" s="1" t="s">
        <v>2628</v>
      </c>
      <c r="I4766" s="1">
        <v>1</v>
      </c>
      <c r="J4766" s="3">
        <v>9600</v>
      </c>
      <c r="K4766" s="3">
        <v>2800</v>
      </c>
      <c r="L4766" s="1">
        <v>384</v>
      </c>
      <c r="M4766" s="4">
        <v>0.04</v>
      </c>
      <c r="N4766" s="3">
        <v>6416</v>
      </c>
      <c r="O4766" s="4">
        <v>0.66800000000000004</v>
      </c>
      <c r="P4766" s="1" t="s">
        <v>2721</v>
      </c>
    </row>
    <row r="4767" spans="1:16">
      <c r="A4767" s="1" t="s">
        <v>616</v>
      </c>
      <c r="B4767" s="1">
        <v>11</v>
      </c>
      <c r="C4767" s="1">
        <v>2025112528891100</v>
      </c>
      <c r="D4767" s="1" t="s">
        <v>9338</v>
      </c>
      <c r="E4767" s="2">
        <v>45987</v>
      </c>
      <c r="F4767" s="1" t="s">
        <v>604</v>
      </c>
      <c r="G4767" s="1" t="s">
        <v>9339</v>
      </c>
      <c r="H4767" s="1" t="s">
        <v>9340</v>
      </c>
      <c r="I4767" s="1">
        <v>1</v>
      </c>
      <c r="J4767" s="3">
        <v>10900</v>
      </c>
      <c r="K4767" s="3">
        <v>2500</v>
      </c>
      <c r="L4767" s="1">
        <v>436</v>
      </c>
      <c r="M4767" s="4">
        <v>0.04</v>
      </c>
      <c r="N4767" s="3">
        <v>7964</v>
      </c>
      <c r="O4767" s="4">
        <v>0.73099999999999998</v>
      </c>
      <c r="P4767" s="1" t="s">
        <v>2721</v>
      </c>
    </row>
    <row r="4768" spans="1:16">
      <c r="A4768" s="1" t="s">
        <v>624</v>
      </c>
      <c r="B4768" s="1">
        <v>11</v>
      </c>
      <c r="C4768" s="1">
        <v>2025112516170840</v>
      </c>
      <c r="D4768" s="1" t="s">
        <v>621</v>
      </c>
      <c r="E4768" s="2">
        <v>45987</v>
      </c>
      <c r="F4768" s="1" t="s">
        <v>604</v>
      </c>
      <c r="G4768" s="1" t="s">
        <v>622</v>
      </c>
      <c r="H4768" s="1" t="s">
        <v>625</v>
      </c>
      <c r="I4768" s="1">
        <v>1</v>
      </c>
      <c r="J4768" s="3">
        <v>8878</v>
      </c>
      <c r="K4768" s="3">
        <v>3675</v>
      </c>
      <c r="L4768" s="3">
        <v>1154</v>
      </c>
      <c r="M4768" s="4">
        <v>0.13</v>
      </c>
      <c r="N4768" s="3">
        <v>4049</v>
      </c>
      <c r="O4768" s="4">
        <v>0.45600000000000002</v>
      </c>
      <c r="P4768" s="1" t="s">
        <v>2721</v>
      </c>
    </row>
    <row r="4769" spans="1:16">
      <c r="A4769" s="1" t="s">
        <v>626</v>
      </c>
      <c r="B4769" s="1">
        <v>11</v>
      </c>
      <c r="C4769" s="1">
        <v>69451521</v>
      </c>
      <c r="D4769" s="1" t="s">
        <v>627</v>
      </c>
      <c r="E4769" s="2">
        <v>45987</v>
      </c>
      <c r="F4769" s="1" t="s">
        <v>604</v>
      </c>
      <c r="G4769" s="1" t="s">
        <v>628</v>
      </c>
      <c r="H4769" s="1" t="s">
        <v>629</v>
      </c>
      <c r="I4769" s="1">
        <v>1</v>
      </c>
      <c r="J4769" s="3">
        <v>8000</v>
      </c>
      <c r="K4769" s="3">
        <v>1800</v>
      </c>
      <c r="L4769" s="1">
        <v>880</v>
      </c>
      <c r="M4769" s="4">
        <v>0.11</v>
      </c>
      <c r="N4769" s="3">
        <v>5320</v>
      </c>
      <c r="O4769" s="4">
        <v>0.66500000000000004</v>
      </c>
      <c r="P4769" s="1" t="s">
        <v>2721</v>
      </c>
    </row>
    <row r="4770" spans="1:16">
      <c r="A4770" s="1" t="s">
        <v>626</v>
      </c>
      <c r="B4770" s="1">
        <v>11</v>
      </c>
      <c r="C4770" s="1">
        <v>69451486</v>
      </c>
      <c r="D4770" s="1" t="s">
        <v>627</v>
      </c>
      <c r="E4770" s="2">
        <v>45987</v>
      </c>
      <c r="F4770" s="1" t="s">
        <v>604</v>
      </c>
      <c r="G4770" s="1" t="s">
        <v>628</v>
      </c>
      <c r="H4770" s="1" t="s">
        <v>5282</v>
      </c>
      <c r="I4770" s="1">
        <v>3</v>
      </c>
      <c r="J4770" s="3">
        <v>17700</v>
      </c>
      <c r="K4770" s="3">
        <v>5400</v>
      </c>
      <c r="L4770" s="3">
        <v>1947</v>
      </c>
      <c r="M4770" s="4">
        <v>0.11</v>
      </c>
      <c r="N4770" s="3">
        <v>10353</v>
      </c>
      <c r="O4770" s="4">
        <v>0.58499999999999996</v>
      </c>
      <c r="P4770" s="1" t="s">
        <v>2721</v>
      </c>
    </row>
    <row r="4771" spans="1:16">
      <c r="A4771" s="1" t="s">
        <v>739</v>
      </c>
      <c r="B4771" s="1">
        <v>11</v>
      </c>
      <c r="C4771" s="1">
        <v>31512903</v>
      </c>
      <c r="D4771" s="1" t="s">
        <v>1853</v>
      </c>
      <c r="E4771" s="2">
        <v>45987</v>
      </c>
      <c r="F4771" s="1" t="s">
        <v>604</v>
      </c>
      <c r="G4771" s="1" t="s">
        <v>1854</v>
      </c>
      <c r="H4771" s="1" t="s">
        <v>1855</v>
      </c>
      <c r="I4771" s="1">
        <v>2</v>
      </c>
      <c r="J4771" s="3">
        <v>17800</v>
      </c>
      <c r="K4771" s="3">
        <v>7552</v>
      </c>
      <c r="L4771" s="3">
        <v>2350</v>
      </c>
      <c r="M4771" s="4">
        <v>0.13200000000000001</v>
      </c>
      <c r="N4771" s="3">
        <v>7898</v>
      </c>
      <c r="O4771" s="4">
        <v>0.44400000000000001</v>
      </c>
      <c r="P4771" s="1" t="s">
        <v>2721</v>
      </c>
    </row>
    <row r="4772" spans="1:16">
      <c r="A4772" s="1" t="s">
        <v>602</v>
      </c>
      <c r="B4772" s="1">
        <v>11</v>
      </c>
      <c r="C4772" s="1">
        <v>15100155405063</v>
      </c>
      <c r="D4772" s="1" t="s">
        <v>1862</v>
      </c>
      <c r="E4772" s="2">
        <v>45987</v>
      </c>
      <c r="F4772" s="1" t="s">
        <v>235</v>
      </c>
      <c r="G4772" s="1" t="s">
        <v>1863</v>
      </c>
      <c r="H4772" s="1" t="s">
        <v>1864</v>
      </c>
      <c r="I4772" s="1">
        <v>1</v>
      </c>
      <c r="J4772" s="3">
        <v>14690</v>
      </c>
      <c r="K4772" s="3">
        <v>7739</v>
      </c>
      <c r="L4772" s="3">
        <v>1704</v>
      </c>
      <c r="M4772" s="4">
        <v>0.11600000000000001</v>
      </c>
      <c r="N4772" s="3">
        <v>5247</v>
      </c>
      <c r="O4772" s="4">
        <v>0.35699999999999998</v>
      </c>
      <c r="P4772" s="1" t="s">
        <v>2721</v>
      </c>
    </row>
    <row r="4773" spans="1:16">
      <c r="A4773" s="1" t="s">
        <v>602</v>
      </c>
      <c r="B4773" s="1">
        <v>11</v>
      </c>
      <c r="C4773" s="1">
        <v>3100155635330</v>
      </c>
      <c r="D4773" s="1" t="s">
        <v>1862</v>
      </c>
      <c r="E4773" s="2">
        <v>45987</v>
      </c>
      <c r="F4773" s="1" t="s">
        <v>235</v>
      </c>
      <c r="G4773" s="1" t="s">
        <v>1863</v>
      </c>
      <c r="H4773" s="1" t="s">
        <v>1864</v>
      </c>
      <c r="I4773" s="1">
        <v>1</v>
      </c>
      <c r="J4773" s="3">
        <v>14690</v>
      </c>
      <c r="K4773" s="3">
        <v>7739</v>
      </c>
      <c r="L4773" s="3">
        <v>1704</v>
      </c>
      <c r="M4773" s="4">
        <v>0.11600000000000001</v>
      </c>
      <c r="N4773" s="3">
        <v>5247</v>
      </c>
      <c r="O4773" s="4">
        <v>0.35699999999999998</v>
      </c>
      <c r="P4773" s="1" t="s">
        <v>2721</v>
      </c>
    </row>
    <row r="4774" spans="1:16">
      <c r="A4774" s="1" t="s">
        <v>649</v>
      </c>
      <c r="B4774" s="1">
        <v>11</v>
      </c>
      <c r="C4774" s="1">
        <v>25112606494164</v>
      </c>
      <c r="D4774" s="1" t="s">
        <v>2257</v>
      </c>
      <c r="E4774" s="2">
        <v>45987</v>
      </c>
      <c r="F4774" s="1" t="s">
        <v>2206</v>
      </c>
      <c r="G4774" s="1" t="s">
        <v>2258</v>
      </c>
      <c r="H4774" s="1" t="s">
        <v>9341</v>
      </c>
      <c r="I4774" s="1">
        <v>1</v>
      </c>
      <c r="J4774" s="3">
        <v>39644</v>
      </c>
      <c r="K4774" s="3">
        <v>33800</v>
      </c>
      <c r="L4774" s="1">
        <v>0</v>
      </c>
      <c r="M4774" s="4">
        <v>0</v>
      </c>
      <c r="N4774" s="3">
        <v>5844</v>
      </c>
      <c r="O4774" s="4">
        <v>0.14699999999999999</v>
      </c>
      <c r="P4774" s="1" t="s">
        <v>2721</v>
      </c>
    </row>
    <row r="4775" spans="1:16">
      <c r="A4775" s="1" t="s">
        <v>649</v>
      </c>
      <c r="B4775" s="1">
        <v>11</v>
      </c>
      <c r="C4775" s="1">
        <v>25112601063887</v>
      </c>
      <c r="D4775" s="1" t="s">
        <v>2184</v>
      </c>
      <c r="E4775" s="2">
        <v>45987</v>
      </c>
      <c r="F4775" s="1" t="s">
        <v>500</v>
      </c>
      <c r="G4775" s="1" t="s">
        <v>2185</v>
      </c>
      <c r="H4775" s="1" t="s">
        <v>5903</v>
      </c>
      <c r="I4775" s="1">
        <v>1</v>
      </c>
      <c r="J4775" s="3">
        <v>104550</v>
      </c>
      <c r="K4775" s="3">
        <v>98000</v>
      </c>
      <c r="L4775" s="1">
        <v>0</v>
      </c>
      <c r="M4775" s="4">
        <v>0</v>
      </c>
      <c r="N4775" s="3">
        <v>6550</v>
      </c>
      <c r="O4775" s="4">
        <v>6.3E-2</v>
      </c>
      <c r="P4775" s="1" t="s">
        <v>2721</v>
      </c>
    </row>
    <row r="4776" spans="1:16">
      <c r="A4776" s="1" t="s">
        <v>649</v>
      </c>
      <c r="B4776" s="1">
        <v>11</v>
      </c>
      <c r="C4776" s="1">
        <v>25112521405558</v>
      </c>
      <c r="D4776" s="1" t="s">
        <v>2704</v>
      </c>
      <c r="E4776" s="2">
        <v>45987</v>
      </c>
      <c r="F4776" s="1" t="s">
        <v>48</v>
      </c>
      <c r="G4776" s="1" t="s">
        <v>2705</v>
      </c>
      <c r="H4776" s="1" t="s">
        <v>9342</v>
      </c>
      <c r="I4776" s="1">
        <v>2</v>
      </c>
      <c r="J4776" s="3">
        <v>16082</v>
      </c>
      <c r="K4776" s="3">
        <v>13634</v>
      </c>
      <c r="L4776" s="1">
        <v>0</v>
      </c>
      <c r="M4776" s="4">
        <v>0</v>
      </c>
      <c r="N4776" s="3">
        <v>2448</v>
      </c>
      <c r="O4776" s="4">
        <v>0.152</v>
      </c>
      <c r="P4776" s="1" t="s">
        <v>2721</v>
      </c>
    </row>
    <row r="4777" spans="1:16">
      <c r="A4777" s="1" t="s">
        <v>649</v>
      </c>
      <c r="B4777" s="1">
        <v>11</v>
      </c>
      <c r="C4777" s="1">
        <v>25112521081198</v>
      </c>
      <c r="D4777" s="1" t="s">
        <v>2639</v>
      </c>
      <c r="E4777" s="2">
        <v>45987</v>
      </c>
      <c r="F4777" s="1" t="s">
        <v>48</v>
      </c>
      <c r="G4777" s="1" t="s">
        <v>2640</v>
      </c>
      <c r="H4777" s="1" t="s">
        <v>2641</v>
      </c>
      <c r="I4777" s="1">
        <v>1</v>
      </c>
      <c r="J4777" s="3">
        <v>10472</v>
      </c>
      <c r="K4777" s="3">
        <v>8888</v>
      </c>
      <c r="L4777" s="1">
        <v>0</v>
      </c>
      <c r="M4777" s="4">
        <v>0</v>
      </c>
      <c r="N4777" s="3">
        <v>1584</v>
      </c>
      <c r="O4777" s="4">
        <v>0.151</v>
      </c>
      <c r="P4777" s="1" t="s">
        <v>2721</v>
      </c>
    </row>
    <row r="4778" spans="1:16">
      <c r="A4778" s="1" t="s">
        <v>649</v>
      </c>
      <c r="B4778" s="1">
        <v>11</v>
      </c>
      <c r="C4778" s="1">
        <v>25112514184272</v>
      </c>
      <c r="D4778" s="1" t="s">
        <v>9343</v>
      </c>
      <c r="E4778" s="2">
        <v>45987</v>
      </c>
      <c r="F4778" s="1" t="s">
        <v>235</v>
      </c>
      <c r="G4778" s="1" t="s">
        <v>9344</v>
      </c>
      <c r="H4778" s="1" t="s">
        <v>9345</v>
      </c>
      <c r="I4778" s="1">
        <v>1</v>
      </c>
      <c r="J4778" s="3">
        <v>18530</v>
      </c>
      <c r="K4778" s="3">
        <v>17353</v>
      </c>
      <c r="L4778" s="1">
        <v>0</v>
      </c>
      <c r="M4778" s="4">
        <v>0</v>
      </c>
      <c r="N4778" s="3">
        <v>1177</v>
      </c>
      <c r="O4778" s="4">
        <v>6.4000000000000001E-2</v>
      </c>
      <c r="P4778" s="1" t="s">
        <v>2721</v>
      </c>
    </row>
    <row r="4779" spans="1:16">
      <c r="A4779" s="1" t="s">
        <v>632</v>
      </c>
      <c r="B4779" s="1">
        <v>11</v>
      </c>
      <c r="C4779" s="1">
        <v>164497935</v>
      </c>
      <c r="D4779" s="1" t="s">
        <v>9346</v>
      </c>
      <c r="E4779" s="2">
        <v>45987</v>
      </c>
      <c r="F4779" s="1" t="s">
        <v>9347</v>
      </c>
      <c r="G4779" s="1" t="s">
        <v>9348</v>
      </c>
      <c r="I4779" s="1">
        <v>2</v>
      </c>
      <c r="J4779" s="3">
        <v>48800</v>
      </c>
      <c r="K4779" s="3">
        <v>38382</v>
      </c>
      <c r="L4779" s="3">
        <v>5173</v>
      </c>
      <c r="M4779" s="4">
        <v>0.106</v>
      </c>
      <c r="N4779" s="3">
        <v>5245</v>
      </c>
      <c r="O4779" s="4">
        <v>0.107</v>
      </c>
      <c r="P4779" s="1" t="s">
        <v>2721</v>
      </c>
    </row>
    <row r="4780" spans="1:16">
      <c r="A4780" s="1" t="s">
        <v>632</v>
      </c>
      <c r="B4780" s="1">
        <v>11</v>
      </c>
      <c r="C4780" s="1">
        <v>164467879</v>
      </c>
      <c r="D4780" s="1" t="s">
        <v>9349</v>
      </c>
      <c r="E4780" s="2">
        <v>45987</v>
      </c>
      <c r="F4780" s="1" t="s">
        <v>4410</v>
      </c>
      <c r="G4780" s="1" t="s">
        <v>9350</v>
      </c>
      <c r="I4780" s="1">
        <v>1</v>
      </c>
      <c r="J4780" s="3">
        <v>29900</v>
      </c>
      <c r="K4780" s="3">
        <v>26264</v>
      </c>
      <c r="L4780" s="3">
        <v>3169</v>
      </c>
      <c r="M4780" s="4">
        <v>0.106</v>
      </c>
      <c r="N4780" s="1">
        <v>467</v>
      </c>
      <c r="O4780" s="4">
        <v>1.6E-2</v>
      </c>
      <c r="P4780" s="1" t="s">
        <v>2721</v>
      </c>
    </row>
    <row r="4781" spans="1:16">
      <c r="A4781" s="1" t="s">
        <v>1849</v>
      </c>
      <c r="B4781" s="1">
        <v>11</v>
      </c>
      <c r="C4781" s="1">
        <v>315545</v>
      </c>
      <c r="D4781" s="1" t="s">
        <v>9351</v>
      </c>
      <c r="E4781" s="2">
        <v>45987</v>
      </c>
      <c r="F4781" s="1" t="s">
        <v>256</v>
      </c>
      <c r="G4781" s="1" t="s">
        <v>9352</v>
      </c>
      <c r="H4781" s="1" t="s">
        <v>9353</v>
      </c>
      <c r="I4781" s="1">
        <v>1</v>
      </c>
      <c r="J4781" s="3">
        <v>14100</v>
      </c>
      <c r="K4781" s="3">
        <v>9361</v>
      </c>
      <c r="L4781" s="3">
        <v>2115</v>
      </c>
      <c r="M4781" s="4">
        <v>0.15</v>
      </c>
      <c r="N4781" s="3">
        <v>2624</v>
      </c>
      <c r="O4781" s="4">
        <v>0.186</v>
      </c>
      <c r="P4781" s="1" t="s">
        <v>2721</v>
      </c>
    </row>
    <row r="4782" spans="1:16">
      <c r="A4782" s="1" t="s">
        <v>692</v>
      </c>
      <c r="B4782" s="1">
        <v>11</v>
      </c>
      <c r="C4782" s="1" t="s">
        <v>9354</v>
      </c>
      <c r="D4782" s="1" t="s">
        <v>3500</v>
      </c>
      <c r="E4782" s="2">
        <v>45987</v>
      </c>
      <c r="F4782" s="1" t="s">
        <v>96</v>
      </c>
      <c r="G4782" s="1" t="s">
        <v>3501</v>
      </c>
      <c r="H4782" s="1" t="s">
        <v>9355</v>
      </c>
      <c r="I4782" s="1">
        <v>1</v>
      </c>
      <c r="J4782" s="3">
        <v>14790</v>
      </c>
      <c r="K4782" s="3">
        <v>13721</v>
      </c>
      <c r="L4782" s="1">
        <v>0</v>
      </c>
      <c r="M4782" s="4">
        <v>0</v>
      </c>
      <c r="N4782" s="3">
        <v>1069</v>
      </c>
      <c r="O4782" s="4">
        <v>7.1999999999999995E-2</v>
      </c>
      <c r="P4782" s="1" t="s">
        <v>2721</v>
      </c>
    </row>
    <row r="4783" spans="1:16">
      <c r="A4783" s="1" t="s">
        <v>692</v>
      </c>
      <c r="B4783" s="1">
        <v>11</v>
      </c>
      <c r="C4783" s="1" t="s">
        <v>9354</v>
      </c>
      <c r="D4783" s="1" t="s">
        <v>5312</v>
      </c>
      <c r="E4783" s="2">
        <v>45987</v>
      </c>
      <c r="F4783" s="1" t="s">
        <v>96</v>
      </c>
      <c r="G4783" s="1" t="s">
        <v>5313</v>
      </c>
      <c r="H4783" s="1" t="s">
        <v>5314</v>
      </c>
      <c r="I4783" s="1">
        <v>1</v>
      </c>
      <c r="J4783" s="3">
        <v>8585</v>
      </c>
      <c r="K4783" s="3">
        <v>7574</v>
      </c>
      <c r="L4783" s="1">
        <v>0</v>
      </c>
      <c r="M4783" s="4">
        <v>0</v>
      </c>
      <c r="N4783" s="3">
        <v>1011</v>
      </c>
      <c r="O4783" s="4">
        <v>0.11799999999999999</v>
      </c>
      <c r="P4783" s="1" t="s">
        <v>2721</v>
      </c>
    </row>
    <row r="4784" spans="1:16">
      <c r="A4784" s="1" t="s">
        <v>692</v>
      </c>
      <c r="B4784" s="1">
        <v>11</v>
      </c>
      <c r="C4784" s="1" t="s">
        <v>9354</v>
      </c>
      <c r="D4784" s="1" t="s">
        <v>699</v>
      </c>
      <c r="E4784" s="2">
        <v>45987</v>
      </c>
      <c r="F4784" s="1" t="s">
        <v>96</v>
      </c>
      <c r="G4784" s="1" t="s">
        <v>700</v>
      </c>
      <c r="H4784" s="1" t="s">
        <v>701</v>
      </c>
      <c r="I4784" s="1">
        <v>1</v>
      </c>
      <c r="J4784" s="3">
        <v>10795</v>
      </c>
      <c r="K4784" s="3">
        <v>9488</v>
      </c>
      <c r="L4784" s="1">
        <v>0</v>
      </c>
      <c r="M4784" s="4">
        <v>0</v>
      </c>
      <c r="N4784" s="3">
        <v>1307</v>
      </c>
      <c r="O4784" s="4">
        <v>0.121</v>
      </c>
      <c r="P4784" s="1" t="s">
        <v>2721</v>
      </c>
    </row>
    <row r="4785" spans="1:16">
      <c r="A4785" s="1" t="s">
        <v>692</v>
      </c>
      <c r="B4785" s="1">
        <v>11</v>
      </c>
      <c r="C4785" s="1" t="s">
        <v>9354</v>
      </c>
      <c r="D4785" s="1" t="s">
        <v>8707</v>
      </c>
      <c r="E4785" s="2">
        <v>45987</v>
      </c>
      <c r="F4785" s="1" t="s">
        <v>96</v>
      </c>
      <c r="G4785" s="1" t="s">
        <v>8708</v>
      </c>
      <c r="H4785" s="1" t="s">
        <v>8709</v>
      </c>
      <c r="I4785" s="1">
        <v>1</v>
      </c>
      <c r="J4785" s="3">
        <v>10795</v>
      </c>
      <c r="K4785" s="3">
        <v>9488</v>
      </c>
      <c r="L4785" s="1">
        <v>0</v>
      </c>
      <c r="M4785" s="4">
        <v>0</v>
      </c>
      <c r="N4785" s="3">
        <v>1307</v>
      </c>
      <c r="O4785" s="4">
        <v>0.121</v>
      </c>
      <c r="P4785" s="1" t="s">
        <v>2721</v>
      </c>
    </row>
    <row r="4786" spans="1:16">
      <c r="A4786" s="1" t="s">
        <v>702</v>
      </c>
      <c r="B4786" s="1">
        <v>11</v>
      </c>
      <c r="C4786" s="1" t="s">
        <v>9356</v>
      </c>
      <c r="D4786" s="1" t="s">
        <v>2012</v>
      </c>
      <c r="E4786" s="2">
        <v>45987</v>
      </c>
      <c r="F4786" s="1" t="s">
        <v>96</v>
      </c>
      <c r="G4786" s="1" t="s">
        <v>2013</v>
      </c>
      <c r="H4786" s="1" t="s">
        <v>2014</v>
      </c>
      <c r="I4786" s="1">
        <v>1</v>
      </c>
      <c r="J4786" s="3">
        <v>29100</v>
      </c>
      <c r="K4786" s="3">
        <v>22351</v>
      </c>
      <c r="L4786" s="1">
        <v>0</v>
      </c>
      <c r="M4786" s="4">
        <v>0</v>
      </c>
      <c r="N4786" s="3">
        <v>6749</v>
      </c>
      <c r="O4786" s="4">
        <v>0.23200000000000001</v>
      </c>
      <c r="P4786" s="1" t="s">
        <v>2721</v>
      </c>
    </row>
    <row r="4787" spans="1:16">
      <c r="A4787" s="1" t="s">
        <v>702</v>
      </c>
      <c r="B4787" s="1">
        <v>11</v>
      </c>
      <c r="C4787" s="1" t="s">
        <v>9357</v>
      </c>
      <c r="D4787" s="1" t="s">
        <v>2038</v>
      </c>
      <c r="E4787" s="2">
        <v>45987</v>
      </c>
      <c r="F4787" s="1" t="s">
        <v>96</v>
      </c>
      <c r="G4787" s="1" t="s">
        <v>2039</v>
      </c>
      <c r="H4787" s="1" t="s">
        <v>88</v>
      </c>
      <c r="I4787" s="1">
        <v>1</v>
      </c>
      <c r="J4787" s="3">
        <v>21200</v>
      </c>
      <c r="K4787" s="3">
        <v>16741</v>
      </c>
      <c r="L4787" s="1">
        <v>0</v>
      </c>
      <c r="M4787" s="4">
        <v>0</v>
      </c>
      <c r="N4787" s="3">
        <v>4459</v>
      </c>
      <c r="O4787" s="4">
        <v>0.21</v>
      </c>
      <c r="P4787" s="1" t="s">
        <v>2721</v>
      </c>
    </row>
    <row r="4788" spans="1:16">
      <c r="A4788" s="1" t="s">
        <v>707</v>
      </c>
      <c r="B4788" s="1">
        <v>11</v>
      </c>
      <c r="C4788" s="1">
        <v>2.025112511102E+17</v>
      </c>
      <c r="D4788" s="1" t="s">
        <v>9358</v>
      </c>
      <c r="E4788" s="2">
        <v>45987</v>
      </c>
      <c r="F4788" s="1" t="s">
        <v>347</v>
      </c>
      <c r="G4788" s="1" t="s">
        <v>9359</v>
      </c>
      <c r="H4788" s="1" t="s">
        <v>9360</v>
      </c>
      <c r="I4788" s="1">
        <v>1</v>
      </c>
      <c r="J4788" s="3">
        <v>28600</v>
      </c>
      <c r="K4788" s="3">
        <v>22062</v>
      </c>
      <c r="L4788" s="3">
        <v>4290</v>
      </c>
      <c r="M4788" s="4">
        <v>0.15</v>
      </c>
      <c r="N4788" s="3">
        <v>2248</v>
      </c>
      <c r="O4788" s="4">
        <v>7.9000000000000001E-2</v>
      </c>
      <c r="P4788" s="1" t="s">
        <v>2721</v>
      </c>
    </row>
    <row r="4789" spans="1:16">
      <c r="A4789" s="1" t="s">
        <v>707</v>
      </c>
      <c r="B4789" s="1">
        <v>11</v>
      </c>
      <c r="C4789" s="1">
        <v>2.0251125153115398E+17</v>
      </c>
      <c r="D4789" s="1" t="s">
        <v>1862</v>
      </c>
      <c r="E4789" s="2">
        <v>45987</v>
      </c>
      <c r="F4789" s="1" t="s">
        <v>235</v>
      </c>
      <c r="G4789" s="1" t="s">
        <v>1863</v>
      </c>
      <c r="H4789" s="1" t="s">
        <v>2070</v>
      </c>
      <c r="I4789" s="1">
        <v>1</v>
      </c>
      <c r="J4789" s="3">
        <v>9800</v>
      </c>
      <c r="K4789" s="3">
        <v>7739</v>
      </c>
      <c r="L4789" s="3">
        <v>1470</v>
      </c>
      <c r="M4789" s="4">
        <v>0.15</v>
      </c>
      <c r="N4789" s="1">
        <v>591</v>
      </c>
      <c r="O4789" s="4">
        <v>0.06</v>
      </c>
      <c r="P4789" s="1" t="s">
        <v>2721</v>
      </c>
    </row>
    <row r="4790" spans="1:16">
      <c r="A4790" s="1" t="s">
        <v>707</v>
      </c>
      <c r="B4790" s="1">
        <v>11</v>
      </c>
      <c r="C4790" s="1">
        <v>2.0251125172410899E+17</v>
      </c>
      <c r="D4790" s="1" t="s">
        <v>4458</v>
      </c>
      <c r="E4790" s="2">
        <v>45987</v>
      </c>
      <c r="F4790" s="1" t="s">
        <v>3033</v>
      </c>
      <c r="G4790" s="1" t="s">
        <v>4459</v>
      </c>
      <c r="H4790" s="1" t="s">
        <v>5321</v>
      </c>
      <c r="I4790" s="1">
        <v>1</v>
      </c>
      <c r="J4790" s="3">
        <v>32900</v>
      </c>
      <c r="K4790" s="3">
        <v>24688</v>
      </c>
      <c r="L4790" s="3">
        <v>4935</v>
      </c>
      <c r="M4790" s="4">
        <v>0.15</v>
      </c>
      <c r="N4790" s="3">
        <v>3277</v>
      </c>
      <c r="O4790" s="4">
        <v>0.1</v>
      </c>
      <c r="P4790" s="1" t="s">
        <v>2721</v>
      </c>
    </row>
    <row r="4791" spans="1:16">
      <c r="A4791" s="1" t="s">
        <v>707</v>
      </c>
      <c r="B4791" s="1">
        <v>11</v>
      </c>
      <c r="C4791" s="1">
        <v>2.0251125205223802E+17</v>
      </c>
      <c r="D4791" s="1" t="s">
        <v>1862</v>
      </c>
      <c r="E4791" s="2">
        <v>45987</v>
      </c>
      <c r="F4791" s="1" t="s">
        <v>235</v>
      </c>
      <c r="G4791" s="1" t="s">
        <v>1863</v>
      </c>
      <c r="H4791" s="1" t="s">
        <v>2070</v>
      </c>
      <c r="I4791" s="1">
        <v>1</v>
      </c>
      <c r="J4791" s="3">
        <v>9800</v>
      </c>
      <c r="K4791" s="3">
        <v>7739</v>
      </c>
      <c r="L4791" s="3">
        <v>1470</v>
      </c>
      <c r="M4791" s="4">
        <v>0.15</v>
      </c>
      <c r="N4791" s="1">
        <v>591</v>
      </c>
      <c r="O4791" s="4">
        <v>0.06</v>
      </c>
      <c r="P4791" s="1" t="s">
        <v>2721</v>
      </c>
    </row>
    <row r="4792" spans="1:16">
      <c r="A4792" s="1" t="s">
        <v>707</v>
      </c>
      <c r="B4792" s="1">
        <v>11</v>
      </c>
      <c r="C4792" s="1">
        <v>2.0251126081559299E+17</v>
      </c>
      <c r="D4792" s="1" t="s">
        <v>2071</v>
      </c>
      <c r="E4792" s="2">
        <v>45987</v>
      </c>
      <c r="F4792" s="1" t="s">
        <v>235</v>
      </c>
      <c r="G4792" s="1" t="s">
        <v>2072</v>
      </c>
      <c r="H4792" s="1" t="s">
        <v>2073</v>
      </c>
      <c r="I4792" s="1">
        <v>1</v>
      </c>
      <c r="J4792" s="3">
        <v>9800</v>
      </c>
      <c r="K4792" s="3">
        <v>7739</v>
      </c>
      <c r="L4792" s="3">
        <v>1470</v>
      </c>
      <c r="M4792" s="4">
        <v>0.15</v>
      </c>
      <c r="N4792" s="1">
        <v>591</v>
      </c>
      <c r="O4792" s="4">
        <v>0.06</v>
      </c>
      <c r="P4792" s="1" t="s">
        <v>2721</v>
      </c>
    </row>
    <row r="4793" spans="1:16">
      <c r="A4793" s="1" t="s">
        <v>707</v>
      </c>
      <c r="B4793" s="1">
        <v>11</v>
      </c>
      <c r="C4793" s="1">
        <v>2.0251126081646301E+17</v>
      </c>
      <c r="D4793" s="1" t="s">
        <v>2071</v>
      </c>
      <c r="E4793" s="2">
        <v>45987</v>
      </c>
      <c r="F4793" s="1" t="s">
        <v>235</v>
      </c>
      <c r="G4793" s="1" t="s">
        <v>2072</v>
      </c>
      <c r="H4793" s="1" t="s">
        <v>2073</v>
      </c>
      <c r="I4793" s="1">
        <v>1</v>
      </c>
      <c r="J4793" s="3">
        <v>9800</v>
      </c>
      <c r="K4793" s="3">
        <v>7739</v>
      </c>
      <c r="L4793" s="3">
        <v>1470</v>
      </c>
      <c r="M4793" s="4">
        <v>0.15</v>
      </c>
      <c r="N4793" s="1">
        <v>591</v>
      </c>
      <c r="O4793" s="4">
        <v>0.06</v>
      </c>
      <c r="P4793" s="1" t="s">
        <v>2721</v>
      </c>
    </row>
    <row r="4794" spans="1:16">
      <c r="A4794" s="1" t="s">
        <v>707</v>
      </c>
      <c r="B4794" s="1">
        <v>11</v>
      </c>
      <c r="C4794" s="1">
        <v>2.0251126081805299E+17</v>
      </c>
      <c r="D4794" s="1" t="s">
        <v>2071</v>
      </c>
      <c r="E4794" s="2">
        <v>45987</v>
      </c>
      <c r="F4794" s="1" t="s">
        <v>235</v>
      </c>
      <c r="G4794" s="1" t="s">
        <v>2072</v>
      </c>
      <c r="H4794" s="1" t="s">
        <v>2073</v>
      </c>
      <c r="I4794" s="1">
        <v>1</v>
      </c>
      <c r="J4794" s="3">
        <v>9800</v>
      </c>
      <c r="K4794" s="3">
        <v>7739</v>
      </c>
      <c r="L4794" s="3">
        <v>1470</v>
      </c>
      <c r="M4794" s="4">
        <v>0.15</v>
      </c>
      <c r="N4794" s="1">
        <v>591</v>
      </c>
      <c r="O4794" s="4">
        <v>0.06</v>
      </c>
      <c r="P4794" s="1" t="s">
        <v>2721</v>
      </c>
    </row>
    <row r="4795" spans="1:16">
      <c r="A4795" s="1" t="s">
        <v>707</v>
      </c>
      <c r="B4795" s="1">
        <v>11</v>
      </c>
      <c r="C4795" s="1">
        <v>2.0251126081902301E+17</v>
      </c>
      <c r="D4795" s="1" t="s">
        <v>2071</v>
      </c>
      <c r="E4795" s="2">
        <v>45987</v>
      </c>
      <c r="F4795" s="1" t="s">
        <v>235</v>
      </c>
      <c r="G4795" s="1" t="s">
        <v>2072</v>
      </c>
      <c r="H4795" s="1" t="s">
        <v>2073</v>
      </c>
      <c r="I4795" s="1">
        <v>1</v>
      </c>
      <c r="J4795" s="3">
        <v>9800</v>
      </c>
      <c r="K4795" s="3">
        <v>7739</v>
      </c>
      <c r="L4795" s="3">
        <v>1470</v>
      </c>
      <c r="M4795" s="4">
        <v>0.15</v>
      </c>
      <c r="N4795" s="1">
        <v>591</v>
      </c>
      <c r="O4795" s="4">
        <v>0.06</v>
      </c>
      <c r="P4795" s="1" t="s">
        <v>2721</v>
      </c>
    </row>
    <row r="4796" spans="1:16">
      <c r="A4796" s="1" t="s">
        <v>2082</v>
      </c>
      <c r="B4796" s="1">
        <v>11</v>
      </c>
      <c r="C4796" s="1">
        <v>2.0251125195354499E+17</v>
      </c>
      <c r="D4796" s="1" t="s">
        <v>3076</v>
      </c>
      <c r="E4796" s="2">
        <v>45987</v>
      </c>
      <c r="F4796" s="1" t="s">
        <v>426</v>
      </c>
      <c r="G4796" s="1" t="s">
        <v>3077</v>
      </c>
      <c r="H4796" s="1" t="s">
        <v>3078</v>
      </c>
      <c r="I4796" s="1">
        <v>1</v>
      </c>
      <c r="J4796" s="3">
        <v>58000</v>
      </c>
      <c r="K4796" s="3">
        <v>44086</v>
      </c>
      <c r="L4796" s="3">
        <v>8700</v>
      </c>
      <c r="M4796" s="4">
        <v>0.15</v>
      </c>
      <c r="N4796" s="3">
        <v>5214</v>
      </c>
      <c r="O4796" s="4">
        <v>0.09</v>
      </c>
      <c r="P4796" s="1" t="s">
        <v>2721</v>
      </c>
    </row>
    <row r="4797" spans="1:16">
      <c r="A4797" s="1" t="s">
        <v>711</v>
      </c>
      <c r="B4797" s="1">
        <v>11</v>
      </c>
      <c r="C4797" s="1">
        <v>2.0251125095552499E+17</v>
      </c>
      <c r="D4797" s="1" t="s">
        <v>712</v>
      </c>
      <c r="E4797" s="2">
        <v>45987</v>
      </c>
      <c r="F4797" s="1" t="s">
        <v>500</v>
      </c>
      <c r="G4797" s="1" t="s">
        <v>713</v>
      </c>
      <c r="H4797" s="1" t="s">
        <v>714</v>
      </c>
      <c r="I4797" s="1">
        <v>1</v>
      </c>
      <c r="J4797" s="3">
        <v>195900</v>
      </c>
      <c r="K4797" s="3">
        <v>159500</v>
      </c>
      <c r="L4797" s="3">
        <v>29385</v>
      </c>
      <c r="M4797" s="4">
        <v>0.15</v>
      </c>
      <c r="N4797" s="3">
        <v>7015</v>
      </c>
      <c r="O4797" s="4">
        <v>3.5999999999999997E-2</v>
      </c>
      <c r="P4797" s="1" t="s">
        <v>2721</v>
      </c>
    </row>
    <row r="4798" spans="1:16">
      <c r="A4798" s="1" t="s">
        <v>711</v>
      </c>
      <c r="B4798" s="1">
        <v>11</v>
      </c>
      <c r="C4798" s="1">
        <v>2.0251125132415699E+17</v>
      </c>
      <c r="D4798" s="1" t="s">
        <v>9361</v>
      </c>
      <c r="E4798" s="2">
        <v>45987</v>
      </c>
      <c r="F4798" s="1" t="s">
        <v>58</v>
      </c>
      <c r="G4798" s="1" t="s">
        <v>9362</v>
      </c>
      <c r="H4798" s="1" t="s">
        <v>9363</v>
      </c>
      <c r="I4798" s="1">
        <v>1</v>
      </c>
      <c r="J4798" s="3">
        <v>28000</v>
      </c>
      <c r="K4798" s="3">
        <v>20167</v>
      </c>
      <c r="L4798" s="3">
        <v>4200</v>
      </c>
      <c r="M4798" s="4">
        <v>0.15</v>
      </c>
      <c r="N4798" s="3">
        <v>3633</v>
      </c>
      <c r="O4798" s="4">
        <v>0.13</v>
      </c>
      <c r="P4798" s="1" t="s">
        <v>2721</v>
      </c>
    </row>
    <row r="4799" spans="1:16">
      <c r="A4799" s="1" t="s">
        <v>711</v>
      </c>
      <c r="B4799" s="1">
        <v>11</v>
      </c>
      <c r="C4799" s="1">
        <v>2.02511252257204E+17</v>
      </c>
      <c r="D4799" s="1" t="s">
        <v>5961</v>
      </c>
      <c r="E4799" s="2">
        <v>45987</v>
      </c>
      <c r="F4799" s="1" t="s">
        <v>297</v>
      </c>
      <c r="G4799" s="1" t="s">
        <v>5962</v>
      </c>
      <c r="H4799" s="1" t="s">
        <v>5963</v>
      </c>
      <c r="I4799" s="1">
        <v>1</v>
      </c>
      <c r="J4799" s="3">
        <v>45000</v>
      </c>
      <c r="K4799" s="3">
        <v>30485</v>
      </c>
      <c r="L4799" s="3">
        <v>6750</v>
      </c>
      <c r="M4799" s="4">
        <v>0.15</v>
      </c>
      <c r="N4799" s="3">
        <v>7765</v>
      </c>
      <c r="O4799" s="4">
        <v>0.17299999999999999</v>
      </c>
      <c r="P4799" s="1" t="s">
        <v>2721</v>
      </c>
    </row>
    <row r="4800" spans="1:16">
      <c r="A4800" s="1" t="s">
        <v>718</v>
      </c>
      <c r="B4800" s="1">
        <v>11</v>
      </c>
      <c r="C4800" s="1">
        <v>2.0251126082620899E+17</v>
      </c>
      <c r="D4800" s="1" t="s">
        <v>3460</v>
      </c>
      <c r="E4800" s="2">
        <v>45987</v>
      </c>
      <c r="F4800" s="1" t="s">
        <v>235</v>
      </c>
      <c r="G4800" s="1" t="s">
        <v>3461</v>
      </c>
      <c r="H4800" s="1" t="s">
        <v>8751</v>
      </c>
      <c r="I4800" s="1">
        <v>1</v>
      </c>
      <c r="J4800" s="3">
        <v>15000</v>
      </c>
      <c r="K4800" s="3">
        <v>10010</v>
      </c>
      <c r="L4800" s="3">
        <v>1500</v>
      </c>
      <c r="M4800" s="4">
        <v>0.1</v>
      </c>
      <c r="N4800" s="3">
        <v>3490</v>
      </c>
      <c r="O4800" s="4">
        <v>0.23300000000000001</v>
      </c>
      <c r="P4800" s="1" t="s">
        <v>2721</v>
      </c>
    </row>
    <row r="4801" spans="1:16">
      <c r="A4801" s="1" t="s">
        <v>718</v>
      </c>
      <c r="B4801" s="1">
        <v>11</v>
      </c>
      <c r="C4801" s="1">
        <v>2.02511260354552E+17</v>
      </c>
      <c r="D4801" s="1" t="s">
        <v>1941</v>
      </c>
      <c r="E4801" s="2">
        <v>45987</v>
      </c>
      <c r="F4801" s="1" t="s">
        <v>235</v>
      </c>
      <c r="G4801" s="1" t="s">
        <v>1942</v>
      </c>
      <c r="H4801" s="1" t="s">
        <v>7251</v>
      </c>
      <c r="I4801" s="1">
        <v>1</v>
      </c>
      <c r="J4801" s="3">
        <v>30000</v>
      </c>
      <c r="K4801" s="3">
        <v>21340</v>
      </c>
      <c r="L4801" s="3">
        <v>3000</v>
      </c>
      <c r="M4801" s="4">
        <v>0.1</v>
      </c>
      <c r="N4801" s="3">
        <v>5660</v>
      </c>
      <c r="O4801" s="4">
        <v>0.189</v>
      </c>
      <c r="P4801" s="1" t="s">
        <v>2721</v>
      </c>
    </row>
    <row r="4802" spans="1:16">
      <c r="A4802" s="1" t="s">
        <v>718</v>
      </c>
      <c r="B4802" s="1">
        <v>11</v>
      </c>
      <c r="C4802" s="1">
        <v>2.0251125232048899E+17</v>
      </c>
      <c r="D4802" s="1" t="s">
        <v>3487</v>
      </c>
      <c r="E4802" s="2">
        <v>45987</v>
      </c>
      <c r="F4802" s="1" t="s">
        <v>3484</v>
      </c>
      <c r="G4802" s="1" t="s">
        <v>3488</v>
      </c>
      <c r="H4802" s="1" t="s">
        <v>3489</v>
      </c>
      <c r="I4802" s="1">
        <v>1</v>
      </c>
      <c r="J4802" s="3">
        <v>37000</v>
      </c>
      <c r="K4802" s="3">
        <v>25795</v>
      </c>
      <c r="L4802" s="3">
        <v>3700</v>
      </c>
      <c r="M4802" s="4">
        <v>0.1</v>
      </c>
      <c r="N4802" s="3">
        <v>7505</v>
      </c>
      <c r="O4802" s="4">
        <v>0.20300000000000001</v>
      </c>
      <c r="P4802" s="1" t="s">
        <v>2721</v>
      </c>
    </row>
    <row r="4803" spans="1:16">
      <c r="A4803" s="1" t="s">
        <v>718</v>
      </c>
      <c r="B4803" s="1">
        <v>11</v>
      </c>
      <c r="C4803" s="1">
        <v>2.0251125221752499E+17</v>
      </c>
      <c r="D4803" s="1" t="s">
        <v>2093</v>
      </c>
      <c r="E4803" s="2">
        <v>45987</v>
      </c>
      <c r="F4803" s="1" t="s">
        <v>1935</v>
      </c>
      <c r="G4803" s="1" t="s">
        <v>2094</v>
      </c>
      <c r="H4803" s="1" t="s">
        <v>2095</v>
      </c>
      <c r="I4803" s="1">
        <v>1</v>
      </c>
      <c r="J4803" s="3">
        <v>12900</v>
      </c>
      <c r="K4803" s="3">
        <v>11247</v>
      </c>
      <c r="L4803" s="3">
        <v>1290</v>
      </c>
      <c r="M4803" s="4">
        <v>0.1</v>
      </c>
      <c r="N4803" s="1">
        <v>363</v>
      </c>
      <c r="O4803" s="4">
        <v>2.8000000000000001E-2</v>
      </c>
      <c r="P4803" s="1" t="s">
        <v>2721</v>
      </c>
    </row>
    <row r="4804" spans="1:16">
      <c r="A4804" s="1" t="s">
        <v>718</v>
      </c>
      <c r="B4804" s="1">
        <v>11</v>
      </c>
      <c r="C4804" s="1">
        <v>2.0251125203355101E+17</v>
      </c>
      <c r="D4804" s="1" t="s">
        <v>2089</v>
      </c>
      <c r="E4804" s="2">
        <v>45987</v>
      </c>
      <c r="F4804" s="1" t="s">
        <v>1935</v>
      </c>
      <c r="G4804" s="1" t="s">
        <v>2090</v>
      </c>
      <c r="H4804" s="1" t="s">
        <v>2091</v>
      </c>
      <c r="I4804" s="1">
        <v>1</v>
      </c>
      <c r="J4804" s="3">
        <v>19900</v>
      </c>
      <c r="K4804" s="3">
        <v>16884</v>
      </c>
      <c r="L4804" s="3">
        <v>1990</v>
      </c>
      <c r="M4804" s="4">
        <v>0.1</v>
      </c>
      <c r="N4804" s="3">
        <v>1026</v>
      </c>
      <c r="O4804" s="4">
        <v>5.1999999999999998E-2</v>
      </c>
      <c r="P4804" s="1" t="s">
        <v>2721</v>
      </c>
    </row>
    <row r="4805" spans="1:16">
      <c r="A4805" s="1" t="s">
        <v>718</v>
      </c>
      <c r="B4805" s="1">
        <v>11</v>
      </c>
      <c r="C4805" s="1">
        <v>2.0251125202857798E+17</v>
      </c>
      <c r="D4805" s="1" t="s">
        <v>9364</v>
      </c>
      <c r="E4805" s="2">
        <v>45987</v>
      </c>
      <c r="F4805" s="1" t="s">
        <v>235</v>
      </c>
      <c r="G4805" s="1" t="s">
        <v>9365</v>
      </c>
      <c r="H4805" s="1" t="s">
        <v>9366</v>
      </c>
      <c r="I4805" s="1">
        <v>1</v>
      </c>
      <c r="J4805" s="3">
        <v>9500</v>
      </c>
      <c r="K4805" s="3">
        <v>7739</v>
      </c>
      <c r="L4805" s="1">
        <v>950</v>
      </c>
      <c r="M4805" s="4">
        <v>0.1</v>
      </c>
      <c r="N4805" s="1">
        <v>811</v>
      </c>
      <c r="O4805" s="4">
        <v>8.5000000000000006E-2</v>
      </c>
      <c r="P4805" s="1" t="s">
        <v>2721</v>
      </c>
    </row>
    <row r="4806" spans="1:16">
      <c r="A4806" s="1" t="s">
        <v>718</v>
      </c>
      <c r="B4806" s="1">
        <v>11</v>
      </c>
      <c r="C4806" s="1">
        <v>2.0251125192403501E+17</v>
      </c>
      <c r="D4806" s="1" t="s">
        <v>2096</v>
      </c>
      <c r="E4806" s="2">
        <v>45987</v>
      </c>
      <c r="F4806" s="1" t="s">
        <v>1935</v>
      </c>
      <c r="G4806" s="1" t="s">
        <v>2097</v>
      </c>
      <c r="H4806" s="1" t="s">
        <v>2098</v>
      </c>
      <c r="I4806" s="1">
        <v>1</v>
      </c>
      <c r="J4806" s="3">
        <v>10000</v>
      </c>
      <c r="K4806" s="3">
        <v>7504</v>
      </c>
      <c r="L4806" s="3">
        <v>1000</v>
      </c>
      <c r="M4806" s="4">
        <v>0.1</v>
      </c>
      <c r="N4806" s="3">
        <v>1496</v>
      </c>
      <c r="O4806" s="4">
        <v>0.15</v>
      </c>
      <c r="P4806" s="1" t="s">
        <v>2721</v>
      </c>
    </row>
    <row r="4807" spans="1:16">
      <c r="A4807" s="1" t="s">
        <v>718</v>
      </c>
      <c r="B4807" s="1">
        <v>11</v>
      </c>
      <c r="C4807" s="1">
        <v>2.0251125171106598E+17</v>
      </c>
      <c r="D4807" s="1" t="s">
        <v>3502</v>
      </c>
      <c r="E4807" s="2">
        <v>45987</v>
      </c>
      <c r="F4807" s="1" t="s">
        <v>483</v>
      </c>
      <c r="G4807" s="1" t="s">
        <v>3503</v>
      </c>
      <c r="H4807" s="1" t="s">
        <v>9367</v>
      </c>
      <c r="I4807" s="1">
        <v>1</v>
      </c>
      <c r="J4807" s="3">
        <v>32800</v>
      </c>
      <c r="K4807" s="3">
        <v>26170</v>
      </c>
      <c r="L4807" s="3">
        <v>3280</v>
      </c>
      <c r="M4807" s="4">
        <v>0.1</v>
      </c>
      <c r="N4807" s="3">
        <v>3350</v>
      </c>
      <c r="O4807" s="4">
        <v>0.10199999999999999</v>
      </c>
      <c r="P4807" s="1" t="s">
        <v>2721</v>
      </c>
    </row>
    <row r="4808" spans="1:16">
      <c r="A4808" s="1" t="s">
        <v>718</v>
      </c>
      <c r="B4808" s="1">
        <v>11</v>
      </c>
      <c r="C4808" s="1">
        <v>2.0251125150753101E+17</v>
      </c>
      <c r="D4808" s="1" t="s">
        <v>8693</v>
      </c>
      <c r="E4808" s="2">
        <v>45987</v>
      </c>
      <c r="F4808" s="1" t="s">
        <v>235</v>
      </c>
      <c r="G4808" s="1" t="s">
        <v>8694</v>
      </c>
      <c r="H4808" s="1" t="s">
        <v>9368</v>
      </c>
      <c r="I4808" s="1">
        <v>1</v>
      </c>
      <c r="J4808" s="3">
        <v>9500</v>
      </c>
      <c r="K4808" s="3">
        <v>7739</v>
      </c>
      <c r="L4808" s="1">
        <v>950</v>
      </c>
      <c r="M4808" s="4">
        <v>0.1</v>
      </c>
      <c r="N4808" s="1">
        <v>811</v>
      </c>
      <c r="O4808" s="4">
        <v>8.5000000000000006E-2</v>
      </c>
      <c r="P4808" s="1" t="s">
        <v>2721</v>
      </c>
    </row>
    <row r="4809" spans="1:16">
      <c r="A4809" s="1" t="s">
        <v>718</v>
      </c>
      <c r="B4809" s="1">
        <v>11</v>
      </c>
      <c r="C4809" s="1">
        <v>2.02511251207108E+17</v>
      </c>
      <c r="D4809" s="1" t="s">
        <v>9369</v>
      </c>
      <c r="E4809" s="2">
        <v>45987</v>
      </c>
      <c r="F4809" s="1" t="s">
        <v>235</v>
      </c>
      <c r="G4809" s="1" t="s">
        <v>9370</v>
      </c>
      <c r="H4809" s="1" t="s">
        <v>9371</v>
      </c>
      <c r="I4809" s="1">
        <v>1</v>
      </c>
      <c r="J4809" s="3">
        <v>10000</v>
      </c>
      <c r="K4809" s="3">
        <v>7677</v>
      </c>
      <c r="L4809" s="3">
        <v>1000</v>
      </c>
      <c r="M4809" s="4">
        <v>0.1</v>
      </c>
      <c r="N4809" s="3">
        <v>1323</v>
      </c>
      <c r="O4809" s="4">
        <v>0.13200000000000001</v>
      </c>
      <c r="P4809" s="1" t="s">
        <v>2721</v>
      </c>
    </row>
    <row r="4810" spans="1:16">
      <c r="A4810" s="1" t="s">
        <v>718</v>
      </c>
      <c r="B4810" s="1">
        <v>11</v>
      </c>
      <c r="C4810" s="1">
        <v>2.0251125105601798E+17</v>
      </c>
      <c r="D4810" s="1" t="s">
        <v>2093</v>
      </c>
      <c r="E4810" s="2">
        <v>45987</v>
      </c>
      <c r="F4810" s="1" t="s">
        <v>1935</v>
      </c>
      <c r="G4810" s="1" t="s">
        <v>2094</v>
      </c>
      <c r="H4810" s="1" t="s">
        <v>2095</v>
      </c>
      <c r="I4810" s="1">
        <v>1</v>
      </c>
      <c r="J4810" s="3">
        <v>12900</v>
      </c>
      <c r="K4810" s="3">
        <v>11247</v>
      </c>
      <c r="L4810" s="3">
        <v>1290</v>
      </c>
      <c r="M4810" s="4">
        <v>0.1</v>
      </c>
      <c r="N4810" s="1">
        <v>363</v>
      </c>
      <c r="O4810" s="4">
        <v>2.8000000000000001E-2</v>
      </c>
      <c r="P4810" s="1" t="s">
        <v>2721</v>
      </c>
    </row>
    <row r="4811" spans="1:16">
      <c r="A4811" s="1" t="s">
        <v>722</v>
      </c>
      <c r="B4811" s="1">
        <v>11</v>
      </c>
      <c r="C4811" s="1" t="s">
        <v>9372</v>
      </c>
      <c r="D4811" s="1" t="s">
        <v>3441</v>
      </c>
      <c r="E4811" s="2">
        <v>45987</v>
      </c>
      <c r="F4811" s="1" t="s">
        <v>1411</v>
      </c>
      <c r="G4811" s="1" t="s">
        <v>3442</v>
      </c>
      <c r="H4811" s="1" t="s">
        <v>9373</v>
      </c>
      <c r="I4811" s="1">
        <v>1</v>
      </c>
      <c r="J4811" s="3">
        <v>17175</v>
      </c>
      <c r="K4811" s="3">
        <v>16396</v>
      </c>
      <c r="L4811" s="1">
        <v>0</v>
      </c>
      <c r="M4811" s="4">
        <v>0</v>
      </c>
      <c r="N4811" s="1">
        <v>779</v>
      </c>
      <c r="O4811" s="4">
        <v>4.4999999999999998E-2</v>
      </c>
      <c r="P4811" s="1" t="s">
        <v>2721</v>
      </c>
    </row>
    <row r="4812" spans="1:16">
      <c r="A4812" s="1" t="s">
        <v>739</v>
      </c>
      <c r="B4812" s="1">
        <v>11</v>
      </c>
      <c r="C4812" s="1">
        <v>31514906</v>
      </c>
      <c r="D4812" s="1" t="s">
        <v>1971</v>
      </c>
      <c r="E4812" s="2">
        <v>45987</v>
      </c>
      <c r="F4812" s="1" t="s">
        <v>426</v>
      </c>
      <c r="G4812" s="1" t="s">
        <v>1972</v>
      </c>
      <c r="H4812" s="1" t="s">
        <v>2137</v>
      </c>
      <c r="I4812" s="1">
        <v>1</v>
      </c>
      <c r="J4812" s="3">
        <v>28000</v>
      </c>
      <c r="K4812" s="3">
        <v>20636</v>
      </c>
      <c r="L4812" s="3">
        <v>3696</v>
      </c>
      <c r="M4812" s="4">
        <v>0.13200000000000001</v>
      </c>
      <c r="N4812" s="3">
        <v>3668</v>
      </c>
      <c r="O4812" s="4">
        <v>0.13100000000000001</v>
      </c>
      <c r="P4812" s="1" t="s">
        <v>2721</v>
      </c>
    </row>
    <row r="4813" spans="1:16">
      <c r="A4813" s="1" t="s">
        <v>739</v>
      </c>
      <c r="B4813" s="1">
        <v>11</v>
      </c>
      <c r="C4813" s="1">
        <v>31515517</v>
      </c>
      <c r="D4813" s="1" t="s">
        <v>4531</v>
      </c>
      <c r="E4813" s="2">
        <v>45987</v>
      </c>
      <c r="F4813" s="1" t="s">
        <v>38</v>
      </c>
      <c r="G4813" s="1" t="s">
        <v>4532</v>
      </c>
      <c r="H4813" s="1" t="s">
        <v>40</v>
      </c>
      <c r="I4813" s="1">
        <v>1</v>
      </c>
      <c r="J4813" s="3">
        <v>105000</v>
      </c>
      <c r="K4813" s="3">
        <v>85358</v>
      </c>
      <c r="L4813" s="3">
        <v>13860</v>
      </c>
      <c r="M4813" s="4">
        <v>0.13200000000000001</v>
      </c>
      <c r="N4813" s="3">
        <v>5782</v>
      </c>
      <c r="O4813" s="4">
        <v>5.5E-2</v>
      </c>
      <c r="P4813" s="1" t="s">
        <v>2721</v>
      </c>
    </row>
    <row r="4814" spans="1:16">
      <c r="A4814" s="1" t="s">
        <v>756</v>
      </c>
      <c r="B4814" s="1">
        <v>11</v>
      </c>
      <c r="C4814" s="1" t="s">
        <v>9374</v>
      </c>
      <c r="D4814" s="1" t="s">
        <v>9375</v>
      </c>
      <c r="E4814" s="2">
        <v>45987</v>
      </c>
      <c r="F4814" s="1" t="s">
        <v>524</v>
      </c>
      <c r="G4814" s="1" t="s">
        <v>9376</v>
      </c>
      <c r="H4814" s="1" t="s">
        <v>9377</v>
      </c>
      <c r="I4814" s="1">
        <v>1</v>
      </c>
      <c r="J4814" s="3">
        <v>52800</v>
      </c>
      <c r="K4814" s="3">
        <v>43990</v>
      </c>
      <c r="L4814" s="1">
        <v>0</v>
      </c>
      <c r="M4814" s="4">
        <v>0</v>
      </c>
      <c r="N4814" s="3">
        <v>8810</v>
      </c>
      <c r="O4814" s="4">
        <v>0.16700000000000001</v>
      </c>
      <c r="P4814" s="1" t="s">
        <v>2723</v>
      </c>
    </row>
    <row r="4815" spans="1:16">
      <c r="A4815" s="1" t="s">
        <v>756</v>
      </c>
      <c r="B4815" s="1">
        <v>11</v>
      </c>
      <c r="C4815" s="1" t="s">
        <v>9378</v>
      </c>
      <c r="D4815" s="1" t="s">
        <v>6743</v>
      </c>
      <c r="E4815" s="2">
        <v>45987</v>
      </c>
      <c r="F4815" s="1" t="s">
        <v>500</v>
      </c>
      <c r="G4815" s="1" t="s">
        <v>6744</v>
      </c>
      <c r="I4815" s="1">
        <v>1</v>
      </c>
      <c r="J4815" s="3">
        <v>305600</v>
      </c>
      <c r="K4815" s="3">
        <v>275000</v>
      </c>
      <c r="L4815" s="1">
        <v>0</v>
      </c>
      <c r="M4815" s="4">
        <v>0</v>
      </c>
      <c r="N4815" s="3">
        <v>30600</v>
      </c>
      <c r="O4815" s="4">
        <v>0.1</v>
      </c>
      <c r="P4815" s="1" t="s">
        <v>2723</v>
      </c>
    </row>
    <row r="4816" spans="1:16">
      <c r="A4816" s="1" t="s">
        <v>756</v>
      </c>
      <c r="B4816" s="1">
        <v>11</v>
      </c>
      <c r="C4816" s="1" t="s">
        <v>9379</v>
      </c>
      <c r="D4816" s="1" t="s">
        <v>9380</v>
      </c>
      <c r="E4816" s="2">
        <v>45987</v>
      </c>
      <c r="F4816" s="1" t="s">
        <v>9381</v>
      </c>
      <c r="G4816" s="1" t="s">
        <v>9382</v>
      </c>
      <c r="H4816" s="1" t="s">
        <v>9383</v>
      </c>
      <c r="I4816" s="1">
        <v>1</v>
      </c>
      <c r="J4816" s="3">
        <v>35200</v>
      </c>
      <c r="K4816" s="3">
        <v>29922</v>
      </c>
      <c r="L4816" s="1">
        <v>0</v>
      </c>
      <c r="M4816" s="4">
        <v>0</v>
      </c>
      <c r="N4816" s="3">
        <v>5278</v>
      </c>
      <c r="O4816" s="4">
        <v>0.15</v>
      </c>
      <c r="P4816" s="1" t="s">
        <v>2723</v>
      </c>
    </row>
    <row r="4817" spans="1:16">
      <c r="A4817" s="1" t="s">
        <v>2179</v>
      </c>
      <c r="B4817" s="1">
        <v>11</v>
      </c>
      <c r="C4817" s="1">
        <v>2.0251125190204101E+18</v>
      </c>
      <c r="D4817" s="1" t="s">
        <v>5637</v>
      </c>
      <c r="E4817" s="2">
        <v>45987</v>
      </c>
      <c r="F4817" s="1" t="s">
        <v>856</v>
      </c>
      <c r="G4817" s="1" t="s">
        <v>5638</v>
      </c>
      <c r="I4817" s="1">
        <v>1</v>
      </c>
      <c r="J4817" s="3">
        <v>36200</v>
      </c>
      <c r="K4817" s="3">
        <v>33768</v>
      </c>
      <c r="L4817" s="1">
        <v>0</v>
      </c>
      <c r="M4817" s="4">
        <v>0</v>
      </c>
      <c r="N4817" s="3">
        <v>2432</v>
      </c>
      <c r="O4817" s="4">
        <v>6.7000000000000004E-2</v>
      </c>
      <c r="P4817" s="1" t="s">
        <v>2723</v>
      </c>
    </row>
    <row r="4818" spans="1:16">
      <c r="A4818" s="1" t="s">
        <v>2193</v>
      </c>
      <c r="B4818" s="1">
        <v>11</v>
      </c>
      <c r="C4818" s="1">
        <v>30650503</v>
      </c>
      <c r="D4818" s="1" t="s">
        <v>6665</v>
      </c>
      <c r="E4818" s="2">
        <v>45987</v>
      </c>
      <c r="F4818" s="1" t="s">
        <v>126</v>
      </c>
      <c r="G4818" s="1" t="s">
        <v>6666</v>
      </c>
      <c r="I4818" s="1">
        <v>1</v>
      </c>
      <c r="J4818" s="3">
        <v>11022</v>
      </c>
      <c r="K4818" s="3">
        <v>10224</v>
      </c>
      <c r="L4818" s="1">
        <v>0</v>
      </c>
      <c r="M4818" s="4">
        <v>0</v>
      </c>
      <c r="N4818" s="1">
        <v>798</v>
      </c>
      <c r="O4818" s="4">
        <v>7.1999999999999995E-2</v>
      </c>
      <c r="P4818" s="1" t="s">
        <v>2723</v>
      </c>
    </row>
    <row r="4819" spans="1:16">
      <c r="A4819" s="1" t="s">
        <v>2193</v>
      </c>
      <c r="B4819" s="1">
        <v>11</v>
      </c>
      <c r="C4819" s="1">
        <v>30650503</v>
      </c>
      <c r="D4819" s="1" t="s">
        <v>9384</v>
      </c>
      <c r="E4819" s="2">
        <v>45987</v>
      </c>
      <c r="F4819" s="1" t="s">
        <v>126</v>
      </c>
      <c r="G4819" s="1" t="s">
        <v>9385</v>
      </c>
      <c r="H4819" s="1" t="s">
        <v>9386</v>
      </c>
      <c r="I4819" s="1">
        <v>1</v>
      </c>
      <c r="J4819" s="3">
        <v>14863</v>
      </c>
      <c r="K4819" s="3">
        <v>13695</v>
      </c>
      <c r="L4819" s="1">
        <v>0</v>
      </c>
      <c r="M4819" s="4">
        <v>0</v>
      </c>
      <c r="N4819" s="3">
        <v>1168</v>
      </c>
      <c r="O4819" s="4">
        <v>7.9000000000000001E-2</v>
      </c>
      <c r="P4819" s="1" t="s">
        <v>2723</v>
      </c>
    </row>
    <row r="4820" spans="1:16">
      <c r="A4820" s="1" t="s">
        <v>2193</v>
      </c>
      <c r="B4820" s="1">
        <v>11</v>
      </c>
      <c r="C4820" s="1">
        <v>30650503</v>
      </c>
      <c r="D4820" s="1" t="s">
        <v>9387</v>
      </c>
      <c r="E4820" s="2">
        <v>45987</v>
      </c>
      <c r="F4820" s="1" t="s">
        <v>126</v>
      </c>
      <c r="G4820" s="1" t="s">
        <v>9388</v>
      </c>
      <c r="H4820" s="1" t="s">
        <v>9389</v>
      </c>
      <c r="I4820" s="1">
        <v>1</v>
      </c>
      <c r="J4820" s="3">
        <v>14863</v>
      </c>
      <c r="K4820" s="3">
        <v>13695</v>
      </c>
      <c r="L4820" s="1">
        <v>0</v>
      </c>
      <c r="M4820" s="4">
        <v>0</v>
      </c>
      <c r="N4820" s="3">
        <v>1168</v>
      </c>
      <c r="O4820" s="4">
        <v>7.9000000000000001E-2</v>
      </c>
      <c r="P4820" s="1" t="s">
        <v>2723</v>
      </c>
    </row>
    <row r="4821" spans="1:16">
      <c r="A4821" s="1" t="s">
        <v>2193</v>
      </c>
      <c r="B4821" s="1">
        <v>11</v>
      </c>
      <c r="C4821" s="1">
        <v>30622240</v>
      </c>
      <c r="D4821" s="1" t="s">
        <v>4426</v>
      </c>
      <c r="E4821" s="2">
        <v>45987</v>
      </c>
      <c r="F4821" s="1" t="s">
        <v>256</v>
      </c>
      <c r="G4821" s="1" t="s">
        <v>4427</v>
      </c>
      <c r="H4821" s="1" t="s">
        <v>9390</v>
      </c>
      <c r="I4821" s="1">
        <v>2</v>
      </c>
      <c r="J4821" s="3">
        <v>54943</v>
      </c>
      <c r="K4821" s="3">
        <v>50652</v>
      </c>
      <c r="L4821" s="1">
        <v>0</v>
      </c>
      <c r="M4821" s="4">
        <v>0</v>
      </c>
      <c r="N4821" s="3">
        <v>4291</v>
      </c>
      <c r="O4821" s="4">
        <v>7.8E-2</v>
      </c>
      <c r="P4821" s="1" t="s">
        <v>2723</v>
      </c>
    </row>
    <row r="4822" spans="1:16">
      <c r="A4822" s="1" t="s">
        <v>763</v>
      </c>
      <c r="B4822" s="1">
        <v>11</v>
      </c>
      <c r="C4822" s="1" t="s">
        <v>9391</v>
      </c>
      <c r="D4822" s="1" t="s">
        <v>2257</v>
      </c>
      <c r="E4822" s="2">
        <v>45987</v>
      </c>
      <c r="F4822" s="1" t="s">
        <v>2206</v>
      </c>
      <c r="G4822" s="1" t="s">
        <v>2258</v>
      </c>
      <c r="H4822" s="1" t="s">
        <v>2259</v>
      </c>
      <c r="I4822" s="1">
        <v>1</v>
      </c>
      <c r="J4822" s="3">
        <v>37320</v>
      </c>
      <c r="K4822" s="3">
        <v>33800</v>
      </c>
      <c r="L4822" s="1">
        <v>0</v>
      </c>
      <c r="M4822" s="4">
        <v>0</v>
      </c>
      <c r="N4822" s="3">
        <v>3520</v>
      </c>
      <c r="O4822" s="4">
        <v>9.4E-2</v>
      </c>
      <c r="P4822" s="1" t="s">
        <v>2723</v>
      </c>
    </row>
    <row r="4823" spans="1:16">
      <c r="A4823" s="1" t="s">
        <v>763</v>
      </c>
      <c r="B4823" s="1">
        <v>11</v>
      </c>
      <c r="C4823" s="1" t="s">
        <v>9392</v>
      </c>
      <c r="D4823" s="1" t="s">
        <v>9393</v>
      </c>
      <c r="E4823" s="2">
        <v>45987</v>
      </c>
      <c r="F4823" s="1" t="s">
        <v>266</v>
      </c>
      <c r="G4823" s="1" t="s">
        <v>9394</v>
      </c>
      <c r="I4823" s="1">
        <v>1</v>
      </c>
      <c r="J4823" s="3">
        <v>40890</v>
      </c>
      <c r="K4823" s="3">
        <v>37051</v>
      </c>
      <c r="L4823" s="1">
        <v>0</v>
      </c>
      <c r="M4823" s="4">
        <v>0</v>
      </c>
      <c r="N4823" s="3">
        <v>3839</v>
      </c>
      <c r="O4823" s="4">
        <v>9.4E-2</v>
      </c>
      <c r="P4823" s="1" t="s">
        <v>2723</v>
      </c>
    </row>
    <row r="4824" spans="1:16">
      <c r="A4824" s="1" t="s">
        <v>763</v>
      </c>
      <c r="B4824" s="1">
        <v>11</v>
      </c>
      <c r="C4824" s="1" t="s">
        <v>9395</v>
      </c>
      <c r="D4824" s="1" t="s">
        <v>2663</v>
      </c>
      <c r="E4824" s="2">
        <v>45987</v>
      </c>
      <c r="F4824" s="1" t="s">
        <v>151</v>
      </c>
      <c r="G4824" s="1" t="s">
        <v>2664</v>
      </c>
      <c r="I4824" s="1">
        <v>1</v>
      </c>
      <c r="J4824" s="3">
        <v>15560</v>
      </c>
      <c r="K4824" s="3">
        <v>14070</v>
      </c>
      <c r="L4824" s="1">
        <v>0</v>
      </c>
      <c r="M4824" s="4">
        <v>0</v>
      </c>
      <c r="N4824" s="3">
        <v>1490</v>
      </c>
      <c r="O4824" s="4">
        <v>9.6000000000000002E-2</v>
      </c>
      <c r="P4824" s="1" t="s">
        <v>2723</v>
      </c>
    </row>
    <row r="4825" spans="1:16">
      <c r="A4825" s="1" t="s">
        <v>763</v>
      </c>
      <c r="B4825" s="1">
        <v>11</v>
      </c>
      <c r="C4825" s="1" t="s">
        <v>9396</v>
      </c>
      <c r="D4825" s="1" t="s">
        <v>8816</v>
      </c>
      <c r="E4825" s="2">
        <v>45987</v>
      </c>
      <c r="F4825" s="1" t="s">
        <v>187</v>
      </c>
      <c r="G4825" s="1" t="s">
        <v>8817</v>
      </c>
      <c r="H4825" s="1" t="s">
        <v>9397</v>
      </c>
      <c r="I4825" s="1">
        <v>1</v>
      </c>
      <c r="J4825" s="3">
        <v>24910</v>
      </c>
      <c r="K4825" s="3">
        <v>22512</v>
      </c>
      <c r="L4825" s="1">
        <v>0</v>
      </c>
      <c r="M4825" s="4">
        <v>0</v>
      </c>
      <c r="N4825" s="3">
        <v>2398</v>
      </c>
      <c r="O4825" s="4">
        <v>9.6000000000000002E-2</v>
      </c>
      <c r="P4825" s="1" t="s">
        <v>2723</v>
      </c>
    </row>
    <row r="4826" spans="1:16">
      <c r="A4826" s="1" t="s">
        <v>763</v>
      </c>
      <c r="B4826" s="1">
        <v>11</v>
      </c>
      <c r="C4826" s="1" t="s">
        <v>9398</v>
      </c>
      <c r="D4826" s="1" t="s">
        <v>9399</v>
      </c>
      <c r="E4826" s="2">
        <v>45987</v>
      </c>
      <c r="F4826" s="1" t="s">
        <v>524</v>
      </c>
      <c r="G4826" s="1" t="s">
        <v>9400</v>
      </c>
      <c r="H4826" s="1" t="s">
        <v>9401</v>
      </c>
      <c r="I4826" s="1">
        <v>1</v>
      </c>
      <c r="J4826" s="3">
        <v>25160</v>
      </c>
      <c r="K4826" s="3">
        <v>22812</v>
      </c>
      <c r="L4826" s="1">
        <v>0</v>
      </c>
      <c r="M4826" s="4">
        <v>0</v>
      </c>
      <c r="N4826" s="3">
        <v>2348</v>
      </c>
      <c r="O4826" s="4">
        <v>9.2999999999999999E-2</v>
      </c>
      <c r="P4826" s="1" t="s">
        <v>2723</v>
      </c>
    </row>
    <row r="4827" spans="1:16">
      <c r="A4827" s="1" t="s">
        <v>763</v>
      </c>
      <c r="B4827" s="1">
        <v>11</v>
      </c>
      <c r="C4827" s="1" t="s">
        <v>9402</v>
      </c>
      <c r="D4827" s="1" t="s">
        <v>6916</v>
      </c>
      <c r="E4827" s="2">
        <v>45987</v>
      </c>
      <c r="F4827" s="1" t="s">
        <v>2188</v>
      </c>
      <c r="G4827" s="1" t="s">
        <v>6917</v>
      </c>
      <c r="H4827" s="1" t="s">
        <v>6918</v>
      </c>
      <c r="I4827" s="1">
        <v>1</v>
      </c>
      <c r="J4827" s="3">
        <v>26000</v>
      </c>
      <c r="K4827" s="3">
        <v>24700</v>
      </c>
      <c r="L4827" s="1">
        <v>0</v>
      </c>
      <c r="M4827" s="4">
        <v>0</v>
      </c>
      <c r="N4827" s="3">
        <v>1300</v>
      </c>
      <c r="O4827" s="4">
        <v>0.05</v>
      </c>
      <c r="P4827" s="1" t="s">
        <v>2723</v>
      </c>
    </row>
    <row r="4828" spans="1:16">
      <c r="A4828" s="1" t="s">
        <v>2724</v>
      </c>
      <c r="B4828" s="1">
        <v>11</v>
      </c>
      <c r="C4828" s="1" t="s">
        <v>9403</v>
      </c>
      <c r="E4828" s="2">
        <v>45987</v>
      </c>
      <c r="F4828" s="1" t="s">
        <v>604</v>
      </c>
      <c r="G4828" s="1" t="s">
        <v>1684</v>
      </c>
      <c r="H4828" s="1" t="s">
        <v>3411</v>
      </c>
      <c r="I4828" s="1">
        <v>60</v>
      </c>
      <c r="J4828" s="3">
        <v>599100</v>
      </c>
      <c r="K4828" s="3">
        <v>347400</v>
      </c>
      <c r="L4828" s="1">
        <v>0</v>
      </c>
      <c r="M4828" s="4">
        <v>0</v>
      </c>
      <c r="N4828" s="3">
        <v>251700</v>
      </c>
      <c r="O4828" s="4">
        <v>0.42</v>
      </c>
      <c r="P4828" s="1" t="s">
        <v>2721</v>
      </c>
    </row>
    <row r="4829" spans="1:16">
      <c r="A4829" s="1" t="s">
        <v>2724</v>
      </c>
      <c r="B4829" s="1">
        <v>11</v>
      </c>
      <c r="C4829" s="1" t="s">
        <v>9404</v>
      </c>
      <c r="E4829" s="2">
        <v>45987</v>
      </c>
      <c r="F4829" s="1" t="s">
        <v>604</v>
      </c>
      <c r="G4829" s="1" t="s">
        <v>622</v>
      </c>
      <c r="H4829" s="1" t="s">
        <v>9405</v>
      </c>
      <c r="I4829" s="1">
        <v>100</v>
      </c>
      <c r="J4829" s="3">
        <v>463300</v>
      </c>
      <c r="K4829" s="3">
        <v>117500</v>
      </c>
      <c r="L4829" s="1">
        <v>0</v>
      </c>
      <c r="M4829" s="4">
        <v>0</v>
      </c>
      <c r="N4829" s="3">
        <v>345800</v>
      </c>
      <c r="O4829" s="4">
        <v>0.746</v>
      </c>
      <c r="P4829" s="1" t="s">
        <v>2721</v>
      </c>
    </row>
    <row r="4830" spans="1:16">
      <c r="A4830" s="1" t="s">
        <v>616</v>
      </c>
      <c r="B4830" s="1">
        <v>11</v>
      </c>
      <c r="C4830" s="1">
        <v>2025112649566080</v>
      </c>
      <c r="D4830" s="1" t="s">
        <v>9406</v>
      </c>
      <c r="E4830" s="2">
        <v>45987</v>
      </c>
      <c r="F4830" s="1" t="s">
        <v>604</v>
      </c>
      <c r="G4830" s="1" t="s">
        <v>9407</v>
      </c>
      <c r="H4830" s="1" t="s">
        <v>9408</v>
      </c>
      <c r="I4830" s="1">
        <v>1</v>
      </c>
      <c r="J4830" s="3">
        <v>10900</v>
      </c>
      <c r="K4830" s="3">
        <v>2500</v>
      </c>
      <c r="L4830" s="1">
        <v>436</v>
      </c>
      <c r="M4830" s="4">
        <v>0.04</v>
      </c>
      <c r="N4830" s="3">
        <v>7964</v>
      </c>
      <c r="O4830" s="4">
        <v>0.73099999999999998</v>
      </c>
      <c r="P4830" s="1" t="s">
        <v>2721</v>
      </c>
    </row>
    <row r="4831" spans="1:16">
      <c r="A4831" s="1" t="s">
        <v>626</v>
      </c>
      <c r="B4831" s="1">
        <v>11</v>
      </c>
      <c r="C4831" s="1">
        <v>69473007</v>
      </c>
      <c r="D4831" s="1" t="s">
        <v>627</v>
      </c>
      <c r="E4831" s="2">
        <v>45987</v>
      </c>
      <c r="F4831" s="1" t="s">
        <v>604</v>
      </c>
      <c r="G4831" s="1" t="s">
        <v>628</v>
      </c>
      <c r="H4831" s="1" t="s">
        <v>629</v>
      </c>
      <c r="I4831" s="1">
        <v>1</v>
      </c>
      <c r="J4831" s="3">
        <v>8000</v>
      </c>
      <c r="K4831" s="3">
        <v>1800</v>
      </c>
      <c r="L4831" s="1">
        <v>880</v>
      </c>
      <c r="M4831" s="4">
        <v>0.11</v>
      </c>
      <c r="N4831" s="3">
        <v>5320</v>
      </c>
      <c r="O4831" s="4">
        <v>0.66500000000000004</v>
      </c>
      <c r="P4831" s="1" t="s">
        <v>2721</v>
      </c>
    </row>
    <row r="4832" spans="1:16">
      <c r="A4832" s="1" t="s">
        <v>626</v>
      </c>
      <c r="B4832" s="1">
        <v>11</v>
      </c>
      <c r="C4832" s="1">
        <v>69471299</v>
      </c>
      <c r="D4832" s="1" t="s">
        <v>627</v>
      </c>
      <c r="E4832" s="2">
        <v>45987</v>
      </c>
      <c r="F4832" s="1" t="s">
        <v>604</v>
      </c>
      <c r="G4832" s="1" t="s">
        <v>628</v>
      </c>
      <c r="H4832" s="1" t="s">
        <v>9409</v>
      </c>
      <c r="I4832" s="1">
        <v>5</v>
      </c>
      <c r="J4832" s="3">
        <v>27500</v>
      </c>
      <c r="K4832" s="3">
        <v>9000</v>
      </c>
      <c r="L4832" s="3">
        <v>3025</v>
      </c>
      <c r="M4832" s="4">
        <v>0.11</v>
      </c>
      <c r="N4832" s="3">
        <v>15475</v>
      </c>
      <c r="O4832" s="4">
        <v>0.56299999999999994</v>
      </c>
      <c r="P4832" s="1" t="s">
        <v>2721</v>
      </c>
    </row>
    <row r="4833" spans="1:16">
      <c r="A4833" s="1" t="s">
        <v>630</v>
      </c>
      <c r="B4833" s="1">
        <v>11</v>
      </c>
      <c r="C4833" s="1">
        <v>1117566439404630</v>
      </c>
      <c r="D4833" s="1" t="s">
        <v>627</v>
      </c>
      <c r="E4833" s="2">
        <v>45987</v>
      </c>
      <c r="F4833" s="1" t="s">
        <v>604</v>
      </c>
      <c r="G4833" s="1" t="s">
        <v>628</v>
      </c>
      <c r="H4833" s="1" t="s">
        <v>1848</v>
      </c>
      <c r="I4833" s="1">
        <v>1</v>
      </c>
      <c r="J4833" s="3">
        <v>6750</v>
      </c>
      <c r="K4833" s="3">
        <v>4300</v>
      </c>
      <c r="L4833" s="1">
        <v>446</v>
      </c>
      <c r="M4833" s="4">
        <v>6.6000000000000003E-2</v>
      </c>
      <c r="N4833" s="3">
        <v>2005</v>
      </c>
      <c r="O4833" s="4">
        <v>0.29699999999999999</v>
      </c>
      <c r="P4833" s="1" t="s">
        <v>2721</v>
      </c>
    </row>
    <row r="4834" spans="1:16">
      <c r="A4834" s="1" t="s">
        <v>15</v>
      </c>
      <c r="B4834" s="1">
        <v>11</v>
      </c>
      <c r="C4834" s="1" t="s">
        <v>9410</v>
      </c>
      <c r="D4834" s="1" t="s">
        <v>989</v>
      </c>
      <c r="E4834" s="2">
        <v>45988</v>
      </c>
      <c r="F4834" s="1" t="s">
        <v>48</v>
      </c>
      <c r="G4834" s="1" t="s">
        <v>990</v>
      </c>
      <c r="H4834" s="1" t="s">
        <v>991</v>
      </c>
      <c r="I4834" s="1">
        <v>1</v>
      </c>
      <c r="J4834" s="3">
        <v>13113</v>
      </c>
      <c r="K4834" s="3">
        <v>12513</v>
      </c>
      <c r="L4834" s="1">
        <v>0</v>
      </c>
      <c r="M4834" s="4">
        <v>0</v>
      </c>
      <c r="N4834" s="1">
        <v>600</v>
      </c>
      <c r="O4834" s="4">
        <v>4.5999999999999999E-2</v>
      </c>
      <c r="P4834" s="1" t="s">
        <v>2721</v>
      </c>
    </row>
    <row r="4835" spans="1:16">
      <c r="A4835" s="1" t="s">
        <v>15</v>
      </c>
      <c r="B4835" s="1">
        <v>11</v>
      </c>
      <c r="C4835" s="1" t="s">
        <v>9411</v>
      </c>
      <c r="D4835" s="1" t="s">
        <v>903</v>
      </c>
      <c r="E4835" s="2">
        <v>45988</v>
      </c>
      <c r="F4835" s="1" t="s">
        <v>23</v>
      </c>
      <c r="G4835" s="1" t="s">
        <v>587</v>
      </c>
      <c r="H4835" s="1" t="s">
        <v>588</v>
      </c>
      <c r="I4835" s="1">
        <v>1</v>
      </c>
      <c r="J4835" s="3">
        <v>13762</v>
      </c>
      <c r="K4835" s="3">
        <v>13132</v>
      </c>
      <c r="L4835" s="1">
        <v>0</v>
      </c>
      <c r="M4835" s="4">
        <v>0</v>
      </c>
      <c r="N4835" s="1">
        <v>630</v>
      </c>
      <c r="O4835" s="4">
        <v>4.5999999999999999E-2</v>
      </c>
      <c r="P4835" s="1" t="s">
        <v>2721</v>
      </c>
    </row>
    <row r="4836" spans="1:16">
      <c r="A4836" s="1" t="s">
        <v>15</v>
      </c>
      <c r="B4836" s="1">
        <v>11</v>
      </c>
      <c r="C4836" s="1" t="s">
        <v>9412</v>
      </c>
      <c r="D4836" s="1" t="s">
        <v>2428</v>
      </c>
      <c r="E4836" s="2">
        <v>45988</v>
      </c>
      <c r="F4836" s="1" t="s">
        <v>68</v>
      </c>
      <c r="G4836" s="1" t="s">
        <v>2429</v>
      </c>
      <c r="H4836" s="1" t="s">
        <v>2430</v>
      </c>
      <c r="I4836" s="1">
        <v>1</v>
      </c>
      <c r="J4836" s="3">
        <v>15084</v>
      </c>
      <c r="K4836" s="3">
        <v>14394</v>
      </c>
      <c r="L4836" s="1">
        <v>0</v>
      </c>
      <c r="M4836" s="4">
        <v>0</v>
      </c>
      <c r="N4836" s="1">
        <v>690</v>
      </c>
      <c r="O4836" s="4">
        <v>4.5999999999999999E-2</v>
      </c>
      <c r="P4836" s="1" t="s">
        <v>2721</v>
      </c>
    </row>
    <row r="4837" spans="1:16">
      <c r="A4837" s="1" t="s">
        <v>15</v>
      </c>
      <c r="B4837" s="1">
        <v>11</v>
      </c>
      <c r="C4837" s="1" t="s">
        <v>9413</v>
      </c>
      <c r="D4837" s="1" t="s">
        <v>169</v>
      </c>
      <c r="E4837" s="2">
        <v>45988</v>
      </c>
      <c r="F4837" s="1" t="s">
        <v>53</v>
      </c>
      <c r="G4837" s="1" t="s">
        <v>170</v>
      </c>
      <c r="H4837" s="1" t="s">
        <v>171</v>
      </c>
      <c r="I4837" s="1">
        <v>1</v>
      </c>
      <c r="J4837" s="3">
        <v>14332</v>
      </c>
      <c r="K4837" s="3">
        <v>13676</v>
      </c>
      <c r="L4837" s="1">
        <v>0</v>
      </c>
      <c r="M4837" s="4">
        <v>0</v>
      </c>
      <c r="N4837" s="1">
        <v>656</v>
      </c>
      <c r="O4837" s="4">
        <v>4.5999999999999999E-2</v>
      </c>
      <c r="P4837" s="1" t="s">
        <v>2721</v>
      </c>
    </row>
    <row r="4838" spans="1:16">
      <c r="A4838" s="1" t="s">
        <v>15</v>
      </c>
      <c r="B4838" s="1">
        <v>11</v>
      </c>
      <c r="C4838" s="1" t="s">
        <v>9414</v>
      </c>
      <c r="D4838" s="1" t="s">
        <v>1467</v>
      </c>
      <c r="E4838" s="2">
        <v>45988</v>
      </c>
      <c r="F4838" s="1" t="s">
        <v>126</v>
      </c>
      <c r="G4838" s="1" t="s">
        <v>1468</v>
      </c>
      <c r="H4838" s="1" t="s">
        <v>1469</v>
      </c>
      <c r="I4838" s="1">
        <v>1</v>
      </c>
      <c r="J4838" s="3">
        <v>17989</v>
      </c>
      <c r="K4838" s="3">
        <v>17165</v>
      </c>
      <c r="L4838" s="1">
        <v>0</v>
      </c>
      <c r="M4838" s="4">
        <v>0</v>
      </c>
      <c r="N4838" s="1">
        <v>824</v>
      </c>
      <c r="O4838" s="4">
        <v>4.5999999999999999E-2</v>
      </c>
      <c r="P4838" s="1" t="s">
        <v>2721</v>
      </c>
    </row>
    <row r="4839" spans="1:16">
      <c r="A4839" s="1" t="s">
        <v>15</v>
      </c>
      <c r="B4839" s="1">
        <v>11</v>
      </c>
      <c r="C4839" s="1" t="s">
        <v>9415</v>
      </c>
      <c r="D4839" s="1" t="s">
        <v>903</v>
      </c>
      <c r="E4839" s="2">
        <v>45988</v>
      </c>
      <c r="F4839" s="1" t="s">
        <v>23</v>
      </c>
      <c r="G4839" s="1" t="s">
        <v>587</v>
      </c>
      <c r="H4839" s="1" t="s">
        <v>904</v>
      </c>
      <c r="I4839" s="1">
        <v>1</v>
      </c>
      <c r="J4839" s="3">
        <v>13762</v>
      </c>
      <c r="K4839" s="3">
        <v>13132</v>
      </c>
      <c r="L4839" s="1">
        <v>0</v>
      </c>
      <c r="M4839" s="4">
        <v>0</v>
      </c>
      <c r="N4839" s="1">
        <v>630</v>
      </c>
      <c r="O4839" s="4">
        <v>4.5999999999999999E-2</v>
      </c>
      <c r="P4839" s="1" t="s">
        <v>2721</v>
      </c>
    </row>
    <row r="4840" spans="1:16">
      <c r="A4840" s="1" t="s">
        <v>15</v>
      </c>
      <c r="B4840" s="1">
        <v>11</v>
      </c>
      <c r="C4840" s="1" t="s">
        <v>9416</v>
      </c>
      <c r="D4840" s="1" t="s">
        <v>1438</v>
      </c>
      <c r="E4840" s="2">
        <v>45988</v>
      </c>
      <c r="F4840" s="1" t="s">
        <v>126</v>
      </c>
      <c r="G4840" s="1" t="s">
        <v>1439</v>
      </c>
      <c r="H4840" s="1" t="s">
        <v>1440</v>
      </c>
      <c r="I4840" s="1">
        <v>1</v>
      </c>
      <c r="J4840" s="3">
        <v>20643</v>
      </c>
      <c r="K4840" s="3">
        <v>19698</v>
      </c>
      <c r="L4840" s="1">
        <v>0</v>
      </c>
      <c r="M4840" s="4">
        <v>0</v>
      </c>
      <c r="N4840" s="1">
        <v>945</v>
      </c>
      <c r="O4840" s="4">
        <v>4.5999999999999999E-2</v>
      </c>
      <c r="P4840" s="1" t="s">
        <v>2721</v>
      </c>
    </row>
    <row r="4841" spans="1:16">
      <c r="A4841" s="1" t="s">
        <v>15</v>
      </c>
      <c r="B4841" s="1">
        <v>11</v>
      </c>
      <c r="C4841" s="1" t="s">
        <v>9416</v>
      </c>
      <c r="D4841" s="1" t="s">
        <v>574</v>
      </c>
      <c r="E4841" s="2">
        <v>45988</v>
      </c>
      <c r="F4841" s="1" t="s">
        <v>126</v>
      </c>
      <c r="G4841" s="1" t="s">
        <v>575</v>
      </c>
      <c r="H4841" s="1" t="s">
        <v>576</v>
      </c>
      <c r="I4841" s="1">
        <v>1</v>
      </c>
      <c r="J4841" s="3">
        <v>15237</v>
      </c>
      <c r="K4841" s="3">
        <v>14539</v>
      </c>
      <c r="L4841" s="1">
        <v>0</v>
      </c>
      <c r="M4841" s="4">
        <v>0</v>
      </c>
      <c r="N4841" s="1">
        <v>698</v>
      </c>
      <c r="O4841" s="4">
        <v>4.5999999999999999E-2</v>
      </c>
      <c r="P4841" s="1" t="s">
        <v>2721</v>
      </c>
    </row>
    <row r="4842" spans="1:16">
      <c r="A4842" s="1" t="s">
        <v>15</v>
      </c>
      <c r="B4842" s="1">
        <v>11</v>
      </c>
      <c r="C4842" s="1" t="s">
        <v>9417</v>
      </c>
      <c r="D4842" s="1" t="s">
        <v>311</v>
      </c>
      <c r="E4842" s="2">
        <v>45988</v>
      </c>
      <c r="F4842" s="1" t="s">
        <v>312</v>
      </c>
      <c r="G4842" s="1" t="s">
        <v>313</v>
      </c>
      <c r="H4842" s="1" t="s">
        <v>339</v>
      </c>
      <c r="I4842" s="1">
        <v>1</v>
      </c>
      <c r="J4842" s="3">
        <v>28310</v>
      </c>
      <c r="K4842" s="3">
        <v>27014</v>
      </c>
      <c r="L4842" s="1">
        <v>0</v>
      </c>
      <c r="M4842" s="4">
        <v>0</v>
      </c>
      <c r="N4842" s="3">
        <v>1296</v>
      </c>
      <c r="O4842" s="4">
        <v>4.5999999999999999E-2</v>
      </c>
      <c r="P4842" s="1" t="s">
        <v>2721</v>
      </c>
    </row>
    <row r="4843" spans="1:16">
      <c r="A4843" s="1" t="s">
        <v>15</v>
      </c>
      <c r="B4843" s="1">
        <v>11</v>
      </c>
      <c r="C4843" s="1" t="s">
        <v>9417</v>
      </c>
      <c r="D4843" s="1" t="s">
        <v>311</v>
      </c>
      <c r="E4843" s="2">
        <v>45988</v>
      </c>
      <c r="F4843" s="1" t="s">
        <v>312</v>
      </c>
      <c r="G4843" s="1" t="s">
        <v>313</v>
      </c>
      <c r="H4843" s="1" t="s">
        <v>4801</v>
      </c>
      <c r="I4843" s="1">
        <v>1</v>
      </c>
      <c r="J4843" s="3">
        <v>28310</v>
      </c>
      <c r="K4843" s="3">
        <v>27014</v>
      </c>
      <c r="L4843" s="1">
        <v>0</v>
      </c>
      <c r="M4843" s="4">
        <v>0</v>
      </c>
      <c r="N4843" s="3">
        <v>1296</v>
      </c>
      <c r="O4843" s="4">
        <v>4.5999999999999999E-2</v>
      </c>
      <c r="P4843" s="1" t="s">
        <v>2721</v>
      </c>
    </row>
    <row r="4844" spans="1:16">
      <c r="A4844" s="1" t="s">
        <v>15</v>
      </c>
      <c r="B4844" s="1">
        <v>11</v>
      </c>
      <c r="C4844" s="1" t="s">
        <v>9418</v>
      </c>
      <c r="D4844" s="1" t="s">
        <v>440</v>
      </c>
      <c r="E4844" s="2">
        <v>45988</v>
      </c>
      <c r="F4844" s="1" t="s">
        <v>441</v>
      </c>
      <c r="G4844" s="1" t="s">
        <v>442</v>
      </c>
      <c r="H4844" s="1" t="s">
        <v>443</v>
      </c>
      <c r="I4844" s="1">
        <v>1</v>
      </c>
      <c r="J4844" s="3">
        <v>27524</v>
      </c>
      <c r="K4844" s="3">
        <v>26264</v>
      </c>
      <c r="L4844" s="1">
        <v>0</v>
      </c>
      <c r="M4844" s="4">
        <v>0</v>
      </c>
      <c r="N4844" s="3">
        <v>1260</v>
      </c>
      <c r="O4844" s="4">
        <v>4.5999999999999999E-2</v>
      </c>
      <c r="P4844" s="1" t="s">
        <v>2721</v>
      </c>
    </row>
    <row r="4845" spans="1:16">
      <c r="A4845" s="1" t="s">
        <v>15</v>
      </c>
      <c r="B4845" s="1">
        <v>11</v>
      </c>
      <c r="C4845" s="1" t="s">
        <v>9419</v>
      </c>
      <c r="D4845" s="1" t="s">
        <v>5118</v>
      </c>
      <c r="E4845" s="2">
        <v>45988</v>
      </c>
      <c r="F4845" s="1" t="s">
        <v>235</v>
      </c>
      <c r="G4845" s="1" t="s">
        <v>5119</v>
      </c>
      <c r="H4845" s="1" t="s">
        <v>5119</v>
      </c>
      <c r="I4845" s="1">
        <v>1</v>
      </c>
      <c r="J4845" s="3">
        <v>14450</v>
      </c>
      <c r="K4845" s="3">
        <v>13789</v>
      </c>
      <c r="L4845" s="1">
        <v>0</v>
      </c>
      <c r="M4845" s="4">
        <v>0</v>
      </c>
      <c r="N4845" s="1">
        <v>661</v>
      </c>
      <c r="O4845" s="4">
        <v>4.5999999999999999E-2</v>
      </c>
      <c r="P4845" s="1" t="s">
        <v>2721</v>
      </c>
    </row>
    <row r="4846" spans="1:16">
      <c r="A4846" s="1" t="s">
        <v>15</v>
      </c>
      <c r="B4846" s="1">
        <v>11</v>
      </c>
      <c r="C4846" s="1" t="s">
        <v>9420</v>
      </c>
      <c r="D4846" s="1" t="s">
        <v>7087</v>
      </c>
      <c r="E4846" s="2">
        <v>45988</v>
      </c>
      <c r="F4846" s="1" t="s">
        <v>7088</v>
      </c>
      <c r="G4846" s="1" t="s">
        <v>7089</v>
      </c>
      <c r="H4846" s="1" t="s">
        <v>7090</v>
      </c>
      <c r="I4846" s="1">
        <v>1</v>
      </c>
      <c r="J4846" s="3">
        <v>15237</v>
      </c>
      <c r="K4846" s="3">
        <v>14539</v>
      </c>
      <c r="L4846" s="1">
        <v>0</v>
      </c>
      <c r="M4846" s="4">
        <v>0</v>
      </c>
      <c r="N4846" s="1">
        <v>698</v>
      </c>
      <c r="O4846" s="4">
        <v>4.5999999999999999E-2</v>
      </c>
      <c r="P4846" s="1" t="s">
        <v>2721</v>
      </c>
    </row>
    <row r="4847" spans="1:16">
      <c r="A4847" s="1" t="s">
        <v>15</v>
      </c>
      <c r="B4847" s="1">
        <v>11</v>
      </c>
      <c r="C4847" s="1" t="s">
        <v>9421</v>
      </c>
      <c r="D4847" s="1" t="s">
        <v>504</v>
      </c>
      <c r="E4847" s="2">
        <v>45988</v>
      </c>
      <c r="F4847" s="1" t="s">
        <v>407</v>
      </c>
      <c r="G4847" s="1" t="s">
        <v>505</v>
      </c>
      <c r="H4847" s="1" t="s">
        <v>1004</v>
      </c>
      <c r="I4847" s="1">
        <v>1</v>
      </c>
      <c r="J4847" s="3">
        <v>9339</v>
      </c>
      <c r="K4847" s="3">
        <v>8911</v>
      </c>
      <c r="L4847" s="1">
        <v>0</v>
      </c>
      <c r="M4847" s="4">
        <v>0</v>
      </c>
      <c r="N4847" s="1">
        <v>428</v>
      </c>
      <c r="O4847" s="4">
        <v>4.5999999999999999E-2</v>
      </c>
      <c r="P4847" s="1" t="s">
        <v>2721</v>
      </c>
    </row>
    <row r="4848" spans="1:16">
      <c r="A4848" s="1" t="s">
        <v>15</v>
      </c>
      <c r="B4848" s="1">
        <v>11</v>
      </c>
      <c r="C4848" s="1" t="s">
        <v>9422</v>
      </c>
      <c r="D4848" s="1" t="s">
        <v>7087</v>
      </c>
      <c r="E4848" s="2">
        <v>45988</v>
      </c>
      <c r="F4848" s="1" t="s">
        <v>7088</v>
      </c>
      <c r="G4848" s="1" t="s">
        <v>7089</v>
      </c>
      <c r="H4848" s="1" t="s">
        <v>8216</v>
      </c>
      <c r="I4848" s="1">
        <v>1</v>
      </c>
      <c r="J4848" s="3">
        <v>15237</v>
      </c>
      <c r="K4848" s="3">
        <v>14539</v>
      </c>
      <c r="L4848" s="1">
        <v>0</v>
      </c>
      <c r="M4848" s="4">
        <v>0</v>
      </c>
      <c r="N4848" s="1">
        <v>698</v>
      </c>
      <c r="O4848" s="4">
        <v>4.5999999999999999E-2</v>
      </c>
      <c r="P4848" s="1" t="s">
        <v>2721</v>
      </c>
    </row>
    <row r="4849" spans="1:16">
      <c r="A4849" s="1" t="s">
        <v>15</v>
      </c>
      <c r="B4849" s="1">
        <v>11</v>
      </c>
      <c r="C4849" s="1" t="s">
        <v>9422</v>
      </c>
      <c r="D4849" s="1" t="s">
        <v>7087</v>
      </c>
      <c r="E4849" s="2">
        <v>45988</v>
      </c>
      <c r="F4849" s="1" t="s">
        <v>7088</v>
      </c>
      <c r="G4849" s="1" t="s">
        <v>7089</v>
      </c>
      <c r="H4849" s="1" t="s">
        <v>7090</v>
      </c>
      <c r="I4849" s="1">
        <v>1</v>
      </c>
      <c r="J4849" s="3">
        <v>15237</v>
      </c>
      <c r="K4849" s="3">
        <v>14539</v>
      </c>
      <c r="L4849" s="1">
        <v>0</v>
      </c>
      <c r="M4849" s="4">
        <v>0</v>
      </c>
      <c r="N4849" s="1">
        <v>698</v>
      </c>
      <c r="O4849" s="4">
        <v>4.5999999999999999E-2</v>
      </c>
      <c r="P4849" s="1" t="s">
        <v>2721</v>
      </c>
    </row>
    <row r="4850" spans="1:16">
      <c r="A4850" s="1" t="s">
        <v>15</v>
      </c>
      <c r="B4850" s="1">
        <v>11</v>
      </c>
      <c r="C4850" s="1" t="s">
        <v>9422</v>
      </c>
      <c r="D4850" s="1" t="s">
        <v>4039</v>
      </c>
      <c r="E4850" s="2">
        <v>45988</v>
      </c>
      <c r="F4850" s="1" t="s">
        <v>53</v>
      </c>
      <c r="G4850" s="1" t="s">
        <v>4040</v>
      </c>
      <c r="H4850" s="1" t="s">
        <v>4075</v>
      </c>
      <c r="I4850" s="1">
        <v>1</v>
      </c>
      <c r="J4850" s="3">
        <v>9825</v>
      </c>
      <c r="K4850" s="3">
        <v>9375</v>
      </c>
      <c r="L4850" s="1">
        <v>0</v>
      </c>
      <c r="M4850" s="4">
        <v>0</v>
      </c>
      <c r="N4850" s="1">
        <v>450</v>
      </c>
      <c r="O4850" s="4">
        <v>4.5999999999999999E-2</v>
      </c>
      <c r="P4850" s="1" t="s">
        <v>2721</v>
      </c>
    </row>
    <row r="4851" spans="1:16">
      <c r="A4851" s="1" t="s">
        <v>15</v>
      </c>
      <c r="B4851" s="1">
        <v>11</v>
      </c>
      <c r="C4851" s="1" t="s">
        <v>9423</v>
      </c>
      <c r="D4851" s="1" t="s">
        <v>333</v>
      </c>
      <c r="E4851" s="2">
        <v>45988</v>
      </c>
      <c r="F4851" s="1" t="s">
        <v>334</v>
      </c>
      <c r="G4851" s="1" t="s">
        <v>335</v>
      </c>
      <c r="H4851" s="1" t="s">
        <v>336</v>
      </c>
      <c r="I4851" s="1">
        <v>1</v>
      </c>
      <c r="J4851" s="3">
        <v>5407</v>
      </c>
      <c r="K4851" s="3">
        <v>5159</v>
      </c>
      <c r="L4851" s="1">
        <v>0</v>
      </c>
      <c r="M4851" s="4">
        <v>0</v>
      </c>
      <c r="N4851" s="1">
        <v>248</v>
      </c>
      <c r="O4851" s="4">
        <v>4.5999999999999999E-2</v>
      </c>
      <c r="P4851" s="1" t="s">
        <v>2721</v>
      </c>
    </row>
    <row r="4852" spans="1:16">
      <c r="A4852" s="1" t="s">
        <v>15</v>
      </c>
      <c r="B4852" s="1">
        <v>11</v>
      </c>
      <c r="C4852" s="1" t="s">
        <v>9424</v>
      </c>
      <c r="D4852" s="1" t="s">
        <v>9425</v>
      </c>
      <c r="E4852" s="2">
        <v>45988</v>
      </c>
      <c r="F4852" s="1" t="s">
        <v>883</v>
      </c>
      <c r="G4852" s="1" t="s">
        <v>9426</v>
      </c>
      <c r="H4852" s="1" t="s">
        <v>9427</v>
      </c>
      <c r="I4852" s="1">
        <v>2</v>
      </c>
      <c r="J4852" s="3">
        <v>27917</v>
      </c>
      <c r="K4852" s="3">
        <v>26639</v>
      </c>
      <c r="L4852" s="1">
        <v>0</v>
      </c>
      <c r="M4852" s="4">
        <v>0</v>
      </c>
      <c r="N4852" s="3">
        <v>1278</v>
      </c>
      <c r="O4852" s="4">
        <v>4.5999999999999999E-2</v>
      </c>
      <c r="P4852" s="1" t="s">
        <v>2721</v>
      </c>
    </row>
    <row r="4853" spans="1:16">
      <c r="A4853" s="1" t="s">
        <v>15</v>
      </c>
      <c r="B4853" s="1">
        <v>11</v>
      </c>
      <c r="C4853" s="1" t="s">
        <v>9428</v>
      </c>
      <c r="D4853" s="1" t="s">
        <v>5545</v>
      </c>
      <c r="E4853" s="2">
        <v>45988</v>
      </c>
      <c r="F4853" s="1" t="s">
        <v>235</v>
      </c>
      <c r="G4853" s="1" t="s">
        <v>5546</v>
      </c>
      <c r="H4853" s="1" t="s">
        <v>5547</v>
      </c>
      <c r="I4853" s="1">
        <v>1</v>
      </c>
      <c r="J4853" s="3">
        <v>10491</v>
      </c>
      <c r="K4853" s="3">
        <v>10010</v>
      </c>
      <c r="L4853" s="1">
        <v>0</v>
      </c>
      <c r="M4853" s="4">
        <v>0</v>
      </c>
      <c r="N4853" s="1">
        <v>481</v>
      </c>
      <c r="O4853" s="4">
        <v>4.5999999999999999E-2</v>
      </c>
      <c r="P4853" s="1" t="s">
        <v>2721</v>
      </c>
    </row>
    <row r="4854" spans="1:16">
      <c r="A4854" s="1" t="s">
        <v>15</v>
      </c>
      <c r="B4854" s="1">
        <v>11</v>
      </c>
      <c r="C4854" s="1" t="s">
        <v>9428</v>
      </c>
      <c r="D4854" s="1" t="s">
        <v>5545</v>
      </c>
      <c r="E4854" s="2">
        <v>45988</v>
      </c>
      <c r="F4854" s="1" t="s">
        <v>235</v>
      </c>
      <c r="G4854" s="1" t="s">
        <v>5546</v>
      </c>
      <c r="H4854" s="1" t="s">
        <v>5549</v>
      </c>
      <c r="I4854" s="1">
        <v>1</v>
      </c>
      <c r="J4854" s="3">
        <v>10491</v>
      </c>
      <c r="K4854" s="3">
        <v>10010</v>
      </c>
      <c r="L4854" s="1">
        <v>0</v>
      </c>
      <c r="M4854" s="4">
        <v>0</v>
      </c>
      <c r="N4854" s="1">
        <v>481</v>
      </c>
      <c r="O4854" s="4">
        <v>4.5999999999999999E-2</v>
      </c>
      <c r="P4854" s="1" t="s">
        <v>2721</v>
      </c>
    </row>
    <row r="4855" spans="1:16">
      <c r="A4855" s="1" t="s">
        <v>15</v>
      </c>
      <c r="B4855" s="1">
        <v>11</v>
      </c>
      <c r="C4855" s="1" t="s">
        <v>9429</v>
      </c>
      <c r="D4855" s="1" t="s">
        <v>3680</v>
      </c>
      <c r="E4855" s="2">
        <v>45988</v>
      </c>
      <c r="F4855" s="1" t="s">
        <v>488</v>
      </c>
      <c r="G4855" s="1" t="s">
        <v>3681</v>
      </c>
      <c r="H4855" s="1" t="s">
        <v>3682</v>
      </c>
      <c r="I4855" s="1">
        <v>1</v>
      </c>
      <c r="J4855" s="3">
        <v>11786</v>
      </c>
      <c r="K4855" s="3">
        <v>11247</v>
      </c>
      <c r="L4855" s="1">
        <v>0</v>
      </c>
      <c r="M4855" s="4">
        <v>0</v>
      </c>
      <c r="N4855" s="1">
        <v>539</v>
      </c>
      <c r="O4855" s="4">
        <v>4.5999999999999999E-2</v>
      </c>
      <c r="P4855" s="1" t="s">
        <v>2721</v>
      </c>
    </row>
    <row r="4856" spans="1:16">
      <c r="A4856" s="1" t="s">
        <v>15</v>
      </c>
      <c r="B4856" s="1">
        <v>11</v>
      </c>
      <c r="C4856" s="1" t="s">
        <v>9430</v>
      </c>
      <c r="D4856" s="1" t="s">
        <v>311</v>
      </c>
      <c r="E4856" s="2">
        <v>45988</v>
      </c>
      <c r="F4856" s="1" t="s">
        <v>312</v>
      </c>
      <c r="G4856" s="1" t="s">
        <v>313</v>
      </c>
      <c r="H4856" s="1" t="s">
        <v>339</v>
      </c>
      <c r="I4856" s="1">
        <v>1</v>
      </c>
      <c r="J4856" s="3">
        <v>28310</v>
      </c>
      <c r="K4856" s="3">
        <v>27014</v>
      </c>
      <c r="L4856" s="1">
        <v>0</v>
      </c>
      <c r="M4856" s="4">
        <v>0</v>
      </c>
      <c r="N4856" s="3">
        <v>1296</v>
      </c>
      <c r="O4856" s="4">
        <v>4.5999999999999999E-2</v>
      </c>
      <c r="P4856" s="1" t="s">
        <v>2721</v>
      </c>
    </row>
    <row r="4857" spans="1:16">
      <c r="A4857" s="1" t="s">
        <v>15</v>
      </c>
      <c r="B4857" s="1">
        <v>11</v>
      </c>
      <c r="C4857" s="1" t="s">
        <v>9431</v>
      </c>
      <c r="D4857" s="1" t="s">
        <v>1438</v>
      </c>
      <c r="E4857" s="2">
        <v>45988</v>
      </c>
      <c r="F4857" s="1" t="s">
        <v>126</v>
      </c>
      <c r="G4857" s="1" t="s">
        <v>1439</v>
      </c>
      <c r="H4857" s="1" t="s">
        <v>1440</v>
      </c>
      <c r="I4857" s="1">
        <v>1</v>
      </c>
      <c r="J4857" s="3">
        <v>20643</v>
      </c>
      <c r="K4857" s="3">
        <v>19698</v>
      </c>
      <c r="L4857" s="1">
        <v>0</v>
      </c>
      <c r="M4857" s="4">
        <v>0</v>
      </c>
      <c r="N4857" s="1">
        <v>945</v>
      </c>
      <c r="O4857" s="4">
        <v>4.5999999999999999E-2</v>
      </c>
      <c r="P4857" s="1" t="s">
        <v>2721</v>
      </c>
    </row>
    <row r="4858" spans="1:16">
      <c r="A4858" s="1" t="s">
        <v>15</v>
      </c>
      <c r="B4858" s="1">
        <v>11</v>
      </c>
      <c r="C4858" s="1" t="s">
        <v>9431</v>
      </c>
      <c r="D4858" s="1" t="s">
        <v>1467</v>
      </c>
      <c r="E4858" s="2">
        <v>45988</v>
      </c>
      <c r="F4858" s="1" t="s">
        <v>126</v>
      </c>
      <c r="G4858" s="1" t="s">
        <v>1468</v>
      </c>
      <c r="H4858" s="1" t="s">
        <v>1469</v>
      </c>
      <c r="I4858" s="1">
        <v>1</v>
      </c>
      <c r="J4858" s="3">
        <v>17989</v>
      </c>
      <c r="K4858" s="3">
        <v>17165</v>
      </c>
      <c r="L4858" s="1">
        <v>0</v>
      </c>
      <c r="M4858" s="4">
        <v>0</v>
      </c>
      <c r="N4858" s="1">
        <v>824</v>
      </c>
      <c r="O4858" s="4">
        <v>4.5999999999999999E-2</v>
      </c>
      <c r="P4858" s="1" t="s">
        <v>2721</v>
      </c>
    </row>
    <row r="4859" spans="1:16">
      <c r="A4859" s="1" t="s">
        <v>15</v>
      </c>
      <c r="B4859" s="1">
        <v>11</v>
      </c>
      <c r="C4859" s="1" t="s">
        <v>9432</v>
      </c>
      <c r="D4859" s="1" t="s">
        <v>9433</v>
      </c>
      <c r="E4859" s="2">
        <v>45988</v>
      </c>
      <c r="F4859" s="1" t="s">
        <v>400</v>
      </c>
      <c r="G4859" s="1" t="s">
        <v>9434</v>
      </c>
      <c r="H4859" s="1" t="s">
        <v>9435</v>
      </c>
      <c r="I4859" s="1">
        <v>1</v>
      </c>
      <c r="J4859" s="3">
        <v>12144</v>
      </c>
      <c r="K4859" s="3">
        <v>11588</v>
      </c>
      <c r="L4859" s="1">
        <v>0</v>
      </c>
      <c r="M4859" s="4">
        <v>0</v>
      </c>
      <c r="N4859" s="1">
        <v>556</v>
      </c>
      <c r="O4859" s="4">
        <v>4.5999999999999999E-2</v>
      </c>
      <c r="P4859" s="1" t="s">
        <v>2721</v>
      </c>
    </row>
    <row r="4860" spans="1:16">
      <c r="A4860" s="1" t="s">
        <v>15</v>
      </c>
      <c r="B4860" s="1">
        <v>11</v>
      </c>
      <c r="C4860" s="1" t="s">
        <v>9432</v>
      </c>
      <c r="D4860" s="1" t="s">
        <v>9436</v>
      </c>
      <c r="E4860" s="2">
        <v>45988</v>
      </c>
      <c r="F4860" s="1" t="s">
        <v>400</v>
      </c>
      <c r="G4860" s="1" t="s">
        <v>9437</v>
      </c>
      <c r="H4860" s="1" t="s">
        <v>9438</v>
      </c>
      <c r="I4860" s="1">
        <v>1</v>
      </c>
      <c r="J4860" s="3">
        <v>16591</v>
      </c>
      <c r="K4860" s="3">
        <v>15832</v>
      </c>
      <c r="L4860" s="1">
        <v>0</v>
      </c>
      <c r="M4860" s="4">
        <v>0</v>
      </c>
      <c r="N4860" s="1">
        <v>759</v>
      </c>
      <c r="O4860" s="4">
        <v>4.5999999999999999E-2</v>
      </c>
      <c r="P4860" s="1" t="s">
        <v>2721</v>
      </c>
    </row>
    <row r="4861" spans="1:16">
      <c r="A4861" s="1" t="s">
        <v>15</v>
      </c>
      <c r="B4861" s="1">
        <v>11</v>
      </c>
      <c r="C4861" s="1" t="s">
        <v>9432</v>
      </c>
      <c r="D4861" s="1" t="s">
        <v>9439</v>
      </c>
      <c r="E4861" s="2">
        <v>45988</v>
      </c>
      <c r="F4861" s="1" t="s">
        <v>400</v>
      </c>
      <c r="G4861" s="1" t="s">
        <v>9440</v>
      </c>
      <c r="H4861" s="1" t="s">
        <v>9441</v>
      </c>
      <c r="I4861" s="1">
        <v>1</v>
      </c>
      <c r="J4861" s="3">
        <v>16591</v>
      </c>
      <c r="K4861" s="3">
        <v>15832</v>
      </c>
      <c r="L4861" s="1">
        <v>0</v>
      </c>
      <c r="M4861" s="4">
        <v>0</v>
      </c>
      <c r="N4861" s="1">
        <v>759</v>
      </c>
      <c r="O4861" s="4">
        <v>4.5999999999999999E-2</v>
      </c>
      <c r="P4861" s="1" t="s">
        <v>2721</v>
      </c>
    </row>
    <row r="4862" spans="1:16">
      <c r="A4862" s="1" t="s">
        <v>15</v>
      </c>
      <c r="B4862" s="1">
        <v>11</v>
      </c>
      <c r="C4862" s="1" t="s">
        <v>9442</v>
      </c>
      <c r="D4862" s="1" t="s">
        <v>955</v>
      </c>
      <c r="E4862" s="2">
        <v>45988</v>
      </c>
      <c r="F4862" s="1" t="s">
        <v>554</v>
      </c>
      <c r="G4862" s="1" t="s">
        <v>956</v>
      </c>
      <c r="H4862" s="1" t="s">
        <v>957</v>
      </c>
      <c r="I4862" s="1">
        <v>1</v>
      </c>
      <c r="J4862" s="3">
        <v>17596</v>
      </c>
      <c r="K4862" s="3">
        <v>16790</v>
      </c>
      <c r="L4862" s="1">
        <v>0</v>
      </c>
      <c r="M4862" s="4">
        <v>0</v>
      </c>
      <c r="N4862" s="1">
        <v>806</v>
      </c>
      <c r="O4862" s="4">
        <v>4.5999999999999999E-2</v>
      </c>
      <c r="P4862" s="1" t="s">
        <v>2721</v>
      </c>
    </row>
    <row r="4863" spans="1:16">
      <c r="A4863" s="1" t="s">
        <v>15</v>
      </c>
      <c r="B4863" s="1">
        <v>11</v>
      </c>
      <c r="C4863" s="1" t="s">
        <v>9443</v>
      </c>
      <c r="D4863" s="1" t="s">
        <v>394</v>
      </c>
      <c r="E4863" s="2">
        <v>45988</v>
      </c>
      <c r="F4863" s="1" t="s">
        <v>395</v>
      </c>
      <c r="G4863" s="1" t="s">
        <v>396</v>
      </c>
      <c r="H4863" s="1" t="s">
        <v>397</v>
      </c>
      <c r="I4863" s="1">
        <v>4</v>
      </c>
      <c r="J4863" s="3">
        <v>75494</v>
      </c>
      <c r="K4863" s="3">
        <v>72038</v>
      </c>
      <c r="L4863" s="1">
        <v>0</v>
      </c>
      <c r="M4863" s="4">
        <v>0</v>
      </c>
      <c r="N4863" s="3">
        <v>3456</v>
      </c>
      <c r="O4863" s="4">
        <v>4.5999999999999999E-2</v>
      </c>
      <c r="P4863" s="1" t="s">
        <v>2721</v>
      </c>
    </row>
    <row r="4864" spans="1:16">
      <c r="A4864" s="1" t="s">
        <v>15</v>
      </c>
      <c r="B4864" s="1">
        <v>11</v>
      </c>
      <c r="C4864" s="1" t="s">
        <v>9444</v>
      </c>
      <c r="D4864" s="1" t="s">
        <v>333</v>
      </c>
      <c r="E4864" s="2">
        <v>45988</v>
      </c>
      <c r="F4864" s="1" t="s">
        <v>334</v>
      </c>
      <c r="G4864" s="1" t="s">
        <v>335</v>
      </c>
      <c r="H4864" s="1" t="s">
        <v>336</v>
      </c>
      <c r="I4864" s="1">
        <v>2</v>
      </c>
      <c r="J4864" s="3">
        <v>10813</v>
      </c>
      <c r="K4864" s="3">
        <v>10318</v>
      </c>
      <c r="L4864" s="1">
        <v>0</v>
      </c>
      <c r="M4864" s="4">
        <v>0</v>
      </c>
      <c r="N4864" s="1">
        <v>495</v>
      </c>
      <c r="O4864" s="4">
        <v>4.5999999999999999E-2</v>
      </c>
      <c r="P4864" s="1" t="s">
        <v>2721</v>
      </c>
    </row>
    <row r="4865" spans="1:16">
      <c r="A4865" s="1" t="s">
        <v>15</v>
      </c>
      <c r="B4865" s="1">
        <v>11</v>
      </c>
      <c r="C4865" s="1" t="s">
        <v>9445</v>
      </c>
      <c r="D4865" s="1" t="s">
        <v>169</v>
      </c>
      <c r="E4865" s="2">
        <v>45988</v>
      </c>
      <c r="F4865" s="1" t="s">
        <v>53</v>
      </c>
      <c r="G4865" s="1" t="s">
        <v>170</v>
      </c>
      <c r="H4865" s="1" t="s">
        <v>171</v>
      </c>
      <c r="I4865" s="1">
        <v>1</v>
      </c>
      <c r="J4865" s="3">
        <v>14332</v>
      </c>
      <c r="K4865" s="3">
        <v>13676</v>
      </c>
      <c r="L4865" s="1">
        <v>0</v>
      </c>
      <c r="M4865" s="4">
        <v>0</v>
      </c>
      <c r="N4865" s="1">
        <v>656</v>
      </c>
      <c r="O4865" s="4">
        <v>4.5999999999999999E-2</v>
      </c>
      <c r="P4865" s="1" t="s">
        <v>2721</v>
      </c>
    </row>
    <row r="4866" spans="1:16">
      <c r="A4866" s="1" t="s">
        <v>15</v>
      </c>
      <c r="B4866" s="1">
        <v>11</v>
      </c>
      <c r="C4866" s="1" t="s">
        <v>9446</v>
      </c>
      <c r="D4866" s="1" t="s">
        <v>906</v>
      </c>
      <c r="E4866" s="2">
        <v>45988</v>
      </c>
      <c r="F4866" s="1" t="s">
        <v>554</v>
      </c>
      <c r="G4866" s="1" t="s">
        <v>907</v>
      </c>
      <c r="H4866" s="1" t="s">
        <v>9447</v>
      </c>
      <c r="I4866" s="1">
        <v>1</v>
      </c>
      <c r="J4866" s="3">
        <v>33914</v>
      </c>
      <c r="K4866" s="3">
        <v>32361</v>
      </c>
      <c r="L4866" s="1">
        <v>0</v>
      </c>
      <c r="M4866" s="4">
        <v>0</v>
      </c>
      <c r="N4866" s="3">
        <v>1553</v>
      </c>
      <c r="O4866" s="4">
        <v>4.5999999999999999E-2</v>
      </c>
      <c r="P4866" s="1" t="s">
        <v>2721</v>
      </c>
    </row>
    <row r="4867" spans="1:16">
      <c r="A4867" s="1" t="s">
        <v>15</v>
      </c>
      <c r="B4867" s="1">
        <v>11</v>
      </c>
      <c r="C4867" s="1" t="s">
        <v>9446</v>
      </c>
      <c r="D4867" s="1" t="s">
        <v>5800</v>
      </c>
      <c r="E4867" s="2">
        <v>45988</v>
      </c>
      <c r="F4867" s="1" t="s">
        <v>554</v>
      </c>
      <c r="G4867" s="1" t="s">
        <v>5801</v>
      </c>
      <c r="H4867" s="1" t="s">
        <v>5802</v>
      </c>
      <c r="I4867" s="1">
        <v>1</v>
      </c>
      <c r="J4867" s="3">
        <v>15237</v>
      </c>
      <c r="K4867" s="3">
        <v>14539</v>
      </c>
      <c r="L4867" s="1">
        <v>0</v>
      </c>
      <c r="M4867" s="4">
        <v>0</v>
      </c>
      <c r="N4867" s="1">
        <v>698</v>
      </c>
      <c r="O4867" s="4">
        <v>4.5999999999999999E-2</v>
      </c>
      <c r="P4867" s="1" t="s">
        <v>2721</v>
      </c>
    </row>
    <row r="4868" spans="1:16">
      <c r="A4868" s="1" t="s">
        <v>15</v>
      </c>
      <c r="B4868" s="1">
        <v>11</v>
      </c>
      <c r="C4868" s="1" t="s">
        <v>9448</v>
      </c>
      <c r="D4868" s="1" t="s">
        <v>72</v>
      </c>
      <c r="E4868" s="2">
        <v>45988</v>
      </c>
      <c r="F4868" s="1" t="s">
        <v>63</v>
      </c>
      <c r="G4868" s="1" t="s">
        <v>73</v>
      </c>
      <c r="H4868" s="1" t="s">
        <v>74</v>
      </c>
      <c r="I4868" s="1">
        <v>1</v>
      </c>
      <c r="J4868" s="3">
        <v>10456</v>
      </c>
      <c r="K4868" s="3">
        <v>9978</v>
      </c>
      <c r="L4868" s="1">
        <v>0</v>
      </c>
      <c r="M4868" s="4">
        <v>0</v>
      </c>
      <c r="N4868" s="1">
        <v>478</v>
      </c>
      <c r="O4868" s="4">
        <v>4.5999999999999999E-2</v>
      </c>
      <c r="P4868" s="1" t="s">
        <v>2721</v>
      </c>
    </row>
    <row r="4869" spans="1:16">
      <c r="A4869" s="1" t="s">
        <v>15</v>
      </c>
      <c r="B4869" s="1">
        <v>11</v>
      </c>
      <c r="C4869" s="1" t="s">
        <v>9449</v>
      </c>
      <c r="D4869" s="1" t="s">
        <v>27</v>
      </c>
      <c r="E4869" s="2">
        <v>45988</v>
      </c>
      <c r="F4869" s="1" t="s">
        <v>28</v>
      </c>
      <c r="G4869" s="1" t="s">
        <v>29</v>
      </c>
      <c r="H4869" s="1" t="s">
        <v>352</v>
      </c>
      <c r="I4869" s="1">
        <v>2</v>
      </c>
      <c r="J4869" s="3">
        <v>54065</v>
      </c>
      <c r="K4869" s="3">
        <v>51590</v>
      </c>
      <c r="L4869" s="1">
        <v>0</v>
      </c>
      <c r="M4869" s="4">
        <v>0</v>
      </c>
      <c r="N4869" s="3">
        <v>2475</v>
      </c>
      <c r="O4869" s="4">
        <v>4.5999999999999999E-2</v>
      </c>
      <c r="P4869" s="1" t="s">
        <v>2721</v>
      </c>
    </row>
    <row r="4870" spans="1:16">
      <c r="A4870" s="1" t="s">
        <v>15</v>
      </c>
      <c r="B4870" s="1">
        <v>11</v>
      </c>
      <c r="C4870" s="1" t="s">
        <v>9450</v>
      </c>
      <c r="D4870" s="1" t="s">
        <v>482</v>
      </c>
      <c r="E4870" s="2">
        <v>45988</v>
      </c>
      <c r="F4870" s="1" t="s">
        <v>483</v>
      </c>
      <c r="G4870" s="1" t="s">
        <v>484</v>
      </c>
      <c r="H4870" s="1" t="s">
        <v>1039</v>
      </c>
      <c r="I4870" s="1">
        <v>1</v>
      </c>
      <c r="J4870" s="3">
        <v>27426</v>
      </c>
      <c r="K4870" s="3">
        <v>26170</v>
      </c>
      <c r="L4870" s="1">
        <v>0</v>
      </c>
      <c r="M4870" s="4">
        <v>0</v>
      </c>
      <c r="N4870" s="3">
        <v>1256</v>
      </c>
      <c r="O4870" s="4">
        <v>4.5999999999999999E-2</v>
      </c>
      <c r="P4870" s="1" t="s">
        <v>2721</v>
      </c>
    </row>
    <row r="4871" spans="1:16">
      <c r="A4871" s="1" t="s">
        <v>15</v>
      </c>
      <c r="B4871" s="1">
        <v>11</v>
      </c>
      <c r="C4871" s="1" t="s">
        <v>9451</v>
      </c>
      <c r="D4871" s="1" t="s">
        <v>238</v>
      </c>
      <c r="E4871" s="2">
        <v>45988</v>
      </c>
      <c r="F4871" s="1" t="s">
        <v>239</v>
      </c>
      <c r="G4871" s="1" t="s">
        <v>240</v>
      </c>
      <c r="H4871" s="1" t="s">
        <v>241</v>
      </c>
      <c r="I4871" s="1">
        <v>1</v>
      </c>
      <c r="J4871" s="3">
        <v>11305</v>
      </c>
      <c r="K4871" s="3">
        <v>10787</v>
      </c>
      <c r="L4871" s="1">
        <v>0</v>
      </c>
      <c r="M4871" s="4">
        <v>0</v>
      </c>
      <c r="N4871" s="1">
        <v>518</v>
      </c>
      <c r="O4871" s="4">
        <v>4.5999999999999999E-2</v>
      </c>
      <c r="P4871" s="1" t="s">
        <v>2721</v>
      </c>
    </row>
    <row r="4872" spans="1:16">
      <c r="A4872" s="1" t="s">
        <v>15</v>
      </c>
      <c r="B4872" s="1">
        <v>11</v>
      </c>
      <c r="C4872" s="1" t="s">
        <v>9452</v>
      </c>
      <c r="D4872" s="1" t="s">
        <v>1508</v>
      </c>
      <c r="E4872" s="2">
        <v>45988</v>
      </c>
      <c r="F4872" s="1" t="s">
        <v>53</v>
      </c>
      <c r="G4872" s="1" t="s">
        <v>1509</v>
      </c>
      <c r="H4872" s="1" t="s">
        <v>3372</v>
      </c>
      <c r="I4872" s="1">
        <v>1</v>
      </c>
      <c r="J4872" s="3">
        <v>8022</v>
      </c>
      <c r="K4872" s="3">
        <v>7655</v>
      </c>
      <c r="L4872" s="1">
        <v>0</v>
      </c>
      <c r="M4872" s="4">
        <v>0</v>
      </c>
      <c r="N4872" s="1">
        <v>367</v>
      </c>
      <c r="O4872" s="4">
        <v>4.5999999999999999E-2</v>
      </c>
      <c r="P4872" s="1" t="s">
        <v>2721</v>
      </c>
    </row>
    <row r="4873" spans="1:16">
      <c r="A4873" s="1" t="s">
        <v>15</v>
      </c>
      <c r="B4873" s="1">
        <v>11</v>
      </c>
      <c r="C4873" s="1" t="s">
        <v>9453</v>
      </c>
      <c r="D4873" s="1" t="s">
        <v>1687</v>
      </c>
      <c r="E4873" s="2">
        <v>45988</v>
      </c>
      <c r="F4873" s="1" t="s">
        <v>1688</v>
      </c>
      <c r="G4873" s="1" t="s">
        <v>1689</v>
      </c>
      <c r="H4873" s="1" t="s">
        <v>1690</v>
      </c>
      <c r="I4873" s="1">
        <v>2</v>
      </c>
      <c r="J4873" s="3">
        <v>61791</v>
      </c>
      <c r="K4873" s="3">
        <v>58963</v>
      </c>
      <c r="L4873" s="1">
        <v>0</v>
      </c>
      <c r="M4873" s="4">
        <v>0</v>
      </c>
      <c r="N4873" s="3">
        <v>2828</v>
      </c>
      <c r="O4873" s="4">
        <v>4.5999999999999999E-2</v>
      </c>
      <c r="P4873" s="1" t="s">
        <v>2721</v>
      </c>
    </row>
    <row r="4874" spans="1:16">
      <c r="A4874" s="1" t="s">
        <v>15</v>
      </c>
      <c r="B4874" s="1">
        <v>11</v>
      </c>
      <c r="C4874" s="1" t="s">
        <v>9454</v>
      </c>
      <c r="D4874" s="1" t="s">
        <v>125</v>
      </c>
      <c r="E4874" s="2">
        <v>45988</v>
      </c>
      <c r="F4874" s="1" t="s">
        <v>126</v>
      </c>
      <c r="G4874" s="1" t="s">
        <v>127</v>
      </c>
      <c r="H4874" s="1" t="s">
        <v>128</v>
      </c>
      <c r="I4874" s="1">
        <v>2</v>
      </c>
      <c r="J4874" s="3">
        <v>27917</v>
      </c>
      <c r="K4874" s="3">
        <v>26639</v>
      </c>
      <c r="L4874" s="1">
        <v>0</v>
      </c>
      <c r="M4874" s="4">
        <v>0</v>
      </c>
      <c r="N4874" s="3">
        <v>1278</v>
      </c>
      <c r="O4874" s="4">
        <v>4.5999999999999999E-2</v>
      </c>
      <c r="P4874" s="1" t="s">
        <v>2721</v>
      </c>
    </row>
    <row r="4875" spans="1:16">
      <c r="A4875" s="1" t="s">
        <v>15</v>
      </c>
      <c r="B4875" s="1">
        <v>11</v>
      </c>
      <c r="C4875" s="1" t="s">
        <v>9455</v>
      </c>
      <c r="D4875" s="1" t="s">
        <v>1508</v>
      </c>
      <c r="E4875" s="2">
        <v>45988</v>
      </c>
      <c r="F4875" s="1" t="s">
        <v>53</v>
      </c>
      <c r="G4875" s="1" t="s">
        <v>1509</v>
      </c>
      <c r="H4875" s="1" t="s">
        <v>1510</v>
      </c>
      <c r="I4875" s="1">
        <v>1</v>
      </c>
      <c r="J4875" s="3">
        <v>8022</v>
      </c>
      <c r="K4875" s="3">
        <v>7655</v>
      </c>
      <c r="L4875" s="1">
        <v>0</v>
      </c>
      <c r="M4875" s="4">
        <v>0</v>
      </c>
      <c r="N4875" s="1">
        <v>367</v>
      </c>
      <c r="O4875" s="4">
        <v>4.5999999999999999E-2</v>
      </c>
      <c r="P4875" s="1" t="s">
        <v>2721</v>
      </c>
    </row>
    <row r="4876" spans="1:16">
      <c r="A4876" s="1" t="s">
        <v>15</v>
      </c>
      <c r="B4876" s="1">
        <v>11</v>
      </c>
      <c r="C4876" s="1" t="s">
        <v>9456</v>
      </c>
      <c r="D4876" s="1" t="s">
        <v>4121</v>
      </c>
      <c r="E4876" s="2">
        <v>45988</v>
      </c>
      <c r="F4876" s="1" t="s">
        <v>96</v>
      </c>
      <c r="G4876" s="1" t="s">
        <v>4122</v>
      </c>
      <c r="H4876" s="1" t="s">
        <v>2014</v>
      </c>
      <c r="I4876" s="1">
        <v>1</v>
      </c>
      <c r="J4876" s="3">
        <v>23423</v>
      </c>
      <c r="K4876" s="3">
        <v>22351</v>
      </c>
      <c r="L4876" s="1">
        <v>0</v>
      </c>
      <c r="M4876" s="4">
        <v>0</v>
      </c>
      <c r="N4876" s="3">
        <v>1072</v>
      </c>
      <c r="O4876" s="4">
        <v>4.5999999999999999E-2</v>
      </c>
      <c r="P4876" s="1" t="s">
        <v>2721</v>
      </c>
    </row>
    <row r="4877" spans="1:16">
      <c r="A4877" s="1" t="s">
        <v>15</v>
      </c>
      <c r="B4877" s="1">
        <v>11</v>
      </c>
      <c r="C4877" s="1" t="s">
        <v>9457</v>
      </c>
      <c r="D4877" s="1" t="s">
        <v>27</v>
      </c>
      <c r="E4877" s="2">
        <v>45988</v>
      </c>
      <c r="F4877" s="1" t="s">
        <v>28</v>
      </c>
      <c r="G4877" s="1" t="s">
        <v>29</v>
      </c>
      <c r="H4877" s="1" t="s">
        <v>352</v>
      </c>
      <c r="I4877" s="1">
        <v>1</v>
      </c>
      <c r="J4877" s="3">
        <v>27033</v>
      </c>
      <c r="K4877" s="3">
        <v>25795</v>
      </c>
      <c r="L4877" s="1">
        <v>0</v>
      </c>
      <c r="M4877" s="4">
        <v>0</v>
      </c>
      <c r="N4877" s="3">
        <v>1238</v>
      </c>
      <c r="O4877" s="4">
        <v>4.5999999999999999E-2</v>
      </c>
      <c r="P4877" s="1" t="s">
        <v>2721</v>
      </c>
    </row>
    <row r="4878" spans="1:16">
      <c r="A4878" s="1" t="s">
        <v>15</v>
      </c>
      <c r="B4878" s="1">
        <v>11</v>
      </c>
      <c r="C4878" s="1" t="s">
        <v>9458</v>
      </c>
      <c r="D4878" s="1" t="s">
        <v>72</v>
      </c>
      <c r="E4878" s="2">
        <v>45988</v>
      </c>
      <c r="F4878" s="1" t="s">
        <v>63</v>
      </c>
      <c r="G4878" s="1" t="s">
        <v>73</v>
      </c>
      <c r="H4878" s="1" t="s">
        <v>74</v>
      </c>
      <c r="I4878" s="1">
        <v>1</v>
      </c>
      <c r="J4878" s="3">
        <v>10456</v>
      </c>
      <c r="K4878" s="3">
        <v>9978</v>
      </c>
      <c r="L4878" s="1">
        <v>0</v>
      </c>
      <c r="M4878" s="4">
        <v>0</v>
      </c>
      <c r="N4878" s="1">
        <v>478</v>
      </c>
      <c r="O4878" s="4">
        <v>4.5999999999999999E-2</v>
      </c>
      <c r="P4878" s="1" t="s">
        <v>2721</v>
      </c>
    </row>
    <row r="4879" spans="1:16">
      <c r="A4879" s="1" t="s">
        <v>15</v>
      </c>
      <c r="B4879" s="1">
        <v>11</v>
      </c>
      <c r="C4879" s="1" t="s">
        <v>9459</v>
      </c>
      <c r="D4879" s="1" t="s">
        <v>1049</v>
      </c>
      <c r="E4879" s="2">
        <v>45988</v>
      </c>
      <c r="F4879" s="1" t="s">
        <v>469</v>
      </c>
      <c r="G4879" s="1" t="s">
        <v>1050</v>
      </c>
      <c r="H4879" s="1" t="s">
        <v>1117</v>
      </c>
      <c r="I4879" s="1">
        <v>1</v>
      </c>
      <c r="J4879" s="3">
        <v>15728</v>
      </c>
      <c r="K4879" s="3">
        <v>15008</v>
      </c>
      <c r="L4879" s="1">
        <v>0</v>
      </c>
      <c r="M4879" s="4">
        <v>0</v>
      </c>
      <c r="N4879" s="1">
        <v>720</v>
      </c>
      <c r="O4879" s="4">
        <v>4.5999999999999999E-2</v>
      </c>
      <c r="P4879" s="1" t="s">
        <v>2721</v>
      </c>
    </row>
    <row r="4880" spans="1:16">
      <c r="A4880" s="1" t="s">
        <v>15</v>
      </c>
      <c r="B4880" s="1">
        <v>11</v>
      </c>
      <c r="C4880" s="1" t="s">
        <v>9460</v>
      </c>
      <c r="D4880" s="1" t="s">
        <v>499</v>
      </c>
      <c r="E4880" s="2">
        <v>45988</v>
      </c>
      <c r="F4880" s="1" t="s">
        <v>500</v>
      </c>
      <c r="G4880" s="1" t="s">
        <v>501</v>
      </c>
      <c r="H4880" s="1" t="s">
        <v>502</v>
      </c>
      <c r="I4880" s="1">
        <v>1</v>
      </c>
      <c r="J4880" s="3">
        <v>227073</v>
      </c>
      <c r="K4880" s="3">
        <v>216678</v>
      </c>
      <c r="L4880" s="1">
        <v>0</v>
      </c>
      <c r="M4880" s="4">
        <v>0</v>
      </c>
      <c r="N4880" s="3">
        <v>10395</v>
      </c>
      <c r="O4880" s="4">
        <v>4.5999999999999999E-2</v>
      </c>
      <c r="P4880" s="1" t="s">
        <v>2721</v>
      </c>
    </row>
    <row r="4881" spans="1:16">
      <c r="A4881" s="1" t="s">
        <v>15</v>
      </c>
      <c r="B4881" s="1">
        <v>11</v>
      </c>
      <c r="C4881" s="1" t="s">
        <v>9461</v>
      </c>
      <c r="D4881" s="1" t="s">
        <v>238</v>
      </c>
      <c r="E4881" s="2">
        <v>45988</v>
      </c>
      <c r="F4881" s="1" t="s">
        <v>239</v>
      </c>
      <c r="G4881" s="1" t="s">
        <v>240</v>
      </c>
      <c r="H4881" s="1" t="s">
        <v>242</v>
      </c>
      <c r="I4881" s="1">
        <v>2</v>
      </c>
      <c r="J4881" s="3">
        <v>22609</v>
      </c>
      <c r="K4881" s="3">
        <v>21574</v>
      </c>
      <c r="L4881" s="1">
        <v>0</v>
      </c>
      <c r="M4881" s="4">
        <v>0</v>
      </c>
      <c r="N4881" s="3">
        <v>1035</v>
      </c>
      <c r="O4881" s="4">
        <v>4.5999999999999999E-2</v>
      </c>
      <c r="P4881" s="1" t="s">
        <v>2721</v>
      </c>
    </row>
    <row r="4882" spans="1:16">
      <c r="A4882" s="1" t="s">
        <v>15</v>
      </c>
      <c r="B4882" s="1">
        <v>11</v>
      </c>
      <c r="C4882" s="1" t="s">
        <v>9462</v>
      </c>
      <c r="D4882" s="1" t="s">
        <v>492</v>
      </c>
      <c r="E4882" s="2">
        <v>45988</v>
      </c>
      <c r="F4882" s="1" t="s">
        <v>493</v>
      </c>
      <c r="G4882" s="1" t="s">
        <v>494</v>
      </c>
      <c r="H4882" s="1" t="s">
        <v>1120</v>
      </c>
      <c r="I4882" s="1">
        <v>1</v>
      </c>
      <c r="J4882" s="3">
        <v>7569</v>
      </c>
      <c r="K4882" s="3">
        <v>7223</v>
      </c>
      <c r="L4882" s="1">
        <v>0</v>
      </c>
      <c r="M4882" s="4">
        <v>0</v>
      </c>
      <c r="N4882" s="1">
        <v>346</v>
      </c>
      <c r="O4882" s="4">
        <v>4.5999999999999999E-2</v>
      </c>
      <c r="P4882" s="1" t="s">
        <v>2721</v>
      </c>
    </row>
    <row r="4883" spans="1:16">
      <c r="A4883" s="1" t="s">
        <v>15</v>
      </c>
      <c r="B4883" s="1">
        <v>11</v>
      </c>
      <c r="C4883" s="1" t="s">
        <v>9462</v>
      </c>
      <c r="D4883" s="1" t="s">
        <v>492</v>
      </c>
      <c r="E4883" s="2">
        <v>45988</v>
      </c>
      <c r="F4883" s="1" t="s">
        <v>493</v>
      </c>
      <c r="G4883" s="1" t="s">
        <v>494</v>
      </c>
      <c r="H4883" s="1" t="s">
        <v>495</v>
      </c>
      <c r="I4883" s="1">
        <v>1</v>
      </c>
      <c r="J4883" s="3">
        <v>7569</v>
      </c>
      <c r="K4883" s="3">
        <v>7223</v>
      </c>
      <c r="L4883" s="1">
        <v>0</v>
      </c>
      <c r="M4883" s="4">
        <v>0</v>
      </c>
      <c r="N4883" s="1">
        <v>346</v>
      </c>
      <c r="O4883" s="4">
        <v>4.5999999999999999E-2</v>
      </c>
      <c r="P4883" s="1" t="s">
        <v>2721</v>
      </c>
    </row>
    <row r="4884" spans="1:16">
      <c r="A4884" s="1" t="s">
        <v>15</v>
      </c>
      <c r="B4884" s="1">
        <v>11</v>
      </c>
      <c r="C4884" s="1" t="s">
        <v>9463</v>
      </c>
      <c r="D4884" s="1" t="s">
        <v>3709</v>
      </c>
      <c r="E4884" s="2">
        <v>45988</v>
      </c>
      <c r="F4884" s="1" t="s">
        <v>3710</v>
      </c>
      <c r="G4884" s="1" t="s">
        <v>3711</v>
      </c>
      <c r="H4884" s="1" t="s">
        <v>5129</v>
      </c>
      <c r="I4884" s="1">
        <v>1</v>
      </c>
      <c r="J4884" s="3">
        <v>31456</v>
      </c>
      <c r="K4884" s="3">
        <v>30016</v>
      </c>
      <c r="L4884" s="1">
        <v>0</v>
      </c>
      <c r="M4884" s="4">
        <v>0</v>
      </c>
      <c r="N4884" s="3">
        <v>1440</v>
      </c>
      <c r="O4884" s="4">
        <v>4.5999999999999999E-2</v>
      </c>
      <c r="P4884" s="1" t="s">
        <v>2721</v>
      </c>
    </row>
    <row r="4885" spans="1:16">
      <c r="A4885" s="1" t="s">
        <v>15</v>
      </c>
      <c r="B4885" s="1">
        <v>11</v>
      </c>
      <c r="C4885" s="1" t="s">
        <v>9464</v>
      </c>
      <c r="D4885" s="1" t="s">
        <v>7955</v>
      </c>
      <c r="E4885" s="2">
        <v>45988</v>
      </c>
      <c r="F4885" s="1" t="s">
        <v>3599</v>
      </c>
      <c r="G4885" s="1" t="s">
        <v>7956</v>
      </c>
      <c r="H4885" s="1" t="s">
        <v>9465</v>
      </c>
      <c r="I4885" s="1">
        <v>1</v>
      </c>
      <c r="J4885" s="3">
        <v>17694</v>
      </c>
      <c r="K4885" s="3">
        <v>16884</v>
      </c>
      <c r="L4885" s="1">
        <v>0</v>
      </c>
      <c r="M4885" s="4">
        <v>0</v>
      </c>
      <c r="N4885" s="1">
        <v>810</v>
      </c>
      <c r="O4885" s="4">
        <v>4.5999999999999999E-2</v>
      </c>
      <c r="P4885" s="1" t="s">
        <v>2721</v>
      </c>
    </row>
    <row r="4886" spans="1:16">
      <c r="A4886" s="1" t="s">
        <v>15</v>
      </c>
      <c r="B4886" s="1">
        <v>11</v>
      </c>
      <c r="C4886" s="1" t="s">
        <v>9466</v>
      </c>
      <c r="D4886" s="1" t="s">
        <v>169</v>
      </c>
      <c r="E4886" s="2">
        <v>45988</v>
      </c>
      <c r="F4886" s="1" t="s">
        <v>53</v>
      </c>
      <c r="G4886" s="1" t="s">
        <v>170</v>
      </c>
      <c r="H4886" s="1" t="s">
        <v>171</v>
      </c>
      <c r="I4886" s="1">
        <v>1</v>
      </c>
      <c r="J4886" s="3">
        <v>14332</v>
      </c>
      <c r="K4886" s="3">
        <v>13676</v>
      </c>
      <c r="L4886" s="1">
        <v>0</v>
      </c>
      <c r="M4886" s="4">
        <v>0</v>
      </c>
      <c r="N4886" s="1">
        <v>656</v>
      </c>
      <c r="O4886" s="4">
        <v>4.5999999999999999E-2</v>
      </c>
      <c r="P4886" s="1" t="s">
        <v>2721</v>
      </c>
    </row>
    <row r="4887" spans="1:16">
      <c r="A4887" s="1" t="s">
        <v>15</v>
      </c>
      <c r="B4887" s="1">
        <v>11</v>
      </c>
      <c r="C4887" s="1" t="s">
        <v>9467</v>
      </c>
      <c r="D4887" s="1" t="s">
        <v>125</v>
      </c>
      <c r="E4887" s="2">
        <v>45988</v>
      </c>
      <c r="F4887" s="1" t="s">
        <v>126</v>
      </c>
      <c r="G4887" s="1" t="s">
        <v>127</v>
      </c>
      <c r="H4887" s="1" t="s">
        <v>128</v>
      </c>
      <c r="I4887" s="1">
        <v>1</v>
      </c>
      <c r="J4887" s="3">
        <v>13959</v>
      </c>
      <c r="K4887" s="3">
        <v>13320</v>
      </c>
      <c r="L4887" s="1">
        <v>0</v>
      </c>
      <c r="M4887" s="4">
        <v>0</v>
      </c>
      <c r="N4887" s="1">
        <v>639</v>
      </c>
      <c r="O4887" s="4">
        <v>4.5999999999999999E-2</v>
      </c>
      <c r="P4887" s="1" t="s">
        <v>2721</v>
      </c>
    </row>
    <row r="4888" spans="1:16">
      <c r="A4888" s="1" t="s">
        <v>15</v>
      </c>
      <c r="B4888" s="1">
        <v>11</v>
      </c>
      <c r="C4888" s="1" t="s">
        <v>9468</v>
      </c>
      <c r="D4888" s="1" t="s">
        <v>169</v>
      </c>
      <c r="E4888" s="2">
        <v>45988</v>
      </c>
      <c r="F4888" s="1" t="s">
        <v>53</v>
      </c>
      <c r="G4888" s="1" t="s">
        <v>170</v>
      </c>
      <c r="H4888" s="1" t="s">
        <v>171</v>
      </c>
      <c r="I4888" s="1">
        <v>1</v>
      </c>
      <c r="J4888" s="3">
        <v>14332</v>
      </c>
      <c r="K4888" s="3">
        <v>13676</v>
      </c>
      <c r="L4888" s="1">
        <v>0</v>
      </c>
      <c r="M4888" s="4">
        <v>0</v>
      </c>
      <c r="N4888" s="1">
        <v>656</v>
      </c>
      <c r="O4888" s="4">
        <v>4.5999999999999999E-2</v>
      </c>
      <c r="P4888" s="1" t="s">
        <v>2721</v>
      </c>
    </row>
    <row r="4889" spans="1:16">
      <c r="A4889" s="1" t="s">
        <v>15</v>
      </c>
      <c r="B4889" s="1">
        <v>11</v>
      </c>
      <c r="C4889" s="1" t="s">
        <v>9469</v>
      </c>
      <c r="D4889" s="1" t="s">
        <v>9470</v>
      </c>
      <c r="E4889" s="2">
        <v>45988</v>
      </c>
      <c r="F4889" s="1" t="s">
        <v>317</v>
      </c>
      <c r="G4889" s="1" t="s">
        <v>9471</v>
      </c>
      <c r="H4889" s="1" t="s">
        <v>9472</v>
      </c>
      <c r="I4889" s="1">
        <v>1</v>
      </c>
      <c r="J4889" s="3">
        <v>24280</v>
      </c>
      <c r="K4889" s="3">
        <v>23169</v>
      </c>
      <c r="L4889" s="1">
        <v>0</v>
      </c>
      <c r="M4889" s="4">
        <v>0</v>
      </c>
      <c r="N4889" s="3">
        <v>1111</v>
      </c>
      <c r="O4889" s="4">
        <v>4.5999999999999999E-2</v>
      </c>
      <c r="P4889" s="1" t="s">
        <v>2721</v>
      </c>
    </row>
    <row r="4890" spans="1:16">
      <c r="A4890" s="1" t="s">
        <v>15</v>
      </c>
      <c r="B4890" s="1">
        <v>11</v>
      </c>
      <c r="C4890" s="1" t="s">
        <v>9473</v>
      </c>
      <c r="D4890" s="1" t="s">
        <v>1687</v>
      </c>
      <c r="E4890" s="2">
        <v>45988</v>
      </c>
      <c r="F4890" s="1" t="s">
        <v>1688</v>
      </c>
      <c r="G4890" s="1" t="s">
        <v>1689</v>
      </c>
      <c r="H4890" s="1" t="s">
        <v>1690</v>
      </c>
      <c r="I4890" s="1">
        <v>1</v>
      </c>
      <c r="J4890" s="3">
        <v>30896</v>
      </c>
      <c r="K4890" s="3">
        <v>29481</v>
      </c>
      <c r="L4890" s="1">
        <v>0</v>
      </c>
      <c r="M4890" s="4">
        <v>0</v>
      </c>
      <c r="N4890" s="3">
        <v>1415</v>
      </c>
      <c r="O4890" s="4">
        <v>4.5999999999999999E-2</v>
      </c>
      <c r="P4890" s="1" t="s">
        <v>2721</v>
      </c>
    </row>
    <row r="4891" spans="1:16">
      <c r="A4891" s="1" t="s">
        <v>15</v>
      </c>
      <c r="B4891" s="1">
        <v>11</v>
      </c>
      <c r="C4891" s="1" t="s">
        <v>9474</v>
      </c>
      <c r="D4891" s="1" t="s">
        <v>178</v>
      </c>
      <c r="E4891" s="2">
        <v>45988</v>
      </c>
      <c r="F4891" s="1" t="s">
        <v>96</v>
      </c>
      <c r="G4891" s="1" t="s">
        <v>179</v>
      </c>
      <c r="H4891" s="1" t="s">
        <v>180</v>
      </c>
      <c r="I4891" s="1">
        <v>1</v>
      </c>
      <c r="J4891" s="3">
        <v>15284</v>
      </c>
      <c r="K4891" s="3">
        <v>14584</v>
      </c>
      <c r="L4891" s="1">
        <v>0</v>
      </c>
      <c r="M4891" s="4">
        <v>0</v>
      </c>
      <c r="N4891" s="1">
        <v>700</v>
      </c>
      <c r="O4891" s="4">
        <v>4.5999999999999999E-2</v>
      </c>
      <c r="P4891" s="1" t="s">
        <v>2721</v>
      </c>
    </row>
    <row r="4892" spans="1:16">
      <c r="A4892" s="1" t="s">
        <v>15</v>
      </c>
      <c r="B4892" s="1">
        <v>11</v>
      </c>
      <c r="C4892" s="1" t="s">
        <v>9475</v>
      </c>
      <c r="D4892" s="1" t="s">
        <v>169</v>
      </c>
      <c r="E4892" s="2">
        <v>45988</v>
      </c>
      <c r="F4892" s="1" t="s">
        <v>53</v>
      </c>
      <c r="G4892" s="1" t="s">
        <v>170</v>
      </c>
      <c r="H4892" s="1" t="s">
        <v>171</v>
      </c>
      <c r="I4892" s="1">
        <v>2</v>
      </c>
      <c r="J4892" s="3">
        <v>28664</v>
      </c>
      <c r="K4892" s="3">
        <v>27352</v>
      </c>
      <c r="L4892" s="1">
        <v>0</v>
      </c>
      <c r="M4892" s="4">
        <v>0</v>
      </c>
      <c r="N4892" s="3">
        <v>1312</v>
      </c>
      <c r="O4892" s="4">
        <v>4.5999999999999999E-2</v>
      </c>
      <c r="P4892" s="1" t="s">
        <v>2721</v>
      </c>
    </row>
    <row r="4893" spans="1:16">
      <c r="A4893" s="1" t="s">
        <v>15</v>
      </c>
      <c r="B4893" s="1">
        <v>11</v>
      </c>
      <c r="C4893" s="1" t="s">
        <v>9476</v>
      </c>
      <c r="D4893" s="1" t="s">
        <v>6109</v>
      </c>
      <c r="E4893" s="2">
        <v>45988</v>
      </c>
      <c r="F4893" s="1" t="s">
        <v>421</v>
      </c>
      <c r="G4893" s="1" t="s">
        <v>6110</v>
      </c>
      <c r="H4893" s="1" t="s">
        <v>6111</v>
      </c>
      <c r="I4893" s="1">
        <v>1</v>
      </c>
      <c r="J4893" s="3">
        <v>6881</v>
      </c>
      <c r="K4893" s="3">
        <v>6566</v>
      </c>
      <c r="L4893" s="1">
        <v>0</v>
      </c>
      <c r="M4893" s="4">
        <v>0</v>
      </c>
      <c r="N4893" s="1">
        <v>315</v>
      </c>
      <c r="O4893" s="4">
        <v>4.5999999999999999E-2</v>
      </c>
      <c r="P4893" s="1" t="s">
        <v>2721</v>
      </c>
    </row>
    <row r="4894" spans="1:16">
      <c r="A4894" s="1" t="s">
        <v>15</v>
      </c>
      <c r="B4894" s="1">
        <v>11</v>
      </c>
      <c r="C4894" s="1" t="s">
        <v>9477</v>
      </c>
      <c r="D4894" s="1" t="s">
        <v>221</v>
      </c>
      <c r="E4894" s="2">
        <v>45988</v>
      </c>
      <c r="F4894" s="1" t="s">
        <v>96</v>
      </c>
      <c r="G4894" s="1" t="s">
        <v>222</v>
      </c>
      <c r="H4894" s="1" t="s">
        <v>5793</v>
      </c>
      <c r="I4894" s="1">
        <v>1</v>
      </c>
      <c r="J4894" s="3">
        <v>12571</v>
      </c>
      <c r="K4894" s="3">
        <v>11995</v>
      </c>
      <c r="L4894" s="1">
        <v>0</v>
      </c>
      <c r="M4894" s="4">
        <v>0</v>
      </c>
      <c r="N4894" s="1">
        <v>576</v>
      </c>
      <c r="O4894" s="4">
        <v>4.5999999999999999E-2</v>
      </c>
      <c r="P4894" s="1" t="s">
        <v>2721</v>
      </c>
    </row>
    <row r="4895" spans="1:16">
      <c r="A4895" s="1" t="s">
        <v>15</v>
      </c>
      <c r="B4895" s="1">
        <v>11</v>
      </c>
      <c r="C4895" s="1" t="s">
        <v>9478</v>
      </c>
      <c r="D4895" s="1" t="s">
        <v>777</v>
      </c>
      <c r="E4895" s="2">
        <v>45988</v>
      </c>
      <c r="F4895" s="1" t="s">
        <v>256</v>
      </c>
      <c r="G4895" s="1" t="s">
        <v>778</v>
      </c>
      <c r="H4895" s="1" t="s">
        <v>1571</v>
      </c>
      <c r="I4895" s="1">
        <v>1</v>
      </c>
      <c r="J4895" s="3">
        <v>19857</v>
      </c>
      <c r="K4895" s="3">
        <v>18948</v>
      </c>
      <c r="L4895" s="1">
        <v>0</v>
      </c>
      <c r="M4895" s="4">
        <v>0</v>
      </c>
      <c r="N4895" s="1">
        <v>909</v>
      </c>
      <c r="O4895" s="4">
        <v>4.5999999999999999E-2</v>
      </c>
      <c r="P4895" s="1" t="s">
        <v>2721</v>
      </c>
    </row>
    <row r="4896" spans="1:16">
      <c r="A4896" s="1" t="s">
        <v>15</v>
      </c>
      <c r="B4896" s="1">
        <v>11</v>
      </c>
      <c r="C4896" s="1" t="s">
        <v>9479</v>
      </c>
      <c r="D4896" s="1" t="s">
        <v>386</v>
      </c>
      <c r="E4896" s="2">
        <v>45988</v>
      </c>
      <c r="F4896" s="1" t="s">
        <v>368</v>
      </c>
      <c r="G4896" s="1" t="s">
        <v>387</v>
      </c>
      <c r="H4896" s="1" t="s">
        <v>388</v>
      </c>
      <c r="I4896" s="1">
        <v>1</v>
      </c>
      <c r="J4896" s="3">
        <v>8953</v>
      </c>
      <c r="K4896" s="3">
        <v>8543</v>
      </c>
      <c r="L4896" s="1">
        <v>0</v>
      </c>
      <c r="M4896" s="4">
        <v>0</v>
      </c>
      <c r="N4896" s="1">
        <v>410</v>
      </c>
      <c r="O4896" s="4">
        <v>4.5999999999999999E-2</v>
      </c>
      <c r="P4896" s="1" t="s">
        <v>2721</v>
      </c>
    </row>
    <row r="4897" spans="1:16">
      <c r="A4897" s="1" t="s">
        <v>15</v>
      </c>
      <c r="B4897" s="1">
        <v>11</v>
      </c>
      <c r="C4897" s="1" t="s">
        <v>9480</v>
      </c>
      <c r="D4897" s="1" t="s">
        <v>32</v>
      </c>
      <c r="E4897" s="2">
        <v>45988</v>
      </c>
      <c r="F4897" s="1" t="s">
        <v>33</v>
      </c>
      <c r="G4897" s="1" t="s">
        <v>34</v>
      </c>
      <c r="H4897" s="1" t="s">
        <v>9481</v>
      </c>
      <c r="I4897" s="1">
        <v>1</v>
      </c>
      <c r="J4897" s="3">
        <v>59313</v>
      </c>
      <c r="K4897" s="3">
        <v>56598</v>
      </c>
      <c r="L4897" s="1">
        <v>0</v>
      </c>
      <c r="M4897" s="4">
        <v>0</v>
      </c>
      <c r="N4897" s="3">
        <v>2715</v>
      </c>
      <c r="O4897" s="4">
        <v>4.5999999999999999E-2</v>
      </c>
      <c r="P4897" s="1" t="s">
        <v>2721</v>
      </c>
    </row>
    <row r="4898" spans="1:16">
      <c r="A4898" s="1" t="s">
        <v>15</v>
      </c>
      <c r="B4898" s="1">
        <v>11</v>
      </c>
      <c r="C4898" s="1" t="s">
        <v>9482</v>
      </c>
      <c r="D4898" s="1" t="s">
        <v>1133</v>
      </c>
      <c r="E4898" s="2">
        <v>45988</v>
      </c>
      <c r="F4898" s="1" t="s">
        <v>347</v>
      </c>
      <c r="G4898" s="1" t="s">
        <v>1134</v>
      </c>
      <c r="H4898" s="1" t="s">
        <v>1340</v>
      </c>
      <c r="I4898" s="1">
        <v>1</v>
      </c>
      <c r="J4898" s="3">
        <v>22519</v>
      </c>
      <c r="K4898" s="3">
        <v>21488</v>
      </c>
      <c r="L4898" s="1">
        <v>0</v>
      </c>
      <c r="M4898" s="4">
        <v>0</v>
      </c>
      <c r="N4898" s="3">
        <v>1031</v>
      </c>
      <c r="O4898" s="4">
        <v>4.5999999999999999E-2</v>
      </c>
      <c r="P4898" s="1" t="s">
        <v>2721</v>
      </c>
    </row>
    <row r="4899" spans="1:16">
      <c r="A4899" s="1" t="s">
        <v>15</v>
      </c>
      <c r="B4899" s="1">
        <v>11</v>
      </c>
      <c r="C4899" s="1" t="s">
        <v>9483</v>
      </c>
      <c r="D4899" s="1" t="s">
        <v>6178</v>
      </c>
      <c r="E4899" s="2">
        <v>45988</v>
      </c>
      <c r="F4899" s="1" t="s">
        <v>6179</v>
      </c>
      <c r="G4899" s="1" t="s">
        <v>6180</v>
      </c>
      <c r="H4899" s="1" t="s">
        <v>9484</v>
      </c>
      <c r="I4899" s="1">
        <v>1</v>
      </c>
      <c r="J4899" s="3">
        <v>31997</v>
      </c>
      <c r="K4899" s="3">
        <v>30532</v>
      </c>
      <c r="L4899" s="1">
        <v>0</v>
      </c>
      <c r="M4899" s="4">
        <v>0</v>
      </c>
      <c r="N4899" s="3">
        <v>1465</v>
      </c>
      <c r="O4899" s="4">
        <v>4.5999999999999999E-2</v>
      </c>
      <c r="P4899" s="1" t="s">
        <v>2721</v>
      </c>
    </row>
    <row r="4900" spans="1:16">
      <c r="A4900" s="1" t="s">
        <v>15</v>
      </c>
      <c r="B4900" s="1">
        <v>11</v>
      </c>
      <c r="C4900" s="1" t="s">
        <v>9485</v>
      </c>
      <c r="D4900" s="1" t="s">
        <v>132</v>
      </c>
      <c r="E4900" s="2">
        <v>45988</v>
      </c>
      <c r="F4900" s="1" t="s">
        <v>53</v>
      </c>
      <c r="G4900" s="1" t="s">
        <v>133</v>
      </c>
      <c r="H4900" s="1" t="s">
        <v>88</v>
      </c>
      <c r="I4900" s="1">
        <v>1</v>
      </c>
      <c r="J4900" s="3">
        <v>17036</v>
      </c>
      <c r="K4900" s="3">
        <v>16256</v>
      </c>
      <c r="L4900" s="1">
        <v>0</v>
      </c>
      <c r="M4900" s="4">
        <v>0</v>
      </c>
      <c r="N4900" s="1">
        <v>780</v>
      </c>
      <c r="O4900" s="4">
        <v>4.5999999999999999E-2</v>
      </c>
      <c r="P4900" s="1" t="s">
        <v>2721</v>
      </c>
    </row>
    <row r="4901" spans="1:16">
      <c r="A4901" s="1" t="s">
        <v>15</v>
      </c>
      <c r="B4901" s="1">
        <v>11</v>
      </c>
      <c r="C4901" s="1" t="s">
        <v>9486</v>
      </c>
      <c r="D4901" s="1" t="s">
        <v>333</v>
      </c>
      <c r="E4901" s="2">
        <v>45988</v>
      </c>
      <c r="F4901" s="1" t="s">
        <v>334</v>
      </c>
      <c r="G4901" s="1" t="s">
        <v>335</v>
      </c>
      <c r="H4901" s="1" t="s">
        <v>3664</v>
      </c>
      <c r="I4901" s="1">
        <v>2</v>
      </c>
      <c r="J4901" s="3">
        <v>10223</v>
      </c>
      <c r="K4901" s="3">
        <v>9755</v>
      </c>
      <c r="L4901" s="1">
        <v>0</v>
      </c>
      <c r="M4901" s="4">
        <v>0</v>
      </c>
      <c r="N4901" s="1">
        <v>468</v>
      </c>
      <c r="O4901" s="4">
        <v>4.5999999999999999E-2</v>
      </c>
      <c r="P4901" s="1" t="s">
        <v>2721</v>
      </c>
    </row>
    <row r="4902" spans="1:16">
      <c r="A4902" s="1" t="s">
        <v>15</v>
      </c>
      <c r="B4902" s="1">
        <v>11</v>
      </c>
      <c r="C4902" s="1" t="s">
        <v>9487</v>
      </c>
      <c r="D4902" s="1" t="s">
        <v>6446</v>
      </c>
      <c r="E4902" s="2">
        <v>45988</v>
      </c>
      <c r="F4902" s="1" t="s">
        <v>121</v>
      </c>
      <c r="G4902" s="1" t="s">
        <v>6447</v>
      </c>
      <c r="H4902" s="1" t="s">
        <v>9488</v>
      </c>
      <c r="I4902" s="1">
        <v>4</v>
      </c>
      <c r="J4902" s="3">
        <v>186770</v>
      </c>
      <c r="K4902" s="3">
        <v>178220</v>
      </c>
      <c r="L4902" s="1">
        <v>0</v>
      </c>
      <c r="M4902" s="4">
        <v>0</v>
      </c>
      <c r="N4902" s="3">
        <v>8550</v>
      </c>
      <c r="O4902" s="4">
        <v>4.5999999999999999E-2</v>
      </c>
      <c r="P4902" s="1" t="s">
        <v>2721</v>
      </c>
    </row>
    <row r="4903" spans="1:16">
      <c r="A4903" s="1" t="s">
        <v>15</v>
      </c>
      <c r="B4903" s="1">
        <v>11</v>
      </c>
      <c r="C4903" s="1" t="s">
        <v>9489</v>
      </c>
      <c r="D4903" s="1" t="s">
        <v>291</v>
      </c>
      <c r="E4903" s="2">
        <v>45988</v>
      </c>
      <c r="F4903" s="1" t="s">
        <v>292</v>
      </c>
      <c r="G4903" s="1" t="s">
        <v>293</v>
      </c>
      <c r="H4903" s="1" t="s">
        <v>1231</v>
      </c>
      <c r="I4903" s="1">
        <v>1</v>
      </c>
      <c r="J4903" s="3">
        <v>13271</v>
      </c>
      <c r="K4903" s="3">
        <v>12663</v>
      </c>
      <c r="L4903" s="1">
        <v>0</v>
      </c>
      <c r="M4903" s="4">
        <v>0</v>
      </c>
      <c r="N4903" s="1">
        <v>608</v>
      </c>
      <c r="O4903" s="4">
        <v>4.5999999999999999E-2</v>
      </c>
      <c r="P4903" s="1" t="s">
        <v>2721</v>
      </c>
    </row>
    <row r="4904" spans="1:16">
      <c r="A4904" s="1" t="s">
        <v>15</v>
      </c>
      <c r="B4904" s="1">
        <v>11</v>
      </c>
      <c r="C4904" s="1" t="s">
        <v>9490</v>
      </c>
      <c r="D4904" s="1" t="s">
        <v>132</v>
      </c>
      <c r="E4904" s="2">
        <v>45988</v>
      </c>
      <c r="F4904" s="1" t="s">
        <v>53</v>
      </c>
      <c r="G4904" s="1" t="s">
        <v>133</v>
      </c>
      <c r="H4904" s="1" t="s">
        <v>88</v>
      </c>
      <c r="I4904" s="1">
        <v>1</v>
      </c>
      <c r="J4904" s="3">
        <v>17036</v>
      </c>
      <c r="K4904" s="3">
        <v>16256</v>
      </c>
      <c r="L4904" s="1">
        <v>0</v>
      </c>
      <c r="M4904" s="4">
        <v>0</v>
      </c>
      <c r="N4904" s="1">
        <v>780</v>
      </c>
      <c r="O4904" s="4">
        <v>4.5999999999999999E-2</v>
      </c>
      <c r="P4904" s="1" t="s">
        <v>2721</v>
      </c>
    </row>
    <row r="4905" spans="1:16">
      <c r="A4905" s="1" t="s">
        <v>15</v>
      </c>
      <c r="B4905" s="1">
        <v>11</v>
      </c>
      <c r="C4905" s="1" t="s">
        <v>9491</v>
      </c>
      <c r="D4905" s="1" t="s">
        <v>1026</v>
      </c>
      <c r="E4905" s="2">
        <v>45988</v>
      </c>
      <c r="F4905" s="1" t="s">
        <v>256</v>
      </c>
      <c r="G4905" s="1" t="s">
        <v>1027</v>
      </c>
      <c r="H4905" s="1" t="s">
        <v>1464</v>
      </c>
      <c r="I4905" s="1">
        <v>1</v>
      </c>
      <c r="J4905" s="3">
        <v>15433</v>
      </c>
      <c r="K4905" s="3">
        <v>14727</v>
      </c>
      <c r="L4905" s="1">
        <v>0</v>
      </c>
      <c r="M4905" s="4">
        <v>0</v>
      </c>
      <c r="N4905" s="1">
        <v>706</v>
      </c>
      <c r="O4905" s="4">
        <v>4.5999999999999999E-2</v>
      </c>
      <c r="P4905" s="1" t="s">
        <v>2721</v>
      </c>
    </row>
    <row r="4906" spans="1:16">
      <c r="A4906" s="1" t="s">
        <v>15</v>
      </c>
      <c r="B4906" s="1">
        <v>11</v>
      </c>
      <c r="C4906" s="1" t="s">
        <v>9492</v>
      </c>
      <c r="D4906" s="1" t="s">
        <v>944</v>
      </c>
      <c r="E4906" s="2">
        <v>45988</v>
      </c>
      <c r="F4906" s="1" t="s">
        <v>945</v>
      </c>
      <c r="G4906" s="1" t="s">
        <v>946</v>
      </c>
      <c r="H4906" s="1" t="s">
        <v>4875</v>
      </c>
      <c r="I4906" s="1">
        <v>1</v>
      </c>
      <c r="J4906" s="3">
        <v>15724</v>
      </c>
      <c r="K4906" s="3">
        <v>15004</v>
      </c>
      <c r="L4906" s="1">
        <v>0</v>
      </c>
      <c r="M4906" s="4">
        <v>0</v>
      </c>
      <c r="N4906" s="1">
        <v>720</v>
      </c>
      <c r="O4906" s="4">
        <v>4.5999999999999999E-2</v>
      </c>
      <c r="P4906" s="1" t="s">
        <v>2721</v>
      </c>
    </row>
    <row r="4907" spans="1:16">
      <c r="A4907" s="1" t="s">
        <v>15</v>
      </c>
      <c r="B4907" s="1">
        <v>11</v>
      </c>
      <c r="C4907" s="1" t="s">
        <v>9493</v>
      </c>
      <c r="D4907" s="1" t="s">
        <v>9494</v>
      </c>
      <c r="E4907" s="2">
        <v>45988</v>
      </c>
      <c r="F4907" s="1" t="s">
        <v>1665</v>
      </c>
      <c r="G4907" s="1" t="s">
        <v>9495</v>
      </c>
      <c r="H4907" s="1" t="s">
        <v>9496</v>
      </c>
      <c r="I4907" s="1">
        <v>1</v>
      </c>
      <c r="J4907" s="3">
        <v>22157</v>
      </c>
      <c r="K4907" s="3">
        <v>21143</v>
      </c>
      <c r="L4907" s="1">
        <v>0</v>
      </c>
      <c r="M4907" s="4">
        <v>0</v>
      </c>
      <c r="N4907" s="3">
        <v>1014</v>
      </c>
      <c r="O4907" s="4">
        <v>4.5999999999999999E-2</v>
      </c>
      <c r="P4907" s="1" t="s">
        <v>2721</v>
      </c>
    </row>
    <row r="4908" spans="1:16">
      <c r="A4908" s="1" t="s">
        <v>15</v>
      </c>
      <c r="B4908" s="1">
        <v>11</v>
      </c>
      <c r="C4908" s="1" t="s">
        <v>9497</v>
      </c>
      <c r="D4908" s="1" t="s">
        <v>1375</v>
      </c>
      <c r="E4908" s="2">
        <v>45988</v>
      </c>
      <c r="F4908" s="1" t="s">
        <v>256</v>
      </c>
      <c r="G4908" s="1" t="s">
        <v>1376</v>
      </c>
      <c r="H4908" s="1" t="s">
        <v>2376</v>
      </c>
      <c r="I4908" s="1">
        <v>1</v>
      </c>
      <c r="J4908" s="3">
        <v>5161</v>
      </c>
      <c r="K4908" s="3">
        <v>4925</v>
      </c>
      <c r="L4908" s="1">
        <v>0</v>
      </c>
      <c r="M4908" s="4">
        <v>0</v>
      </c>
      <c r="N4908" s="1">
        <v>236</v>
      </c>
      <c r="O4908" s="4">
        <v>4.5999999999999999E-2</v>
      </c>
      <c r="P4908" s="1" t="s">
        <v>2721</v>
      </c>
    </row>
    <row r="4909" spans="1:16">
      <c r="A4909" s="1" t="s">
        <v>15</v>
      </c>
      <c r="B4909" s="1">
        <v>11</v>
      </c>
      <c r="C4909" s="1" t="s">
        <v>9498</v>
      </c>
      <c r="D4909" s="1" t="s">
        <v>86</v>
      </c>
      <c r="E4909" s="2">
        <v>45988</v>
      </c>
      <c r="F4909" s="1" t="s">
        <v>53</v>
      </c>
      <c r="G4909" s="1" t="s">
        <v>87</v>
      </c>
      <c r="H4909" s="1" t="s">
        <v>88</v>
      </c>
      <c r="I4909" s="1">
        <v>1</v>
      </c>
      <c r="J4909" s="3">
        <v>14956</v>
      </c>
      <c r="K4909" s="3">
        <v>14272</v>
      </c>
      <c r="L4909" s="1">
        <v>0</v>
      </c>
      <c r="M4909" s="4">
        <v>0</v>
      </c>
      <c r="N4909" s="1">
        <v>684</v>
      </c>
      <c r="O4909" s="4">
        <v>4.5999999999999999E-2</v>
      </c>
      <c r="P4909" s="1" t="s">
        <v>2721</v>
      </c>
    </row>
    <row r="4910" spans="1:16">
      <c r="A4910" s="1" t="s">
        <v>15</v>
      </c>
      <c r="B4910" s="1">
        <v>11</v>
      </c>
      <c r="C4910" s="1" t="s">
        <v>9499</v>
      </c>
      <c r="D4910" s="1" t="s">
        <v>922</v>
      </c>
      <c r="E4910" s="2">
        <v>45988</v>
      </c>
      <c r="F4910" s="1" t="s">
        <v>126</v>
      </c>
      <c r="G4910" s="1" t="s">
        <v>923</v>
      </c>
      <c r="H4910" s="1" t="s">
        <v>924</v>
      </c>
      <c r="I4910" s="1">
        <v>1</v>
      </c>
      <c r="J4910" s="3">
        <v>22609</v>
      </c>
      <c r="K4910" s="3">
        <v>21574</v>
      </c>
      <c r="L4910" s="1">
        <v>0</v>
      </c>
      <c r="M4910" s="4">
        <v>0</v>
      </c>
      <c r="N4910" s="3">
        <v>1035</v>
      </c>
      <c r="O4910" s="4">
        <v>4.5999999999999999E-2</v>
      </c>
      <c r="P4910" s="1" t="s">
        <v>2721</v>
      </c>
    </row>
    <row r="4911" spans="1:16">
      <c r="A4911" s="1" t="s">
        <v>15</v>
      </c>
      <c r="B4911" s="1">
        <v>11</v>
      </c>
      <c r="C4911" s="1" t="s">
        <v>9500</v>
      </c>
      <c r="D4911" s="1" t="s">
        <v>499</v>
      </c>
      <c r="E4911" s="2">
        <v>45988</v>
      </c>
      <c r="F4911" s="1" t="s">
        <v>500</v>
      </c>
      <c r="G4911" s="1" t="s">
        <v>501</v>
      </c>
      <c r="H4911" s="1" t="s">
        <v>502</v>
      </c>
      <c r="I4911" s="1">
        <v>1</v>
      </c>
      <c r="J4911" s="3">
        <v>242082</v>
      </c>
      <c r="K4911" s="3">
        <v>231000</v>
      </c>
      <c r="L4911" s="1">
        <v>0</v>
      </c>
      <c r="M4911" s="4">
        <v>0</v>
      </c>
      <c r="N4911" s="3">
        <v>11082</v>
      </c>
      <c r="O4911" s="4">
        <v>4.5999999999999999E-2</v>
      </c>
      <c r="P4911" s="1" t="s">
        <v>2721</v>
      </c>
    </row>
    <row r="4912" spans="1:16">
      <c r="A4912" s="1" t="s">
        <v>15</v>
      </c>
      <c r="B4912" s="1">
        <v>11</v>
      </c>
      <c r="C4912" s="1" t="s">
        <v>9501</v>
      </c>
      <c r="D4912" s="1" t="s">
        <v>1419</v>
      </c>
      <c r="E4912" s="2">
        <v>45988</v>
      </c>
      <c r="F4912" s="1" t="s">
        <v>96</v>
      </c>
      <c r="G4912" s="1" t="s">
        <v>1420</v>
      </c>
      <c r="H4912" s="1" t="s">
        <v>1421</v>
      </c>
      <c r="I4912" s="1">
        <v>1</v>
      </c>
      <c r="J4912" s="3">
        <v>11550</v>
      </c>
      <c r="K4912" s="3">
        <v>11022</v>
      </c>
      <c r="L4912" s="1">
        <v>0</v>
      </c>
      <c r="M4912" s="4">
        <v>0</v>
      </c>
      <c r="N4912" s="1">
        <v>528</v>
      </c>
      <c r="O4912" s="4">
        <v>4.5999999999999999E-2</v>
      </c>
      <c r="P4912" s="1" t="s">
        <v>2721</v>
      </c>
    </row>
    <row r="4913" spans="1:16">
      <c r="A4913" s="1" t="s">
        <v>15</v>
      </c>
      <c r="B4913" s="1">
        <v>11</v>
      </c>
      <c r="C4913" s="1" t="s">
        <v>9502</v>
      </c>
      <c r="D4913" s="1" t="s">
        <v>27</v>
      </c>
      <c r="E4913" s="2">
        <v>45988</v>
      </c>
      <c r="F4913" s="1" t="s">
        <v>28</v>
      </c>
      <c r="G4913" s="1" t="s">
        <v>29</v>
      </c>
      <c r="H4913" s="1" t="s">
        <v>352</v>
      </c>
      <c r="I4913" s="1">
        <v>1</v>
      </c>
      <c r="J4913" s="3">
        <v>27033</v>
      </c>
      <c r="K4913" s="3">
        <v>25795</v>
      </c>
      <c r="L4913" s="1">
        <v>0</v>
      </c>
      <c r="M4913" s="4">
        <v>0</v>
      </c>
      <c r="N4913" s="3">
        <v>1238</v>
      </c>
      <c r="O4913" s="4">
        <v>4.5999999999999999E-2</v>
      </c>
      <c r="P4913" s="1" t="s">
        <v>2721</v>
      </c>
    </row>
    <row r="4914" spans="1:16">
      <c r="A4914" s="1" t="s">
        <v>15</v>
      </c>
      <c r="B4914" s="1">
        <v>11</v>
      </c>
      <c r="C4914" s="1" t="s">
        <v>9503</v>
      </c>
      <c r="D4914" s="1" t="s">
        <v>1064</v>
      </c>
      <c r="E4914" s="2">
        <v>45988</v>
      </c>
      <c r="F4914" s="1" t="s">
        <v>53</v>
      </c>
      <c r="G4914" s="1" t="s">
        <v>1065</v>
      </c>
      <c r="H4914" s="1" t="s">
        <v>1066</v>
      </c>
      <c r="I4914" s="1">
        <v>1</v>
      </c>
      <c r="J4914" s="3">
        <v>7572</v>
      </c>
      <c r="K4914" s="3">
        <v>7225</v>
      </c>
      <c r="L4914" s="1">
        <v>0</v>
      </c>
      <c r="M4914" s="4">
        <v>0</v>
      </c>
      <c r="N4914" s="1">
        <v>347</v>
      </c>
      <c r="O4914" s="4">
        <v>4.5999999999999999E-2</v>
      </c>
      <c r="P4914" s="1" t="s">
        <v>2721</v>
      </c>
    </row>
    <row r="4915" spans="1:16">
      <c r="A4915" s="1" t="s">
        <v>15</v>
      </c>
      <c r="B4915" s="1">
        <v>11</v>
      </c>
      <c r="C4915" s="1" t="s">
        <v>9504</v>
      </c>
      <c r="D4915" s="1" t="s">
        <v>6178</v>
      </c>
      <c r="E4915" s="2">
        <v>45988</v>
      </c>
      <c r="F4915" s="1" t="s">
        <v>6179</v>
      </c>
      <c r="G4915" s="1" t="s">
        <v>6180</v>
      </c>
      <c r="H4915" s="1" t="s">
        <v>6181</v>
      </c>
      <c r="I4915" s="1">
        <v>1</v>
      </c>
      <c r="J4915" s="3">
        <v>29254</v>
      </c>
      <c r="K4915" s="3">
        <v>27915</v>
      </c>
      <c r="L4915" s="1">
        <v>0</v>
      </c>
      <c r="M4915" s="4">
        <v>0</v>
      </c>
      <c r="N4915" s="3">
        <v>1339</v>
      </c>
      <c r="O4915" s="4">
        <v>4.5999999999999999E-2</v>
      </c>
      <c r="P4915" s="1" t="s">
        <v>2721</v>
      </c>
    </row>
    <row r="4916" spans="1:16">
      <c r="A4916" s="1" t="s">
        <v>15</v>
      </c>
      <c r="B4916" s="1">
        <v>11</v>
      </c>
      <c r="C4916" s="1" t="s">
        <v>9505</v>
      </c>
      <c r="D4916" s="1" t="s">
        <v>169</v>
      </c>
      <c r="E4916" s="2">
        <v>45988</v>
      </c>
      <c r="F4916" s="1" t="s">
        <v>53</v>
      </c>
      <c r="G4916" s="1" t="s">
        <v>170</v>
      </c>
      <c r="H4916" s="1" t="s">
        <v>171</v>
      </c>
      <c r="I4916" s="1">
        <v>1</v>
      </c>
      <c r="J4916" s="3">
        <v>14332</v>
      </c>
      <c r="K4916" s="3">
        <v>13676</v>
      </c>
      <c r="L4916" s="1">
        <v>0</v>
      </c>
      <c r="M4916" s="4">
        <v>0</v>
      </c>
      <c r="N4916" s="1">
        <v>656</v>
      </c>
      <c r="O4916" s="4">
        <v>4.5999999999999999E-2</v>
      </c>
      <c r="P4916" s="1" t="s">
        <v>2721</v>
      </c>
    </row>
    <row r="4917" spans="1:16">
      <c r="A4917" s="1" t="s">
        <v>15</v>
      </c>
      <c r="B4917" s="1">
        <v>11</v>
      </c>
      <c r="C4917" s="1" t="s">
        <v>9506</v>
      </c>
      <c r="D4917" s="1" t="s">
        <v>955</v>
      </c>
      <c r="E4917" s="2">
        <v>45988</v>
      </c>
      <c r="F4917" s="1" t="s">
        <v>554</v>
      </c>
      <c r="G4917" s="1" t="s">
        <v>956</v>
      </c>
      <c r="H4917" s="1" t="s">
        <v>957</v>
      </c>
      <c r="I4917" s="1">
        <v>1</v>
      </c>
      <c r="J4917" s="3">
        <v>17596</v>
      </c>
      <c r="K4917" s="3">
        <v>16790</v>
      </c>
      <c r="L4917" s="1">
        <v>0</v>
      </c>
      <c r="M4917" s="4">
        <v>0</v>
      </c>
      <c r="N4917" s="1">
        <v>806</v>
      </c>
      <c r="O4917" s="4">
        <v>4.5999999999999999E-2</v>
      </c>
      <c r="P4917" s="1" t="s">
        <v>2721</v>
      </c>
    </row>
    <row r="4918" spans="1:16">
      <c r="A4918" s="1" t="s">
        <v>15</v>
      </c>
      <c r="B4918" s="1">
        <v>11</v>
      </c>
      <c r="C4918" s="1" t="s">
        <v>9507</v>
      </c>
      <c r="D4918" s="1" t="s">
        <v>169</v>
      </c>
      <c r="E4918" s="2">
        <v>45988</v>
      </c>
      <c r="F4918" s="1" t="s">
        <v>53</v>
      </c>
      <c r="G4918" s="1" t="s">
        <v>170</v>
      </c>
      <c r="H4918" s="1" t="s">
        <v>171</v>
      </c>
      <c r="I4918" s="1">
        <v>1</v>
      </c>
      <c r="J4918" s="3">
        <v>14332</v>
      </c>
      <c r="K4918" s="3">
        <v>13676</v>
      </c>
      <c r="L4918" s="1">
        <v>0</v>
      </c>
      <c r="M4918" s="4">
        <v>0</v>
      </c>
      <c r="N4918" s="1">
        <v>656</v>
      </c>
      <c r="O4918" s="4">
        <v>4.5999999999999999E-2</v>
      </c>
      <c r="P4918" s="1" t="s">
        <v>2721</v>
      </c>
    </row>
    <row r="4919" spans="1:16">
      <c r="A4919" s="1" t="s">
        <v>15</v>
      </c>
      <c r="B4919" s="1">
        <v>11</v>
      </c>
      <c r="C4919" s="1" t="s">
        <v>9508</v>
      </c>
      <c r="D4919" s="1" t="s">
        <v>865</v>
      </c>
      <c r="E4919" s="2">
        <v>45988</v>
      </c>
      <c r="F4919" s="1" t="s">
        <v>334</v>
      </c>
      <c r="G4919" s="1" t="s">
        <v>866</v>
      </c>
      <c r="H4919" s="1" t="s">
        <v>868</v>
      </c>
      <c r="I4919" s="1">
        <v>2</v>
      </c>
      <c r="J4919" s="3">
        <v>18087</v>
      </c>
      <c r="K4919" s="3">
        <v>17259</v>
      </c>
      <c r="L4919" s="1">
        <v>0</v>
      </c>
      <c r="M4919" s="4">
        <v>0</v>
      </c>
      <c r="N4919" s="1">
        <v>828</v>
      </c>
      <c r="O4919" s="4">
        <v>4.5999999999999999E-2</v>
      </c>
      <c r="P4919" s="1" t="s">
        <v>2721</v>
      </c>
    </row>
    <row r="4920" spans="1:16">
      <c r="A4920" s="1" t="s">
        <v>15</v>
      </c>
      <c r="B4920" s="1">
        <v>11</v>
      </c>
      <c r="C4920" s="1" t="s">
        <v>9509</v>
      </c>
      <c r="D4920" s="1" t="s">
        <v>169</v>
      </c>
      <c r="E4920" s="2">
        <v>45988</v>
      </c>
      <c r="F4920" s="1" t="s">
        <v>53</v>
      </c>
      <c r="G4920" s="1" t="s">
        <v>170</v>
      </c>
      <c r="H4920" s="1" t="s">
        <v>171</v>
      </c>
      <c r="I4920" s="1">
        <v>1</v>
      </c>
      <c r="J4920" s="3">
        <v>14332</v>
      </c>
      <c r="K4920" s="3">
        <v>13676</v>
      </c>
      <c r="L4920" s="1">
        <v>0</v>
      </c>
      <c r="M4920" s="4">
        <v>0</v>
      </c>
      <c r="N4920" s="1">
        <v>656</v>
      </c>
      <c r="O4920" s="4">
        <v>4.5999999999999999E-2</v>
      </c>
      <c r="P4920" s="1" t="s">
        <v>2721</v>
      </c>
    </row>
    <row r="4921" spans="1:16">
      <c r="A4921" s="1" t="s">
        <v>15</v>
      </c>
      <c r="B4921" s="1">
        <v>11</v>
      </c>
      <c r="C4921" s="1" t="s">
        <v>9510</v>
      </c>
      <c r="D4921" s="1" t="s">
        <v>3644</v>
      </c>
      <c r="E4921" s="2">
        <v>45988</v>
      </c>
      <c r="F4921" s="1" t="s">
        <v>725</v>
      </c>
      <c r="G4921" s="1" t="s">
        <v>3645</v>
      </c>
      <c r="H4921" s="1" t="s">
        <v>3646</v>
      </c>
      <c r="I4921" s="1">
        <v>1</v>
      </c>
      <c r="J4921" s="3">
        <v>120024</v>
      </c>
      <c r="K4921" s="3">
        <v>114530</v>
      </c>
      <c r="L4921" s="1">
        <v>0</v>
      </c>
      <c r="M4921" s="4">
        <v>0</v>
      </c>
      <c r="N4921" s="3">
        <v>5494</v>
      </c>
      <c r="O4921" s="4">
        <v>4.5999999999999999E-2</v>
      </c>
      <c r="P4921" s="1" t="s">
        <v>2721</v>
      </c>
    </row>
    <row r="4922" spans="1:16">
      <c r="A4922" s="1" t="s">
        <v>15</v>
      </c>
      <c r="B4922" s="1">
        <v>11</v>
      </c>
      <c r="C4922" s="1" t="s">
        <v>9511</v>
      </c>
      <c r="D4922" s="1" t="s">
        <v>9512</v>
      </c>
      <c r="E4922" s="2">
        <v>45988</v>
      </c>
      <c r="F4922" s="1" t="s">
        <v>53</v>
      </c>
      <c r="G4922" s="1" t="s">
        <v>9513</v>
      </c>
      <c r="H4922" s="1" t="s">
        <v>9514</v>
      </c>
      <c r="I4922" s="1">
        <v>1</v>
      </c>
      <c r="J4922" s="3">
        <v>11628</v>
      </c>
      <c r="K4922" s="3">
        <v>11096</v>
      </c>
      <c r="L4922" s="1">
        <v>0</v>
      </c>
      <c r="M4922" s="4">
        <v>0</v>
      </c>
      <c r="N4922" s="1">
        <v>532</v>
      </c>
      <c r="O4922" s="4">
        <v>4.5999999999999999E-2</v>
      </c>
      <c r="P4922" s="1" t="s">
        <v>2721</v>
      </c>
    </row>
    <row r="4923" spans="1:16">
      <c r="A4923" s="1" t="s">
        <v>15</v>
      </c>
      <c r="B4923" s="1">
        <v>11</v>
      </c>
      <c r="C4923" s="1" t="s">
        <v>9515</v>
      </c>
      <c r="D4923" s="1" t="s">
        <v>906</v>
      </c>
      <c r="E4923" s="2">
        <v>45988</v>
      </c>
      <c r="F4923" s="1" t="s">
        <v>554</v>
      </c>
      <c r="G4923" s="1" t="s">
        <v>907</v>
      </c>
      <c r="H4923" s="1" t="s">
        <v>2935</v>
      </c>
      <c r="I4923" s="1">
        <v>1</v>
      </c>
      <c r="J4923" s="3">
        <v>23936</v>
      </c>
      <c r="K4923" s="3">
        <v>22840</v>
      </c>
      <c r="L4923" s="1">
        <v>0</v>
      </c>
      <c r="M4923" s="4">
        <v>0</v>
      </c>
      <c r="N4923" s="3">
        <v>1096</v>
      </c>
      <c r="O4923" s="4">
        <v>4.5999999999999999E-2</v>
      </c>
      <c r="P4923" s="1" t="s">
        <v>2721</v>
      </c>
    </row>
    <row r="4924" spans="1:16">
      <c r="A4924" s="1" t="s">
        <v>15</v>
      </c>
      <c r="B4924" s="1">
        <v>11</v>
      </c>
      <c r="C4924" s="1" t="s">
        <v>9516</v>
      </c>
      <c r="D4924" s="1" t="s">
        <v>228</v>
      </c>
      <c r="E4924" s="2">
        <v>45988</v>
      </c>
      <c r="F4924" s="1" t="s">
        <v>53</v>
      </c>
      <c r="G4924" s="1" t="s">
        <v>229</v>
      </c>
      <c r="H4924" s="1" t="s">
        <v>230</v>
      </c>
      <c r="I4924" s="1">
        <v>3</v>
      </c>
      <c r="J4924" s="3">
        <v>29475</v>
      </c>
      <c r="K4924" s="3">
        <v>28126</v>
      </c>
      <c r="L4924" s="1">
        <v>0</v>
      </c>
      <c r="M4924" s="4">
        <v>0</v>
      </c>
      <c r="N4924" s="3">
        <v>1349</v>
      </c>
      <c r="O4924" s="4">
        <v>4.5999999999999999E-2</v>
      </c>
      <c r="P4924" s="1" t="s">
        <v>2721</v>
      </c>
    </row>
    <row r="4925" spans="1:16">
      <c r="A4925" s="1" t="s">
        <v>15</v>
      </c>
      <c r="B4925" s="1">
        <v>11</v>
      </c>
      <c r="C4925" s="1" t="s">
        <v>9517</v>
      </c>
      <c r="D4925" s="1" t="s">
        <v>2500</v>
      </c>
      <c r="E4925" s="2">
        <v>45988</v>
      </c>
      <c r="F4925" s="1" t="s">
        <v>276</v>
      </c>
      <c r="G4925" s="1" t="s">
        <v>1710</v>
      </c>
      <c r="H4925" s="1" t="s">
        <v>1711</v>
      </c>
      <c r="I4925" s="1">
        <v>1</v>
      </c>
      <c r="J4925" s="3">
        <v>16663</v>
      </c>
      <c r="K4925" s="3">
        <v>15900</v>
      </c>
      <c r="L4925" s="1">
        <v>0</v>
      </c>
      <c r="M4925" s="4">
        <v>0</v>
      </c>
      <c r="N4925" s="1">
        <v>763</v>
      </c>
      <c r="O4925" s="4">
        <v>4.5999999999999999E-2</v>
      </c>
      <c r="P4925" s="1" t="s">
        <v>2721</v>
      </c>
    </row>
    <row r="4926" spans="1:16">
      <c r="A4926" s="1" t="s">
        <v>15</v>
      </c>
      <c r="B4926" s="1">
        <v>11</v>
      </c>
      <c r="C4926" s="1" t="s">
        <v>9518</v>
      </c>
      <c r="D4926" s="1" t="s">
        <v>5435</v>
      </c>
      <c r="E4926" s="2">
        <v>45988</v>
      </c>
      <c r="F4926" s="1" t="s">
        <v>63</v>
      </c>
      <c r="G4926" s="1" t="s">
        <v>5436</v>
      </c>
      <c r="H4926" s="1" t="s">
        <v>139</v>
      </c>
      <c r="I4926" s="1">
        <v>1</v>
      </c>
      <c r="J4926" s="3">
        <v>15422</v>
      </c>
      <c r="K4926" s="3">
        <v>14716</v>
      </c>
      <c r="L4926" s="1">
        <v>0</v>
      </c>
      <c r="M4926" s="4">
        <v>0</v>
      </c>
      <c r="N4926" s="1">
        <v>706</v>
      </c>
      <c r="O4926" s="4">
        <v>4.5999999999999999E-2</v>
      </c>
      <c r="P4926" s="1" t="s">
        <v>2721</v>
      </c>
    </row>
    <row r="4927" spans="1:16">
      <c r="A4927" s="1" t="s">
        <v>15</v>
      </c>
      <c r="B4927" s="1">
        <v>11</v>
      </c>
      <c r="C4927" s="1" t="s">
        <v>9519</v>
      </c>
      <c r="D4927" s="1" t="s">
        <v>1250</v>
      </c>
      <c r="E4927" s="2">
        <v>45988</v>
      </c>
      <c r="F4927" s="1" t="s">
        <v>18</v>
      </c>
      <c r="G4927" s="1" t="s">
        <v>1251</v>
      </c>
      <c r="H4927" s="1" t="s">
        <v>1252</v>
      </c>
      <c r="I4927" s="1">
        <v>1</v>
      </c>
      <c r="J4927" s="3">
        <v>8395</v>
      </c>
      <c r="K4927" s="3">
        <v>8011</v>
      </c>
      <c r="L4927" s="1">
        <v>0</v>
      </c>
      <c r="M4927" s="4">
        <v>0</v>
      </c>
      <c r="N4927" s="1">
        <v>384</v>
      </c>
      <c r="O4927" s="4">
        <v>4.5999999999999999E-2</v>
      </c>
      <c r="P4927" s="1" t="s">
        <v>2721</v>
      </c>
    </row>
    <row r="4928" spans="1:16">
      <c r="A4928" s="1" t="s">
        <v>15</v>
      </c>
      <c r="B4928" s="1">
        <v>11</v>
      </c>
      <c r="C4928" s="1" t="s">
        <v>9519</v>
      </c>
      <c r="D4928" s="1" t="s">
        <v>1250</v>
      </c>
      <c r="E4928" s="2">
        <v>45988</v>
      </c>
      <c r="F4928" s="1" t="s">
        <v>18</v>
      </c>
      <c r="G4928" s="1" t="s">
        <v>1251</v>
      </c>
      <c r="H4928" s="1" t="s">
        <v>20</v>
      </c>
      <c r="I4928" s="1">
        <v>1</v>
      </c>
      <c r="J4928" s="3">
        <v>8395</v>
      </c>
      <c r="K4928" s="3">
        <v>8011</v>
      </c>
      <c r="L4928" s="1">
        <v>0</v>
      </c>
      <c r="M4928" s="4">
        <v>0</v>
      </c>
      <c r="N4928" s="1">
        <v>384</v>
      </c>
      <c r="O4928" s="4">
        <v>4.5999999999999999E-2</v>
      </c>
      <c r="P4928" s="1" t="s">
        <v>2721</v>
      </c>
    </row>
    <row r="4929" spans="1:16">
      <c r="A4929" s="1" t="s">
        <v>15</v>
      </c>
      <c r="B4929" s="1">
        <v>11</v>
      </c>
      <c r="C4929" s="1" t="s">
        <v>9519</v>
      </c>
      <c r="D4929" s="1" t="s">
        <v>2764</v>
      </c>
      <c r="E4929" s="2">
        <v>45988</v>
      </c>
      <c r="F4929" s="1" t="s">
        <v>53</v>
      </c>
      <c r="G4929" s="1" t="s">
        <v>2765</v>
      </c>
      <c r="H4929" s="1" t="s">
        <v>3611</v>
      </c>
      <c r="I4929" s="1">
        <v>1</v>
      </c>
      <c r="J4929" s="3">
        <v>17938</v>
      </c>
      <c r="K4929" s="3">
        <v>17117</v>
      </c>
      <c r="L4929" s="1">
        <v>0</v>
      </c>
      <c r="M4929" s="4">
        <v>0</v>
      </c>
      <c r="N4929" s="1">
        <v>821</v>
      </c>
      <c r="O4929" s="4">
        <v>4.5999999999999999E-2</v>
      </c>
      <c r="P4929" s="1" t="s">
        <v>2721</v>
      </c>
    </row>
    <row r="4930" spans="1:16">
      <c r="A4930" s="1" t="s">
        <v>15</v>
      </c>
      <c r="B4930" s="1">
        <v>11</v>
      </c>
      <c r="C4930" s="1" t="s">
        <v>9519</v>
      </c>
      <c r="D4930" s="1" t="s">
        <v>1508</v>
      </c>
      <c r="E4930" s="2">
        <v>45988</v>
      </c>
      <c r="F4930" s="1" t="s">
        <v>53</v>
      </c>
      <c r="G4930" s="1" t="s">
        <v>1509</v>
      </c>
      <c r="H4930" s="1" t="s">
        <v>9520</v>
      </c>
      <c r="I4930" s="1">
        <v>1</v>
      </c>
      <c r="J4930" s="3">
        <v>14332</v>
      </c>
      <c r="K4930" s="3">
        <v>13676</v>
      </c>
      <c r="L4930" s="1">
        <v>0</v>
      </c>
      <c r="M4930" s="4">
        <v>0</v>
      </c>
      <c r="N4930" s="1">
        <v>656</v>
      </c>
      <c r="O4930" s="4">
        <v>4.5999999999999999E-2</v>
      </c>
      <c r="P4930" s="1" t="s">
        <v>2721</v>
      </c>
    </row>
    <row r="4931" spans="1:16">
      <c r="A4931" s="1" t="s">
        <v>15</v>
      </c>
      <c r="B4931" s="1">
        <v>11</v>
      </c>
      <c r="C4931" s="1" t="s">
        <v>9519</v>
      </c>
      <c r="D4931" s="1" t="s">
        <v>7748</v>
      </c>
      <c r="E4931" s="2">
        <v>45988</v>
      </c>
      <c r="F4931" s="1" t="s">
        <v>53</v>
      </c>
      <c r="G4931" s="1" t="s">
        <v>7749</v>
      </c>
      <c r="H4931" s="1" t="s">
        <v>7750</v>
      </c>
      <c r="I4931" s="1">
        <v>1</v>
      </c>
      <c r="J4931" s="3">
        <v>18839</v>
      </c>
      <c r="K4931" s="3">
        <v>17977</v>
      </c>
      <c r="L4931" s="1">
        <v>0</v>
      </c>
      <c r="M4931" s="4">
        <v>0</v>
      </c>
      <c r="N4931" s="1">
        <v>862</v>
      </c>
      <c r="O4931" s="4">
        <v>4.5999999999999999E-2</v>
      </c>
      <c r="P4931" s="1" t="s">
        <v>2721</v>
      </c>
    </row>
    <row r="4932" spans="1:16">
      <c r="A4932" s="1" t="s">
        <v>15</v>
      </c>
      <c r="B4932" s="1">
        <v>11</v>
      </c>
      <c r="C4932" s="1" t="s">
        <v>9521</v>
      </c>
      <c r="D4932" s="1" t="s">
        <v>1687</v>
      </c>
      <c r="E4932" s="2">
        <v>45988</v>
      </c>
      <c r="F4932" s="1" t="s">
        <v>1688</v>
      </c>
      <c r="G4932" s="1" t="s">
        <v>1689</v>
      </c>
      <c r="H4932" s="1" t="s">
        <v>1690</v>
      </c>
      <c r="I4932" s="1">
        <v>1</v>
      </c>
      <c r="J4932" s="3">
        <v>30896</v>
      </c>
      <c r="K4932" s="3">
        <v>29481</v>
      </c>
      <c r="L4932" s="1">
        <v>0</v>
      </c>
      <c r="M4932" s="4">
        <v>0</v>
      </c>
      <c r="N4932" s="3">
        <v>1415</v>
      </c>
      <c r="O4932" s="4">
        <v>4.5999999999999999E-2</v>
      </c>
      <c r="P4932" s="1" t="s">
        <v>2721</v>
      </c>
    </row>
    <row r="4933" spans="1:16">
      <c r="A4933" s="1" t="s">
        <v>15</v>
      </c>
      <c r="B4933" s="1">
        <v>11</v>
      </c>
      <c r="C4933" s="1" t="s">
        <v>9522</v>
      </c>
      <c r="D4933" s="1" t="s">
        <v>169</v>
      </c>
      <c r="E4933" s="2">
        <v>45988</v>
      </c>
      <c r="F4933" s="1" t="s">
        <v>53</v>
      </c>
      <c r="G4933" s="1" t="s">
        <v>170</v>
      </c>
      <c r="H4933" s="1" t="s">
        <v>171</v>
      </c>
      <c r="I4933" s="1">
        <v>1</v>
      </c>
      <c r="J4933" s="3">
        <v>14332</v>
      </c>
      <c r="K4933" s="3">
        <v>13676</v>
      </c>
      <c r="L4933" s="1">
        <v>0</v>
      </c>
      <c r="M4933" s="4">
        <v>0</v>
      </c>
      <c r="N4933" s="1">
        <v>656</v>
      </c>
      <c r="O4933" s="4">
        <v>4.5999999999999999E-2</v>
      </c>
      <c r="P4933" s="1" t="s">
        <v>2721</v>
      </c>
    </row>
    <row r="4934" spans="1:16">
      <c r="A4934" s="1" t="s">
        <v>15</v>
      </c>
      <c r="B4934" s="1">
        <v>11</v>
      </c>
      <c r="C4934" s="1" t="s">
        <v>9523</v>
      </c>
      <c r="D4934" s="1" t="s">
        <v>797</v>
      </c>
      <c r="E4934" s="2">
        <v>45988</v>
      </c>
      <c r="F4934" s="1" t="s">
        <v>798</v>
      </c>
      <c r="G4934" s="1" t="s">
        <v>799</v>
      </c>
      <c r="H4934" s="1" t="s">
        <v>832</v>
      </c>
      <c r="I4934" s="1">
        <v>1</v>
      </c>
      <c r="J4934" s="3">
        <v>13271</v>
      </c>
      <c r="K4934" s="3">
        <v>12663</v>
      </c>
      <c r="L4934" s="1">
        <v>0</v>
      </c>
      <c r="M4934" s="4">
        <v>0</v>
      </c>
      <c r="N4934" s="1">
        <v>608</v>
      </c>
      <c r="O4934" s="4">
        <v>4.5999999999999999E-2</v>
      </c>
      <c r="P4934" s="1" t="s">
        <v>2721</v>
      </c>
    </row>
    <row r="4935" spans="1:16">
      <c r="A4935" s="1" t="s">
        <v>15</v>
      </c>
      <c r="B4935" s="1">
        <v>11</v>
      </c>
      <c r="C4935" s="1" t="s">
        <v>9524</v>
      </c>
      <c r="D4935" s="1" t="s">
        <v>2506</v>
      </c>
      <c r="E4935" s="2">
        <v>45988</v>
      </c>
      <c r="F4935" s="1" t="s">
        <v>96</v>
      </c>
      <c r="G4935" s="1" t="s">
        <v>2507</v>
      </c>
      <c r="H4935" s="1" t="s">
        <v>2508</v>
      </c>
      <c r="I4935" s="1">
        <v>1</v>
      </c>
      <c r="J4935" s="3">
        <v>8863</v>
      </c>
      <c r="K4935" s="3">
        <v>8457</v>
      </c>
      <c r="L4935" s="1">
        <v>0</v>
      </c>
      <c r="M4935" s="4">
        <v>0</v>
      </c>
      <c r="N4935" s="1">
        <v>406</v>
      </c>
      <c r="O4935" s="4">
        <v>4.5999999999999999E-2</v>
      </c>
      <c r="P4935" s="1" t="s">
        <v>2721</v>
      </c>
    </row>
    <row r="4936" spans="1:16">
      <c r="A4936" s="1" t="s">
        <v>15</v>
      </c>
      <c r="B4936" s="1">
        <v>11</v>
      </c>
      <c r="C4936" s="1" t="s">
        <v>9525</v>
      </c>
      <c r="D4936" s="1" t="s">
        <v>979</v>
      </c>
      <c r="E4936" s="2">
        <v>45988</v>
      </c>
      <c r="F4936" s="1" t="s">
        <v>256</v>
      </c>
      <c r="G4936" s="1" t="s">
        <v>980</v>
      </c>
      <c r="H4936" s="1" t="s">
        <v>9526</v>
      </c>
      <c r="I4936" s="1">
        <v>1</v>
      </c>
      <c r="J4936" s="3">
        <v>20053</v>
      </c>
      <c r="K4936" s="3">
        <v>19135</v>
      </c>
      <c r="L4936" s="1">
        <v>0</v>
      </c>
      <c r="M4936" s="4">
        <v>0</v>
      </c>
      <c r="N4936" s="1">
        <v>918</v>
      </c>
      <c r="O4936" s="4">
        <v>4.5999999999999999E-2</v>
      </c>
      <c r="P4936" s="1" t="s">
        <v>2721</v>
      </c>
    </row>
    <row r="4937" spans="1:16">
      <c r="A4937" s="1" t="s">
        <v>15</v>
      </c>
      <c r="B4937" s="1">
        <v>11</v>
      </c>
      <c r="C4937" s="1" t="s">
        <v>9527</v>
      </c>
      <c r="D4937" s="1" t="s">
        <v>47</v>
      </c>
      <c r="E4937" s="2">
        <v>45988</v>
      </c>
      <c r="F4937" s="1" t="s">
        <v>48</v>
      </c>
      <c r="G4937" s="1" t="s">
        <v>49</v>
      </c>
      <c r="H4937" s="1" t="s">
        <v>50</v>
      </c>
      <c r="I4937" s="1">
        <v>1</v>
      </c>
      <c r="J4937" s="3">
        <v>18901</v>
      </c>
      <c r="K4937" s="3">
        <v>18036</v>
      </c>
      <c r="L4937" s="1">
        <v>0</v>
      </c>
      <c r="M4937" s="4">
        <v>0</v>
      </c>
      <c r="N4937" s="1">
        <v>865</v>
      </c>
      <c r="O4937" s="4">
        <v>4.5999999999999999E-2</v>
      </c>
      <c r="P4937" s="1" t="s">
        <v>2721</v>
      </c>
    </row>
    <row r="4938" spans="1:16">
      <c r="A4938" s="1" t="s">
        <v>15</v>
      </c>
      <c r="B4938" s="1">
        <v>11</v>
      </c>
      <c r="C4938" s="1" t="s">
        <v>9528</v>
      </c>
      <c r="D4938" s="1" t="s">
        <v>7362</v>
      </c>
      <c r="E4938" s="2">
        <v>45988</v>
      </c>
      <c r="F4938" s="1" t="s">
        <v>7363</v>
      </c>
      <c r="G4938" s="1" t="s">
        <v>7364</v>
      </c>
      <c r="H4938" s="1" t="s">
        <v>7365</v>
      </c>
      <c r="I4938" s="1">
        <v>1</v>
      </c>
      <c r="J4938" s="3">
        <v>44235</v>
      </c>
      <c r="K4938" s="3">
        <v>42210</v>
      </c>
      <c r="L4938" s="1">
        <v>0</v>
      </c>
      <c r="M4938" s="4">
        <v>0</v>
      </c>
      <c r="N4938" s="3">
        <v>2025</v>
      </c>
      <c r="O4938" s="4">
        <v>4.5999999999999999E-2</v>
      </c>
      <c r="P4938" s="1" t="s">
        <v>2721</v>
      </c>
    </row>
    <row r="4939" spans="1:16">
      <c r="A4939" s="1" t="s">
        <v>15</v>
      </c>
      <c r="B4939" s="1">
        <v>11</v>
      </c>
      <c r="C4939" s="1" t="s">
        <v>9529</v>
      </c>
      <c r="D4939" s="1" t="s">
        <v>212</v>
      </c>
      <c r="E4939" s="2">
        <v>45988</v>
      </c>
      <c r="F4939" s="1" t="s">
        <v>213</v>
      </c>
      <c r="G4939" s="1" t="s">
        <v>214</v>
      </c>
      <c r="H4939" s="1" t="s">
        <v>215</v>
      </c>
      <c r="I4939" s="1">
        <v>1</v>
      </c>
      <c r="J4939" s="3">
        <v>16220</v>
      </c>
      <c r="K4939" s="3">
        <v>15477</v>
      </c>
      <c r="L4939" s="1">
        <v>0</v>
      </c>
      <c r="M4939" s="4">
        <v>0</v>
      </c>
      <c r="N4939" s="1">
        <v>743</v>
      </c>
      <c r="O4939" s="4">
        <v>4.5999999999999999E-2</v>
      </c>
      <c r="P4939" s="1" t="s">
        <v>2721</v>
      </c>
    </row>
    <row r="4940" spans="1:16">
      <c r="A4940" s="1" t="s">
        <v>15</v>
      </c>
      <c r="B4940" s="1">
        <v>11</v>
      </c>
      <c r="C4940" s="1" t="s">
        <v>9530</v>
      </c>
      <c r="D4940" s="1" t="s">
        <v>516</v>
      </c>
      <c r="E4940" s="2">
        <v>45988</v>
      </c>
      <c r="F4940" s="1" t="s">
        <v>517</v>
      </c>
      <c r="G4940" s="1" t="s">
        <v>518</v>
      </c>
      <c r="H4940" s="1" t="s">
        <v>519</v>
      </c>
      <c r="I4940" s="1">
        <v>1</v>
      </c>
      <c r="J4940" s="3">
        <v>21528</v>
      </c>
      <c r="K4940" s="3">
        <v>20542</v>
      </c>
      <c r="L4940" s="1">
        <v>0</v>
      </c>
      <c r="M4940" s="4">
        <v>0</v>
      </c>
      <c r="N4940" s="1">
        <v>986</v>
      </c>
      <c r="O4940" s="4">
        <v>4.5999999999999999E-2</v>
      </c>
      <c r="P4940" s="1" t="s">
        <v>2721</v>
      </c>
    </row>
    <row r="4941" spans="1:16">
      <c r="A4941" s="1" t="s">
        <v>15</v>
      </c>
      <c r="B4941" s="1">
        <v>11</v>
      </c>
      <c r="C4941" s="1" t="s">
        <v>9531</v>
      </c>
      <c r="D4941" s="1" t="s">
        <v>9532</v>
      </c>
      <c r="E4941" s="2">
        <v>45988</v>
      </c>
      <c r="F4941" s="1" t="s">
        <v>155</v>
      </c>
      <c r="G4941" s="1" t="s">
        <v>9533</v>
      </c>
      <c r="H4941" s="1" t="s">
        <v>9534</v>
      </c>
      <c r="I4941" s="1">
        <v>1</v>
      </c>
      <c r="J4941" s="3">
        <v>58489</v>
      </c>
      <c r="K4941" s="3">
        <v>55811</v>
      </c>
      <c r="L4941" s="1">
        <v>0</v>
      </c>
      <c r="M4941" s="4">
        <v>0</v>
      </c>
      <c r="N4941" s="3">
        <v>2678</v>
      </c>
      <c r="O4941" s="4">
        <v>4.5999999999999999E-2</v>
      </c>
      <c r="P4941" s="1" t="s">
        <v>2721</v>
      </c>
    </row>
    <row r="4942" spans="1:16">
      <c r="A4942" s="1" t="s">
        <v>15</v>
      </c>
      <c r="B4942" s="1">
        <v>11</v>
      </c>
      <c r="C4942" s="1" t="s">
        <v>9535</v>
      </c>
      <c r="D4942" s="1" t="s">
        <v>9536</v>
      </c>
      <c r="E4942" s="2">
        <v>45988</v>
      </c>
      <c r="F4942" s="1" t="s">
        <v>1665</v>
      </c>
      <c r="G4942" s="1" t="s">
        <v>9537</v>
      </c>
      <c r="H4942" s="1" t="s">
        <v>9538</v>
      </c>
      <c r="I4942" s="1">
        <v>1</v>
      </c>
      <c r="J4942" s="3">
        <v>17989</v>
      </c>
      <c r="K4942" s="3">
        <v>17165</v>
      </c>
      <c r="L4942" s="1">
        <v>0</v>
      </c>
      <c r="M4942" s="4">
        <v>0</v>
      </c>
      <c r="N4942" s="1">
        <v>824</v>
      </c>
      <c r="O4942" s="4">
        <v>4.5999999999999999E-2</v>
      </c>
      <c r="P4942" s="1" t="s">
        <v>2721</v>
      </c>
    </row>
    <row r="4943" spans="1:16">
      <c r="A4943" s="1" t="s">
        <v>15</v>
      </c>
      <c r="B4943" s="1">
        <v>11</v>
      </c>
      <c r="C4943" s="1" t="s">
        <v>9539</v>
      </c>
      <c r="D4943" s="1" t="s">
        <v>533</v>
      </c>
      <c r="E4943" s="2">
        <v>45988</v>
      </c>
      <c r="F4943" s="1" t="s">
        <v>534</v>
      </c>
      <c r="G4943" s="1" t="s">
        <v>535</v>
      </c>
      <c r="H4943" s="1" t="s">
        <v>536</v>
      </c>
      <c r="I4943" s="1">
        <v>1</v>
      </c>
      <c r="J4943" s="3">
        <v>19552</v>
      </c>
      <c r="K4943" s="3">
        <v>18657</v>
      </c>
      <c r="L4943" s="1">
        <v>0</v>
      </c>
      <c r="M4943" s="4">
        <v>0</v>
      </c>
      <c r="N4943" s="1">
        <v>895</v>
      </c>
      <c r="O4943" s="4">
        <v>4.5999999999999999E-2</v>
      </c>
      <c r="P4943" s="1" t="s">
        <v>2721</v>
      </c>
    </row>
    <row r="4944" spans="1:16">
      <c r="A4944" s="1" t="s">
        <v>15</v>
      </c>
      <c r="B4944" s="1">
        <v>11</v>
      </c>
      <c r="C4944" s="1" t="s">
        <v>9540</v>
      </c>
      <c r="D4944" s="1" t="s">
        <v>178</v>
      </c>
      <c r="E4944" s="2">
        <v>45988</v>
      </c>
      <c r="F4944" s="1" t="s">
        <v>96</v>
      </c>
      <c r="G4944" s="1" t="s">
        <v>179</v>
      </c>
      <c r="H4944" s="1" t="s">
        <v>180</v>
      </c>
      <c r="I4944" s="1">
        <v>1</v>
      </c>
      <c r="J4944" s="3">
        <v>15284</v>
      </c>
      <c r="K4944" s="3">
        <v>14584</v>
      </c>
      <c r="L4944" s="1">
        <v>0</v>
      </c>
      <c r="M4944" s="4">
        <v>0</v>
      </c>
      <c r="N4944" s="1">
        <v>700</v>
      </c>
      <c r="O4944" s="4">
        <v>4.5999999999999999E-2</v>
      </c>
      <c r="P4944" s="1" t="s">
        <v>2721</v>
      </c>
    </row>
    <row r="4945" spans="1:16">
      <c r="A4945" s="1" t="s">
        <v>15</v>
      </c>
      <c r="B4945" s="1">
        <v>11</v>
      </c>
      <c r="C4945" s="1" t="s">
        <v>9541</v>
      </c>
      <c r="D4945" s="1" t="s">
        <v>1060</v>
      </c>
      <c r="E4945" s="2">
        <v>45988</v>
      </c>
      <c r="F4945" s="1" t="s">
        <v>48</v>
      </c>
      <c r="G4945" s="1" t="s">
        <v>1061</v>
      </c>
      <c r="H4945" s="1" t="s">
        <v>1062</v>
      </c>
      <c r="I4945" s="1">
        <v>1</v>
      </c>
      <c r="J4945" s="3">
        <v>8049</v>
      </c>
      <c r="K4945" s="3">
        <v>7680</v>
      </c>
      <c r="L4945" s="1">
        <v>0</v>
      </c>
      <c r="M4945" s="4">
        <v>0</v>
      </c>
      <c r="N4945" s="1">
        <v>369</v>
      </c>
      <c r="O4945" s="4">
        <v>4.5999999999999999E-2</v>
      </c>
      <c r="P4945" s="1" t="s">
        <v>2721</v>
      </c>
    </row>
    <row r="4946" spans="1:16">
      <c r="A4946" s="1" t="s">
        <v>15</v>
      </c>
      <c r="B4946" s="1">
        <v>11</v>
      </c>
      <c r="C4946" s="1" t="s">
        <v>9542</v>
      </c>
      <c r="D4946" s="1" t="s">
        <v>195</v>
      </c>
      <c r="E4946" s="2">
        <v>45988</v>
      </c>
      <c r="F4946" s="1" t="s">
        <v>126</v>
      </c>
      <c r="G4946" s="1" t="s">
        <v>196</v>
      </c>
      <c r="H4946" s="1" t="s">
        <v>197</v>
      </c>
      <c r="I4946" s="1">
        <v>1</v>
      </c>
      <c r="J4946" s="3">
        <v>13762</v>
      </c>
      <c r="K4946" s="3">
        <v>13132</v>
      </c>
      <c r="L4946" s="1">
        <v>0</v>
      </c>
      <c r="M4946" s="4">
        <v>0</v>
      </c>
      <c r="N4946" s="1">
        <v>630</v>
      </c>
      <c r="O4946" s="4">
        <v>4.5999999999999999E-2</v>
      </c>
      <c r="P4946" s="1" t="s">
        <v>2721</v>
      </c>
    </row>
    <row r="4947" spans="1:16">
      <c r="A4947" s="1" t="s">
        <v>15</v>
      </c>
      <c r="B4947" s="1">
        <v>11</v>
      </c>
      <c r="C4947" s="1" t="s">
        <v>9543</v>
      </c>
      <c r="D4947" s="1" t="s">
        <v>104</v>
      </c>
      <c r="E4947" s="2">
        <v>45988</v>
      </c>
      <c r="F4947" s="1" t="s">
        <v>96</v>
      </c>
      <c r="G4947" s="1" t="s">
        <v>105</v>
      </c>
      <c r="H4947" s="1" t="s">
        <v>106</v>
      </c>
      <c r="I4947" s="1">
        <v>1</v>
      </c>
      <c r="J4947" s="3">
        <v>21614</v>
      </c>
      <c r="K4947" s="3">
        <v>20625</v>
      </c>
      <c r="L4947" s="1">
        <v>0</v>
      </c>
      <c r="M4947" s="4">
        <v>0</v>
      </c>
      <c r="N4947" s="1">
        <v>989</v>
      </c>
      <c r="O4947" s="4">
        <v>4.5999999999999999E-2</v>
      </c>
      <c r="P4947" s="1" t="s">
        <v>2721</v>
      </c>
    </row>
    <row r="4948" spans="1:16">
      <c r="A4948" s="1" t="s">
        <v>15</v>
      </c>
      <c r="B4948" s="1">
        <v>11</v>
      </c>
      <c r="C4948" s="1" t="s">
        <v>9544</v>
      </c>
      <c r="D4948" s="1" t="s">
        <v>834</v>
      </c>
      <c r="E4948" s="2">
        <v>45988</v>
      </c>
      <c r="F4948" s="1" t="s">
        <v>96</v>
      </c>
      <c r="G4948" s="1" t="s">
        <v>835</v>
      </c>
      <c r="H4948" s="1" t="s">
        <v>4192</v>
      </c>
      <c r="I4948" s="1">
        <v>1</v>
      </c>
      <c r="J4948" s="3">
        <v>13475</v>
      </c>
      <c r="K4948" s="3">
        <v>12858</v>
      </c>
      <c r="L4948" s="1">
        <v>0</v>
      </c>
      <c r="M4948" s="4">
        <v>0</v>
      </c>
      <c r="N4948" s="1">
        <v>617</v>
      </c>
      <c r="O4948" s="4">
        <v>4.5999999999999999E-2</v>
      </c>
      <c r="P4948" s="1" t="s">
        <v>2721</v>
      </c>
    </row>
    <row r="4949" spans="1:16">
      <c r="A4949" s="1" t="s">
        <v>15</v>
      </c>
      <c r="B4949" s="1">
        <v>11</v>
      </c>
      <c r="C4949" s="1" t="s">
        <v>9545</v>
      </c>
      <c r="D4949" s="1" t="s">
        <v>390</v>
      </c>
      <c r="E4949" s="2">
        <v>45988</v>
      </c>
      <c r="F4949" s="1" t="s">
        <v>256</v>
      </c>
      <c r="G4949" s="1" t="s">
        <v>391</v>
      </c>
      <c r="H4949" s="1" t="s">
        <v>1307</v>
      </c>
      <c r="I4949" s="1">
        <v>1</v>
      </c>
      <c r="J4949" s="3">
        <v>23395</v>
      </c>
      <c r="K4949" s="3">
        <v>22324</v>
      </c>
      <c r="L4949" s="1">
        <v>0</v>
      </c>
      <c r="M4949" s="4">
        <v>0</v>
      </c>
      <c r="N4949" s="3">
        <v>1071</v>
      </c>
      <c r="O4949" s="4">
        <v>4.5999999999999999E-2</v>
      </c>
      <c r="P4949" s="1" t="s">
        <v>2721</v>
      </c>
    </row>
    <row r="4950" spans="1:16">
      <c r="A4950" s="1" t="s">
        <v>15</v>
      </c>
      <c r="B4950" s="1">
        <v>11</v>
      </c>
      <c r="C4950" s="1" t="s">
        <v>9546</v>
      </c>
      <c r="D4950" s="1" t="s">
        <v>86</v>
      </c>
      <c r="E4950" s="2">
        <v>45988</v>
      </c>
      <c r="F4950" s="1" t="s">
        <v>53</v>
      </c>
      <c r="G4950" s="1" t="s">
        <v>87</v>
      </c>
      <c r="H4950" s="1" t="s">
        <v>88</v>
      </c>
      <c r="I4950" s="1">
        <v>1</v>
      </c>
      <c r="J4950" s="3">
        <v>14956</v>
      </c>
      <c r="K4950" s="3">
        <v>14272</v>
      </c>
      <c r="L4950" s="1">
        <v>0</v>
      </c>
      <c r="M4950" s="4">
        <v>0</v>
      </c>
      <c r="N4950" s="1">
        <v>684</v>
      </c>
      <c r="O4950" s="4">
        <v>4.5999999999999999E-2</v>
      </c>
      <c r="P4950" s="1" t="s">
        <v>2721</v>
      </c>
    </row>
    <row r="4951" spans="1:16">
      <c r="A4951" s="1" t="s">
        <v>15</v>
      </c>
      <c r="B4951" s="1">
        <v>11</v>
      </c>
      <c r="C4951" s="1" t="s">
        <v>9547</v>
      </c>
      <c r="D4951" s="1" t="s">
        <v>329</v>
      </c>
      <c r="E4951" s="2">
        <v>45988</v>
      </c>
      <c r="F4951" s="1" t="s">
        <v>174</v>
      </c>
      <c r="G4951" s="1" t="s">
        <v>330</v>
      </c>
      <c r="H4951" s="1" t="s">
        <v>8222</v>
      </c>
      <c r="I4951" s="1">
        <v>1</v>
      </c>
      <c r="J4951" s="3">
        <v>16711</v>
      </c>
      <c r="K4951" s="3">
        <v>15946</v>
      </c>
      <c r="L4951" s="1">
        <v>0</v>
      </c>
      <c r="M4951" s="4">
        <v>0</v>
      </c>
      <c r="N4951" s="1">
        <v>765</v>
      </c>
      <c r="O4951" s="4">
        <v>4.5999999999999999E-2</v>
      </c>
      <c r="P4951" s="1" t="s">
        <v>2721</v>
      </c>
    </row>
    <row r="4952" spans="1:16">
      <c r="A4952" s="1" t="s">
        <v>15</v>
      </c>
      <c r="B4952" s="1">
        <v>11</v>
      </c>
      <c r="C4952" s="1" t="s">
        <v>9548</v>
      </c>
      <c r="D4952" s="1" t="s">
        <v>322</v>
      </c>
      <c r="E4952" s="2">
        <v>45988</v>
      </c>
      <c r="F4952" s="1" t="s">
        <v>151</v>
      </c>
      <c r="G4952" s="1" t="s">
        <v>323</v>
      </c>
      <c r="H4952" s="1" t="s">
        <v>323</v>
      </c>
      <c r="I4952" s="1">
        <v>1</v>
      </c>
      <c r="J4952" s="3">
        <v>14745</v>
      </c>
      <c r="K4952" s="3">
        <v>14070</v>
      </c>
      <c r="L4952" s="1">
        <v>0</v>
      </c>
      <c r="M4952" s="4">
        <v>0</v>
      </c>
      <c r="N4952" s="1">
        <v>675</v>
      </c>
      <c r="O4952" s="4">
        <v>4.5999999999999999E-2</v>
      </c>
      <c r="P4952" s="1" t="s">
        <v>2721</v>
      </c>
    </row>
    <row r="4953" spans="1:16">
      <c r="A4953" s="1" t="s">
        <v>15</v>
      </c>
      <c r="B4953" s="1">
        <v>11</v>
      </c>
      <c r="C4953" s="1" t="s">
        <v>9549</v>
      </c>
      <c r="D4953" s="1" t="s">
        <v>9536</v>
      </c>
      <c r="E4953" s="2">
        <v>45988</v>
      </c>
      <c r="F4953" s="1" t="s">
        <v>1665</v>
      </c>
      <c r="G4953" s="1" t="s">
        <v>9537</v>
      </c>
      <c r="H4953" s="1" t="s">
        <v>9538</v>
      </c>
      <c r="I4953" s="1">
        <v>1</v>
      </c>
      <c r="J4953" s="3">
        <v>17989</v>
      </c>
      <c r="K4953" s="3">
        <v>17165</v>
      </c>
      <c r="L4953" s="1">
        <v>0</v>
      </c>
      <c r="M4953" s="4">
        <v>0</v>
      </c>
      <c r="N4953" s="1">
        <v>824</v>
      </c>
      <c r="O4953" s="4">
        <v>4.5999999999999999E-2</v>
      </c>
      <c r="P4953" s="1" t="s">
        <v>2721</v>
      </c>
    </row>
    <row r="4954" spans="1:16">
      <c r="A4954" s="1" t="s">
        <v>15</v>
      </c>
      <c r="B4954" s="1">
        <v>11</v>
      </c>
      <c r="C4954" s="1" t="s">
        <v>9550</v>
      </c>
      <c r="D4954" s="1" t="s">
        <v>3189</v>
      </c>
      <c r="E4954" s="2">
        <v>45988</v>
      </c>
      <c r="F4954" s="1" t="s">
        <v>174</v>
      </c>
      <c r="G4954" s="1" t="s">
        <v>3190</v>
      </c>
      <c r="H4954" s="1" t="s">
        <v>4053</v>
      </c>
      <c r="I4954" s="1">
        <v>1</v>
      </c>
      <c r="J4954" s="3">
        <v>25067</v>
      </c>
      <c r="K4954" s="3">
        <v>23919</v>
      </c>
      <c r="L4954" s="1">
        <v>0</v>
      </c>
      <c r="M4954" s="4">
        <v>0</v>
      </c>
      <c r="N4954" s="3">
        <v>1148</v>
      </c>
      <c r="O4954" s="4">
        <v>4.5999999999999999E-2</v>
      </c>
      <c r="P4954" s="1" t="s">
        <v>2721</v>
      </c>
    </row>
    <row r="4955" spans="1:16">
      <c r="A4955" s="1" t="s">
        <v>15</v>
      </c>
      <c r="B4955" s="1">
        <v>11</v>
      </c>
      <c r="C4955" s="1" t="s">
        <v>9551</v>
      </c>
      <c r="D4955" s="1" t="s">
        <v>32</v>
      </c>
      <c r="E4955" s="2">
        <v>45988</v>
      </c>
      <c r="F4955" s="1" t="s">
        <v>33</v>
      </c>
      <c r="G4955" s="1" t="s">
        <v>34</v>
      </c>
      <c r="H4955" s="1" t="s">
        <v>9552</v>
      </c>
      <c r="I4955" s="1">
        <v>1</v>
      </c>
      <c r="J4955" s="3">
        <v>39668</v>
      </c>
      <c r="K4955" s="3">
        <v>37852</v>
      </c>
      <c r="L4955" s="1">
        <v>0</v>
      </c>
      <c r="M4955" s="4">
        <v>0</v>
      </c>
      <c r="N4955" s="3">
        <v>1816</v>
      </c>
      <c r="O4955" s="4">
        <v>4.5999999999999999E-2</v>
      </c>
      <c r="P4955" s="1" t="s">
        <v>2721</v>
      </c>
    </row>
    <row r="4956" spans="1:16">
      <c r="A4956" s="1" t="s">
        <v>15</v>
      </c>
      <c r="B4956" s="1">
        <v>11</v>
      </c>
      <c r="C4956" s="1" t="s">
        <v>9553</v>
      </c>
      <c r="D4956" s="1" t="s">
        <v>878</v>
      </c>
      <c r="E4956" s="2">
        <v>45988</v>
      </c>
      <c r="F4956" s="1" t="s">
        <v>856</v>
      </c>
      <c r="G4956" s="1" t="s">
        <v>879</v>
      </c>
      <c r="H4956" s="1" t="s">
        <v>880</v>
      </c>
      <c r="I4956" s="1">
        <v>1</v>
      </c>
      <c r="J4956" s="3">
        <v>89453</v>
      </c>
      <c r="K4956" s="3">
        <v>85358</v>
      </c>
      <c r="L4956" s="1">
        <v>0</v>
      </c>
      <c r="M4956" s="4">
        <v>0</v>
      </c>
      <c r="N4956" s="3">
        <v>4095</v>
      </c>
      <c r="O4956" s="4">
        <v>4.5999999999999999E-2</v>
      </c>
      <c r="P4956" s="1" t="s">
        <v>2721</v>
      </c>
    </row>
    <row r="4957" spans="1:16">
      <c r="A4957" s="1" t="s">
        <v>15</v>
      </c>
      <c r="B4957" s="1">
        <v>11</v>
      </c>
      <c r="C4957" s="1" t="s">
        <v>9554</v>
      </c>
      <c r="D4957" s="1" t="s">
        <v>125</v>
      </c>
      <c r="E4957" s="2">
        <v>45988</v>
      </c>
      <c r="F4957" s="1" t="s">
        <v>126</v>
      </c>
      <c r="G4957" s="1" t="s">
        <v>127</v>
      </c>
      <c r="H4957" s="1" t="s">
        <v>128</v>
      </c>
      <c r="I4957" s="1">
        <v>1</v>
      </c>
      <c r="J4957" s="3">
        <v>13959</v>
      </c>
      <c r="K4957" s="3">
        <v>13320</v>
      </c>
      <c r="L4957" s="1">
        <v>0</v>
      </c>
      <c r="M4957" s="4">
        <v>0</v>
      </c>
      <c r="N4957" s="1">
        <v>639</v>
      </c>
      <c r="O4957" s="4">
        <v>4.5999999999999999E-2</v>
      </c>
      <c r="P4957" s="1" t="s">
        <v>2721</v>
      </c>
    </row>
    <row r="4958" spans="1:16">
      <c r="A4958" s="1" t="s">
        <v>15</v>
      </c>
      <c r="B4958" s="1">
        <v>11</v>
      </c>
      <c r="C4958" s="1" t="s">
        <v>9555</v>
      </c>
      <c r="D4958" s="1" t="s">
        <v>1490</v>
      </c>
      <c r="E4958" s="2">
        <v>45988</v>
      </c>
      <c r="F4958" s="1" t="s">
        <v>187</v>
      </c>
      <c r="G4958" s="1" t="s">
        <v>1491</v>
      </c>
      <c r="H4958" s="1" t="s">
        <v>7268</v>
      </c>
      <c r="I4958" s="1">
        <v>1</v>
      </c>
      <c r="J4958" s="3">
        <v>44235</v>
      </c>
      <c r="K4958" s="3">
        <v>42210</v>
      </c>
      <c r="L4958" s="1">
        <v>0</v>
      </c>
      <c r="M4958" s="4">
        <v>0</v>
      </c>
      <c r="N4958" s="3">
        <v>2025</v>
      </c>
      <c r="O4958" s="4">
        <v>4.5999999999999999E-2</v>
      </c>
      <c r="P4958" s="1" t="s">
        <v>2721</v>
      </c>
    </row>
    <row r="4959" spans="1:16">
      <c r="A4959" s="1" t="s">
        <v>15</v>
      </c>
      <c r="B4959" s="1">
        <v>11</v>
      </c>
      <c r="C4959" s="1" t="s">
        <v>9556</v>
      </c>
      <c r="D4959" s="1" t="s">
        <v>3232</v>
      </c>
      <c r="E4959" s="2">
        <v>45988</v>
      </c>
      <c r="F4959" s="1" t="s">
        <v>1772</v>
      </c>
      <c r="G4959" s="1" t="s">
        <v>3233</v>
      </c>
      <c r="H4959" s="1" t="s">
        <v>3234</v>
      </c>
      <c r="I4959" s="1">
        <v>1</v>
      </c>
      <c r="J4959" s="3">
        <v>29077</v>
      </c>
      <c r="K4959" s="3">
        <v>27746</v>
      </c>
      <c r="L4959" s="1">
        <v>0</v>
      </c>
      <c r="M4959" s="4">
        <v>0</v>
      </c>
      <c r="N4959" s="3">
        <v>1331</v>
      </c>
      <c r="O4959" s="4">
        <v>4.5999999999999999E-2</v>
      </c>
      <c r="P4959" s="1" t="s">
        <v>2721</v>
      </c>
    </row>
    <row r="4960" spans="1:16">
      <c r="A4960" s="1" t="s">
        <v>15</v>
      </c>
      <c r="B4960" s="1">
        <v>11</v>
      </c>
      <c r="C4960" s="1" t="s">
        <v>9557</v>
      </c>
      <c r="D4960" s="1" t="s">
        <v>7349</v>
      </c>
      <c r="E4960" s="2">
        <v>45988</v>
      </c>
      <c r="F4960" s="1" t="s">
        <v>1255</v>
      </c>
      <c r="G4960" s="1" t="s">
        <v>7350</v>
      </c>
      <c r="H4960" s="1" t="s">
        <v>7351</v>
      </c>
      <c r="I4960" s="1">
        <v>1</v>
      </c>
      <c r="J4960" s="3">
        <v>16908</v>
      </c>
      <c r="K4960" s="3">
        <v>16134</v>
      </c>
      <c r="L4960" s="1">
        <v>0</v>
      </c>
      <c r="M4960" s="4">
        <v>0</v>
      </c>
      <c r="N4960" s="1">
        <v>774</v>
      </c>
      <c r="O4960" s="4">
        <v>4.5999999999999999E-2</v>
      </c>
      <c r="P4960" s="1" t="s">
        <v>2721</v>
      </c>
    </row>
    <row r="4961" spans="1:16">
      <c r="A4961" s="1" t="s">
        <v>15</v>
      </c>
      <c r="B4961" s="1">
        <v>11</v>
      </c>
      <c r="C4961" s="1" t="s">
        <v>9558</v>
      </c>
      <c r="D4961" s="1" t="s">
        <v>2584</v>
      </c>
      <c r="E4961" s="2">
        <v>45988</v>
      </c>
      <c r="F4961" s="1" t="s">
        <v>1688</v>
      </c>
      <c r="G4961" s="1" t="s">
        <v>2585</v>
      </c>
      <c r="H4961" s="1" t="s">
        <v>2586</v>
      </c>
      <c r="I4961" s="1">
        <v>1</v>
      </c>
      <c r="J4961" s="3">
        <v>34061</v>
      </c>
      <c r="K4961" s="3">
        <v>32502</v>
      </c>
      <c r="L4961" s="1">
        <v>0</v>
      </c>
      <c r="M4961" s="4">
        <v>0</v>
      </c>
      <c r="N4961" s="3">
        <v>1559</v>
      </c>
      <c r="O4961" s="4">
        <v>4.5999999999999999E-2</v>
      </c>
      <c r="P4961" s="1" t="s">
        <v>2721</v>
      </c>
    </row>
    <row r="4962" spans="1:16">
      <c r="A4962" s="1" t="s">
        <v>15</v>
      </c>
      <c r="B4962" s="1">
        <v>11</v>
      </c>
      <c r="C4962" s="1" t="s">
        <v>9559</v>
      </c>
      <c r="D4962" s="1" t="s">
        <v>5155</v>
      </c>
      <c r="E4962" s="2">
        <v>45988</v>
      </c>
      <c r="F4962" s="1" t="s">
        <v>1798</v>
      </c>
      <c r="G4962" s="1" t="s">
        <v>5156</v>
      </c>
      <c r="H4962" s="1" t="s">
        <v>5157</v>
      </c>
      <c r="I4962" s="1">
        <v>1</v>
      </c>
      <c r="J4962" s="3">
        <v>31948</v>
      </c>
      <c r="K4962" s="3">
        <v>30485</v>
      </c>
      <c r="L4962" s="1">
        <v>0</v>
      </c>
      <c r="M4962" s="4">
        <v>0</v>
      </c>
      <c r="N4962" s="3">
        <v>1463</v>
      </c>
      <c r="O4962" s="4">
        <v>4.5999999999999999E-2</v>
      </c>
      <c r="P4962" s="1" t="s">
        <v>2721</v>
      </c>
    </row>
    <row r="4963" spans="1:16">
      <c r="A4963" s="1" t="s">
        <v>15</v>
      </c>
      <c r="B4963" s="1">
        <v>11</v>
      </c>
      <c r="C4963" s="1" t="s">
        <v>9560</v>
      </c>
      <c r="D4963" s="1" t="s">
        <v>549</v>
      </c>
      <c r="E4963" s="2">
        <v>45988</v>
      </c>
      <c r="F4963" s="1" t="s">
        <v>63</v>
      </c>
      <c r="G4963" s="1" t="s">
        <v>550</v>
      </c>
      <c r="H4963" s="1" t="s">
        <v>551</v>
      </c>
      <c r="I4963" s="1">
        <v>1</v>
      </c>
      <c r="J4963" s="3">
        <v>15422</v>
      </c>
      <c r="K4963" s="3">
        <v>14716</v>
      </c>
      <c r="L4963" s="1">
        <v>0</v>
      </c>
      <c r="M4963" s="4">
        <v>0</v>
      </c>
      <c r="N4963" s="1">
        <v>706</v>
      </c>
      <c r="O4963" s="4">
        <v>4.5999999999999999E-2</v>
      </c>
      <c r="P4963" s="1" t="s">
        <v>2721</v>
      </c>
    </row>
    <row r="4964" spans="1:16">
      <c r="A4964" s="1" t="s">
        <v>15</v>
      </c>
      <c r="B4964" s="1">
        <v>11</v>
      </c>
      <c r="C4964" s="1" t="s">
        <v>9561</v>
      </c>
      <c r="D4964" s="1" t="s">
        <v>6161</v>
      </c>
      <c r="E4964" s="2">
        <v>45988</v>
      </c>
      <c r="F4964" s="1" t="s">
        <v>500</v>
      </c>
      <c r="G4964" s="1" t="s">
        <v>4892</v>
      </c>
      <c r="H4964" s="1" t="s">
        <v>4893</v>
      </c>
      <c r="I4964" s="1">
        <v>1</v>
      </c>
      <c r="J4964" s="3">
        <v>288193</v>
      </c>
      <c r="K4964" s="3">
        <v>275000</v>
      </c>
      <c r="L4964" s="1">
        <v>0</v>
      </c>
      <c r="M4964" s="4">
        <v>0</v>
      </c>
      <c r="N4964" s="3">
        <v>13193</v>
      </c>
      <c r="O4964" s="4">
        <v>4.5999999999999999E-2</v>
      </c>
      <c r="P4964" s="1" t="s">
        <v>2721</v>
      </c>
    </row>
    <row r="4965" spans="1:16">
      <c r="A4965" s="1" t="s">
        <v>577</v>
      </c>
      <c r="B4965" s="1">
        <v>11</v>
      </c>
      <c r="C4965" s="1" t="s">
        <v>9562</v>
      </c>
      <c r="D4965" s="1" t="s">
        <v>590</v>
      </c>
      <c r="E4965" s="2">
        <v>45988</v>
      </c>
      <c r="F4965" s="1" t="s">
        <v>312</v>
      </c>
      <c r="G4965" s="1" t="s">
        <v>412</v>
      </c>
      <c r="H4965" s="1" t="s">
        <v>9563</v>
      </c>
      <c r="I4965" s="1">
        <v>1</v>
      </c>
      <c r="J4965" s="3">
        <v>27524</v>
      </c>
      <c r="K4965" s="3">
        <v>26264</v>
      </c>
      <c r="L4965" s="1">
        <v>0</v>
      </c>
      <c r="M4965" s="4">
        <v>0</v>
      </c>
      <c r="N4965" s="3">
        <v>1260</v>
      </c>
      <c r="O4965" s="4">
        <v>4.5999999999999999E-2</v>
      </c>
      <c r="P4965" s="1" t="s">
        <v>2721</v>
      </c>
    </row>
    <row r="4966" spans="1:16">
      <c r="A4966" s="1" t="s">
        <v>577</v>
      </c>
      <c r="B4966" s="1">
        <v>11</v>
      </c>
      <c r="C4966" s="1" t="s">
        <v>9562</v>
      </c>
      <c r="D4966" s="1" t="s">
        <v>9564</v>
      </c>
      <c r="E4966" s="2">
        <v>45988</v>
      </c>
      <c r="F4966" s="1" t="s">
        <v>1310</v>
      </c>
      <c r="G4966" s="1" t="s">
        <v>9565</v>
      </c>
      <c r="H4966" s="1" t="s">
        <v>9566</v>
      </c>
      <c r="I4966" s="1">
        <v>1</v>
      </c>
      <c r="J4966" s="3">
        <v>19660</v>
      </c>
      <c r="K4966" s="3">
        <v>18760</v>
      </c>
      <c r="L4966" s="1">
        <v>0</v>
      </c>
      <c r="M4966" s="4">
        <v>0</v>
      </c>
      <c r="N4966" s="1">
        <v>900</v>
      </c>
      <c r="O4966" s="4">
        <v>4.5999999999999999E-2</v>
      </c>
      <c r="P4966" s="1" t="s">
        <v>2721</v>
      </c>
    </row>
    <row r="4967" spans="1:16">
      <c r="A4967" s="1" t="s">
        <v>577</v>
      </c>
      <c r="B4967" s="1">
        <v>11</v>
      </c>
      <c r="C4967" s="1" t="s">
        <v>9567</v>
      </c>
      <c r="D4967" s="1" t="s">
        <v>3141</v>
      </c>
      <c r="E4967" s="2">
        <v>45988</v>
      </c>
      <c r="F4967" s="1" t="s">
        <v>235</v>
      </c>
      <c r="G4967" s="1" t="s">
        <v>3142</v>
      </c>
      <c r="H4967" s="1" t="s">
        <v>3143</v>
      </c>
      <c r="I4967" s="1">
        <v>1</v>
      </c>
      <c r="J4967" s="3">
        <v>12250</v>
      </c>
      <c r="K4967" s="3">
        <v>11689</v>
      </c>
      <c r="L4967" s="1">
        <v>0</v>
      </c>
      <c r="M4967" s="4">
        <v>0</v>
      </c>
      <c r="N4967" s="1">
        <v>561</v>
      </c>
      <c r="O4967" s="4">
        <v>4.5999999999999999E-2</v>
      </c>
      <c r="P4967" s="1" t="s">
        <v>2721</v>
      </c>
    </row>
    <row r="4968" spans="1:16">
      <c r="A4968" s="1" t="s">
        <v>577</v>
      </c>
      <c r="B4968" s="1">
        <v>11</v>
      </c>
      <c r="C4968" s="1" t="s">
        <v>9568</v>
      </c>
      <c r="D4968" s="1" t="s">
        <v>1784</v>
      </c>
      <c r="E4968" s="2">
        <v>45988</v>
      </c>
      <c r="F4968" s="1" t="s">
        <v>256</v>
      </c>
      <c r="G4968" s="1" t="s">
        <v>778</v>
      </c>
      <c r="H4968" s="1" t="s">
        <v>1571</v>
      </c>
      <c r="I4968" s="1">
        <v>1</v>
      </c>
      <c r="J4968" s="3">
        <v>19857</v>
      </c>
      <c r="K4968" s="3">
        <v>18948</v>
      </c>
      <c r="L4968" s="1">
        <v>0</v>
      </c>
      <c r="M4968" s="4">
        <v>0</v>
      </c>
      <c r="N4968" s="1">
        <v>909</v>
      </c>
      <c r="O4968" s="4">
        <v>4.5999999999999999E-2</v>
      </c>
      <c r="P4968" s="1" t="s">
        <v>2721</v>
      </c>
    </row>
    <row r="4969" spans="1:16">
      <c r="A4969" s="1" t="s">
        <v>577</v>
      </c>
      <c r="B4969" s="1">
        <v>11</v>
      </c>
      <c r="C4969" s="1" t="s">
        <v>9569</v>
      </c>
      <c r="D4969" s="1" t="s">
        <v>9570</v>
      </c>
      <c r="E4969" s="2">
        <v>45988</v>
      </c>
      <c r="F4969" s="1" t="s">
        <v>646</v>
      </c>
      <c r="G4969" s="1" t="s">
        <v>7312</v>
      </c>
      <c r="H4969" s="1" t="s">
        <v>7313</v>
      </c>
      <c r="I4969" s="1">
        <v>1</v>
      </c>
      <c r="J4969" s="3">
        <v>135654</v>
      </c>
      <c r="K4969" s="3">
        <v>129444</v>
      </c>
      <c r="L4969" s="1">
        <v>0</v>
      </c>
      <c r="M4969" s="4">
        <v>0</v>
      </c>
      <c r="N4969" s="3">
        <v>6210</v>
      </c>
      <c r="O4969" s="4">
        <v>4.5999999999999999E-2</v>
      </c>
      <c r="P4969" s="1" t="s">
        <v>2721</v>
      </c>
    </row>
    <row r="4970" spans="1:16">
      <c r="A4970" s="1" t="s">
        <v>577</v>
      </c>
      <c r="B4970" s="1">
        <v>11</v>
      </c>
      <c r="C4970" s="1" t="s">
        <v>9571</v>
      </c>
      <c r="D4970" s="1" t="s">
        <v>1700</v>
      </c>
      <c r="E4970" s="2">
        <v>45988</v>
      </c>
      <c r="F4970" s="1" t="s">
        <v>395</v>
      </c>
      <c r="G4970" s="1" t="s">
        <v>396</v>
      </c>
      <c r="H4970" s="1" t="s">
        <v>397</v>
      </c>
      <c r="I4970" s="1">
        <v>1</v>
      </c>
      <c r="J4970" s="3">
        <v>18874</v>
      </c>
      <c r="K4970" s="3">
        <v>18010</v>
      </c>
      <c r="L4970" s="1">
        <v>0</v>
      </c>
      <c r="M4970" s="4">
        <v>0</v>
      </c>
      <c r="N4970" s="1">
        <v>864</v>
      </c>
      <c r="O4970" s="4">
        <v>4.5999999999999999E-2</v>
      </c>
      <c r="P4970" s="1" t="s">
        <v>2721</v>
      </c>
    </row>
    <row r="4971" spans="1:16">
      <c r="A4971" s="1" t="s">
        <v>577</v>
      </c>
      <c r="B4971" s="1">
        <v>11</v>
      </c>
      <c r="C4971" s="1" t="s">
        <v>9572</v>
      </c>
      <c r="D4971" s="1" t="s">
        <v>9573</v>
      </c>
      <c r="E4971" s="2">
        <v>45988</v>
      </c>
      <c r="F4971" s="1" t="s">
        <v>1255</v>
      </c>
      <c r="G4971" s="1" t="s">
        <v>9574</v>
      </c>
      <c r="H4971" s="1" t="s">
        <v>9575</v>
      </c>
      <c r="I4971" s="1">
        <v>1</v>
      </c>
      <c r="J4971" s="3">
        <v>18775</v>
      </c>
      <c r="K4971" s="3">
        <v>17916</v>
      </c>
      <c r="L4971" s="1">
        <v>0</v>
      </c>
      <c r="M4971" s="4">
        <v>0</v>
      </c>
      <c r="N4971" s="1">
        <v>859</v>
      </c>
      <c r="O4971" s="4">
        <v>4.5999999999999999E-2</v>
      </c>
      <c r="P4971" s="1" t="s">
        <v>2721</v>
      </c>
    </row>
    <row r="4972" spans="1:16">
      <c r="A4972" s="1" t="s">
        <v>577</v>
      </c>
      <c r="B4972" s="1">
        <v>11</v>
      </c>
      <c r="C4972" s="1" t="s">
        <v>9576</v>
      </c>
      <c r="D4972" s="1" t="s">
        <v>9577</v>
      </c>
      <c r="E4972" s="2">
        <v>45988</v>
      </c>
      <c r="F4972" s="1" t="s">
        <v>524</v>
      </c>
      <c r="G4972" s="1" t="s">
        <v>9578</v>
      </c>
      <c r="H4972" s="1" t="s">
        <v>9579</v>
      </c>
      <c r="I4972" s="1">
        <v>1</v>
      </c>
      <c r="J4972" s="3">
        <v>16348</v>
      </c>
      <c r="K4972" s="3">
        <v>15600</v>
      </c>
      <c r="L4972" s="1">
        <v>0</v>
      </c>
      <c r="M4972" s="4">
        <v>0</v>
      </c>
      <c r="N4972" s="1">
        <v>748</v>
      </c>
      <c r="O4972" s="4">
        <v>4.5999999999999999E-2</v>
      </c>
      <c r="P4972" s="1" t="s">
        <v>2721</v>
      </c>
    </row>
    <row r="4973" spans="1:16">
      <c r="A4973" s="1" t="s">
        <v>577</v>
      </c>
      <c r="B4973" s="1">
        <v>11</v>
      </c>
      <c r="C4973" s="1" t="s">
        <v>9580</v>
      </c>
      <c r="D4973" s="1" t="s">
        <v>1786</v>
      </c>
      <c r="E4973" s="2">
        <v>45988</v>
      </c>
      <c r="F4973" s="1" t="s">
        <v>347</v>
      </c>
      <c r="G4973" s="1" t="s">
        <v>1134</v>
      </c>
      <c r="H4973" s="1" t="s">
        <v>1340</v>
      </c>
      <c r="I4973" s="1">
        <v>1</v>
      </c>
      <c r="J4973" s="3">
        <v>22519</v>
      </c>
      <c r="K4973" s="3">
        <v>21488</v>
      </c>
      <c r="L4973" s="1">
        <v>0</v>
      </c>
      <c r="M4973" s="4">
        <v>0</v>
      </c>
      <c r="N4973" s="3">
        <v>1031</v>
      </c>
      <c r="O4973" s="4">
        <v>4.5999999999999999E-2</v>
      </c>
      <c r="P4973" s="1" t="s">
        <v>2721</v>
      </c>
    </row>
    <row r="4974" spans="1:16">
      <c r="A4974" s="1" t="s">
        <v>577</v>
      </c>
      <c r="B4974" s="1">
        <v>11</v>
      </c>
      <c r="C4974" s="1" t="s">
        <v>9581</v>
      </c>
      <c r="D4974" s="1" t="s">
        <v>2600</v>
      </c>
      <c r="E4974" s="2">
        <v>45988</v>
      </c>
      <c r="F4974" s="1" t="s">
        <v>28</v>
      </c>
      <c r="G4974" s="1" t="s">
        <v>29</v>
      </c>
      <c r="H4974" s="1" t="s">
        <v>352</v>
      </c>
      <c r="I4974" s="1">
        <v>1</v>
      </c>
      <c r="J4974" s="3">
        <v>27033</v>
      </c>
      <c r="K4974" s="3">
        <v>25795</v>
      </c>
      <c r="L4974" s="1">
        <v>0</v>
      </c>
      <c r="M4974" s="4">
        <v>0</v>
      </c>
      <c r="N4974" s="3">
        <v>1238</v>
      </c>
      <c r="O4974" s="4">
        <v>4.5999999999999999E-2</v>
      </c>
      <c r="P4974" s="1" t="s">
        <v>2721</v>
      </c>
    </row>
    <row r="4975" spans="1:16">
      <c r="A4975" s="1" t="s">
        <v>577</v>
      </c>
      <c r="B4975" s="1">
        <v>11</v>
      </c>
      <c r="C4975" s="1" t="s">
        <v>9582</v>
      </c>
      <c r="D4975" s="1" t="s">
        <v>9583</v>
      </c>
      <c r="E4975" s="2">
        <v>45988</v>
      </c>
      <c r="F4975" s="1" t="s">
        <v>524</v>
      </c>
      <c r="G4975" s="1" t="s">
        <v>525</v>
      </c>
      <c r="H4975" s="1" t="s">
        <v>9584</v>
      </c>
      <c r="I4975" s="1">
        <v>1</v>
      </c>
      <c r="J4975" s="3">
        <v>15569</v>
      </c>
      <c r="K4975" s="3">
        <v>14856</v>
      </c>
      <c r="L4975" s="1">
        <v>0</v>
      </c>
      <c r="M4975" s="4">
        <v>0</v>
      </c>
      <c r="N4975" s="1">
        <v>713</v>
      </c>
      <c r="O4975" s="4">
        <v>4.5999999999999999E-2</v>
      </c>
      <c r="P4975" s="1" t="s">
        <v>2721</v>
      </c>
    </row>
    <row r="4976" spans="1:16">
      <c r="A4976" s="1" t="s">
        <v>577</v>
      </c>
      <c r="B4976" s="1">
        <v>11</v>
      </c>
      <c r="C4976" s="1" t="s">
        <v>9585</v>
      </c>
      <c r="D4976" s="1" t="s">
        <v>1698</v>
      </c>
      <c r="E4976" s="2">
        <v>45988</v>
      </c>
      <c r="F4976" s="1" t="s">
        <v>235</v>
      </c>
      <c r="G4976" s="1" t="s">
        <v>1154</v>
      </c>
      <c r="H4976" s="1" t="s">
        <v>1155</v>
      </c>
      <c r="I4976" s="1">
        <v>1</v>
      </c>
      <c r="J4976" s="3">
        <v>14254</v>
      </c>
      <c r="K4976" s="3">
        <v>13601</v>
      </c>
      <c r="L4976" s="1">
        <v>0</v>
      </c>
      <c r="M4976" s="4">
        <v>0</v>
      </c>
      <c r="N4976" s="1">
        <v>653</v>
      </c>
      <c r="O4976" s="4">
        <v>4.5999999999999999E-2</v>
      </c>
      <c r="P4976" s="1" t="s">
        <v>2721</v>
      </c>
    </row>
    <row r="4977" spans="1:16">
      <c r="A4977" s="1" t="s">
        <v>577</v>
      </c>
      <c r="B4977" s="1">
        <v>11</v>
      </c>
      <c r="C4977" s="1" t="s">
        <v>9586</v>
      </c>
      <c r="D4977" s="1" t="s">
        <v>9587</v>
      </c>
      <c r="E4977" s="2">
        <v>45988</v>
      </c>
      <c r="F4977" s="1" t="s">
        <v>96</v>
      </c>
      <c r="G4977" s="1" t="s">
        <v>3936</v>
      </c>
      <c r="H4977" s="1" t="s">
        <v>3937</v>
      </c>
      <c r="I4977" s="1">
        <v>2</v>
      </c>
      <c r="J4977" s="3">
        <v>25141</v>
      </c>
      <c r="K4977" s="3">
        <v>23990</v>
      </c>
      <c r="L4977" s="1">
        <v>0</v>
      </c>
      <c r="M4977" s="4">
        <v>0</v>
      </c>
      <c r="N4977" s="3">
        <v>1151</v>
      </c>
      <c r="O4977" s="4">
        <v>4.5999999999999999E-2</v>
      </c>
      <c r="P4977" s="1" t="s">
        <v>2721</v>
      </c>
    </row>
    <row r="4978" spans="1:16">
      <c r="A4978" s="1" t="s">
        <v>577</v>
      </c>
      <c r="B4978" s="1">
        <v>11</v>
      </c>
      <c r="C4978" s="1" t="s">
        <v>9588</v>
      </c>
      <c r="D4978" s="1" t="s">
        <v>9589</v>
      </c>
      <c r="E4978" s="2">
        <v>45988</v>
      </c>
      <c r="F4978" s="1" t="s">
        <v>63</v>
      </c>
      <c r="G4978" s="1" t="s">
        <v>9590</v>
      </c>
      <c r="H4978" s="1" t="s">
        <v>8494</v>
      </c>
      <c r="I4978" s="1">
        <v>1</v>
      </c>
      <c r="J4978" s="3">
        <v>11809</v>
      </c>
      <c r="K4978" s="3">
        <v>11268</v>
      </c>
      <c r="L4978" s="1">
        <v>0</v>
      </c>
      <c r="M4978" s="4">
        <v>0</v>
      </c>
      <c r="N4978" s="1">
        <v>541</v>
      </c>
      <c r="O4978" s="4">
        <v>4.5999999999999999E-2</v>
      </c>
      <c r="P4978" s="1" t="s">
        <v>2721</v>
      </c>
    </row>
    <row r="4979" spans="1:16">
      <c r="A4979" s="1" t="s">
        <v>577</v>
      </c>
      <c r="B4979" s="1">
        <v>11</v>
      </c>
      <c r="C4979" s="1" t="s">
        <v>9591</v>
      </c>
      <c r="D4979" s="1" t="s">
        <v>4319</v>
      </c>
      <c r="E4979" s="2">
        <v>45988</v>
      </c>
      <c r="F4979" s="1" t="s">
        <v>53</v>
      </c>
      <c r="G4979" s="1" t="s">
        <v>133</v>
      </c>
      <c r="H4979" s="1" t="s">
        <v>88</v>
      </c>
      <c r="I4979" s="1">
        <v>1</v>
      </c>
      <c r="J4979" s="3">
        <v>17036</v>
      </c>
      <c r="K4979" s="3">
        <v>16256</v>
      </c>
      <c r="L4979" s="1">
        <v>0</v>
      </c>
      <c r="M4979" s="4">
        <v>0</v>
      </c>
      <c r="N4979" s="1">
        <v>780</v>
      </c>
      <c r="O4979" s="4">
        <v>4.5999999999999999E-2</v>
      </c>
      <c r="P4979" s="1" t="s">
        <v>2721</v>
      </c>
    </row>
    <row r="4980" spans="1:16">
      <c r="A4980" s="1" t="s">
        <v>577</v>
      </c>
      <c r="B4980" s="1">
        <v>11</v>
      </c>
      <c r="C4980" s="1" t="s">
        <v>9592</v>
      </c>
      <c r="D4980" s="1" t="s">
        <v>8605</v>
      </c>
      <c r="E4980" s="2">
        <v>45988</v>
      </c>
      <c r="F4980" s="1" t="s">
        <v>292</v>
      </c>
      <c r="G4980" s="1" t="s">
        <v>293</v>
      </c>
      <c r="H4980" s="1" t="s">
        <v>1231</v>
      </c>
      <c r="I4980" s="1">
        <v>2</v>
      </c>
      <c r="J4980" s="3">
        <v>26541</v>
      </c>
      <c r="K4980" s="3">
        <v>25326</v>
      </c>
      <c r="L4980" s="1">
        <v>0</v>
      </c>
      <c r="M4980" s="4">
        <v>0</v>
      </c>
      <c r="N4980" s="3">
        <v>1215</v>
      </c>
      <c r="O4980" s="4">
        <v>4.5999999999999999E-2</v>
      </c>
      <c r="P4980" s="1" t="s">
        <v>2721</v>
      </c>
    </row>
    <row r="4981" spans="1:16">
      <c r="A4981" s="1" t="s">
        <v>577</v>
      </c>
      <c r="B4981" s="1">
        <v>11</v>
      </c>
      <c r="C4981" s="1" t="s">
        <v>9593</v>
      </c>
      <c r="D4981" s="1" t="s">
        <v>4908</v>
      </c>
      <c r="E4981" s="2">
        <v>45988</v>
      </c>
      <c r="F4981" s="1" t="s">
        <v>407</v>
      </c>
      <c r="G4981" s="1" t="s">
        <v>505</v>
      </c>
      <c r="H4981" s="1" t="s">
        <v>1322</v>
      </c>
      <c r="I4981" s="1">
        <v>1</v>
      </c>
      <c r="J4981" s="3">
        <v>23592</v>
      </c>
      <c r="K4981" s="3">
        <v>22512</v>
      </c>
      <c r="L4981" s="1">
        <v>0</v>
      </c>
      <c r="M4981" s="4">
        <v>0</v>
      </c>
      <c r="N4981" s="3">
        <v>1080</v>
      </c>
      <c r="O4981" s="4">
        <v>4.5999999999999999E-2</v>
      </c>
      <c r="P4981" s="1" t="s">
        <v>2721</v>
      </c>
    </row>
    <row r="4982" spans="1:16">
      <c r="A4982" s="1" t="s">
        <v>692</v>
      </c>
      <c r="B4982" s="1">
        <v>11</v>
      </c>
      <c r="C4982" s="1" t="s">
        <v>9594</v>
      </c>
      <c r="D4982" s="1" t="s">
        <v>9595</v>
      </c>
      <c r="E4982" s="2">
        <v>45988</v>
      </c>
      <c r="F4982" s="1" t="s">
        <v>151</v>
      </c>
      <c r="G4982" s="1" t="s">
        <v>9596</v>
      </c>
      <c r="H4982" s="1" t="s">
        <v>9597</v>
      </c>
      <c r="I4982" s="1">
        <v>1</v>
      </c>
      <c r="J4982" s="3">
        <v>15015</v>
      </c>
      <c r="K4982" s="3">
        <v>14070</v>
      </c>
      <c r="L4982" s="1">
        <v>0</v>
      </c>
      <c r="M4982" s="4">
        <v>0</v>
      </c>
      <c r="N4982" s="1">
        <v>945</v>
      </c>
      <c r="O4982" s="4">
        <v>6.3E-2</v>
      </c>
      <c r="P4982" s="1" t="s">
        <v>2721</v>
      </c>
    </row>
    <row r="4983" spans="1:16">
      <c r="A4983" s="1" t="s">
        <v>602</v>
      </c>
      <c r="B4983" s="1">
        <v>11</v>
      </c>
      <c r="C4983" s="1">
        <v>6100155192829</v>
      </c>
      <c r="D4983" s="1" t="s">
        <v>617</v>
      </c>
      <c r="E4983" s="2">
        <v>45988</v>
      </c>
      <c r="F4983" s="1" t="s">
        <v>604</v>
      </c>
      <c r="G4983" s="1" t="s">
        <v>618</v>
      </c>
      <c r="H4983" s="1" t="s">
        <v>9598</v>
      </c>
      <c r="I4983" s="1">
        <v>1</v>
      </c>
      <c r="J4983" s="3">
        <v>6600</v>
      </c>
      <c r="K4983" s="3">
        <v>5300</v>
      </c>
      <c r="L4983" s="1">
        <v>766</v>
      </c>
      <c r="M4983" s="4">
        <v>0.11600000000000001</v>
      </c>
      <c r="N4983" s="1">
        <v>534</v>
      </c>
      <c r="O4983" s="4">
        <v>8.1000000000000003E-2</v>
      </c>
      <c r="P4983" s="1" t="s">
        <v>2721</v>
      </c>
    </row>
    <row r="4984" spans="1:16">
      <c r="A4984" s="1" t="s">
        <v>602</v>
      </c>
      <c r="B4984" s="1">
        <v>11</v>
      </c>
      <c r="C4984" s="1">
        <v>16100155778618</v>
      </c>
      <c r="D4984" s="1" t="s">
        <v>621</v>
      </c>
      <c r="E4984" s="2">
        <v>45988</v>
      </c>
      <c r="F4984" s="1" t="s">
        <v>604</v>
      </c>
      <c r="G4984" s="1" t="s">
        <v>622</v>
      </c>
      <c r="H4984" s="1" t="s">
        <v>3012</v>
      </c>
      <c r="I4984" s="1">
        <v>1</v>
      </c>
      <c r="J4984" s="3">
        <v>8900</v>
      </c>
      <c r="K4984" s="3">
        <v>3675</v>
      </c>
      <c r="L4984" s="3">
        <v>1032</v>
      </c>
      <c r="M4984" s="4">
        <v>0.11600000000000001</v>
      </c>
      <c r="N4984" s="3">
        <v>4193</v>
      </c>
      <c r="O4984" s="4">
        <v>0.47099999999999997</v>
      </c>
      <c r="P4984" s="1" t="s">
        <v>2721</v>
      </c>
    </row>
    <row r="4985" spans="1:16">
      <c r="A4985" s="1" t="s">
        <v>602</v>
      </c>
      <c r="B4985" s="1">
        <v>11</v>
      </c>
      <c r="C4985" s="1">
        <v>4100155678983</v>
      </c>
      <c r="D4985" s="1" t="s">
        <v>621</v>
      </c>
      <c r="E4985" s="2">
        <v>45988</v>
      </c>
      <c r="F4985" s="1" t="s">
        <v>604</v>
      </c>
      <c r="G4985" s="1" t="s">
        <v>622</v>
      </c>
      <c r="H4985" s="1" t="s">
        <v>3012</v>
      </c>
      <c r="I4985" s="1">
        <v>1</v>
      </c>
      <c r="J4985" s="3">
        <v>8900</v>
      </c>
      <c r="K4985" s="3">
        <v>3675</v>
      </c>
      <c r="L4985" s="3">
        <v>1032</v>
      </c>
      <c r="M4985" s="4">
        <v>0.11600000000000001</v>
      </c>
      <c r="N4985" s="3">
        <v>4193</v>
      </c>
      <c r="O4985" s="4">
        <v>0.47099999999999997</v>
      </c>
      <c r="P4985" s="1" t="s">
        <v>2721</v>
      </c>
    </row>
    <row r="4986" spans="1:16">
      <c r="A4986" s="1" t="s">
        <v>602</v>
      </c>
      <c r="B4986" s="1">
        <v>11</v>
      </c>
      <c r="C4986" s="1">
        <v>26100155250659</v>
      </c>
      <c r="D4986" s="1" t="s">
        <v>607</v>
      </c>
      <c r="E4986" s="2">
        <v>45988</v>
      </c>
      <c r="F4986" s="1" t="s">
        <v>604</v>
      </c>
      <c r="G4986" s="1" t="s">
        <v>608</v>
      </c>
      <c r="H4986" s="1" t="s">
        <v>609</v>
      </c>
      <c r="I4986" s="1">
        <v>3</v>
      </c>
      <c r="J4986" s="3">
        <v>42800</v>
      </c>
      <c r="K4986" s="3">
        <v>32200</v>
      </c>
      <c r="L4986" s="3">
        <v>4965</v>
      </c>
      <c r="M4986" s="4">
        <v>0.11600000000000001</v>
      </c>
      <c r="N4986" s="3">
        <v>5635</v>
      </c>
      <c r="O4986" s="4">
        <v>0.13200000000000001</v>
      </c>
      <c r="P4986" s="1" t="s">
        <v>2721</v>
      </c>
    </row>
    <row r="4987" spans="1:16">
      <c r="A4987" s="1" t="s">
        <v>602</v>
      </c>
      <c r="B4987" s="1">
        <v>11</v>
      </c>
      <c r="C4987" s="1">
        <v>9100155287999</v>
      </c>
      <c r="D4987" s="1" t="s">
        <v>607</v>
      </c>
      <c r="E4987" s="2">
        <v>45988</v>
      </c>
      <c r="F4987" s="1" t="s">
        <v>604</v>
      </c>
      <c r="G4987" s="1" t="s">
        <v>608</v>
      </c>
      <c r="H4987" s="1" t="s">
        <v>609</v>
      </c>
      <c r="I4987" s="1">
        <v>6</v>
      </c>
      <c r="J4987" s="3">
        <v>85600</v>
      </c>
      <c r="K4987" s="3">
        <v>61900</v>
      </c>
      <c r="L4987" s="3">
        <v>9930</v>
      </c>
      <c r="M4987" s="4">
        <v>0.11600000000000001</v>
      </c>
      <c r="N4987" s="3">
        <v>13770</v>
      </c>
      <c r="O4987" s="4">
        <v>0.161</v>
      </c>
      <c r="P4987" s="1" t="s">
        <v>2721</v>
      </c>
    </row>
    <row r="4988" spans="1:16">
      <c r="A4988" s="1" t="s">
        <v>649</v>
      </c>
      <c r="B4988" s="1">
        <v>11</v>
      </c>
      <c r="C4988" s="1">
        <v>25112610381001</v>
      </c>
      <c r="D4988" s="1" t="s">
        <v>5892</v>
      </c>
      <c r="E4988" s="2">
        <v>45988</v>
      </c>
      <c r="F4988" s="1" t="s">
        <v>604</v>
      </c>
      <c r="G4988" s="1" t="s">
        <v>5893</v>
      </c>
      <c r="H4988" s="1" t="s">
        <v>9599</v>
      </c>
      <c r="I4988" s="1">
        <v>1</v>
      </c>
      <c r="J4988" s="3">
        <v>16066</v>
      </c>
      <c r="K4988" s="3">
        <v>14380</v>
      </c>
      <c r="L4988" s="1">
        <v>0</v>
      </c>
      <c r="M4988" s="4">
        <v>0</v>
      </c>
      <c r="N4988" s="3">
        <v>1686</v>
      </c>
      <c r="O4988" s="4">
        <v>0.105</v>
      </c>
      <c r="P4988" s="1" t="s">
        <v>2721</v>
      </c>
    </row>
    <row r="4989" spans="1:16">
      <c r="A4989" s="1" t="s">
        <v>620</v>
      </c>
      <c r="B4989" s="1">
        <v>11</v>
      </c>
      <c r="C4989" s="1">
        <v>4373308640</v>
      </c>
      <c r="D4989" s="1" t="s">
        <v>2624</v>
      </c>
      <c r="E4989" s="2">
        <v>45988</v>
      </c>
      <c r="F4989" s="1" t="s">
        <v>604</v>
      </c>
      <c r="G4989" s="1" t="s">
        <v>2625</v>
      </c>
      <c r="H4989" s="1" t="s">
        <v>9600</v>
      </c>
      <c r="I4989" s="1">
        <v>6</v>
      </c>
      <c r="J4989" s="3">
        <v>65800</v>
      </c>
      <c r="K4989" s="3">
        <v>45400</v>
      </c>
      <c r="L4989" s="3">
        <v>8554</v>
      </c>
      <c r="M4989" s="4">
        <v>0.13</v>
      </c>
      <c r="N4989" s="3">
        <v>11846</v>
      </c>
      <c r="O4989" s="4">
        <v>0.18</v>
      </c>
      <c r="P4989" s="1" t="s">
        <v>2721</v>
      </c>
    </row>
    <row r="4990" spans="1:16">
      <c r="A4990" s="1" t="s">
        <v>624</v>
      </c>
      <c r="B4990" s="1">
        <v>11</v>
      </c>
      <c r="C4990" s="1">
        <v>2025112616547030</v>
      </c>
      <c r="D4990" s="1" t="s">
        <v>9601</v>
      </c>
      <c r="E4990" s="2">
        <v>45988</v>
      </c>
      <c r="F4990" s="1" t="s">
        <v>604</v>
      </c>
      <c r="G4990" s="1" t="s">
        <v>9602</v>
      </c>
      <c r="H4990" s="1" t="s">
        <v>9603</v>
      </c>
      <c r="I4990" s="1">
        <v>1</v>
      </c>
      <c r="J4990" s="3">
        <v>8828</v>
      </c>
      <c r="K4990" s="3">
        <v>3675</v>
      </c>
      <c r="L4990" s="3">
        <v>1148</v>
      </c>
      <c r="M4990" s="4">
        <v>0.13</v>
      </c>
      <c r="N4990" s="3">
        <v>4005</v>
      </c>
      <c r="O4990" s="4">
        <v>0.45400000000000001</v>
      </c>
      <c r="P4990" s="1" t="s">
        <v>2721</v>
      </c>
    </row>
    <row r="4991" spans="1:16">
      <c r="A4991" s="1" t="s">
        <v>624</v>
      </c>
      <c r="B4991" s="1">
        <v>11</v>
      </c>
      <c r="C4991" s="1">
        <v>2025112716661240</v>
      </c>
      <c r="D4991" s="1" t="s">
        <v>9335</v>
      </c>
      <c r="E4991" s="2">
        <v>45988</v>
      </c>
      <c r="F4991" s="1" t="s">
        <v>604</v>
      </c>
      <c r="G4991" s="1" t="s">
        <v>9336</v>
      </c>
      <c r="H4991" s="1" t="s">
        <v>9604</v>
      </c>
      <c r="I4991" s="1">
        <v>1</v>
      </c>
      <c r="J4991" s="3">
        <v>14662</v>
      </c>
      <c r="K4991" s="3">
        <v>5748</v>
      </c>
      <c r="L4991" s="3">
        <v>1906</v>
      </c>
      <c r="M4991" s="4">
        <v>0.13</v>
      </c>
      <c r="N4991" s="3">
        <v>7008</v>
      </c>
      <c r="O4991" s="4">
        <v>0.47799999999999998</v>
      </c>
      <c r="P4991" s="1" t="s">
        <v>2721</v>
      </c>
    </row>
    <row r="4992" spans="1:16">
      <c r="A4992" s="1" t="s">
        <v>626</v>
      </c>
      <c r="B4992" s="1">
        <v>11</v>
      </c>
      <c r="C4992" s="1">
        <v>69473992</v>
      </c>
      <c r="D4992" s="1" t="s">
        <v>627</v>
      </c>
      <c r="E4992" s="2">
        <v>45988</v>
      </c>
      <c r="F4992" s="1" t="s">
        <v>604</v>
      </c>
      <c r="G4992" s="1" t="s">
        <v>628</v>
      </c>
      <c r="H4992" s="1" t="s">
        <v>5282</v>
      </c>
      <c r="I4992" s="1">
        <v>3</v>
      </c>
      <c r="J4992" s="3">
        <v>17700</v>
      </c>
      <c r="K4992" s="3">
        <v>5400</v>
      </c>
      <c r="L4992" s="3">
        <v>1947</v>
      </c>
      <c r="M4992" s="4">
        <v>0.11</v>
      </c>
      <c r="N4992" s="3">
        <v>10353</v>
      </c>
      <c r="O4992" s="4">
        <v>0.58499999999999996</v>
      </c>
      <c r="P4992" s="1" t="s">
        <v>2721</v>
      </c>
    </row>
    <row r="4993" spans="1:16">
      <c r="A4993" s="1" t="s">
        <v>630</v>
      </c>
      <c r="B4993" s="1">
        <v>11</v>
      </c>
      <c r="C4993" s="1">
        <v>1117566469497900</v>
      </c>
      <c r="D4993" s="1" t="s">
        <v>627</v>
      </c>
      <c r="E4993" s="2">
        <v>45988</v>
      </c>
      <c r="F4993" s="1" t="s">
        <v>604</v>
      </c>
      <c r="G4993" s="1" t="s">
        <v>628</v>
      </c>
      <c r="H4993" s="1" t="s">
        <v>631</v>
      </c>
      <c r="I4993" s="1">
        <v>6</v>
      </c>
      <c r="J4993" s="3">
        <v>37830</v>
      </c>
      <c r="K4993" s="3">
        <v>13300</v>
      </c>
      <c r="L4993" s="3">
        <v>2497</v>
      </c>
      <c r="M4993" s="4">
        <v>6.6000000000000003E-2</v>
      </c>
      <c r="N4993" s="3">
        <v>22033</v>
      </c>
      <c r="O4993" s="4">
        <v>0.58199999999999996</v>
      </c>
      <c r="P4993" s="1" t="s">
        <v>2721</v>
      </c>
    </row>
    <row r="4994" spans="1:16">
      <c r="A4994" s="1" t="s">
        <v>718</v>
      </c>
      <c r="B4994" s="1">
        <v>11</v>
      </c>
      <c r="C4994" s="1">
        <v>2.0251126233045101E+17</v>
      </c>
      <c r="D4994" s="1" t="s">
        <v>9605</v>
      </c>
      <c r="E4994" s="2">
        <v>45988</v>
      </c>
      <c r="F4994" s="1" t="s">
        <v>604</v>
      </c>
      <c r="G4994" s="1" t="s">
        <v>9606</v>
      </c>
      <c r="I4994" s="1">
        <v>1</v>
      </c>
      <c r="J4994" s="3">
        <v>8600</v>
      </c>
      <c r="K4994" s="3">
        <v>2500</v>
      </c>
      <c r="L4994" s="1">
        <v>860</v>
      </c>
      <c r="M4994" s="4">
        <v>0.1</v>
      </c>
      <c r="N4994" s="3">
        <v>5240</v>
      </c>
      <c r="O4994" s="4">
        <v>0.60899999999999999</v>
      </c>
      <c r="P4994" s="1" t="s">
        <v>2721</v>
      </c>
    </row>
    <row r="4995" spans="1:16">
      <c r="A4995" s="1" t="s">
        <v>739</v>
      </c>
      <c r="B4995" s="1">
        <v>11</v>
      </c>
      <c r="C4995" s="1">
        <v>31520030</v>
      </c>
      <c r="D4995" s="1" t="s">
        <v>1853</v>
      </c>
      <c r="E4995" s="2">
        <v>45988</v>
      </c>
      <c r="F4995" s="1" t="s">
        <v>604</v>
      </c>
      <c r="G4995" s="1" t="s">
        <v>1854</v>
      </c>
      <c r="H4995" s="1" t="s">
        <v>1855</v>
      </c>
      <c r="I4995" s="1">
        <v>1</v>
      </c>
      <c r="J4995" s="3">
        <v>8900</v>
      </c>
      <c r="K4995" s="3">
        <v>5026</v>
      </c>
      <c r="L4995" s="3">
        <v>1175</v>
      </c>
      <c r="M4995" s="4">
        <v>0.13200000000000001</v>
      </c>
      <c r="N4995" s="3">
        <v>2699</v>
      </c>
      <c r="O4995" s="4">
        <v>0.30299999999999999</v>
      </c>
      <c r="P4995" s="1" t="s">
        <v>2721</v>
      </c>
    </row>
    <row r="4996" spans="1:16">
      <c r="A4996" s="1" t="s">
        <v>602</v>
      </c>
      <c r="B4996" s="1">
        <v>11</v>
      </c>
      <c r="C4996" s="1">
        <v>29100155339361</v>
      </c>
      <c r="D4996" s="1" t="s">
        <v>1862</v>
      </c>
      <c r="E4996" s="2">
        <v>45988</v>
      </c>
      <c r="F4996" s="1" t="s">
        <v>235</v>
      </c>
      <c r="G4996" s="1" t="s">
        <v>1863</v>
      </c>
      <c r="H4996" s="1" t="s">
        <v>1864</v>
      </c>
      <c r="I4996" s="1">
        <v>1</v>
      </c>
      <c r="J4996" s="3">
        <v>14690</v>
      </c>
      <c r="K4996" s="3">
        <v>7739</v>
      </c>
      <c r="L4996" s="3">
        <v>1704</v>
      </c>
      <c r="M4996" s="4">
        <v>0.11600000000000001</v>
      </c>
      <c r="N4996" s="3">
        <v>5247</v>
      </c>
      <c r="O4996" s="4">
        <v>0.35699999999999998</v>
      </c>
      <c r="P4996" s="1" t="s">
        <v>2721</v>
      </c>
    </row>
    <row r="4997" spans="1:16">
      <c r="A4997" s="1" t="s">
        <v>602</v>
      </c>
      <c r="B4997" s="1">
        <v>11</v>
      </c>
      <c r="C4997" s="1">
        <v>31100155580305</v>
      </c>
      <c r="D4997" s="1" t="s">
        <v>1862</v>
      </c>
      <c r="E4997" s="2">
        <v>45988</v>
      </c>
      <c r="F4997" s="1" t="s">
        <v>235</v>
      </c>
      <c r="G4997" s="1" t="s">
        <v>1863</v>
      </c>
      <c r="H4997" s="1" t="s">
        <v>1864</v>
      </c>
      <c r="I4997" s="1">
        <v>1</v>
      </c>
      <c r="J4997" s="3">
        <v>14690</v>
      </c>
      <c r="K4997" s="3">
        <v>7739</v>
      </c>
      <c r="L4997" s="3">
        <v>1704</v>
      </c>
      <c r="M4997" s="4">
        <v>0.11600000000000001</v>
      </c>
      <c r="N4997" s="3">
        <v>5247</v>
      </c>
      <c r="O4997" s="4">
        <v>0.35699999999999998</v>
      </c>
      <c r="P4997" s="1" t="s">
        <v>2721</v>
      </c>
    </row>
    <row r="4998" spans="1:16">
      <c r="A4998" s="1" t="s">
        <v>649</v>
      </c>
      <c r="B4998" s="1">
        <v>11</v>
      </c>
      <c r="C4998" s="1">
        <v>25112623273599</v>
      </c>
      <c r="D4998" s="1" t="s">
        <v>9607</v>
      </c>
      <c r="E4998" s="2">
        <v>45988</v>
      </c>
      <c r="F4998" s="1" t="s">
        <v>347</v>
      </c>
      <c r="G4998" s="1" t="s">
        <v>9608</v>
      </c>
      <c r="H4998" s="1" t="s">
        <v>9609</v>
      </c>
      <c r="I4998" s="1">
        <v>1</v>
      </c>
      <c r="J4998" s="3">
        <v>19635</v>
      </c>
      <c r="K4998" s="3">
        <v>18404</v>
      </c>
      <c r="L4998" s="1">
        <v>0</v>
      </c>
      <c r="M4998" s="4">
        <v>0</v>
      </c>
      <c r="N4998" s="3">
        <v>1231</v>
      </c>
      <c r="O4998" s="4">
        <v>6.3E-2</v>
      </c>
      <c r="P4998" s="1" t="s">
        <v>2721</v>
      </c>
    </row>
    <row r="4999" spans="1:16">
      <c r="A4999" s="1" t="s">
        <v>649</v>
      </c>
      <c r="B4999" s="1">
        <v>11</v>
      </c>
      <c r="C4999" s="1">
        <v>25112619041234</v>
      </c>
      <c r="D4999" s="1" t="s">
        <v>3504</v>
      </c>
      <c r="E4999" s="2">
        <v>45988</v>
      </c>
      <c r="F4999" s="1" t="s">
        <v>347</v>
      </c>
      <c r="G4999" s="1" t="s">
        <v>3505</v>
      </c>
      <c r="H4999" s="1" t="s">
        <v>9610</v>
      </c>
      <c r="I4999" s="1">
        <v>1</v>
      </c>
      <c r="J4999" s="3">
        <v>23290</v>
      </c>
      <c r="K4999" s="3">
        <v>21780</v>
      </c>
      <c r="L4999" s="1">
        <v>0</v>
      </c>
      <c r="M4999" s="4">
        <v>0</v>
      </c>
      <c r="N4999" s="3">
        <v>1510</v>
      </c>
      <c r="O4999" s="4">
        <v>6.5000000000000002E-2</v>
      </c>
      <c r="P4999" s="1" t="s">
        <v>2721</v>
      </c>
    </row>
    <row r="5000" spans="1:16">
      <c r="A5000" s="1" t="s">
        <v>649</v>
      </c>
      <c r="B5000" s="1">
        <v>11</v>
      </c>
      <c r="C5000" s="1">
        <v>25112620452439</v>
      </c>
      <c r="D5000" s="1" t="s">
        <v>1959</v>
      </c>
      <c r="E5000" s="2">
        <v>45988</v>
      </c>
      <c r="F5000" s="1" t="s">
        <v>1513</v>
      </c>
      <c r="G5000" s="1" t="s">
        <v>1960</v>
      </c>
      <c r="H5000" s="1" t="s">
        <v>9611</v>
      </c>
      <c r="I5000" s="1">
        <v>1</v>
      </c>
      <c r="J5000" s="3">
        <v>10965</v>
      </c>
      <c r="K5000" s="3">
        <v>10100</v>
      </c>
      <c r="L5000" s="1">
        <v>0</v>
      </c>
      <c r="M5000" s="4">
        <v>0</v>
      </c>
      <c r="N5000" s="1">
        <v>865</v>
      </c>
      <c r="O5000" s="4">
        <v>7.9000000000000001E-2</v>
      </c>
      <c r="P5000" s="1" t="s">
        <v>2721</v>
      </c>
    </row>
    <row r="5001" spans="1:16">
      <c r="A5001" s="1" t="s">
        <v>649</v>
      </c>
      <c r="B5001" s="1">
        <v>11</v>
      </c>
      <c r="C5001" s="1">
        <v>25112620200015</v>
      </c>
      <c r="D5001" s="1" t="s">
        <v>9612</v>
      </c>
      <c r="E5001" s="2">
        <v>45988</v>
      </c>
      <c r="F5001" s="1" t="s">
        <v>660</v>
      </c>
      <c r="G5001" s="1" t="s">
        <v>9613</v>
      </c>
      <c r="H5001" s="1" t="s">
        <v>9614</v>
      </c>
      <c r="I5001" s="1">
        <v>1</v>
      </c>
      <c r="J5001" s="3">
        <v>56100</v>
      </c>
      <c r="K5001" s="3">
        <v>47838</v>
      </c>
      <c r="L5001" s="1">
        <v>0</v>
      </c>
      <c r="M5001" s="4">
        <v>0</v>
      </c>
      <c r="N5001" s="3">
        <v>8262</v>
      </c>
      <c r="O5001" s="4">
        <v>0.14699999999999999</v>
      </c>
      <c r="P5001" s="1" t="s">
        <v>2721</v>
      </c>
    </row>
    <row r="5002" spans="1:16">
      <c r="A5002" s="1" t="s">
        <v>649</v>
      </c>
      <c r="B5002" s="1">
        <v>11</v>
      </c>
      <c r="C5002" s="1">
        <v>25112615571026</v>
      </c>
      <c r="D5002" s="1" t="s">
        <v>2704</v>
      </c>
      <c r="E5002" s="2">
        <v>45988</v>
      </c>
      <c r="F5002" s="1" t="s">
        <v>48</v>
      </c>
      <c r="G5002" s="1" t="s">
        <v>2705</v>
      </c>
      <c r="H5002" s="1" t="s">
        <v>8031</v>
      </c>
      <c r="I5002" s="1">
        <v>1</v>
      </c>
      <c r="J5002" s="3">
        <v>8041</v>
      </c>
      <c r="K5002" s="3">
        <v>6817</v>
      </c>
      <c r="L5002" s="1">
        <v>0</v>
      </c>
      <c r="M5002" s="4">
        <v>0</v>
      </c>
      <c r="N5002" s="3">
        <v>1224</v>
      </c>
      <c r="O5002" s="4">
        <v>0.152</v>
      </c>
      <c r="P5002" s="1" t="s">
        <v>2721</v>
      </c>
    </row>
    <row r="5003" spans="1:16">
      <c r="A5003" s="1" t="s">
        <v>649</v>
      </c>
      <c r="B5003" s="1">
        <v>11</v>
      </c>
      <c r="C5003" s="1">
        <v>25112614000311</v>
      </c>
      <c r="D5003" s="1" t="s">
        <v>4384</v>
      </c>
      <c r="E5003" s="2">
        <v>45988</v>
      </c>
      <c r="F5003" s="1" t="s">
        <v>48</v>
      </c>
      <c r="G5003" s="1" t="s">
        <v>4385</v>
      </c>
      <c r="H5003" s="1" t="s">
        <v>4386</v>
      </c>
      <c r="I5003" s="1">
        <v>1</v>
      </c>
      <c r="J5003" s="3">
        <v>18700</v>
      </c>
      <c r="K5003" s="3">
        <v>15899</v>
      </c>
      <c r="L5003" s="1">
        <v>0</v>
      </c>
      <c r="M5003" s="4">
        <v>0</v>
      </c>
      <c r="N5003" s="3">
        <v>2801</v>
      </c>
      <c r="O5003" s="4">
        <v>0.15</v>
      </c>
      <c r="P5003" s="1" t="s">
        <v>2721</v>
      </c>
    </row>
    <row r="5004" spans="1:16">
      <c r="A5004" s="1" t="s">
        <v>649</v>
      </c>
      <c r="B5004" s="1">
        <v>11</v>
      </c>
      <c r="C5004" s="1">
        <v>25112613160090</v>
      </c>
      <c r="D5004" s="1" t="s">
        <v>769</v>
      </c>
      <c r="E5004" s="2">
        <v>45988</v>
      </c>
      <c r="F5004" s="1" t="s">
        <v>48</v>
      </c>
      <c r="G5004" s="1" t="s">
        <v>770</v>
      </c>
      <c r="H5004" s="1" t="s">
        <v>5898</v>
      </c>
      <c r="I5004" s="1">
        <v>1</v>
      </c>
      <c r="J5004" s="3">
        <v>14680</v>
      </c>
      <c r="K5004" s="3">
        <v>12513</v>
      </c>
      <c r="L5004" s="1">
        <v>0</v>
      </c>
      <c r="M5004" s="4">
        <v>0</v>
      </c>
      <c r="N5004" s="3">
        <v>2167</v>
      </c>
      <c r="O5004" s="4">
        <v>0.14799999999999999</v>
      </c>
      <c r="P5004" s="1" t="s">
        <v>2721</v>
      </c>
    </row>
    <row r="5005" spans="1:16">
      <c r="A5005" s="1" t="s">
        <v>649</v>
      </c>
      <c r="B5005" s="1">
        <v>11</v>
      </c>
      <c r="C5005" s="1">
        <v>25112609404283</v>
      </c>
      <c r="D5005" s="1" t="s">
        <v>4440</v>
      </c>
      <c r="E5005" s="2">
        <v>45988</v>
      </c>
      <c r="F5005" s="1" t="s">
        <v>2636</v>
      </c>
      <c r="G5005" s="1" t="s">
        <v>4441</v>
      </c>
      <c r="H5005" s="1" t="s">
        <v>9615</v>
      </c>
      <c r="I5005" s="1">
        <v>1</v>
      </c>
      <c r="J5005" s="3">
        <v>8041</v>
      </c>
      <c r="K5005" s="3">
        <v>6847</v>
      </c>
      <c r="L5005" s="1">
        <v>0</v>
      </c>
      <c r="M5005" s="4">
        <v>0</v>
      </c>
      <c r="N5005" s="3">
        <v>1194</v>
      </c>
      <c r="O5005" s="4">
        <v>0.14799999999999999</v>
      </c>
      <c r="P5005" s="1" t="s">
        <v>2721</v>
      </c>
    </row>
    <row r="5006" spans="1:16">
      <c r="A5006" s="1" t="s">
        <v>649</v>
      </c>
      <c r="B5006" s="1">
        <v>11</v>
      </c>
      <c r="C5006" s="1">
        <v>25112609253242</v>
      </c>
      <c r="D5006" s="1" t="s">
        <v>9616</v>
      </c>
      <c r="E5006" s="2">
        <v>45988</v>
      </c>
      <c r="F5006" s="1" t="s">
        <v>1665</v>
      </c>
      <c r="G5006" s="1" t="s">
        <v>9617</v>
      </c>
      <c r="H5006" s="1" t="s">
        <v>9618</v>
      </c>
      <c r="I5006" s="1">
        <v>1</v>
      </c>
      <c r="J5006" s="3">
        <v>33320</v>
      </c>
      <c r="K5006" s="3">
        <v>19323</v>
      </c>
      <c r="L5006" s="1">
        <v>0</v>
      </c>
      <c r="M5006" s="4">
        <v>0</v>
      </c>
      <c r="N5006" s="3">
        <v>13997</v>
      </c>
      <c r="O5006" s="4">
        <v>0.42</v>
      </c>
      <c r="P5006" s="1" t="s">
        <v>2721</v>
      </c>
    </row>
    <row r="5007" spans="1:16">
      <c r="A5007" s="1" t="s">
        <v>649</v>
      </c>
      <c r="B5007" s="1">
        <v>11</v>
      </c>
      <c r="C5007" s="1">
        <v>25112609062723</v>
      </c>
      <c r="D5007" s="1" t="s">
        <v>3429</v>
      </c>
      <c r="E5007" s="2">
        <v>45988</v>
      </c>
      <c r="F5007" s="1" t="s">
        <v>48</v>
      </c>
      <c r="G5007" s="1" t="s">
        <v>3430</v>
      </c>
      <c r="H5007" s="1" t="s">
        <v>3431</v>
      </c>
      <c r="I5007" s="1">
        <v>1</v>
      </c>
      <c r="J5007" s="3">
        <v>12997</v>
      </c>
      <c r="K5007" s="3">
        <v>11068</v>
      </c>
      <c r="L5007" s="1">
        <v>0</v>
      </c>
      <c r="M5007" s="4">
        <v>0</v>
      </c>
      <c r="N5007" s="3">
        <v>1929</v>
      </c>
      <c r="O5007" s="4">
        <v>0.14799999999999999</v>
      </c>
      <c r="P5007" s="1" t="s">
        <v>2721</v>
      </c>
    </row>
    <row r="5008" spans="1:16">
      <c r="A5008" s="1" t="s">
        <v>1917</v>
      </c>
      <c r="B5008" s="1">
        <v>11</v>
      </c>
      <c r="C5008" s="1">
        <v>1.18181764130213E+20</v>
      </c>
      <c r="D5008" s="1" t="s">
        <v>9619</v>
      </c>
      <c r="E5008" s="2">
        <v>45988</v>
      </c>
      <c r="F5008" s="1" t="s">
        <v>1956</v>
      </c>
      <c r="G5008" s="1" t="s">
        <v>9620</v>
      </c>
      <c r="H5008" s="1" t="s">
        <v>9621</v>
      </c>
      <c r="I5008" s="1">
        <v>1</v>
      </c>
      <c r="J5008" s="3">
        <v>54400</v>
      </c>
      <c r="K5008" s="3">
        <v>45024</v>
      </c>
      <c r="L5008" s="1">
        <v>0</v>
      </c>
      <c r="M5008" s="4">
        <v>0</v>
      </c>
      <c r="N5008" s="3">
        <v>9376</v>
      </c>
      <c r="O5008" s="4">
        <v>0.17199999999999999</v>
      </c>
      <c r="P5008" s="1" t="s">
        <v>2721</v>
      </c>
    </row>
    <row r="5009" spans="1:16">
      <c r="A5009" s="1" t="s">
        <v>1917</v>
      </c>
      <c r="B5009" s="1">
        <v>11</v>
      </c>
      <c r="C5009" s="1">
        <v>1.1814176412552E+20</v>
      </c>
      <c r="D5009" s="1" t="s">
        <v>9622</v>
      </c>
      <c r="E5009" s="2">
        <v>45988</v>
      </c>
      <c r="F5009" s="1" t="s">
        <v>524</v>
      </c>
      <c r="G5009" s="1" t="s">
        <v>9623</v>
      </c>
      <c r="H5009" s="1" t="s">
        <v>9624</v>
      </c>
      <c r="I5009" s="1">
        <v>1</v>
      </c>
      <c r="J5009" s="3">
        <v>59310</v>
      </c>
      <c r="K5009" s="3">
        <v>49600</v>
      </c>
      <c r="L5009" s="1">
        <v>0</v>
      </c>
      <c r="M5009" s="4">
        <v>0</v>
      </c>
      <c r="N5009" s="3">
        <v>9710</v>
      </c>
      <c r="O5009" s="4">
        <v>0.16400000000000001</v>
      </c>
      <c r="P5009" s="1" t="s">
        <v>2721</v>
      </c>
    </row>
    <row r="5010" spans="1:16">
      <c r="A5010" s="1" t="s">
        <v>692</v>
      </c>
      <c r="B5010" s="1">
        <v>11</v>
      </c>
      <c r="C5010" s="1" t="s">
        <v>9625</v>
      </c>
      <c r="D5010" s="1" t="s">
        <v>2048</v>
      </c>
      <c r="E5010" s="2">
        <v>45988</v>
      </c>
      <c r="F5010" s="1" t="s">
        <v>96</v>
      </c>
      <c r="G5010" s="1" t="s">
        <v>2049</v>
      </c>
      <c r="H5010" s="1" t="s">
        <v>1321</v>
      </c>
      <c r="I5010" s="1">
        <v>1</v>
      </c>
      <c r="J5010" s="3">
        <v>8925</v>
      </c>
      <c r="K5010" s="3">
        <v>8112</v>
      </c>
      <c r="L5010" s="1">
        <v>0</v>
      </c>
      <c r="M5010" s="4">
        <v>0</v>
      </c>
      <c r="N5010" s="1">
        <v>813</v>
      </c>
      <c r="O5010" s="4">
        <v>9.0999999999999998E-2</v>
      </c>
      <c r="P5010" s="1" t="s">
        <v>2721</v>
      </c>
    </row>
    <row r="5011" spans="1:16">
      <c r="A5011" s="1" t="s">
        <v>692</v>
      </c>
      <c r="B5011" s="1">
        <v>11</v>
      </c>
      <c r="C5011" s="1" t="s">
        <v>9626</v>
      </c>
      <c r="D5011" s="1" t="s">
        <v>694</v>
      </c>
      <c r="E5011" s="2">
        <v>45988</v>
      </c>
      <c r="F5011" s="1" t="s">
        <v>96</v>
      </c>
      <c r="G5011" s="1" t="s">
        <v>695</v>
      </c>
      <c r="H5011" s="1" t="s">
        <v>696</v>
      </c>
      <c r="I5011" s="1">
        <v>1</v>
      </c>
      <c r="J5011" s="3">
        <v>16065</v>
      </c>
      <c r="K5011" s="3">
        <v>14584</v>
      </c>
      <c r="L5011" s="1">
        <v>0</v>
      </c>
      <c r="M5011" s="4">
        <v>0</v>
      </c>
      <c r="N5011" s="3">
        <v>1481</v>
      </c>
      <c r="O5011" s="4">
        <v>9.1999999999999998E-2</v>
      </c>
      <c r="P5011" s="1" t="s">
        <v>2721</v>
      </c>
    </row>
    <row r="5012" spans="1:16">
      <c r="A5012" s="1" t="s">
        <v>707</v>
      </c>
      <c r="B5012" s="1">
        <v>11</v>
      </c>
      <c r="C5012" s="1">
        <v>2.0251126095131699E+17</v>
      </c>
      <c r="D5012" s="1" t="s">
        <v>9627</v>
      </c>
      <c r="E5012" s="2">
        <v>45988</v>
      </c>
      <c r="F5012" s="1" t="s">
        <v>347</v>
      </c>
      <c r="G5012" s="1" t="s">
        <v>9628</v>
      </c>
      <c r="H5012" s="1" t="s">
        <v>9629</v>
      </c>
      <c r="I5012" s="1">
        <v>1</v>
      </c>
      <c r="J5012" s="3">
        <v>30700</v>
      </c>
      <c r="K5012" s="3">
        <v>23863</v>
      </c>
      <c r="L5012" s="3">
        <v>4605</v>
      </c>
      <c r="M5012" s="4">
        <v>0.15</v>
      </c>
      <c r="N5012" s="3">
        <v>2232</v>
      </c>
      <c r="O5012" s="4">
        <v>7.2999999999999995E-2</v>
      </c>
      <c r="P5012" s="1" t="s">
        <v>2721</v>
      </c>
    </row>
    <row r="5013" spans="1:16">
      <c r="A5013" s="1" t="s">
        <v>707</v>
      </c>
      <c r="B5013" s="1">
        <v>11</v>
      </c>
      <c r="C5013" s="1">
        <v>2.0251126185818099E+17</v>
      </c>
      <c r="D5013" s="1" t="s">
        <v>9630</v>
      </c>
      <c r="E5013" s="2">
        <v>45988</v>
      </c>
      <c r="F5013" s="1" t="s">
        <v>91</v>
      </c>
      <c r="G5013" s="1" t="s">
        <v>9631</v>
      </c>
      <c r="H5013" s="1" t="s">
        <v>9632</v>
      </c>
      <c r="I5013" s="1">
        <v>2</v>
      </c>
      <c r="J5013" s="3">
        <v>34400</v>
      </c>
      <c r="K5013" s="3">
        <v>25814</v>
      </c>
      <c r="L5013" s="3">
        <v>5160</v>
      </c>
      <c r="M5013" s="4">
        <v>0.15</v>
      </c>
      <c r="N5013" s="3">
        <v>3426</v>
      </c>
      <c r="O5013" s="4">
        <v>0.1</v>
      </c>
      <c r="P5013" s="1" t="s">
        <v>2721</v>
      </c>
    </row>
    <row r="5014" spans="1:16">
      <c r="A5014" s="1" t="s">
        <v>707</v>
      </c>
      <c r="B5014" s="1">
        <v>11</v>
      </c>
      <c r="C5014" s="1">
        <v>2.0251127000947299E+17</v>
      </c>
      <c r="D5014" s="1" t="s">
        <v>9633</v>
      </c>
      <c r="E5014" s="2">
        <v>45988</v>
      </c>
      <c r="F5014" s="1" t="s">
        <v>235</v>
      </c>
      <c r="G5014" s="1" t="s">
        <v>9634</v>
      </c>
      <c r="H5014" s="1" t="s">
        <v>9635</v>
      </c>
      <c r="I5014" s="1">
        <v>1</v>
      </c>
      <c r="J5014" s="3">
        <v>14600</v>
      </c>
      <c r="K5014" s="3">
        <v>10010</v>
      </c>
      <c r="L5014" s="3">
        <v>2190</v>
      </c>
      <c r="M5014" s="4">
        <v>0.15</v>
      </c>
      <c r="N5014" s="3">
        <v>2400</v>
      </c>
      <c r="O5014" s="4">
        <v>0.16400000000000001</v>
      </c>
      <c r="P5014" s="1" t="s">
        <v>2721</v>
      </c>
    </row>
    <row r="5015" spans="1:16">
      <c r="A5015" s="1" t="s">
        <v>707</v>
      </c>
      <c r="B5015" s="1">
        <v>11</v>
      </c>
      <c r="C5015" s="1">
        <v>2.0251127000947299E+17</v>
      </c>
      <c r="D5015" s="1" t="s">
        <v>3466</v>
      </c>
      <c r="E5015" s="2">
        <v>45988</v>
      </c>
      <c r="F5015" s="1" t="s">
        <v>235</v>
      </c>
      <c r="G5015" s="1" t="s">
        <v>3467</v>
      </c>
      <c r="H5015" s="1" t="s">
        <v>3468</v>
      </c>
      <c r="I5015" s="1">
        <v>1</v>
      </c>
      <c r="J5015" s="3">
        <v>14600</v>
      </c>
      <c r="K5015" s="3">
        <v>10010</v>
      </c>
      <c r="L5015" s="3">
        <v>2190</v>
      </c>
      <c r="M5015" s="4">
        <v>0.15</v>
      </c>
      <c r="N5015" s="3">
        <v>2400</v>
      </c>
      <c r="O5015" s="4">
        <v>0.16400000000000001</v>
      </c>
      <c r="P5015" s="1" t="s">
        <v>2721</v>
      </c>
    </row>
    <row r="5016" spans="1:16">
      <c r="A5016" s="1" t="s">
        <v>707</v>
      </c>
      <c r="B5016" s="1">
        <v>11</v>
      </c>
      <c r="C5016" s="1">
        <v>2.0251127083700998E+17</v>
      </c>
      <c r="D5016" s="1" t="s">
        <v>2071</v>
      </c>
      <c r="E5016" s="2">
        <v>45988</v>
      </c>
      <c r="F5016" s="1" t="s">
        <v>235</v>
      </c>
      <c r="G5016" s="1" t="s">
        <v>2072</v>
      </c>
      <c r="H5016" s="1" t="s">
        <v>2073</v>
      </c>
      <c r="I5016" s="1">
        <v>1</v>
      </c>
      <c r="J5016" s="3">
        <v>9800</v>
      </c>
      <c r="K5016" s="3">
        <v>7739</v>
      </c>
      <c r="L5016" s="3">
        <v>1470</v>
      </c>
      <c r="M5016" s="4">
        <v>0.15</v>
      </c>
      <c r="N5016" s="1">
        <v>591</v>
      </c>
      <c r="O5016" s="4">
        <v>0.06</v>
      </c>
      <c r="P5016" s="1" t="s">
        <v>2721</v>
      </c>
    </row>
    <row r="5017" spans="1:16">
      <c r="A5017" s="1" t="s">
        <v>707</v>
      </c>
      <c r="B5017" s="1">
        <v>11</v>
      </c>
      <c r="C5017" s="1">
        <v>2.0251127083812E+17</v>
      </c>
      <c r="D5017" s="1" t="s">
        <v>2071</v>
      </c>
      <c r="E5017" s="2">
        <v>45988</v>
      </c>
      <c r="F5017" s="1" t="s">
        <v>235</v>
      </c>
      <c r="G5017" s="1" t="s">
        <v>2072</v>
      </c>
      <c r="H5017" s="1" t="s">
        <v>2073</v>
      </c>
      <c r="I5017" s="1">
        <v>1</v>
      </c>
      <c r="J5017" s="3">
        <v>9800</v>
      </c>
      <c r="K5017" s="3">
        <v>7739</v>
      </c>
      <c r="L5017" s="3">
        <v>1470</v>
      </c>
      <c r="M5017" s="4">
        <v>0.15</v>
      </c>
      <c r="N5017" s="1">
        <v>591</v>
      </c>
      <c r="O5017" s="4">
        <v>0.06</v>
      </c>
      <c r="P5017" s="1" t="s">
        <v>2721</v>
      </c>
    </row>
    <row r="5018" spans="1:16">
      <c r="A5018" s="1" t="s">
        <v>707</v>
      </c>
      <c r="B5018" s="1">
        <v>11</v>
      </c>
      <c r="C5018" s="1">
        <v>2.0251127083912E+17</v>
      </c>
      <c r="D5018" s="1" t="s">
        <v>2071</v>
      </c>
      <c r="E5018" s="2">
        <v>45988</v>
      </c>
      <c r="F5018" s="1" t="s">
        <v>235</v>
      </c>
      <c r="G5018" s="1" t="s">
        <v>2072</v>
      </c>
      <c r="H5018" s="1" t="s">
        <v>2073</v>
      </c>
      <c r="I5018" s="1">
        <v>1</v>
      </c>
      <c r="J5018" s="3">
        <v>9800</v>
      </c>
      <c r="K5018" s="3">
        <v>7739</v>
      </c>
      <c r="L5018" s="3">
        <v>1470</v>
      </c>
      <c r="M5018" s="4">
        <v>0.15</v>
      </c>
      <c r="N5018" s="1">
        <v>591</v>
      </c>
      <c r="O5018" s="4">
        <v>0.06</v>
      </c>
      <c r="P5018" s="1" t="s">
        <v>2721</v>
      </c>
    </row>
    <row r="5019" spans="1:16">
      <c r="A5019" s="1" t="s">
        <v>711</v>
      </c>
      <c r="B5019" s="1">
        <v>11</v>
      </c>
      <c r="C5019" s="1">
        <v>2.0251126101941901E+17</v>
      </c>
      <c r="D5019" s="1" t="s">
        <v>2086</v>
      </c>
      <c r="E5019" s="2">
        <v>45988</v>
      </c>
      <c r="F5019" s="1" t="s">
        <v>58</v>
      </c>
      <c r="G5019" s="1" t="s">
        <v>2087</v>
      </c>
      <c r="H5019" s="1" t="s">
        <v>2088</v>
      </c>
      <c r="I5019" s="1">
        <v>1</v>
      </c>
      <c r="J5019" s="3">
        <v>28000</v>
      </c>
      <c r="K5019" s="3">
        <v>20167</v>
      </c>
      <c r="L5019" s="3">
        <v>4200</v>
      </c>
      <c r="M5019" s="4">
        <v>0.15</v>
      </c>
      <c r="N5019" s="3">
        <v>3633</v>
      </c>
      <c r="O5019" s="4">
        <v>0.13</v>
      </c>
      <c r="P5019" s="1" t="s">
        <v>2721</v>
      </c>
    </row>
    <row r="5020" spans="1:16">
      <c r="A5020" s="1" t="s">
        <v>711</v>
      </c>
      <c r="B5020" s="1">
        <v>11</v>
      </c>
      <c r="C5020" s="1">
        <v>2.0251127084124998E+17</v>
      </c>
      <c r="D5020" s="1" t="s">
        <v>9636</v>
      </c>
      <c r="E5020" s="2">
        <v>45988</v>
      </c>
      <c r="F5020" s="1" t="s">
        <v>58</v>
      </c>
      <c r="G5020" s="1" t="s">
        <v>9637</v>
      </c>
      <c r="H5020" s="1" t="s">
        <v>9638</v>
      </c>
      <c r="I5020" s="1">
        <v>1</v>
      </c>
      <c r="J5020" s="3">
        <v>28000</v>
      </c>
      <c r="K5020" s="3">
        <v>20167</v>
      </c>
      <c r="L5020" s="3">
        <v>4200</v>
      </c>
      <c r="M5020" s="4">
        <v>0.15</v>
      </c>
      <c r="N5020" s="3">
        <v>3633</v>
      </c>
      <c r="O5020" s="4">
        <v>0.13</v>
      </c>
      <c r="P5020" s="1" t="s">
        <v>2721</v>
      </c>
    </row>
    <row r="5021" spans="1:16">
      <c r="A5021" s="1" t="s">
        <v>718</v>
      </c>
      <c r="B5021" s="1">
        <v>11</v>
      </c>
      <c r="C5021" s="1">
        <v>2.0251127075428198E+17</v>
      </c>
      <c r="D5021" s="1" t="s">
        <v>9639</v>
      </c>
      <c r="E5021" s="2">
        <v>45988</v>
      </c>
      <c r="F5021" s="1" t="s">
        <v>33</v>
      </c>
      <c r="G5021" s="1" t="s">
        <v>9640</v>
      </c>
      <c r="H5021" s="1" t="s">
        <v>9641</v>
      </c>
      <c r="I5021" s="1">
        <v>1</v>
      </c>
      <c r="J5021" s="3">
        <v>77800</v>
      </c>
      <c r="K5021" s="3">
        <v>58833</v>
      </c>
      <c r="L5021" s="3">
        <v>7780</v>
      </c>
      <c r="M5021" s="4">
        <v>0.1</v>
      </c>
      <c r="N5021" s="3">
        <v>11187</v>
      </c>
      <c r="O5021" s="4">
        <v>0.14399999999999999</v>
      </c>
      <c r="P5021" s="1" t="s">
        <v>2721</v>
      </c>
    </row>
    <row r="5022" spans="1:16">
      <c r="A5022" s="1" t="s">
        <v>718</v>
      </c>
      <c r="B5022" s="1">
        <v>11</v>
      </c>
      <c r="C5022" s="1">
        <v>2.0251127071813901E+17</v>
      </c>
      <c r="D5022" s="1" t="s">
        <v>2089</v>
      </c>
      <c r="E5022" s="2">
        <v>45988</v>
      </c>
      <c r="F5022" s="1" t="s">
        <v>1935</v>
      </c>
      <c r="G5022" s="1" t="s">
        <v>2090</v>
      </c>
      <c r="H5022" s="1" t="s">
        <v>2091</v>
      </c>
      <c r="I5022" s="1">
        <v>1</v>
      </c>
      <c r="J5022" s="3">
        <v>19900</v>
      </c>
      <c r="K5022" s="3">
        <v>16884</v>
      </c>
      <c r="L5022" s="3">
        <v>1990</v>
      </c>
      <c r="M5022" s="4">
        <v>0.1</v>
      </c>
      <c r="N5022" s="3">
        <v>1026</v>
      </c>
      <c r="O5022" s="4">
        <v>5.1999999999999998E-2</v>
      </c>
      <c r="P5022" s="1" t="s">
        <v>2721</v>
      </c>
    </row>
    <row r="5023" spans="1:16">
      <c r="A5023" s="1" t="s">
        <v>718</v>
      </c>
      <c r="B5023" s="1">
        <v>11</v>
      </c>
      <c r="C5023" s="1">
        <v>2.0251126233255901E+17</v>
      </c>
      <c r="D5023" s="1" t="s">
        <v>667</v>
      </c>
      <c r="E5023" s="2">
        <v>45988</v>
      </c>
      <c r="F5023" s="1" t="s">
        <v>48</v>
      </c>
      <c r="G5023" s="1" t="s">
        <v>668</v>
      </c>
      <c r="H5023" s="1" t="s">
        <v>9642</v>
      </c>
      <c r="I5023" s="1">
        <v>1</v>
      </c>
      <c r="J5023" s="3">
        <v>10600</v>
      </c>
      <c r="K5023" s="3">
        <v>7680</v>
      </c>
      <c r="L5023" s="3">
        <v>1060</v>
      </c>
      <c r="M5023" s="4">
        <v>0.1</v>
      </c>
      <c r="N5023" s="3">
        <v>1860</v>
      </c>
      <c r="O5023" s="4">
        <v>0.17499999999999999</v>
      </c>
      <c r="P5023" s="1" t="s">
        <v>2721</v>
      </c>
    </row>
    <row r="5024" spans="1:16">
      <c r="A5024" s="1" t="s">
        <v>718</v>
      </c>
      <c r="B5024" s="1">
        <v>11</v>
      </c>
      <c r="C5024" s="1">
        <v>2.02511262332264E+17</v>
      </c>
      <c r="D5024" s="1" t="s">
        <v>1862</v>
      </c>
      <c r="E5024" s="2">
        <v>45988</v>
      </c>
      <c r="F5024" s="1" t="s">
        <v>235</v>
      </c>
      <c r="G5024" s="1" t="s">
        <v>1863</v>
      </c>
      <c r="H5024" s="1" t="s">
        <v>8743</v>
      </c>
      <c r="I5024" s="1">
        <v>1</v>
      </c>
      <c r="J5024" s="3">
        <v>11000</v>
      </c>
      <c r="K5024" s="3">
        <v>7739</v>
      </c>
      <c r="L5024" s="3">
        <v>1100</v>
      </c>
      <c r="M5024" s="4">
        <v>0.1</v>
      </c>
      <c r="N5024" s="3">
        <v>2161</v>
      </c>
      <c r="O5024" s="4">
        <v>0.19600000000000001</v>
      </c>
      <c r="P5024" s="1" t="s">
        <v>2721</v>
      </c>
    </row>
    <row r="5025" spans="1:16">
      <c r="A5025" s="1" t="s">
        <v>718</v>
      </c>
      <c r="B5025" s="1">
        <v>11</v>
      </c>
      <c r="C5025" s="1">
        <v>2.0251126201551398E+17</v>
      </c>
      <c r="D5025" s="1" t="s">
        <v>2096</v>
      </c>
      <c r="E5025" s="2">
        <v>45988</v>
      </c>
      <c r="F5025" s="1" t="s">
        <v>1935</v>
      </c>
      <c r="G5025" s="1" t="s">
        <v>2097</v>
      </c>
      <c r="H5025" s="1" t="s">
        <v>2098</v>
      </c>
      <c r="I5025" s="1">
        <v>1</v>
      </c>
      <c r="J5025" s="3">
        <v>10000</v>
      </c>
      <c r="K5025" s="3">
        <v>7504</v>
      </c>
      <c r="L5025" s="3">
        <v>1000</v>
      </c>
      <c r="M5025" s="4">
        <v>0.1</v>
      </c>
      <c r="N5025" s="3">
        <v>1496</v>
      </c>
      <c r="O5025" s="4">
        <v>0.15</v>
      </c>
      <c r="P5025" s="1" t="s">
        <v>2721</v>
      </c>
    </row>
    <row r="5026" spans="1:16">
      <c r="A5026" s="1" t="s">
        <v>718</v>
      </c>
      <c r="B5026" s="1">
        <v>11</v>
      </c>
      <c r="C5026" s="1">
        <v>2.02511262001036E+17</v>
      </c>
      <c r="D5026" s="1" t="s">
        <v>5659</v>
      </c>
      <c r="E5026" s="2">
        <v>45988</v>
      </c>
      <c r="F5026" s="1" t="s">
        <v>3509</v>
      </c>
      <c r="G5026" s="1" t="s">
        <v>5660</v>
      </c>
      <c r="H5026" s="1" t="s">
        <v>9643</v>
      </c>
      <c r="I5026" s="1">
        <v>1</v>
      </c>
      <c r="J5026" s="3">
        <v>17900</v>
      </c>
      <c r="K5026" s="3">
        <v>13038</v>
      </c>
      <c r="L5026" s="3">
        <v>1790</v>
      </c>
      <c r="M5026" s="4">
        <v>0.1</v>
      </c>
      <c r="N5026" s="3">
        <v>3072</v>
      </c>
      <c r="O5026" s="4">
        <v>0.17199999999999999</v>
      </c>
      <c r="P5026" s="1" t="s">
        <v>2721</v>
      </c>
    </row>
    <row r="5027" spans="1:16">
      <c r="A5027" s="1" t="s">
        <v>718</v>
      </c>
      <c r="B5027" s="1">
        <v>11</v>
      </c>
      <c r="C5027" s="1">
        <v>2.0251126185122301E+17</v>
      </c>
      <c r="D5027" s="1" t="s">
        <v>2093</v>
      </c>
      <c r="E5027" s="2">
        <v>45988</v>
      </c>
      <c r="F5027" s="1" t="s">
        <v>1935</v>
      </c>
      <c r="G5027" s="1" t="s">
        <v>2094</v>
      </c>
      <c r="H5027" s="1" t="s">
        <v>2095</v>
      </c>
      <c r="I5027" s="1">
        <v>1</v>
      </c>
      <c r="J5027" s="3">
        <v>12900</v>
      </c>
      <c r="K5027" s="3">
        <v>11247</v>
      </c>
      <c r="L5027" s="3">
        <v>1290</v>
      </c>
      <c r="M5027" s="4">
        <v>0.1</v>
      </c>
      <c r="N5027" s="1">
        <v>363</v>
      </c>
      <c r="O5027" s="4">
        <v>2.8000000000000001E-2</v>
      </c>
      <c r="P5027" s="1" t="s">
        <v>2721</v>
      </c>
    </row>
    <row r="5028" spans="1:16">
      <c r="A5028" s="1" t="s">
        <v>718</v>
      </c>
      <c r="B5028" s="1">
        <v>11</v>
      </c>
      <c r="C5028" s="1">
        <v>2.02511261723204E+17</v>
      </c>
      <c r="D5028" s="1" t="s">
        <v>8744</v>
      </c>
      <c r="E5028" s="2">
        <v>45988</v>
      </c>
      <c r="F5028" s="1" t="s">
        <v>235</v>
      </c>
      <c r="G5028" s="1" t="s">
        <v>8745</v>
      </c>
      <c r="H5028" s="1" t="s">
        <v>8746</v>
      </c>
      <c r="I5028" s="1">
        <v>1</v>
      </c>
      <c r="J5028" s="3">
        <v>10000</v>
      </c>
      <c r="K5028" s="3">
        <v>7677</v>
      </c>
      <c r="L5028" s="3">
        <v>1000</v>
      </c>
      <c r="M5028" s="4">
        <v>0.1</v>
      </c>
      <c r="N5028" s="3">
        <v>1323</v>
      </c>
      <c r="O5028" s="4">
        <v>0.13200000000000001</v>
      </c>
      <c r="P5028" s="1" t="s">
        <v>2721</v>
      </c>
    </row>
    <row r="5029" spans="1:16">
      <c r="A5029" s="1" t="s">
        <v>718</v>
      </c>
      <c r="B5029" s="1">
        <v>11</v>
      </c>
      <c r="C5029" s="1">
        <v>2.0251126162332099E+17</v>
      </c>
      <c r="D5029" s="1" t="s">
        <v>9644</v>
      </c>
      <c r="E5029" s="2">
        <v>45988</v>
      </c>
      <c r="F5029" s="1" t="s">
        <v>1485</v>
      </c>
      <c r="G5029" s="1" t="s">
        <v>9645</v>
      </c>
      <c r="H5029" s="1" t="s">
        <v>9646</v>
      </c>
      <c r="I5029" s="1">
        <v>1</v>
      </c>
      <c r="J5029" s="3">
        <v>22000</v>
      </c>
      <c r="K5029" s="3">
        <v>13320</v>
      </c>
      <c r="L5029" s="3">
        <v>2200</v>
      </c>
      <c r="M5029" s="4">
        <v>0.1</v>
      </c>
      <c r="N5029" s="3">
        <v>6480</v>
      </c>
      <c r="O5029" s="4">
        <v>0.29499999999999998</v>
      </c>
      <c r="P5029" s="1" t="s">
        <v>2721</v>
      </c>
    </row>
    <row r="5030" spans="1:16">
      <c r="A5030" s="1" t="s">
        <v>718</v>
      </c>
      <c r="B5030" s="1">
        <v>11</v>
      </c>
      <c r="C5030" s="1">
        <v>2.0251126151636701E+17</v>
      </c>
      <c r="D5030" s="1" t="s">
        <v>2071</v>
      </c>
      <c r="E5030" s="2">
        <v>45988</v>
      </c>
      <c r="F5030" s="1" t="s">
        <v>235</v>
      </c>
      <c r="G5030" s="1" t="s">
        <v>2072</v>
      </c>
      <c r="H5030" s="1" t="s">
        <v>2092</v>
      </c>
      <c r="I5030" s="1">
        <v>1</v>
      </c>
      <c r="J5030" s="3">
        <v>11000</v>
      </c>
      <c r="K5030" s="3">
        <v>7739</v>
      </c>
      <c r="L5030" s="3">
        <v>1100</v>
      </c>
      <c r="M5030" s="4">
        <v>0.1</v>
      </c>
      <c r="N5030" s="3">
        <v>2161</v>
      </c>
      <c r="O5030" s="4">
        <v>0.19600000000000001</v>
      </c>
      <c r="P5030" s="1" t="s">
        <v>2721</v>
      </c>
    </row>
    <row r="5031" spans="1:16">
      <c r="A5031" s="1" t="s">
        <v>718</v>
      </c>
      <c r="B5031" s="1">
        <v>11</v>
      </c>
      <c r="C5031" s="1">
        <v>2.0251126142018E+17</v>
      </c>
      <c r="D5031" s="1" t="s">
        <v>6713</v>
      </c>
      <c r="E5031" s="2">
        <v>45988</v>
      </c>
      <c r="F5031" s="1" t="s">
        <v>483</v>
      </c>
      <c r="G5031" s="1" t="s">
        <v>6714</v>
      </c>
      <c r="H5031" s="1" t="s">
        <v>9647</v>
      </c>
      <c r="I5031" s="1">
        <v>1</v>
      </c>
      <c r="J5031" s="3">
        <v>22000</v>
      </c>
      <c r="K5031" s="3">
        <v>15745</v>
      </c>
      <c r="L5031" s="3">
        <v>2200</v>
      </c>
      <c r="M5031" s="4">
        <v>0.1</v>
      </c>
      <c r="N5031" s="3">
        <v>4055</v>
      </c>
      <c r="O5031" s="4">
        <v>0.184</v>
      </c>
      <c r="P5031" s="1" t="s">
        <v>2721</v>
      </c>
    </row>
    <row r="5032" spans="1:16">
      <c r="A5032" s="1" t="s">
        <v>733</v>
      </c>
      <c r="B5032" s="1">
        <v>11</v>
      </c>
      <c r="C5032" s="1" t="s">
        <v>9648</v>
      </c>
      <c r="D5032" s="1" t="s">
        <v>9649</v>
      </c>
      <c r="E5032" s="2">
        <v>45988</v>
      </c>
      <c r="F5032" s="1" t="s">
        <v>256</v>
      </c>
      <c r="G5032" s="1" t="s">
        <v>9650</v>
      </c>
      <c r="I5032" s="1">
        <v>1</v>
      </c>
      <c r="J5032" s="3">
        <v>12870</v>
      </c>
      <c r="K5032" s="3">
        <v>8301</v>
      </c>
      <c r="L5032" s="1">
        <v>0</v>
      </c>
      <c r="M5032" s="4">
        <v>0</v>
      </c>
      <c r="N5032" s="3">
        <v>4569</v>
      </c>
      <c r="O5032" s="4">
        <v>0.35499999999999998</v>
      </c>
      <c r="P5032" s="1" t="s">
        <v>2721</v>
      </c>
    </row>
    <row r="5033" spans="1:16">
      <c r="A5033" s="1" t="s">
        <v>739</v>
      </c>
      <c r="B5033" s="1">
        <v>11</v>
      </c>
      <c r="C5033" s="1">
        <v>31517525</v>
      </c>
      <c r="D5033" s="1" t="s">
        <v>9651</v>
      </c>
      <c r="E5033" s="2">
        <v>45988</v>
      </c>
      <c r="F5033" s="1" t="s">
        <v>1772</v>
      </c>
      <c r="G5033" s="1" t="s">
        <v>9652</v>
      </c>
      <c r="H5033" s="1" t="s">
        <v>9653</v>
      </c>
      <c r="I5033" s="1">
        <v>1</v>
      </c>
      <c r="J5033" s="3">
        <v>27900</v>
      </c>
      <c r="K5033" s="3">
        <v>22324</v>
      </c>
      <c r="L5033" s="3">
        <v>3683</v>
      </c>
      <c r="M5033" s="4">
        <v>0.13200000000000001</v>
      </c>
      <c r="N5033" s="3">
        <v>1893</v>
      </c>
      <c r="O5033" s="4">
        <v>6.8000000000000005E-2</v>
      </c>
      <c r="P5033" s="1" t="s">
        <v>2721</v>
      </c>
    </row>
    <row r="5034" spans="1:16">
      <c r="A5034" s="1" t="s">
        <v>739</v>
      </c>
      <c r="B5034" s="1">
        <v>11</v>
      </c>
      <c r="C5034" s="1">
        <v>31521082</v>
      </c>
      <c r="D5034" s="1" t="s">
        <v>9654</v>
      </c>
      <c r="E5034" s="2">
        <v>45988</v>
      </c>
      <c r="F5034" s="1" t="s">
        <v>347</v>
      </c>
      <c r="G5034" s="1" t="s">
        <v>9655</v>
      </c>
      <c r="H5034" s="1" t="s">
        <v>9656</v>
      </c>
      <c r="I5034" s="1">
        <v>1</v>
      </c>
      <c r="J5034" s="3">
        <v>26900</v>
      </c>
      <c r="K5034" s="3">
        <v>20711</v>
      </c>
      <c r="L5034" s="3">
        <v>3551</v>
      </c>
      <c r="M5034" s="4">
        <v>0.13200000000000001</v>
      </c>
      <c r="N5034" s="3">
        <v>2638</v>
      </c>
      <c r="O5034" s="4">
        <v>9.8000000000000004E-2</v>
      </c>
      <c r="P5034" s="1" t="s">
        <v>2721</v>
      </c>
    </row>
    <row r="5035" spans="1:16">
      <c r="A5035" s="1" t="s">
        <v>739</v>
      </c>
      <c r="B5035" s="1">
        <v>11</v>
      </c>
      <c r="C5035" s="1">
        <v>31522087</v>
      </c>
      <c r="D5035" s="1" t="s">
        <v>7551</v>
      </c>
      <c r="E5035" s="2">
        <v>45988</v>
      </c>
      <c r="F5035" s="1" t="s">
        <v>689</v>
      </c>
      <c r="G5035" s="1" t="s">
        <v>7552</v>
      </c>
      <c r="H5035" s="1" t="s">
        <v>7761</v>
      </c>
      <c r="I5035" s="1">
        <v>1</v>
      </c>
      <c r="J5035" s="3">
        <v>34000</v>
      </c>
      <c r="K5035" s="3">
        <v>28140</v>
      </c>
      <c r="L5035" s="3">
        <v>4488</v>
      </c>
      <c r="M5035" s="4">
        <v>0.13200000000000001</v>
      </c>
      <c r="N5035" s="3">
        <v>1372</v>
      </c>
      <c r="O5035" s="4">
        <v>0.04</v>
      </c>
      <c r="P5035" s="1" t="s">
        <v>2721</v>
      </c>
    </row>
    <row r="5036" spans="1:16">
      <c r="A5036" s="1" t="s">
        <v>756</v>
      </c>
      <c r="B5036" s="1">
        <v>11</v>
      </c>
      <c r="C5036" s="1" t="s">
        <v>9657</v>
      </c>
      <c r="D5036" s="1" t="s">
        <v>6743</v>
      </c>
      <c r="E5036" s="2">
        <v>45988</v>
      </c>
      <c r="F5036" s="1" t="s">
        <v>500</v>
      </c>
      <c r="G5036" s="1" t="s">
        <v>6744</v>
      </c>
      <c r="I5036" s="1">
        <v>1</v>
      </c>
      <c r="J5036" s="3">
        <v>305600</v>
      </c>
      <c r="K5036" s="3">
        <v>275000</v>
      </c>
      <c r="L5036" s="1">
        <v>0</v>
      </c>
      <c r="M5036" s="4">
        <v>0</v>
      </c>
      <c r="N5036" s="3">
        <v>30600</v>
      </c>
      <c r="O5036" s="4">
        <v>0.1</v>
      </c>
      <c r="P5036" s="1" t="s">
        <v>2723</v>
      </c>
    </row>
    <row r="5037" spans="1:16">
      <c r="A5037" s="1" t="s">
        <v>2179</v>
      </c>
      <c r="B5037" s="1">
        <v>11</v>
      </c>
      <c r="C5037" s="1">
        <v>2.0251126145119099E+18</v>
      </c>
      <c r="D5037" s="1" t="s">
        <v>9658</v>
      </c>
      <c r="E5037" s="2">
        <v>45988</v>
      </c>
      <c r="F5037" s="1" t="s">
        <v>646</v>
      </c>
      <c r="G5037" s="1" t="s">
        <v>9659</v>
      </c>
      <c r="H5037" s="1" t="s">
        <v>9660</v>
      </c>
      <c r="I5037" s="1">
        <v>1</v>
      </c>
      <c r="J5037" s="3">
        <v>262600</v>
      </c>
      <c r="K5037" s="3">
        <v>231686</v>
      </c>
      <c r="L5037" s="1">
        <v>0</v>
      </c>
      <c r="M5037" s="4">
        <v>0</v>
      </c>
      <c r="N5037" s="3">
        <v>30914</v>
      </c>
      <c r="O5037" s="4">
        <v>0.11799999999999999</v>
      </c>
      <c r="P5037" s="1" t="s">
        <v>2723</v>
      </c>
    </row>
    <row r="5038" spans="1:16">
      <c r="A5038" s="1" t="s">
        <v>2200</v>
      </c>
      <c r="B5038" s="1">
        <v>11</v>
      </c>
      <c r="C5038" s="1">
        <v>249512260</v>
      </c>
      <c r="D5038" s="1" t="s">
        <v>2160</v>
      </c>
      <c r="E5038" s="2">
        <v>45988</v>
      </c>
      <c r="F5038" s="1" t="s">
        <v>126</v>
      </c>
      <c r="G5038" s="1" t="s">
        <v>2161</v>
      </c>
      <c r="H5038" s="1" t="s">
        <v>9120</v>
      </c>
      <c r="I5038" s="1">
        <v>1</v>
      </c>
      <c r="J5038" s="3">
        <v>18500</v>
      </c>
      <c r="K5038" s="3">
        <v>17165</v>
      </c>
      <c r="L5038" s="1">
        <v>0</v>
      </c>
      <c r="M5038" s="4">
        <v>0</v>
      </c>
      <c r="N5038" s="3">
        <v>1335</v>
      </c>
      <c r="O5038" s="4">
        <v>7.1999999999999995E-2</v>
      </c>
      <c r="P5038" s="1" t="s">
        <v>2723</v>
      </c>
    </row>
    <row r="5039" spans="1:16">
      <c r="A5039" s="1" t="s">
        <v>2200</v>
      </c>
      <c r="B5039" s="1">
        <v>11</v>
      </c>
      <c r="C5039" s="1">
        <v>249499929</v>
      </c>
      <c r="D5039" s="1" t="s">
        <v>4563</v>
      </c>
      <c r="E5039" s="2">
        <v>45988</v>
      </c>
      <c r="F5039" s="1" t="s">
        <v>256</v>
      </c>
      <c r="G5039" s="1" t="s">
        <v>4564</v>
      </c>
      <c r="H5039" s="1" t="s">
        <v>4565</v>
      </c>
      <c r="I5039" s="1">
        <v>1</v>
      </c>
      <c r="J5039" s="3">
        <v>12800</v>
      </c>
      <c r="K5039" s="3">
        <v>11800</v>
      </c>
      <c r="L5039" s="1">
        <v>0</v>
      </c>
      <c r="M5039" s="4">
        <v>0</v>
      </c>
      <c r="N5039" s="3">
        <v>1000</v>
      </c>
      <c r="O5039" s="4">
        <v>7.8E-2</v>
      </c>
      <c r="P5039" s="1" t="s">
        <v>2723</v>
      </c>
    </row>
    <row r="5040" spans="1:16">
      <c r="A5040" s="1" t="s">
        <v>2200</v>
      </c>
      <c r="B5040" s="1">
        <v>11</v>
      </c>
      <c r="C5040" s="1">
        <v>249509194</v>
      </c>
      <c r="D5040" s="1" t="s">
        <v>4563</v>
      </c>
      <c r="E5040" s="2">
        <v>45988</v>
      </c>
      <c r="F5040" s="1" t="s">
        <v>256</v>
      </c>
      <c r="G5040" s="1" t="s">
        <v>4564</v>
      </c>
      <c r="H5040" s="1" t="s">
        <v>4565</v>
      </c>
      <c r="I5040" s="1">
        <v>1</v>
      </c>
      <c r="J5040" s="3">
        <v>12800</v>
      </c>
      <c r="K5040" s="3">
        <v>11800</v>
      </c>
      <c r="L5040" s="1">
        <v>0</v>
      </c>
      <c r="M5040" s="4">
        <v>0</v>
      </c>
      <c r="N5040" s="3">
        <v>1000</v>
      </c>
      <c r="O5040" s="4">
        <v>7.8E-2</v>
      </c>
      <c r="P5040" s="1" t="s">
        <v>2723</v>
      </c>
    </row>
    <row r="5041" spans="1:16">
      <c r="A5041" s="1" t="s">
        <v>763</v>
      </c>
      <c r="B5041" s="1">
        <v>11</v>
      </c>
      <c r="C5041" s="1" t="s">
        <v>9661</v>
      </c>
      <c r="D5041" s="1" t="s">
        <v>9662</v>
      </c>
      <c r="E5041" s="2">
        <v>45988</v>
      </c>
      <c r="F5041" s="1" t="s">
        <v>3509</v>
      </c>
      <c r="G5041" s="1" t="s">
        <v>9663</v>
      </c>
      <c r="I5041" s="1">
        <v>1</v>
      </c>
      <c r="J5041" s="3">
        <v>26180</v>
      </c>
      <c r="K5041" s="3">
        <v>20542</v>
      </c>
      <c r="L5041" s="1">
        <v>0</v>
      </c>
      <c r="M5041" s="4">
        <v>0</v>
      </c>
      <c r="N5041" s="3">
        <v>5638</v>
      </c>
      <c r="O5041" s="4">
        <v>0.215</v>
      </c>
      <c r="P5041" s="1" t="s">
        <v>2723</v>
      </c>
    </row>
    <row r="5042" spans="1:16">
      <c r="A5042" s="1" t="s">
        <v>763</v>
      </c>
      <c r="B5042" s="1">
        <v>11</v>
      </c>
      <c r="C5042" s="1" t="s">
        <v>9664</v>
      </c>
      <c r="D5042" s="1" t="s">
        <v>2205</v>
      </c>
      <c r="E5042" s="2">
        <v>45988</v>
      </c>
      <c r="F5042" s="1" t="s">
        <v>2206</v>
      </c>
      <c r="G5042" s="1" t="s">
        <v>2207</v>
      </c>
      <c r="H5042" s="1" t="s">
        <v>2208</v>
      </c>
      <c r="I5042" s="1">
        <v>1</v>
      </c>
      <c r="J5042" s="3">
        <v>22610</v>
      </c>
      <c r="K5042" s="3">
        <v>20437</v>
      </c>
      <c r="L5042" s="1">
        <v>0</v>
      </c>
      <c r="M5042" s="4">
        <v>0</v>
      </c>
      <c r="N5042" s="3">
        <v>2173</v>
      </c>
      <c r="O5042" s="4">
        <v>9.6000000000000002E-2</v>
      </c>
      <c r="P5042" s="1" t="s">
        <v>2723</v>
      </c>
    </row>
    <row r="5043" spans="1:16">
      <c r="A5043" s="1" t="s">
        <v>763</v>
      </c>
      <c r="B5043" s="1">
        <v>11</v>
      </c>
      <c r="C5043" s="1" t="s">
        <v>9665</v>
      </c>
      <c r="D5043" s="1" t="s">
        <v>2248</v>
      </c>
      <c r="E5043" s="2">
        <v>45988</v>
      </c>
      <c r="F5043" s="1" t="s">
        <v>2206</v>
      </c>
      <c r="G5043" s="1" t="s">
        <v>2249</v>
      </c>
      <c r="H5043" s="1" t="s">
        <v>2250</v>
      </c>
      <c r="I5043" s="1">
        <v>1</v>
      </c>
      <c r="J5043" s="3">
        <v>15640</v>
      </c>
      <c r="K5043" s="3">
        <v>14149</v>
      </c>
      <c r="L5043" s="1">
        <v>0</v>
      </c>
      <c r="M5043" s="4">
        <v>0</v>
      </c>
      <c r="N5043" s="3">
        <v>1491</v>
      </c>
      <c r="O5043" s="4">
        <v>9.5000000000000001E-2</v>
      </c>
      <c r="P5043" s="1" t="s">
        <v>2723</v>
      </c>
    </row>
    <row r="5044" spans="1:16">
      <c r="A5044" s="1" t="s">
        <v>763</v>
      </c>
      <c r="B5044" s="1">
        <v>11</v>
      </c>
      <c r="C5044" s="1" t="s">
        <v>9666</v>
      </c>
      <c r="D5044" s="1" t="s">
        <v>8759</v>
      </c>
      <c r="E5044" s="2">
        <v>45988</v>
      </c>
      <c r="F5044" s="1" t="s">
        <v>554</v>
      </c>
      <c r="G5044" s="1" t="s">
        <v>8760</v>
      </c>
      <c r="H5044" s="1" t="s">
        <v>9667</v>
      </c>
      <c r="I5044" s="1">
        <v>1</v>
      </c>
      <c r="J5044" s="3">
        <v>25160</v>
      </c>
      <c r="K5044" s="3">
        <v>22840</v>
      </c>
      <c r="L5044" s="1">
        <v>0</v>
      </c>
      <c r="M5044" s="4">
        <v>0</v>
      </c>
      <c r="N5044" s="3">
        <v>2320</v>
      </c>
      <c r="O5044" s="4">
        <v>9.1999999999999998E-2</v>
      </c>
      <c r="P5044" s="1" t="s">
        <v>2723</v>
      </c>
    </row>
    <row r="5045" spans="1:16">
      <c r="A5045" s="1" t="s">
        <v>763</v>
      </c>
      <c r="B5045" s="1">
        <v>11</v>
      </c>
      <c r="C5045" s="1" t="s">
        <v>9668</v>
      </c>
      <c r="D5045" s="1" t="s">
        <v>769</v>
      </c>
      <c r="E5045" s="2">
        <v>45988</v>
      </c>
      <c r="F5045" s="1" t="s">
        <v>48</v>
      </c>
      <c r="G5045" s="1" t="s">
        <v>770</v>
      </c>
      <c r="H5045" s="1" t="s">
        <v>771</v>
      </c>
      <c r="I5045" s="1">
        <v>1</v>
      </c>
      <c r="J5045" s="3">
        <v>14900</v>
      </c>
      <c r="K5045" s="3">
        <v>12513</v>
      </c>
      <c r="L5045" s="1">
        <v>0</v>
      </c>
      <c r="M5045" s="4">
        <v>0</v>
      </c>
      <c r="N5045" s="3">
        <v>2387</v>
      </c>
      <c r="O5045" s="4">
        <v>0.16</v>
      </c>
      <c r="P5045" s="1" t="s">
        <v>2723</v>
      </c>
    </row>
    <row r="5046" spans="1:16">
      <c r="A5046" s="1" t="s">
        <v>763</v>
      </c>
      <c r="B5046" s="1">
        <v>11</v>
      </c>
      <c r="C5046" s="1" t="s">
        <v>9669</v>
      </c>
      <c r="D5046" s="1" t="s">
        <v>9351</v>
      </c>
      <c r="E5046" s="2">
        <v>45988</v>
      </c>
      <c r="F5046" s="1" t="s">
        <v>256</v>
      </c>
      <c r="G5046" s="1" t="s">
        <v>9352</v>
      </c>
      <c r="I5046" s="1">
        <v>2</v>
      </c>
      <c r="J5046" s="3">
        <v>19220</v>
      </c>
      <c r="K5046" s="3">
        <v>18722</v>
      </c>
      <c r="L5046" s="1">
        <v>0</v>
      </c>
      <c r="M5046" s="4">
        <v>0</v>
      </c>
      <c r="N5046" s="1">
        <v>498</v>
      </c>
      <c r="O5046" s="4">
        <v>2.5999999999999999E-2</v>
      </c>
      <c r="P5046" s="1" t="s">
        <v>2723</v>
      </c>
    </row>
    <row r="5047" spans="1:16">
      <c r="A5047" s="1" t="s">
        <v>763</v>
      </c>
      <c r="B5047" s="1">
        <v>11</v>
      </c>
      <c r="C5047" s="1" t="s">
        <v>9670</v>
      </c>
      <c r="D5047" s="1" t="s">
        <v>6902</v>
      </c>
      <c r="E5047" s="2">
        <v>45988</v>
      </c>
      <c r="F5047" s="1" t="s">
        <v>500</v>
      </c>
      <c r="G5047" s="1" t="s">
        <v>6903</v>
      </c>
      <c r="I5047" s="1">
        <v>1</v>
      </c>
      <c r="J5047" s="3">
        <v>119170</v>
      </c>
      <c r="K5047" s="3">
        <v>108000</v>
      </c>
      <c r="L5047" s="1">
        <v>0</v>
      </c>
      <c r="M5047" s="4">
        <v>0</v>
      </c>
      <c r="N5047" s="3">
        <v>11170</v>
      </c>
      <c r="O5047" s="4">
        <v>9.4E-2</v>
      </c>
      <c r="P5047" s="1" t="s">
        <v>2723</v>
      </c>
    </row>
    <row r="5048" spans="1:16">
      <c r="A5048" s="1" t="s">
        <v>763</v>
      </c>
      <c r="B5048" s="1">
        <v>11</v>
      </c>
      <c r="C5048" s="1" t="s">
        <v>9671</v>
      </c>
      <c r="D5048" s="1" t="s">
        <v>7304</v>
      </c>
      <c r="E5048" s="2">
        <v>45988</v>
      </c>
      <c r="F5048" s="1" t="s">
        <v>3740</v>
      </c>
      <c r="G5048" s="1" t="s">
        <v>7305</v>
      </c>
      <c r="H5048" s="1" t="s">
        <v>7306</v>
      </c>
      <c r="I5048" s="1">
        <v>1</v>
      </c>
      <c r="J5048" s="3">
        <v>27120</v>
      </c>
      <c r="K5048" s="3">
        <v>21236</v>
      </c>
      <c r="L5048" s="1">
        <v>0</v>
      </c>
      <c r="M5048" s="4">
        <v>0</v>
      </c>
      <c r="N5048" s="3">
        <v>5884</v>
      </c>
      <c r="O5048" s="4">
        <v>0.217</v>
      </c>
      <c r="P5048" s="1" t="s">
        <v>2723</v>
      </c>
    </row>
    <row r="5049" spans="1:16">
      <c r="A5049" s="1" t="s">
        <v>763</v>
      </c>
      <c r="B5049" s="1">
        <v>11</v>
      </c>
      <c r="C5049" s="1" t="s">
        <v>9672</v>
      </c>
      <c r="D5049" s="1" t="s">
        <v>2205</v>
      </c>
      <c r="E5049" s="2">
        <v>45988</v>
      </c>
      <c r="F5049" s="1" t="s">
        <v>2206</v>
      </c>
      <c r="G5049" s="1" t="s">
        <v>2207</v>
      </c>
      <c r="H5049" s="1" t="s">
        <v>2208</v>
      </c>
      <c r="I5049" s="1">
        <v>1</v>
      </c>
      <c r="J5049" s="3">
        <v>22610</v>
      </c>
      <c r="K5049" s="3">
        <v>20437</v>
      </c>
      <c r="L5049" s="1">
        <v>0</v>
      </c>
      <c r="M5049" s="4">
        <v>0</v>
      </c>
      <c r="N5049" s="3">
        <v>2173</v>
      </c>
      <c r="O5049" s="4">
        <v>9.6000000000000002E-2</v>
      </c>
      <c r="P5049" s="1" t="s">
        <v>2723</v>
      </c>
    </row>
    <row r="5050" spans="1:16">
      <c r="A5050" s="1" t="s">
        <v>15</v>
      </c>
      <c r="B5050" s="1">
        <v>11</v>
      </c>
      <c r="C5050" s="1" t="s">
        <v>9673</v>
      </c>
      <c r="D5050" s="1" t="s">
        <v>169</v>
      </c>
      <c r="E5050" s="2">
        <v>45989</v>
      </c>
      <c r="F5050" s="1" t="s">
        <v>53</v>
      </c>
      <c r="G5050" s="1" t="s">
        <v>170</v>
      </c>
      <c r="H5050" s="1" t="s">
        <v>171</v>
      </c>
      <c r="I5050" s="1">
        <v>1</v>
      </c>
      <c r="J5050" s="3">
        <v>14332</v>
      </c>
      <c r="K5050" s="3">
        <v>13676</v>
      </c>
      <c r="L5050" s="1">
        <v>0</v>
      </c>
      <c r="M5050" s="4">
        <v>0</v>
      </c>
      <c r="N5050" s="1">
        <v>656</v>
      </c>
      <c r="O5050" s="4">
        <v>4.5999999999999999E-2</v>
      </c>
      <c r="P5050" s="1" t="s">
        <v>2721</v>
      </c>
    </row>
    <row r="5051" spans="1:16">
      <c r="A5051" s="1" t="s">
        <v>15</v>
      </c>
      <c r="B5051" s="1">
        <v>11</v>
      </c>
      <c r="C5051" s="1" t="s">
        <v>9674</v>
      </c>
      <c r="D5051" s="1" t="s">
        <v>76</v>
      </c>
      <c r="E5051" s="2">
        <v>45989</v>
      </c>
      <c r="F5051" s="1" t="s">
        <v>77</v>
      </c>
      <c r="G5051" s="1" t="s">
        <v>78</v>
      </c>
      <c r="H5051" s="1" t="s">
        <v>78</v>
      </c>
      <c r="I5051" s="1">
        <v>1</v>
      </c>
      <c r="J5051" s="3">
        <v>11231</v>
      </c>
      <c r="K5051" s="3">
        <v>10717</v>
      </c>
      <c r="L5051" s="1">
        <v>0</v>
      </c>
      <c r="M5051" s="4">
        <v>0</v>
      </c>
      <c r="N5051" s="1">
        <v>514</v>
      </c>
      <c r="O5051" s="4">
        <v>4.5999999999999999E-2</v>
      </c>
      <c r="P5051" s="1" t="s">
        <v>2721</v>
      </c>
    </row>
    <row r="5052" spans="1:16">
      <c r="A5052" s="1" t="s">
        <v>15</v>
      </c>
      <c r="B5052" s="1">
        <v>11</v>
      </c>
      <c r="C5052" s="1" t="s">
        <v>9675</v>
      </c>
      <c r="D5052" s="1" t="s">
        <v>3785</v>
      </c>
      <c r="E5052" s="2">
        <v>45989</v>
      </c>
      <c r="F5052" s="1" t="s">
        <v>554</v>
      </c>
      <c r="G5052" s="1" t="s">
        <v>3786</v>
      </c>
      <c r="H5052" s="1" t="s">
        <v>3787</v>
      </c>
      <c r="I5052" s="1">
        <v>1</v>
      </c>
      <c r="J5052" s="3">
        <v>11255</v>
      </c>
      <c r="K5052" s="3">
        <v>10740</v>
      </c>
      <c r="L5052" s="1">
        <v>0</v>
      </c>
      <c r="M5052" s="4">
        <v>0</v>
      </c>
      <c r="N5052" s="1">
        <v>515</v>
      </c>
      <c r="O5052" s="4">
        <v>4.5999999999999999E-2</v>
      </c>
      <c r="P5052" s="1" t="s">
        <v>2721</v>
      </c>
    </row>
    <row r="5053" spans="1:16">
      <c r="A5053" s="1" t="s">
        <v>15</v>
      </c>
      <c r="B5053" s="1">
        <v>11</v>
      </c>
      <c r="C5053" s="1" t="s">
        <v>9675</v>
      </c>
      <c r="D5053" s="1" t="s">
        <v>1673</v>
      </c>
      <c r="E5053" s="2">
        <v>45989</v>
      </c>
      <c r="F5053" s="1" t="s">
        <v>660</v>
      </c>
      <c r="G5053" s="1" t="s">
        <v>1674</v>
      </c>
      <c r="H5053" s="1" t="s">
        <v>8162</v>
      </c>
      <c r="I5053" s="1">
        <v>1</v>
      </c>
      <c r="J5053" s="3">
        <v>11747</v>
      </c>
      <c r="K5053" s="3">
        <v>11209</v>
      </c>
      <c r="L5053" s="1">
        <v>0</v>
      </c>
      <c r="M5053" s="4">
        <v>0</v>
      </c>
      <c r="N5053" s="1">
        <v>538</v>
      </c>
      <c r="O5053" s="4">
        <v>4.5999999999999999E-2</v>
      </c>
      <c r="P5053" s="1" t="s">
        <v>2721</v>
      </c>
    </row>
    <row r="5054" spans="1:16">
      <c r="A5054" s="1" t="s">
        <v>15</v>
      </c>
      <c r="B5054" s="1">
        <v>11</v>
      </c>
      <c r="C5054" s="1" t="s">
        <v>9676</v>
      </c>
      <c r="D5054" s="1" t="s">
        <v>985</v>
      </c>
      <c r="E5054" s="2">
        <v>45989</v>
      </c>
      <c r="F5054" s="1" t="s">
        <v>187</v>
      </c>
      <c r="G5054" s="1" t="s">
        <v>986</v>
      </c>
      <c r="H5054" s="1" t="s">
        <v>4632</v>
      </c>
      <c r="I5054" s="1">
        <v>1</v>
      </c>
      <c r="J5054" s="3">
        <v>23592</v>
      </c>
      <c r="K5054" s="3">
        <v>22512</v>
      </c>
      <c r="L5054" s="1">
        <v>0</v>
      </c>
      <c r="M5054" s="4">
        <v>0</v>
      </c>
      <c r="N5054" s="3">
        <v>1080</v>
      </c>
      <c r="O5054" s="4">
        <v>4.5999999999999999E-2</v>
      </c>
      <c r="P5054" s="1" t="s">
        <v>2721</v>
      </c>
    </row>
    <row r="5055" spans="1:16">
      <c r="A5055" s="1" t="s">
        <v>15</v>
      </c>
      <c r="B5055" s="1">
        <v>11</v>
      </c>
      <c r="C5055" s="1" t="s">
        <v>9676</v>
      </c>
      <c r="D5055" s="1" t="s">
        <v>985</v>
      </c>
      <c r="E5055" s="2">
        <v>45989</v>
      </c>
      <c r="F5055" s="1" t="s">
        <v>187</v>
      </c>
      <c r="G5055" s="1" t="s">
        <v>986</v>
      </c>
      <c r="H5055" s="1" t="s">
        <v>987</v>
      </c>
      <c r="I5055" s="1">
        <v>1</v>
      </c>
      <c r="J5055" s="3">
        <v>23592</v>
      </c>
      <c r="K5055" s="3">
        <v>22512</v>
      </c>
      <c r="L5055" s="1">
        <v>0</v>
      </c>
      <c r="M5055" s="4">
        <v>0</v>
      </c>
      <c r="N5055" s="3">
        <v>1080</v>
      </c>
      <c r="O5055" s="4">
        <v>4.5999999999999999E-2</v>
      </c>
      <c r="P5055" s="1" t="s">
        <v>2721</v>
      </c>
    </row>
    <row r="5056" spans="1:16">
      <c r="A5056" s="1" t="s">
        <v>15</v>
      </c>
      <c r="B5056" s="1">
        <v>11</v>
      </c>
      <c r="C5056" s="1" t="s">
        <v>9676</v>
      </c>
      <c r="D5056" s="1" t="s">
        <v>265</v>
      </c>
      <c r="E5056" s="2">
        <v>45989</v>
      </c>
      <c r="F5056" s="1" t="s">
        <v>266</v>
      </c>
      <c r="G5056" s="1" t="s">
        <v>267</v>
      </c>
      <c r="H5056" s="1" t="s">
        <v>1671</v>
      </c>
      <c r="I5056" s="1">
        <v>3</v>
      </c>
      <c r="J5056" s="3">
        <v>67532</v>
      </c>
      <c r="K5056" s="3">
        <v>64441</v>
      </c>
      <c r="L5056" s="1">
        <v>0</v>
      </c>
      <c r="M5056" s="4">
        <v>0</v>
      </c>
      <c r="N5056" s="3">
        <v>3091</v>
      </c>
      <c r="O5056" s="4">
        <v>4.5999999999999999E-2</v>
      </c>
      <c r="P5056" s="1" t="s">
        <v>2721</v>
      </c>
    </row>
    <row r="5057" spans="1:16">
      <c r="A5057" s="1" t="s">
        <v>15</v>
      </c>
      <c r="B5057" s="1">
        <v>11</v>
      </c>
      <c r="C5057" s="1" t="s">
        <v>9677</v>
      </c>
      <c r="D5057" s="1" t="s">
        <v>32</v>
      </c>
      <c r="E5057" s="2">
        <v>45989</v>
      </c>
      <c r="F5057" s="1" t="s">
        <v>33</v>
      </c>
      <c r="G5057" s="1" t="s">
        <v>34</v>
      </c>
      <c r="H5057" s="1" t="s">
        <v>8525</v>
      </c>
      <c r="I5057" s="1">
        <v>1</v>
      </c>
      <c r="J5057" s="3">
        <v>75938</v>
      </c>
      <c r="K5057" s="3">
        <v>72461</v>
      </c>
      <c r="L5057" s="1">
        <v>0</v>
      </c>
      <c r="M5057" s="4">
        <v>0</v>
      </c>
      <c r="N5057" s="3">
        <v>3477</v>
      </c>
      <c r="O5057" s="4">
        <v>4.5999999999999999E-2</v>
      </c>
      <c r="P5057" s="1" t="s">
        <v>2721</v>
      </c>
    </row>
    <row r="5058" spans="1:16">
      <c r="A5058" s="1" t="s">
        <v>15</v>
      </c>
      <c r="B5058" s="1">
        <v>11</v>
      </c>
      <c r="C5058" s="1" t="s">
        <v>9677</v>
      </c>
      <c r="D5058" s="1" t="s">
        <v>32</v>
      </c>
      <c r="E5058" s="2">
        <v>45989</v>
      </c>
      <c r="F5058" s="1" t="s">
        <v>33</v>
      </c>
      <c r="G5058" s="1" t="s">
        <v>34</v>
      </c>
      <c r="H5058" s="1" t="s">
        <v>9678</v>
      </c>
      <c r="I5058" s="1">
        <v>1</v>
      </c>
      <c r="J5058" s="3">
        <v>94904</v>
      </c>
      <c r="K5058" s="3">
        <v>90559</v>
      </c>
      <c r="L5058" s="1">
        <v>0</v>
      </c>
      <c r="M5058" s="4">
        <v>0</v>
      </c>
      <c r="N5058" s="3">
        <v>4345</v>
      </c>
      <c r="O5058" s="4">
        <v>4.5999999999999999E-2</v>
      </c>
      <c r="P5058" s="1" t="s">
        <v>2721</v>
      </c>
    </row>
    <row r="5059" spans="1:16">
      <c r="A5059" s="1" t="s">
        <v>15</v>
      </c>
      <c r="B5059" s="1">
        <v>11</v>
      </c>
      <c r="C5059" s="1" t="s">
        <v>9679</v>
      </c>
      <c r="D5059" s="1" t="s">
        <v>311</v>
      </c>
      <c r="E5059" s="2">
        <v>45989</v>
      </c>
      <c r="F5059" s="1" t="s">
        <v>312</v>
      </c>
      <c r="G5059" s="1" t="s">
        <v>313</v>
      </c>
      <c r="H5059" s="1" t="s">
        <v>8287</v>
      </c>
      <c r="I5059" s="1">
        <v>1</v>
      </c>
      <c r="J5059" s="3">
        <v>28310</v>
      </c>
      <c r="K5059" s="3">
        <v>27014</v>
      </c>
      <c r="L5059" s="1">
        <v>0</v>
      </c>
      <c r="M5059" s="4">
        <v>0</v>
      </c>
      <c r="N5059" s="3">
        <v>1296</v>
      </c>
      <c r="O5059" s="4">
        <v>4.5999999999999999E-2</v>
      </c>
      <c r="P5059" s="1" t="s">
        <v>2721</v>
      </c>
    </row>
    <row r="5060" spans="1:16">
      <c r="A5060" s="1" t="s">
        <v>15</v>
      </c>
      <c r="B5060" s="1">
        <v>11</v>
      </c>
      <c r="C5060" s="1" t="s">
        <v>9680</v>
      </c>
      <c r="D5060" s="1" t="s">
        <v>5755</v>
      </c>
      <c r="E5060" s="2">
        <v>45989</v>
      </c>
      <c r="F5060" s="1" t="s">
        <v>43</v>
      </c>
      <c r="G5060" s="1" t="s">
        <v>5756</v>
      </c>
      <c r="H5060" s="1" t="s">
        <v>9681</v>
      </c>
      <c r="I5060" s="1">
        <v>1</v>
      </c>
      <c r="J5060" s="3">
        <v>19758</v>
      </c>
      <c r="K5060" s="3">
        <v>18854</v>
      </c>
      <c r="L5060" s="1">
        <v>0</v>
      </c>
      <c r="M5060" s="4">
        <v>0</v>
      </c>
      <c r="N5060" s="1">
        <v>904</v>
      </c>
      <c r="O5060" s="4">
        <v>4.5999999999999999E-2</v>
      </c>
      <c r="P5060" s="1" t="s">
        <v>2721</v>
      </c>
    </row>
    <row r="5061" spans="1:16">
      <c r="A5061" s="1" t="s">
        <v>15</v>
      </c>
      <c r="B5061" s="1">
        <v>11</v>
      </c>
      <c r="C5061" s="1" t="s">
        <v>9682</v>
      </c>
      <c r="D5061" s="1" t="s">
        <v>5786</v>
      </c>
      <c r="E5061" s="2">
        <v>45989</v>
      </c>
      <c r="F5061" s="1" t="s">
        <v>1411</v>
      </c>
      <c r="G5061" s="1" t="s">
        <v>5787</v>
      </c>
      <c r="H5061" s="1" t="s">
        <v>5788</v>
      </c>
      <c r="I5061" s="1">
        <v>1</v>
      </c>
      <c r="J5061" s="3">
        <v>16412</v>
      </c>
      <c r="K5061" s="3">
        <v>15661</v>
      </c>
      <c r="L5061" s="1">
        <v>0</v>
      </c>
      <c r="M5061" s="4">
        <v>0</v>
      </c>
      <c r="N5061" s="1">
        <v>751</v>
      </c>
      <c r="O5061" s="4">
        <v>4.5999999999999999E-2</v>
      </c>
      <c r="P5061" s="1" t="s">
        <v>2721</v>
      </c>
    </row>
    <row r="5062" spans="1:16">
      <c r="A5062" s="1" t="s">
        <v>15</v>
      </c>
      <c r="B5062" s="1">
        <v>11</v>
      </c>
      <c r="C5062" s="1" t="s">
        <v>9683</v>
      </c>
      <c r="D5062" s="1" t="s">
        <v>4204</v>
      </c>
      <c r="E5062" s="2">
        <v>45989</v>
      </c>
      <c r="F5062" s="1" t="s">
        <v>96</v>
      </c>
      <c r="G5062" s="1" t="s">
        <v>3000</v>
      </c>
      <c r="H5062" s="1" t="s">
        <v>4205</v>
      </c>
      <c r="I5062" s="1">
        <v>1</v>
      </c>
      <c r="J5062" s="3">
        <v>8501</v>
      </c>
      <c r="K5062" s="3">
        <v>8112</v>
      </c>
      <c r="L5062" s="1">
        <v>0</v>
      </c>
      <c r="M5062" s="4">
        <v>0</v>
      </c>
      <c r="N5062" s="1">
        <v>389</v>
      </c>
      <c r="O5062" s="4">
        <v>4.5999999999999999E-2</v>
      </c>
      <c r="P5062" s="1" t="s">
        <v>2721</v>
      </c>
    </row>
    <row r="5063" spans="1:16">
      <c r="A5063" s="1" t="s">
        <v>15</v>
      </c>
      <c r="B5063" s="1">
        <v>11</v>
      </c>
      <c r="C5063" s="1" t="s">
        <v>9684</v>
      </c>
      <c r="D5063" s="1" t="s">
        <v>9685</v>
      </c>
      <c r="E5063" s="2">
        <v>45989</v>
      </c>
      <c r="F5063" s="1" t="s">
        <v>9686</v>
      </c>
      <c r="G5063" s="1" t="s">
        <v>9687</v>
      </c>
      <c r="H5063" s="1" t="s">
        <v>9688</v>
      </c>
      <c r="I5063" s="1">
        <v>1</v>
      </c>
      <c r="J5063" s="3">
        <v>13202</v>
      </c>
      <c r="K5063" s="3">
        <v>12597</v>
      </c>
      <c r="L5063" s="1">
        <v>0</v>
      </c>
      <c r="M5063" s="4">
        <v>0</v>
      </c>
      <c r="N5063" s="1">
        <v>605</v>
      </c>
      <c r="O5063" s="4">
        <v>4.5999999999999999E-2</v>
      </c>
      <c r="P5063" s="1" t="s">
        <v>2721</v>
      </c>
    </row>
    <row r="5064" spans="1:16">
      <c r="A5064" s="1" t="s">
        <v>15</v>
      </c>
      <c r="B5064" s="1">
        <v>11</v>
      </c>
      <c r="C5064" s="1" t="s">
        <v>9689</v>
      </c>
      <c r="D5064" s="1" t="s">
        <v>1246</v>
      </c>
      <c r="E5064" s="2">
        <v>45989</v>
      </c>
      <c r="F5064" s="1" t="s">
        <v>53</v>
      </c>
      <c r="G5064" s="1" t="s">
        <v>1247</v>
      </c>
      <c r="H5064" s="1" t="s">
        <v>1366</v>
      </c>
      <c r="I5064" s="1">
        <v>1</v>
      </c>
      <c r="J5064" s="3">
        <v>8383</v>
      </c>
      <c r="K5064" s="3">
        <v>7999</v>
      </c>
      <c r="L5064" s="1">
        <v>0</v>
      </c>
      <c r="M5064" s="4">
        <v>0</v>
      </c>
      <c r="N5064" s="1">
        <v>384</v>
      </c>
      <c r="O5064" s="4">
        <v>4.5999999999999999E-2</v>
      </c>
      <c r="P5064" s="1" t="s">
        <v>2721</v>
      </c>
    </row>
    <row r="5065" spans="1:16">
      <c r="A5065" s="1" t="s">
        <v>15</v>
      </c>
      <c r="B5065" s="1">
        <v>11</v>
      </c>
      <c r="C5065" s="1" t="s">
        <v>9690</v>
      </c>
      <c r="D5065" s="1" t="s">
        <v>955</v>
      </c>
      <c r="E5065" s="2">
        <v>45989</v>
      </c>
      <c r="F5065" s="1" t="s">
        <v>554</v>
      </c>
      <c r="G5065" s="1" t="s">
        <v>956</v>
      </c>
      <c r="H5065" s="1" t="s">
        <v>957</v>
      </c>
      <c r="I5065" s="1">
        <v>1</v>
      </c>
      <c r="J5065" s="3">
        <v>17596</v>
      </c>
      <c r="K5065" s="3">
        <v>16790</v>
      </c>
      <c r="L5065" s="1">
        <v>0</v>
      </c>
      <c r="M5065" s="4">
        <v>0</v>
      </c>
      <c r="N5065" s="1">
        <v>806</v>
      </c>
      <c r="O5065" s="4">
        <v>4.5999999999999999E-2</v>
      </c>
      <c r="P5065" s="1" t="s">
        <v>2721</v>
      </c>
    </row>
    <row r="5066" spans="1:16">
      <c r="A5066" s="1" t="s">
        <v>15</v>
      </c>
      <c r="B5066" s="1">
        <v>11</v>
      </c>
      <c r="C5066" s="1" t="s">
        <v>9690</v>
      </c>
      <c r="D5066" s="1" t="s">
        <v>906</v>
      </c>
      <c r="E5066" s="2">
        <v>45989</v>
      </c>
      <c r="F5066" s="1" t="s">
        <v>554</v>
      </c>
      <c r="G5066" s="1" t="s">
        <v>907</v>
      </c>
      <c r="H5066" s="1" t="s">
        <v>2935</v>
      </c>
      <c r="I5066" s="1">
        <v>1</v>
      </c>
      <c r="J5066" s="3">
        <v>23936</v>
      </c>
      <c r="K5066" s="3">
        <v>22840</v>
      </c>
      <c r="L5066" s="1">
        <v>0</v>
      </c>
      <c r="M5066" s="4">
        <v>0</v>
      </c>
      <c r="N5066" s="3">
        <v>1096</v>
      </c>
      <c r="O5066" s="4">
        <v>4.5999999999999999E-2</v>
      </c>
      <c r="P5066" s="1" t="s">
        <v>2721</v>
      </c>
    </row>
    <row r="5067" spans="1:16">
      <c r="A5067" s="1" t="s">
        <v>15</v>
      </c>
      <c r="B5067" s="1">
        <v>11</v>
      </c>
      <c r="C5067" s="1" t="s">
        <v>9691</v>
      </c>
      <c r="D5067" s="1" t="s">
        <v>212</v>
      </c>
      <c r="E5067" s="2">
        <v>45989</v>
      </c>
      <c r="F5067" s="1" t="s">
        <v>213</v>
      </c>
      <c r="G5067" s="1" t="s">
        <v>214</v>
      </c>
      <c r="H5067" s="1" t="s">
        <v>215</v>
      </c>
      <c r="I5067" s="1">
        <v>1</v>
      </c>
      <c r="J5067" s="3">
        <v>16220</v>
      </c>
      <c r="K5067" s="3">
        <v>15477</v>
      </c>
      <c r="L5067" s="1">
        <v>0</v>
      </c>
      <c r="M5067" s="4">
        <v>0</v>
      </c>
      <c r="N5067" s="1">
        <v>743</v>
      </c>
      <c r="O5067" s="4">
        <v>4.5999999999999999E-2</v>
      </c>
      <c r="P5067" s="1" t="s">
        <v>2721</v>
      </c>
    </row>
    <row r="5068" spans="1:16">
      <c r="A5068" s="1" t="s">
        <v>15</v>
      </c>
      <c r="B5068" s="1">
        <v>11</v>
      </c>
      <c r="C5068" s="1" t="s">
        <v>9692</v>
      </c>
      <c r="D5068" s="1" t="s">
        <v>27</v>
      </c>
      <c r="E5068" s="2">
        <v>45989</v>
      </c>
      <c r="F5068" s="1" t="s">
        <v>28</v>
      </c>
      <c r="G5068" s="1" t="s">
        <v>29</v>
      </c>
      <c r="H5068" s="1" t="s">
        <v>352</v>
      </c>
      <c r="I5068" s="1">
        <v>1</v>
      </c>
      <c r="J5068" s="3">
        <v>27033</v>
      </c>
      <c r="K5068" s="3">
        <v>25795</v>
      </c>
      <c r="L5068" s="1">
        <v>0</v>
      </c>
      <c r="M5068" s="4">
        <v>0</v>
      </c>
      <c r="N5068" s="3">
        <v>1238</v>
      </c>
      <c r="O5068" s="4">
        <v>4.5999999999999999E-2</v>
      </c>
      <c r="P5068" s="1" t="s">
        <v>2721</v>
      </c>
    </row>
    <row r="5069" spans="1:16">
      <c r="A5069" s="1" t="s">
        <v>15</v>
      </c>
      <c r="B5069" s="1">
        <v>11</v>
      </c>
      <c r="C5069" s="1" t="s">
        <v>9693</v>
      </c>
      <c r="D5069" s="1" t="s">
        <v>27</v>
      </c>
      <c r="E5069" s="2">
        <v>45989</v>
      </c>
      <c r="F5069" s="1" t="s">
        <v>28</v>
      </c>
      <c r="G5069" s="1" t="s">
        <v>29</v>
      </c>
      <c r="H5069" s="1" t="s">
        <v>352</v>
      </c>
      <c r="I5069" s="1">
        <v>1</v>
      </c>
      <c r="J5069" s="3">
        <v>27033</v>
      </c>
      <c r="K5069" s="3">
        <v>25795</v>
      </c>
      <c r="L5069" s="1">
        <v>0</v>
      </c>
      <c r="M5069" s="4">
        <v>0</v>
      </c>
      <c r="N5069" s="3">
        <v>1238</v>
      </c>
      <c r="O5069" s="4">
        <v>4.5999999999999999E-2</v>
      </c>
      <c r="P5069" s="1" t="s">
        <v>2721</v>
      </c>
    </row>
    <row r="5070" spans="1:16">
      <c r="A5070" s="1" t="s">
        <v>15</v>
      </c>
      <c r="B5070" s="1">
        <v>11</v>
      </c>
      <c r="C5070" s="1" t="s">
        <v>9694</v>
      </c>
      <c r="D5070" s="1" t="s">
        <v>80</v>
      </c>
      <c r="E5070" s="2">
        <v>45989</v>
      </c>
      <c r="F5070" s="1" t="s">
        <v>58</v>
      </c>
      <c r="G5070" s="1" t="s">
        <v>81</v>
      </c>
      <c r="H5070" s="1" t="s">
        <v>745</v>
      </c>
      <c r="I5070" s="1">
        <v>1</v>
      </c>
      <c r="J5070" s="3">
        <v>17301</v>
      </c>
      <c r="K5070" s="3">
        <v>16509</v>
      </c>
      <c r="L5070" s="1">
        <v>0</v>
      </c>
      <c r="M5070" s="4">
        <v>0</v>
      </c>
      <c r="N5070" s="1">
        <v>792</v>
      </c>
      <c r="O5070" s="4">
        <v>4.5999999999999999E-2</v>
      </c>
      <c r="P5070" s="1" t="s">
        <v>2721</v>
      </c>
    </row>
    <row r="5071" spans="1:16">
      <c r="A5071" s="1" t="s">
        <v>15</v>
      </c>
      <c r="B5071" s="1">
        <v>11</v>
      </c>
      <c r="C5071" s="1" t="s">
        <v>9695</v>
      </c>
      <c r="D5071" s="1" t="s">
        <v>939</v>
      </c>
      <c r="E5071" s="2">
        <v>45989</v>
      </c>
      <c r="F5071" s="1" t="s">
        <v>96</v>
      </c>
      <c r="G5071" s="1" t="s">
        <v>940</v>
      </c>
      <c r="H5071" s="1" t="s">
        <v>941</v>
      </c>
      <c r="I5071" s="1">
        <v>1</v>
      </c>
      <c r="J5071" s="3">
        <v>13475</v>
      </c>
      <c r="K5071" s="3">
        <v>12858</v>
      </c>
      <c r="L5071" s="1">
        <v>0</v>
      </c>
      <c r="M5071" s="4">
        <v>0</v>
      </c>
      <c r="N5071" s="1">
        <v>617</v>
      </c>
      <c r="O5071" s="4">
        <v>4.5999999999999999E-2</v>
      </c>
      <c r="P5071" s="1" t="s">
        <v>2721</v>
      </c>
    </row>
    <row r="5072" spans="1:16">
      <c r="A5072" s="1" t="s">
        <v>15</v>
      </c>
      <c r="B5072" s="1">
        <v>11</v>
      </c>
      <c r="C5072" s="1" t="s">
        <v>9696</v>
      </c>
      <c r="D5072" s="1" t="s">
        <v>86</v>
      </c>
      <c r="E5072" s="2">
        <v>45989</v>
      </c>
      <c r="F5072" s="1" t="s">
        <v>53</v>
      </c>
      <c r="G5072" s="1" t="s">
        <v>87</v>
      </c>
      <c r="H5072" s="1" t="s">
        <v>88</v>
      </c>
      <c r="I5072" s="1">
        <v>1</v>
      </c>
      <c r="J5072" s="3">
        <v>14956</v>
      </c>
      <c r="K5072" s="3">
        <v>14272</v>
      </c>
      <c r="L5072" s="1">
        <v>0</v>
      </c>
      <c r="M5072" s="4">
        <v>0</v>
      </c>
      <c r="N5072" s="1">
        <v>684</v>
      </c>
      <c r="O5072" s="4">
        <v>4.5999999999999999E-2</v>
      </c>
      <c r="P5072" s="1" t="s">
        <v>2721</v>
      </c>
    </row>
    <row r="5073" spans="1:16">
      <c r="A5073" s="1" t="s">
        <v>15</v>
      </c>
      <c r="B5073" s="1">
        <v>11</v>
      </c>
      <c r="C5073" s="1" t="s">
        <v>9697</v>
      </c>
      <c r="D5073" s="1" t="s">
        <v>3671</v>
      </c>
      <c r="E5073" s="2">
        <v>45989</v>
      </c>
      <c r="F5073" s="1" t="s">
        <v>2173</v>
      </c>
      <c r="G5073" s="1" t="s">
        <v>3672</v>
      </c>
      <c r="H5073" s="1" t="s">
        <v>3673</v>
      </c>
      <c r="I5073" s="1">
        <v>1</v>
      </c>
      <c r="J5073" s="3">
        <v>14745</v>
      </c>
      <c r="K5073" s="3">
        <v>14070</v>
      </c>
      <c r="L5073" s="1">
        <v>0</v>
      </c>
      <c r="M5073" s="4">
        <v>0</v>
      </c>
      <c r="N5073" s="1">
        <v>675</v>
      </c>
      <c r="O5073" s="4">
        <v>4.5999999999999999E-2</v>
      </c>
      <c r="P5073" s="1" t="s">
        <v>2721</v>
      </c>
    </row>
    <row r="5074" spans="1:16">
      <c r="A5074" s="1" t="s">
        <v>15</v>
      </c>
      <c r="B5074" s="1">
        <v>11</v>
      </c>
      <c r="C5074" s="1" t="s">
        <v>9698</v>
      </c>
      <c r="D5074" s="1" t="s">
        <v>212</v>
      </c>
      <c r="E5074" s="2">
        <v>45989</v>
      </c>
      <c r="F5074" s="1" t="s">
        <v>213</v>
      </c>
      <c r="G5074" s="1" t="s">
        <v>214</v>
      </c>
      <c r="H5074" s="1" t="s">
        <v>3551</v>
      </c>
      <c r="I5074" s="1">
        <v>1</v>
      </c>
      <c r="J5074" s="3">
        <v>29490</v>
      </c>
      <c r="K5074" s="3">
        <v>28140</v>
      </c>
      <c r="L5074" s="1">
        <v>0</v>
      </c>
      <c r="M5074" s="4">
        <v>0</v>
      </c>
      <c r="N5074" s="3">
        <v>1350</v>
      </c>
      <c r="O5074" s="4">
        <v>4.5999999999999999E-2</v>
      </c>
      <c r="P5074" s="1" t="s">
        <v>2721</v>
      </c>
    </row>
    <row r="5075" spans="1:16">
      <c r="A5075" s="1" t="s">
        <v>15</v>
      </c>
      <c r="B5075" s="1">
        <v>11</v>
      </c>
      <c r="C5075" s="1" t="s">
        <v>9699</v>
      </c>
      <c r="D5075" s="1" t="s">
        <v>5187</v>
      </c>
      <c r="E5075" s="2">
        <v>45989</v>
      </c>
      <c r="F5075" s="1" t="s">
        <v>151</v>
      </c>
      <c r="G5075" s="1" t="s">
        <v>5188</v>
      </c>
      <c r="H5075" s="1" t="s">
        <v>5188</v>
      </c>
      <c r="I5075" s="1">
        <v>1</v>
      </c>
      <c r="J5075" s="3">
        <v>24575</v>
      </c>
      <c r="K5075" s="3">
        <v>23450</v>
      </c>
      <c r="L5075" s="1">
        <v>0</v>
      </c>
      <c r="M5075" s="4">
        <v>0</v>
      </c>
      <c r="N5075" s="3">
        <v>1125</v>
      </c>
      <c r="O5075" s="4">
        <v>4.5999999999999999E-2</v>
      </c>
      <c r="P5075" s="1" t="s">
        <v>2721</v>
      </c>
    </row>
    <row r="5076" spans="1:16">
      <c r="A5076" s="1" t="s">
        <v>15</v>
      </c>
      <c r="B5076" s="1">
        <v>11</v>
      </c>
      <c r="C5076" s="1" t="s">
        <v>9700</v>
      </c>
      <c r="D5076" s="1" t="s">
        <v>2310</v>
      </c>
      <c r="E5076" s="2">
        <v>45989</v>
      </c>
      <c r="F5076" s="1" t="s">
        <v>488</v>
      </c>
      <c r="G5076" s="1" t="s">
        <v>1726</v>
      </c>
      <c r="H5076" s="1" t="s">
        <v>1727</v>
      </c>
      <c r="I5076" s="1">
        <v>1</v>
      </c>
      <c r="J5076" s="3">
        <v>16711</v>
      </c>
      <c r="K5076" s="3">
        <v>15946</v>
      </c>
      <c r="L5076" s="1">
        <v>0</v>
      </c>
      <c r="M5076" s="4">
        <v>0</v>
      </c>
      <c r="N5076" s="1">
        <v>765</v>
      </c>
      <c r="O5076" s="4">
        <v>4.5999999999999999E-2</v>
      </c>
      <c r="P5076" s="1" t="s">
        <v>2721</v>
      </c>
    </row>
    <row r="5077" spans="1:16">
      <c r="A5077" s="1" t="s">
        <v>15</v>
      </c>
      <c r="B5077" s="1">
        <v>11</v>
      </c>
      <c r="C5077" s="1" t="s">
        <v>9700</v>
      </c>
      <c r="D5077" s="1" t="s">
        <v>238</v>
      </c>
      <c r="E5077" s="2">
        <v>45989</v>
      </c>
      <c r="F5077" s="1" t="s">
        <v>239</v>
      </c>
      <c r="G5077" s="1" t="s">
        <v>240</v>
      </c>
      <c r="H5077" s="1" t="s">
        <v>242</v>
      </c>
      <c r="I5077" s="1">
        <v>1</v>
      </c>
      <c r="J5077" s="3">
        <v>11305</v>
      </c>
      <c r="K5077" s="3">
        <v>10787</v>
      </c>
      <c r="L5077" s="1">
        <v>0</v>
      </c>
      <c r="M5077" s="4">
        <v>0</v>
      </c>
      <c r="N5077" s="1">
        <v>518</v>
      </c>
      <c r="O5077" s="4">
        <v>4.5999999999999999E-2</v>
      </c>
      <c r="P5077" s="1" t="s">
        <v>2721</v>
      </c>
    </row>
    <row r="5078" spans="1:16">
      <c r="A5078" s="1" t="s">
        <v>15</v>
      </c>
      <c r="B5078" s="1">
        <v>11</v>
      </c>
      <c r="C5078" s="1" t="s">
        <v>9701</v>
      </c>
      <c r="D5078" s="1" t="s">
        <v>899</v>
      </c>
      <c r="E5078" s="2">
        <v>45989</v>
      </c>
      <c r="F5078" s="1" t="s">
        <v>500</v>
      </c>
      <c r="G5078" s="1" t="s">
        <v>900</v>
      </c>
      <c r="H5078" s="1" t="s">
        <v>1678</v>
      </c>
      <c r="I5078" s="1">
        <v>1</v>
      </c>
      <c r="J5078" s="3">
        <v>102702</v>
      </c>
      <c r="K5078" s="3">
        <v>98000</v>
      </c>
      <c r="L5078" s="1">
        <v>0</v>
      </c>
      <c r="M5078" s="4">
        <v>0</v>
      </c>
      <c r="N5078" s="3">
        <v>4702</v>
      </c>
      <c r="O5078" s="4">
        <v>4.5999999999999999E-2</v>
      </c>
      <c r="P5078" s="1" t="s">
        <v>2721</v>
      </c>
    </row>
    <row r="5079" spans="1:16">
      <c r="A5079" s="1" t="s">
        <v>15</v>
      </c>
      <c r="B5079" s="1">
        <v>11</v>
      </c>
      <c r="C5079" s="1" t="s">
        <v>9702</v>
      </c>
      <c r="D5079" s="1" t="s">
        <v>62</v>
      </c>
      <c r="E5079" s="2">
        <v>45989</v>
      </c>
      <c r="F5079" s="1" t="s">
        <v>63</v>
      </c>
      <c r="G5079" s="1" t="s">
        <v>64</v>
      </c>
      <c r="H5079" s="1" t="s">
        <v>65</v>
      </c>
      <c r="I5079" s="1">
        <v>1</v>
      </c>
      <c r="J5079" s="3">
        <v>11809</v>
      </c>
      <c r="K5079" s="3">
        <v>11268</v>
      </c>
      <c r="L5079" s="1">
        <v>0</v>
      </c>
      <c r="M5079" s="4">
        <v>0</v>
      </c>
      <c r="N5079" s="1">
        <v>541</v>
      </c>
      <c r="O5079" s="4">
        <v>4.5999999999999999E-2</v>
      </c>
      <c r="P5079" s="1" t="s">
        <v>2721</v>
      </c>
    </row>
    <row r="5080" spans="1:16">
      <c r="A5080" s="1" t="s">
        <v>15</v>
      </c>
      <c r="B5080" s="1">
        <v>11</v>
      </c>
      <c r="C5080" s="1" t="s">
        <v>9703</v>
      </c>
      <c r="D5080" s="1" t="s">
        <v>2490</v>
      </c>
      <c r="E5080" s="2">
        <v>45989</v>
      </c>
      <c r="F5080" s="1" t="s">
        <v>753</v>
      </c>
      <c r="G5080" s="1" t="s">
        <v>2491</v>
      </c>
      <c r="H5080" s="1" t="s">
        <v>2492</v>
      </c>
      <c r="I5080" s="1">
        <v>1</v>
      </c>
      <c r="J5080" s="3">
        <v>24870</v>
      </c>
      <c r="K5080" s="3">
        <v>23731</v>
      </c>
      <c r="L5080" s="1">
        <v>0</v>
      </c>
      <c r="M5080" s="4">
        <v>0</v>
      </c>
      <c r="N5080" s="3">
        <v>1139</v>
      </c>
      <c r="O5080" s="4">
        <v>4.5999999999999999E-2</v>
      </c>
      <c r="P5080" s="1" t="s">
        <v>2721</v>
      </c>
    </row>
    <row r="5081" spans="1:16">
      <c r="A5081" s="1" t="s">
        <v>15</v>
      </c>
      <c r="B5081" s="1">
        <v>11</v>
      </c>
      <c r="C5081" s="1" t="s">
        <v>9704</v>
      </c>
      <c r="D5081" s="1" t="s">
        <v>1587</v>
      </c>
      <c r="E5081" s="2">
        <v>45989</v>
      </c>
      <c r="F5081" s="1" t="s">
        <v>126</v>
      </c>
      <c r="G5081" s="1" t="s">
        <v>1588</v>
      </c>
      <c r="H5081" s="1" t="s">
        <v>6349</v>
      </c>
      <c r="I5081" s="1">
        <v>1</v>
      </c>
      <c r="J5081" s="3">
        <v>14352</v>
      </c>
      <c r="K5081" s="3">
        <v>13695</v>
      </c>
      <c r="L5081" s="1">
        <v>0</v>
      </c>
      <c r="M5081" s="4">
        <v>0</v>
      </c>
      <c r="N5081" s="1">
        <v>657</v>
      </c>
      <c r="O5081" s="4">
        <v>4.5999999999999999E-2</v>
      </c>
      <c r="P5081" s="1" t="s">
        <v>2721</v>
      </c>
    </row>
    <row r="5082" spans="1:16">
      <c r="A5082" s="1" t="s">
        <v>15</v>
      </c>
      <c r="B5082" s="1">
        <v>11</v>
      </c>
      <c r="C5082" s="1" t="s">
        <v>9705</v>
      </c>
      <c r="D5082" s="1" t="s">
        <v>255</v>
      </c>
      <c r="E5082" s="2">
        <v>45989</v>
      </c>
      <c r="F5082" s="1" t="s">
        <v>256</v>
      </c>
      <c r="G5082" s="1" t="s">
        <v>257</v>
      </c>
      <c r="H5082" s="1" t="s">
        <v>1636</v>
      </c>
      <c r="I5082" s="1">
        <v>1</v>
      </c>
      <c r="J5082" s="3">
        <v>25558</v>
      </c>
      <c r="K5082" s="3">
        <v>24388</v>
      </c>
      <c r="L5082" s="1">
        <v>0</v>
      </c>
      <c r="M5082" s="4">
        <v>0</v>
      </c>
      <c r="N5082" s="3">
        <v>1170</v>
      </c>
      <c r="O5082" s="4">
        <v>4.5999999999999999E-2</v>
      </c>
      <c r="P5082" s="1" t="s">
        <v>2721</v>
      </c>
    </row>
    <row r="5083" spans="1:16">
      <c r="A5083" s="1" t="s">
        <v>15</v>
      </c>
      <c r="B5083" s="1">
        <v>11</v>
      </c>
      <c r="C5083" s="1" t="s">
        <v>9706</v>
      </c>
      <c r="D5083" s="1" t="s">
        <v>5092</v>
      </c>
      <c r="E5083" s="2">
        <v>45989</v>
      </c>
      <c r="F5083" s="1" t="s">
        <v>347</v>
      </c>
      <c r="G5083" s="1" t="s">
        <v>5093</v>
      </c>
      <c r="H5083" s="1" t="s">
        <v>9707</v>
      </c>
      <c r="I5083" s="1">
        <v>1</v>
      </c>
      <c r="J5083" s="3">
        <v>23002</v>
      </c>
      <c r="K5083" s="3">
        <v>21949</v>
      </c>
      <c r="L5083" s="1">
        <v>0</v>
      </c>
      <c r="M5083" s="4">
        <v>0</v>
      </c>
      <c r="N5083" s="3">
        <v>1053</v>
      </c>
      <c r="O5083" s="4">
        <v>4.5999999999999999E-2</v>
      </c>
      <c r="P5083" s="1" t="s">
        <v>2721</v>
      </c>
    </row>
    <row r="5084" spans="1:16">
      <c r="A5084" s="1" t="s">
        <v>15</v>
      </c>
      <c r="B5084" s="1">
        <v>11</v>
      </c>
      <c r="C5084" s="1" t="s">
        <v>9708</v>
      </c>
      <c r="D5084" s="1" t="s">
        <v>228</v>
      </c>
      <c r="E5084" s="2">
        <v>45989</v>
      </c>
      <c r="F5084" s="1" t="s">
        <v>53</v>
      </c>
      <c r="G5084" s="1" t="s">
        <v>229</v>
      </c>
      <c r="H5084" s="1" t="s">
        <v>230</v>
      </c>
      <c r="I5084" s="1">
        <v>1</v>
      </c>
      <c r="J5084" s="3">
        <v>9825</v>
      </c>
      <c r="K5084" s="3">
        <v>9375</v>
      </c>
      <c r="L5084" s="1">
        <v>0</v>
      </c>
      <c r="M5084" s="4">
        <v>0</v>
      </c>
      <c r="N5084" s="1">
        <v>450</v>
      </c>
      <c r="O5084" s="4">
        <v>4.5999999999999999E-2</v>
      </c>
      <c r="P5084" s="1" t="s">
        <v>2721</v>
      </c>
    </row>
    <row r="5085" spans="1:16">
      <c r="A5085" s="1" t="s">
        <v>15</v>
      </c>
      <c r="B5085" s="1">
        <v>11</v>
      </c>
      <c r="C5085" s="1" t="s">
        <v>9709</v>
      </c>
      <c r="D5085" s="1" t="s">
        <v>341</v>
      </c>
      <c r="E5085" s="2">
        <v>45989</v>
      </c>
      <c r="F5085" s="1" t="s">
        <v>53</v>
      </c>
      <c r="G5085" s="1" t="s">
        <v>342</v>
      </c>
      <c r="H5085" s="1" t="s">
        <v>343</v>
      </c>
      <c r="I5085" s="1">
        <v>1</v>
      </c>
      <c r="J5085" s="3">
        <v>16135</v>
      </c>
      <c r="K5085" s="3">
        <v>15396</v>
      </c>
      <c r="L5085" s="1">
        <v>0</v>
      </c>
      <c r="M5085" s="4">
        <v>0</v>
      </c>
      <c r="N5085" s="1">
        <v>739</v>
      </c>
      <c r="O5085" s="4">
        <v>4.5999999999999999E-2</v>
      </c>
      <c r="P5085" s="1" t="s">
        <v>2721</v>
      </c>
    </row>
    <row r="5086" spans="1:16">
      <c r="A5086" s="1" t="s">
        <v>15</v>
      </c>
      <c r="B5086" s="1">
        <v>11</v>
      </c>
      <c r="C5086" s="1" t="s">
        <v>9710</v>
      </c>
      <c r="D5086" s="1" t="s">
        <v>482</v>
      </c>
      <c r="E5086" s="2">
        <v>45989</v>
      </c>
      <c r="F5086" s="1" t="s">
        <v>483</v>
      </c>
      <c r="G5086" s="1" t="s">
        <v>484</v>
      </c>
      <c r="H5086" s="1" t="s">
        <v>1777</v>
      </c>
      <c r="I5086" s="1">
        <v>2</v>
      </c>
      <c r="J5086" s="3">
        <v>54851</v>
      </c>
      <c r="K5086" s="3">
        <v>52340</v>
      </c>
      <c r="L5086" s="1">
        <v>0</v>
      </c>
      <c r="M5086" s="4">
        <v>0</v>
      </c>
      <c r="N5086" s="3">
        <v>2511</v>
      </c>
      <c r="O5086" s="4">
        <v>4.5999999999999999E-2</v>
      </c>
      <c r="P5086" s="1" t="s">
        <v>2721</v>
      </c>
    </row>
    <row r="5087" spans="1:16">
      <c r="A5087" s="1" t="s">
        <v>15</v>
      </c>
      <c r="B5087" s="1">
        <v>11</v>
      </c>
      <c r="C5087" s="1" t="s">
        <v>9711</v>
      </c>
      <c r="D5087" s="1" t="s">
        <v>865</v>
      </c>
      <c r="E5087" s="2">
        <v>45989</v>
      </c>
      <c r="F5087" s="1" t="s">
        <v>334</v>
      </c>
      <c r="G5087" s="1" t="s">
        <v>866</v>
      </c>
      <c r="H5087" s="1" t="s">
        <v>6943</v>
      </c>
      <c r="I5087" s="1">
        <v>2</v>
      </c>
      <c r="J5087" s="3">
        <v>18087</v>
      </c>
      <c r="K5087" s="3">
        <v>17259</v>
      </c>
      <c r="L5087" s="1">
        <v>0</v>
      </c>
      <c r="M5087" s="4">
        <v>0</v>
      </c>
      <c r="N5087" s="1">
        <v>828</v>
      </c>
      <c r="O5087" s="4">
        <v>4.5999999999999999E-2</v>
      </c>
      <c r="P5087" s="1" t="s">
        <v>2721</v>
      </c>
    </row>
    <row r="5088" spans="1:16">
      <c r="A5088" s="1" t="s">
        <v>15</v>
      </c>
      <c r="B5088" s="1">
        <v>11</v>
      </c>
      <c r="C5088" s="1" t="s">
        <v>9712</v>
      </c>
      <c r="D5088" s="1" t="s">
        <v>1088</v>
      </c>
      <c r="E5088" s="2">
        <v>45989</v>
      </c>
      <c r="F5088" s="1" t="s">
        <v>317</v>
      </c>
      <c r="G5088" s="1" t="s">
        <v>1089</v>
      </c>
      <c r="H5088" s="1" t="s">
        <v>1090</v>
      </c>
      <c r="I5088" s="1">
        <v>1</v>
      </c>
      <c r="J5088" s="3">
        <v>39615</v>
      </c>
      <c r="K5088" s="3">
        <v>37801</v>
      </c>
      <c r="L5088" s="1">
        <v>0</v>
      </c>
      <c r="M5088" s="4">
        <v>0</v>
      </c>
      <c r="N5088" s="3">
        <v>1814</v>
      </c>
      <c r="O5088" s="4">
        <v>4.5999999999999999E-2</v>
      </c>
      <c r="P5088" s="1" t="s">
        <v>2721</v>
      </c>
    </row>
    <row r="5089" spans="1:16">
      <c r="A5089" s="1" t="s">
        <v>15</v>
      </c>
      <c r="B5089" s="1">
        <v>11</v>
      </c>
      <c r="C5089" s="1" t="s">
        <v>9713</v>
      </c>
      <c r="D5089" s="1" t="s">
        <v>169</v>
      </c>
      <c r="E5089" s="2">
        <v>45989</v>
      </c>
      <c r="F5089" s="1" t="s">
        <v>53</v>
      </c>
      <c r="G5089" s="1" t="s">
        <v>170</v>
      </c>
      <c r="H5089" s="1" t="s">
        <v>171</v>
      </c>
      <c r="I5089" s="1">
        <v>1</v>
      </c>
      <c r="J5089" s="3">
        <v>14332</v>
      </c>
      <c r="K5089" s="3">
        <v>13676</v>
      </c>
      <c r="L5089" s="1">
        <v>0</v>
      </c>
      <c r="M5089" s="4">
        <v>0</v>
      </c>
      <c r="N5089" s="1">
        <v>656</v>
      </c>
      <c r="O5089" s="4">
        <v>4.5999999999999999E-2</v>
      </c>
      <c r="P5089" s="1" t="s">
        <v>2721</v>
      </c>
    </row>
    <row r="5090" spans="1:16">
      <c r="A5090" s="1" t="s">
        <v>15</v>
      </c>
      <c r="B5090" s="1">
        <v>11</v>
      </c>
      <c r="C5090" s="1" t="s">
        <v>9714</v>
      </c>
      <c r="D5090" s="1" t="s">
        <v>27</v>
      </c>
      <c r="E5090" s="2">
        <v>45989</v>
      </c>
      <c r="F5090" s="1" t="s">
        <v>28</v>
      </c>
      <c r="G5090" s="1" t="s">
        <v>29</v>
      </c>
      <c r="H5090" s="1" t="s">
        <v>352</v>
      </c>
      <c r="I5090" s="1">
        <v>2</v>
      </c>
      <c r="J5090" s="3">
        <v>54065</v>
      </c>
      <c r="K5090" s="3">
        <v>51590</v>
      </c>
      <c r="L5090" s="1">
        <v>0</v>
      </c>
      <c r="M5090" s="4">
        <v>0</v>
      </c>
      <c r="N5090" s="3">
        <v>2475</v>
      </c>
      <c r="O5090" s="4">
        <v>4.5999999999999999E-2</v>
      </c>
      <c r="P5090" s="1" t="s">
        <v>2721</v>
      </c>
    </row>
    <row r="5091" spans="1:16">
      <c r="A5091" s="1" t="s">
        <v>15</v>
      </c>
      <c r="B5091" s="1">
        <v>11</v>
      </c>
      <c r="C5091" s="1" t="s">
        <v>9715</v>
      </c>
      <c r="D5091" s="1" t="s">
        <v>3950</v>
      </c>
      <c r="E5091" s="2">
        <v>45989</v>
      </c>
      <c r="F5091" s="1" t="s">
        <v>3484</v>
      </c>
      <c r="G5091" s="1" t="s">
        <v>3951</v>
      </c>
      <c r="H5091" s="1" t="s">
        <v>9716</v>
      </c>
      <c r="I5091" s="1">
        <v>1</v>
      </c>
      <c r="J5091" s="3">
        <v>27033</v>
      </c>
      <c r="K5091" s="3">
        <v>25795</v>
      </c>
      <c r="L5091" s="1">
        <v>0</v>
      </c>
      <c r="M5091" s="4">
        <v>0</v>
      </c>
      <c r="N5091" s="3">
        <v>1238</v>
      </c>
      <c r="O5091" s="4">
        <v>4.5999999999999999E-2</v>
      </c>
      <c r="P5091" s="1" t="s">
        <v>2721</v>
      </c>
    </row>
    <row r="5092" spans="1:16">
      <c r="A5092" s="1" t="s">
        <v>15</v>
      </c>
      <c r="B5092" s="1">
        <v>11</v>
      </c>
      <c r="C5092" s="1" t="s">
        <v>9717</v>
      </c>
      <c r="D5092" s="1" t="s">
        <v>270</v>
      </c>
      <c r="E5092" s="2">
        <v>45989</v>
      </c>
      <c r="F5092" s="1" t="s">
        <v>271</v>
      </c>
      <c r="G5092" s="1" t="s">
        <v>272</v>
      </c>
      <c r="H5092" s="1" t="s">
        <v>273</v>
      </c>
      <c r="I5092" s="1">
        <v>1</v>
      </c>
      <c r="J5092" s="3">
        <v>25067</v>
      </c>
      <c r="K5092" s="3">
        <v>23919</v>
      </c>
      <c r="L5092" s="1">
        <v>0</v>
      </c>
      <c r="M5092" s="4">
        <v>0</v>
      </c>
      <c r="N5092" s="3">
        <v>1148</v>
      </c>
      <c r="O5092" s="4">
        <v>4.5999999999999999E-2</v>
      </c>
      <c r="P5092" s="1" t="s">
        <v>2721</v>
      </c>
    </row>
    <row r="5093" spans="1:16">
      <c r="A5093" s="1" t="s">
        <v>15</v>
      </c>
      <c r="B5093" s="1">
        <v>11</v>
      </c>
      <c r="C5093" s="1" t="s">
        <v>9718</v>
      </c>
      <c r="D5093" s="1" t="s">
        <v>228</v>
      </c>
      <c r="E5093" s="2">
        <v>45989</v>
      </c>
      <c r="F5093" s="1" t="s">
        <v>53</v>
      </c>
      <c r="G5093" s="1" t="s">
        <v>229</v>
      </c>
      <c r="H5093" s="1" t="s">
        <v>230</v>
      </c>
      <c r="I5093" s="1">
        <v>1</v>
      </c>
      <c r="J5093" s="3">
        <v>9825</v>
      </c>
      <c r="K5093" s="3">
        <v>9375</v>
      </c>
      <c r="L5093" s="1">
        <v>0</v>
      </c>
      <c r="M5093" s="4">
        <v>0</v>
      </c>
      <c r="N5093" s="1">
        <v>450</v>
      </c>
      <c r="O5093" s="4">
        <v>4.5999999999999999E-2</v>
      </c>
      <c r="P5093" s="1" t="s">
        <v>2721</v>
      </c>
    </row>
    <row r="5094" spans="1:16">
      <c r="A5094" s="1" t="s">
        <v>15</v>
      </c>
      <c r="B5094" s="1">
        <v>11</v>
      </c>
      <c r="C5094" s="1" t="s">
        <v>9719</v>
      </c>
      <c r="D5094" s="1" t="s">
        <v>2579</v>
      </c>
      <c r="E5094" s="2">
        <v>45989</v>
      </c>
      <c r="F5094" s="1" t="s">
        <v>161</v>
      </c>
      <c r="G5094" s="1" t="s">
        <v>2580</v>
      </c>
      <c r="H5094" s="1" t="s">
        <v>2581</v>
      </c>
      <c r="I5094" s="1">
        <v>1</v>
      </c>
      <c r="J5094" s="3">
        <v>8257</v>
      </c>
      <c r="K5094" s="3">
        <v>7879</v>
      </c>
      <c r="L5094" s="1">
        <v>0</v>
      </c>
      <c r="M5094" s="4">
        <v>0</v>
      </c>
      <c r="N5094" s="1">
        <v>378</v>
      </c>
      <c r="O5094" s="4">
        <v>4.5999999999999999E-2</v>
      </c>
      <c r="P5094" s="1" t="s">
        <v>2721</v>
      </c>
    </row>
    <row r="5095" spans="1:16">
      <c r="A5095" s="1" t="s">
        <v>15</v>
      </c>
      <c r="B5095" s="1">
        <v>11</v>
      </c>
      <c r="C5095" s="1" t="s">
        <v>9720</v>
      </c>
      <c r="D5095" s="1" t="s">
        <v>52</v>
      </c>
      <c r="E5095" s="2">
        <v>45989</v>
      </c>
      <c r="F5095" s="1" t="s">
        <v>53</v>
      </c>
      <c r="G5095" s="1" t="s">
        <v>54</v>
      </c>
      <c r="H5095" s="1" t="s">
        <v>55</v>
      </c>
      <c r="I5095" s="1">
        <v>2</v>
      </c>
      <c r="J5095" s="3">
        <v>32270</v>
      </c>
      <c r="K5095" s="3">
        <v>30793</v>
      </c>
      <c r="L5095" s="1">
        <v>0</v>
      </c>
      <c r="M5095" s="4">
        <v>0</v>
      </c>
      <c r="N5095" s="3">
        <v>1477</v>
      </c>
      <c r="O5095" s="4">
        <v>4.5999999999999999E-2</v>
      </c>
      <c r="P5095" s="1" t="s">
        <v>2721</v>
      </c>
    </row>
    <row r="5096" spans="1:16">
      <c r="A5096" s="1" t="s">
        <v>15</v>
      </c>
      <c r="B5096" s="1">
        <v>11</v>
      </c>
      <c r="C5096" s="1" t="s">
        <v>9721</v>
      </c>
      <c r="D5096" s="1" t="s">
        <v>52</v>
      </c>
      <c r="E5096" s="2">
        <v>45989</v>
      </c>
      <c r="F5096" s="1" t="s">
        <v>53</v>
      </c>
      <c r="G5096" s="1" t="s">
        <v>54</v>
      </c>
      <c r="H5096" s="1" t="s">
        <v>55</v>
      </c>
      <c r="I5096" s="1">
        <v>1</v>
      </c>
      <c r="J5096" s="3">
        <v>16135</v>
      </c>
      <c r="K5096" s="3">
        <v>15396</v>
      </c>
      <c r="L5096" s="1">
        <v>0</v>
      </c>
      <c r="M5096" s="4">
        <v>0</v>
      </c>
      <c r="N5096" s="1">
        <v>739</v>
      </c>
      <c r="O5096" s="4">
        <v>4.5999999999999999E-2</v>
      </c>
      <c r="P5096" s="1" t="s">
        <v>2721</v>
      </c>
    </row>
    <row r="5097" spans="1:16">
      <c r="A5097" s="1" t="s">
        <v>15</v>
      </c>
      <c r="B5097" s="1">
        <v>11</v>
      </c>
      <c r="C5097" s="1" t="s">
        <v>9722</v>
      </c>
      <c r="D5097" s="1" t="s">
        <v>32</v>
      </c>
      <c r="E5097" s="2">
        <v>45989</v>
      </c>
      <c r="F5097" s="1" t="s">
        <v>33</v>
      </c>
      <c r="G5097" s="1" t="s">
        <v>34</v>
      </c>
      <c r="H5097" s="1" t="s">
        <v>9723</v>
      </c>
      <c r="I5097" s="1">
        <v>1</v>
      </c>
      <c r="J5097" s="3">
        <v>61874</v>
      </c>
      <c r="K5097" s="3">
        <v>59041</v>
      </c>
      <c r="L5097" s="1">
        <v>0</v>
      </c>
      <c r="M5097" s="4">
        <v>0</v>
      </c>
      <c r="N5097" s="3">
        <v>2833</v>
      </c>
      <c r="O5097" s="4">
        <v>4.5999999999999999E-2</v>
      </c>
      <c r="P5097" s="1" t="s">
        <v>2721</v>
      </c>
    </row>
    <row r="5098" spans="1:16">
      <c r="A5098" s="1" t="s">
        <v>15</v>
      </c>
      <c r="B5098" s="1">
        <v>11</v>
      </c>
      <c r="C5098" s="1" t="s">
        <v>9724</v>
      </c>
      <c r="D5098" s="1" t="s">
        <v>4039</v>
      </c>
      <c r="E5098" s="2">
        <v>45989</v>
      </c>
      <c r="F5098" s="1" t="s">
        <v>53</v>
      </c>
      <c r="G5098" s="1" t="s">
        <v>4040</v>
      </c>
      <c r="H5098" s="1" t="s">
        <v>4074</v>
      </c>
      <c r="I5098" s="1">
        <v>2</v>
      </c>
      <c r="J5098" s="3">
        <v>19650</v>
      </c>
      <c r="K5098" s="3">
        <v>18751</v>
      </c>
      <c r="L5098" s="1">
        <v>0</v>
      </c>
      <c r="M5098" s="4">
        <v>0</v>
      </c>
      <c r="N5098" s="1">
        <v>899</v>
      </c>
      <c r="O5098" s="4">
        <v>4.5999999999999999E-2</v>
      </c>
      <c r="P5098" s="1" t="s">
        <v>2721</v>
      </c>
    </row>
    <row r="5099" spans="1:16">
      <c r="A5099" s="1" t="s">
        <v>15</v>
      </c>
      <c r="B5099" s="1">
        <v>11</v>
      </c>
      <c r="C5099" s="1" t="s">
        <v>9724</v>
      </c>
      <c r="D5099" s="1" t="s">
        <v>4039</v>
      </c>
      <c r="E5099" s="2">
        <v>45989</v>
      </c>
      <c r="F5099" s="1" t="s">
        <v>53</v>
      </c>
      <c r="G5099" s="1" t="s">
        <v>4040</v>
      </c>
      <c r="H5099" s="1" t="s">
        <v>4075</v>
      </c>
      <c r="I5099" s="1">
        <v>2</v>
      </c>
      <c r="J5099" s="3">
        <v>19650</v>
      </c>
      <c r="K5099" s="3">
        <v>18751</v>
      </c>
      <c r="L5099" s="1">
        <v>0</v>
      </c>
      <c r="M5099" s="4">
        <v>0</v>
      </c>
      <c r="N5099" s="1">
        <v>899</v>
      </c>
      <c r="O5099" s="4">
        <v>4.5999999999999999E-2</v>
      </c>
      <c r="P5099" s="1" t="s">
        <v>2721</v>
      </c>
    </row>
    <row r="5100" spans="1:16">
      <c r="A5100" s="1" t="s">
        <v>15</v>
      </c>
      <c r="B5100" s="1">
        <v>11</v>
      </c>
      <c r="C5100" s="1" t="s">
        <v>9725</v>
      </c>
      <c r="D5100" s="1" t="s">
        <v>32</v>
      </c>
      <c r="E5100" s="2">
        <v>45989</v>
      </c>
      <c r="F5100" s="1" t="s">
        <v>33</v>
      </c>
      <c r="G5100" s="1" t="s">
        <v>34</v>
      </c>
      <c r="H5100" s="1" t="s">
        <v>9726</v>
      </c>
      <c r="I5100" s="1">
        <v>1</v>
      </c>
      <c r="J5100" s="3">
        <v>81628</v>
      </c>
      <c r="K5100" s="3">
        <v>77892</v>
      </c>
      <c r="L5100" s="1">
        <v>0</v>
      </c>
      <c r="M5100" s="4">
        <v>0</v>
      </c>
      <c r="N5100" s="3">
        <v>3736</v>
      </c>
      <c r="O5100" s="4">
        <v>4.5999999999999999E-2</v>
      </c>
      <c r="P5100" s="1" t="s">
        <v>2721</v>
      </c>
    </row>
    <row r="5101" spans="1:16">
      <c r="A5101" s="1" t="s">
        <v>15</v>
      </c>
      <c r="B5101" s="1">
        <v>11</v>
      </c>
      <c r="C5101" s="1" t="s">
        <v>9727</v>
      </c>
      <c r="D5101" s="1" t="s">
        <v>3719</v>
      </c>
      <c r="E5101" s="2">
        <v>45989</v>
      </c>
      <c r="F5101" s="1" t="s">
        <v>488</v>
      </c>
      <c r="G5101" s="1" t="s">
        <v>3720</v>
      </c>
      <c r="H5101" s="1" t="s">
        <v>3721</v>
      </c>
      <c r="I5101" s="1">
        <v>1</v>
      </c>
      <c r="J5101" s="3">
        <v>8542</v>
      </c>
      <c r="K5101" s="3">
        <v>8151</v>
      </c>
      <c r="L5101" s="1">
        <v>0</v>
      </c>
      <c r="M5101" s="4">
        <v>0</v>
      </c>
      <c r="N5101" s="1">
        <v>391</v>
      </c>
      <c r="O5101" s="4">
        <v>4.5999999999999999E-2</v>
      </c>
      <c r="P5101" s="1" t="s">
        <v>2721</v>
      </c>
    </row>
    <row r="5102" spans="1:16">
      <c r="A5102" s="1" t="s">
        <v>15</v>
      </c>
      <c r="B5102" s="1">
        <v>11</v>
      </c>
      <c r="C5102" s="1" t="s">
        <v>9727</v>
      </c>
      <c r="D5102" s="1" t="s">
        <v>2310</v>
      </c>
      <c r="E5102" s="2">
        <v>45989</v>
      </c>
      <c r="F5102" s="1" t="s">
        <v>488</v>
      </c>
      <c r="G5102" s="1" t="s">
        <v>1726</v>
      </c>
      <c r="H5102" s="1" t="s">
        <v>1727</v>
      </c>
      <c r="I5102" s="1">
        <v>1</v>
      </c>
      <c r="J5102" s="3">
        <v>16711</v>
      </c>
      <c r="K5102" s="3">
        <v>15946</v>
      </c>
      <c r="L5102" s="1">
        <v>0</v>
      </c>
      <c r="M5102" s="4">
        <v>0</v>
      </c>
      <c r="N5102" s="1">
        <v>765</v>
      </c>
      <c r="O5102" s="4">
        <v>4.5999999999999999E-2</v>
      </c>
      <c r="P5102" s="1" t="s">
        <v>2721</v>
      </c>
    </row>
    <row r="5103" spans="1:16">
      <c r="A5103" s="1" t="s">
        <v>15</v>
      </c>
      <c r="B5103" s="1">
        <v>11</v>
      </c>
      <c r="C5103" s="1" t="s">
        <v>9728</v>
      </c>
      <c r="D5103" s="1" t="s">
        <v>9729</v>
      </c>
      <c r="E5103" s="2">
        <v>45989</v>
      </c>
      <c r="F5103" s="1" t="s">
        <v>96</v>
      </c>
      <c r="G5103" s="1" t="s">
        <v>9730</v>
      </c>
      <c r="H5103" s="1" t="s">
        <v>9731</v>
      </c>
      <c r="I5103" s="1">
        <v>1</v>
      </c>
      <c r="J5103" s="3">
        <v>11666</v>
      </c>
      <c r="K5103" s="3">
        <v>11132</v>
      </c>
      <c r="L5103" s="1">
        <v>0</v>
      </c>
      <c r="M5103" s="4">
        <v>0</v>
      </c>
      <c r="N5103" s="1">
        <v>534</v>
      </c>
      <c r="O5103" s="4">
        <v>4.5999999999999999E-2</v>
      </c>
      <c r="P5103" s="1" t="s">
        <v>2721</v>
      </c>
    </row>
    <row r="5104" spans="1:16">
      <c r="A5104" s="1" t="s">
        <v>15</v>
      </c>
      <c r="B5104" s="1">
        <v>11</v>
      </c>
      <c r="C5104" s="1" t="s">
        <v>9732</v>
      </c>
      <c r="D5104" s="1" t="s">
        <v>3180</v>
      </c>
      <c r="E5104" s="2">
        <v>45989</v>
      </c>
      <c r="F5104" s="1" t="s">
        <v>554</v>
      </c>
      <c r="G5104" s="1" t="s">
        <v>3181</v>
      </c>
      <c r="H5104" s="1" t="s">
        <v>3182</v>
      </c>
      <c r="I5104" s="1">
        <v>1</v>
      </c>
      <c r="J5104" s="3">
        <v>11255</v>
      </c>
      <c r="K5104" s="3">
        <v>10740</v>
      </c>
      <c r="L5104" s="1">
        <v>0</v>
      </c>
      <c r="M5104" s="4">
        <v>0</v>
      </c>
      <c r="N5104" s="1">
        <v>515</v>
      </c>
      <c r="O5104" s="4">
        <v>4.5999999999999999E-2</v>
      </c>
      <c r="P5104" s="1" t="s">
        <v>2721</v>
      </c>
    </row>
    <row r="5105" spans="1:16">
      <c r="A5105" s="1" t="s">
        <v>15</v>
      </c>
      <c r="B5105" s="1">
        <v>11</v>
      </c>
      <c r="C5105" s="1" t="s">
        <v>9733</v>
      </c>
      <c r="D5105" s="1" t="s">
        <v>178</v>
      </c>
      <c r="E5105" s="2">
        <v>45989</v>
      </c>
      <c r="F5105" s="1" t="s">
        <v>96</v>
      </c>
      <c r="G5105" s="1" t="s">
        <v>179</v>
      </c>
      <c r="H5105" s="1" t="s">
        <v>180</v>
      </c>
      <c r="I5105" s="1">
        <v>1</v>
      </c>
      <c r="J5105" s="3">
        <v>15284</v>
      </c>
      <c r="K5105" s="3">
        <v>14584</v>
      </c>
      <c r="L5105" s="1">
        <v>0</v>
      </c>
      <c r="M5105" s="4">
        <v>0</v>
      </c>
      <c r="N5105" s="1">
        <v>700</v>
      </c>
      <c r="O5105" s="4">
        <v>4.5999999999999999E-2</v>
      </c>
      <c r="P5105" s="1" t="s">
        <v>2721</v>
      </c>
    </row>
    <row r="5106" spans="1:16">
      <c r="A5106" s="1" t="s">
        <v>15</v>
      </c>
      <c r="B5106" s="1">
        <v>11</v>
      </c>
      <c r="C5106" s="1" t="s">
        <v>9734</v>
      </c>
      <c r="D5106" s="1" t="s">
        <v>329</v>
      </c>
      <c r="E5106" s="2">
        <v>45989</v>
      </c>
      <c r="F5106" s="1" t="s">
        <v>174</v>
      </c>
      <c r="G5106" s="1" t="s">
        <v>330</v>
      </c>
      <c r="H5106" s="1" t="s">
        <v>8222</v>
      </c>
      <c r="I5106" s="1">
        <v>1</v>
      </c>
      <c r="J5106" s="3">
        <v>16711</v>
      </c>
      <c r="K5106" s="3">
        <v>15946</v>
      </c>
      <c r="L5106" s="1">
        <v>0</v>
      </c>
      <c r="M5106" s="4">
        <v>0</v>
      </c>
      <c r="N5106" s="1">
        <v>765</v>
      </c>
      <c r="O5106" s="4">
        <v>4.5999999999999999E-2</v>
      </c>
      <c r="P5106" s="1" t="s">
        <v>2721</v>
      </c>
    </row>
    <row r="5107" spans="1:16">
      <c r="A5107" s="1" t="s">
        <v>15</v>
      </c>
      <c r="B5107" s="1">
        <v>11</v>
      </c>
      <c r="C5107" s="1" t="s">
        <v>9735</v>
      </c>
      <c r="D5107" s="1" t="s">
        <v>238</v>
      </c>
      <c r="E5107" s="2">
        <v>45989</v>
      </c>
      <c r="F5107" s="1" t="s">
        <v>239</v>
      </c>
      <c r="G5107" s="1" t="s">
        <v>240</v>
      </c>
      <c r="H5107" s="1" t="s">
        <v>241</v>
      </c>
      <c r="I5107" s="1">
        <v>1</v>
      </c>
      <c r="J5107" s="3">
        <v>11305</v>
      </c>
      <c r="K5107" s="3">
        <v>10787</v>
      </c>
      <c r="L5107" s="1">
        <v>0</v>
      </c>
      <c r="M5107" s="4">
        <v>0</v>
      </c>
      <c r="N5107" s="1">
        <v>518</v>
      </c>
      <c r="O5107" s="4">
        <v>4.5999999999999999E-2</v>
      </c>
      <c r="P5107" s="1" t="s">
        <v>2721</v>
      </c>
    </row>
    <row r="5108" spans="1:16">
      <c r="A5108" s="1" t="s">
        <v>15</v>
      </c>
      <c r="B5108" s="1">
        <v>11</v>
      </c>
      <c r="C5108" s="1" t="s">
        <v>9736</v>
      </c>
      <c r="D5108" s="1" t="s">
        <v>9737</v>
      </c>
      <c r="E5108" s="2">
        <v>45989</v>
      </c>
      <c r="F5108" s="1" t="s">
        <v>4109</v>
      </c>
      <c r="G5108" s="1" t="s">
        <v>9738</v>
      </c>
      <c r="H5108" s="1" t="s">
        <v>9739</v>
      </c>
      <c r="I5108" s="1">
        <v>1</v>
      </c>
      <c r="J5108" s="3">
        <v>21626</v>
      </c>
      <c r="K5108" s="3">
        <v>20636</v>
      </c>
      <c r="L5108" s="1">
        <v>0</v>
      </c>
      <c r="M5108" s="4">
        <v>0</v>
      </c>
      <c r="N5108" s="1">
        <v>990</v>
      </c>
      <c r="O5108" s="4">
        <v>4.5999999999999999E-2</v>
      </c>
      <c r="P5108" s="1" t="s">
        <v>2721</v>
      </c>
    </row>
    <row r="5109" spans="1:16">
      <c r="A5109" s="1" t="s">
        <v>15</v>
      </c>
      <c r="B5109" s="1">
        <v>11</v>
      </c>
      <c r="C5109" s="1" t="s">
        <v>9740</v>
      </c>
      <c r="D5109" s="1" t="s">
        <v>208</v>
      </c>
      <c r="E5109" s="2">
        <v>45989</v>
      </c>
      <c r="F5109" s="1" t="s">
        <v>126</v>
      </c>
      <c r="G5109" s="1" t="s">
        <v>209</v>
      </c>
      <c r="H5109" s="1" t="s">
        <v>210</v>
      </c>
      <c r="I5109" s="1">
        <v>1</v>
      </c>
      <c r="J5109" s="3">
        <v>19267</v>
      </c>
      <c r="K5109" s="3">
        <v>18385</v>
      </c>
      <c r="L5109" s="1">
        <v>0</v>
      </c>
      <c r="M5109" s="4">
        <v>0</v>
      </c>
      <c r="N5109" s="1">
        <v>882</v>
      </c>
      <c r="O5109" s="4">
        <v>4.5999999999999999E-2</v>
      </c>
      <c r="P5109" s="1" t="s">
        <v>2721</v>
      </c>
    </row>
    <row r="5110" spans="1:16">
      <c r="A5110" s="1" t="s">
        <v>15</v>
      </c>
      <c r="B5110" s="1">
        <v>11</v>
      </c>
      <c r="C5110" s="1" t="s">
        <v>9741</v>
      </c>
      <c r="D5110" s="1" t="s">
        <v>1517</v>
      </c>
      <c r="E5110" s="2">
        <v>45989</v>
      </c>
      <c r="F5110" s="1" t="s">
        <v>121</v>
      </c>
      <c r="G5110" s="1" t="s">
        <v>1518</v>
      </c>
      <c r="H5110" s="1" t="s">
        <v>1519</v>
      </c>
      <c r="I5110" s="1">
        <v>1</v>
      </c>
      <c r="J5110" s="3">
        <v>63895</v>
      </c>
      <c r="K5110" s="3">
        <v>60970</v>
      </c>
      <c r="L5110" s="1">
        <v>0</v>
      </c>
      <c r="M5110" s="4">
        <v>0</v>
      </c>
      <c r="N5110" s="3">
        <v>2925</v>
      </c>
      <c r="O5110" s="4">
        <v>4.5999999999999999E-2</v>
      </c>
      <c r="P5110" s="1" t="s">
        <v>2721</v>
      </c>
    </row>
    <row r="5111" spans="1:16">
      <c r="A5111" s="1" t="s">
        <v>15</v>
      </c>
      <c r="B5111" s="1">
        <v>11</v>
      </c>
      <c r="C5111" s="1" t="s">
        <v>9742</v>
      </c>
      <c r="D5111" s="1" t="s">
        <v>1438</v>
      </c>
      <c r="E5111" s="2">
        <v>45989</v>
      </c>
      <c r="F5111" s="1" t="s">
        <v>126</v>
      </c>
      <c r="G5111" s="1" t="s">
        <v>1439</v>
      </c>
      <c r="H5111" s="1" t="s">
        <v>1440</v>
      </c>
      <c r="I5111" s="1">
        <v>1</v>
      </c>
      <c r="J5111" s="3">
        <v>20643</v>
      </c>
      <c r="K5111" s="3">
        <v>19698</v>
      </c>
      <c r="L5111" s="1">
        <v>0</v>
      </c>
      <c r="M5111" s="4">
        <v>0</v>
      </c>
      <c r="N5111" s="1">
        <v>945</v>
      </c>
      <c r="O5111" s="4">
        <v>4.5999999999999999E-2</v>
      </c>
      <c r="P5111" s="1" t="s">
        <v>2721</v>
      </c>
    </row>
    <row r="5112" spans="1:16">
      <c r="A5112" s="1" t="s">
        <v>15</v>
      </c>
      <c r="B5112" s="1">
        <v>11</v>
      </c>
      <c r="C5112" s="1" t="s">
        <v>9743</v>
      </c>
      <c r="D5112" s="1" t="s">
        <v>4258</v>
      </c>
      <c r="E5112" s="2">
        <v>45989</v>
      </c>
      <c r="F5112" s="1" t="s">
        <v>1075</v>
      </c>
      <c r="G5112" s="1" t="s">
        <v>4259</v>
      </c>
      <c r="H5112" s="1" t="s">
        <v>4260</v>
      </c>
      <c r="I5112" s="1">
        <v>5</v>
      </c>
      <c r="J5112" s="3">
        <v>58489</v>
      </c>
      <c r="K5112" s="3">
        <v>55811</v>
      </c>
      <c r="L5112" s="1">
        <v>0</v>
      </c>
      <c r="M5112" s="4">
        <v>0</v>
      </c>
      <c r="N5112" s="3">
        <v>2678</v>
      </c>
      <c r="O5112" s="4">
        <v>4.5999999999999999E-2</v>
      </c>
      <c r="P5112" s="1" t="s">
        <v>2721</v>
      </c>
    </row>
    <row r="5113" spans="1:16">
      <c r="A5113" s="1" t="s">
        <v>15</v>
      </c>
      <c r="B5113" s="1">
        <v>11</v>
      </c>
      <c r="C5113" s="1" t="s">
        <v>9744</v>
      </c>
      <c r="D5113" s="1" t="s">
        <v>1181</v>
      </c>
      <c r="E5113" s="2">
        <v>45989</v>
      </c>
      <c r="F5113" s="1" t="s">
        <v>524</v>
      </c>
      <c r="G5113" s="1" t="s">
        <v>1182</v>
      </c>
      <c r="H5113" s="1" t="s">
        <v>1183</v>
      </c>
      <c r="I5113" s="1">
        <v>1</v>
      </c>
      <c r="J5113" s="3">
        <v>20121</v>
      </c>
      <c r="K5113" s="3">
        <v>19200</v>
      </c>
      <c r="L5113" s="1">
        <v>0</v>
      </c>
      <c r="M5113" s="4">
        <v>0</v>
      </c>
      <c r="N5113" s="1">
        <v>921</v>
      </c>
      <c r="O5113" s="4">
        <v>4.5999999999999999E-2</v>
      </c>
      <c r="P5113" s="1" t="s">
        <v>2721</v>
      </c>
    </row>
    <row r="5114" spans="1:16">
      <c r="A5114" s="1" t="s">
        <v>15</v>
      </c>
      <c r="B5114" s="1">
        <v>11</v>
      </c>
      <c r="C5114" s="1" t="s">
        <v>9745</v>
      </c>
      <c r="D5114" s="1" t="s">
        <v>7030</v>
      </c>
      <c r="E5114" s="2">
        <v>45989</v>
      </c>
      <c r="F5114" s="1" t="s">
        <v>96</v>
      </c>
      <c r="G5114" s="1" t="s">
        <v>7031</v>
      </c>
      <c r="H5114" s="1" t="s">
        <v>7032</v>
      </c>
      <c r="I5114" s="1">
        <v>1</v>
      </c>
      <c r="J5114" s="3">
        <v>14379</v>
      </c>
      <c r="K5114" s="3">
        <v>13721</v>
      </c>
      <c r="L5114" s="1">
        <v>0</v>
      </c>
      <c r="M5114" s="4">
        <v>0</v>
      </c>
      <c r="N5114" s="1">
        <v>658</v>
      </c>
      <c r="O5114" s="4">
        <v>4.5999999999999999E-2</v>
      </c>
      <c r="P5114" s="1" t="s">
        <v>2721</v>
      </c>
    </row>
    <row r="5115" spans="1:16">
      <c r="A5115" s="1" t="s">
        <v>15</v>
      </c>
      <c r="B5115" s="1">
        <v>11</v>
      </c>
      <c r="C5115" s="1" t="s">
        <v>9746</v>
      </c>
      <c r="D5115" s="1" t="s">
        <v>9747</v>
      </c>
      <c r="E5115" s="2">
        <v>45989</v>
      </c>
      <c r="F5115" s="1" t="s">
        <v>2173</v>
      </c>
      <c r="G5115" s="1" t="s">
        <v>9748</v>
      </c>
      <c r="H5115" s="1" t="s">
        <v>9749</v>
      </c>
      <c r="I5115" s="1">
        <v>1</v>
      </c>
      <c r="J5115" s="3">
        <v>17203</v>
      </c>
      <c r="K5115" s="3">
        <v>16415</v>
      </c>
      <c r="L5115" s="1">
        <v>0</v>
      </c>
      <c r="M5115" s="4">
        <v>0</v>
      </c>
      <c r="N5115" s="1">
        <v>788</v>
      </c>
      <c r="O5115" s="4">
        <v>4.5999999999999999E-2</v>
      </c>
      <c r="P5115" s="1" t="s">
        <v>2721</v>
      </c>
    </row>
    <row r="5116" spans="1:16">
      <c r="A5116" s="1" t="s">
        <v>15</v>
      </c>
      <c r="B5116" s="1">
        <v>11</v>
      </c>
      <c r="C5116" s="1" t="s">
        <v>9750</v>
      </c>
      <c r="D5116" s="1" t="s">
        <v>1250</v>
      </c>
      <c r="E5116" s="2">
        <v>45989</v>
      </c>
      <c r="F5116" s="1" t="s">
        <v>18</v>
      </c>
      <c r="G5116" s="1" t="s">
        <v>1251</v>
      </c>
      <c r="H5116" s="1" t="s">
        <v>1428</v>
      </c>
      <c r="I5116" s="1">
        <v>2</v>
      </c>
      <c r="J5116" s="3">
        <v>16790</v>
      </c>
      <c r="K5116" s="3">
        <v>16021</v>
      </c>
      <c r="L5116" s="1">
        <v>0</v>
      </c>
      <c r="M5116" s="4">
        <v>0</v>
      </c>
      <c r="N5116" s="1">
        <v>769</v>
      </c>
      <c r="O5116" s="4">
        <v>4.5999999999999999E-2</v>
      </c>
      <c r="P5116" s="1" t="s">
        <v>2721</v>
      </c>
    </row>
    <row r="5117" spans="1:16">
      <c r="A5117" s="1" t="s">
        <v>15</v>
      </c>
      <c r="B5117" s="1">
        <v>11</v>
      </c>
      <c r="C5117" s="1" t="s">
        <v>9751</v>
      </c>
      <c r="D5117" s="1" t="s">
        <v>3227</v>
      </c>
      <c r="E5117" s="2">
        <v>45989</v>
      </c>
      <c r="F5117" s="1" t="s">
        <v>3228</v>
      </c>
      <c r="G5117" s="1" t="s">
        <v>3229</v>
      </c>
      <c r="H5117" s="1" t="s">
        <v>3230</v>
      </c>
      <c r="I5117" s="1">
        <v>1</v>
      </c>
      <c r="J5117" s="3">
        <v>34405</v>
      </c>
      <c r="K5117" s="3">
        <v>32830</v>
      </c>
      <c r="L5117" s="1">
        <v>0</v>
      </c>
      <c r="M5117" s="4">
        <v>0</v>
      </c>
      <c r="N5117" s="3">
        <v>1575</v>
      </c>
      <c r="O5117" s="4">
        <v>4.5999999999999999E-2</v>
      </c>
      <c r="P5117" s="1" t="s">
        <v>2721</v>
      </c>
    </row>
    <row r="5118" spans="1:16">
      <c r="A5118" s="1" t="s">
        <v>15</v>
      </c>
      <c r="B5118" s="1">
        <v>11</v>
      </c>
      <c r="C5118" s="1" t="s">
        <v>9752</v>
      </c>
      <c r="D5118" s="1" t="s">
        <v>528</v>
      </c>
      <c r="E5118" s="2">
        <v>45989</v>
      </c>
      <c r="F5118" s="1" t="s">
        <v>297</v>
      </c>
      <c r="G5118" s="1" t="s">
        <v>529</v>
      </c>
      <c r="H5118" s="1" t="s">
        <v>5198</v>
      </c>
      <c r="I5118" s="1">
        <v>1</v>
      </c>
      <c r="J5118" s="3">
        <v>25232</v>
      </c>
      <c r="K5118" s="3">
        <v>24077</v>
      </c>
      <c r="L5118" s="1">
        <v>0</v>
      </c>
      <c r="M5118" s="4">
        <v>0</v>
      </c>
      <c r="N5118" s="3">
        <v>1155</v>
      </c>
      <c r="O5118" s="4">
        <v>4.5999999999999999E-2</v>
      </c>
      <c r="P5118" s="1" t="s">
        <v>2721</v>
      </c>
    </row>
    <row r="5119" spans="1:16">
      <c r="A5119" s="1" t="s">
        <v>15</v>
      </c>
      <c r="B5119" s="1">
        <v>11</v>
      </c>
      <c r="C5119" s="1" t="s">
        <v>9753</v>
      </c>
      <c r="D5119" s="1" t="s">
        <v>250</v>
      </c>
      <c r="E5119" s="2">
        <v>45989</v>
      </c>
      <c r="F5119" s="1" t="s">
        <v>251</v>
      </c>
      <c r="G5119" s="1" t="s">
        <v>252</v>
      </c>
      <c r="H5119" s="1" t="s">
        <v>2279</v>
      </c>
      <c r="I5119" s="1">
        <v>1</v>
      </c>
      <c r="J5119" s="3">
        <v>21626</v>
      </c>
      <c r="K5119" s="3">
        <v>20636</v>
      </c>
      <c r="L5119" s="1">
        <v>0</v>
      </c>
      <c r="M5119" s="4">
        <v>0</v>
      </c>
      <c r="N5119" s="1">
        <v>990</v>
      </c>
      <c r="O5119" s="4">
        <v>4.5999999999999999E-2</v>
      </c>
      <c r="P5119" s="1" t="s">
        <v>2721</v>
      </c>
    </row>
    <row r="5120" spans="1:16">
      <c r="A5120" s="1" t="s">
        <v>15</v>
      </c>
      <c r="B5120" s="1">
        <v>11</v>
      </c>
      <c r="C5120" s="1" t="s">
        <v>9754</v>
      </c>
      <c r="D5120" s="1" t="s">
        <v>549</v>
      </c>
      <c r="E5120" s="2">
        <v>45989</v>
      </c>
      <c r="F5120" s="1" t="s">
        <v>63</v>
      </c>
      <c r="G5120" s="1" t="s">
        <v>550</v>
      </c>
      <c r="H5120" s="1" t="s">
        <v>551</v>
      </c>
      <c r="I5120" s="1">
        <v>1</v>
      </c>
      <c r="J5120" s="3">
        <v>15422</v>
      </c>
      <c r="K5120" s="3">
        <v>14716</v>
      </c>
      <c r="L5120" s="1">
        <v>0</v>
      </c>
      <c r="M5120" s="4">
        <v>0</v>
      </c>
      <c r="N5120" s="1">
        <v>706</v>
      </c>
      <c r="O5120" s="4">
        <v>4.5999999999999999E-2</v>
      </c>
      <c r="P5120" s="1" t="s">
        <v>2721</v>
      </c>
    </row>
    <row r="5121" spans="1:16">
      <c r="A5121" s="1" t="s">
        <v>15</v>
      </c>
      <c r="B5121" s="1">
        <v>11</v>
      </c>
      <c r="C5121" s="1" t="s">
        <v>9755</v>
      </c>
      <c r="D5121" s="1" t="s">
        <v>169</v>
      </c>
      <c r="E5121" s="2">
        <v>45989</v>
      </c>
      <c r="F5121" s="1" t="s">
        <v>53</v>
      </c>
      <c r="G5121" s="1" t="s">
        <v>170</v>
      </c>
      <c r="H5121" s="1" t="s">
        <v>171</v>
      </c>
      <c r="I5121" s="1">
        <v>1</v>
      </c>
      <c r="J5121" s="3">
        <v>14332</v>
      </c>
      <c r="K5121" s="3">
        <v>13676</v>
      </c>
      <c r="L5121" s="1">
        <v>0</v>
      </c>
      <c r="M5121" s="4">
        <v>0</v>
      </c>
      <c r="N5121" s="1">
        <v>656</v>
      </c>
      <c r="O5121" s="4">
        <v>4.5999999999999999E-2</v>
      </c>
      <c r="P5121" s="1" t="s">
        <v>2721</v>
      </c>
    </row>
    <row r="5122" spans="1:16">
      <c r="A5122" s="1" t="s">
        <v>15</v>
      </c>
      <c r="B5122" s="1">
        <v>11</v>
      </c>
      <c r="C5122" s="1" t="s">
        <v>9756</v>
      </c>
      <c r="D5122" s="1" t="s">
        <v>270</v>
      </c>
      <c r="E5122" s="2">
        <v>45989</v>
      </c>
      <c r="F5122" s="1" t="s">
        <v>271</v>
      </c>
      <c r="G5122" s="1" t="s">
        <v>272</v>
      </c>
      <c r="H5122" s="1" t="s">
        <v>273</v>
      </c>
      <c r="I5122" s="1">
        <v>1</v>
      </c>
      <c r="J5122" s="3">
        <v>25067</v>
      </c>
      <c r="K5122" s="3">
        <v>23919</v>
      </c>
      <c r="L5122" s="1">
        <v>0</v>
      </c>
      <c r="M5122" s="4">
        <v>0</v>
      </c>
      <c r="N5122" s="3">
        <v>1148</v>
      </c>
      <c r="O5122" s="4">
        <v>4.5999999999999999E-2</v>
      </c>
      <c r="P5122" s="1" t="s">
        <v>2721</v>
      </c>
    </row>
    <row r="5123" spans="1:16">
      <c r="A5123" s="1" t="s">
        <v>15</v>
      </c>
      <c r="B5123" s="1">
        <v>11</v>
      </c>
      <c r="C5123" s="1" t="s">
        <v>9757</v>
      </c>
      <c r="D5123" s="1" t="s">
        <v>255</v>
      </c>
      <c r="E5123" s="2">
        <v>45989</v>
      </c>
      <c r="F5123" s="1" t="s">
        <v>256</v>
      </c>
      <c r="G5123" s="1" t="s">
        <v>257</v>
      </c>
      <c r="H5123" s="1" t="s">
        <v>1636</v>
      </c>
      <c r="I5123" s="1">
        <v>1</v>
      </c>
      <c r="J5123" s="3">
        <v>25558</v>
      </c>
      <c r="K5123" s="3">
        <v>24388</v>
      </c>
      <c r="L5123" s="1">
        <v>0</v>
      </c>
      <c r="M5123" s="4">
        <v>0</v>
      </c>
      <c r="N5123" s="3">
        <v>1170</v>
      </c>
      <c r="O5123" s="4">
        <v>4.5999999999999999E-2</v>
      </c>
      <c r="P5123" s="1" t="s">
        <v>2721</v>
      </c>
    </row>
    <row r="5124" spans="1:16">
      <c r="A5124" s="1" t="s">
        <v>15</v>
      </c>
      <c r="B5124" s="1">
        <v>11</v>
      </c>
      <c r="C5124" s="1" t="s">
        <v>9758</v>
      </c>
      <c r="D5124" s="1" t="s">
        <v>1208</v>
      </c>
      <c r="E5124" s="2">
        <v>45989</v>
      </c>
      <c r="F5124" s="1" t="s">
        <v>646</v>
      </c>
      <c r="G5124" s="1" t="s">
        <v>1209</v>
      </c>
      <c r="H5124" s="1" t="s">
        <v>1210</v>
      </c>
      <c r="I5124" s="1">
        <v>2</v>
      </c>
      <c r="J5124" s="3">
        <v>263444</v>
      </c>
      <c r="K5124" s="3">
        <v>251384</v>
      </c>
      <c r="L5124" s="1">
        <v>0</v>
      </c>
      <c r="M5124" s="4">
        <v>0</v>
      </c>
      <c r="N5124" s="3">
        <v>12060</v>
      </c>
      <c r="O5124" s="4">
        <v>4.5999999999999999E-2</v>
      </c>
      <c r="P5124" s="1" t="s">
        <v>2721</v>
      </c>
    </row>
    <row r="5125" spans="1:16">
      <c r="A5125" s="1" t="s">
        <v>15</v>
      </c>
      <c r="B5125" s="1">
        <v>11</v>
      </c>
      <c r="C5125" s="1" t="s">
        <v>9759</v>
      </c>
      <c r="D5125" s="1" t="s">
        <v>32</v>
      </c>
      <c r="E5125" s="2">
        <v>45989</v>
      </c>
      <c r="F5125" s="1" t="s">
        <v>33</v>
      </c>
      <c r="G5125" s="1" t="s">
        <v>34</v>
      </c>
      <c r="H5125" s="1" t="s">
        <v>7127</v>
      </c>
      <c r="I5125" s="1">
        <v>1</v>
      </c>
      <c r="J5125" s="3">
        <v>89650</v>
      </c>
      <c r="K5125" s="3">
        <v>85546</v>
      </c>
      <c r="L5125" s="1">
        <v>0</v>
      </c>
      <c r="M5125" s="4">
        <v>0</v>
      </c>
      <c r="N5125" s="3">
        <v>4104</v>
      </c>
      <c r="O5125" s="4">
        <v>4.5999999999999999E-2</v>
      </c>
      <c r="P5125" s="1" t="s">
        <v>2721</v>
      </c>
    </row>
    <row r="5126" spans="1:16">
      <c r="A5126" s="1" t="s">
        <v>15</v>
      </c>
      <c r="B5126" s="1">
        <v>11</v>
      </c>
      <c r="C5126" s="1" t="s">
        <v>9759</v>
      </c>
      <c r="D5126" s="1" t="s">
        <v>32</v>
      </c>
      <c r="E5126" s="2">
        <v>45989</v>
      </c>
      <c r="F5126" s="1" t="s">
        <v>33</v>
      </c>
      <c r="G5126" s="1" t="s">
        <v>34</v>
      </c>
      <c r="H5126" s="1" t="s">
        <v>9760</v>
      </c>
      <c r="I5126" s="1">
        <v>1</v>
      </c>
      <c r="J5126" s="3">
        <v>82781</v>
      </c>
      <c r="K5126" s="3">
        <v>78992</v>
      </c>
      <c r="L5126" s="1">
        <v>0</v>
      </c>
      <c r="M5126" s="4">
        <v>0</v>
      </c>
      <c r="N5126" s="3">
        <v>3789</v>
      </c>
      <c r="O5126" s="4">
        <v>4.5999999999999999E-2</v>
      </c>
      <c r="P5126" s="1" t="s">
        <v>2721</v>
      </c>
    </row>
    <row r="5127" spans="1:16">
      <c r="A5127" s="1" t="s">
        <v>15</v>
      </c>
      <c r="B5127" s="1">
        <v>11</v>
      </c>
      <c r="C5127" s="1" t="s">
        <v>9759</v>
      </c>
      <c r="D5127" s="1" t="s">
        <v>9761</v>
      </c>
      <c r="E5127" s="2">
        <v>45989</v>
      </c>
      <c r="F5127" s="1" t="s">
        <v>33</v>
      </c>
      <c r="G5127" s="1" t="s">
        <v>9762</v>
      </c>
      <c r="H5127" s="1" t="s">
        <v>9763</v>
      </c>
      <c r="I5127" s="1">
        <v>1</v>
      </c>
      <c r="J5127" s="3">
        <v>20957</v>
      </c>
      <c r="K5127" s="3">
        <v>19997</v>
      </c>
      <c r="L5127" s="1">
        <v>0</v>
      </c>
      <c r="M5127" s="4">
        <v>0</v>
      </c>
      <c r="N5127" s="1">
        <v>960</v>
      </c>
      <c r="O5127" s="4">
        <v>4.5999999999999999E-2</v>
      </c>
      <c r="P5127" s="1" t="s">
        <v>2721</v>
      </c>
    </row>
    <row r="5128" spans="1:16">
      <c r="A5128" s="1" t="s">
        <v>15</v>
      </c>
      <c r="B5128" s="1">
        <v>11</v>
      </c>
      <c r="C5128" s="1" t="s">
        <v>9759</v>
      </c>
      <c r="D5128" s="1" t="s">
        <v>32</v>
      </c>
      <c r="E5128" s="2">
        <v>45989</v>
      </c>
      <c r="F5128" s="1" t="s">
        <v>33</v>
      </c>
      <c r="G5128" s="1" t="s">
        <v>34</v>
      </c>
      <c r="H5128" s="1" t="s">
        <v>9764</v>
      </c>
      <c r="I5128" s="1">
        <v>1</v>
      </c>
      <c r="J5128" s="3">
        <v>73620</v>
      </c>
      <c r="K5128" s="3">
        <v>70250</v>
      </c>
      <c r="L5128" s="1">
        <v>0</v>
      </c>
      <c r="M5128" s="4">
        <v>0</v>
      </c>
      <c r="N5128" s="3">
        <v>3370</v>
      </c>
      <c r="O5128" s="4">
        <v>4.5999999999999999E-2</v>
      </c>
      <c r="P5128" s="1" t="s">
        <v>2721</v>
      </c>
    </row>
    <row r="5129" spans="1:16">
      <c r="A5129" s="1" t="s">
        <v>15</v>
      </c>
      <c r="B5129" s="1">
        <v>11</v>
      </c>
      <c r="C5129" s="1" t="s">
        <v>9759</v>
      </c>
      <c r="D5129" s="1" t="s">
        <v>32</v>
      </c>
      <c r="E5129" s="2">
        <v>45989</v>
      </c>
      <c r="F5129" s="1" t="s">
        <v>33</v>
      </c>
      <c r="G5129" s="1" t="s">
        <v>34</v>
      </c>
      <c r="H5129" s="1" t="s">
        <v>9765</v>
      </c>
      <c r="I5129" s="1">
        <v>1</v>
      </c>
      <c r="J5129" s="3">
        <v>79966</v>
      </c>
      <c r="K5129" s="3">
        <v>76305</v>
      </c>
      <c r="L5129" s="1">
        <v>0</v>
      </c>
      <c r="M5129" s="4">
        <v>0</v>
      </c>
      <c r="N5129" s="3">
        <v>3661</v>
      </c>
      <c r="O5129" s="4">
        <v>4.5999999999999999E-2</v>
      </c>
      <c r="P5129" s="1" t="s">
        <v>2721</v>
      </c>
    </row>
    <row r="5130" spans="1:16">
      <c r="A5130" s="1" t="s">
        <v>15</v>
      </c>
      <c r="B5130" s="1">
        <v>11</v>
      </c>
      <c r="C5130" s="1" t="s">
        <v>9759</v>
      </c>
      <c r="D5130" s="1" t="s">
        <v>32</v>
      </c>
      <c r="E5130" s="2">
        <v>45989</v>
      </c>
      <c r="F5130" s="1" t="s">
        <v>33</v>
      </c>
      <c r="G5130" s="1" t="s">
        <v>34</v>
      </c>
      <c r="H5130" s="1" t="s">
        <v>9766</v>
      </c>
      <c r="I5130" s="1">
        <v>1</v>
      </c>
      <c r="J5130" s="3">
        <v>92186</v>
      </c>
      <c r="K5130" s="3">
        <v>87966</v>
      </c>
      <c r="L5130" s="1">
        <v>0</v>
      </c>
      <c r="M5130" s="4">
        <v>0</v>
      </c>
      <c r="N5130" s="3">
        <v>4220</v>
      </c>
      <c r="O5130" s="4">
        <v>4.5999999999999999E-2</v>
      </c>
      <c r="P5130" s="1" t="s">
        <v>2721</v>
      </c>
    </row>
    <row r="5131" spans="1:16">
      <c r="A5131" s="1" t="s">
        <v>15</v>
      </c>
      <c r="B5131" s="1">
        <v>11</v>
      </c>
      <c r="C5131" s="1" t="s">
        <v>9759</v>
      </c>
      <c r="D5131" s="1" t="s">
        <v>9761</v>
      </c>
      <c r="E5131" s="2">
        <v>45989</v>
      </c>
      <c r="F5131" s="1" t="s">
        <v>33</v>
      </c>
      <c r="G5131" s="1" t="s">
        <v>9762</v>
      </c>
      <c r="H5131" s="1" t="s">
        <v>9767</v>
      </c>
      <c r="I5131" s="1">
        <v>2</v>
      </c>
      <c r="J5131" s="3">
        <v>27424</v>
      </c>
      <c r="K5131" s="3">
        <v>26168</v>
      </c>
      <c r="L5131" s="1">
        <v>0</v>
      </c>
      <c r="M5131" s="4">
        <v>0</v>
      </c>
      <c r="N5131" s="3">
        <v>1256</v>
      </c>
      <c r="O5131" s="4">
        <v>4.5999999999999999E-2</v>
      </c>
      <c r="P5131" s="1" t="s">
        <v>2721</v>
      </c>
    </row>
    <row r="5132" spans="1:16">
      <c r="A5132" s="1" t="s">
        <v>15</v>
      </c>
      <c r="B5132" s="1">
        <v>11</v>
      </c>
      <c r="C5132" s="1" t="s">
        <v>9759</v>
      </c>
      <c r="D5132" s="1" t="s">
        <v>9761</v>
      </c>
      <c r="E5132" s="2">
        <v>45989</v>
      </c>
      <c r="F5132" s="1" t="s">
        <v>33</v>
      </c>
      <c r="G5132" s="1" t="s">
        <v>9762</v>
      </c>
      <c r="H5132" s="1" t="s">
        <v>9768</v>
      </c>
      <c r="I5132" s="1">
        <v>2</v>
      </c>
      <c r="J5132" s="3">
        <v>35408</v>
      </c>
      <c r="K5132" s="3">
        <v>33787</v>
      </c>
      <c r="L5132" s="1">
        <v>0</v>
      </c>
      <c r="M5132" s="4">
        <v>0</v>
      </c>
      <c r="N5132" s="3">
        <v>1621</v>
      </c>
      <c r="O5132" s="4">
        <v>4.5999999999999999E-2</v>
      </c>
      <c r="P5132" s="1" t="s">
        <v>2721</v>
      </c>
    </row>
    <row r="5133" spans="1:16">
      <c r="A5133" s="1" t="s">
        <v>15</v>
      </c>
      <c r="B5133" s="1">
        <v>11</v>
      </c>
      <c r="C5133" s="1" t="s">
        <v>9759</v>
      </c>
      <c r="D5133" s="1" t="s">
        <v>32</v>
      </c>
      <c r="E5133" s="2">
        <v>45989</v>
      </c>
      <c r="F5133" s="1" t="s">
        <v>33</v>
      </c>
      <c r="G5133" s="1" t="s">
        <v>34</v>
      </c>
      <c r="H5133" s="1" t="s">
        <v>9769</v>
      </c>
      <c r="I5133" s="1">
        <v>1</v>
      </c>
      <c r="J5133" s="3">
        <v>99490</v>
      </c>
      <c r="K5133" s="3">
        <v>94936</v>
      </c>
      <c r="L5133" s="1">
        <v>0</v>
      </c>
      <c r="M5133" s="4">
        <v>0</v>
      </c>
      <c r="N5133" s="3">
        <v>4554</v>
      </c>
      <c r="O5133" s="4">
        <v>4.5999999999999999E-2</v>
      </c>
      <c r="P5133" s="1" t="s">
        <v>2721</v>
      </c>
    </row>
    <row r="5134" spans="1:16">
      <c r="A5134" s="1" t="s">
        <v>15</v>
      </c>
      <c r="B5134" s="1">
        <v>11</v>
      </c>
      <c r="C5134" s="1" t="s">
        <v>9770</v>
      </c>
      <c r="D5134" s="1" t="s">
        <v>5800</v>
      </c>
      <c r="E5134" s="2">
        <v>45989</v>
      </c>
      <c r="F5134" s="1" t="s">
        <v>554</v>
      </c>
      <c r="G5134" s="1" t="s">
        <v>5801</v>
      </c>
      <c r="H5134" s="1" t="s">
        <v>2109</v>
      </c>
      <c r="I5134" s="1">
        <v>1</v>
      </c>
      <c r="J5134" s="3">
        <v>21184</v>
      </c>
      <c r="K5134" s="3">
        <v>20214</v>
      </c>
      <c r="L5134" s="1">
        <v>0</v>
      </c>
      <c r="M5134" s="4">
        <v>0</v>
      </c>
      <c r="N5134" s="1">
        <v>970</v>
      </c>
      <c r="O5134" s="4">
        <v>4.5999999999999999E-2</v>
      </c>
      <c r="P5134" s="1" t="s">
        <v>2721</v>
      </c>
    </row>
    <row r="5135" spans="1:16">
      <c r="A5135" s="1" t="s">
        <v>15</v>
      </c>
      <c r="B5135" s="1">
        <v>11</v>
      </c>
      <c r="C5135" s="1" t="s">
        <v>9771</v>
      </c>
      <c r="D5135" s="1" t="s">
        <v>169</v>
      </c>
      <c r="E5135" s="2">
        <v>45989</v>
      </c>
      <c r="F5135" s="1" t="s">
        <v>53</v>
      </c>
      <c r="G5135" s="1" t="s">
        <v>170</v>
      </c>
      <c r="H5135" s="1" t="s">
        <v>171</v>
      </c>
      <c r="I5135" s="1">
        <v>1</v>
      </c>
      <c r="J5135" s="3">
        <v>14332</v>
      </c>
      <c r="K5135" s="3">
        <v>13676</v>
      </c>
      <c r="L5135" s="1">
        <v>0</v>
      </c>
      <c r="M5135" s="4">
        <v>0</v>
      </c>
      <c r="N5135" s="1">
        <v>656</v>
      </c>
      <c r="O5135" s="4">
        <v>4.5999999999999999E-2</v>
      </c>
      <c r="P5135" s="1" t="s">
        <v>2721</v>
      </c>
    </row>
    <row r="5136" spans="1:16">
      <c r="A5136" s="1" t="s">
        <v>15</v>
      </c>
      <c r="B5136" s="1">
        <v>11</v>
      </c>
      <c r="C5136" s="1" t="s">
        <v>9772</v>
      </c>
      <c r="D5136" s="1" t="s">
        <v>228</v>
      </c>
      <c r="E5136" s="2">
        <v>45989</v>
      </c>
      <c r="F5136" s="1" t="s">
        <v>53</v>
      </c>
      <c r="G5136" s="1" t="s">
        <v>229</v>
      </c>
      <c r="H5136" s="1" t="s">
        <v>230</v>
      </c>
      <c r="I5136" s="1">
        <v>1</v>
      </c>
      <c r="J5136" s="3">
        <v>9825</v>
      </c>
      <c r="K5136" s="3">
        <v>9375</v>
      </c>
      <c r="L5136" s="1">
        <v>0</v>
      </c>
      <c r="M5136" s="4">
        <v>0</v>
      </c>
      <c r="N5136" s="1">
        <v>450</v>
      </c>
      <c r="O5136" s="4">
        <v>4.5999999999999999E-2</v>
      </c>
      <c r="P5136" s="1" t="s">
        <v>2721</v>
      </c>
    </row>
    <row r="5137" spans="1:16">
      <c r="A5137" s="1" t="s">
        <v>15</v>
      </c>
      <c r="B5137" s="1">
        <v>11</v>
      </c>
      <c r="C5137" s="1" t="s">
        <v>9773</v>
      </c>
      <c r="D5137" s="1" t="s">
        <v>1346</v>
      </c>
      <c r="E5137" s="2">
        <v>45989</v>
      </c>
      <c r="F5137" s="1" t="s">
        <v>317</v>
      </c>
      <c r="G5137" s="1" t="s">
        <v>1347</v>
      </c>
      <c r="H5137" s="1" t="s">
        <v>742</v>
      </c>
      <c r="I5137" s="1">
        <v>1</v>
      </c>
      <c r="J5137" s="3">
        <v>27524</v>
      </c>
      <c r="K5137" s="3">
        <v>26264</v>
      </c>
      <c r="L5137" s="1">
        <v>0</v>
      </c>
      <c r="M5137" s="4">
        <v>0</v>
      </c>
      <c r="N5137" s="3">
        <v>1260</v>
      </c>
      <c r="O5137" s="4">
        <v>4.5999999999999999E-2</v>
      </c>
      <c r="P5137" s="1" t="s">
        <v>2721</v>
      </c>
    </row>
    <row r="5138" spans="1:16">
      <c r="A5138" s="1" t="s">
        <v>15</v>
      </c>
      <c r="B5138" s="1">
        <v>11</v>
      </c>
      <c r="C5138" s="1" t="s">
        <v>9774</v>
      </c>
      <c r="D5138" s="1" t="s">
        <v>250</v>
      </c>
      <c r="E5138" s="2">
        <v>45989</v>
      </c>
      <c r="F5138" s="1" t="s">
        <v>251</v>
      </c>
      <c r="G5138" s="1" t="s">
        <v>252</v>
      </c>
      <c r="H5138" s="1" t="s">
        <v>253</v>
      </c>
      <c r="I5138" s="1">
        <v>1</v>
      </c>
      <c r="J5138" s="3">
        <v>17203</v>
      </c>
      <c r="K5138" s="3">
        <v>16415</v>
      </c>
      <c r="L5138" s="1">
        <v>0</v>
      </c>
      <c r="M5138" s="4">
        <v>0</v>
      </c>
      <c r="N5138" s="1">
        <v>788</v>
      </c>
      <c r="O5138" s="4">
        <v>4.5999999999999999E-2</v>
      </c>
      <c r="P5138" s="1" t="s">
        <v>2721</v>
      </c>
    </row>
    <row r="5139" spans="1:16">
      <c r="A5139" s="1" t="s">
        <v>15</v>
      </c>
      <c r="B5139" s="1">
        <v>11</v>
      </c>
      <c r="C5139" s="1" t="s">
        <v>9775</v>
      </c>
      <c r="D5139" s="1" t="s">
        <v>228</v>
      </c>
      <c r="E5139" s="2">
        <v>45989</v>
      </c>
      <c r="F5139" s="1" t="s">
        <v>53</v>
      </c>
      <c r="G5139" s="1" t="s">
        <v>229</v>
      </c>
      <c r="H5139" s="1" t="s">
        <v>230</v>
      </c>
      <c r="I5139" s="1">
        <v>1</v>
      </c>
      <c r="J5139" s="3">
        <v>9825</v>
      </c>
      <c r="K5139" s="3">
        <v>9375</v>
      </c>
      <c r="L5139" s="1">
        <v>0</v>
      </c>
      <c r="M5139" s="4">
        <v>0</v>
      </c>
      <c r="N5139" s="1">
        <v>450</v>
      </c>
      <c r="O5139" s="4">
        <v>4.5999999999999999E-2</v>
      </c>
      <c r="P5139" s="1" t="s">
        <v>2721</v>
      </c>
    </row>
    <row r="5140" spans="1:16">
      <c r="A5140" s="1" t="s">
        <v>15</v>
      </c>
      <c r="B5140" s="1">
        <v>11</v>
      </c>
      <c r="C5140" s="1" t="s">
        <v>9776</v>
      </c>
      <c r="D5140" s="1" t="s">
        <v>132</v>
      </c>
      <c r="E5140" s="2">
        <v>45989</v>
      </c>
      <c r="F5140" s="1" t="s">
        <v>53</v>
      </c>
      <c r="G5140" s="1" t="s">
        <v>133</v>
      </c>
      <c r="H5140" s="1" t="s">
        <v>88</v>
      </c>
      <c r="I5140" s="1">
        <v>1</v>
      </c>
      <c r="J5140" s="3">
        <v>17036</v>
      </c>
      <c r="K5140" s="3">
        <v>16256</v>
      </c>
      <c r="L5140" s="1">
        <v>0</v>
      </c>
      <c r="M5140" s="4">
        <v>0</v>
      </c>
      <c r="N5140" s="1">
        <v>780</v>
      </c>
      <c r="O5140" s="4">
        <v>4.5999999999999999E-2</v>
      </c>
      <c r="P5140" s="1" t="s">
        <v>2721</v>
      </c>
    </row>
    <row r="5141" spans="1:16">
      <c r="A5141" s="1" t="s">
        <v>15</v>
      </c>
      <c r="B5141" s="1">
        <v>11</v>
      </c>
      <c r="C5141" s="1" t="s">
        <v>9777</v>
      </c>
      <c r="D5141" s="1" t="s">
        <v>37</v>
      </c>
      <c r="E5141" s="2">
        <v>45989</v>
      </c>
      <c r="F5141" s="1" t="s">
        <v>38</v>
      </c>
      <c r="G5141" s="1" t="s">
        <v>39</v>
      </c>
      <c r="H5141" s="1" t="s">
        <v>40</v>
      </c>
      <c r="I5141" s="1">
        <v>1</v>
      </c>
      <c r="J5141" s="3">
        <v>89453</v>
      </c>
      <c r="K5141" s="3">
        <v>85358</v>
      </c>
      <c r="L5141" s="1">
        <v>0</v>
      </c>
      <c r="M5141" s="4">
        <v>0</v>
      </c>
      <c r="N5141" s="3">
        <v>4095</v>
      </c>
      <c r="O5141" s="4">
        <v>4.5999999999999999E-2</v>
      </c>
      <c r="P5141" s="1" t="s">
        <v>2721</v>
      </c>
    </row>
    <row r="5142" spans="1:16">
      <c r="A5142" s="1" t="s">
        <v>15</v>
      </c>
      <c r="B5142" s="1">
        <v>11</v>
      </c>
      <c r="C5142" s="1" t="s">
        <v>9778</v>
      </c>
      <c r="D5142" s="1" t="s">
        <v>80</v>
      </c>
      <c r="E5142" s="2">
        <v>45989</v>
      </c>
      <c r="F5142" s="1" t="s">
        <v>58</v>
      </c>
      <c r="G5142" s="1" t="s">
        <v>81</v>
      </c>
      <c r="H5142" s="1" t="s">
        <v>2297</v>
      </c>
      <c r="I5142" s="1">
        <v>1</v>
      </c>
      <c r="J5142" s="3">
        <v>17301</v>
      </c>
      <c r="K5142" s="3">
        <v>16509</v>
      </c>
      <c r="L5142" s="1">
        <v>0</v>
      </c>
      <c r="M5142" s="4">
        <v>0</v>
      </c>
      <c r="N5142" s="1">
        <v>792</v>
      </c>
      <c r="O5142" s="4">
        <v>4.5999999999999999E-2</v>
      </c>
      <c r="P5142" s="1" t="s">
        <v>2721</v>
      </c>
    </row>
    <row r="5143" spans="1:16">
      <c r="A5143" s="1" t="s">
        <v>15</v>
      </c>
      <c r="B5143" s="1">
        <v>11</v>
      </c>
      <c r="C5143" s="1" t="s">
        <v>9778</v>
      </c>
      <c r="D5143" s="1" t="s">
        <v>80</v>
      </c>
      <c r="E5143" s="2">
        <v>45989</v>
      </c>
      <c r="F5143" s="1" t="s">
        <v>58</v>
      </c>
      <c r="G5143" s="1" t="s">
        <v>81</v>
      </c>
      <c r="H5143" s="1" t="s">
        <v>3867</v>
      </c>
      <c r="I5143" s="1">
        <v>1</v>
      </c>
      <c r="J5143" s="3">
        <v>17301</v>
      </c>
      <c r="K5143" s="3">
        <v>16509</v>
      </c>
      <c r="L5143" s="1">
        <v>0</v>
      </c>
      <c r="M5143" s="4">
        <v>0</v>
      </c>
      <c r="N5143" s="1">
        <v>792</v>
      </c>
      <c r="O5143" s="4">
        <v>4.5999999999999999E-2</v>
      </c>
      <c r="P5143" s="1" t="s">
        <v>2721</v>
      </c>
    </row>
    <row r="5144" spans="1:16">
      <c r="A5144" s="1" t="s">
        <v>15</v>
      </c>
      <c r="B5144" s="1">
        <v>11</v>
      </c>
      <c r="C5144" s="1" t="s">
        <v>9779</v>
      </c>
      <c r="D5144" s="1" t="s">
        <v>169</v>
      </c>
      <c r="E5144" s="2">
        <v>45989</v>
      </c>
      <c r="F5144" s="1" t="s">
        <v>53</v>
      </c>
      <c r="G5144" s="1" t="s">
        <v>170</v>
      </c>
      <c r="H5144" s="1" t="s">
        <v>171</v>
      </c>
      <c r="I5144" s="1">
        <v>1</v>
      </c>
      <c r="J5144" s="3">
        <v>14332</v>
      </c>
      <c r="K5144" s="3">
        <v>13676</v>
      </c>
      <c r="L5144" s="1">
        <v>0</v>
      </c>
      <c r="M5144" s="4">
        <v>0</v>
      </c>
      <c r="N5144" s="1">
        <v>656</v>
      </c>
      <c r="O5144" s="4">
        <v>4.5999999999999999E-2</v>
      </c>
      <c r="P5144" s="1" t="s">
        <v>2721</v>
      </c>
    </row>
    <row r="5145" spans="1:16">
      <c r="A5145" s="1" t="s">
        <v>15</v>
      </c>
      <c r="B5145" s="1">
        <v>11</v>
      </c>
      <c r="C5145" s="1" t="s">
        <v>9780</v>
      </c>
      <c r="D5145" s="1" t="s">
        <v>777</v>
      </c>
      <c r="E5145" s="2">
        <v>45989</v>
      </c>
      <c r="F5145" s="1" t="s">
        <v>256</v>
      </c>
      <c r="G5145" s="1" t="s">
        <v>778</v>
      </c>
      <c r="H5145" s="1" t="s">
        <v>779</v>
      </c>
      <c r="I5145" s="1">
        <v>1</v>
      </c>
      <c r="J5145" s="3">
        <v>11010</v>
      </c>
      <c r="K5145" s="3">
        <v>10506</v>
      </c>
      <c r="L5145" s="1">
        <v>0</v>
      </c>
      <c r="M5145" s="4">
        <v>0</v>
      </c>
      <c r="N5145" s="1">
        <v>504</v>
      </c>
      <c r="O5145" s="4">
        <v>4.5999999999999999E-2</v>
      </c>
      <c r="P5145" s="1" t="s">
        <v>2721</v>
      </c>
    </row>
    <row r="5146" spans="1:16">
      <c r="A5146" s="1" t="s">
        <v>15</v>
      </c>
      <c r="B5146" s="1">
        <v>11</v>
      </c>
      <c r="C5146" s="1" t="s">
        <v>9781</v>
      </c>
      <c r="D5146" s="1" t="s">
        <v>482</v>
      </c>
      <c r="E5146" s="2">
        <v>45989</v>
      </c>
      <c r="F5146" s="1" t="s">
        <v>483</v>
      </c>
      <c r="G5146" s="1" t="s">
        <v>484</v>
      </c>
      <c r="H5146" s="1" t="s">
        <v>1610</v>
      </c>
      <c r="I5146" s="1">
        <v>1</v>
      </c>
      <c r="J5146" s="3">
        <v>81098</v>
      </c>
      <c r="K5146" s="3">
        <v>77385</v>
      </c>
      <c r="L5146" s="1">
        <v>0</v>
      </c>
      <c r="M5146" s="4">
        <v>0</v>
      </c>
      <c r="N5146" s="3">
        <v>3713</v>
      </c>
      <c r="O5146" s="4">
        <v>4.5999999999999999E-2</v>
      </c>
      <c r="P5146" s="1" t="s">
        <v>2721</v>
      </c>
    </row>
    <row r="5147" spans="1:16">
      <c r="A5147" s="1" t="s">
        <v>15</v>
      </c>
      <c r="B5147" s="1">
        <v>11</v>
      </c>
      <c r="C5147" s="1" t="s">
        <v>9782</v>
      </c>
      <c r="D5147" s="1" t="s">
        <v>27</v>
      </c>
      <c r="E5147" s="2">
        <v>45989</v>
      </c>
      <c r="F5147" s="1" t="s">
        <v>28</v>
      </c>
      <c r="G5147" s="1" t="s">
        <v>29</v>
      </c>
      <c r="H5147" s="1" t="s">
        <v>352</v>
      </c>
      <c r="I5147" s="1">
        <v>1</v>
      </c>
      <c r="J5147" s="3">
        <v>27033</v>
      </c>
      <c r="K5147" s="3">
        <v>25795</v>
      </c>
      <c r="L5147" s="1">
        <v>0</v>
      </c>
      <c r="M5147" s="4">
        <v>0</v>
      </c>
      <c r="N5147" s="3">
        <v>1238</v>
      </c>
      <c r="O5147" s="4">
        <v>4.5999999999999999E-2</v>
      </c>
      <c r="P5147" s="1" t="s">
        <v>2721</v>
      </c>
    </row>
    <row r="5148" spans="1:16">
      <c r="A5148" s="1" t="s">
        <v>15</v>
      </c>
      <c r="B5148" s="1">
        <v>11</v>
      </c>
      <c r="C5148" s="1" t="s">
        <v>9783</v>
      </c>
      <c r="D5148" s="1" t="s">
        <v>3557</v>
      </c>
      <c r="E5148" s="2">
        <v>45989</v>
      </c>
      <c r="F5148" s="1" t="s">
        <v>2537</v>
      </c>
      <c r="G5148" s="1" t="s">
        <v>3558</v>
      </c>
      <c r="H5148" s="1" t="s">
        <v>3559</v>
      </c>
      <c r="I5148" s="1">
        <v>1</v>
      </c>
      <c r="J5148" s="3">
        <v>17694</v>
      </c>
      <c r="K5148" s="3">
        <v>16884</v>
      </c>
      <c r="L5148" s="1">
        <v>0</v>
      </c>
      <c r="M5148" s="4">
        <v>0</v>
      </c>
      <c r="N5148" s="1">
        <v>810</v>
      </c>
      <c r="O5148" s="4">
        <v>4.5999999999999999E-2</v>
      </c>
      <c r="P5148" s="1" t="s">
        <v>2721</v>
      </c>
    </row>
    <row r="5149" spans="1:16">
      <c r="A5149" s="1" t="s">
        <v>15</v>
      </c>
      <c r="B5149" s="1">
        <v>11</v>
      </c>
      <c r="C5149" s="1" t="s">
        <v>9784</v>
      </c>
      <c r="D5149" s="1" t="s">
        <v>3998</v>
      </c>
      <c r="E5149" s="2">
        <v>45989</v>
      </c>
      <c r="F5149" s="1" t="s">
        <v>96</v>
      </c>
      <c r="G5149" s="1" t="s">
        <v>3999</v>
      </c>
      <c r="H5149" s="1" t="s">
        <v>6122</v>
      </c>
      <c r="I5149" s="1">
        <v>1</v>
      </c>
      <c r="J5149" s="3">
        <v>13385</v>
      </c>
      <c r="K5149" s="3">
        <v>12772</v>
      </c>
      <c r="L5149" s="1">
        <v>0</v>
      </c>
      <c r="M5149" s="4">
        <v>0</v>
      </c>
      <c r="N5149" s="1">
        <v>613</v>
      </c>
      <c r="O5149" s="4">
        <v>4.5999999999999999E-2</v>
      </c>
      <c r="P5149" s="1" t="s">
        <v>2721</v>
      </c>
    </row>
    <row r="5150" spans="1:16">
      <c r="A5150" s="1" t="s">
        <v>15</v>
      </c>
      <c r="B5150" s="1">
        <v>11</v>
      </c>
      <c r="C5150" s="1" t="s">
        <v>9785</v>
      </c>
      <c r="D5150" s="1" t="s">
        <v>9786</v>
      </c>
      <c r="E5150" s="2">
        <v>45989</v>
      </c>
      <c r="F5150" s="1" t="s">
        <v>1665</v>
      </c>
      <c r="G5150" s="1" t="s">
        <v>9787</v>
      </c>
      <c r="H5150" s="1" t="s">
        <v>9788</v>
      </c>
      <c r="I5150" s="1">
        <v>1</v>
      </c>
      <c r="J5150" s="3">
        <v>10754</v>
      </c>
      <c r="K5150" s="3">
        <v>10262</v>
      </c>
      <c r="L5150" s="1">
        <v>0</v>
      </c>
      <c r="M5150" s="4">
        <v>0</v>
      </c>
      <c r="N5150" s="1">
        <v>492</v>
      </c>
      <c r="O5150" s="4">
        <v>4.5999999999999999E-2</v>
      </c>
      <c r="P5150" s="1" t="s">
        <v>2721</v>
      </c>
    </row>
    <row r="5151" spans="1:16">
      <c r="A5151" s="1" t="s">
        <v>15</v>
      </c>
      <c r="B5151" s="1">
        <v>11</v>
      </c>
      <c r="C5151" s="1" t="s">
        <v>9789</v>
      </c>
      <c r="D5151" s="1" t="s">
        <v>777</v>
      </c>
      <c r="E5151" s="2">
        <v>45989</v>
      </c>
      <c r="F5151" s="1" t="s">
        <v>256</v>
      </c>
      <c r="G5151" s="1" t="s">
        <v>778</v>
      </c>
      <c r="H5151" s="1" t="s">
        <v>779</v>
      </c>
      <c r="I5151" s="1">
        <v>1</v>
      </c>
      <c r="J5151" s="3">
        <v>11010</v>
      </c>
      <c r="K5151" s="3">
        <v>10506</v>
      </c>
      <c r="L5151" s="1">
        <v>0</v>
      </c>
      <c r="M5151" s="4">
        <v>0</v>
      </c>
      <c r="N5151" s="1">
        <v>504</v>
      </c>
      <c r="O5151" s="4">
        <v>4.5999999999999999E-2</v>
      </c>
      <c r="P5151" s="1" t="s">
        <v>2721</v>
      </c>
    </row>
    <row r="5152" spans="1:16">
      <c r="A5152" s="1" t="s">
        <v>15</v>
      </c>
      <c r="B5152" s="1">
        <v>11</v>
      </c>
      <c r="C5152" s="1" t="s">
        <v>9790</v>
      </c>
      <c r="D5152" s="1" t="s">
        <v>250</v>
      </c>
      <c r="E5152" s="2">
        <v>45989</v>
      </c>
      <c r="F5152" s="1" t="s">
        <v>251</v>
      </c>
      <c r="G5152" s="1" t="s">
        <v>252</v>
      </c>
      <c r="H5152" s="1" t="s">
        <v>365</v>
      </c>
      <c r="I5152" s="1">
        <v>1</v>
      </c>
      <c r="J5152" s="3">
        <v>16220</v>
      </c>
      <c r="K5152" s="3">
        <v>15477</v>
      </c>
      <c r="L5152" s="1">
        <v>0</v>
      </c>
      <c r="M5152" s="4">
        <v>0</v>
      </c>
      <c r="N5152" s="1">
        <v>743</v>
      </c>
      <c r="O5152" s="4">
        <v>4.5999999999999999E-2</v>
      </c>
      <c r="P5152" s="1" t="s">
        <v>2721</v>
      </c>
    </row>
    <row r="5153" spans="1:16">
      <c r="A5153" s="1" t="s">
        <v>15</v>
      </c>
      <c r="B5153" s="1">
        <v>11</v>
      </c>
      <c r="C5153" s="1" t="s">
        <v>9791</v>
      </c>
      <c r="D5153" s="1" t="s">
        <v>72</v>
      </c>
      <c r="E5153" s="2">
        <v>45989</v>
      </c>
      <c r="F5153" s="1" t="s">
        <v>63</v>
      </c>
      <c r="G5153" s="1" t="s">
        <v>73</v>
      </c>
      <c r="H5153" s="1" t="s">
        <v>74</v>
      </c>
      <c r="I5153" s="1">
        <v>1</v>
      </c>
      <c r="J5153" s="3">
        <v>10456</v>
      </c>
      <c r="K5153" s="3">
        <v>9978</v>
      </c>
      <c r="L5153" s="1">
        <v>0</v>
      </c>
      <c r="M5153" s="4">
        <v>0</v>
      </c>
      <c r="N5153" s="1">
        <v>478</v>
      </c>
      <c r="O5153" s="4">
        <v>4.5999999999999999E-2</v>
      </c>
      <c r="P5153" s="1" t="s">
        <v>2721</v>
      </c>
    </row>
    <row r="5154" spans="1:16">
      <c r="A5154" s="1" t="s">
        <v>15</v>
      </c>
      <c r="B5154" s="1">
        <v>11</v>
      </c>
      <c r="C5154" s="1" t="s">
        <v>9792</v>
      </c>
      <c r="D5154" s="1" t="s">
        <v>2310</v>
      </c>
      <c r="E5154" s="2">
        <v>45989</v>
      </c>
      <c r="F5154" s="1" t="s">
        <v>488</v>
      </c>
      <c r="G5154" s="1" t="s">
        <v>1726</v>
      </c>
      <c r="H5154" s="1" t="s">
        <v>1727</v>
      </c>
      <c r="I5154" s="1">
        <v>1</v>
      </c>
      <c r="J5154" s="3">
        <v>16711</v>
      </c>
      <c r="K5154" s="3">
        <v>15946</v>
      </c>
      <c r="L5154" s="1">
        <v>0</v>
      </c>
      <c r="M5154" s="4">
        <v>0</v>
      </c>
      <c r="N5154" s="1">
        <v>765</v>
      </c>
      <c r="O5154" s="4">
        <v>4.5999999999999999E-2</v>
      </c>
      <c r="P5154" s="1" t="s">
        <v>2721</v>
      </c>
    </row>
    <row r="5155" spans="1:16">
      <c r="A5155" s="1" t="s">
        <v>15</v>
      </c>
      <c r="B5155" s="1">
        <v>11</v>
      </c>
      <c r="C5155" s="1" t="s">
        <v>9793</v>
      </c>
      <c r="D5155" s="1" t="s">
        <v>3585</v>
      </c>
      <c r="E5155" s="2">
        <v>45989</v>
      </c>
      <c r="F5155" s="1" t="s">
        <v>856</v>
      </c>
      <c r="G5155" s="1" t="s">
        <v>3586</v>
      </c>
      <c r="H5155" s="1" t="s">
        <v>3587</v>
      </c>
      <c r="I5155" s="1">
        <v>1</v>
      </c>
      <c r="J5155" s="3">
        <v>103215</v>
      </c>
      <c r="K5155" s="3">
        <v>98490</v>
      </c>
      <c r="L5155" s="1">
        <v>0</v>
      </c>
      <c r="M5155" s="4">
        <v>0</v>
      </c>
      <c r="N5155" s="3">
        <v>4725</v>
      </c>
      <c r="O5155" s="4">
        <v>4.5999999999999999E-2</v>
      </c>
      <c r="P5155" s="1" t="s">
        <v>2721</v>
      </c>
    </row>
    <row r="5156" spans="1:16">
      <c r="A5156" s="1" t="s">
        <v>15</v>
      </c>
      <c r="B5156" s="1">
        <v>11</v>
      </c>
      <c r="C5156" s="1" t="s">
        <v>9794</v>
      </c>
      <c r="D5156" s="1" t="s">
        <v>7955</v>
      </c>
      <c r="E5156" s="2">
        <v>45989</v>
      </c>
      <c r="F5156" s="1" t="s">
        <v>3599</v>
      </c>
      <c r="G5156" s="1" t="s">
        <v>7956</v>
      </c>
      <c r="H5156" s="1" t="s">
        <v>9795</v>
      </c>
      <c r="I5156" s="1">
        <v>1</v>
      </c>
      <c r="J5156" s="3">
        <v>41778</v>
      </c>
      <c r="K5156" s="3">
        <v>39865</v>
      </c>
      <c r="L5156" s="1">
        <v>0</v>
      </c>
      <c r="M5156" s="4">
        <v>0</v>
      </c>
      <c r="N5156" s="3">
        <v>1913</v>
      </c>
      <c r="O5156" s="4">
        <v>4.5999999999999999E-2</v>
      </c>
      <c r="P5156" s="1" t="s">
        <v>2721</v>
      </c>
    </row>
    <row r="5157" spans="1:16">
      <c r="A5157" s="1" t="s">
        <v>15</v>
      </c>
      <c r="B5157" s="1">
        <v>11</v>
      </c>
      <c r="C5157" s="1" t="s">
        <v>9796</v>
      </c>
      <c r="D5157" s="1" t="s">
        <v>72</v>
      </c>
      <c r="E5157" s="2">
        <v>45989</v>
      </c>
      <c r="F5157" s="1" t="s">
        <v>63</v>
      </c>
      <c r="G5157" s="1" t="s">
        <v>73</v>
      </c>
      <c r="H5157" s="1" t="s">
        <v>74</v>
      </c>
      <c r="I5157" s="1">
        <v>1</v>
      </c>
      <c r="J5157" s="3">
        <v>10456</v>
      </c>
      <c r="K5157" s="3">
        <v>9978</v>
      </c>
      <c r="L5157" s="1">
        <v>0</v>
      </c>
      <c r="M5157" s="4">
        <v>0</v>
      </c>
      <c r="N5157" s="1">
        <v>478</v>
      </c>
      <c r="O5157" s="4">
        <v>4.5999999999999999E-2</v>
      </c>
      <c r="P5157" s="1" t="s">
        <v>2721</v>
      </c>
    </row>
    <row r="5158" spans="1:16">
      <c r="A5158" s="1" t="s">
        <v>15</v>
      </c>
      <c r="B5158" s="1">
        <v>11</v>
      </c>
      <c r="C5158" s="1" t="s">
        <v>9796</v>
      </c>
      <c r="D5158" s="1" t="s">
        <v>3754</v>
      </c>
      <c r="E5158" s="2">
        <v>45989</v>
      </c>
      <c r="F5158" s="1" t="s">
        <v>63</v>
      </c>
      <c r="G5158" s="1" t="s">
        <v>3755</v>
      </c>
      <c r="H5158" s="1" t="s">
        <v>3756</v>
      </c>
      <c r="I5158" s="1">
        <v>2</v>
      </c>
      <c r="J5158" s="3">
        <v>10276</v>
      </c>
      <c r="K5158" s="3">
        <v>9806</v>
      </c>
      <c r="L5158" s="1">
        <v>0</v>
      </c>
      <c r="M5158" s="4">
        <v>0</v>
      </c>
      <c r="N5158" s="1">
        <v>470</v>
      </c>
      <c r="O5158" s="4">
        <v>4.5999999999999999E-2</v>
      </c>
      <c r="P5158" s="1" t="s">
        <v>2721</v>
      </c>
    </row>
    <row r="5159" spans="1:16">
      <c r="A5159" s="1" t="s">
        <v>15</v>
      </c>
      <c r="B5159" s="1">
        <v>11</v>
      </c>
      <c r="C5159" s="1" t="s">
        <v>9797</v>
      </c>
      <c r="D5159" s="1" t="s">
        <v>2312</v>
      </c>
      <c r="E5159" s="2">
        <v>45989</v>
      </c>
      <c r="F5159" s="1" t="s">
        <v>1772</v>
      </c>
      <c r="G5159" s="1" t="s">
        <v>1773</v>
      </c>
      <c r="H5159" s="1" t="s">
        <v>2313</v>
      </c>
      <c r="I5159" s="1">
        <v>1</v>
      </c>
      <c r="J5159" s="3">
        <v>23395</v>
      </c>
      <c r="K5159" s="3">
        <v>22324</v>
      </c>
      <c r="L5159" s="1">
        <v>0</v>
      </c>
      <c r="M5159" s="4">
        <v>0</v>
      </c>
      <c r="N5159" s="3">
        <v>1071</v>
      </c>
      <c r="O5159" s="4">
        <v>4.5999999999999999E-2</v>
      </c>
      <c r="P5159" s="1" t="s">
        <v>2721</v>
      </c>
    </row>
    <row r="5160" spans="1:16">
      <c r="A5160" s="1" t="s">
        <v>15</v>
      </c>
      <c r="B5160" s="1">
        <v>11</v>
      </c>
      <c r="C5160" s="1" t="s">
        <v>9798</v>
      </c>
      <c r="D5160" s="1" t="s">
        <v>90</v>
      </c>
      <c r="E5160" s="2">
        <v>45989</v>
      </c>
      <c r="F5160" s="1" t="s">
        <v>91</v>
      </c>
      <c r="G5160" s="1" t="s">
        <v>92</v>
      </c>
      <c r="H5160" s="1" t="s">
        <v>456</v>
      </c>
      <c r="I5160" s="1">
        <v>1</v>
      </c>
      <c r="J5160" s="3">
        <v>6763</v>
      </c>
      <c r="K5160" s="3">
        <v>6453</v>
      </c>
      <c r="L5160" s="1">
        <v>0</v>
      </c>
      <c r="M5160" s="4">
        <v>0</v>
      </c>
      <c r="N5160" s="1">
        <v>310</v>
      </c>
      <c r="O5160" s="4">
        <v>4.5999999999999999E-2</v>
      </c>
      <c r="P5160" s="1" t="s">
        <v>2721</v>
      </c>
    </row>
    <row r="5161" spans="1:16">
      <c r="A5161" s="1" t="s">
        <v>15</v>
      </c>
      <c r="B5161" s="1">
        <v>11</v>
      </c>
      <c r="C5161" s="1" t="s">
        <v>9799</v>
      </c>
      <c r="D5161" s="1" t="s">
        <v>32</v>
      </c>
      <c r="E5161" s="2">
        <v>45989</v>
      </c>
      <c r="F5161" s="1" t="s">
        <v>33</v>
      </c>
      <c r="G5161" s="1" t="s">
        <v>34</v>
      </c>
      <c r="H5161" s="1" t="s">
        <v>9800</v>
      </c>
      <c r="I5161" s="1">
        <v>1</v>
      </c>
      <c r="J5161" s="3">
        <v>78789</v>
      </c>
      <c r="K5161" s="3">
        <v>75183</v>
      </c>
      <c r="L5161" s="1">
        <v>0</v>
      </c>
      <c r="M5161" s="4">
        <v>0</v>
      </c>
      <c r="N5161" s="3">
        <v>3606</v>
      </c>
      <c r="O5161" s="4">
        <v>4.5999999999999999E-2</v>
      </c>
      <c r="P5161" s="1" t="s">
        <v>2721</v>
      </c>
    </row>
    <row r="5162" spans="1:16">
      <c r="A5162" s="1" t="s">
        <v>15</v>
      </c>
      <c r="B5162" s="1">
        <v>11</v>
      </c>
      <c r="C5162" s="1" t="s">
        <v>9801</v>
      </c>
      <c r="D5162" s="1" t="s">
        <v>8484</v>
      </c>
      <c r="E5162" s="2">
        <v>45989</v>
      </c>
      <c r="F5162" s="1" t="s">
        <v>5599</v>
      </c>
      <c r="G5162" s="1" t="s">
        <v>6557</v>
      </c>
      <c r="H5162" s="1" t="s">
        <v>6558</v>
      </c>
      <c r="I5162" s="1">
        <v>1</v>
      </c>
      <c r="J5162" s="3">
        <v>29982</v>
      </c>
      <c r="K5162" s="3">
        <v>28609</v>
      </c>
      <c r="L5162" s="1">
        <v>0</v>
      </c>
      <c r="M5162" s="4">
        <v>0</v>
      </c>
      <c r="N5162" s="3">
        <v>1373</v>
      </c>
      <c r="O5162" s="4">
        <v>4.5999999999999999E-2</v>
      </c>
      <c r="P5162" s="1" t="s">
        <v>2721</v>
      </c>
    </row>
    <row r="5163" spans="1:16">
      <c r="A5163" s="1" t="s">
        <v>15</v>
      </c>
      <c r="B5163" s="1">
        <v>11</v>
      </c>
      <c r="C5163" s="1" t="s">
        <v>9802</v>
      </c>
      <c r="D5163" s="1" t="s">
        <v>411</v>
      </c>
      <c r="E5163" s="2">
        <v>45989</v>
      </c>
      <c r="F5163" s="1" t="s">
        <v>312</v>
      </c>
      <c r="G5163" s="1" t="s">
        <v>412</v>
      </c>
      <c r="H5163" s="1" t="s">
        <v>3286</v>
      </c>
      <c r="I5163" s="1">
        <v>1</v>
      </c>
      <c r="J5163" s="3">
        <v>24575</v>
      </c>
      <c r="K5163" s="3">
        <v>23450</v>
      </c>
      <c r="L5163" s="1">
        <v>0</v>
      </c>
      <c r="M5163" s="4">
        <v>0</v>
      </c>
      <c r="N5163" s="3">
        <v>1125</v>
      </c>
      <c r="O5163" s="4">
        <v>4.5999999999999999E-2</v>
      </c>
      <c r="P5163" s="1" t="s">
        <v>2721</v>
      </c>
    </row>
    <row r="5164" spans="1:16">
      <c r="A5164" s="1" t="s">
        <v>15</v>
      </c>
      <c r="B5164" s="1">
        <v>11</v>
      </c>
      <c r="C5164" s="1" t="s">
        <v>9803</v>
      </c>
      <c r="D5164" s="1" t="s">
        <v>828</v>
      </c>
      <c r="E5164" s="2">
        <v>45989</v>
      </c>
      <c r="F5164" s="1" t="s">
        <v>689</v>
      </c>
      <c r="G5164" s="1" t="s">
        <v>829</v>
      </c>
      <c r="H5164" s="1" t="s">
        <v>9804</v>
      </c>
      <c r="I5164" s="1">
        <v>1</v>
      </c>
      <c r="J5164" s="3">
        <v>14745</v>
      </c>
      <c r="K5164" s="3">
        <v>14070</v>
      </c>
      <c r="L5164" s="1">
        <v>0</v>
      </c>
      <c r="M5164" s="4">
        <v>0</v>
      </c>
      <c r="N5164" s="1">
        <v>675</v>
      </c>
      <c r="O5164" s="4">
        <v>4.5999999999999999E-2</v>
      </c>
      <c r="P5164" s="1" t="s">
        <v>2721</v>
      </c>
    </row>
    <row r="5165" spans="1:16">
      <c r="A5165" s="1" t="s">
        <v>15</v>
      </c>
      <c r="B5165" s="1">
        <v>11</v>
      </c>
      <c r="C5165" s="1" t="s">
        <v>9805</v>
      </c>
      <c r="D5165" s="1" t="s">
        <v>3653</v>
      </c>
      <c r="E5165" s="2">
        <v>45989</v>
      </c>
      <c r="F5165" s="1" t="s">
        <v>725</v>
      </c>
      <c r="G5165" s="1" t="s">
        <v>3654</v>
      </c>
      <c r="H5165" s="1" t="s">
        <v>3655</v>
      </c>
      <c r="I5165" s="1">
        <v>1</v>
      </c>
      <c r="J5165" s="3">
        <v>131919</v>
      </c>
      <c r="K5165" s="3">
        <v>125880</v>
      </c>
      <c r="L5165" s="1">
        <v>0</v>
      </c>
      <c r="M5165" s="4">
        <v>0</v>
      </c>
      <c r="N5165" s="3">
        <v>6039</v>
      </c>
      <c r="O5165" s="4">
        <v>4.5999999999999999E-2</v>
      </c>
      <c r="P5165" s="1" t="s">
        <v>2721</v>
      </c>
    </row>
    <row r="5166" spans="1:16">
      <c r="A5166" s="1" t="s">
        <v>15</v>
      </c>
      <c r="B5166" s="1">
        <v>11</v>
      </c>
      <c r="C5166" s="1" t="s">
        <v>9806</v>
      </c>
      <c r="D5166" s="1" t="s">
        <v>1346</v>
      </c>
      <c r="E5166" s="2">
        <v>45989</v>
      </c>
      <c r="F5166" s="1" t="s">
        <v>317</v>
      </c>
      <c r="G5166" s="1" t="s">
        <v>1347</v>
      </c>
      <c r="H5166" s="1" t="s">
        <v>1348</v>
      </c>
      <c r="I5166" s="1">
        <v>1</v>
      </c>
      <c r="J5166" s="3">
        <v>32439</v>
      </c>
      <c r="K5166" s="3">
        <v>30954</v>
      </c>
      <c r="L5166" s="1">
        <v>0</v>
      </c>
      <c r="M5166" s="4">
        <v>0</v>
      </c>
      <c r="N5166" s="3">
        <v>1485</v>
      </c>
      <c r="O5166" s="4">
        <v>4.5999999999999999E-2</v>
      </c>
      <c r="P5166" s="1" t="s">
        <v>2721</v>
      </c>
    </row>
    <row r="5167" spans="1:16">
      <c r="A5167" s="1" t="s">
        <v>15</v>
      </c>
      <c r="B5167" s="1">
        <v>11</v>
      </c>
      <c r="C5167" s="1" t="s">
        <v>9807</v>
      </c>
      <c r="D5167" s="1" t="s">
        <v>862</v>
      </c>
      <c r="E5167" s="2">
        <v>45989</v>
      </c>
      <c r="F5167" s="1" t="s">
        <v>334</v>
      </c>
      <c r="G5167" s="1" t="s">
        <v>863</v>
      </c>
      <c r="H5167" s="1" t="s">
        <v>864</v>
      </c>
      <c r="I5167" s="1">
        <v>1</v>
      </c>
      <c r="J5167" s="3">
        <v>16220</v>
      </c>
      <c r="K5167" s="3">
        <v>15477</v>
      </c>
      <c r="L5167" s="1">
        <v>0</v>
      </c>
      <c r="M5167" s="4">
        <v>0</v>
      </c>
      <c r="N5167" s="1">
        <v>743</v>
      </c>
      <c r="O5167" s="4">
        <v>4.5999999999999999E-2</v>
      </c>
      <c r="P5167" s="1" t="s">
        <v>2721</v>
      </c>
    </row>
    <row r="5168" spans="1:16">
      <c r="A5168" s="1" t="s">
        <v>15</v>
      </c>
      <c r="B5168" s="1">
        <v>11</v>
      </c>
      <c r="C5168" s="1" t="s">
        <v>9807</v>
      </c>
      <c r="D5168" s="1" t="s">
        <v>862</v>
      </c>
      <c r="E5168" s="2">
        <v>45989</v>
      </c>
      <c r="F5168" s="1" t="s">
        <v>334</v>
      </c>
      <c r="G5168" s="1" t="s">
        <v>863</v>
      </c>
      <c r="H5168" s="1" t="s">
        <v>2958</v>
      </c>
      <c r="I5168" s="1">
        <v>1</v>
      </c>
      <c r="J5168" s="3">
        <v>16220</v>
      </c>
      <c r="K5168" s="3">
        <v>15477</v>
      </c>
      <c r="L5168" s="1">
        <v>0</v>
      </c>
      <c r="M5168" s="4">
        <v>0</v>
      </c>
      <c r="N5168" s="1">
        <v>743</v>
      </c>
      <c r="O5168" s="4">
        <v>4.5999999999999999E-2</v>
      </c>
      <c r="P5168" s="1" t="s">
        <v>2721</v>
      </c>
    </row>
    <row r="5169" spans="1:16">
      <c r="A5169" s="1" t="s">
        <v>15</v>
      </c>
      <c r="B5169" s="1">
        <v>11</v>
      </c>
      <c r="C5169" s="1" t="s">
        <v>9808</v>
      </c>
      <c r="D5169" s="1" t="s">
        <v>169</v>
      </c>
      <c r="E5169" s="2">
        <v>45989</v>
      </c>
      <c r="F5169" s="1" t="s">
        <v>53</v>
      </c>
      <c r="G5169" s="1" t="s">
        <v>170</v>
      </c>
      <c r="H5169" s="1" t="s">
        <v>171</v>
      </c>
      <c r="I5169" s="1">
        <v>1</v>
      </c>
      <c r="J5169" s="3">
        <v>14332</v>
      </c>
      <c r="K5169" s="3">
        <v>13676</v>
      </c>
      <c r="L5169" s="1">
        <v>0</v>
      </c>
      <c r="M5169" s="4">
        <v>0</v>
      </c>
      <c r="N5169" s="1">
        <v>656</v>
      </c>
      <c r="O5169" s="4">
        <v>4.5999999999999999E-2</v>
      </c>
      <c r="P5169" s="1" t="s">
        <v>2721</v>
      </c>
    </row>
    <row r="5170" spans="1:16">
      <c r="A5170" s="1" t="s">
        <v>15</v>
      </c>
      <c r="B5170" s="1">
        <v>11</v>
      </c>
      <c r="C5170" s="1" t="s">
        <v>9809</v>
      </c>
      <c r="D5170" s="1" t="s">
        <v>86</v>
      </c>
      <c r="E5170" s="2">
        <v>45989</v>
      </c>
      <c r="F5170" s="1" t="s">
        <v>53</v>
      </c>
      <c r="G5170" s="1" t="s">
        <v>87</v>
      </c>
      <c r="H5170" s="1" t="s">
        <v>88</v>
      </c>
      <c r="I5170" s="1">
        <v>1</v>
      </c>
      <c r="J5170" s="3">
        <v>14956</v>
      </c>
      <c r="K5170" s="3">
        <v>14272</v>
      </c>
      <c r="L5170" s="1">
        <v>0</v>
      </c>
      <c r="M5170" s="4">
        <v>0</v>
      </c>
      <c r="N5170" s="1">
        <v>684</v>
      </c>
      <c r="O5170" s="4">
        <v>4.5999999999999999E-2</v>
      </c>
      <c r="P5170" s="1" t="s">
        <v>2721</v>
      </c>
    </row>
    <row r="5171" spans="1:16">
      <c r="A5171" s="1" t="s">
        <v>15</v>
      </c>
      <c r="B5171" s="1">
        <v>11</v>
      </c>
      <c r="C5171" s="1" t="s">
        <v>9810</v>
      </c>
      <c r="D5171" s="1" t="s">
        <v>1324</v>
      </c>
      <c r="E5171" s="2">
        <v>45989</v>
      </c>
      <c r="F5171" s="1" t="s">
        <v>1325</v>
      </c>
      <c r="G5171" s="1" t="s">
        <v>1326</v>
      </c>
      <c r="H5171" s="1" t="s">
        <v>1327</v>
      </c>
      <c r="I5171" s="1">
        <v>1</v>
      </c>
      <c r="J5171" s="3">
        <v>9437</v>
      </c>
      <c r="K5171" s="3">
        <v>9005</v>
      </c>
      <c r="L5171" s="1">
        <v>0</v>
      </c>
      <c r="M5171" s="4">
        <v>0</v>
      </c>
      <c r="N5171" s="1">
        <v>432</v>
      </c>
      <c r="O5171" s="4">
        <v>4.5999999999999999E-2</v>
      </c>
      <c r="P5171" s="1" t="s">
        <v>2721</v>
      </c>
    </row>
    <row r="5172" spans="1:16">
      <c r="A5172" s="1" t="s">
        <v>15</v>
      </c>
      <c r="B5172" s="1">
        <v>11</v>
      </c>
      <c r="C5172" s="1" t="s">
        <v>9811</v>
      </c>
      <c r="D5172" s="1" t="s">
        <v>72</v>
      </c>
      <c r="E5172" s="2">
        <v>45989</v>
      </c>
      <c r="F5172" s="1" t="s">
        <v>63</v>
      </c>
      <c r="G5172" s="1" t="s">
        <v>73</v>
      </c>
      <c r="H5172" s="1" t="s">
        <v>74</v>
      </c>
      <c r="I5172" s="1">
        <v>1</v>
      </c>
      <c r="J5172" s="3">
        <v>10456</v>
      </c>
      <c r="K5172" s="3">
        <v>9978</v>
      </c>
      <c r="L5172" s="1">
        <v>0</v>
      </c>
      <c r="M5172" s="4">
        <v>0</v>
      </c>
      <c r="N5172" s="1">
        <v>478</v>
      </c>
      <c r="O5172" s="4">
        <v>4.5999999999999999E-2</v>
      </c>
      <c r="P5172" s="1" t="s">
        <v>2721</v>
      </c>
    </row>
    <row r="5173" spans="1:16">
      <c r="A5173" s="1" t="s">
        <v>15</v>
      </c>
      <c r="B5173" s="1">
        <v>11</v>
      </c>
      <c r="C5173" s="1" t="s">
        <v>9812</v>
      </c>
      <c r="D5173" s="1" t="s">
        <v>1147</v>
      </c>
      <c r="E5173" s="2">
        <v>45989</v>
      </c>
      <c r="F5173" s="1" t="s">
        <v>126</v>
      </c>
      <c r="G5173" s="1" t="s">
        <v>1148</v>
      </c>
      <c r="H5173" s="1" t="s">
        <v>1149</v>
      </c>
      <c r="I5173" s="1">
        <v>1</v>
      </c>
      <c r="J5173" s="3">
        <v>13762</v>
      </c>
      <c r="K5173" s="3">
        <v>13132</v>
      </c>
      <c r="L5173" s="1">
        <v>0</v>
      </c>
      <c r="M5173" s="4">
        <v>0</v>
      </c>
      <c r="N5173" s="1">
        <v>630</v>
      </c>
      <c r="O5173" s="4">
        <v>4.5999999999999999E-2</v>
      </c>
      <c r="P5173" s="1" t="s">
        <v>2721</v>
      </c>
    </row>
    <row r="5174" spans="1:16">
      <c r="A5174" s="1" t="s">
        <v>15</v>
      </c>
      <c r="B5174" s="1">
        <v>11</v>
      </c>
      <c r="C5174" s="1" t="s">
        <v>9813</v>
      </c>
      <c r="D5174" s="1" t="s">
        <v>32</v>
      </c>
      <c r="E5174" s="2">
        <v>45989</v>
      </c>
      <c r="F5174" s="1" t="s">
        <v>33</v>
      </c>
      <c r="G5174" s="1" t="s">
        <v>34</v>
      </c>
      <c r="H5174" s="1" t="s">
        <v>9814</v>
      </c>
      <c r="I5174" s="1">
        <v>1</v>
      </c>
      <c r="J5174" s="3">
        <v>106977</v>
      </c>
      <c r="K5174" s="3">
        <v>102080</v>
      </c>
      <c r="L5174" s="1">
        <v>0</v>
      </c>
      <c r="M5174" s="4">
        <v>0</v>
      </c>
      <c r="N5174" s="3">
        <v>4897</v>
      </c>
      <c r="O5174" s="4">
        <v>4.5999999999999999E-2</v>
      </c>
      <c r="P5174" s="1" t="s">
        <v>2721</v>
      </c>
    </row>
    <row r="5175" spans="1:16">
      <c r="A5175" s="1" t="s">
        <v>15</v>
      </c>
      <c r="B5175" s="1">
        <v>11</v>
      </c>
      <c r="C5175" s="1" t="s">
        <v>9815</v>
      </c>
      <c r="D5175" s="1" t="s">
        <v>346</v>
      </c>
      <c r="E5175" s="2">
        <v>45989</v>
      </c>
      <c r="F5175" s="1" t="s">
        <v>347</v>
      </c>
      <c r="G5175" s="1" t="s">
        <v>348</v>
      </c>
      <c r="H5175" s="1" t="s">
        <v>1703</v>
      </c>
      <c r="I5175" s="1">
        <v>1</v>
      </c>
      <c r="J5175" s="3">
        <v>18677</v>
      </c>
      <c r="K5175" s="3">
        <v>17822</v>
      </c>
      <c r="L5175" s="1">
        <v>0</v>
      </c>
      <c r="M5175" s="4">
        <v>0</v>
      </c>
      <c r="N5175" s="1">
        <v>855</v>
      </c>
      <c r="O5175" s="4">
        <v>4.5999999999999999E-2</v>
      </c>
      <c r="P5175" s="1" t="s">
        <v>2721</v>
      </c>
    </row>
    <row r="5176" spans="1:16">
      <c r="A5176" s="1" t="s">
        <v>15</v>
      </c>
      <c r="B5176" s="1">
        <v>11</v>
      </c>
      <c r="C5176" s="1" t="s">
        <v>9816</v>
      </c>
      <c r="D5176" s="1" t="s">
        <v>533</v>
      </c>
      <c r="E5176" s="2">
        <v>45989</v>
      </c>
      <c r="F5176" s="1" t="s">
        <v>534</v>
      </c>
      <c r="G5176" s="1" t="s">
        <v>535</v>
      </c>
      <c r="H5176" s="1" t="s">
        <v>536</v>
      </c>
      <c r="I5176" s="1">
        <v>1</v>
      </c>
      <c r="J5176" s="3">
        <v>19552</v>
      </c>
      <c r="K5176" s="3">
        <v>18657</v>
      </c>
      <c r="L5176" s="1">
        <v>0</v>
      </c>
      <c r="M5176" s="4">
        <v>0</v>
      </c>
      <c r="N5176" s="1">
        <v>895</v>
      </c>
      <c r="O5176" s="4">
        <v>4.5999999999999999E-2</v>
      </c>
      <c r="P5176" s="1" t="s">
        <v>2721</v>
      </c>
    </row>
    <row r="5177" spans="1:16">
      <c r="A5177" s="1" t="s">
        <v>15</v>
      </c>
      <c r="B5177" s="1">
        <v>11</v>
      </c>
      <c r="C5177" s="1" t="s">
        <v>9817</v>
      </c>
      <c r="D5177" s="1" t="s">
        <v>333</v>
      </c>
      <c r="E5177" s="2">
        <v>45989</v>
      </c>
      <c r="F5177" s="1" t="s">
        <v>334</v>
      </c>
      <c r="G5177" s="1" t="s">
        <v>335</v>
      </c>
      <c r="H5177" s="1" t="s">
        <v>3664</v>
      </c>
      <c r="I5177" s="1">
        <v>1</v>
      </c>
      <c r="J5177" s="3">
        <v>5112</v>
      </c>
      <c r="K5177" s="3">
        <v>4878</v>
      </c>
      <c r="L5177" s="1">
        <v>0</v>
      </c>
      <c r="M5177" s="4">
        <v>0</v>
      </c>
      <c r="N5177" s="1">
        <v>234</v>
      </c>
      <c r="O5177" s="4">
        <v>4.5999999999999999E-2</v>
      </c>
      <c r="P5177" s="1" t="s">
        <v>2721</v>
      </c>
    </row>
    <row r="5178" spans="1:16">
      <c r="A5178" s="1" t="s">
        <v>15</v>
      </c>
      <c r="B5178" s="1">
        <v>11</v>
      </c>
      <c r="C5178" s="1" t="s">
        <v>9818</v>
      </c>
      <c r="D5178" s="1" t="s">
        <v>311</v>
      </c>
      <c r="E5178" s="2">
        <v>45989</v>
      </c>
      <c r="F5178" s="1" t="s">
        <v>312</v>
      </c>
      <c r="G5178" s="1" t="s">
        <v>313</v>
      </c>
      <c r="H5178" s="1" t="s">
        <v>314</v>
      </c>
      <c r="I5178" s="1">
        <v>1</v>
      </c>
      <c r="J5178" s="3">
        <v>28310</v>
      </c>
      <c r="K5178" s="3">
        <v>27014</v>
      </c>
      <c r="L5178" s="1">
        <v>0</v>
      </c>
      <c r="M5178" s="4">
        <v>0</v>
      </c>
      <c r="N5178" s="3">
        <v>1296</v>
      </c>
      <c r="O5178" s="4">
        <v>4.5999999999999999E-2</v>
      </c>
      <c r="P5178" s="1" t="s">
        <v>2721</v>
      </c>
    </row>
    <row r="5179" spans="1:16">
      <c r="A5179" s="1" t="s">
        <v>577</v>
      </c>
      <c r="B5179" s="1">
        <v>11</v>
      </c>
      <c r="C5179" s="1" t="s">
        <v>9819</v>
      </c>
      <c r="D5179" s="1" t="s">
        <v>1786</v>
      </c>
      <c r="E5179" s="2">
        <v>45989</v>
      </c>
      <c r="F5179" s="1" t="s">
        <v>347</v>
      </c>
      <c r="G5179" s="1" t="s">
        <v>1134</v>
      </c>
      <c r="H5179" s="1" t="s">
        <v>1135</v>
      </c>
      <c r="I5179" s="1">
        <v>1</v>
      </c>
      <c r="J5179" s="3">
        <v>22790</v>
      </c>
      <c r="K5179" s="3">
        <v>21747</v>
      </c>
      <c r="L5179" s="1">
        <v>0</v>
      </c>
      <c r="M5179" s="4">
        <v>0</v>
      </c>
      <c r="N5179" s="3">
        <v>1043</v>
      </c>
      <c r="O5179" s="4">
        <v>4.5999999999999999E-2</v>
      </c>
      <c r="P5179" s="1" t="s">
        <v>2721</v>
      </c>
    </row>
    <row r="5180" spans="1:16">
      <c r="A5180" s="1" t="s">
        <v>577</v>
      </c>
      <c r="B5180" s="1">
        <v>11</v>
      </c>
      <c r="C5180" s="1" t="s">
        <v>9820</v>
      </c>
      <c r="D5180" s="1" t="s">
        <v>1779</v>
      </c>
      <c r="E5180" s="2">
        <v>45989</v>
      </c>
      <c r="F5180" s="1" t="s">
        <v>63</v>
      </c>
      <c r="G5180" s="1" t="s">
        <v>113</v>
      </c>
      <c r="H5180" s="1" t="s">
        <v>74</v>
      </c>
      <c r="I5180" s="1">
        <v>1</v>
      </c>
      <c r="J5180" s="3">
        <v>10456</v>
      </c>
      <c r="K5180" s="3">
        <v>9978</v>
      </c>
      <c r="L5180" s="1">
        <v>0</v>
      </c>
      <c r="M5180" s="4">
        <v>0</v>
      </c>
      <c r="N5180" s="1">
        <v>478</v>
      </c>
      <c r="O5180" s="4">
        <v>4.5999999999999999E-2</v>
      </c>
      <c r="P5180" s="1" t="s">
        <v>2721</v>
      </c>
    </row>
    <row r="5181" spans="1:16">
      <c r="A5181" s="1" t="s">
        <v>577</v>
      </c>
      <c r="B5181" s="1">
        <v>11</v>
      </c>
      <c r="C5181" s="1" t="s">
        <v>9821</v>
      </c>
      <c r="D5181" s="1" t="s">
        <v>8012</v>
      </c>
      <c r="E5181" s="2">
        <v>45989</v>
      </c>
      <c r="F5181" s="1" t="s">
        <v>368</v>
      </c>
      <c r="G5181" s="1" t="s">
        <v>1386</v>
      </c>
      <c r="H5181" s="1" t="s">
        <v>1387</v>
      </c>
      <c r="I5181" s="1">
        <v>2</v>
      </c>
      <c r="J5181" s="3">
        <v>17906</v>
      </c>
      <c r="K5181" s="3">
        <v>17087</v>
      </c>
      <c r="L5181" s="1">
        <v>0</v>
      </c>
      <c r="M5181" s="4">
        <v>0</v>
      </c>
      <c r="N5181" s="1">
        <v>819</v>
      </c>
      <c r="O5181" s="4">
        <v>4.5999999999999999E-2</v>
      </c>
      <c r="P5181" s="1" t="s">
        <v>2721</v>
      </c>
    </row>
    <row r="5182" spans="1:16">
      <c r="A5182" s="1" t="s">
        <v>577</v>
      </c>
      <c r="B5182" s="1">
        <v>11</v>
      </c>
      <c r="C5182" s="1" t="s">
        <v>9822</v>
      </c>
      <c r="D5182" s="1" t="s">
        <v>1733</v>
      </c>
      <c r="E5182" s="2">
        <v>45989</v>
      </c>
      <c r="F5182" s="1" t="s">
        <v>187</v>
      </c>
      <c r="G5182" s="1" t="s">
        <v>1734</v>
      </c>
      <c r="H5182" s="1" t="s">
        <v>1735</v>
      </c>
      <c r="I5182" s="1">
        <v>2</v>
      </c>
      <c r="J5182" s="3">
        <v>49744</v>
      </c>
      <c r="K5182" s="3">
        <v>47467</v>
      </c>
      <c r="L5182" s="1">
        <v>0</v>
      </c>
      <c r="M5182" s="4">
        <v>0</v>
      </c>
      <c r="N5182" s="3">
        <v>2277</v>
      </c>
      <c r="O5182" s="4">
        <v>4.5999999999999999E-2</v>
      </c>
      <c r="P5182" s="1" t="s">
        <v>2721</v>
      </c>
    </row>
    <row r="5183" spans="1:16">
      <c r="A5183" s="1" t="s">
        <v>577</v>
      </c>
      <c r="B5183" s="1">
        <v>11</v>
      </c>
      <c r="C5183" s="1" t="s">
        <v>9823</v>
      </c>
      <c r="D5183" s="1" t="s">
        <v>1705</v>
      </c>
      <c r="E5183" s="2">
        <v>45989</v>
      </c>
      <c r="F5183" s="1" t="s">
        <v>96</v>
      </c>
      <c r="G5183" s="1" t="s">
        <v>1706</v>
      </c>
      <c r="H5183" s="1" t="s">
        <v>1707</v>
      </c>
      <c r="I5183" s="1">
        <v>1</v>
      </c>
      <c r="J5183" s="3">
        <v>9405</v>
      </c>
      <c r="K5183" s="3">
        <v>8975</v>
      </c>
      <c r="L5183" s="1">
        <v>0</v>
      </c>
      <c r="M5183" s="4">
        <v>0</v>
      </c>
      <c r="N5183" s="1">
        <v>430</v>
      </c>
      <c r="O5183" s="4">
        <v>4.5999999999999999E-2</v>
      </c>
      <c r="P5183" s="1" t="s">
        <v>2721</v>
      </c>
    </row>
    <row r="5184" spans="1:16">
      <c r="A5184" s="1" t="s">
        <v>577</v>
      </c>
      <c r="B5184" s="1">
        <v>11</v>
      </c>
      <c r="C5184" s="1" t="s">
        <v>9824</v>
      </c>
      <c r="D5184" s="1" t="s">
        <v>7503</v>
      </c>
      <c r="E5184" s="2">
        <v>45989</v>
      </c>
      <c r="F5184" s="1" t="s">
        <v>63</v>
      </c>
      <c r="G5184" s="1" t="s">
        <v>550</v>
      </c>
      <c r="H5184" s="1" t="s">
        <v>551</v>
      </c>
      <c r="I5184" s="1">
        <v>1</v>
      </c>
      <c r="J5184" s="3">
        <v>15422</v>
      </c>
      <c r="K5184" s="3">
        <v>14716</v>
      </c>
      <c r="L5184" s="1">
        <v>0</v>
      </c>
      <c r="M5184" s="4">
        <v>0</v>
      </c>
      <c r="N5184" s="1">
        <v>706</v>
      </c>
      <c r="O5184" s="4">
        <v>4.5999999999999999E-2</v>
      </c>
      <c r="P5184" s="1" t="s">
        <v>2721</v>
      </c>
    </row>
    <row r="5185" spans="1:16">
      <c r="A5185" s="1" t="s">
        <v>577</v>
      </c>
      <c r="B5185" s="1">
        <v>11</v>
      </c>
      <c r="C5185" s="1" t="s">
        <v>9825</v>
      </c>
      <c r="D5185" s="1" t="s">
        <v>9826</v>
      </c>
      <c r="E5185" s="2">
        <v>45989</v>
      </c>
      <c r="F5185" s="1" t="s">
        <v>783</v>
      </c>
      <c r="G5185" s="1" t="s">
        <v>9827</v>
      </c>
      <c r="H5185" s="1" t="s">
        <v>9828</v>
      </c>
      <c r="I5185" s="1">
        <v>1</v>
      </c>
      <c r="J5185" s="3">
        <v>82277</v>
      </c>
      <c r="K5185" s="3">
        <v>78511</v>
      </c>
      <c r="L5185" s="1">
        <v>0</v>
      </c>
      <c r="M5185" s="4">
        <v>0</v>
      </c>
      <c r="N5185" s="3">
        <v>3766</v>
      </c>
      <c r="O5185" s="4">
        <v>4.5999999999999999E-2</v>
      </c>
      <c r="P5185" s="1" t="s">
        <v>2721</v>
      </c>
    </row>
    <row r="5186" spans="1:16">
      <c r="A5186" s="1" t="s">
        <v>577</v>
      </c>
      <c r="B5186" s="1">
        <v>11</v>
      </c>
      <c r="C5186" s="1" t="s">
        <v>9829</v>
      </c>
      <c r="D5186" s="1" t="s">
        <v>9830</v>
      </c>
      <c r="E5186" s="2">
        <v>45989</v>
      </c>
      <c r="F5186" s="1" t="s">
        <v>96</v>
      </c>
      <c r="G5186" s="1" t="s">
        <v>9831</v>
      </c>
      <c r="H5186" s="1" t="s">
        <v>9832</v>
      </c>
      <c r="I5186" s="1">
        <v>1</v>
      </c>
      <c r="J5186" s="3">
        <v>9107</v>
      </c>
      <c r="K5186" s="3">
        <v>8691</v>
      </c>
      <c r="L5186" s="1">
        <v>0</v>
      </c>
      <c r="M5186" s="4">
        <v>0</v>
      </c>
      <c r="N5186" s="1">
        <v>416</v>
      </c>
      <c r="O5186" s="4">
        <v>4.5999999999999999E-2</v>
      </c>
      <c r="P5186" s="1" t="s">
        <v>2721</v>
      </c>
    </row>
    <row r="5187" spans="1:16">
      <c r="A5187" s="1" t="s">
        <v>577</v>
      </c>
      <c r="B5187" s="1">
        <v>11</v>
      </c>
      <c r="C5187" s="1" t="s">
        <v>9833</v>
      </c>
      <c r="D5187" s="1" t="s">
        <v>1700</v>
      </c>
      <c r="E5187" s="2">
        <v>45989</v>
      </c>
      <c r="F5187" s="1" t="s">
        <v>395</v>
      </c>
      <c r="G5187" s="1" t="s">
        <v>396</v>
      </c>
      <c r="H5187" s="1" t="s">
        <v>397</v>
      </c>
      <c r="I5187" s="1">
        <v>1</v>
      </c>
      <c r="J5187" s="3">
        <v>18874</v>
      </c>
      <c r="K5187" s="3">
        <v>18010</v>
      </c>
      <c r="L5187" s="1">
        <v>0</v>
      </c>
      <c r="M5187" s="4">
        <v>0</v>
      </c>
      <c r="N5187" s="1">
        <v>864</v>
      </c>
      <c r="O5187" s="4">
        <v>4.5999999999999999E-2</v>
      </c>
      <c r="P5187" s="1" t="s">
        <v>2721</v>
      </c>
    </row>
    <row r="5188" spans="1:16">
      <c r="A5188" s="1" t="s">
        <v>602</v>
      </c>
      <c r="B5188" s="1">
        <v>11</v>
      </c>
      <c r="C5188" s="1">
        <v>30100155831425</v>
      </c>
      <c r="D5188" s="1" t="s">
        <v>6612</v>
      </c>
      <c r="E5188" s="2">
        <v>45989</v>
      </c>
      <c r="F5188" s="1" t="s">
        <v>604</v>
      </c>
      <c r="G5188" s="1" t="s">
        <v>6613</v>
      </c>
      <c r="H5188" s="1" t="s">
        <v>6614</v>
      </c>
      <c r="I5188" s="1">
        <v>1</v>
      </c>
      <c r="J5188" s="3">
        <v>29000</v>
      </c>
      <c r="K5188" s="3">
        <v>17794</v>
      </c>
      <c r="L5188" s="3">
        <v>3364</v>
      </c>
      <c r="M5188" s="4">
        <v>0.11600000000000001</v>
      </c>
      <c r="N5188" s="3">
        <v>7842</v>
      </c>
      <c r="O5188" s="4">
        <v>0.27</v>
      </c>
      <c r="P5188" s="1" t="s">
        <v>2721</v>
      </c>
    </row>
    <row r="5189" spans="1:16">
      <c r="A5189" s="1" t="s">
        <v>602</v>
      </c>
      <c r="B5189" s="1">
        <v>11</v>
      </c>
      <c r="C5189" s="1">
        <v>1100155806519</v>
      </c>
      <c r="D5189" s="1" t="s">
        <v>621</v>
      </c>
      <c r="E5189" s="2">
        <v>45989</v>
      </c>
      <c r="F5189" s="1" t="s">
        <v>604</v>
      </c>
      <c r="G5189" s="1" t="s">
        <v>622</v>
      </c>
      <c r="H5189" s="1" t="s">
        <v>3012</v>
      </c>
      <c r="I5189" s="1">
        <v>1</v>
      </c>
      <c r="J5189" s="3">
        <v>8900</v>
      </c>
      <c r="K5189" s="3">
        <v>3675</v>
      </c>
      <c r="L5189" s="3">
        <v>1032</v>
      </c>
      <c r="M5189" s="4">
        <v>0.11600000000000001</v>
      </c>
      <c r="N5189" s="3">
        <v>4193</v>
      </c>
      <c r="O5189" s="4">
        <v>0.47099999999999997</v>
      </c>
      <c r="P5189" s="1" t="s">
        <v>2721</v>
      </c>
    </row>
    <row r="5190" spans="1:16">
      <c r="A5190" s="1" t="s">
        <v>602</v>
      </c>
      <c r="B5190" s="1">
        <v>11</v>
      </c>
      <c r="C5190" s="1">
        <v>21100155985027</v>
      </c>
      <c r="D5190" s="1" t="s">
        <v>621</v>
      </c>
      <c r="E5190" s="2">
        <v>45989</v>
      </c>
      <c r="F5190" s="1" t="s">
        <v>604</v>
      </c>
      <c r="G5190" s="1" t="s">
        <v>622</v>
      </c>
      <c r="H5190" s="1" t="s">
        <v>3012</v>
      </c>
      <c r="I5190" s="1">
        <v>1</v>
      </c>
      <c r="J5190" s="3">
        <v>8900</v>
      </c>
      <c r="K5190" s="3">
        <v>3675</v>
      </c>
      <c r="L5190" s="3">
        <v>1032</v>
      </c>
      <c r="M5190" s="4">
        <v>0.11600000000000001</v>
      </c>
      <c r="N5190" s="3">
        <v>4193</v>
      </c>
      <c r="O5190" s="4">
        <v>0.47099999999999997</v>
      </c>
      <c r="P5190" s="1" t="s">
        <v>2721</v>
      </c>
    </row>
    <row r="5191" spans="1:16">
      <c r="A5191" s="1" t="s">
        <v>616</v>
      </c>
      <c r="B5191" s="1">
        <v>11</v>
      </c>
      <c r="C5191" s="1">
        <v>2025112713007380</v>
      </c>
      <c r="D5191" s="1" t="s">
        <v>3017</v>
      </c>
      <c r="E5191" s="2">
        <v>45989</v>
      </c>
      <c r="F5191" s="1" t="s">
        <v>604</v>
      </c>
      <c r="G5191" s="1" t="s">
        <v>3018</v>
      </c>
      <c r="I5191" s="1">
        <v>2</v>
      </c>
      <c r="J5191" s="3">
        <v>57800</v>
      </c>
      <c r="K5191" s="3">
        <v>17460</v>
      </c>
      <c r="L5191" s="3">
        <v>2312</v>
      </c>
      <c r="M5191" s="4">
        <v>0.04</v>
      </c>
      <c r="N5191" s="3">
        <v>38028</v>
      </c>
      <c r="O5191" s="4">
        <v>0.65800000000000003</v>
      </c>
      <c r="P5191" s="1" t="s">
        <v>2721</v>
      </c>
    </row>
    <row r="5192" spans="1:16">
      <c r="A5192" s="1" t="s">
        <v>626</v>
      </c>
      <c r="B5192" s="1">
        <v>11</v>
      </c>
      <c r="C5192" s="1">
        <v>69510644</v>
      </c>
      <c r="D5192" s="1" t="s">
        <v>627</v>
      </c>
      <c r="E5192" s="2">
        <v>45989</v>
      </c>
      <c r="F5192" s="1" t="s">
        <v>604</v>
      </c>
      <c r="G5192" s="1" t="s">
        <v>628</v>
      </c>
      <c r="H5192" s="1" t="s">
        <v>629</v>
      </c>
      <c r="I5192" s="1">
        <v>1</v>
      </c>
      <c r="J5192" s="3">
        <v>8000</v>
      </c>
      <c r="K5192" s="3">
        <v>1800</v>
      </c>
      <c r="L5192" s="1">
        <v>880</v>
      </c>
      <c r="M5192" s="4">
        <v>0.11</v>
      </c>
      <c r="N5192" s="3">
        <v>5320</v>
      </c>
      <c r="O5192" s="4">
        <v>0.66500000000000004</v>
      </c>
      <c r="P5192" s="1" t="s">
        <v>2721</v>
      </c>
    </row>
    <row r="5193" spans="1:16">
      <c r="A5193" s="1" t="s">
        <v>626</v>
      </c>
      <c r="B5193" s="1">
        <v>11</v>
      </c>
      <c r="C5193" s="1">
        <v>69510577</v>
      </c>
      <c r="D5193" s="1" t="s">
        <v>627</v>
      </c>
      <c r="E5193" s="2">
        <v>45989</v>
      </c>
      <c r="F5193" s="1" t="s">
        <v>604</v>
      </c>
      <c r="G5193" s="1" t="s">
        <v>628</v>
      </c>
      <c r="H5193" s="1" t="s">
        <v>2271</v>
      </c>
      <c r="I5193" s="1">
        <v>2</v>
      </c>
      <c r="J5193" s="3">
        <v>12800</v>
      </c>
      <c r="K5193" s="3">
        <v>3600</v>
      </c>
      <c r="L5193" s="3">
        <v>1408</v>
      </c>
      <c r="M5193" s="4">
        <v>0.11</v>
      </c>
      <c r="N5193" s="3">
        <v>7792</v>
      </c>
      <c r="O5193" s="4">
        <v>0.60899999999999999</v>
      </c>
      <c r="P5193" s="1" t="s">
        <v>2721</v>
      </c>
    </row>
    <row r="5194" spans="1:16">
      <c r="A5194" s="1" t="s">
        <v>630</v>
      </c>
      <c r="B5194" s="1">
        <v>11</v>
      </c>
      <c r="C5194" s="1">
        <v>1117537370009980</v>
      </c>
      <c r="D5194" s="1" t="s">
        <v>627</v>
      </c>
      <c r="E5194" s="2">
        <v>45989</v>
      </c>
      <c r="F5194" s="1" t="s">
        <v>604</v>
      </c>
      <c r="G5194" s="1" t="s">
        <v>628</v>
      </c>
      <c r="H5194" s="1" t="s">
        <v>1848</v>
      </c>
      <c r="I5194" s="1">
        <v>1</v>
      </c>
      <c r="J5194" s="3">
        <v>6750</v>
      </c>
      <c r="K5194" s="3">
        <v>4300</v>
      </c>
      <c r="L5194" s="1">
        <v>446</v>
      </c>
      <c r="M5194" s="4">
        <v>6.6000000000000003E-2</v>
      </c>
      <c r="N5194" s="3">
        <v>2005</v>
      </c>
      <c r="O5194" s="4">
        <v>0.29699999999999999</v>
      </c>
      <c r="P5194" s="1" t="s">
        <v>2721</v>
      </c>
    </row>
    <row r="5195" spans="1:16">
      <c r="A5195" s="1" t="s">
        <v>632</v>
      </c>
      <c r="B5195" s="1">
        <v>11</v>
      </c>
      <c r="C5195" s="1">
        <v>164916941</v>
      </c>
      <c r="D5195" s="1" t="s">
        <v>3014</v>
      </c>
      <c r="E5195" s="2">
        <v>45989</v>
      </c>
      <c r="F5195" s="1" t="s">
        <v>604</v>
      </c>
      <c r="G5195" s="1" t="s">
        <v>9834</v>
      </c>
      <c r="I5195" s="1">
        <v>1</v>
      </c>
      <c r="J5195" s="3">
        <v>8900</v>
      </c>
      <c r="K5195" s="3">
        <v>3675</v>
      </c>
      <c r="L5195" s="1">
        <v>943</v>
      </c>
      <c r="M5195" s="4">
        <v>0.106</v>
      </c>
      <c r="N5195" s="3">
        <v>4282</v>
      </c>
      <c r="O5195" s="4">
        <v>0.48099999999999998</v>
      </c>
      <c r="P5195" s="1" t="s">
        <v>2721</v>
      </c>
    </row>
    <row r="5196" spans="1:16">
      <c r="A5196" s="1" t="s">
        <v>649</v>
      </c>
      <c r="B5196" s="1">
        <v>11</v>
      </c>
      <c r="C5196" s="1">
        <v>25112807190196</v>
      </c>
      <c r="D5196" s="1" t="s">
        <v>1913</v>
      </c>
      <c r="E5196" s="2">
        <v>45989</v>
      </c>
      <c r="F5196" s="1" t="s">
        <v>660</v>
      </c>
      <c r="G5196" s="1" t="s">
        <v>1914</v>
      </c>
      <c r="H5196" s="1" t="s">
        <v>1915</v>
      </c>
      <c r="I5196" s="1">
        <v>1</v>
      </c>
      <c r="J5196" s="3">
        <v>23035</v>
      </c>
      <c r="K5196" s="3">
        <v>21574</v>
      </c>
      <c r="L5196" s="1">
        <v>0</v>
      </c>
      <c r="M5196" s="4">
        <v>0</v>
      </c>
      <c r="N5196" s="3">
        <v>1461</v>
      </c>
      <c r="O5196" s="4">
        <v>6.3E-2</v>
      </c>
      <c r="P5196" s="1" t="s">
        <v>2721</v>
      </c>
    </row>
    <row r="5197" spans="1:16">
      <c r="A5197" s="1" t="s">
        <v>649</v>
      </c>
      <c r="B5197" s="1">
        <v>11</v>
      </c>
      <c r="C5197" s="1">
        <v>25112802261828</v>
      </c>
      <c r="D5197" s="1" t="s">
        <v>667</v>
      </c>
      <c r="E5197" s="2">
        <v>45989</v>
      </c>
      <c r="F5197" s="1" t="s">
        <v>48</v>
      </c>
      <c r="G5197" s="1" t="s">
        <v>668</v>
      </c>
      <c r="H5197" s="1" t="s">
        <v>669</v>
      </c>
      <c r="I5197" s="1">
        <v>1</v>
      </c>
      <c r="J5197" s="3">
        <v>9070</v>
      </c>
      <c r="K5197" s="3">
        <v>7680</v>
      </c>
      <c r="L5197" s="1">
        <v>0</v>
      </c>
      <c r="M5197" s="4">
        <v>0</v>
      </c>
      <c r="N5197" s="3">
        <v>1390</v>
      </c>
      <c r="O5197" s="4">
        <v>0.153</v>
      </c>
      <c r="P5197" s="1" t="s">
        <v>2721</v>
      </c>
    </row>
    <row r="5198" spans="1:16">
      <c r="A5198" s="1" t="s">
        <v>649</v>
      </c>
      <c r="B5198" s="1">
        <v>11</v>
      </c>
      <c r="C5198" s="1">
        <v>25112801231351</v>
      </c>
      <c r="D5198" s="1" t="s">
        <v>667</v>
      </c>
      <c r="E5198" s="2">
        <v>45989</v>
      </c>
      <c r="F5198" s="1" t="s">
        <v>48</v>
      </c>
      <c r="G5198" s="1" t="s">
        <v>668</v>
      </c>
      <c r="H5198" s="1" t="s">
        <v>669</v>
      </c>
      <c r="I5198" s="1">
        <v>1</v>
      </c>
      <c r="J5198" s="3">
        <v>9070</v>
      </c>
      <c r="K5198" s="3">
        <v>7680</v>
      </c>
      <c r="L5198" s="1">
        <v>0</v>
      </c>
      <c r="M5198" s="4">
        <v>0</v>
      </c>
      <c r="N5198" s="3">
        <v>1390</v>
      </c>
      <c r="O5198" s="4">
        <v>0.153</v>
      </c>
      <c r="P5198" s="1" t="s">
        <v>2721</v>
      </c>
    </row>
    <row r="5199" spans="1:16">
      <c r="A5199" s="1" t="s">
        <v>649</v>
      </c>
      <c r="B5199" s="1">
        <v>11</v>
      </c>
      <c r="C5199" s="1">
        <v>25112800195339</v>
      </c>
      <c r="D5199" s="1" t="s">
        <v>9835</v>
      </c>
      <c r="E5199" s="2">
        <v>45989</v>
      </c>
      <c r="F5199" s="1" t="s">
        <v>483</v>
      </c>
      <c r="G5199" s="1" t="s">
        <v>9836</v>
      </c>
      <c r="H5199" s="1" t="s">
        <v>9837</v>
      </c>
      <c r="I5199" s="1">
        <v>1</v>
      </c>
      <c r="J5199" s="3">
        <v>90789</v>
      </c>
      <c r="K5199" s="3">
        <v>77385</v>
      </c>
      <c r="L5199" s="1">
        <v>0</v>
      </c>
      <c r="M5199" s="4">
        <v>0</v>
      </c>
      <c r="N5199" s="3">
        <v>13404</v>
      </c>
      <c r="O5199" s="4">
        <v>0.14799999999999999</v>
      </c>
      <c r="P5199" s="1" t="s">
        <v>2721</v>
      </c>
    </row>
    <row r="5200" spans="1:16">
      <c r="A5200" s="1" t="s">
        <v>649</v>
      </c>
      <c r="B5200" s="1">
        <v>11</v>
      </c>
      <c r="C5200" s="1">
        <v>25112722010976</v>
      </c>
      <c r="D5200" s="1" t="s">
        <v>9838</v>
      </c>
      <c r="E5200" s="2">
        <v>45989</v>
      </c>
      <c r="F5200" s="1" t="s">
        <v>883</v>
      </c>
      <c r="G5200" s="1" t="s">
        <v>9839</v>
      </c>
      <c r="H5200" s="1" t="s">
        <v>9840</v>
      </c>
      <c r="I5200" s="1">
        <v>1</v>
      </c>
      <c r="J5200" s="3">
        <v>13855</v>
      </c>
      <c r="K5200" s="3">
        <v>12944</v>
      </c>
      <c r="L5200" s="1">
        <v>0</v>
      </c>
      <c r="M5200" s="4">
        <v>0</v>
      </c>
      <c r="N5200" s="1">
        <v>911</v>
      </c>
      <c r="O5200" s="4">
        <v>6.6000000000000003E-2</v>
      </c>
      <c r="P5200" s="1" t="s">
        <v>2721</v>
      </c>
    </row>
    <row r="5201" spans="1:16">
      <c r="A5201" s="1" t="s">
        <v>649</v>
      </c>
      <c r="B5201" s="1">
        <v>11</v>
      </c>
      <c r="C5201" s="1">
        <v>25112721394275</v>
      </c>
      <c r="D5201" s="1" t="s">
        <v>673</v>
      </c>
      <c r="E5201" s="2">
        <v>45989</v>
      </c>
      <c r="F5201" s="1" t="s">
        <v>368</v>
      </c>
      <c r="G5201" s="1" t="s">
        <v>674</v>
      </c>
      <c r="H5201" s="1" t="s">
        <v>675</v>
      </c>
      <c r="I5201" s="1">
        <v>1</v>
      </c>
      <c r="J5201" s="3">
        <v>18955</v>
      </c>
      <c r="K5201" s="3">
        <v>18899</v>
      </c>
      <c r="L5201" s="1">
        <v>0</v>
      </c>
      <c r="M5201" s="4">
        <v>0</v>
      </c>
      <c r="N5201" s="1">
        <v>56</v>
      </c>
      <c r="O5201" s="4">
        <v>3.0000000000000001E-3</v>
      </c>
      <c r="P5201" s="1" t="s">
        <v>2721</v>
      </c>
    </row>
    <row r="5202" spans="1:16">
      <c r="A5202" s="1" t="s">
        <v>649</v>
      </c>
      <c r="B5202" s="1">
        <v>11</v>
      </c>
      <c r="C5202" s="1">
        <v>25112716153909</v>
      </c>
      <c r="D5202" s="1" t="s">
        <v>9841</v>
      </c>
      <c r="E5202" s="2">
        <v>45989</v>
      </c>
      <c r="F5202" s="1" t="s">
        <v>235</v>
      </c>
      <c r="G5202" s="1" t="s">
        <v>9842</v>
      </c>
      <c r="H5202" s="1" t="s">
        <v>9843</v>
      </c>
      <c r="I5202" s="1">
        <v>1</v>
      </c>
      <c r="J5202" s="3">
        <v>12495</v>
      </c>
      <c r="K5202" s="3">
        <v>11689</v>
      </c>
      <c r="L5202" s="1">
        <v>0</v>
      </c>
      <c r="M5202" s="4">
        <v>0</v>
      </c>
      <c r="N5202" s="1">
        <v>806</v>
      </c>
      <c r="O5202" s="4">
        <v>6.5000000000000002E-2</v>
      </c>
      <c r="P5202" s="1" t="s">
        <v>2721</v>
      </c>
    </row>
    <row r="5203" spans="1:16">
      <c r="A5203" s="1" t="s">
        <v>649</v>
      </c>
      <c r="B5203" s="1">
        <v>11</v>
      </c>
      <c r="C5203" s="1">
        <v>25112714465080</v>
      </c>
      <c r="D5203" s="1" t="s">
        <v>5906</v>
      </c>
      <c r="E5203" s="2">
        <v>45989</v>
      </c>
      <c r="F5203" s="1" t="s">
        <v>3509</v>
      </c>
      <c r="G5203" s="1" t="s">
        <v>5907</v>
      </c>
      <c r="H5203" s="1" t="s">
        <v>9844</v>
      </c>
      <c r="I5203" s="1">
        <v>1</v>
      </c>
      <c r="J5203" s="3">
        <v>16066</v>
      </c>
      <c r="K5203" s="3">
        <v>13038</v>
      </c>
      <c r="L5203" s="1">
        <v>0</v>
      </c>
      <c r="M5203" s="4">
        <v>0</v>
      </c>
      <c r="N5203" s="3">
        <v>3028</v>
      </c>
      <c r="O5203" s="4">
        <v>0.188</v>
      </c>
      <c r="P5203" s="1" t="s">
        <v>2721</v>
      </c>
    </row>
    <row r="5204" spans="1:16">
      <c r="A5204" s="1" t="s">
        <v>649</v>
      </c>
      <c r="B5204" s="1">
        <v>11</v>
      </c>
      <c r="C5204" s="1">
        <v>25112714465080</v>
      </c>
      <c r="D5204" s="1" t="s">
        <v>5659</v>
      </c>
      <c r="E5204" s="2">
        <v>45989</v>
      </c>
      <c r="F5204" s="1" t="s">
        <v>3509</v>
      </c>
      <c r="G5204" s="1" t="s">
        <v>5660</v>
      </c>
      <c r="H5204" s="1" t="s">
        <v>9845</v>
      </c>
      <c r="I5204" s="1">
        <v>1</v>
      </c>
      <c r="J5204" s="3">
        <v>16066</v>
      </c>
      <c r="K5204" s="3">
        <v>13038</v>
      </c>
      <c r="L5204" s="1">
        <v>0</v>
      </c>
      <c r="M5204" s="4">
        <v>0</v>
      </c>
      <c r="N5204" s="3">
        <v>3028</v>
      </c>
      <c r="O5204" s="4">
        <v>0.188</v>
      </c>
      <c r="P5204" s="1" t="s">
        <v>2721</v>
      </c>
    </row>
    <row r="5205" spans="1:16">
      <c r="A5205" s="1" t="s">
        <v>649</v>
      </c>
      <c r="B5205" s="1">
        <v>11</v>
      </c>
      <c r="C5205" s="1">
        <v>25112714465080</v>
      </c>
      <c r="D5205" s="1" t="s">
        <v>9846</v>
      </c>
      <c r="E5205" s="2">
        <v>45989</v>
      </c>
      <c r="F5205" s="1" t="s">
        <v>3509</v>
      </c>
      <c r="G5205" s="1" t="s">
        <v>9847</v>
      </c>
      <c r="H5205" s="1" t="s">
        <v>9848</v>
      </c>
      <c r="I5205" s="1">
        <v>1</v>
      </c>
      <c r="J5205" s="3">
        <v>15215</v>
      </c>
      <c r="K5205" s="3">
        <v>13038</v>
      </c>
      <c r="L5205" s="1">
        <v>0</v>
      </c>
      <c r="M5205" s="4">
        <v>0</v>
      </c>
      <c r="N5205" s="3">
        <v>2177</v>
      </c>
      <c r="O5205" s="4">
        <v>0.14299999999999999</v>
      </c>
      <c r="P5205" s="1" t="s">
        <v>2721</v>
      </c>
    </row>
    <row r="5206" spans="1:16">
      <c r="A5206" s="1" t="s">
        <v>632</v>
      </c>
      <c r="B5206" s="1">
        <v>11</v>
      </c>
      <c r="C5206" s="1">
        <v>164898151</v>
      </c>
      <c r="D5206" s="1" t="s">
        <v>682</v>
      </c>
      <c r="E5206" s="2">
        <v>45989</v>
      </c>
      <c r="F5206" s="1" t="s">
        <v>500</v>
      </c>
      <c r="G5206" s="1" t="s">
        <v>683</v>
      </c>
      <c r="I5206" s="1">
        <v>1</v>
      </c>
      <c r="J5206" s="3">
        <v>134900</v>
      </c>
      <c r="K5206" s="3">
        <v>107500</v>
      </c>
      <c r="L5206" s="3">
        <v>14299</v>
      </c>
      <c r="M5206" s="4">
        <v>0.106</v>
      </c>
      <c r="N5206" s="3">
        <v>13100</v>
      </c>
      <c r="O5206" s="4">
        <v>9.7000000000000003E-2</v>
      </c>
      <c r="P5206" s="1" t="s">
        <v>2721</v>
      </c>
    </row>
    <row r="5207" spans="1:16">
      <c r="A5207" s="1" t="s">
        <v>632</v>
      </c>
      <c r="B5207" s="1">
        <v>11</v>
      </c>
      <c r="C5207" s="1">
        <v>164894193</v>
      </c>
      <c r="D5207" s="1" t="s">
        <v>715</v>
      </c>
      <c r="E5207" s="2">
        <v>45989</v>
      </c>
      <c r="F5207" s="1" t="s">
        <v>500</v>
      </c>
      <c r="G5207" s="1" t="s">
        <v>716</v>
      </c>
      <c r="I5207" s="1">
        <v>1</v>
      </c>
      <c r="J5207" s="3">
        <v>138900</v>
      </c>
      <c r="K5207" s="3">
        <v>111200</v>
      </c>
      <c r="L5207" s="3">
        <v>14723</v>
      </c>
      <c r="M5207" s="4">
        <v>0.106</v>
      </c>
      <c r="N5207" s="3">
        <v>12977</v>
      </c>
      <c r="O5207" s="4">
        <v>9.2999999999999999E-2</v>
      </c>
      <c r="P5207" s="1" t="s">
        <v>2721</v>
      </c>
    </row>
    <row r="5208" spans="1:16">
      <c r="A5208" s="1" t="s">
        <v>1917</v>
      </c>
      <c r="B5208" s="1">
        <v>11</v>
      </c>
      <c r="C5208" s="1">
        <v>1.1832176424762299E+20</v>
      </c>
      <c r="D5208" s="1" t="s">
        <v>9849</v>
      </c>
      <c r="E5208" s="2">
        <v>45989</v>
      </c>
      <c r="F5208" s="1" t="s">
        <v>803</v>
      </c>
      <c r="G5208" s="1" t="s">
        <v>9850</v>
      </c>
      <c r="H5208" s="1" t="s">
        <v>9851</v>
      </c>
      <c r="I5208" s="1">
        <v>1</v>
      </c>
      <c r="J5208" s="3">
        <v>24905</v>
      </c>
      <c r="K5208" s="3">
        <v>18282</v>
      </c>
      <c r="L5208" s="1">
        <v>0</v>
      </c>
      <c r="M5208" s="4">
        <v>0</v>
      </c>
      <c r="N5208" s="3">
        <v>6623</v>
      </c>
      <c r="O5208" s="4">
        <v>0.26600000000000001</v>
      </c>
      <c r="P5208" s="1" t="s">
        <v>2721</v>
      </c>
    </row>
    <row r="5209" spans="1:16">
      <c r="A5209" s="1" t="s">
        <v>1917</v>
      </c>
      <c r="B5209" s="1">
        <v>11</v>
      </c>
      <c r="C5209" s="1">
        <v>1.1832176424762299E+20</v>
      </c>
      <c r="D5209" s="1" t="s">
        <v>7597</v>
      </c>
      <c r="E5209" s="2">
        <v>45989</v>
      </c>
      <c r="F5209" s="1" t="s">
        <v>524</v>
      </c>
      <c r="G5209" s="1" t="s">
        <v>7598</v>
      </c>
      <c r="H5209" s="1" t="s">
        <v>7599</v>
      </c>
      <c r="I5209" s="1">
        <v>1</v>
      </c>
      <c r="J5209" s="3">
        <v>17340</v>
      </c>
      <c r="K5209" s="3">
        <v>12720</v>
      </c>
      <c r="L5209" s="1">
        <v>0</v>
      </c>
      <c r="M5209" s="4">
        <v>0</v>
      </c>
      <c r="N5209" s="3">
        <v>4620</v>
      </c>
      <c r="O5209" s="4">
        <v>0.26600000000000001</v>
      </c>
      <c r="P5209" s="1" t="s">
        <v>2721</v>
      </c>
    </row>
    <row r="5210" spans="1:16">
      <c r="A5210" s="1" t="s">
        <v>1917</v>
      </c>
      <c r="B5210" s="1">
        <v>11</v>
      </c>
      <c r="C5210" s="1">
        <v>1.1832176424762299E+20</v>
      </c>
      <c r="D5210" s="1" t="s">
        <v>9852</v>
      </c>
      <c r="E5210" s="2">
        <v>45989</v>
      </c>
      <c r="F5210" s="1" t="s">
        <v>524</v>
      </c>
      <c r="G5210" s="1" t="s">
        <v>9853</v>
      </c>
      <c r="H5210" s="1" t="s">
        <v>9323</v>
      </c>
      <c r="I5210" s="1">
        <v>1</v>
      </c>
      <c r="J5210" s="3">
        <v>17340</v>
      </c>
      <c r="K5210" s="3">
        <v>12720</v>
      </c>
      <c r="L5210" s="1">
        <v>0</v>
      </c>
      <c r="M5210" s="4">
        <v>0</v>
      </c>
      <c r="N5210" s="3">
        <v>4620</v>
      </c>
      <c r="O5210" s="4">
        <v>0.26600000000000001</v>
      </c>
      <c r="P5210" s="1" t="s">
        <v>2721</v>
      </c>
    </row>
    <row r="5211" spans="1:16">
      <c r="A5211" s="1" t="s">
        <v>1917</v>
      </c>
      <c r="B5211" s="1">
        <v>11</v>
      </c>
      <c r="C5211" s="1">
        <v>1.1832176424762299E+20</v>
      </c>
      <c r="D5211" s="1" t="s">
        <v>9854</v>
      </c>
      <c r="E5211" s="2">
        <v>45989</v>
      </c>
      <c r="F5211" s="1" t="s">
        <v>400</v>
      </c>
      <c r="G5211" s="1" t="s">
        <v>9855</v>
      </c>
      <c r="H5211" s="1" t="s">
        <v>9856</v>
      </c>
      <c r="I5211" s="1">
        <v>1</v>
      </c>
      <c r="J5211" s="3">
        <v>19040</v>
      </c>
      <c r="K5211" s="3">
        <v>16920</v>
      </c>
      <c r="L5211" s="1">
        <v>0</v>
      </c>
      <c r="M5211" s="4">
        <v>0</v>
      </c>
      <c r="N5211" s="3">
        <v>2120</v>
      </c>
      <c r="O5211" s="4">
        <v>0.111</v>
      </c>
      <c r="P5211" s="1" t="s">
        <v>2721</v>
      </c>
    </row>
    <row r="5212" spans="1:16">
      <c r="A5212" s="1" t="s">
        <v>1917</v>
      </c>
      <c r="B5212" s="1">
        <v>11</v>
      </c>
      <c r="C5212" s="1">
        <v>1.1832176424762299E+20</v>
      </c>
      <c r="D5212" s="1" t="s">
        <v>9081</v>
      </c>
      <c r="E5212" s="2">
        <v>45989</v>
      </c>
      <c r="F5212" s="1" t="s">
        <v>400</v>
      </c>
      <c r="G5212" s="1" t="s">
        <v>9082</v>
      </c>
      <c r="H5212" s="1" t="s">
        <v>9857</v>
      </c>
      <c r="I5212" s="1">
        <v>1</v>
      </c>
      <c r="J5212" s="3">
        <v>17765</v>
      </c>
      <c r="K5212" s="3">
        <v>15832</v>
      </c>
      <c r="L5212" s="1">
        <v>0</v>
      </c>
      <c r="M5212" s="4">
        <v>0</v>
      </c>
      <c r="N5212" s="3">
        <v>1933</v>
      </c>
      <c r="O5212" s="4">
        <v>0.109</v>
      </c>
      <c r="P5212" s="1" t="s">
        <v>2721</v>
      </c>
    </row>
    <row r="5213" spans="1:16">
      <c r="A5213" s="1" t="s">
        <v>1917</v>
      </c>
      <c r="B5213" s="1">
        <v>11</v>
      </c>
      <c r="C5213" s="1">
        <v>1.1832176424762299E+20</v>
      </c>
      <c r="D5213" s="1" t="s">
        <v>9858</v>
      </c>
      <c r="E5213" s="2">
        <v>45989</v>
      </c>
      <c r="F5213" s="1" t="s">
        <v>400</v>
      </c>
      <c r="G5213" s="1" t="s">
        <v>9859</v>
      </c>
      <c r="H5213" s="1" t="s">
        <v>402</v>
      </c>
      <c r="I5213" s="1">
        <v>1</v>
      </c>
      <c r="J5213" s="3">
        <v>20230</v>
      </c>
      <c r="K5213" s="3">
        <v>18008</v>
      </c>
      <c r="L5213" s="1">
        <v>0</v>
      </c>
      <c r="M5213" s="4">
        <v>0</v>
      </c>
      <c r="N5213" s="3">
        <v>2222</v>
      </c>
      <c r="O5213" s="4">
        <v>0.11</v>
      </c>
      <c r="P5213" s="1" t="s">
        <v>2721</v>
      </c>
    </row>
    <row r="5214" spans="1:16">
      <c r="A5214" s="1" t="s">
        <v>1917</v>
      </c>
      <c r="B5214" s="1">
        <v>11</v>
      </c>
      <c r="C5214" s="1">
        <v>1.1832176424762299E+20</v>
      </c>
      <c r="D5214" s="1" t="s">
        <v>9860</v>
      </c>
      <c r="E5214" s="2">
        <v>45989</v>
      </c>
      <c r="F5214" s="1" t="s">
        <v>276</v>
      </c>
      <c r="G5214" s="1" t="s">
        <v>9861</v>
      </c>
      <c r="H5214" s="1" t="s">
        <v>9862</v>
      </c>
      <c r="I5214" s="1">
        <v>1</v>
      </c>
      <c r="J5214" s="3">
        <v>33210</v>
      </c>
      <c r="K5214" s="3">
        <v>27200</v>
      </c>
      <c r="L5214" s="1">
        <v>0</v>
      </c>
      <c r="M5214" s="4">
        <v>0</v>
      </c>
      <c r="N5214" s="3">
        <v>6010</v>
      </c>
      <c r="O5214" s="4">
        <v>0.18099999999999999</v>
      </c>
      <c r="P5214" s="1" t="s">
        <v>2721</v>
      </c>
    </row>
    <row r="5215" spans="1:16">
      <c r="A5215" s="1" t="s">
        <v>1917</v>
      </c>
      <c r="B5215" s="1">
        <v>11</v>
      </c>
      <c r="C5215" s="1">
        <v>1.1828176420631799E+20</v>
      </c>
      <c r="D5215" s="1" t="s">
        <v>1941</v>
      </c>
      <c r="E5215" s="2">
        <v>45989</v>
      </c>
      <c r="F5215" s="1" t="s">
        <v>235</v>
      </c>
      <c r="G5215" s="1" t="s">
        <v>1942</v>
      </c>
      <c r="I5215" s="1">
        <v>1</v>
      </c>
      <c r="J5215" s="3">
        <v>24660</v>
      </c>
      <c r="K5215" s="3">
        <v>21340</v>
      </c>
      <c r="L5215" s="1">
        <v>0</v>
      </c>
      <c r="M5215" s="4">
        <v>0</v>
      </c>
      <c r="N5215" s="3">
        <v>3320</v>
      </c>
      <c r="O5215" s="4">
        <v>0.13500000000000001</v>
      </c>
      <c r="P5215" s="1" t="s">
        <v>2721</v>
      </c>
    </row>
    <row r="5216" spans="1:16">
      <c r="A5216" s="1" t="s">
        <v>1917</v>
      </c>
      <c r="B5216" s="1">
        <v>11</v>
      </c>
      <c r="C5216" s="1">
        <v>1.18371764288939E+20</v>
      </c>
      <c r="D5216" s="1" t="s">
        <v>9863</v>
      </c>
      <c r="E5216" s="2">
        <v>45989</v>
      </c>
      <c r="F5216" s="1" t="s">
        <v>524</v>
      </c>
      <c r="G5216" s="1" t="s">
        <v>9864</v>
      </c>
      <c r="H5216" s="1" t="s">
        <v>9324</v>
      </c>
      <c r="I5216" s="1">
        <v>1</v>
      </c>
      <c r="J5216" s="3">
        <v>17340</v>
      </c>
      <c r="K5216" s="3">
        <v>12720</v>
      </c>
      <c r="L5216" s="1">
        <v>0</v>
      </c>
      <c r="M5216" s="4">
        <v>0</v>
      </c>
      <c r="N5216" s="3">
        <v>4620</v>
      </c>
      <c r="O5216" s="4">
        <v>0.26600000000000001</v>
      </c>
      <c r="P5216" s="1" t="s">
        <v>2721</v>
      </c>
    </row>
    <row r="5217" spans="1:16">
      <c r="A5217" s="1" t="s">
        <v>1917</v>
      </c>
      <c r="B5217" s="1">
        <v>11</v>
      </c>
      <c r="C5217" s="1">
        <v>1.18371764288939E+20</v>
      </c>
      <c r="D5217" s="1" t="s">
        <v>8804</v>
      </c>
      <c r="E5217" s="2">
        <v>45989</v>
      </c>
      <c r="F5217" s="1" t="s">
        <v>524</v>
      </c>
      <c r="G5217" s="1" t="s">
        <v>8805</v>
      </c>
      <c r="H5217" s="1" t="s">
        <v>8806</v>
      </c>
      <c r="I5217" s="1">
        <v>1</v>
      </c>
      <c r="J5217" s="3">
        <v>17340</v>
      </c>
      <c r="K5217" s="3">
        <v>12720</v>
      </c>
      <c r="L5217" s="1">
        <v>0</v>
      </c>
      <c r="M5217" s="4">
        <v>0</v>
      </c>
      <c r="N5217" s="3">
        <v>4620</v>
      </c>
      <c r="O5217" s="4">
        <v>0.26600000000000001</v>
      </c>
      <c r="P5217" s="1" t="s">
        <v>2721</v>
      </c>
    </row>
    <row r="5218" spans="1:16">
      <c r="A5218" s="1" t="s">
        <v>1917</v>
      </c>
      <c r="B5218" s="1">
        <v>11</v>
      </c>
      <c r="C5218" s="1">
        <v>1.18371764288939E+20</v>
      </c>
      <c r="D5218" s="1" t="s">
        <v>9865</v>
      </c>
      <c r="E5218" s="2">
        <v>45989</v>
      </c>
      <c r="F5218" s="1" t="s">
        <v>2537</v>
      </c>
      <c r="G5218" s="1" t="s">
        <v>9866</v>
      </c>
      <c r="H5218" s="1" t="s">
        <v>3559</v>
      </c>
      <c r="I5218" s="1">
        <v>1</v>
      </c>
      <c r="J5218" s="3">
        <v>18700</v>
      </c>
      <c r="K5218" s="3">
        <v>16884</v>
      </c>
      <c r="L5218" s="1">
        <v>0</v>
      </c>
      <c r="M5218" s="4">
        <v>0</v>
      </c>
      <c r="N5218" s="3">
        <v>1816</v>
      </c>
      <c r="O5218" s="4">
        <v>9.7000000000000003E-2</v>
      </c>
      <c r="P5218" s="1" t="s">
        <v>2721</v>
      </c>
    </row>
    <row r="5219" spans="1:16">
      <c r="A5219" s="1" t="s">
        <v>686</v>
      </c>
      <c r="B5219" s="1">
        <v>11</v>
      </c>
      <c r="C5219" s="1" t="s">
        <v>9867</v>
      </c>
      <c r="D5219" s="1" t="s">
        <v>7560</v>
      </c>
      <c r="E5219" s="2">
        <v>45989</v>
      </c>
      <c r="F5219" s="1" t="s">
        <v>235</v>
      </c>
      <c r="G5219" s="1" t="s">
        <v>7561</v>
      </c>
      <c r="H5219" s="1" t="s">
        <v>9868</v>
      </c>
      <c r="I5219" s="1">
        <v>1</v>
      </c>
      <c r="J5219" s="3">
        <v>21200</v>
      </c>
      <c r="K5219" s="3">
        <v>15663</v>
      </c>
      <c r="L5219" s="1">
        <v>827</v>
      </c>
      <c r="M5219" s="4">
        <v>3.9E-2</v>
      </c>
      <c r="N5219" s="3">
        <v>4710</v>
      </c>
      <c r="O5219" s="4">
        <v>0.222</v>
      </c>
      <c r="P5219" s="1" t="s">
        <v>2721</v>
      </c>
    </row>
    <row r="5220" spans="1:16">
      <c r="A5220" s="1" t="s">
        <v>1849</v>
      </c>
      <c r="B5220" s="1">
        <v>11</v>
      </c>
      <c r="C5220" s="1">
        <v>346736</v>
      </c>
      <c r="D5220" s="1" t="s">
        <v>6636</v>
      </c>
      <c r="E5220" s="2">
        <v>45989</v>
      </c>
      <c r="F5220" s="1" t="s">
        <v>524</v>
      </c>
      <c r="G5220" s="1" t="s">
        <v>6637</v>
      </c>
      <c r="H5220" s="1" t="s">
        <v>6638</v>
      </c>
      <c r="I5220" s="1">
        <v>1</v>
      </c>
      <c r="J5220" s="3">
        <v>11400</v>
      </c>
      <c r="K5220" s="3">
        <v>7600</v>
      </c>
      <c r="L5220" s="3">
        <v>1710</v>
      </c>
      <c r="M5220" s="4">
        <v>0.15</v>
      </c>
      <c r="N5220" s="3">
        <v>2090</v>
      </c>
      <c r="O5220" s="4">
        <v>0.183</v>
      </c>
      <c r="P5220" s="1" t="s">
        <v>2721</v>
      </c>
    </row>
    <row r="5221" spans="1:16">
      <c r="A5221" s="1" t="s">
        <v>692</v>
      </c>
      <c r="B5221" s="1">
        <v>11</v>
      </c>
      <c r="C5221" s="1" t="s">
        <v>9869</v>
      </c>
      <c r="D5221" s="1" t="s">
        <v>9870</v>
      </c>
      <c r="E5221" s="2">
        <v>45989</v>
      </c>
      <c r="F5221" s="1" t="s">
        <v>9871</v>
      </c>
      <c r="G5221" s="1" t="s">
        <v>9872</v>
      </c>
      <c r="H5221" s="1" t="s">
        <v>9873</v>
      </c>
      <c r="I5221" s="1">
        <v>1</v>
      </c>
      <c r="J5221" s="3">
        <v>39015</v>
      </c>
      <c r="K5221" s="3">
        <v>35832</v>
      </c>
      <c r="L5221" s="1">
        <v>0</v>
      </c>
      <c r="M5221" s="4">
        <v>0</v>
      </c>
      <c r="N5221" s="3">
        <v>3183</v>
      </c>
      <c r="O5221" s="4">
        <v>8.2000000000000003E-2</v>
      </c>
      <c r="P5221" s="1" t="s">
        <v>2721</v>
      </c>
    </row>
    <row r="5222" spans="1:16">
      <c r="A5222" s="1" t="s">
        <v>692</v>
      </c>
      <c r="B5222" s="1">
        <v>11</v>
      </c>
      <c r="C5222" s="1" t="s">
        <v>9874</v>
      </c>
      <c r="D5222" s="1" t="s">
        <v>5312</v>
      </c>
      <c r="E5222" s="2">
        <v>45989</v>
      </c>
      <c r="F5222" s="1" t="s">
        <v>96</v>
      </c>
      <c r="G5222" s="1" t="s">
        <v>5313</v>
      </c>
      <c r="H5222" s="1" t="s">
        <v>5314</v>
      </c>
      <c r="I5222" s="1">
        <v>1</v>
      </c>
      <c r="J5222" s="3">
        <v>8585</v>
      </c>
      <c r="K5222" s="3">
        <v>7574</v>
      </c>
      <c r="L5222" s="1">
        <v>0</v>
      </c>
      <c r="M5222" s="4">
        <v>0</v>
      </c>
      <c r="N5222" s="3">
        <v>1011</v>
      </c>
      <c r="O5222" s="4">
        <v>0.11799999999999999</v>
      </c>
      <c r="P5222" s="1" t="s">
        <v>2721</v>
      </c>
    </row>
    <row r="5223" spans="1:16">
      <c r="A5223" s="1" t="s">
        <v>692</v>
      </c>
      <c r="B5223" s="1">
        <v>11</v>
      </c>
      <c r="C5223" s="1" t="s">
        <v>9875</v>
      </c>
      <c r="D5223" s="1" t="s">
        <v>5931</v>
      </c>
      <c r="E5223" s="2">
        <v>45989</v>
      </c>
      <c r="F5223" s="1" t="s">
        <v>96</v>
      </c>
      <c r="G5223" s="1" t="s">
        <v>5932</v>
      </c>
      <c r="H5223" s="1" t="s">
        <v>3727</v>
      </c>
      <c r="I5223" s="1">
        <v>1</v>
      </c>
      <c r="J5223" s="3">
        <v>16490</v>
      </c>
      <c r="K5223" s="3">
        <v>15447</v>
      </c>
      <c r="L5223" s="1">
        <v>0</v>
      </c>
      <c r="M5223" s="4">
        <v>0</v>
      </c>
      <c r="N5223" s="3">
        <v>1043</v>
      </c>
      <c r="O5223" s="4">
        <v>6.3E-2</v>
      </c>
      <c r="P5223" s="1" t="s">
        <v>2721</v>
      </c>
    </row>
    <row r="5224" spans="1:16">
      <c r="A5224" s="1" t="s">
        <v>692</v>
      </c>
      <c r="B5224" s="1">
        <v>11</v>
      </c>
      <c r="C5224" s="1" t="s">
        <v>9876</v>
      </c>
      <c r="D5224" s="1" t="s">
        <v>699</v>
      </c>
      <c r="E5224" s="2">
        <v>45989</v>
      </c>
      <c r="F5224" s="1" t="s">
        <v>96</v>
      </c>
      <c r="G5224" s="1" t="s">
        <v>700</v>
      </c>
      <c r="H5224" s="1" t="s">
        <v>701</v>
      </c>
      <c r="I5224" s="1">
        <v>1</v>
      </c>
      <c r="J5224" s="3">
        <v>10795</v>
      </c>
      <c r="K5224" s="3">
        <v>9488</v>
      </c>
      <c r="L5224" s="1">
        <v>0</v>
      </c>
      <c r="M5224" s="4">
        <v>0</v>
      </c>
      <c r="N5224" s="3">
        <v>1307</v>
      </c>
      <c r="O5224" s="4">
        <v>0.121</v>
      </c>
      <c r="P5224" s="1" t="s">
        <v>2721</v>
      </c>
    </row>
    <row r="5225" spans="1:16">
      <c r="A5225" s="1" t="s">
        <v>2033</v>
      </c>
      <c r="B5225" s="1">
        <v>11</v>
      </c>
      <c r="C5225" s="1">
        <v>2.0251127214820101E+18</v>
      </c>
      <c r="D5225" s="1" t="s">
        <v>9877</v>
      </c>
      <c r="E5225" s="2">
        <v>45989</v>
      </c>
      <c r="F5225" s="1" t="s">
        <v>347</v>
      </c>
      <c r="G5225" s="1" t="s">
        <v>9878</v>
      </c>
      <c r="H5225" s="1" t="s">
        <v>9879</v>
      </c>
      <c r="I5225" s="1">
        <v>2</v>
      </c>
      <c r="J5225" s="3">
        <v>58140</v>
      </c>
      <c r="K5225" s="3">
        <v>52528</v>
      </c>
      <c r="L5225" s="1">
        <v>0</v>
      </c>
      <c r="M5225" s="4">
        <v>0</v>
      </c>
      <c r="N5225" s="3">
        <v>5612</v>
      </c>
      <c r="O5225" s="4">
        <v>9.7000000000000003E-2</v>
      </c>
      <c r="P5225" s="1" t="s">
        <v>2721</v>
      </c>
    </row>
    <row r="5226" spans="1:16">
      <c r="A5226" s="1" t="s">
        <v>2033</v>
      </c>
      <c r="B5226" s="1">
        <v>11</v>
      </c>
      <c r="C5226" s="1">
        <v>2.0251127214820101E+18</v>
      </c>
      <c r="D5226" s="1" t="s">
        <v>6628</v>
      </c>
      <c r="E5226" s="2">
        <v>45989</v>
      </c>
      <c r="F5226" s="1" t="s">
        <v>347</v>
      </c>
      <c r="G5226" s="1" t="s">
        <v>6629</v>
      </c>
      <c r="H5226" s="1" t="s">
        <v>3288</v>
      </c>
      <c r="I5226" s="1">
        <v>2</v>
      </c>
      <c r="J5226" s="3">
        <v>42500</v>
      </c>
      <c r="K5226" s="3">
        <v>38458</v>
      </c>
      <c r="L5226" s="1">
        <v>0</v>
      </c>
      <c r="M5226" s="4">
        <v>0</v>
      </c>
      <c r="N5226" s="3">
        <v>4042</v>
      </c>
      <c r="O5226" s="4">
        <v>9.5000000000000001E-2</v>
      </c>
      <c r="P5226" s="1" t="s">
        <v>2721</v>
      </c>
    </row>
    <row r="5227" spans="1:16">
      <c r="A5227" s="1" t="s">
        <v>707</v>
      </c>
      <c r="B5227" s="1">
        <v>11</v>
      </c>
      <c r="C5227" s="1">
        <v>2.0251127183154598E+17</v>
      </c>
      <c r="D5227" s="1" t="s">
        <v>2071</v>
      </c>
      <c r="E5227" s="2">
        <v>45989</v>
      </c>
      <c r="F5227" s="1" t="s">
        <v>235</v>
      </c>
      <c r="G5227" s="1" t="s">
        <v>2072</v>
      </c>
      <c r="H5227" s="1" t="s">
        <v>2073</v>
      </c>
      <c r="I5227" s="1">
        <v>1</v>
      </c>
      <c r="J5227" s="3">
        <v>9800</v>
      </c>
      <c r="K5227" s="3">
        <v>7739</v>
      </c>
      <c r="L5227" s="3">
        <v>1470</v>
      </c>
      <c r="M5227" s="4">
        <v>0.15</v>
      </c>
      <c r="N5227" s="1">
        <v>591</v>
      </c>
      <c r="O5227" s="4">
        <v>0.06</v>
      </c>
      <c r="P5227" s="1" t="s">
        <v>2721</v>
      </c>
    </row>
    <row r="5228" spans="1:16">
      <c r="A5228" s="1" t="s">
        <v>707</v>
      </c>
      <c r="B5228" s="1">
        <v>11</v>
      </c>
      <c r="C5228" s="1">
        <v>2.0251127222421402E+17</v>
      </c>
      <c r="D5228" s="1" t="s">
        <v>3469</v>
      </c>
      <c r="E5228" s="2">
        <v>45989</v>
      </c>
      <c r="F5228" s="1" t="s">
        <v>347</v>
      </c>
      <c r="G5228" s="1" t="s">
        <v>3470</v>
      </c>
      <c r="H5228" s="1" t="s">
        <v>3471</v>
      </c>
      <c r="I5228" s="1">
        <v>1</v>
      </c>
      <c r="J5228" s="3">
        <v>23300</v>
      </c>
      <c r="K5228" s="3">
        <v>17447</v>
      </c>
      <c r="L5228" s="3">
        <v>3495</v>
      </c>
      <c r="M5228" s="4">
        <v>0.15</v>
      </c>
      <c r="N5228" s="3">
        <v>2358</v>
      </c>
      <c r="O5228" s="4">
        <v>0.10100000000000001</v>
      </c>
      <c r="P5228" s="1" t="s">
        <v>2721</v>
      </c>
    </row>
    <row r="5229" spans="1:16">
      <c r="A5229" s="1" t="s">
        <v>707</v>
      </c>
      <c r="B5229" s="1">
        <v>11</v>
      </c>
      <c r="C5229" s="1">
        <v>2.0251128070206202E+17</v>
      </c>
      <c r="D5229" s="1" t="s">
        <v>2071</v>
      </c>
      <c r="E5229" s="2">
        <v>45989</v>
      </c>
      <c r="F5229" s="1" t="s">
        <v>235</v>
      </c>
      <c r="G5229" s="1" t="s">
        <v>2072</v>
      </c>
      <c r="H5229" s="1" t="s">
        <v>2073</v>
      </c>
      <c r="I5229" s="1">
        <v>1</v>
      </c>
      <c r="J5229" s="3">
        <v>9800</v>
      </c>
      <c r="K5229" s="3">
        <v>7739</v>
      </c>
      <c r="L5229" s="3">
        <v>1470</v>
      </c>
      <c r="M5229" s="4">
        <v>0.15</v>
      </c>
      <c r="N5229" s="1">
        <v>591</v>
      </c>
      <c r="O5229" s="4">
        <v>0.06</v>
      </c>
      <c r="P5229" s="1" t="s">
        <v>2721</v>
      </c>
    </row>
    <row r="5230" spans="1:16">
      <c r="A5230" s="1" t="s">
        <v>707</v>
      </c>
      <c r="B5230" s="1">
        <v>11</v>
      </c>
      <c r="C5230" s="1">
        <v>2.0251128084853402E+17</v>
      </c>
      <c r="D5230" s="1" t="s">
        <v>2071</v>
      </c>
      <c r="E5230" s="2">
        <v>45989</v>
      </c>
      <c r="F5230" s="1" t="s">
        <v>235</v>
      </c>
      <c r="G5230" s="1" t="s">
        <v>2072</v>
      </c>
      <c r="H5230" s="1" t="s">
        <v>2073</v>
      </c>
      <c r="I5230" s="1">
        <v>1</v>
      </c>
      <c r="J5230" s="3">
        <v>9800</v>
      </c>
      <c r="K5230" s="3">
        <v>7739</v>
      </c>
      <c r="L5230" s="3">
        <v>1470</v>
      </c>
      <c r="M5230" s="4">
        <v>0.15</v>
      </c>
      <c r="N5230" s="1">
        <v>591</v>
      </c>
      <c r="O5230" s="4">
        <v>0.06</v>
      </c>
      <c r="P5230" s="1" t="s">
        <v>2721</v>
      </c>
    </row>
    <row r="5231" spans="1:16">
      <c r="A5231" s="1" t="s">
        <v>711</v>
      </c>
      <c r="B5231" s="1">
        <v>11</v>
      </c>
      <c r="C5231" s="1">
        <v>2.0251127174935501E+17</v>
      </c>
      <c r="D5231" s="1" t="s">
        <v>2184</v>
      </c>
      <c r="E5231" s="2">
        <v>45989</v>
      </c>
      <c r="F5231" s="1" t="s">
        <v>500</v>
      </c>
      <c r="G5231" s="1" t="s">
        <v>2185</v>
      </c>
      <c r="H5231" s="1" t="s">
        <v>6694</v>
      </c>
      <c r="I5231" s="1">
        <v>1</v>
      </c>
      <c r="J5231" s="3">
        <v>169900</v>
      </c>
      <c r="K5231" s="3">
        <v>98000</v>
      </c>
      <c r="L5231" s="3">
        <v>25485</v>
      </c>
      <c r="M5231" s="4">
        <v>0.15</v>
      </c>
      <c r="N5231" s="3">
        <v>46415</v>
      </c>
      <c r="O5231" s="4">
        <v>0.27300000000000002</v>
      </c>
      <c r="P5231" s="1" t="s">
        <v>2721</v>
      </c>
    </row>
    <row r="5232" spans="1:16">
      <c r="A5232" s="1" t="s">
        <v>718</v>
      </c>
      <c r="B5232" s="1">
        <v>11</v>
      </c>
      <c r="C5232" s="1">
        <v>2.0251128085141798E+17</v>
      </c>
      <c r="D5232" s="1" t="s">
        <v>2089</v>
      </c>
      <c r="E5232" s="2">
        <v>45989</v>
      </c>
      <c r="F5232" s="1" t="s">
        <v>1935</v>
      </c>
      <c r="G5232" s="1" t="s">
        <v>2090</v>
      </c>
      <c r="H5232" s="1" t="s">
        <v>2091</v>
      </c>
      <c r="I5232" s="1">
        <v>1</v>
      </c>
      <c r="J5232" s="3">
        <v>19900</v>
      </c>
      <c r="K5232" s="3">
        <v>16884</v>
      </c>
      <c r="L5232" s="3">
        <v>1990</v>
      </c>
      <c r="M5232" s="4">
        <v>0.1</v>
      </c>
      <c r="N5232" s="3">
        <v>1026</v>
      </c>
      <c r="O5232" s="4">
        <v>5.1999999999999998E-2</v>
      </c>
      <c r="P5232" s="1" t="s">
        <v>2721</v>
      </c>
    </row>
    <row r="5233" spans="1:16">
      <c r="A5233" s="1" t="s">
        <v>718</v>
      </c>
      <c r="B5233" s="1">
        <v>11</v>
      </c>
      <c r="C5233" s="1">
        <v>2.0251127235642499E+17</v>
      </c>
      <c r="D5233" s="1" t="s">
        <v>2096</v>
      </c>
      <c r="E5233" s="2">
        <v>45989</v>
      </c>
      <c r="F5233" s="1" t="s">
        <v>1935</v>
      </c>
      <c r="G5233" s="1" t="s">
        <v>2097</v>
      </c>
      <c r="H5233" s="1" t="s">
        <v>2098</v>
      </c>
      <c r="I5233" s="1">
        <v>1</v>
      </c>
      <c r="J5233" s="3">
        <v>10000</v>
      </c>
      <c r="K5233" s="3">
        <v>7504</v>
      </c>
      <c r="L5233" s="3">
        <v>1000</v>
      </c>
      <c r="M5233" s="4">
        <v>0.1</v>
      </c>
      <c r="N5233" s="3">
        <v>1496</v>
      </c>
      <c r="O5233" s="4">
        <v>0.15</v>
      </c>
      <c r="P5233" s="1" t="s">
        <v>2721</v>
      </c>
    </row>
    <row r="5234" spans="1:16">
      <c r="A5234" s="1" t="s">
        <v>718</v>
      </c>
      <c r="B5234" s="1">
        <v>11</v>
      </c>
      <c r="C5234" s="1">
        <v>2.025112723512E+17</v>
      </c>
      <c r="D5234" s="1" t="s">
        <v>9880</v>
      </c>
      <c r="E5234" s="2">
        <v>45989</v>
      </c>
      <c r="F5234" s="1" t="s">
        <v>483</v>
      </c>
      <c r="G5234" s="1" t="s">
        <v>9881</v>
      </c>
      <c r="H5234" s="1" t="s">
        <v>9882</v>
      </c>
      <c r="I5234" s="1">
        <v>1</v>
      </c>
      <c r="J5234" s="3">
        <v>19800</v>
      </c>
      <c r="K5234" s="3">
        <v>15745</v>
      </c>
      <c r="L5234" s="3">
        <v>1980</v>
      </c>
      <c r="M5234" s="4">
        <v>0.1</v>
      </c>
      <c r="N5234" s="3">
        <v>2075</v>
      </c>
      <c r="O5234" s="4">
        <v>0.105</v>
      </c>
      <c r="P5234" s="1" t="s">
        <v>2721</v>
      </c>
    </row>
    <row r="5235" spans="1:16">
      <c r="A5235" s="1" t="s">
        <v>718</v>
      </c>
      <c r="B5235" s="1">
        <v>11</v>
      </c>
      <c r="C5235" s="1">
        <v>2.0251127234850598E+17</v>
      </c>
      <c r="D5235" s="1" t="s">
        <v>9880</v>
      </c>
      <c r="E5235" s="2">
        <v>45989</v>
      </c>
      <c r="F5235" s="1" t="s">
        <v>483</v>
      </c>
      <c r="G5235" s="1" t="s">
        <v>9881</v>
      </c>
      <c r="H5235" s="1" t="s">
        <v>9882</v>
      </c>
      <c r="I5235" s="1">
        <v>1</v>
      </c>
      <c r="J5235" s="3">
        <v>19800</v>
      </c>
      <c r="K5235" s="3">
        <v>15745</v>
      </c>
      <c r="L5235" s="3">
        <v>1980</v>
      </c>
      <c r="M5235" s="4">
        <v>0.1</v>
      </c>
      <c r="N5235" s="3">
        <v>2075</v>
      </c>
      <c r="O5235" s="4">
        <v>0.105</v>
      </c>
      <c r="P5235" s="1" t="s">
        <v>2721</v>
      </c>
    </row>
    <row r="5236" spans="1:16">
      <c r="A5236" s="1" t="s">
        <v>718</v>
      </c>
      <c r="B5236" s="1">
        <v>11</v>
      </c>
      <c r="C5236" s="1">
        <v>2.0251127214308602E+17</v>
      </c>
      <c r="D5236" s="1" t="s">
        <v>8693</v>
      </c>
      <c r="E5236" s="2">
        <v>45989</v>
      </c>
      <c r="F5236" s="1" t="s">
        <v>235</v>
      </c>
      <c r="G5236" s="1" t="s">
        <v>8694</v>
      </c>
      <c r="H5236" s="1" t="s">
        <v>9368</v>
      </c>
      <c r="I5236" s="1">
        <v>1</v>
      </c>
      <c r="J5236" s="3">
        <v>9500</v>
      </c>
      <c r="K5236" s="3">
        <v>7739</v>
      </c>
      <c r="L5236" s="1">
        <v>950</v>
      </c>
      <c r="M5236" s="4">
        <v>0.1</v>
      </c>
      <c r="N5236" s="1">
        <v>811</v>
      </c>
      <c r="O5236" s="4">
        <v>8.5000000000000006E-2</v>
      </c>
      <c r="P5236" s="1" t="s">
        <v>2721</v>
      </c>
    </row>
    <row r="5237" spans="1:16">
      <c r="A5237" s="1" t="s">
        <v>718</v>
      </c>
      <c r="B5237" s="1">
        <v>11</v>
      </c>
      <c r="C5237" s="1">
        <v>2.02511272133464E+17</v>
      </c>
      <c r="D5237" s="1" t="s">
        <v>2096</v>
      </c>
      <c r="E5237" s="2">
        <v>45989</v>
      </c>
      <c r="F5237" s="1" t="s">
        <v>1935</v>
      </c>
      <c r="G5237" s="1" t="s">
        <v>2097</v>
      </c>
      <c r="H5237" s="1" t="s">
        <v>2098</v>
      </c>
      <c r="I5237" s="1">
        <v>1</v>
      </c>
      <c r="J5237" s="3">
        <v>10000</v>
      </c>
      <c r="K5237" s="3">
        <v>7504</v>
      </c>
      <c r="L5237" s="3">
        <v>1000</v>
      </c>
      <c r="M5237" s="4">
        <v>0.1</v>
      </c>
      <c r="N5237" s="3">
        <v>1496</v>
      </c>
      <c r="O5237" s="4">
        <v>0.15</v>
      </c>
      <c r="P5237" s="1" t="s">
        <v>2721</v>
      </c>
    </row>
    <row r="5238" spans="1:16">
      <c r="A5238" s="1" t="s">
        <v>718</v>
      </c>
      <c r="B5238" s="1">
        <v>11</v>
      </c>
      <c r="C5238" s="1">
        <v>2.0251127205950099E+17</v>
      </c>
      <c r="D5238" s="1" t="s">
        <v>8744</v>
      </c>
      <c r="E5238" s="2">
        <v>45989</v>
      </c>
      <c r="F5238" s="1" t="s">
        <v>235</v>
      </c>
      <c r="G5238" s="1" t="s">
        <v>8745</v>
      </c>
      <c r="H5238" s="1" t="s">
        <v>8746</v>
      </c>
      <c r="I5238" s="1">
        <v>1</v>
      </c>
      <c r="J5238" s="3">
        <v>10000</v>
      </c>
      <c r="K5238" s="3">
        <v>7677</v>
      </c>
      <c r="L5238" s="3">
        <v>1000</v>
      </c>
      <c r="M5238" s="4">
        <v>0.1</v>
      </c>
      <c r="N5238" s="3">
        <v>1323</v>
      </c>
      <c r="O5238" s="4">
        <v>0.13200000000000001</v>
      </c>
      <c r="P5238" s="1" t="s">
        <v>2721</v>
      </c>
    </row>
    <row r="5239" spans="1:16">
      <c r="A5239" s="1" t="s">
        <v>718</v>
      </c>
      <c r="B5239" s="1">
        <v>11</v>
      </c>
      <c r="C5239" s="1">
        <v>2.02511271021288E+17</v>
      </c>
      <c r="D5239" s="1" t="s">
        <v>2089</v>
      </c>
      <c r="E5239" s="2">
        <v>45989</v>
      </c>
      <c r="F5239" s="1" t="s">
        <v>1935</v>
      </c>
      <c r="G5239" s="1" t="s">
        <v>2090</v>
      </c>
      <c r="H5239" s="1" t="s">
        <v>2091</v>
      </c>
      <c r="I5239" s="1">
        <v>1</v>
      </c>
      <c r="J5239" s="3">
        <v>19900</v>
      </c>
      <c r="K5239" s="3">
        <v>16884</v>
      </c>
      <c r="L5239" s="3">
        <v>1990</v>
      </c>
      <c r="M5239" s="4">
        <v>0.1</v>
      </c>
      <c r="N5239" s="3">
        <v>1026</v>
      </c>
      <c r="O5239" s="4">
        <v>5.1999999999999998E-2</v>
      </c>
      <c r="P5239" s="1" t="s">
        <v>2721</v>
      </c>
    </row>
    <row r="5240" spans="1:16">
      <c r="A5240" s="1" t="s">
        <v>718</v>
      </c>
      <c r="B5240" s="1">
        <v>11</v>
      </c>
      <c r="C5240" s="1">
        <v>2.0251127101742E+17</v>
      </c>
      <c r="D5240" s="1" t="s">
        <v>3460</v>
      </c>
      <c r="E5240" s="2">
        <v>45989</v>
      </c>
      <c r="F5240" s="1" t="s">
        <v>235</v>
      </c>
      <c r="G5240" s="1" t="s">
        <v>3461</v>
      </c>
      <c r="H5240" s="1" t="s">
        <v>8751</v>
      </c>
      <c r="I5240" s="1">
        <v>1</v>
      </c>
      <c r="J5240" s="3">
        <v>15000</v>
      </c>
      <c r="K5240" s="3">
        <v>10010</v>
      </c>
      <c r="L5240" s="3">
        <v>1500</v>
      </c>
      <c r="M5240" s="4">
        <v>0.1</v>
      </c>
      <c r="N5240" s="3">
        <v>3490</v>
      </c>
      <c r="O5240" s="4">
        <v>0.23300000000000001</v>
      </c>
      <c r="P5240" s="1" t="s">
        <v>2721</v>
      </c>
    </row>
    <row r="5241" spans="1:16">
      <c r="A5241" s="1" t="s">
        <v>739</v>
      </c>
      <c r="B5241" s="1">
        <v>11</v>
      </c>
      <c r="C5241" s="1">
        <v>31523088</v>
      </c>
      <c r="D5241" s="1" t="s">
        <v>4975</v>
      </c>
      <c r="E5241" s="2">
        <v>45989</v>
      </c>
      <c r="F5241" s="1" t="s">
        <v>407</v>
      </c>
      <c r="G5241" s="1" t="s">
        <v>1474</v>
      </c>
      <c r="H5241" s="1" t="s">
        <v>1474</v>
      </c>
      <c r="I5241" s="1">
        <v>2</v>
      </c>
      <c r="J5241" s="3">
        <v>27800</v>
      </c>
      <c r="K5241" s="3">
        <v>21574</v>
      </c>
      <c r="L5241" s="3">
        <v>3670</v>
      </c>
      <c r="M5241" s="4">
        <v>0.13200000000000001</v>
      </c>
      <c r="N5241" s="3">
        <v>2556</v>
      </c>
      <c r="O5241" s="4">
        <v>9.1999999999999998E-2</v>
      </c>
      <c r="P5241" s="1" t="s">
        <v>2721</v>
      </c>
    </row>
    <row r="5242" spans="1:16">
      <c r="A5242" s="1" t="s">
        <v>739</v>
      </c>
      <c r="B5242" s="1">
        <v>11</v>
      </c>
      <c r="C5242" s="1">
        <v>31523607</v>
      </c>
      <c r="D5242" s="1" t="s">
        <v>4960</v>
      </c>
      <c r="E5242" s="2">
        <v>45989</v>
      </c>
      <c r="F5242" s="1" t="s">
        <v>517</v>
      </c>
      <c r="G5242" s="1" t="s">
        <v>4961</v>
      </c>
      <c r="H5242" s="1" t="s">
        <v>519</v>
      </c>
      <c r="I5242" s="1">
        <v>1</v>
      </c>
      <c r="J5242" s="3">
        <v>29000</v>
      </c>
      <c r="K5242" s="3">
        <v>20542</v>
      </c>
      <c r="L5242" s="3">
        <v>3828</v>
      </c>
      <c r="M5242" s="4">
        <v>0.13200000000000001</v>
      </c>
      <c r="N5242" s="3">
        <v>4630</v>
      </c>
      <c r="O5242" s="4">
        <v>0.16</v>
      </c>
      <c r="P5242" s="1" t="s">
        <v>2721</v>
      </c>
    </row>
    <row r="5243" spans="1:16">
      <c r="A5243" s="1" t="s">
        <v>739</v>
      </c>
      <c r="B5243" s="1">
        <v>11</v>
      </c>
      <c r="C5243" s="1">
        <v>31527890</v>
      </c>
      <c r="D5243" s="1" t="s">
        <v>9651</v>
      </c>
      <c r="E5243" s="2">
        <v>45989</v>
      </c>
      <c r="F5243" s="1" t="s">
        <v>1772</v>
      </c>
      <c r="G5243" s="1" t="s">
        <v>9652</v>
      </c>
      <c r="H5243" s="1" t="s">
        <v>9653</v>
      </c>
      <c r="I5243" s="1">
        <v>1</v>
      </c>
      <c r="J5243" s="3">
        <v>27900</v>
      </c>
      <c r="K5243" s="3">
        <v>22324</v>
      </c>
      <c r="L5243" s="3">
        <v>3683</v>
      </c>
      <c r="M5243" s="4">
        <v>0.13200000000000001</v>
      </c>
      <c r="N5243" s="3">
        <v>1893</v>
      </c>
      <c r="O5243" s="4">
        <v>6.8000000000000005E-2</v>
      </c>
      <c r="P5243" s="1" t="s">
        <v>2721</v>
      </c>
    </row>
    <row r="5244" spans="1:16">
      <c r="A5244" s="1" t="s">
        <v>756</v>
      </c>
      <c r="B5244" s="1">
        <v>11</v>
      </c>
      <c r="C5244" s="1" t="s">
        <v>9883</v>
      </c>
      <c r="D5244" s="1" t="s">
        <v>5665</v>
      </c>
      <c r="E5244" s="2">
        <v>45989</v>
      </c>
      <c r="F5244" s="1" t="s">
        <v>256</v>
      </c>
      <c r="G5244" s="1" t="s">
        <v>5666</v>
      </c>
      <c r="H5244" s="1" t="s">
        <v>9113</v>
      </c>
      <c r="I5244" s="1">
        <v>1</v>
      </c>
      <c r="J5244" s="3">
        <v>13110</v>
      </c>
      <c r="K5244" s="3">
        <v>10928</v>
      </c>
      <c r="L5244" s="1">
        <v>0</v>
      </c>
      <c r="M5244" s="4">
        <v>0</v>
      </c>
      <c r="N5244" s="3">
        <v>2182</v>
      </c>
      <c r="O5244" s="4">
        <v>0.16600000000000001</v>
      </c>
      <c r="P5244" s="1" t="s">
        <v>2723</v>
      </c>
    </row>
    <row r="5245" spans="1:16">
      <c r="A5245" s="1" t="s">
        <v>756</v>
      </c>
      <c r="B5245" s="1">
        <v>11</v>
      </c>
      <c r="C5245" s="1" t="s">
        <v>9884</v>
      </c>
      <c r="D5245" s="1" t="s">
        <v>2160</v>
      </c>
      <c r="E5245" s="2">
        <v>45989</v>
      </c>
      <c r="F5245" s="1" t="s">
        <v>126</v>
      </c>
      <c r="G5245" s="1" t="s">
        <v>2161</v>
      </c>
      <c r="H5245" s="1" t="s">
        <v>2162</v>
      </c>
      <c r="I5245" s="1">
        <v>1</v>
      </c>
      <c r="J5245" s="3">
        <v>20200</v>
      </c>
      <c r="K5245" s="3">
        <v>17165</v>
      </c>
      <c r="L5245" s="1">
        <v>0</v>
      </c>
      <c r="M5245" s="4">
        <v>0</v>
      </c>
      <c r="N5245" s="3">
        <v>3035</v>
      </c>
      <c r="O5245" s="4">
        <v>0.15</v>
      </c>
      <c r="P5245" s="1" t="s">
        <v>2723</v>
      </c>
    </row>
    <row r="5246" spans="1:16">
      <c r="A5246" s="1" t="s">
        <v>756</v>
      </c>
      <c r="B5246" s="1">
        <v>11</v>
      </c>
      <c r="C5246" s="1" t="s">
        <v>9885</v>
      </c>
      <c r="D5246" s="1" t="s">
        <v>9886</v>
      </c>
      <c r="E5246" s="2">
        <v>45989</v>
      </c>
      <c r="F5246" s="1" t="s">
        <v>2173</v>
      </c>
      <c r="G5246" s="1" t="s">
        <v>9887</v>
      </c>
      <c r="H5246" s="1" t="s">
        <v>9888</v>
      </c>
      <c r="I5246" s="1">
        <v>1</v>
      </c>
      <c r="J5246" s="3">
        <v>45200</v>
      </c>
      <c r="K5246" s="3">
        <v>38458</v>
      </c>
      <c r="L5246" s="1">
        <v>0</v>
      </c>
      <c r="M5246" s="4">
        <v>0</v>
      </c>
      <c r="N5246" s="3">
        <v>6742</v>
      </c>
      <c r="O5246" s="4">
        <v>0.14899999999999999</v>
      </c>
      <c r="P5246" s="1" t="s">
        <v>2723</v>
      </c>
    </row>
    <row r="5247" spans="1:16">
      <c r="A5247" s="1" t="s">
        <v>756</v>
      </c>
      <c r="B5247" s="1">
        <v>11</v>
      </c>
      <c r="C5247" s="1" t="s">
        <v>9889</v>
      </c>
      <c r="D5247" s="1" t="s">
        <v>5665</v>
      </c>
      <c r="E5247" s="2">
        <v>45989</v>
      </c>
      <c r="F5247" s="1" t="s">
        <v>256</v>
      </c>
      <c r="G5247" s="1" t="s">
        <v>5666</v>
      </c>
      <c r="H5247" s="1" t="s">
        <v>9113</v>
      </c>
      <c r="I5247" s="1">
        <v>1</v>
      </c>
      <c r="J5247" s="3">
        <v>13110</v>
      </c>
      <c r="K5247" s="3">
        <v>10928</v>
      </c>
      <c r="L5247" s="1">
        <v>0</v>
      </c>
      <c r="M5247" s="4">
        <v>0</v>
      </c>
      <c r="N5247" s="3">
        <v>2182</v>
      </c>
      <c r="O5247" s="4">
        <v>0.16600000000000001</v>
      </c>
      <c r="P5247" s="1" t="s">
        <v>2723</v>
      </c>
    </row>
    <row r="5248" spans="1:16">
      <c r="A5248" s="1" t="s">
        <v>756</v>
      </c>
      <c r="B5248" s="1">
        <v>11</v>
      </c>
      <c r="C5248" s="1" t="s">
        <v>9890</v>
      </c>
      <c r="D5248" s="1" t="s">
        <v>9891</v>
      </c>
      <c r="E5248" s="2">
        <v>45989</v>
      </c>
      <c r="F5248" s="1" t="s">
        <v>9381</v>
      </c>
      <c r="G5248" s="1" t="s">
        <v>9892</v>
      </c>
      <c r="H5248" s="1" t="s">
        <v>9893</v>
      </c>
      <c r="I5248" s="1">
        <v>1</v>
      </c>
      <c r="J5248" s="3">
        <v>22300</v>
      </c>
      <c r="K5248" s="3">
        <v>18948</v>
      </c>
      <c r="L5248" s="1">
        <v>0</v>
      </c>
      <c r="M5248" s="4">
        <v>0</v>
      </c>
      <c r="N5248" s="3">
        <v>3352</v>
      </c>
      <c r="O5248" s="4">
        <v>0.15</v>
      </c>
      <c r="P5248" s="1" t="s">
        <v>2723</v>
      </c>
    </row>
    <row r="5249" spans="1:16">
      <c r="A5249" s="1" t="s">
        <v>761</v>
      </c>
      <c r="B5249" s="1">
        <v>11</v>
      </c>
      <c r="C5249" s="1" t="s">
        <v>9894</v>
      </c>
      <c r="D5249" s="1" t="s">
        <v>2184</v>
      </c>
      <c r="E5249" s="2">
        <v>45989</v>
      </c>
      <c r="F5249" s="1" t="s">
        <v>500</v>
      </c>
      <c r="G5249" s="1" t="s">
        <v>2185</v>
      </c>
      <c r="I5249" s="1">
        <v>1</v>
      </c>
      <c r="J5249" s="3">
        <v>128300</v>
      </c>
      <c r="K5249" s="3">
        <v>98000</v>
      </c>
      <c r="L5249" s="1">
        <v>0</v>
      </c>
      <c r="M5249" s="4">
        <v>0</v>
      </c>
      <c r="N5249" s="3">
        <v>30300</v>
      </c>
      <c r="O5249" s="4">
        <v>0.23599999999999999</v>
      </c>
      <c r="P5249" s="1" t="s">
        <v>2723</v>
      </c>
    </row>
    <row r="5250" spans="1:16">
      <c r="A5250" s="1" t="s">
        <v>761</v>
      </c>
      <c r="B5250" s="1">
        <v>11</v>
      </c>
      <c r="C5250" s="1" t="s">
        <v>9895</v>
      </c>
      <c r="D5250" s="1" t="s">
        <v>9896</v>
      </c>
      <c r="E5250" s="2">
        <v>45989</v>
      </c>
      <c r="F5250" s="1" t="s">
        <v>2188</v>
      </c>
      <c r="G5250" s="1" t="s">
        <v>9897</v>
      </c>
      <c r="I5250" s="1">
        <v>1</v>
      </c>
      <c r="J5250" s="3">
        <v>11400</v>
      </c>
      <c r="K5250" s="3">
        <v>9000</v>
      </c>
      <c r="L5250" s="1">
        <v>0</v>
      </c>
      <c r="M5250" s="4">
        <v>0</v>
      </c>
      <c r="N5250" s="3">
        <v>2400</v>
      </c>
      <c r="O5250" s="4">
        <v>0.21099999999999999</v>
      </c>
      <c r="P5250" s="1" t="s">
        <v>2723</v>
      </c>
    </row>
    <row r="5251" spans="1:16">
      <c r="A5251" s="1" t="s">
        <v>763</v>
      </c>
      <c r="B5251" s="1">
        <v>11</v>
      </c>
      <c r="C5251" s="1" t="s">
        <v>9898</v>
      </c>
      <c r="D5251" s="1" t="s">
        <v>9351</v>
      </c>
      <c r="E5251" s="2">
        <v>45989</v>
      </c>
      <c r="F5251" s="1" t="s">
        <v>256</v>
      </c>
      <c r="G5251" s="1" t="s">
        <v>9352</v>
      </c>
      <c r="I5251" s="1">
        <v>2</v>
      </c>
      <c r="J5251" s="3">
        <v>19220</v>
      </c>
      <c r="K5251" s="3">
        <v>18722</v>
      </c>
      <c r="L5251" s="1">
        <v>0</v>
      </c>
      <c r="M5251" s="4">
        <v>0</v>
      </c>
      <c r="N5251" s="1">
        <v>498</v>
      </c>
      <c r="O5251" s="4">
        <v>2.5999999999999999E-2</v>
      </c>
      <c r="P5251" s="1" t="s">
        <v>2723</v>
      </c>
    </row>
    <row r="5252" spans="1:16">
      <c r="A5252" s="1" t="s">
        <v>763</v>
      </c>
      <c r="B5252" s="1">
        <v>11</v>
      </c>
      <c r="C5252" s="1" t="s">
        <v>9899</v>
      </c>
      <c r="D5252" s="1" t="s">
        <v>6902</v>
      </c>
      <c r="E5252" s="2">
        <v>45989</v>
      </c>
      <c r="F5252" s="1" t="s">
        <v>500</v>
      </c>
      <c r="G5252" s="1" t="s">
        <v>6903</v>
      </c>
      <c r="I5252" s="1">
        <v>1</v>
      </c>
      <c r="J5252" s="3">
        <v>119170</v>
      </c>
      <c r="K5252" s="3">
        <v>108000</v>
      </c>
      <c r="L5252" s="1">
        <v>0</v>
      </c>
      <c r="M5252" s="4">
        <v>0</v>
      </c>
      <c r="N5252" s="3">
        <v>11170</v>
      </c>
      <c r="O5252" s="4">
        <v>9.4E-2</v>
      </c>
      <c r="P5252" s="1" t="s">
        <v>2723</v>
      </c>
    </row>
    <row r="5253" spans="1:16">
      <c r="A5253" s="1" t="s">
        <v>763</v>
      </c>
      <c r="B5253" s="1">
        <v>11</v>
      </c>
      <c r="C5253" s="1" t="s">
        <v>9900</v>
      </c>
      <c r="D5253" s="1" t="s">
        <v>2257</v>
      </c>
      <c r="E5253" s="2">
        <v>45989</v>
      </c>
      <c r="F5253" s="1" t="s">
        <v>2206</v>
      </c>
      <c r="G5253" s="1" t="s">
        <v>2258</v>
      </c>
      <c r="H5253" s="1" t="s">
        <v>2259</v>
      </c>
      <c r="I5253" s="1">
        <v>1</v>
      </c>
      <c r="J5253" s="3">
        <v>37320</v>
      </c>
      <c r="K5253" s="3">
        <v>33800</v>
      </c>
      <c r="L5253" s="1">
        <v>0</v>
      </c>
      <c r="M5253" s="4">
        <v>0</v>
      </c>
      <c r="N5253" s="3">
        <v>3520</v>
      </c>
      <c r="O5253" s="4">
        <v>9.4E-2</v>
      </c>
      <c r="P5253" s="1" t="s">
        <v>2723</v>
      </c>
    </row>
    <row r="5254" spans="1:16">
      <c r="A5254" s="1" t="s">
        <v>602</v>
      </c>
      <c r="B5254" s="1">
        <v>11</v>
      </c>
      <c r="C5254" s="1">
        <v>27100155268738</v>
      </c>
      <c r="D5254" s="1" t="s">
        <v>3017</v>
      </c>
      <c r="E5254" s="2">
        <v>45989</v>
      </c>
      <c r="F5254" s="1" t="s">
        <v>604</v>
      </c>
      <c r="G5254" s="1" t="s">
        <v>3018</v>
      </c>
      <c r="H5254" s="1" t="s">
        <v>5891</v>
      </c>
      <c r="I5254" s="1">
        <v>4</v>
      </c>
      <c r="J5254" s="3">
        <v>121800</v>
      </c>
      <c r="K5254" s="3">
        <v>32420</v>
      </c>
      <c r="L5254" s="3">
        <v>14129</v>
      </c>
      <c r="M5254" s="4">
        <v>0.11600000000000001</v>
      </c>
      <c r="N5254" s="3">
        <v>75251</v>
      </c>
      <c r="O5254" s="4">
        <v>0.61799999999999999</v>
      </c>
      <c r="P5254" s="1" t="s">
        <v>2721</v>
      </c>
    </row>
    <row r="5255" spans="1:16">
      <c r="A5255" s="1" t="s">
        <v>630</v>
      </c>
      <c r="B5255" s="1">
        <v>11</v>
      </c>
      <c r="C5255" s="1">
        <v>1117580282292280</v>
      </c>
      <c r="D5255" s="1" t="s">
        <v>627</v>
      </c>
      <c r="E5255" s="2">
        <v>45989</v>
      </c>
      <c r="F5255" s="1" t="s">
        <v>604</v>
      </c>
      <c r="G5255" s="1" t="s">
        <v>628</v>
      </c>
      <c r="H5255" s="1" t="s">
        <v>1848</v>
      </c>
      <c r="I5255" s="1">
        <v>6</v>
      </c>
      <c r="J5255" s="3">
        <v>40500</v>
      </c>
      <c r="K5255" s="3">
        <v>13300</v>
      </c>
      <c r="L5255" s="3">
        <v>2673</v>
      </c>
      <c r="M5255" s="4">
        <v>6.6000000000000003E-2</v>
      </c>
      <c r="N5255" s="3">
        <v>24527</v>
      </c>
      <c r="O5255" s="4">
        <v>0.60599999999999998</v>
      </c>
      <c r="P5255" s="1" t="s">
        <v>2721</v>
      </c>
    </row>
    <row r="5256" spans="1:16">
      <c r="A5256" s="1" t="s">
        <v>626</v>
      </c>
      <c r="B5256" s="1">
        <v>11</v>
      </c>
      <c r="C5256" s="1">
        <v>69518978</v>
      </c>
      <c r="D5256" s="1" t="s">
        <v>627</v>
      </c>
      <c r="E5256" s="2">
        <v>45989</v>
      </c>
      <c r="F5256" s="1" t="s">
        <v>604</v>
      </c>
      <c r="G5256" s="1" t="s">
        <v>628</v>
      </c>
      <c r="H5256" s="1" t="s">
        <v>2271</v>
      </c>
      <c r="I5256" s="1">
        <v>2</v>
      </c>
      <c r="J5256" s="3">
        <v>12800</v>
      </c>
      <c r="K5256" s="3">
        <v>3600</v>
      </c>
      <c r="L5256" s="3">
        <v>1408</v>
      </c>
      <c r="M5256" s="4">
        <v>0.11</v>
      </c>
      <c r="N5256" s="3">
        <v>7792</v>
      </c>
      <c r="O5256" s="4">
        <v>0.60899999999999999</v>
      </c>
      <c r="P5256" s="1" t="s">
        <v>2721</v>
      </c>
    </row>
    <row r="5257" spans="1:16">
      <c r="A5257" s="1" t="s">
        <v>2725</v>
      </c>
      <c r="B5257" s="1">
        <v>11</v>
      </c>
      <c r="C5257" s="1" t="s">
        <v>9901</v>
      </c>
      <c r="D5257" s="1" t="s">
        <v>3410</v>
      </c>
      <c r="E5257" s="2">
        <v>45989</v>
      </c>
      <c r="F5257" s="1" t="s">
        <v>604</v>
      </c>
      <c r="G5257" s="1" t="s">
        <v>9902</v>
      </c>
      <c r="I5257" s="1">
        <v>1</v>
      </c>
      <c r="J5257" s="3">
        <v>87177</v>
      </c>
      <c r="L5257" s="1">
        <v>0</v>
      </c>
      <c r="M5257" s="4">
        <v>0</v>
      </c>
      <c r="N5257" s="3">
        <v>87177</v>
      </c>
      <c r="O5257" s="4">
        <v>1</v>
      </c>
      <c r="P5257" s="1" t="s">
        <v>2721</v>
      </c>
    </row>
  </sheetData>
  <autoFilter ref="A1:P5257" xr:uid="{01F663FD-F829-4987-8CD8-B86386CEAE24}"/>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074C94-69D2-4788-9D65-DE270623B634}">
  <dimension ref="A1:P1117"/>
  <sheetViews>
    <sheetView showGridLines="0" zoomScale="85" zoomScaleNormal="85" workbookViewId="0">
      <selection activeCell="A2" sqref="A2"/>
    </sheetView>
  </sheetViews>
  <sheetFormatPr defaultRowHeight="16.5"/>
  <cols>
    <col min="1" max="1" width="16.625" style="1" customWidth="1"/>
    <col min="2" max="2" width="7.125" style="1" bestFit="1" customWidth="1"/>
    <col min="3" max="3" width="16.5" style="1" customWidth="1"/>
    <col min="4" max="4" width="17.5" style="1" bestFit="1" customWidth="1"/>
    <col min="5" max="5" width="10" style="1" bestFit="1" customWidth="1"/>
    <col min="6" max="6" width="30.625" style="1" bestFit="1" customWidth="1"/>
    <col min="7" max="8" width="50.625" style="1" customWidth="1"/>
    <col min="9" max="9" width="5.25" style="1" bestFit="1" customWidth="1"/>
    <col min="10" max="10" width="11" style="1" bestFit="1" customWidth="1"/>
    <col min="11" max="11" width="9" style="1"/>
    <col min="12" max="12" width="7.375" style="1" bestFit="1" customWidth="1"/>
    <col min="13" max="14" width="11" style="1" bestFit="1" customWidth="1"/>
    <col min="15" max="15" width="7.75" style="1" bestFit="1" customWidth="1"/>
    <col min="16" max="16" width="7.125" style="1" bestFit="1" customWidth="1"/>
    <col min="17" max="16384" width="9" style="1"/>
  </cols>
  <sheetData>
    <row r="1" spans="1:16">
      <c r="A1" s="1" t="s">
        <v>0</v>
      </c>
      <c r="B1" s="1" t="s">
        <v>1</v>
      </c>
      <c r="C1" s="1" t="s">
        <v>2</v>
      </c>
      <c r="D1" s="1" t="s">
        <v>3</v>
      </c>
      <c r="E1" s="2" t="s">
        <v>4</v>
      </c>
      <c r="F1" s="1" t="s">
        <v>5</v>
      </c>
      <c r="G1" s="1" t="s">
        <v>6</v>
      </c>
      <c r="H1" s="1" t="s">
        <v>7</v>
      </c>
      <c r="I1" s="1" t="s">
        <v>8</v>
      </c>
      <c r="J1" s="3" t="s">
        <v>9</v>
      </c>
      <c r="K1" s="3" t="s">
        <v>10</v>
      </c>
      <c r="L1" s="1" t="s">
        <v>11</v>
      </c>
      <c r="M1" s="4" t="s">
        <v>12</v>
      </c>
      <c r="N1" s="3" t="s">
        <v>13</v>
      </c>
      <c r="O1" s="4" t="s">
        <v>14</v>
      </c>
      <c r="P1" s="1" t="s">
        <v>2720</v>
      </c>
    </row>
    <row r="2" spans="1:16">
      <c r="A2" s="1" t="s">
        <v>15</v>
      </c>
      <c r="B2" s="1">
        <v>12</v>
      </c>
      <c r="C2" s="1" t="s">
        <v>776</v>
      </c>
      <c r="D2" s="1" t="s">
        <v>777</v>
      </c>
      <c r="E2" s="2">
        <v>45992</v>
      </c>
      <c r="F2" s="1" t="s">
        <v>256</v>
      </c>
      <c r="G2" s="1" t="s">
        <v>778</v>
      </c>
      <c r="H2" s="1" t="s">
        <v>779</v>
      </c>
      <c r="I2" s="1">
        <v>1</v>
      </c>
      <c r="J2" s="3">
        <v>11010</v>
      </c>
      <c r="K2" s="3">
        <v>10506</v>
      </c>
      <c r="L2" s="1">
        <v>0</v>
      </c>
      <c r="M2" s="4">
        <v>0</v>
      </c>
      <c r="N2" s="3">
        <v>504</v>
      </c>
      <c r="O2" s="4">
        <v>4.5999999999999999E-2</v>
      </c>
      <c r="P2" s="1" t="s">
        <v>2721</v>
      </c>
    </row>
    <row r="3" spans="1:16">
      <c r="A3" s="1" t="s">
        <v>15</v>
      </c>
      <c r="B3" s="1">
        <v>12</v>
      </c>
      <c r="C3" s="1" t="s">
        <v>780</v>
      </c>
      <c r="D3" s="1" t="s">
        <v>95</v>
      </c>
      <c r="E3" s="2">
        <v>45992</v>
      </c>
      <c r="F3" s="1" t="s">
        <v>96</v>
      </c>
      <c r="G3" s="1" t="s">
        <v>97</v>
      </c>
      <c r="H3" s="1" t="s">
        <v>97</v>
      </c>
      <c r="I3" s="1">
        <v>1</v>
      </c>
      <c r="J3" s="3">
        <v>12571</v>
      </c>
      <c r="K3" s="3">
        <v>11995</v>
      </c>
      <c r="L3" s="1">
        <v>0</v>
      </c>
      <c r="M3" s="4">
        <v>0</v>
      </c>
      <c r="N3" s="3">
        <v>576</v>
      </c>
      <c r="O3" s="4">
        <v>4.5999999999999999E-2</v>
      </c>
      <c r="P3" s="1" t="s">
        <v>2721</v>
      </c>
    </row>
    <row r="4" spans="1:16">
      <c r="A4" s="1" t="s">
        <v>15</v>
      </c>
      <c r="B4" s="1">
        <v>12</v>
      </c>
      <c r="C4" s="1" t="s">
        <v>781</v>
      </c>
      <c r="D4" s="1" t="s">
        <v>782</v>
      </c>
      <c r="E4" s="2">
        <v>45992</v>
      </c>
      <c r="F4" s="1" t="s">
        <v>783</v>
      </c>
      <c r="G4" s="1" t="s">
        <v>784</v>
      </c>
      <c r="H4" s="1" t="s">
        <v>785</v>
      </c>
      <c r="I4" s="1">
        <v>1</v>
      </c>
      <c r="J4" s="3">
        <v>15925</v>
      </c>
      <c r="K4" s="3">
        <v>15196</v>
      </c>
      <c r="L4" s="1">
        <v>0</v>
      </c>
      <c r="M4" s="4">
        <v>0</v>
      </c>
      <c r="N4" s="3">
        <v>729</v>
      </c>
      <c r="O4" s="4">
        <v>4.5999999999999999E-2</v>
      </c>
      <c r="P4" s="1" t="s">
        <v>2721</v>
      </c>
    </row>
    <row r="5" spans="1:16">
      <c r="A5" s="1" t="s">
        <v>15</v>
      </c>
      <c r="B5" s="1">
        <v>12</v>
      </c>
      <c r="C5" s="1" t="s">
        <v>786</v>
      </c>
      <c r="D5" s="1" t="s">
        <v>165</v>
      </c>
      <c r="E5" s="2">
        <v>45992</v>
      </c>
      <c r="F5" s="1" t="s">
        <v>48</v>
      </c>
      <c r="G5" s="1" t="s">
        <v>166</v>
      </c>
      <c r="H5" s="1" t="s">
        <v>787</v>
      </c>
      <c r="I5" s="1">
        <v>1</v>
      </c>
      <c r="J5" s="3">
        <v>28940</v>
      </c>
      <c r="K5" s="3">
        <v>27615</v>
      </c>
      <c r="L5" s="1">
        <v>0</v>
      </c>
      <c r="M5" s="4">
        <v>0</v>
      </c>
      <c r="N5" s="3">
        <v>1325</v>
      </c>
      <c r="O5" s="4">
        <v>4.5999999999999999E-2</v>
      </c>
      <c r="P5" s="1" t="s">
        <v>2721</v>
      </c>
    </row>
    <row r="6" spans="1:16">
      <c r="A6" s="1" t="s">
        <v>15</v>
      </c>
      <c r="B6" s="1">
        <v>12</v>
      </c>
      <c r="C6" s="1" t="s">
        <v>788</v>
      </c>
      <c r="D6" s="1" t="s">
        <v>789</v>
      </c>
      <c r="E6" s="2">
        <v>45992</v>
      </c>
      <c r="F6" s="1" t="s">
        <v>53</v>
      </c>
      <c r="G6" s="1" t="s">
        <v>790</v>
      </c>
      <c r="H6" s="1" t="s">
        <v>791</v>
      </c>
      <c r="I6" s="1">
        <v>1</v>
      </c>
      <c r="J6" s="3">
        <v>15234</v>
      </c>
      <c r="K6" s="3">
        <v>14536</v>
      </c>
      <c r="L6" s="1">
        <v>0</v>
      </c>
      <c r="M6" s="4">
        <v>0</v>
      </c>
      <c r="N6" s="1">
        <v>698</v>
      </c>
      <c r="O6" s="4">
        <v>4.5999999999999999E-2</v>
      </c>
      <c r="P6" s="1" t="s">
        <v>2721</v>
      </c>
    </row>
    <row r="7" spans="1:16">
      <c r="A7" s="1" t="s">
        <v>15</v>
      </c>
      <c r="B7" s="1">
        <v>12</v>
      </c>
      <c r="C7" s="1" t="s">
        <v>792</v>
      </c>
      <c r="D7" s="1" t="s">
        <v>793</v>
      </c>
      <c r="E7" s="2">
        <v>45992</v>
      </c>
      <c r="F7" s="1" t="s">
        <v>126</v>
      </c>
      <c r="G7" s="1" t="s">
        <v>794</v>
      </c>
      <c r="H7" s="1" t="s">
        <v>795</v>
      </c>
      <c r="I7" s="1">
        <v>1</v>
      </c>
      <c r="J7" s="3">
        <v>10715</v>
      </c>
      <c r="K7" s="3">
        <v>10224</v>
      </c>
      <c r="L7" s="1">
        <v>0</v>
      </c>
      <c r="M7" s="4">
        <v>0</v>
      </c>
      <c r="N7" s="1">
        <v>491</v>
      </c>
      <c r="O7" s="4">
        <v>4.5999999999999999E-2</v>
      </c>
      <c r="P7" s="1" t="s">
        <v>2721</v>
      </c>
    </row>
    <row r="8" spans="1:16">
      <c r="A8" s="1" t="s">
        <v>15</v>
      </c>
      <c r="B8" s="1">
        <v>12</v>
      </c>
      <c r="C8" s="1" t="s">
        <v>796</v>
      </c>
      <c r="D8" s="1" t="s">
        <v>797</v>
      </c>
      <c r="E8" s="2">
        <v>45992</v>
      </c>
      <c r="F8" s="1" t="s">
        <v>798</v>
      </c>
      <c r="G8" s="1" t="s">
        <v>799</v>
      </c>
      <c r="H8" s="1" t="s">
        <v>800</v>
      </c>
      <c r="I8" s="1">
        <v>1</v>
      </c>
      <c r="J8" s="3">
        <v>19660</v>
      </c>
      <c r="K8" s="3">
        <v>18760</v>
      </c>
      <c r="L8" s="1">
        <v>0</v>
      </c>
      <c r="M8" s="4">
        <v>0</v>
      </c>
      <c r="N8" s="3">
        <v>900</v>
      </c>
      <c r="O8" s="4">
        <v>4.5999999999999999E-2</v>
      </c>
      <c r="P8" s="1" t="s">
        <v>2721</v>
      </c>
    </row>
    <row r="9" spans="1:16">
      <c r="A9" s="1" t="s">
        <v>15</v>
      </c>
      <c r="B9" s="1">
        <v>12</v>
      </c>
      <c r="C9" s="1" t="s">
        <v>801</v>
      </c>
      <c r="D9" s="1" t="s">
        <v>802</v>
      </c>
      <c r="E9" s="2">
        <v>45992</v>
      </c>
      <c r="F9" s="1" t="s">
        <v>803</v>
      </c>
      <c r="G9" s="1" t="s">
        <v>804</v>
      </c>
      <c r="H9" s="1" t="s">
        <v>805</v>
      </c>
      <c r="I9" s="1">
        <v>2</v>
      </c>
      <c r="J9" s="3">
        <v>26677</v>
      </c>
      <c r="K9" s="3">
        <v>25455</v>
      </c>
      <c r="L9" s="1">
        <v>0</v>
      </c>
      <c r="M9" s="4">
        <v>0</v>
      </c>
      <c r="N9" s="3">
        <v>1222</v>
      </c>
      <c r="O9" s="4">
        <v>4.5999999999999999E-2</v>
      </c>
      <c r="P9" s="1" t="s">
        <v>2721</v>
      </c>
    </row>
    <row r="10" spans="1:16">
      <c r="A10" s="1" t="s">
        <v>15</v>
      </c>
      <c r="B10" s="1">
        <v>12</v>
      </c>
      <c r="C10" s="1" t="s">
        <v>806</v>
      </c>
      <c r="D10" s="1" t="s">
        <v>341</v>
      </c>
      <c r="E10" s="2">
        <v>45992</v>
      </c>
      <c r="F10" s="1" t="s">
        <v>53</v>
      </c>
      <c r="G10" s="1" t="s">
        <v>342</v>
      </c>
      <c r="H10" s="1" t="s">
        <v>343</v>
      </c>
      <c r="I10" s="1">
        <v>1</v>
      </c>
      <c r="J10" s="3">
        <v>16135</v>
      </c>
      <c r="K10" s="3">
        <v>15396</v>
      </c>
      <c r="L10" s="1">
        <v>0</v>
      </c>
      <c r="M10" s="4">
        <v>0</v>
      </c>
      <c r="N10" s="1">
        <v>739</v>
      </c>
      <c r="O10" s="4">
        <v>4.5999999999999999E-2</v>
      </c>
      <c r="P10" s="1" t="s">
        <v>2721</v>
      </c>
    </row>
    <row r="11" spans="1:16">
      <c r="A11" s="1" t="s">
        <v>15</v>
      </c>
      <c r="B11" s="1">
        <v>12</v>
      </c>
      <c r="C11" s="1" t="s">
        <v>807</v>
      </c>
      <c r="D11" s="1" t="s">
        <v>169</v>
      </c>
      <c r="E11" s="2">
        <v>45992</v>
      </c>
      <c r="F11" s="1" t="s">
        <v>53</v>
      </c>
      <c r="G11" s="1" t="s">
        <v>170</v>
      </c>
      <c r="H11" s="1" t="s">
        <v>171</v>
      </c>
      <c r="I11" s="1">
        <v>1</v>
      </c>
      <c r="J11" s="3">
        <v>14332</v>
      </c>
      <c r="K11" s="3">
        <v>13676</v>
      </c>
      <c r="L11" s="1">
        <v>0</v>
      </c>
      <c r="M11" s="4">
        <v>0</v>
      </c>
      <c r="N11" s="3">
        <v>656</v>
      </c>
      <c r="O11" s="4">
        <v>4.5999999999999999E-2</v>
      </c>
      <c r="P11" s="1" t="s">
        <v>2721</v>
      </c>
    </row>
    <row r="12" spans="1:16">
      <c r="A12" s="1" t="s">
        <v>15</v>
      </c>
      <c r="B12" s="1">
        <v>12</v>
      </c>
      <c r="C12" s="1" t="s">
        <v>808</v>
      </c>
      <c r="D12" s="1" t="s">
        <v>542</v>
      </c>
      <c r="E12" s="2">
        <v>45992</v>
      </c>
      <c r="F12" s="1" t="s">
        <v>543</v>
      </c>
      <c r="G12" s="1" t="s">
        <v>544</v>
      </c>
      <c r="H12" s="1" t="s">
        <v>545</v>
      </c>
      <c r="I12" s="1">
        <v>1</v>
      </c>
      <c r="J12" s="3">
        <v>36371</v>
      </c>
      <c r="K12" s="3">
        <v>34706</v>
      </c>
      <c r="L12" s="1">
        <v>0</v>
      </c>
      <c r="M12" s="4">
        <v>0</v>
      </c>
      <c r="N12" s="3">
        <v>1665</v>
      </c>
      <c r="O12" s="4">
        <v>4.5999999999999999E-2</v>
      </c>
      <c r="P12" s="1" t="s">
        <v>2721</v>
      </c>
    </row>
    <row r="13" spans="1:16">
      <c r="A13" s="1" t="s">
        <v>15</v>
      </c>
      <c r="B13" s="1">
        <v>12</v>
      </c>
      <c r="C13" s="1" t="s">
        <v>809</v>
      </c>
      <c r="D13" s="1" t="s">
        <v>160</v>
      </c>
      <c r="E13" s="2">
        <v>45992</v>
      </c>
      <c r="F13" s="1" t="s">
        <v>161</v>
      </c>
      <c r="G13" s="1" t="s">
        <v>162</v>
      </c>
      <c r="H13" s="1" t="s">
        <v>810</v>
      </c>
      <c r="I13" s="1">
        <v>1</v>
      </c>
      <c r="J13" s="3">
        <v>9928</v>
      </c>
      <c r="K13" s="3">
        <v>9474</v>
      </c>
      <c r="L13" s="1">
        <v>0</v>
      </c>
      <c r="M13" s="4">
        <v>0</v>
      </c>
      <c r="N13" s="3">
        <v>454</v>
      </c>
      <c r="O13" s="4">
        <v>4.5999999999999999E-2</v>
      </c>
      <c r="P13" s="1" t="s">
        <v>2721</v>
      </c>
    </row>
    <row r="14" spans="1:16">
      <c r="A14" s="1" t="s">
        <v>15</v>
      </c>
      <c r="B14" s="1">
        <v>12</v>
      </c>
      <c r="C14" s="1" t="s">
        <v>811</v>
      </c>
      <c r="D14" s="1" t="s">
        <v>132</v>
      </c>
      <c r="E14" s="2">
        <v>45992</v>
      </c>
      <c r="F14" s="1" t="s">
        <v>53</v>
      </c>
      <c r="G14" s="1" t="s">
        <v>133</v>
      </c>
      <c r="H14" s="1" t="s">
        <v>88</v>
      </c>
      <c r="I14" s="1">
        <v>2</v>
      </c>
      <c r="J14" s="3">
        <v>34073</v>
      </c>
      <c r="K14" s="3">
        <v>32513</v>
      </c>
      <c r="L14" s="1">
        <v>0</v>
      </c>
      <c r="M14" s="4">
        <v>0</v>
      </c>
      <c r="N14" s="3">
        <v>1560</v>
      </c>
      <c r="O14" s="4">
        <v>4.5999999999999999E-2</v>
      </c>
      <c r="P14" s="1" t="s">
        <v>2721</v>
      </c>
    </row>
    <row r="15" spans="1:16">
      <c r="A15" s="1" t="s">
        <v>15</v>
      </c>
      <c r="B15" s="1">
        <v>12</v>
      </c>
      <c r="C15" s="1" t="s">
        <v>812</v>
      </c>
      <c r="D15" s="1" t="s">
        <v>813</v>
      </c>
      <c r="E15" s="2">
        <v>45992</v>
      </c>
      <c r="F15" s="1" t="s">
        <v>126</v>
      </c>
      <c r="G15" s="1" t="s">
        <v>814</v>
      </c>
      <c r="H15" s="1" t="s">
        <v>815</v>
      </c>
      <c r="I15" s="1">
        <v>1</v>
      </c>
      <c r="J15" s="3">
        <v>17203</v>
      </c>
      <c r="K15" s="3">
        <v>16415</v>
      </c>
      <c r="L15" s="1">
        <v>0</v>
      </c>
      <c r="M15" s="4">
        <v>0</v>
      </c>
      <c r="N15" s="3">
        <v>788</v>
      </c>
      <c r="O15" s="4">
        <v>4.5999999999999999E-2</v>
      </c>
      <c r="P15" s="1" t="s">
        <v>2721</v>
      </c>
    </row>
    <row r="16" spans="1:16">
      <c r="A16" s="1" t="s">
        <v>15</v>
      </c>
      <c r="B16" s="1">
        <v>12</v>
      </c>
      <c r="C16" s="1" t="s">
        <v>812</v>
      </c>
      <c r="D16" s="1" t="s">
        <v>813</v>
      </c>
      <c r="E16" s="2">
        <v>45992</v>
      </c>
      <c r="F16" s="1" t="s">
        <v>126</v>
      </c>
      <c r="G16" s="1" t="s">
        <v>814</v>
      </c>
      <c r="H16" s="1" t="s">
        <v>816</v>
      </c>
      <c r="I16" s="1">
        <v>1</v>
      </c>
      <c r="J16" s="3">
        <v>17203</v>
      </c>
      <c r="K16" s="3">
        <v>16415</v>
      </c>
      <c r="L16" s="1">
        <v>0</v>
      </c>
      <c r="M16" s="4">
        <v>0</v>
      </c>
      <c r="N16" s="1">
        <v>788</v>
      </c>
      <c r="O16" s="4">
        <v>4.5999999999999999E-2</v>
      </c>
      <c r="P16" s="1" t="s">
        <v>2721</v>
      </c>
    </row>
    <row r="17" spans="1:16">
      <c r="A17" s="1" t="s">
        <v>15</v>
      </c>
      <c r="B17" s="1">
        <v>12</v>
      </c>
      <c r="C17" s="1" t="s">
        <v>817</v>
      </c>
      <c r="D17" s="1" t="s">
        <v>818</v>
      </c>
      <c r="E17" s="2">
        <v>45992</v>
      </c>
      <c r="F17" s="1" t="s">
        <v>235</v>
      </c>
      <c r="G17" s="1" t="s">
        <v>819</v>
      </c>
      <c r="H17" s="1" t="s">
        <v>820</v>
      </c>
      <c r="I17" s="1">
        <v>1</v>
      </c>
      <c r="J17" s="3">
        <v>8061</v>
      </c>
      <c r="K17" s="3">
        <v>7692</v>
      </c>
      <c r="L17" s="1">
        <v>0</v>
      </c>
      <c r="M17" s="4">
        <v>0</v>
      </c>
      <c r="N17" s="1">
        <v>369</v>
      </c>
      <c r="O17" s="4">
        <v>4.5999999999999999E-2</v>
      </c>
      <c r="P17" s="1" t="s">
        <v>2721</v>
      </c>
    </row>
    <row r="18" spans="1:16">
      <c r="A18" s="1" t="s">
        <v>15</v>
      </c>
      <c r="B18" s="1">
        <v>12</v>
      </c>
      <c r="C18" s="1" t="s">
        <v>817</v>
      </c>
      <c r="D18" s="1" t="s">
        <v>818</v>
      </c>
      <c r="E18" s="2">
        <v>45992</v>
      </c>
      <c r="F18" s="1" t="s">
        <v>235</v>
      </c>
      <c r="G18" s="1" t="s">
        <v>819</v>
      </c>
      <c r="H18" s="1" t="s">
        <v>821</v>
      </c>
      <c r="I18" s="1">
        <v>1</v>
      </c>
      <c r="J18" s="3">
        <v>8061</v>
      </c>
      <c r="K18" s="3">
        <v>7692</v>
      </c>
      <c r="L18" s="1">
        <v>0</v>
      </c>
      <c r="M18" s="4">
        <v>0</v>
      </c>
      <c r="N18" s="1">
        <v>369</v>
      </c>
      <c r="O18" s="4">
        <v>4.5999999999999999E-2</v>
      </c>
      <c r="P18" s="1" t="s">
        <v>2721</v>
      </c>
    </row>
    <row r="19" spans="1:16">
      <c r="A19" s="1" t="s">
        <v>15</v>
      </c>
      <c r="B19" s="1">
        <v>12</v>
      </c>
      <c r="C19" s="1" t="s">
        <v>817</v>
      </c>
      <c r="D19" s="1" t="s">
        <v>818</v>
      </c>
      <c r="E19" s="2">
        <v>45992</v>
      </c>
      <c r="F19" s="1" t="s">
        <v>235</v>
      </c>
      <c r="G19" s="1" t="s">
        <v>819</v>
      </c>
      <c r="H19" s="1" t="s">
        <v>822</v>
      </c>
      <c r="I19" s="1">
        <v>1</v>
      </c>
      <c r="J19" s="3">
        <v>8061</v>
      </c>
      <c r="K19" s="3">
        <v>7692</v>
      </c>
      <c r="L19" s="1">
        <v>0</v>
      </c>
      <c r="M19" s="4">
        <v>0</v>
      </c>
      <c r="N19" s="3">
        <v>369</v>
      </c>
      <c r="O19" s="4">
        <v>4.5999999999999999E-2</v>
      </c>
      <c r="P19" s="1" t="s">
        <v>2721</v>
      </c>
    </row>
    <row r="20" spans="1:16">
      <c r="A20" s="1" t="s">
        <v>15</v>
      </c>
      <c r="B20" s="1">
        <v>12</v>
      </c>
      <c r="C20" s="1" t="s">
        <v>823</v>
      </c>
      <c r="D20" s="1" t="s">
        <v>824</v>
      </c>
      <c r="E20" s="2">
        <v>45992</v>
      </c>
      <c r="F20" s="1" t="s">
        <v>53</v>
      </c>
      <c r="G20" s="1" t="s">
        <v>825</v>
      </c>
      <c r="H20" s="1" t="s">
        <v>826</v>
      </c>
      <c r="I20" s="1">
        <v>1</v>
      </c>
      <c r="J20" s="3">
        <v>9825</v>
      </c>
      <c r="K20" s="3">
        <v>9375</v>
      </c>
      <c r="L20" s="1">
        <v>0</v>
      </c>
      <c r="M20" s="4">
        <v>0</v>
      </c>
      <c r="N20" s="1">
        <v>450</v>
      </c>
      <c r="O20" s="4">
        <v>4.5999999999999999E-2</v>
      </c>
      <c r="P20" s="1" t="s">
        <v>2721</v>
      </c>
    </row>
    <row r="21" spans="1:16">
      <c r="A21" s="1" t="s">
        <v>15</v>
      </c>
      <c r="B21" s="1">
        <v>12</v>
      </c>
      <c r="C21" s="1" t="s">
        <v>827</v>
      </c>
      <c r="D21" s="1" t="s">
        <v>828</v>
      </c>
      <c r="E21" s="2">
        <v>45992</v>
      </c>
      <c r="F21" s="1" t="s">
        <v>689</v>
      </c>
      <c r="G21" s="1" t="s">
        <v>829</v>
      </c>
      <c r="H21" s="1" t="s">
        <v>830</v>
      </c>
      <c r="I21" s="1">
        <v>1</v>
      </c>
      <c r="J21" s="3">
        <v>12779</v>
      </c>
      <c r="K21" s="3">
        <v>12194</v>
      </c>
      <c r="L21" s="1">
        <v>0</v>
      </c>
      <c r="M21" s="4">
        <v>0</v>
      </c>
      <c r="N21" s="3">
        <v>585</v>
      </c>
      <c r="O21" s="4">
        <v>4.5999999999999999E-2</v>
      </c>
      <c r="P21" s="1" t="s">
        <v>2721</v>
      </c>
    </row>
    <row r="22" spans="1:16">
      <c r="A22" s="1" t="s">
        <v>15</v>
      </c>
      <c r="B22" s="1">
        <v>12</v>
      </c>
      <c r="C22" s="1" t="s">
        <v>831</v>
      </c>
      <c r="D22" s="1" t="s">
        <v>797</v>
      </c>
      <c r="E22" s="2">
        <v>45992</v>
      </c>
      <c r="F22" s="1" t="s">
        <v>798</v>
      </c>
      <c r="G22" s="1" t="s">
        <v>799</v>
      </c>
      <c r="H22" s="1" t="s">
        <v>832</v>
      </c>
      <c r="I22" s="1">
        <v>1</v>
      </c>
      <c r="J22" s="3">
        <v>13271</v>
      </c>
      <c r="K22" s="3">
        <v>12663</v>
      </c>
      <c r="L22" s="1">
        <v>0</v>
      </c>
      <c r="M22" s="4">
        <v>0</v>
      </c>
      <c r="N22" s="1">
        <v>608</v>
      </c>
      <c r="O22" s="4">
        <v>4.5999999999999999E-2</v>
      </c>
      <c r="P22" s="1" t="s">
        <v>2721</v>
      </c>
    </row>
    <row r="23" spans="1:16">
      <c r="A23" s="1" t="s">
        <v>15</v>
      </c>
      <c r="B23" s="1">
        <v>12</v>
      </c>
      <c r="C23" s="1" t="s">
        <v>833</v>
      </c>
      <c r="D23" s="1" t="s">
        <v>95</v>
      </c>
      <c r="E23" s="2">
        <v>45992</v>
      </c>
      <c r="F23" s="1" t="s">
        <v>96</v>
      </c>
      <c r="G23" s="1" t="s">
        <v>97</v>
      </c>
      <c r="H23" s="1" t="s">
        <v>97</v>
      </c>
      <c r="I23" s="1">
        <v>1</v>
      </c>
      <c r="J23" s="3">
        <v>12571</v>
      </c>
      <c r="K23" s="3">
        <v>11995</v>
      </c>
      <c r="L23" s="1">
        <v>0</v>
      </c>
      <c r="M23" s="4">
        <v>0</v>
      </c>
      <c r="N23" s="1">
        <v>576</v>
      </c>
      <c r="O23" s="4">
        <v>4.5999999999999999E-2</v>
      </c>
      <c r="P23" s="1" t="s">
        <v>2721</v>
      </c>
    </row>
    <row r="24" spans="1:16">
      <c r="A24" s="1" t="s">
        <v>15</v>
      </c>
      <c r="B24" s="1">
        <v>12</v>
      </c>
      <c r="C24" s="1" t="s">
        <v>833</v>
      </c>
      <c r="D24" s="1" t="s">
        <v>834</v>
      </c>
      <c r="E24" s="2">
        <v>45992</v>
      </c>
      <c r="F24" s="1" t="s">
        <v>96</v>
      </c>
      <c r="G24" s="1" t="s">
        <v>835</v>
      </c>
      <c r="H24" s="1" t="s">
        <v>836</v>
      </c>
      <c r="I24" s="1">
        <v>1</v>
      </c>
      <c r="J24" s="3">
        <v>13475</v>
      </c>
      <c r="K24" s="3">
        <v>12858</v>
      </c>
      <c r="L24" s="1">
        <v>0</v>
      </c>
      <c r="M24" s="4">
        <v>0</v>
      </c>
      <c r="N24" s="1">
        <v>617</v>
      </c>
      <c r="O24" s="4">
        <v>4.5999999999999999E-2</v>
      </c>
      <c r="P24" s="1" t="s">
        <v>2721</v>
      </c>
    </row>
    <row r="25" spans="1:16">
      <c r="A25" s="1" t="s">
        <v>15</v>
      </c>
      <c r="B25" s="1">
        <v>12</v>
      </c>
      <c r="C25" s="1" t="s">
        <v>837</v>
      </c>
      <c r="D25" s="1" t="s">
        <v>838</v>
      </c>
      <c r="E25" s="2">
        <v>45992</v>
      </c>
      <c r="F25" s="1" t="s">
        <v>839</v>
      </c>
      <c r="G25" s="1" t="s">
        <v>840</v>
      </c>
      <c r="I25" s="1">
        <v>1</v>
      </c>
      <c r="J25" s="3">
        <v>21135</v>
      </c>
      <c r="K25" s="3">
        <v>20167</v>
      </c>
      <c r="L25" s="1">
        <v>0</v>
      </c>
      <c r="M25" s="4">
        <v>0</v>
      </c>
      <c r="N25" s="3">
        <v>968</v>
      </c>
      <c r="O25" s="4">
        <v>4.5999999999999999E-2</v>
      </c>
      <c r="P25" s="1" t="s">
        <v>2721</v>
      </c>
    </row>
    <row r="26" spans="1:16">
      <c r="A26" s="1" t="s">
        <v>15</v>
      </c>
      <c r="B26" s="1">
        <v>12</v>
      </c>
      <c r="C26" s="1" t="s">
        <v>837</v>
      </c>
      <c r="D26" s="1" t="s">
        <v>841</v>
      </c>
      <c r="E26" s="2">
        <v>45992</v>
      </c>
      <c r="F26" s="1" t="s">
        <v>839</v>
      </c>
      <c r="G26" s="1" t="s">
        <v>842</v>
      </c>
      <c r="H26" s="1" t="s">
        <v>843</v>
      </c>
      <c r="I26" s="1">
        <v>1</v>
      </c>
      <c r="J26" s="3">
        <v>31653</v>
      </c>
      <c r="K26" s="3">
        <v>30204</v>
      </c>
      <c r="L26" s="1">
        <v>0</v>
      </c>
      <c r="M26" s="4">
        <v>0</v>
      </c>
      <c r="N26" s="3">
        <v>1449</v>
      </c>
      <c r="O26" s="4">
        <v>4.5999999999999999E-2</v>
      </c>
      <c r="P26" s="1" t="s">
        <v>2721</v>
      </c>
    </row>
    <row r="27" spans="1:16">
      <c r="A27" s="1" t="s">
        <v>15</v>
      </c>
      <c r="B27" s="1">
        <v>12</v>
      </c>
      <c r="C27" s="1" t="s">
        <v>844</v>
      </c>
      <c r="D27" s="1" t="s">
        <v>845</v>
      </c>
      <c r="E27" s="2">
        <v>45992</v>
      </c>
      <c r="F27" s="1" t="s">
        <v>846</v>
      </c>
      <c r="G27" s="1" t="s">
        <v>847</v>
      </c>
      <c r="H27" s="1" t="s">
        <v>848</v>
      </c>
      <c r="I27" s="1">
        <v>1</v>
      </c>
      <c r="J27" s="3">
        <v>112554</v>
      </c>
      <c r="K27" s="3">
        <v>107401</v>
      </c>
      <c r="L27" s="1">
        <v>0</v>
      </c>
      <c r="M27" s="4">
        <v>0</v>
      </c>
      <c r="N27" s="3">
        <v>5153</v>
      </c>
      <c r="O27" s="4">
        <v>4.5999999999999999E-2</v>
      </c>
      <c r="P27" s="1" t="s">
        <v>2721</v>
      </c>
    </row>
    <row r="28" spans="1:16">
      <c r="A28" s="1" t="s">
        <v>15</v>
      </c>
      <c r="B28" s="1">
        <v>12</v>
      </c>
      <c r="C28" s="1" t="s">
        <v>849</v>
      </c>
      <c r="D28" s="1" t="s">
        <v>850</v>
      </c>
      <c r="E28" s="2">
        <v>45992</v>
      </c>
      <c r="F28" s="1" t="s">
        <v>851</v>
      </c>
      <c r="G28" s="1" t="s">
        <v>852</v>
      </c>
      <c r="H28" s="1" t="s">
        <v>853</v>
      </c>
      <c r="I28" s="1">
        <v>1</v>
      </c>
      <c r="J28" s="3">
        <v>24732</v>
      </c>
      <c r="K28" s="3">
        <v>23600</v>
      </c>
      <c r="L28" s="1">
        <v>0</v>
      </c>
      <c r="M28" s="4">
        <v>0</v>
      </c>
      <c r="N28" s="3">
        <v>1132</v>
      </c>
      <c r="O28" s="4">
        <v>4.5999999999999999E-2</v>
      </c>
      <c r="P28" s="1" t="s">
        <v>2721</v>
      </c>
    </row>
    <row r="29" spans="1:16">
      <c r="A29" s="1" t="s">
        <v>15</v>
      </c>
      <c r="B29" s="1">
        <v>12</v>
      </c>
      <c r="C29" s="1" t="s">
        <v>854</v>
      </c>
      <c r="D29" s="1" t="s">
        <v>855</v>
      </c>
      <c r="E29" s="2">
        <v>45992</v>
      </c>
      <c r="F29" s="1" t="s">
        <v>856</v>
      </c>
      <c r="G29" s="1" t="s">
        <v>857</v>
      </c>
      <c r="H29" s="1" t="s">
        <v>858</v>
      </c>
      <c r="I29" s="1">
        <v>1</v>
      </c>
      <c r="J29" s="3">
        <v>35388</v>
      </c>
      <c r="K29" s="3">
        <v>33768</v>
      </c>
      <c r="L29" s="1">
        <v>0</v>
      </c>
      <c r="M29" s="4">
        <v>0</v>
      </c>
      <c r="N29" s="3">
        <v>1620</v>
      </c>
      <c r="O29" s="4">
        <v>4.5999999999999999E-2</v>
      </c>
      <c r="P29" s="1" t="s">
        <v>2721</v>
      </c>
    </row>
    <row r="30" spans="1:16">
      <c r="A30" s="1" t="s">
        <v>15</v>
      </c>
      <c r="B30" s="1">
        <v>12</v>
      </c>
      <c r="C30" s="1" t="s">
        <v>859</v>
      </c>
      <c r="D30" s="1" t="s">
        <v>482</v>
      </c>
      <c r="E30" s="2">
        <v>45992</v>
      </c>
      <c r="F30" s="1" t="s">
        <v>483</v>
      </c>
      <c r="G30" s="1" t="s">
        <v>484</v>
      </c>
      <c r="H30" s="1" t="s">
        <v>860</v>
      </c>
      <c r="I30" s="1">
        <v>1</v>
      </c>
      <c r="J30" s="3">
        <v>27426</v>
      </c>
      <c r="K30" s="3">
        <v>26170</v>
      </c>
      <c r="L30" s="1">
        <v>0</v>
      </c>
      <c r="M30" s="4">
        <v>0</v>
      </c>
      <c r="N30" s="3">
        <v>1256</v>
      </c>
      <c r="O30" s="4">
        <v>4.5999999999999999E-2</v>
      </c>
      <c r="P30" s="1" t="s">
        <v>2721</v>
      </c>
    </row>
    <row r="31" spans="1:16">
      <c r="A31" s="1" t="s">
        <v>15</v>
      </c>
      <c r="B31" s="1">
        <v>12</v>
      </c>
      <c r="C31" s="1" t="s">
        <v>861</v>
      </c>
      <c r="D31" s="1" t="s">
        <v>862</v>
      </c>
      <c r="E31" s="2">
        <v>45992</v>
      </c>
      <c r="F31" s="1" t="s">
        <v>334</v>
      </c>
      <c r="G31" s="1" t="s">
        <v>863</v>
      </c>
      <c r="H31" s="1" t="s">
        <v>864</v>
      </c>
      <c r="I31" s="1">
        <v>1</v>
      </c>
      <c r="J31" s="3">
        <v>16220</v>
      </c>
      <c r="K31" s="3">
        <v>15477</v>
      </c>
      <c r="L31" s="1">
        <v>0</v>
      </c>
      <c r="M31" s="4">
        <v>0</v>
      </c>
      <c r="N31" s="1">
        <v>743</v>
      </c>
      <c r="O31" s="4">
        <v>4.5999999999999999E-2</v>
      </c>
      <c r="P31" s="1" t="s">
        <v>2721</v>
      </c>
    </row>
    <row r="32" spans="1:16">
      <c r="A32" s="1" t="s">
        <v>15</v>
      </c>
      <c r="B32" s="1">
        <v>12</v>
      </c>
      <c r="C32" s="1" t="s">
        <v>861</v>
      </c>
      <c r="D32" s="1" t="s">
        <v>865</v>
      </c>
      <c r="E32" s="2">
        <v>45992</v>
      </c>
      <c r="F32" s="1" t="s">
        <v>334</v>
      </c>
      <c r="G32" s="1" t="s">
        <v>866</v>
      </c>
      <c r="H32" s="1" t="s">
        <v>867</v>
      </c>
      <c r="I32" s="1">
        <v>1</v>
      </c>
      <c r="J32" s="3">
        <v>9044</v>
      </c>
      <c r="K32" s="3">
        <v>8630</v>
      </c>
      <c r="L32" s="1">
        <v>0</v>
      </c>
      <c r="M32" s="4">
        <v>0</v>
      </c>
      <c r="N32" s="3">
        <v>414</v>
      </c>
      <c r="O32" s="4">
        <v>4.5999999999999999E-2</v>
      </c>
      <c r="P32" s="1" t="s">
        <v>2721</v>
      </c>
    </row>
    <row r="33" spans="1:16">
      <c r="A33" s="1" t="s">
        <v>15</v>
      </c>
      <c r="B33" s="1">
        <v>12</v>
      </c>
      <c r="C33" s="1" t="s">
        <v>861</v>
      </c>
      <c r="D33" s="1" t="s">
        <v>865</v>
      </c>
      <c r="E33" s="2">
        <v>45992</v>
      </c>
      <c r="F33" s="1" t="s">
        <v>334</v>
      </c>
      <c r="G33" s="1" t="s">
        <v>866</v>
      </c>
      <c r="H33" s="1" t="s">
        <v>868</v>
      </c>
      <c r="I33" s="1">
        <v>1</v>
      </c>
      <c r="J33" s="3">
        <v>9044</v>
      </c>
      <c r="K33" s="3">
        <v>8630</v>
      </c>
      <c r="L33" s="1">
        <v>0</v>
      </c>
      <c r="M33" s="4">
        <v>0</v>
      </c>
      <c r="N33" s="3">
        <v>414</v>
      </c>
      <c r="O33" s="4">
        <v>4.5999999999999999E-2</v>
      </c>
      <c r="P33" s="1" t="s">
        <v>2721</v>
      </c>
    </row>
    <row r="34" spans="1:16">
      <c r="A34" s="1" t="s">
        <v>15</v>
      </c>
      <c r="B34" s="1">
        <v>12</v>
      </c>
      <c r="C34" s="1" t="s">
        <v>869</v>
      </c>
      <c r="D34" s="1" t="s">
        <v>870</v>
      </c>
      <c r="E34" s="2">
        <v>45992</v>
      </c>
      <c r="F34" s="1" t="s">
        <v>63</v>
      </c>
      <c r="G34" s="1" t="s">
        <v>871</v>
      </c>
      <c r="H34" s="1" t="s">
        <v>872</v>
      </c>
      <c r="I34" s="1">
        <v>1</v>
      </c>
      <c r="J34" s="3">
        <v>8834</v>
      </c>
      <c r="K34" s="3">
        <v>8430</v>
      </c>
      <c r="L34" s="1">
        <v>0</v>
      </c>
      <c r="M34" s="4">
        <v>0</v>
      </c>
      <c r="N34" s="3">
        <v>404</v>
      </c>
      <c r="O34" s="4">
        <v>4.5999999999999999E-2</v>
      </c>
      <c r="P34" s="1" t="s">
        <v>2721</v>
      </c>
    </row>
    <row r="35" spans="1:16">
      <c r="A35" s="1" t="s">
        <v>15</v>
      </c>
      <c r="B35" s="1">
        <v>12</v>
      </c>
      <c r="C35" s="1" t="s">
        <v>873</v>
      </c>
      <c r="D35" s="1" t="s">
        <v>874</v>
      </c>
      <c r="E35" s="2">
        <v>45992</v>
      </c>
      <c r="F35" s="1" t="s">
        <v>96</v>
      </c>
      <c r="G35" s="1" t="s">
        <v>875</v>
      </c>
      <c r="H35" s="1" t="s">
        <v>876</v>
      </c>
      <c r="I35" s="1">
        <v>1</v>
      </c>
      <c r="J35" s="3">
        <v>17092</v>
      </c>
      <c r="K35" s="3">
        <v>16310</v>
      </c>
      <c r="L35" s="1">
        <v>0</v>
      </c>
      <c r="M35" s="4">
        <v>0</v>
      </c>
      <c r="N35" s="3">
        <v>782</v>
      </c>
      <c r="O35" s="4">
        <v>4.5999999999999999E-2</v>
      </c>
      <c r="P35" s="1" t="s">
        <v>2721</v>
      </c>
    </row>
    <row r="36" spans="1:16">
      <c r="A36" s="1" t="s">
        <v>15</v>
      </c>
      <c r="B36" s="1">
        <v>12</v>
      </c>
      <c r="C36" s="1" t="s">
        <v>877</v>
      </c>
      <c r="D36" s="1" t="s">
        <v>878</v>
      </c>
      <c r="E36" s="2">
        <v>45992</v>
      </c>
      <c r="F36" s="1" t="s">
        <v>856</v>
      </c>
      <c r="G36" s="1" t="s">
        <v>879</v>
      </c>
      <c r="H36" s="1" t="s">
        <v>880</v>
      </c>
      <c r="I36" s="1">
        <v>1</v>
      </c>
      <c r="J36" s="3">
        <v>89453</v>
      </c>
      <c r="K36" s="3">
        <v>85358</v>
      </c>
      <c r="L36" s="1">
        <v>0</v>
      </c>
      <c r="M36" s="4">
        <v>0</v>
      </c>
      <c r="N36" s="3">
        <v>4095</v>
      </c>
      <c r="O36" s="4">
        <v>4.5999999999999999E-2</v>
      </c>
      <c r="P36" s="1" t="s">
        <v>2721</v>
      </c>
    </row>
    <row r="37" spans="1:16">
      <c r="A37" s="1" t="s">
        <v>15</v>
      </c>
      <c r="B37" s="1">
        <v>12</v>
      </c>
      <c r="C37" s="1" t="s">
        <v>881</v>
      </c>
      <c r="D37" s="1" t="s">
        <v>882</v>
      </c>
      <c r="E37" s="2">
        <v>45992</v>
      </c>
      <c r="F37" s="1" t="s">
        <v>883</v>
      </c>
      <c r="G37" s="1" t="s">
        <v>884</v>
      </c>
      <c r="H37" s="1" t="s">
        <v>885</v>
      </c>
      <c r="I37" s="1">
        <v>1</v>
      </c>
      <c r="J37" s="3">
        <v>18972</v>
      </c>
      <c r="K37" s="3">
        <v>18103</v>
      </c>
      <c r="L37" s="1">
        <v>0</v>
      </c>
      <c r="M37" s="4">
        <v>0</v>
      </c>
      <c r="N37" s="1">
        <v>869</v>
      </c>
      <c r="O37" s="4">
        <v>4.5999999999999999E-2</v>
      </c>
      <c r="P37" s="1" t="s">
        <v>2721</v>
      </c>
    </row>
    <row r="38" spans="1:16">
      <c r="A38" s="1" t="s">
        <v>15</v>
      </c>
      <c r="B38" s="1">
        <v>12</v>
      </c>
      <c r="C38" s="1" t="s">
        <v>886</v>
      </c>
      <c r="D38" s="1" t="s">
        <v>887</v>
      </c>
      <c r="E38" s="2">
        <v>45992</v>
      </c>
      <c r="F38" s="1" t="s">
        <v>53</v>
      </c>
      <c r="G38" s="1" t="s">
        <v>888</v>
      </c>
      <c r="H38" s="1" t="s">
        <v>889</v>
      </c>
      <c r="I38" s="1">
        <v>1</v>
      </c>
      <c r="J38" s="3">
        <v>10726</v>
      </c>
      <c r="K38" s="3">
        <v>10235</v>
      </c>
      <c r="L38" s="1">
        <v>0</v>
      </c>
      <c r="M38" s="4">
        <v>0</v>
      </c>
      <c r="N38" s="3">
        <v>491</v>
      </c>
      <c r="O38" s="4">
        <v>4.5999999999999999E-2</v>
      </c>
      <c r="P38" s="1" t="s">
        <v>2721</v>
      </c>
    </row>
    <row r="39" spans="1:16">
      <c r="A39" s="1" t="s">
        <v>15</v>
      </c>
      <c r="B39" s="1">
        <v>12</v>
      </c>
      <c r="C39" s="1" t="s">
        <v>890</v>
      </c>
      <c r="D39" s="1" t="s">
        <v>891</v>
      </c>
      <c r="E39" s="2">
        <v>45992</v>
      </c>
      <c r="F39" s="1" t="s">
        <v>892</v>
      </c>
      <c r="G39" s="1" t="s">
        <v>893</v>
      </c>
      <c r="H39" s="1" t="s">
        <v>894</v>
      </c>
      <c r="I39" s="1">
        <v>2</v>
      </c>
      <c r="J39" s="3">
        <v>41286</v>
      </c>
      <c r="K39" s="3">
        <v>39396</v>
      </c>
      <c r="L39" s="1">
        <v>0</v>
      </c>
      <c r="M39" s="4">
        <v>0</v>
      </c>
      <c r="N39" s="3">
        <v>1890</v>
      </c>
      <c r="O39" s="4">
        <v>4.5999999999999999E-2</v>
      </c>
      <c r="P39" s="1" t="s">
        <v>2721</v>
      </c>
    </row>
    <row r="40" spans="1:16">
      <c r="A40" s="1" t="s">
        <v>15</v>
      </c>
      <c r="B40" s="1">
        <v>12</v>
      </c>
      <c r="C40" s="1" t="s">
        <v>895</v>
      </c>
      <c r="D40" s="1" t="s">
        <v>224</v>
      </c>
      <c r="E40" s="2">
        <v>45992</v>
      </c>
      <c r="F40" s="1" t="s">
        <v>96</v>
      </c>
      <c r="G40" s="1" t="s">
        <v>225</v>
      </c>
      <c r="H40" s="1" t="s">
        <v>896</v>
      </c>
      <c r="I40" s="1">
        <v>1</v>
      </c>
      <c r="J40" s="3">
        <v>12571</v>
      </c>
      <c r="K40" s="3">
        <v>11995</v>
      </c>
      <c r="L40" s="1">
        <v>0</v>
      </c>
      <c r="M40" s="4">
        <v>0</v>
      </c>
      <c r="N40" s="1">
        <v>576</v>
      </c>
      <c r="O40" s="4">
        <v>4.5999999999999999E-2</v>
      </c>
      <c r="P40" s="1" t="s">
        <v>2721</v>
      </c>
    </row>
    <row r="41" spans="1:16">
      <c r="A41" s="1" t="s">
        <v>15</v>
      </c>
      <c r="B41" s="1">
        <v>12</v>
      </c>
      <c r="C41" s="1" t="s">
        <v>895</v>
      </c>
      <c r="D41" s="1" t="s">
        <v>224</v>
      </c>
      <c r="E41" s="2">
        <v>45992</v>
      </c>
      <c r="F41" s="1" t="s">
        <v>96</v>
      </c>
      <c r="G41" s="1" t="s">
        <v>225</v>
      </c>
      <c r="H41" s="1" t="s">
        <v>897</v>
      </c>
      <c r="I41" s="1">
        <v>1</v>
      </c>
      <c r="J41" s="3">
        <v>12571</v>
      </c>
      <c r="K41" s="3">
        <v>11995</v>
      </c>
      <c r="L41" s="1">
        <v>0</v>
      </c>
      <c r="M41" s="4">
        <v>0</v>
      </c>
      <c r="N41" s="3">
        <v>576</v>
      </c>
      <c r="O41" s="4">
        <v>4.5999999999999999E-2</v>
      </c>
      <c r="P41" s="1" t="s">
        <v>2721</v>
      </c>
    </row>
    <row r="42" spans="1:16">
      <c r="A42" s="1" t="s">
        <v>15</v>
      </c>
      <c r="B42" s="1">
        <v>12</v>
      </c>
      <c r="C42" s="1" t="s">
        <v>898</v>
      </c>
      <c r="D42" s="1" t="s">
        <v>899</v>
      </c>
      <c r="E42" s="2">
        <v>45992</v>
      </c>
      <c r="F42" s="1" t="s">
        <v>500</v>
      </c>
      <c r="G42" s="1" t="s">
        <v>900</v>
      </c>
      <c r="H42" s="1" t="s">
        <v>901</v>
      </c>
      <c r="I42" s="1">
        <v>1</v>
      </c>
      <c r="J42" s="3">
        <v>105846</v>
      </c>
      <c r="K42" s="3">
        <v>101000</v>
      </c>
      <c r="L42" s="1">
        <v>0</v>
      </c>
      <c r="M42" s="4">
        <v>0</v>
      </c>
      <c r="N42" s="3">
        <v>4846</v>
      </c>
      <c r="O42" s="4">
        <v>4.5999999999999999E-2</v>
      </c>
      <c r="P42" s="1" t="s">
        <v>2721</v>
      </c>
    </row>
    <row r="43" spans="1:16">
      <c r="A43" s="1" t="s">
        <v>15</v>
      </c>
      <c r="B43" s="1">
        <v>12</v>
      </c>
      <c r="C43" s="1" t="s">
        <v>902</v>
      </c>
      <c r="D43" s="1" t="s">
        <v>903</v>
      </c>
      <c r="E43" s="2">
        <v>45992</v>
      </c>
      <c r="F43" s="1" t="s">
        <v>23</v>
      </c>
      <c r="G43" s="1" t="s">
        <v>587</v>
      </c>
      <c r="H43" s="1" t="s">
        <v>904</v>
      </c>
      <c r="I43" s="1">
        <v>1</v>
      </c>
      <c r="J43" s="3">
        <v>13762</v>
      </c>
      <c r="K43" s="3">
        <v>13132</v>
      </c>
      <c r="L43" s="1">
        <v>0</v>
      </c>
      <c r="M43" s="4">
        <v>0</v>
      </c>
      <c r="N43" s="3">
        <v>630</v>
      </c>
      <c r="O43" s="4">
        <v>4.5999999999999999E-2</v>
      </c>
      <c r="P43" s="1" t="s">
        <v>2721</v>
      </c>
    </row>
    <row r="44" spans="1:16">
      <c r="A44" s="1" t="s">
        <v>15</v>
      </c>
      <c r="B44" s="1">
        <v>12</v>
      </c>
      <c r="C44" s="1" t="s">
        <v>905</v>
      </c>
      <c r="D44" s="1" t="s">
        <v>906</v>
      </c>
      <c r="E44" s="2">
        <v>45992</v>
      </c>
      <c r="F44" s="1" t="s">
        <v>554</v>
      </c>
      <c r="G44" s="1" t="s">
        <v>907</v>
      </c>
      <c r="H44" s="1" t="s">
        <v>908</v>
      </c>
      <c r="I44" s="1">
        <v>1</v>
      </c>
      <c r="J44" s="3">
        <v>52394</v>
      </c>
      <c r="K44" s="3">
        <v>49995</v>
      </c>
      <c r="L44" s="1">
        <v>0</v>
      </c>
      <c r="M44" s="4">
        <v>0</v>
      </c>
      <c r="N44" s="3">
        <v>2399</v>
      </c>
      <c r="O44" s="4">
        <v>4.5999999999999999E-2</v>
      </c>
      <c r="P44" s="1" t="s">
        <v>2721</v>
      </c>
    </row>
    <row r="45" spans="1:16">
      <c r="A45" s="1" t="s">
        <v>15</v>
      </c>
      <c r="B45" s="1">
        <v>12</v>
      </c>
      <c r="C45" s="1" t="s">
        <v>909</v>
      </c>
      <c r="D45" s="1" t="s">
        <v>325</v>
      </c>
      <c r="E45" s="2">
        <v>45992</v>
      </c>
      <c r="F45" s="1" t="s">
        <v>256</v>
      </c>
      <c r="G45" s="1" t="s">
        <v>326</v>
      </c>
      <c r="H45" s="1" t="s">
        <v>910</v>
      </c>
      <c r="I45" s="1">
        <v>1</v>
      </c>
      <c r="J45" s="3">
        <v>14204</v>
      </c>
      <c r="K45" s="3">
        <v>13554</v>
      </c>
      <c r="L45" s="1">
        <v>0</v>
      </c>
      <c r="M45" s="4">
        <v>0</v>
      </c>
      <c r="N45" s="1">
        <v>650</v>
      </c>
      <c r="O45" s="4">
        <v>4.5999999999999999E-2</v>
      </c>
      <c r="P45" s="1" t="s">
        <v>2721</v>
      </c>
    </row>
    <row r="46" spans="1:16">
      <c r="A46" s="1" t="s">
        <v>15</v>
      </c>
      <c r="B46" s="1">
        <v>12</v>
      </c>
      <c r="C46" s="1" t="s">
        <v>911</v>
      </c>
      <c r="D46" s="1" t="s">
        <v>86</v>
      </c>
      <c r="E46" s="2">
        <v>45992</v>
      </c>
      <c r="F46" s="1" t="s">
        <v>53</v>
      </c>
      <c r="G46" s="1" t="s">
        <v>87</v>
      </c>
      <c r="H46" s="1" t="s">
        <v>88</v>
      </c>
      <c r="I46" s="1">
        <v>1</v>
      </c>
      <c r="J46" s="3">
        <v>14956</v>
      </c>
      <c r="K46" s="3">
        <v>14272</v>
      </c>
      <c r="L46" s="1">
        <v>0</v>
      </c>
      <c r="M46" s="4">
        <v>0</v>
      </c>
      <c r="N46" s="3">
        <v>684</v>
      </c>
      <c r="O46" s="4">
        <v>4.5999999999999999E-2</v>
      </c>
      <c r="P46" s="1" t="s">
        <v>2721</v>
      </c>
    </row>
    <row r="47" spans="1:16">
      <c r="A47" s="1" t="s">
        <v>15</v>
      </c>
      <c r="B47" s="1">
        <v>12</v>
      </c>
      <c r="C47" s="1" t="s">
        <v>912</v>
      </c>
      <c r="D47" s="1" t="s">
        <v>913</v>
      </c>
      <c r="E47" s="2">
        <v>45992</v>
      </c>
      <c r="F47" s="1" t="s">
        <v>914</v>
      </c>
      <c r="G47" s="1" t="s">
        <v>915</v>
      </c>
      <c r="H47" s="1" t="s">
        <v>916</v>
      </c>
      <c r="I47" s="1">
        <v>1</v>
      </c>
      <c r="J47" s="3">
        <v>29773</v>
      </c>
      <c r="K47" s="3">
        <v>28410</v>
      </c>
      <c r="L47" s="1">
        <v>0</v>
      </c>
      <c r="M47" s="4">
        <v>0</v>
      </c>
      <c r="N47" s="3">
        <v>1363</v>
      </c>
      <c r="O47" s="4">
        <v>4.5999999999999999E-2</v>
      </c>
      <c r="P47" s="1" t="s">
        <v>2721</v>
      </c>
    </row>
    <row r="48" spans="1:16">
      <c r="A48" s="1" t="s">
        <v>15</v>
      </c>
      <c r="B48" s="1">
        <v>12</v>
      </c>
      <c r="C48" s="1" t="s">
        <v>917</v>
      </c>
      <c r="D48" s="1" t="s">
        <v>918</v>
      </c>
      <c r="E48" s="2">
        <v>45992</v>
      </c>
      <c r="F48" s="1" t="s">
        <v>753</v>
      </c>
      <c r="G48" s="1" t="s">
        <v>919</v>
      </c>
      <c r="H48" s="1" t="s">
        <v>920</v>
      </c>
      <c r="I48" s="1">
        <v>1</v>
      </c>
      <c r="J48" s="3">
        <v>25774</v>
      </c>
      <c r="K48" s="3">
        <v>24594</v>
      </c>
      <c r="L48" s="1">
        <v>0</v>
      </c>
      <c r="M48" s="4">
        <v>0</v>
      </c>
      <c r="N48" s="3">
        <v>1180</v>
      </c>
      <c r="O48" s="4">
        <v>4.5999999999999999E-2</v>
      </c>
      <c r="P48" s="1" t="s">
        <v>2721</v>
      </c>
    </row>
    <row r="49" spans="1:16">
      <c r="A49" s="1" t="s">
        <v>15</v>
      </c>
      <c r="B49" s="1">
        <v>12</v>
      </c>
      <c r="C49" s="1" t="s">
        <v>921</v>
      </c>
      <c r="D49" s="1" t="s">
        <v>922</v>
      </c>
      <c r="E49" s="2">
        <v>45992</v>
      </c>
      <c r="F49" s="1" t="s">
        <v>126</v>
      </c>
      <c r="G49" s="1" t="s">
        <v>923</v>
      </c>
      <c r="H49" s="1" t="s">
        <v>924</v>
      </c>
      <c r="I49" s="1">
        <v>1</v>
      </c>
      <c r="J49" s="3">
        <v>22609</v>
      </c>
      <c r="K49" s="3">
        <v>21574</v>
      </c>
      <c r="L49" s="1">
        <v>0</v>
      </c>
      <c r="M49" s="4">
        <v>0</v>
      </c>
      <c r="N49" s="3">
        <v>1035</v>
      </c>
      <c r="O49" s="4">
        <v>4.5999999999999999E-2</v>
      </c>
      <c r="P49" s="1" t="s">
        <v>2721</v>
      </c>
    </row>
    <row r="50" spans="1:16">
      <c r="A50" s="1" t="s">
        <v>15</v>
      </c>
      <c r="B50" s="1">
        <v>12</v>
      </c>
      <c r="C50" s="1" t="s">
        <v>925</v>
      </c>
      <c r="D50" s="1" t="s">
        <v>542</v>
      </c>
      <c r="E50" s="2">
        <v>45992</v>
      </c>
      <c r="F50" s="1" t="s">
        <v>543</v>
      </c>
      <c r="G50" s="1" t="s">
        <v>544</v>
      </c>
      <c r="H50" s="1" t="s">
        <v>545</v>
      </c>
      <c r="I50" s="1">
        <v>1</v>
      </c>
      <c r="J50" s="3">
        <v>36371</v>
      </c>
      <c r="K50" s="3">
        <v>34706</v>
      </c>
      <c r="L50" s="1">
        <v>0</v>
      </c>
      <c r="M50" s="4">
        <v>0</v>
      </c>
      <c r="N50" s="3">
        <v>1665</v>
      </c>
      <c r="O50" s="4">
        <v>4.5999999999999999E-2</v>
      </c>
      <c r="P50" s="1" t="s">
        <v>2721</v>
      </c>
    </row>
    <row r="51" spans="1:16">
      <c r="A51" s="1" t="s">
        <v>15</v>
      </c>
      <c r="B51" s="1">
        <v>12</v>
      </c>
      <c r="C51" s="1" t="s">
        <v>926</v>
      </c>
      <c r="D51" s="1" t="s">
        <v>927</v>
      </c>
      <c r="E51" s="2">
        <v>45992</v>
      </c>
      <c r="F51" s="1" t="s">
        <v>500</v>
      </c>
      <c r="G51" s="1" t="s">
        <v>928</v>
      </c>
      <c r="H51" s="1" t="s">
        <v>929</v>
      </c>
      <c r="I51" s="1">
        <v>1</v>
      </c>
      <c r="J51" s="3">
        <v>116535</v>
      </c>
      <c r="K51" s="3">
        <v>111200</v>
      </c>
      <c r="L51" s="1">
        <v>0</v>
      </c>
      <c r="M51" s="4">
        <v>0</v>
      </c>
      <c r="N51" s="3">
        <v>5335</v>
      </c>
      <c r="O51" s="4">
        <v>4.5999999999999999E-2</v>
      </c>
      <c r="P51" s="1" t="s">
        <v>2721</v>
      </c>
    </row>
    <row r="52" spans="1:16">
      <c r="A52" s="1" t="s">
        <v>15</v>
      </c>
      <c r="B52" s="1">
        <v>12</v>
      </c>
      <c r="C52" s="1" t="s">
        <v>930</v>
      </c>
      <c r="D52" s="1" t="s">
        <v>931</v>
      </c>
      <c r="E52" s="2">
        <v>45992</v>
      </c>
      <c r="F52" s="1" t="s">
        <v>932</v>
      </c>
      <c r="G52" s="1" t="s">
        <v>933</v>
      </c>
      <c r="H52" s="1" t="s">
        <v>934</v>
      </c>
      <c r="I52" s="1">
        <v>1</v>
      </c>
      <c r="J52" s="3">
        <v>19660</v>
      </c>
      <c r="K52" s="3">
        <v>18760</v>
      </c>
      <c r="L52" s="1">
        <v>0</v>
      </c>
      <c r="M52" s="4">
        <v>0</v>
      </c>
      <c r="N52" s="1">
        <v>900</v>
      </c>
      <c r="O52" s="4">
        <v>4.5999999999999999E-2</v>
      </c>
      <c r="P52" s="1" t="s">
        <v>2721</v>
      </c>
    </row>
    <row r="53" spans="1:16">
      <c r="A53" s="1" t="s">
        <v>15</v>
      </c>
      <c r="B53" s="1">
        <v>12</v>
      </c>
      <c r="C53" s="1" t="s">
        <v>935</v>
      </c>
      <c r="D53" s="1" t="s">
        <v>936</v>
      </c>
      <c r="E53" s="2">
        <v>45992</v>
      </c>
      <c r="F53" s="1" t="s">
        <v>96</v>
      </c>
      <c r="G53" s="1" t="s">
        <v>937</v>
      </c>
      <c r="H53" s="1" t="s">
        <v>938</v>
      </c>
      <c r="I53" s="1">
        <v>1</v>
      </c>
      <c r="J53" s="3">
        <v>19758</v>
      </c>
      <c r="K53" s="3">
        <v>18854</v>
      </c>
      <c r="L53" s="1">
        <v>0</v>
      </c>
      <c r="M53" s="4">
        <v>0</v>
      </c>
      <c r="N53" s="1">
        <v>904</v>
      </c>
      <c r="O53" s="4">
        <v>4.5999999999999999E-2</v>
      </c>
      <c r="P53" s="1" t="s">
        <v>2721</v>
      </c>
    </row>
    <row r="54" spans="1:16">
      <c r="A54" s="1" t="s">
        <v>15</v>
      </c>
      <c r="B54" s="1">
        <v>12</v>
      </c>
      <c r="C54" s="1" t="s">
        <v>935</v>
      </c>
      <c r="D54" s="1" t="s">
        <v>939</v>
      </c>
      <c r="E54" s="2">
        <v>45992</v>
      </c>
      <c r="F54" s="1" t="s">
        <v>96</v>
      </c>
      <c r="G54" s="1" t="s">
        <v>940</v>
      </c>
      <c r="H54" s="1" t="s">
        <v>941</v>
      </c>
      <c r="I54" s="1">
        <v>1</v>
      </c>
      <c r="J54" s="3">
        <v>13475</v>
      </c>
      <c r="K54" s="3">
        <v>12858</v>
      </c>
      <c r="L54" s="1">
        <v>0</v>
      </c>
      <c r="M54" s="4">
        <v>0</v>
      </c>
      <c r="N54" s="1">
        <v>617</v>
      </c>
      <c r="O54" s="4">
        <v>4.5999999999999999E-2</v>
      </c>
      <c r="P54" s="1" t="s">
        <v>2721</v>
      </c>
    </row>
    <row r="55" spans="1:16">
      <c r="A55" s="1" t="s">
        <v>15</v>
      </c>
      <c r="B55" s="1">
        <v>12</v>
      </c>
      <c r="C55" s="1" t="s">
        <v>942</v>
      </c>
      <c r="D55" s="1" t="s">
        <v>52</v>
      </c>
      <c r="E55" s="2">
        <v>45992</v>
      </c>
      <c r="F55" s="1" t="s">
        <v>53</v>
      </c>
      <c r="G55" s="1" t="s">
        <v>54</v>
      </c>
      <c r="H55" s="1" t="s">
        <v>55</v>
      </c>
      <c r="I55" s="1">
        <v>1</v>
      </c>
      <c r="J55" s="3">
        <v>16135</v>
      </c>
      <c r="K55" s="3">
        <v>15396</v>
      </c>
      <c r="L55" s="1">
        <v>0</v>
      </c>
      <c r="M55" s="4">
        <v>0</v>
      </c>
      <c r="N55" s="1">
        <v>739</v>
      </c>
      <c r="O55" s="4">
        <v>4.5999999999999999E-2</v>
      </c>
      <c r="P55" s="1" t="s">
        <v>2721</v>
      </c>
    </row>
    <row r="56" spans="1:16">
      <c r="A56" s="1" t="s">
        <v>15</v>
      </c>
      <c r="B56" s="1">
        <v>12</v>
      </c>
      <c r="C56" s="1" t="s">
        <v>943</v>
      </c>
      <c r="D56" s="1" t="s">
        <v>944</v>
      </c>
      <c r="E56" s="2">
        <v>45992</v>
      </c>
      <c r="F56" s="1" t="s">
        <v>945</v>
      </c>
      <c r="G56" s="1" t="s">
        <v>946</v>
      </c>
      <c r="H56" s="1" t="s">
        <v>947</v>
      </c>
      <c r="I56" s="1">
        <v>1</v>
      </c>
      <c r="J56" s="3">
        <v>15358</v>
      </c>
      <c r="K56" s="3">
        <v>14655</v>
      </c>
      <c r="L56" s="1">
        <v>0</v>
      </c>
      <c r="M56" s="4">
        <v>0</v>
      </c>
      <c r="N56" s="1">
        <v>703</v>
      </c>
      <c r="O56" s="4">
        <v>4.5999999999999999E-2</v>
      </c>
      <c r="P56" s="1" t="s">
        <v>2721</v>
      </c>
    </row>
    <row r="57" spans="1:16">
      <c r="A57" s="1" t="s">
        <v>15</v>
      </c>
      <c r="B57" s="1">
        <v>12</v>
      </c>
      <c r="C57" s="1" t="s">
        <v>948</v>
      </c>
      <c r="D57" s="1" t="s">
        <v>228</v>
      </c>
      <c r="E57" s="2">
        <v>45992</v>
      </c>
      <c r="F57" s="1" t="s">
        <v>53</v>
      </c>
      <c r="G57" s="1" t="s">
        <v>229</v>
      </c>
      <c r="H57" s="1" t="s">
        <v>230</v>
      </c>
      <c r="I57" s="1">
        <v>1</v>
      </c>
      <c r="J57" s="3">
        <v>9825</v>
      </c>
      <c r="K57" s="3">
        <v>9375</v>
      </c>
      <c r="L57" s="1">
        <v>0</v>
      </c>
      <c r="M57" s="4">
        <v>0</v>
      </c>
      <c r="N57" s="3">
        <v>450</v>
      </c>
      <c r="O57" s="4">
        <v>4.5999999999999999E-2</v>
      </c>
      <c r="P57" s="1" t="s">
        <v>2721</v>
      </c>
    </row>
    <row r="58" spans="1:16">
      <c r="A58" s="1" t="s">
        <v>15</v>
      </c>
      <c r="B58" s="1">
        <v>12</v>
      </c>
      <c r="C58" s="1" t="s">
        <v>949</v>
      </c>
      <c r="D58" s="1" t="s">
        <v>950</v>
      </c>
      <c r="E58" s="2">
        <v>45992</v>
      </c>
      <c r="F58" s="1" t="s">
        <v>783</v>
      </c>
      <c r="G58" s="1" t="s">
        <v>951</v>
      </c>
      <c r="H58" s="1" t="s">
        <v>952</v>
      </c>
      <c r="I58" s="1">
        <v>1</v>
      </c>
      <c r="J58" s="3">
        <v>38730</v>
      </c>
      <c r="K58" s="3">
        <v>36957</v>
      </c>
      <c r="L58" s="1">
        <v>0</v>
      </c>
      <c r="M58" s="4">
        <v>0</v>
      </c>
      <c r="N58" s="3">
        <v>1773</v>
      </c>
      <c r="O58" s="4">
        <v>4.5999999999999999E-2</v>
      </c>
      <c r="P58" s="1" t="s">
        <v>2721</v>
      </c>
    </row>
    <row r="59" spans="1:16">
      <c r="A59" s="1" t="s">
        <v>15</v>
      </c>
      <c r="B59" s="1">
        <v>12</v>
      </c>
      <c r="C59" s="1" t="s">
        <v>953</v>
      </c>
      <c r="D59" s="1" t="s">
        <v>845</v>
      </c>
      <c r="E59" s="2">
        <v>45992</v>
      </c>
      <c r="F59" s="1" t="s">
        <v>846</v>
      </c>
      <c r="G59" s="1" t="s">
        <v>847</v>
      </c>
      <c r="H59" s="1" t="s">
        <v>848</v>
      </c>
      <c r="I59" s="1">
        <v>1</v>
      </c>
      <c r="J59" s="3">
        <v>112554</v>
      </c>
      <c r="K59" s="3">
        <v>107401</v>
      </c>
      <c r="L59" s="1">
        <v>0</v>
      </c>
      <c r="M59" s="4">
        <v>0</v>
      </c>
      <c r="N59" s="3">
        <v>5153</v>
      </c>
      <c r="O59" s="4">
        <v>4.5999999999999999E-2</v>
      </c>
      <c r="P59" s="1" t="s">
        <v>2721</v>
      </c>
    </row>
    <row r="60" spans="1:16">
      <c r="A60" s="1" t="s">
        <v>15</v>
      </c>
      <c r="B60" s="1">
        <v>12</v>
      </c>
      <c r="C60" s="1" t="s">
        <v>954</v>
      </c>
      <c r="D60" s="1" t="s">
        <v>955</v>
      </c>
      <c r="E60" s="2">
        <v>45992</v>
      </c>
      <c r="F60" s="1" t="s">
        <v>554</v>
      </c>
      <c r="G60" s="1" t="s">
        <v>956</v>
      </c>
      <c r="H60" s="1" t="s">
        <v>957</v>
      </c>
      <c r="I60" s="1">
        <v>1</v>
      </c>
      <c r="J60" s="3">
        <v>17596</v>
      </c>
      <c r="K60" s="3">
        <v>16790</v>
      </c>
      <c r="L60" s="1">
        <v>0</v>
      </c>
      <c r="M60" s="4">
        <v>0</v>
      </c>
      <c r="N60" s="1">
        <v>806</v>
      </c>
      <c r="O60" s="4">
        <v>4.5999999999999999E-2</v>
      </c>
      <c r="P60" s="1" t="s">
        <v>2721</v>
      </c>
    </row>
    <row r="61" spans="1:16">
      <c r="A61" s="1" t="s">
        <v>15</v>
      </c>
      <c r="B61" s="1">
        <v>12</v>
      </c>
      <c r="C61" s="1" t="s">
        <v>958</v>
      </c>
      <c r="D61" s="1" t="s">
        <v>86</v>
      </c>
      <c r="E61" s="2">
        <v>45992</v>
      </c>
      <c r="F61" s="1" t="s">
        <v>53</v>
      </c>
      <c r="G61" s="1" t="s">
        <v>87</v>
      </c>
      <c r="H61" s="1" t="s">
        <v>88</v>
      </c>
      <c r="I61" s="1">
        <v>1</v>
      </c>
      <c r="J61" s="3">
        <v>14956</v>
      </c>
      <c r="K61" s="3">
        <v>14272</v>
      </c>
      <c r="L61" s="1">
        <v>0</v>
      </c>
      <c r="M61" s="4">
        <v>0</v>
      </c>
      <c r="N61" s="1">
        <v>684</v>
      </c>
      <c r="O61" s="4">
        <v>4.5999999999999999E-2</v>
      </c>
      <c r="P61" s="1" t="s">
        <v>2721</v>
      </c>
    </row>
    <row r="62" spans="1:16">
      <c r="A62" s="1" t="s">
        <v>15</v>
      </c>
      <c r="B62" s="1">
        <v>12</v>
      </c>
      <c r="C62" s="1" t="s">
        <v>958</v>
      </c>
      <c r="D62" s="1" t="s">
        <v>169</v>
      </c>
      <c r="E62" s="2">
        <v>45992</v>
      </c>
      <c r="F62" s="1" t="s">
        <v>53</v>
      </c>
      <c r="G62" s="1" t="s">
        <v>170</v>
      </c>
      <c r="H62" s="1" t="s">
        <v>171</v>
      </c>
      <c r="I62" s="1">
        <v>1</v>
      </c>
      <c r="J62" s="3">
        <v>14332</v>
      </c>
      <c r="K62" s="3">
        <v>13676</v>
      </c>
      <c r="L62" s="1">
        <v>0</v>
      </c>
      <c r="M62" s="4">
        <v>0</v>
      </c>
      <c r="N62" s="1">
        <v>656</v>
      </c>
      <c r="O62" s="4">
        <v>4.5999999999999999E-2</v>
      </c>
      <c r="P62" s="1" t="s">
        <v>2721</v>
      </c>
    </row>
    <row r="63" spans="1:16">
      <c r="A63" s="1" t="s">
        <v>15</v>
      </c>
      <c r="B63" s="1">
        <v>12</v>
      </c>
      <c r="C63" s="1" t="s">
        <v>959</v>
      </c>
      <c r="D63" s="1" t="s">
        <v>960</v>
      </c>
      <c r="E63" s="2">
        <v>45992</v>
      </c>
      <c r="F63" s="1" t="s">
        <v>407</v>
      </c>
      <c r="G63" s="1" t="s">
        <v>961</v>
      </c>
      <c r="H63" s="1" t="s">
        <v>962</v>
      </c>
      <c r="I63" s="1">
        <v>1</v>
      </c>
      <c r="J63" s="3">
        <v>14745</v>
      </c>
      <c r="K63" s="3">
        <v>14070</v>
      </c>
      <c r="L63" s="1">
        <v>0</v>
      </c>
      <c r="M63" s="4">
        <v>0</v>
      </c>
      <c r="N63" s="3">
        <v>675</v>
      </c>
      <c r="O63" s="4">
        <v>4.5999999999999999E-2</v>
      </c>
      <c r="P63" s="1" t="s">
        <v>2721</v>
      </c>
    </row>
    <row r="64" spans="1:16">
      <c r="A64" s="1" t="s">
        <v>15</v>
      </c>
      <c r="B64" s="1">
        <v>12</v>
      </c>
      <c r="C64" s="1" t="s">
        <v>959</v>
      </c>
      <c r="D64" s="1" t="s">
        <v>504</v>
      </c>
      <c r="E64" s="2">
        <v>45992</v>
      </c>
      <c r="F64" s="1" t="s">
        <v>407</v>
      </c>
      <c r="G64" s="1" t="s">
        <v>505</v>
      </c>
      <c r="H64" s="1" t="s">
        <v>963</v>
      </c>
      <c r="I64" s="1">
        <v>1</v>
      </c>
      <c r="J64" s="3">
        <v>35880</v>
      </c>
      <c r="K64" s="3">
        <v>34237</v>
      </c>
      <c r="L64" s="1">
        <v>0</v>
      </c>
      <c r="M64" s="4">
        <v>0</v>
      </c>
      <c r="N64" s="3">
        <v>1643</v>
      </c>
      <c r="O64" s="4">
        <v>4.5999999999999999E-2</v>
      </c>
      <c r="P64" s="1" t="s">
        <v>2721</v>
      </c>
    </row>
    <row r="65" spans="1:16">
      <c r="A65" s="1" t="s">
        <v>15</v>
      </c>
      <c r="B65" s="1">
        <v>12</v>
      </c>
      <c r="C65" s="1" t="s">
        <v>964</v>
      </c>
      <c r="D65" s="1" t="s">
        <v>965</v>
      </c>
      <c r="E65" s="2">
        <v>45992</v>
      </c>
      <c r="F65" s="1" t="s">
        <v>53</v>
      </c>
      <c r="G65" s="1" t="s">
        <v>966</v>
      </c>
      <c r="H65" s="1" t="s">
        <v>967</v>
      </c>
      <c r="I65" s="1">
        <v>1</v>
      </c>
      <c r="J65" s="3">
        <v>16586</v>
      </c>
      <c r="K65" s="3">
        <v>15827</v>
      </c>
      <c r="L65" s="1">
        <v>0</v>
      </c>
      <c r="M65" s="4">
        <v>0</v>
      </c>
      <c r="N65" s="3">
        <v>759</v>
      </c>
      <c r="O65" s="4">
        <v>4.5999999999999999E-2</v>
      </c>
      <c r="P65" s="1" t="s">
        <v>2721</v>
      </c>
    </row>
    <row r="66" spans="1:16">
      <c r="A66" s="1" t="s">
        <v>15</v>
      </c>
      <c r="B66" s="1">
        <v>12</v>
      </c>
      <c r="C66" s="1" t="s">
        <v>968</v>
      </c>
      <c r="D66" s="1" t="s">
        <v>482</v>
      </c>
      <c r="E66" s="2">
        <v>45992</v>
      </c>
      <c r="F66" s="1" t="s">
        <v>483</v>
      </c>
      <c r="G66" s="1" t="s">
        <v>484</v>
      </c>
      <c r="H66" s="1" t="s">
        <v>860</v>
      </c>
      <c r="I66" s="1">
        <v>1</v>
      </c>
      <c r="J66" s="3">
        <v>27426</v>
      </c>
      <c r="K66" s="3">
        <v>26170</v>
      </c>
      <c r="L66" s="1">
        <v>0</v>
      </c>
      <c r="M66" s="4">
        <v>0</v>
      </c>
      <c r="N66" s="3">
        <v>1256</v>
      </c>
      <c r="O66" s="4">
        <v>4.5999999999999999E-2</v>
      </c>
      <c r="P66" s="1" t="s">
        <v>2721</v>
      </c>
    </row>
    <row r="67" spans="1:16">
      <c r="A67" s="1" t="s">
        <v>15</v>
      </c>
      <c r="B67" s="1">
        <v>12</v>
      </c>
      <c r="C67" s="1" t="s">
        <v>969</v>
      </c>
      <c r="D67" s="1" t="s">
        <v>492</v>
      </c>
      <c r="E67" s="2">
        <v>45992</v>
      </c>
      <c r="F67" s="1" t="s">
        <v>493</v>
      </c>
      <c r="G67" s="1" t="s">
        <v>494</v>
      </c>
      <c r="H67" s="1" t="s">
        <v>970</v>
      </c>
      <c r="I67" s="1">
        <v>1</v>
      </c>
      <c r="J67" s="3">
        <v>7569</v>
      </c>
      <c r="K67" s="3">
        <v>7223</v>
      </c>
      <c r="L67" s="1">
        <v>0</v>
      </c>
      <c r="M67" s="4">
        <v>0</v>
      </c>
      <c r="N67" s="3">
        <v>346</v>
      </c>
      <c r="O67" s="4">
        <v>4.5999999999999999E-2</v>
      </c>
      <c r="P67" s="1" t="s">
        <v>2721</v>
      </c>
    </row>
    <row r="68" spans="1:16">
      <c r="A68" s="1" t="s">
        <v>15</v>
      </c>
      <c r="B68" s="1">
        <v>12</v>
      </c>
      <c r="C68" s="1" t="s">
        <v>971</v>
      </c>
      <c r="D68" s="1" t="s">
        <v>224</v>
      </c>
      <c r="E68" s="2">
        <v>45992</v>
      </c>
      <c r="F68" s="1" t="s">
        <v>96</v>
      </c>
      <c r="G68" s="1" t="s">
        <v>225</v>
      </c>
      <c r="H68" s="1" t="s">
        <v>972</v>
      </c>
      <c r="I68" s="1">
        <v>5</v>
      </c>
      <c r="J68" s="3">
        <v>62853</v>
      </c>
      <c r="K68" s="3">
        <v>59976</v>
      </c>
      <c r="L68" s="1">
        <v>0</v>
      </c>
      <c r="M68" s="4">
        <v>0</v>
      </c>
      <c r="N68" s="3">
        <v>2877</v>
      </c>
      <c r="O68" s="4">
        <v>4.5999999999999999E-2</v>
      </c>
      <c r="P68" s="1" t="s">
        <v>2721</v>
      </c>
    </row>
    <row r="69" spans="1:16">
      <c r="A69" s="1" t="s">
        <v>15</v>
      </c>
      <c r="B69" s="1">
        <v>12</v>
      </c>
      <c r="C69" s="1" t="s">
        <v>973</v>
      </c>
      <c r="D69" s="1" t="s">
        <v>974</v>
      </c>
      <c r="E69" s="2">
        <v>45992</v>
      </c>
      <c r="F69" s="1" t="s">
        <v>975</v>
      </c>
      <c r="G69" s="1" t="s">
        <v>976</v>
      </c>
      <c r="H69" s="1" t="s">
        <v>977</v>
      </c>
      <c r="I69" s="1">
        <v>1</v>
      </c>
      <c r="J69" s="3">
        <v>78640</v>
      </c>
      <c r="K69" s="3">
        <v>75040</v>
      </c>
      <c r="L69" s="1">
        <v>0</v>
      </c>
      <c r="M69" s="4">
        <v>0</v>
      </c>
      <c r="N69" s="3">
        <v>3600</v>
      </c>
      <c r="O69" s="4">
        <v>4.5999999999999999E-2</v>
      </c>
      <c r="P69" s="1" t="s">
        <v>2721</v>
      </c>
    </row>
    <row r="70" spans="1:16">
      <c r="A70" s="1" t="s">
        <v>15</v>
      </c>
      <c r="B70" s="1">
        <v>12</v>
      </c>
      <c r="C70" s="1" t="s">
        <v>978</v>
      </c>
      <c r="D70" s="1" t="s">
        <v>979</v>
      </c>
      <c r="E70" s="2">
        <v>45992</v>
      </c>
      <c r="F70" s="1" t="s">
        <v>256</v>
      </c>
      <c r="G70" s="1" t="s">
        <v>980</v>
      </c>
      <c r="H70" s="1" t="s">
        <v>981</v>
      </c>
      <c r="I70" s="1">
        <v>1</v>
      </c>
      <c r="J70" s="3">
        <v>11118</v>
      </c>
      <c r="K70" s="3">
        <v>10609</v>
      </c>
      <c r="L70" s="1">
        <v>0</v>
      </c>
      <c r="M70" s="4">
        <v>0</v>
      </c>
      <c r="N70" s="1">
        <v>509</v>
      </c>
      <c r="O70" s="4">
        <v>4.5999999999999999E-2</v>
      </c>
      <c r="P70" s="1" t="s">
        <v>2721</v>
      </c>
    </row>
    <row r="71" spans="1:16">
      <c r="A71" s="1" t="s">
        <v>15</v>
      </c>
      <c r="B71" s="1">
        <v>12</v>
      </c>
      <c r="C71" s="1" t="s">
        <v>982</v>
      </c>
      <c r="D71" s="1" t="s">
        <v>86</v>
      </c>
      <c r="E71" s="2">
        <v>45992</v>
      </c>
      <c r="F71" s="1" t="s">
        <v>53</v>
      </c>
      <c r="G71" s="1" t="s">
        <v>87</v>
      </c>
      <c r="H71" s="1" t="s">
        <v>88</v>
      </c>
      <c r="I71" s="1">
        <v>1</v>
      </c>
      <c r="J71" s="3">
        <v>14956</v>
      </c>
      <c r="K71" s="3">
        <v>14272</v>
      </c>
      <c r="L71" s="1">
        <v>0</v>
      </c>
      <c r="M71" s="4">
        <v>0</v>
      </c>
      <c r="N71" s="3">
        <v>684</v>
      </c>
      <c r="O71" s="4">
        <v>4.5999999999999999E-2</v>
      </c>
      <c r="P71" s="1" t="s">
        <v>2721</v>
      </c>
    </row>
    <row r="72" spans="1:16">
      <c r="A72" s="1" t="s">
        <v>15</v>
      </c>
      <c r="B72" s="1">
        <v>12</v>
      </c>
      <c r="C72" s="1" t="s">
        <v>983</v>
      </c>
      <c r="D72" s="1" t="s">
        <v>913</v>
      </c>
      <c r="E72" s="2">
        <v>45992</v>
      </c>
      <c r="F72" s="1" t="s">
        <v>914</v>
      </c>
      <c r="G72" s="1" t="s">
        <v>915</v>
      </c>
      <c r="H72" s="1" t="s">
        <v>916</v>
      </c>
      <c r="I72" s="1">
        <v>1</v>
      </c>
      <c r="J72" s="3">
        <v>29773</v>
      </c>
      <c r="K72" s="3">
        <v>28410</v>
      </c>
      <c r="L72" s="1">
        <v>0</v>
      </c>
      <c r="M72" s="4">
        <v>0</v>
      </c>
      <c r="N72" s="3">
        <v>1363</v>
      </c>
      <c r="O72" s="4">
        <v>4.5999999999999999E-2</v>
      </c>
      <c r="P72" s="1" t="s">
        <v>2721</v>
      </c>
    </row>
    <row r="73" spans="1:16">
      <c r="A73" s="1" t="s">
        <v>15</v>
      </c>
      <c r="B73" s="1">
        <v>12</v>
      </c>
      <c r="C73" s="1" t="s">
        <v>984</v>
      </c>
      <c r="D73" s="1" t="s">
        <v>985</v>
      </c>
      <c r="E73" s="2">
        <v>45992</v>
      </c>
      <c r="F73" s="1" t="s">
        <v>187</v>
      </c>
      <c r="G73" s="1" t="s">
        <v>986</v>
      </c>
      <c r="H73" s="1" t="s">
        <v>987</v>
      </c>
      <c r="I73" s="1">
        <v>1</v>
      </c>
      <c r="J73" s="3">
        <v>23592</v>
      </c>
      <c r="K73" s="3">
        <v>22512</v>
      </c>
      <c r="L73" s="1">
        <v>0</v>
      </c>
      <c r="M73" s="4">
        <v>0</v>
      </c>
      <c r="N73" s="3">
        <v>1080</v>
      </c>
      <c r="O73" s="4">
        <v>4.5999999999999999E-2</v>
      </c>
      <c r="P73" s="1" t="s">
        <v>2721</v>
      </c>
    </row>
    <row r="74" spans="1:16">
      <c r="A74" s="1" t="s">
        <v>15</v>
      </c>
      <c r="B74" s="1">
        <v>12</v>
      </c>
      <c r="C74" s="1" t="s">
        <v>988</v>
      </c>
      <c r="D74" s="1" t="s">
        <v>989</v>
      </c>
      <c r="E74" s="2">
        <v>45992</v>
      </c>
      <c r="F74" s="1" t="s">
        <v>48</v>
      </c>
      <c r="G74" s="1" t="s">
        <v>990</v>
      </c>
      <c r="H74" s="1" t="s">
        <v>991</v>
      </c>
      <c r="I74" s="1">
        <v>1</v>
      </c>
      <c r="J74" s="3">
        <v>13113</v>
      </c>
      <c r="K74" s="3">
        <v>12513</v>
      </c>
      <c r="L74" s="1">
        <v>0</v>
      </c>
      <c r="M74" s="4">
        <v>0</v>
      </c>
      <c r="N74" s="3">
        <v>600</v>
      </c>
      <c r="O74" s="4">
        <v>4.5999999999999999E-2</v>
      </c>
      <c r="P74" s="1" t="s">
        <v>2721</v>
      </c>
    </row>
    <row r="75" spans="1:16">
      <c r="A75" s="1" t="s">
        <v>15</v>
      </c>
      <c r="B75" s="1">
        <v>12</v>
      </c>
      <c r="C75" s="1" t="s">
        <v>992</v>
      </c>
      <c r="D75" s="1" t="s">
        <v>482</v>
      </c>
      <c r="E75" s="2">
        <v>45992</v>
      </c>
      <c r="F75" s="1" t="s">
        <v>483</v>
      </c>
      <c r="G75" s="1" t="s">
        <v>484</v>
      </c>
      <c r="H75" s="1" t="s">
        <v>860</v>
      </c>
      <c r="I75" s="1">
        <v>1</v>
      </c>
      <c r="J75" s="3">
        <v>27426</v>
      </c>
      <c r="K75" s="3">
        <v>26170</v>
      </c>
      <c r="L75" s="1">
        <v>0</v>
      </c>
      <c r="M75" s="4">
        <v>0</v>
      </c>
      <c r="N75" s="3">
        <v>1256</v>
      </c>
      <c r="O75" s="4">
        <v>4.5999999999999999E-2</v>
      </c>
      <c r="P75" s="1" t="s">
        <v>2721</v>
      </c>
    </row>
    <row r="76" spans="1:16">
      <c r="A76" s="1" t="s">
        <v>15</v>
      </c>
      <c r="B76" s="1">
        <v>12</v>
      </c>
      <c r="C76" s="1" t="s">
        <v>993</v>
      </c>
      <c r="D76" s="1" t="s">
        <v>86</v>
      </c>
      <c r="E76" s="2">
        <v>45992</v>
      </c>
      <c r="F76" s="1" t="s">
        <v>53</v>
      </c>
      <c r="G76" s="1" t="s">
        <v>87</v>
      </c>
      <c r="H76" s="1" t="s">
        <v>88</v>
      </c>
      <c r="I76" s="1">
        <v>1</v>
      </c>
      <c r="J76" s="3">
        <v>14956</v>
      </c>
      <c r="K76" s="3">
        <v>14272</v>
      </c>
      <c r="L76" s="1">
        <v>0</v>
      </c>
      <c r="M76" s="4">
        <v>0</v>
      </c>
      <c r="N76" s="3">
        <v>684</v>
      </c>
      <c r="O76" s="4">
        <v>4.5999999999999999E-2</v>
      </c>
      <c r="P76" s="1" t="s">
        <v>2721</v>
      </c>
    </row>
    <row r="77" spans="1:16">
      <c r="A77" s="1" t="s">
        <v>15</v>
      </c>
      <c r="B77" s="1">
        <v>12</v>
      </c>
      <c r="C77" s="1" t="s">
        <v>994</v>
      </c>
      <c r="D77" s="1" t="s">
        <v>995</v>
      </c>
      <c r="E77" s="2">
        <v>45992</v>
      </c>
      <c r="F77" s="1" t="s">
        <v>174</v>
      </c>
      <c r="G77" s="1" t="s">
        <v>996</v>
      </c>
      <c r="H77" s="1" t="s">
        <v>997</v>
      </c>
      <c r="I77" s="1">
        <v>1</v>
      </c>
      <c r="J77" s="3">
        <v>54065</v>
      </c>
      <c r="K77" s="3">
        <v>51590</v>
      </c>
      <c r="L77" s="1">
        <v>0</v>
      </c>
      <c r="M77" s="4">
        <v>0</v>
      </c>
      <c r="N77" s="3">
        <v>2475</v>
      </c>
      <c r="O77" s="4">
        <v>4.5999999999999999E-2</v>
      </c>
      <c r="P77" s="1" t="s">
        <v>2721</v>
      </c>
    </row>
    <row r="78" spans="1:16">
      <c r="A78" s="1" t="s">
        <v>15</v>
      </c>
      <c r="B78" s="1">
        <v>12</v>
      </c>
      <c r="C78" s="1" t="s">
        <v>998</v>
      </c>
      <c r="D78" s="1" t="s">
        <v>939</v>
      </c>
      <c r="E78" s="2">
        <v>45992</v>
      </c>
      <c r="F78" s="1" t="s">
        <v>96</v>
      </c>
      <c r="G78" s="1" t="s">
        <v>940</v>
      </c>
      <c r="H78" s="1" t="s">
        <v>941</v>
      </c>
      <c r="I78" s="1">
        <v>1</v>
      </c>
      <c r="J78" s="3">
        <v>13475</v>
      </c>
      <c r="K78" s="3">
        <v>12858</v>
      </c>
      <c r="L78" s="1">
        <v>0</v>
      </c>
      <c r="M78" s="4">
        <v>0</v>
      </c>
      <c r="N78" s="3">
        <v>617</v>
      </c>
      <c r="O78" s="4">
        <v>4.5999999999999999E-2</v>
      </c>
      <c r="P78" s="1" t="s">
        <v>2721</v>
      </c>
    </row>
    <row r="79" spans="1:16">
      <c r="A79" s="1" t="s">
        <v>15</v>
      </c>
      <c r="B79" s="1">
        <v>12</v>
      </c>
      <c r="C79" s="1" t="s">
        <v>999</v>
      </c>
      <c r="D79" s="1" t="s">
        <v>150</v>
      </c>
      <c r="E79" s="2">
        <v>45992</v>
      </c>
      <c r="F79" s="1" t="s">
        <v>151</v>
      </c>
      <c r="G79" s="1" t="s">
        <v>152</v>
      </c>
      <c r="H79" s="1" t="s">
        <v>152</v>
      </c>
      <c r="I79" s="1">
        <v>1</v>
      </c>
      <c r="J79" s="3">
        <v>36371</v>
      </c>
      <c r="K79" s="3">
        <v>34706</v>
      </c>
      <c r="L79" s="1">
        <v>0</v>
      </c>
      <c r="M79" s="4">
        <v>0</v>
      </c>
      <c r="N79" s="3">
        <v>1665</v>
      </c>
      <c r="O79" s="4">
        <v>4.5999999999999999E-2</v>
      </c>
      <c r="P79" s="1" t="s">
        <v>2721</v>
      </c>
    </row>
    <row r="80" spans="1:16">
      <c r="A80" s="1" t="s">
        <v>15</v>
      </c>
      <c r="B80" s="1">
        <v>12</v>
      </c>
      <c r="C80" s="1" t="s">
        <v>1000</v>
      </c>
      <c r="D80" s="1" t="s">
        <v>228</v>
      </c>
      <c r="E80" s="2">
        <v>45992</v>
      </c>
      <c r="F80" s="1" t="s">
        <v>53</v>
      </c>
      <c r="G80" s="1" t="s">
        <v>229</v>
      </c>
      <c r="H80" s="1" t="s">
        <v>230</v>
      </c>
      <c r="I80" s="1">
        <v>1</v>
      </c>
      <c r="J80" s="3">
        <v>9825</v>
      </c>
      <c r="K80" s="3">
        <v>9375</v>
      </c>
      <c r="L80" s="1">
        <v>0</v>
      </c>
      <c r="M80" s="4">
        <v>0</v>
      </c>
      <c r="N80" s="3">
        <v>450</v>
      </c>
      <c r="O80" s="4">
        <v>4.5999999999999999E-2</v>
      </c>
      <c r="P80" s="1" t="s">
        <v>2721</v>
      </c>
    </row>
    <row r="81" spans="1:16">
      <c r="A81" s="1" t="s">
        <v>15</v>
      </c>
      <c r="B81" s="1">
        <v>12</v>
      </c>
      <c r="C81" s="1" t="s">
        <v>1001</v>
      </c>
      <c r="D81" s="1" t="s">
        <v>32</v>
      </c>
      <c r="E81" s="2">
        <v>45992</v>
      </c>
      <c r="F81" s="1" t="s">
        <v>33</v>
      </c>
      <c r="G81" s="1" t="s">
        <v>34</v>
      </c>
      <c r="H81" s="1" t="s">
        <v>1002</v>
      </c>
      <c r="I81" s="1">
        <v>1</v>
      </c>
      <c r="J81" s="3">
        <v>84711</v>
      </c>
      <c r="K81" s="3">
        <v>80833</v>
      </c>
      <c r="L81" s="1">
        <v>0</v>
      </c>
      <c r="M81" s="4">
        <v>0</v>
      </c>
      <c r="N81" s="3">
        <v>3878</v>
      </c>
      <c r="O81" s="4">
        <v>4.5999999999999999E-2</v>
      </c>
      <c r="P81" s="1" t="s">
        <v>2721</v>
      </c>
    </row>
    <row r="82" spans="1:16">
      <c r="A82" s="1" t="s">
        <v>15</v>
      </c>
      <c r="B82" s="1">
        <v>12</v>
      </c>
      <c r="C82" s="1" t="s">
        <v>1003</v>
      </c>
      <c r="D82" s="1" t="s">
        <v>504</v>
      </c>
      <c r="E82" s="2">
        <v>45992</v>
      </c>
      <c r="F82" s="1" t="s">
        <v>407</v>
      </c>
      <c r="G82" s="1" t="s">
        <v>505</v>
      </c>
      <c r="H82" s="1" t="s">
        <v>1004</v>
      </c>
      <c r="I82" s="1">
        <v>1</v>
      </c>
      <c r="J82" s="3">
        <v>9339</v>
      </c>
      <c r="K82" s="3">
        <v>8911</v>
      </c>
      <c r="L82" s="1">
        <v>0</v>
      </c>
      <c r="M82" s="4">
        <v>0</v>
      </c>
      <c r="N82" s="1">
        <v>428</v>
      </c>
      <c r="O82" s="4">
        <v>4.5999999999999999E-2</v>
      </c>
      <c r="P82" s="1" t="s">
        <v>2721</v>
      </c>
    </row>
    <row r="83" spans="1:16">
      <c r="A83" s="1" t="s">
        <v>15</v>
      </c>
      <c r="B83" s="1">
        <v>12</v>
      </c>
      <c r="C83" s="1" t="s">
        <v>1005</v>
      </c>
      <c r="D83" s="1" t="s">
        <v>52</v>
      </c>
      <c r="E83" s="2">
        <v>45992</v>
      </c>
      <c r="F83" s="1" t="s">
        <v>53</v>
      </c>
      <c r="G83" s="1" t="s">
        <v>54</v>
      </c>
      <c r="H83" s="1" t="s">
        <v>55</v>
      </c>
      <c r="I83" s="1">
        <v>1</v>
      </c>
      <c r="J83" s="3">
        <v>16135</v>
      </c>
      <c r="K83" s="3">
        <v>15396</v>
      </c>
      <c r="L83" s="1">
        <v>0</v>
      </c>
      <c r="M83" s="4">
        <v>0</v>
      </c>
      <c r="N83" s="3">
        <v>739</v>
      </c>
      <c r="O83" s="4">
        <v>4.5999999999999999E-2</v>
      </c>
      <c r="P83" s="1" t="s">
        <v>2721</v>
      </c>
    </row>
    <row r="84" spans="1:16">
      <c r="A84" s="1" t="s">
        <v>15</v>
      </c>
      <c r="B84" s="1">
        <v>12</v>
      </c>
      <c r="C84" s="1" t="s">
        <v>1006</v>
      </c>
      <c r="D84" s="1" t="s">
        <v>1007</v>
      </c>
      <c r="E84" s="2">
        <v>45992</v>
      </c>
      <c r="F84" s="1" t="s">
        <v>892</v>
      </c>
      <c r="G84" s="1" t="s">
        <v>1008</v>
      </c>
      <c r="H84" s="1" t="s">
        <v>1009</v>
      </c>
      <c r="I84" s="1">
        <v>4</v>
      </c>
      <c r="J84" s="3">
        <v>82572</v>
      </c>
      <c r="K84" s="3">
        <v>78792</v>
      </c>
      <c r="L84" s="1">
        <v>0</v>
      </c>
      <c r="M84" s="4">
        <v>0</v>
      </c>
      <c r="N84" s="3">
        <v>3780</v>
      </c>
      <c r="O84" s="4">
        <v>4.5999999999999999E-2</v>
      </c>
      <c r="P84" s="1" t="s">
        <v>2721</v>
      </c>
    </row>
    <row r="85" spans="1:16">
      <c r="A85" s="1" t="s">
        <v>15</v>
      </c>
      <c r="B85" s="1">
        <v>12</v>
      </c>
      <c r="C85" s="1" t="s">
        <v>1010</v>
      </c>
      <c r="D85" s="1" t="s">
        <v>1011</v>
      </c>
      <c r="E85" s="2">
        <v>45992</v>
      </c>
      <c r="F85" s="1" t="s">
        <v>53</v>
      </c>
      <c r="G85" s="1" t="s">
        <v>1012</v>
      </c>
      <c r="H85" s="1" t="s">
        <v>1013</v>
      </c>
      <c r="I85" s="1">
        <v>1</v>
      </c>
      <c r="J85" s="3">
        <v>11628</v>
      </c>
      <c r="K85" s="3">
        <v>11096</v>
      </c>
      <c r="L85" s="1">
        <v>0</v>
      </c>
      <c r="M85" s="4">
        <v>0</v>
      </c>
      <c r="N85" s="1">
        <v>532</v>
      </c>
      <c r="O85" s="4">
        <v>4.5999999999999999E-2</v>
      </c>
      <c r="P85" s="1" t="s">
        <v>2721</v>
      </c>
    </row>
    <row r="86" spans="1:16">
      <c r="A86" s="1" t="s">
        <v>15</v>
      </c>
      <c r="B86" s="1">
        <v>12</v>
      </c>
      <c r="C86" s="1" t="s">
        <v>1010</v>
      </c>
      <c r="D86" s="1" t="s">
        <v>132</v>
      </c>
      <c r="E86" s="2">
        <v>45992</v>
      </c>
      <c r="F86" s="1" t="s">
        <v>53</v>
      </c>
      <c r="G86" s="1" t="s">
        <v>133</v>
      </c>
      <c r="H86" s="1" t="s">
        <v>88</v>
      </c>
      <c r="I86" s="1">
        <v>1</v>
      </c>
      <c r="J86" s="3">
        <v>17036</v>
      </c>
      <c r="K86" s="3">
        <v>16256</v>
      </c>
      <c r="L86" s="1">
        <v>0</v>
      </c>
      <c r="M86" s="4">
        <v>0</v>
      </c>
      <c r="N86" s="1">
        <v>780</v>
      </c>
      <c r="O86" s="4">
        <v>4.5999999999999999E-2</v>
      </c>
      <c r="P86" s="1" t="s">
        <v>2721</v>
      </c>
    </row>
    <row r="87" spans="1:16">
      <c r="A87" s="1" t="s">
        <v>15</v>
      </c>
      <c r="B87" s="1">
        <v>12</v>
      </c>
      <c r="C87" s="1" t="s">
        <v>1014</v>
      </c>
      <c r="D87" s="1" t="s">
        <v>221</v>
      </c>
      <c r="E87" s="2">
        <v>45992</v>
      </c>
      <c r="F87" s="1" t="s">
        <v>96</v>
      </c>
      <c r="G87" s="1" t="s">
        <v>222</v>
      </c>
      <c r="H87" s="1" t="s">
        <v>1015</v>
      </c>
      <c r="I87" s="1">
        <v>1</v>
      </c>
      <c r="J87" s="3">
        <v>12571</v>
      </c>
      <c r="K87" s="3">
        <v>11995</v>
      </c>
      <c r="L87" s="1">
        <v>0</v>
      </c>
      <c r="M87" s="4">
        <v>0</v>
      </c>
      <c r="N87" s="1">
        <v>576</v>
      </c>
      <c r="O87" s="4">
        <v>4.5999999999999999E-2</v>
      </c>
      <c r="P87" s="1" t="s">
        <v>2721</v>
      </c>
    </row>
    <row r="88" spans="1:16">
      <c r="A88" s="1" t="s">
        <v>15</v>
      </c>
      <c r="B88" s="1">
        <v>12</v>
      </c>
      <c r="C88" s="1" t="s">
        <v>1016</v>
      </c>
      <c r="D88" s="1" t="s">
        <v>52</v>
      </c>
      <c r="E88" s="2">
        <v>45992</v>
      </c>
      <c r="F88" s="1" t="s">
        <v>53</v>
      </c>
      <c r="G88" s="1" t="s">
        <v>54</v>
      </c>
      <c r="H88" s="1" t="s">
        <v>248</v>
      </c>
      <c r="I88" s="1">
        <v>1</v>
      </c>
      <c r="J88" s="3">
        <v>16135</v>
      </c>
      <c r="K88" s="3">
        <v>15396</v>
      </c>
      <c r="L88" s="1">
        <v>0</v>
      </c>
      <c r="M88" s="4">
        <v>0</v>
      </c>
      <c r="N88" s="3">
        <v>739</v>
      </c>
      <c r="O88" s="4">
        <v>4.5999999999999999E-2</v>
      </c>
      <c r="P88" s="1" t="s">
        <v>2721</v>
      </c>
    </row>
    <row r="89" spans="1:16">
      <c r="A89" s="1" t="s">
        <v>15</v>
      </c>
      <c r="B89" s="1">
        <v>12</v>
      </c>
      <c r="C89" s="1" t="s">
        <v>1017</v>
      </c>
      <c r="D89" s="1" t="s">
        <v>482</v>
      </c>
      <c r="E89" s="2">
        <v>45992</v>
      </c>
      <c r="F89" s="1" t="s">
        <v>483</v>
      </c>
      <c r="G89" s="1" t="s">
        <v>484</v>
      </c>
      <c r="H89" s="1" t="s">
        <v>1018</v>
      </c>
      <c r="I89" s="1">
        <v>1</v>
      </c>
      <c r="J89" s="3">
        <v>16501</v>
      </c>
      <c r="K89" s="3">
        <v>15745</v>
      </c>
      <c r="L89" s="1">
        <v>0</v>
      </c>
      <c r="M89" s="4">
        <v>0</v>
      </c>
      <c r="N89" s="3">
        <v>756</v>
      </c>
      <c r="O89" s="4">
        <v>4.5999999999999999E-2</v>
      </c>
      <c r="P89" s="1" t="s">
        <v>2721</v>
      </c>
    </row>
    <row r="90" spans="1:16">
      <c r="A90" s="1" t="s">
        <v>15</v>
      </c>
      <c r="B90" s="1">
        <v>12</v>
      </c>
      <c r="C90" s="1" t="s">
        <v>1019</v>
      </c>
      <c r="D90" s="1" t="s">
        <v>1020</v>
      </c>
      <c r="E90" s="2">
        <v>45992</v>
      </c>
      <c r="F90" s="1" t="s">
        <v>1021</v>
      </c>
      <c r="G90" s="1" t="s">
        <v>1022</v>
      </c>
      <c r="H90" s="1" t="s">
        <v>1023</v>
      </c>
      <c r="I90" s="1">
        <v>1</v>
      </c>
      <c r="J90" s="3">
        <v>16912</v>
      </c>
      <c r="K90" s="3">
        <v>16137</v>
      </c>
      <c r="L90" s="1">
        <v>0</v>
      </c>
      <c r="M90" s="4">
        <v>0</v>
      </c>
      <c r="N90" s="3">
        <v>775</v>
      </c>
      <c r="O90" s="4">
        <v>4.5999999999999999E-2</v>
      </c>
      <c r="P90" s="1" t="s">
        <v>2721</v>
      </c>
    </row>
    <row r="91" spans="1:16">
      <c r="A91" s="1" t="s">
        <v>15</v>
      </c>
      <c r="B91" s="1">
        <v>12</v>
      </c>
      <c r="C91" s="1" t="s">
        <v>1024</v>
      </c>
      <c r="D91" s="1" t="s">
        <v>903</v>
      </c>
      <c r="E91" s="2">
        <v>45992</v>
      </c>
      <c r="F91" s="1" t="s">
        <v>23</v>
      </c>
      <c r="G91" s="1" t="s">
        <v>587</v>
      </c>
      <c r="H91" s="1" t="s">
        <v>588</v>
      </c>
      <c r="I91" s="1">
        <v>2</v>
      </c>
      <c r="J91" s="3">
        <v>27524</v>
      </c>
      <c r="K91" s="3">
        <v>26264</v>
      </c>
      <c r="L91" s="1">
        <v>0</v>
      </c>
      <c r="M91" s="4">
        <v>0</v>
      </c>
      <c r="N91" s="3">
        <v>1260</v>
      </c>
      <c r="O91" s="4">
        <v>4.5999999999999999E-2</v>
      </c>
      <c r="P91" s="1" t="s">
        <v>2721</v>
      </c>
    </row>
    <row r="92" spans="1:16">
      <c r="A92" s="1" t="s">
        <v>15</v>
      </c>
      <c r="B92" s="1">
        <v>12</v>
      </c>
      <c r="C92" s="1" t="s">
        <v>1025</v>
      </c>
      <c r="D92" s="1" t="s">
        <v>1026</v>
      </c>
      <c r="E92" s="2">
        <v>45992</v>
      </c>
      <c r="F92" s="1" t="s">
        <v>256</v>
      </c>
      <c r="G92" s="1" t="s">
        <v>1027</v>
      </c>
      <c r="H92" s="1" t="s">
        <v>1028</v>
      </c>
      <c r="I92" s="1">
        <v>1</v>
      </c>
      <c r="J92" s="3">
        <v>5407</v>
      </c>
      <c r="K92" s="3">
        <v>5159</v>
      </c>
      <c r="L92" s="1">
        <v>0</v>
      </c>
      <c r="M92" s="4">
        <v>0</v>
      </c>
      <c r="N92" s="3">
        <v>248</v>
      </c>
      <c r="O92" s="4">
        <v>4.5999999999999999E-2</v>
      </c>
      <c r="P92" s="1" t="s">
        <v>2721</v>
      </c>
    </row>
    <row r="93" spans="1:16">
      <c r="A93" s="1" t="s">
        <v>15</v>
      </c>
      <c r="B93" s="1">
        <v>12</v>
      </c>
      <c r="C93" s="1" t="s">
        <v>1029</v>
      </c>
      <c r="D93" s="1" t="s">
        <v>1030</v>
      </c>
      <c r="E93" s="2">
        <v>45992</v>
      </c>
      <c r="F93" s="1" t="s">
        <v>187</v>
      </c>
      <c r="G93" s="1" t="s">
        <v>1031</v>
      </c>
      <c r="H93" s="1" t="s">
        <v>1032</v>
      </c>
      <c r="I93" s="1">
        <v>1</v>
      </c>
      <c r="J93" s="3">
        <v>27524</v>
      </c>
      <c r="K93" s="3">
        <v>26264</v>
      </c>
      <c r="L93" s="1">
        <v>0</v>
      </c>
      <c r="M93" s="4">
        <v>0</v>
      </c>
      <c r="N93" s="3">
        <v>1260</v>
      </c>
      <c r="O93" s="4">
        <v>4.5999999999999999E-2</v>
      </c>
      <c r="P93" s="1" t="s">
        <v>2721</v>
      </c>
    </row>
    <row r="94" spans="1:16">
      <c r="A94" s="1" t="s">
        <v>15</v>
      </c>
      <c r="B94" s="1">
        <v>12</v>
      </c>
      <c r="C94" s="1" t="s">
        <v>1033</v>
      </c>
      <c r="D94" s="1" t="s">
        <v>132</v>
      </c>
      <c r="E94" s="2">
        <v>45992</v>
      </c>
      <c r="F94" s="1" t="s">
        <v>53</v>
      </c>
      <c r="G94" s="1" t="s">
        <v>133</v>
      </c>
      <c r="H94" s="1" t="s">
        <v>88</v>
      </c>
      <c r="I94" s="1">
        <v>1</v>
      </c>
      <c r="J94" s="3">
        <v>17036</v>
      </c>
      <c r="K94" s="3">
        <v>16256</v>
      </c>
      <c r="L94" s="1">
        <v>0</v>
      </c>
      <c r="M94" s="4">
        <v>0</v>
      </c>
      <c r="N94" s="1">
        <v>780</v>
      </c>
      <c r="O94" s="4">
        <v>4.5999999999999999E-2</v>
      </c>
      <c r="P94" s="1" t="s">
        <v>2721</v>
      </c>
    </row>
    <row r="95" spans="1:16">
      <c r="A95" s="1" t="s">
        <v>15</v>
      </c>
      <c r="B95" s="1">
        <v>12</v>
      </c>
      <c r="C95" s="1" t="s">
        <v>1034</v>
      </c>
      <c r="D95" s="1" t="s">
        <v>1026</v>
      </c>
      <c r="E95" s="2">
        <v>45992</v>
      </c>
      <c r="F95" s="1" t="s">
        <v>256</v>
      </c>
      <c r="G95" s="1" t="s">
        <v>1027</v>
      </c>
      <c r="H95" s="1" t="s">
        <v>1035</v>
      </c>
      <c r="I95" s="1">
        <v>1</v>
      </c>
      <c r="J95" s="3">
        <v>8700</v>
      </c>
      <c r="K95" s="3">
        <v>8301</v>
      </c>
      <c r="L95" s="1">
        <v>0</v>
      </c>
      <c r="M95" s="4">
        <v>0</v>
      </c>
      <c r="N95" s="1">
        <v>399</v>
      </c>
      <c r="O95" s="4">
        <v>4.5999999999999999E-2</v>
      </c>
      <c r="P95" s="1" t="s">
        <v>2721</v>
      </c>
    </row>
    <row r="96" spans="1:16">
      <c r="A96" s="1" t="s">
        <v>15</v>
      </c>
      <c r="B96" s="1">
        <v>12</v>
      </c>
      <c r="C96" s="1" t="s">
        <v>1036</v>
      </c>
      <c r="D96" s="1" t="s">
        <v>931</v>
      </c>
      <c r="E96" s="2">
        <v>45992</v>
      </c>
      <c r="F96" s="1" t="s">
        <v>932</v>
      </c>
      <c r="G96" s="1" t="s">
        <v>933</v>
      </c>
      <c r="H96" s="1" t="s">
        <v>1037</v>
      </c>
      <c r="I96" s="1">
        <v>1</v>
      </c>
      <c r="J96" s="3">
        <v>19660</v>
      </c>
      <c r="K96" s="3">
        <v>18760</v>
      </c>
      <c r="L96" s="1">
        <v>0</v>
      </c>
      <c r="M96" s="4">
        <v>0</v>
      </c>
      <c r="N96" s="3">
        <v>900</v>
      </c>
      <c r="O96" s="4">
        <v>4.5999999999999999E-2</v>
      </c>
      <c r="P96" s="1" t="s">
        <v>2721</v>
      </c>
    </row>
    <row r="97" spans="1:16">
      <c r="A97" s="1" t="s">
        <v>15</v>
      </c>
      <c r="B97" s="1">
        <v>12</v>
      </c>
      <c r="C97" s="1" t="s">
        <v>1038</v>
      </c>
      <c r="D97" s="1" t="s">
        <v>482</v>
      </c>
      <c r="E97" s="2">
        <v>45992</v>
      </c>
      <c r="F97" s="1" t="s">
        <v>483</v>
      </c>
      <c r="G97" s="1" t="s">
        <v>484</v>
      </c>
      <c r="H97" s="1" t="s">
        <v>1039</v>
      </c>
      <c r="I97" s="1">
        <v>1</v>
      </c>
      <c r="J97" s="3">
        <v>27426</v>
      </c>
      <c r="K97" s="3">
        <v>26170</v>
      </c>
      <c r="L97" s="1">
        <v>0</v>
      </c>
      <c r="M97" s="4">
        <v>0</v>
      </c>
      <c r="N97" s="3">
        <v>1256</v>
      </c>
      <c r="O97" s="4">
        <v>4.5999999999999999E-2</v>
      </c>
      <c r="P97" s="1" t="s">
        <v>2721</v>
      </c>
    </row>
    <row r="98" spans="1:16">
      <c r="A98" s="1" t="s">
        <v>15</v>
      </c>
      <c r="B98" s="1">
        <v>12</v>
      </c>
      <c r="C98" s="1" t="s">
        <v>1040</v>
      </c>
      <c r="D98" s="1" t="s">
        <v>1041</v>
      </c>
      <c r="E98" s="2">
        <v>45992</v>
      </c>
      <c r="F98" s="1" t="s">
        <v>524</v>
      </c>
      <c r="G98" s="1" t="s">
        <v>1042</v>
      </c>
      <c r="H98" s="1" t="s">
        <v>1043</v>
      </c>
      <c r="I98" s="1">
        <v>1</v>
      </c>
      <c r="J98" s="3">
        <v>9138</v>
      </c>
      <c r="K98" s="3">
        <v>8720</v>
      </c>
      <c r="L98" s="1">
        <v>0</v>
      </c>
      <c r="M98" s="4">
        <v>0</v>
      </c>
      <c r="N98" s="1">
        <v>418</v>
      </c>
      <c r="O98" s="4">
        <v>4.5999999999999999E-2</v>
      </c>
      <c r="P98" s="1" t="s">
        <v>2721</v>
      </c>
    </row>
    <row r="99" spans="1:16">
      <c r="A99" s="1" t="s">
        <v>15</v>
      </c>
      <c r="B99" s="1">
        <v>12</v>
      </c>
      <c r="C99" s="1" t="s">
        <v>1040</v>
      </c>
      <c r="D99" s="1" t="s">
        <v>1041</v>
      </c>
      <c r="E99" s="2">
        <v>45992</v>
      </c>
      <c r="F99" s="1" t="s">
        <v>524</v>
      </c>
      <c r="G99" s="1" t="s">
        <v>1042</v>
      </c>
      <c r="H99" s="1" t="s">
        <v>1044</v>
      </c>
      <c r="I99" s="1">
        <v>1</v>
      </c>
      <c r="J99" s="3">
        <v>9138</v>
      </c>
      <c r="K99" s="3">
        <v>8720</v>
      </c>
      <c r="L99" s="1">
        <v>0</v>
      </c>
      <c r="M99" s="4">
        <v>0</v>
      </c>
      <c r="N99" s="1">
        <v>418</v>
      </c>
      <c r="O99" s="4">
        <v>4.5999999999999999E-2</v>
      </c>
      <c r="P99" s="1" t="s">
        <v>2721</v>
      </c>
    </row>
    <row r="100" spans="1:16">
      <c r="A100" s="1" t="s">
        <v>15</v>
      </c>
      <c r="B100" s="1">
        <v>12</v>
      </c>
      <c r="C100" s="1" t="s">
        <v>1040</v>
      </c>
      <c r="D100" s="1" t="s">
        <v>1041</v>
      </c>
      <c r="E100" s="2">
        <v>45992</v>
      </c>
      <c r="F100" s="1" t="s">
        <v>524</v>
      </c>
      <c r="G100" s="1" t="s">
        <v>1042</v>
      </c>
      <c r="H100" s="1" t="s">
        <v>1045</v>
      </c>
      <c r="I100" s="1">
        <v>1</v>
      </c>
      <c r="J100" s="3">
        <v>9641</v>
      </c>
      <c r="K100" s="3">
        <v>9200</v>
      </c>
      <c r="L100" s="1">
        <v>0</v>
      </c>
      <c r="M100" s="4">
        <v>0</v>
      </c>
      <c r="N100" s="3">
        <v>441</v>
      </c>
      <c r="O100" s="4">
        <v>4.5999999999999999E-2</v>
      </c>
      <c r="P100" s="1" t="s">
        <v>2721</v>
      </c>
    </row>
    <row r="101" spans="1:16">
      <c r="A101" s="1" t="s">
        <v>15</v>
      </c>
      <c r="B101" s="1">
        <v>12</v>
      </c>
      <c r="C101" s="1" t="s">
        <v>1046</v>
      </c>
      <c r="D101" s="1" t="s">
        <v>32</v>
      </c>
      <c r="E101" s="2">
        <v>45992</v>
      </c>
      <c r="F101" s="1" t="s">
        <v>33</v>
      </c>
      <c r="G101" s="1" t="s">
        <v>34</v>
      </c>
      <c r="H101" s="1" t="s">
        <v>1047</v>
      </c>
      <c r="I101" s="1">
        <v>1</v>
      </c>
      <c r="J101" s="3">
        <v>88133</v>
      </c>
      <c r="K101" s="3">
        <v>84098</v>
      </c>
      <c r="L101" s="1">
        <v>0</v>
      </c>
      <c r="M101" s="4">
        <v>0</v>
      </c>
      <c r="N101" s="3">
        <v>4035</v>
      </c>
      <c r="O101" s="4">
        <v>4.5999999999999999E-2</v>
      </c>
      <c r="P101" s="1" t="s">
        <v>2721</v>
      </c>
    </row>
    <row r="102" spans="1:16">
      <c r="A102" s="1" t="s">
        <v>15</v>
      </c>
      <c r="B102" s="1">
        <v>12</v>
      </c>
      <c r="C102" s="1" t="s">
        <v>1048</v>
      </c>
      <c r="D102" s="1" t="s">
        <v>1049</v>
      </c>
      <c r="E102" s="2">
        <v>45992</v>
      </c>
      <c r="F102" s="1" t="s">
        <v>469</v>
      </c>
      <c r="G102" s="1" t="s">
        <v>1050</v>
      </c>
      <c r="H102" s="1" t="s">
        <v>1051</v>
      </c>
      <c r="I102" s="1">
        <v>1</v>
      </c>
      <c r="J102" s="3">
        <v>15728</v>
      </c>
      <c r="K102" s="3">
        <v>15008</v>
      </c>
      <c r="L102" s="1">
        <v>0</v>
      </c>
      <c r="M102" s="4">
        <v>0</v>
      </c>
      <c r="N102" s="1">
        <v>720</v>
      </c>
      <c r="O102" s="4">
        <v>4.5999999999999999E-2</v>
      </c>
      <c r="P102" s="1" t="s">
        <v>2721</v>
      </c>
    </row>
    <row r="103" spans="1:16">
      <c r="A103" s="1" t="s">
        <v>15</v>
      </c>
      <c r="B103" s="1">
        <v>12</v>
      </c>
      <c r="C103" s="1" t="s">
        <v>1052</v>
      </c>
      <c r="D103" s="1" t="s">
        <v>52</v>
      </c>
      <c r="E103" s="2">
        <v>45992</v>
      </c>
      <c r="F103" s="1" t="s">
        <v>53</v>
      </c>
      <c r="G103" s="1" t="s">
        <v>54</v>
      </c>
      <c r="H103" s="1" t="s">
        <v>55</v>
      </c>
      <c r="I103" s="1">
        <v>1</v>
      </c>
      <c r="J103" s="3">
        <v>16135</v>
      </c>
      <c r="K103" s="3">
        <v>15396</v>
      </c>
      <c r="L103" s="1">
        <v>0</v>
      </c>
      <c r="M103" s="4">
        <v>0</v>
      </c>
      <c r="N103" s="3">
        <v>739</v>
      </c>
      <c r="O103" s="4">
        <v>4.5999999999999999E-2</v>
      </c>
      <c r="P103" s="1" t="s">
        <v>2721</v>
      </c>
    </row>
    <row r="104" spans="1:16">
      <c r="A104" s="1" t="s">
        <v>15</v>
      </c>
      <c r="B104" s="1">
        <v>12</v>
      </c>
      <c r="C104" s="1" t="s">
        <v>1053</v>
      </c>
      <c r="D104" s="1" t="s">
        <v>1054</v>
      </c>
      <c r="E104" s="2">
        <v>45992</v>
      </c>
      <c r="F104" s="1" t="s">
        <v>1055</v>
      </c>
      <c r="G104" s="1" t="s">
        <v>1056</v>
      </c>
      <c r="H104" s="1" t="s">
        <v>1057</v>
      </c>
      <c r="I104" s="1">
        <v>2</v>
      </c>
      <c r="J104" s="3">
        <v>51490</v>
      </c>
      <c r="K104" s="3">
        <v>49132</v>
      </c>
      <c r="L104" s="1">
        <v>0</v>
      </c>
      <c r="M104" s="4">
        <v>0</v>
      </c>
      <c r="N104" s="3">
        <v>2358</v>
      </c>
      <c r="O104" s="4">
        <v>4.5999999999999999E-2</v>
      </c>
      <c r="P104" s="1" t="s">
        <v>2721</v>
      </c>
    </row>
    <row r="105" spans="1:16">
      <c r="A105" s="1" t="s">
        <v>15</v>
      </c>
      <c r="B105" s="1">
        <v>12</v>
      </c>
      <c r="C105" s="1" t="s">
        <v>1058</v>
      </c>
      <c r="D105" s="1" t="s">
        <v>238</v>
      </c>
      <c r="E105" s="2">
        <v>45992</v>
      </c>
      <c r="F105" s="1" t="s">
        <v>239</v>
      </c>
      <c r="G105" s="1" t="s">
        <v>240</v>
      </c>
      <c r="H105" s="1" t="s">
        <v>241</v>
      </c>
      <c r="I105" s="1">
        <v>1</v>
      </c>
      <c r="J105" s="3">
        <v>11305</v>
      </c>
      <c r="K105" s="3">
        <v>10787</v>
      </c>
      <c r="L105" s="1">
        <v>0</v>
      </c>
      <c r="M105" s="4">
        <v>0</v>
      </c>
      <c r="N105" s="1">
        <v>518</v>
      </c>
      <c r="O105" s="4">
        <v>4.5999999999999999E-2</v>
      </c>
      <c r="P105" s="1" t="s">
        <v>2721</v>
      </c>
    </row>
    <row r="106" spans="1:16">
      <c r="A106" s="1" t="s">
        <v>15</v>
      </c>
      <c r="B106" s="1">
        <v>12</v>
      </c>
      <c r="C106" s="1" t="s">
        <v>1059</v>
      </c>
      <c r="D106" s="1" t="s">
        <v>1060</v>
      </c>
      <c r="E106" s="2">
        <v>45992</v>
      </c>
      <c r="F106" s="1" t="s">
        <v>48</v>
      </c>
      <c r="G106" s="1" t="s">
        <v>1061</v>
      </c>
      <c r="H106" s="1" t="s">
        <v>1062</v>
      </c>
      <c r="I106" s="1">
        <v>1</v>
      </c>
      <c r="J106" s="3">
        <v>8049</v>
      </c>
      <c r="K106" s="3">
        <v>7680</v>
      </c>
      <c r="L106" s="1">
        <v>0</v>
      </c>
      <c r="M106" s="4">
        <v>0</v>
      </c>
      <c r="N106" s="1">
        <v>369</v>
      </c>
      <c r="O106" s="4">
        <v>4.5999999999999999E-2</v>
      </c>
      <c r="P106" s="1" t="s">
        <v>2721</v>
      </c>
    </row>
    <row r="107" spans="1:16">
      <c r="A107" s="1" t="s">
        <v>15</v>
      </c>
      <c r="B107" s="1">
        <v>12</v>
      </c>
      <c r="C107" s="1" t="s">
        <v>1063</v>
      </c>
      <c r="D107" s="1" t="s">
        <v>1064</v>
      </c>
      <c r="E107" s="2">
        <v>45992</v>
      </c>
      <c r="F107" s="1" t="s">
        <v>53</v>
      </c>
      <c r="G107" s="1" t="s">
        <v>1065</v>
      </c>
      <c r="H107" s="1" t="s">
        <v>1066</v>
      </c>
      <c r="I107" s="1">
        <v>1</v>
      </c>
      <c r="J107" s="3">
        <v>7572</v>
      </c>
      <c r="K107" s="3">
        <v>7225</v>
      </c>
      <c r="L107" s="1">
        <v>0</v>
      </c>
      <c r="M107" s="4">
        <v>0</v>
      </c>
      <c r="N107" s="1">
        <v>347</v>
      </c>
      <c r="O107" s="4">
        <v>4.5999999999999999E-2</v>
      </c>
      <c r="P107" s="1" t="s">
        <v>2721</v>
      </c>
    </row>
    <row r="108" spans="1:16">
      <c r="A108" s="1" t="s">
        <v>15</v>
      </c>
      <c r="B108" s="1">
        <v>12</v>
      </c>
      <c r="C108" s="1" t="s">
        <v>1067</v>
      </c>
      <c r="D108" s="1" t="s">
        <v>1064</v>
      </c>
      <c r="E108" s="2">
        <v>45992</v>
      </c>
      <c r="F108" s="1" t="s">
        <v>53</v>
      </c>
      <c r="G108" s="1" t="s">
        <v>1065</v>
      </c>
      <c r="H108" s="1" t="s">
        <v>1066</v>
      </c>
      <c r="I108" s="1">
        <v>1</v>
      </c>
      <c r="J108" s="3">
        <v>7572</v>
      </c>
      <c r="K108" s="3">
        <v>7225</v>
      </c>
      <c r="L108" s="1">
        <v>0</v>
      </c>
      <c r="M108" s="4">
        <v>0</v>
      </c>
      <c r="N108" s="3">
        <v>347</v>
      </c>
      <c r="O108" s="4">
        <v>4.5999999999999999E-2</v>
      </c>
      <c r="P108" s="1" t="s">
        <v>2721</v>
      </c>
    </row>
    <row r="109" spans="1:16">
      <c r="A109" s="1" t="s">
        <v>15</v>
      </c>
      <c r="B109" s="1">
        <v>12</v>
      </c>
      <c r="C109" s="1" t="s">
        <v>1068</v>
      </c>
      <c r="D109" s="1" t="s">
        <v>341</v>
      </c>
      <c r="E109" s="2">
        <v>45992</v>
      </c>
      <c r="F109" s="1" t="s">
        <v>53</v>
      </c>
      <c r="G109" s="1" t="s">
        <v>342</v>
      </c>
      <c r="H109" s="1" t="s">
        <v>343</v>
      </c>
      <c r="I109" s="1">
        <v>2</v>
      </c>
      <c r="J109" s="3">
        <v>32270</v>
      </c>
      <c r="K109" s="3">
        <v>30793</v>
      </c>
      <c r="L109" s="1">
        <v>0</v>
      </c>
      <c r="M109" s="4">
        <v>0</v>
      </c>
      <c r="N109" s="3">
        <v>1477</v>
      </c>
      <c r="O109" s="4">
        <v>4.5999999999999999E-2</v>
      </c>
      <c r="P109" s="1" t="s">
        <v>2721</v>
      </c>
    </row>
    <row r="110" spans="1:16">
      <c r="A110" s="1" t="s">
        <v>15</v>
      </c>
      <c r="B110" s="1">
        <v>12</v>
      </c>
      <c r="C110" s="1" t="s">
        <v>1068</v>
      </c>
      <c r="D110" s="1" t="s">
        <v>228</v>
      </c>
      <c r="E110" s="2">
        <v>45992</v>
      </c>
      <c r="F110" s="1" t="s">
        <v>53</v>
      </c>
      <c r="G110" s="1" t="s">
        <v>229</v>
      </c>
      <c r="H110" s="1" t="s">
        <v>230</v>
      </c>
      <c r="I110" s="1">
        <v>1</v>
      </c>
      <c r="J110" s="3">
        <v>9825</v>
      </c>
      <c r="K110" s="3">
        <v>9375</v>
      </c>
      <c r="L110" s="1">
        <v>0</v>
      </c>
      <c r="M110" s="4">
        <v>0</v>
      </c>
      <c r="N110" s="3">
        <v>450</v>
      </c>
      <c r="O110" s="4">
        <v>4.5999999999999999E-2</v>
      </c>
      <c r="P110" s="1" t="s">
        <v>2721</v>
      </c>
    </row>
    <row r="111" spans="1:16">
      <c r="A111" s="1" t="s">
        <v>15</v>
      </c>
      <c r="B111" s="1">
        <v>12</v>
      </c>
      <c r="C111" s="1" t="s">
        <v>1069</v>
      </c>
      <c r="D111" s="1" t="s">
        <v>1070</v>
      </c>
      <c r="E111" s="2">
        <v>45992</v>
      </c>
      <c r="F111" s="1" t="s">
        <v>58</v>
      </c>
      <c r="G111" s="1" t="s">
        <v>1071</v>
      </c>
      <c r="H111" s="1" t="s">
        <v>1072</v>
      </c>
      <c r="I111" s="1">
        <v>1</v>
      </c>
      <c r="J111" s="3">
        <v>10872</v>
      </c>
      <c r="K111" s="3">
        <v>10374</v>
      </c>
      <c r="L111" s="1">
        <v>0</v>
      </c>
      <c r="M111" s="4">
        <v>0</v>
      </c>
      <c r="N111" s="1">
        <v>498</v>
      </c>
      <c r="O111" s="4">
        <v>4.5999999999999999E-2</v>
      </c>
      <c r="P111" s="1" t="s">
        <v>2721</v>
      </c>
    </row>
    <row r="112" spans="1:16">
      <c r="A112" s="1" t="s">
        <v>15</v>
      </c>
      <c r="B112" s="1">
        <v>12</v>
      </c>
      <c r="C112" s="1" t="s">
        <v>1073</v>
      </c>
      <c r="D112" s="1" t="s">
        <v>1074</v>
      </c>
      <c r="E112" s="2">
        <v>45992</v>
      </c>
      <c r="F112" s="1" t="s">
        <v>1075</v>
      </c>
      <c r="G112" s="1" t="s">
        <v>1076</v>
      </c>
      <c r="H112" s="1" t="s">
        <v>1077</v>
      </c>
      <c r="I112" s="1">
        <v>1</v>
      </c>
      <c r="J112" s="3">
        <v>15284</v>
      </c>
      <c r="K112" s="3">
        <v>14584</v>
      </c>
      <c r="L112" s="1">
        <v>0</v>
      </c>
      <c r="M112" s="4">
        <v>0</v>
      </c>
      <c r="N112" s="3">
        <v>700</v>
      </c>
      <c r="O112" s="4">
        <v>4.5999999999999999E-2</v>
      </c>
      <c r="P112" s="1" t="s">
        <v>2721</v>
      </c>
    </row>
    <row r="113" spans="1:16">
      <c r="A113" s="1" t="s">
        <v>15</v>
      </c>
      <c r="B113" s="1">
        <v>12</v>
      </c>
      <c r="C113" s="1" t="s">
        <v>1078</v>
      </c>
      <c r="D113" s="1" t="s">
        <v>1079</v>
      </c>
      <c r="E113" s="2">
        <v>45992</v>
      </c>
      <c r="F113" s="1" t="s">
        <v>500</v>
      </c>
      <c r="G113" s="1" t="s">
        <v>1080</v>
      </c>
      <c r="H113" s="1" t="s">
        <v>1081</v>
      </c>
      <c r="I113" s="1">
        <v>1</v>
      </c>
      <c r="J113" s="3">
        <v>113182</v>
      </c>
      <c r="K113" s="3">
        <v>108000</v>
      </c>
      <c r="L113" s="1">
        <v>0</v>
      </c>
      <c r="M113" s="4">
        <v>0</v>
      </c>
      <c r="N113" s="3">
        <v>5182</v>
      </c>
      <c r="O113" s="4">
        <v>4.5999999999999999E-2</v>
      </c>
      <c r="P113" s="1" t="s">
        <v>2721</v>
      </c>
    </row>
    <row r="114" spans="1:16">
      <c r="A114" s="1" t="s">
        <v>15</v>
      </c>
      <c r="B114" s="1">
        <v>12</v>
      </c>
      <c r="C114" s="1" t="s">
        <v>1082</v>
      </c>
      <c r="D114" s="1" t="s">
        <v>903</v>
      </c>
      <c r="E114" s="2">
        <v>45992</v>
      </c>
      <c r="F114" s="1" t="s">
        <v>23</v>
      </c>
      <c r="G114" s="1" t="s">
        <v>587</v>
      </c>
      <c r="H114" s="1" t="s">
        <v>588</v>
      </c>
      <c r="I114" s="1">
        <v>2</v>
      </c>
      <c r="J114" s="3">
        <v>27524</v>
      </c>
      <c r="K114" s="3">
        <v>26264</v>
      </c>
      <c r="L114" s="1">
        <v>0</v>
      </c>
      <c r="M114" s="4">
        <v>0</v>
      </c>
      <c r="N114" s="3">
        <v>1260</v>
      </c>
      <c r="O114" s="4">
        <v>4.5999999999999999E-2</v>
      </c>
      <c r="P114" s="1" t="s">
        <v>2721</v>
      </c>
    </row>
    <row r="115" spans="1:16">
      <c r="A115" s="1" t="s">
        <v>15</v>
      </c>
      <c r="B115" s="1">
        <v>12</v>
      </c>
      <c r="C115" s="1" t="s">
        <v>1083</v>
      </c>
      <c r="D115" s="1" t="s">
        <v>903</v>
      </c>
      <c r="E115" s="2">
        <v>45992</v>
      </c>
      <c r="F115" s="1" t="s">
        <v>23</v>
      </c>
      <c r="G115" s="1" t="s">
        <v>587</v>
      </c>
      <c r="H115" s="1" t="s">
        <v>588</v>
      </c>
      <c r="I115" s="1">
        <v>1</v>
      </c>
      <c r="J115" s="3">
        <v>13762</v>
      </c>
      <c r="K115" s="3">
        <v>13132</v>
      </c>
      <c r="L115" s="1">
        <v>0</v>
      </c>
      <c r="M115" s="4">
        <v>0</v>
      </c>
      <c r="N115" s="1">
        <v>630</v>
      </c>
      <c r="O115" s="4">
        <v>4.5999999999999999E-2</v>
      </c>
      <c r="P115" s="1" t="s">
        <v>2721</v>
      </c>
    </row>
    <row r="116" spans="1:16">
      <c r="A116" s="1" t="s">
        <v>15</v>
      </c>
      <c r="B116" s="1">
        <v>12</v>
      </c>
      <c r="C116" s="1" t="s">
        <v>1084</v>
      </c>
      <c r="D116" s="1" t="s">
        <v>865</v>
      </c>
      <c r="E116" s="2">
        <v>45992</v>
      </c>
      <c r="F116" s="1" t="s">
        <v>334</v>
      </c>
      <c r="G116" s="1" t="s">
        <v>866</v>
      </c>
      <c r="H116" s="1" t="s">
        <v>1085</v>
      </c>
      <c r="I116" s="1">
        <v>1</v>
      </c>
      <c r="J116" s="3">
        <v>9044</v>
      </c>
      <c r="K116" s="3">
        <v>8630</v>
      </c>
      <c r="L116" s="1">
        <v>0</v>
      </c>
      <c r="M116" s="4">
        <v>0</v>
      </c>
      <c r="N116" s="1">
        <v>414</v>
      </c>
      <c r="O116" s="4">
        <v>4.5999999999999999E-2</v>
      </c>
      <c r="P116" s="1" t="s">
        <v>2721</v>
      </c>
    </row>
    <row r="117" spans="1:16">
      <c r="A117" s="1" t="s">
        <v>15</v>
      </c>
      <c r="B117" s="1">
        <v>12</v>
      </c>
      <c r="C117" s="1" t="s">
        <v>1086</v>
      </c>
      <c r="D117" s="1" t="s">
        <v>238</v>
      </c>
      <c r="E117" s="2">
        <v>45992</v>
      </c>
      <c r="F117" s="1" t="s">
        <v>239</v>
      </c>
      <c r="G117" s="1" t="s">
        <v>240</v>
      </c>
      <c r="H117" s="1" t="s">
        <v>242</v>
      </c>
      <c r="I117" s="1">
        <v>1</v>
      </c>
      <c r="J117" s="3">
        <v>11305</v>
      </c>
      <c r="K117" s="3">
        <v>10787</v>
      </c>
      <c r="L117" s="1">
        <v>0</v>
      </c>
      <c r="M117" s="4">
        <v>0</v>
      </c>
      <c r="N117" s="3">
        <v>518</v>
      </c>
      <c r="O117" s="4">
        <v>4.5999999999999999E-2</v>
      </c>
      <c r="P117" s="1" t="s">
        <v>2721</v>
      </c>
    </row>
    <row r="118" spans="1:16">
      <c r="A118" s="1" t="s">
        <v>15</v>
      </c>
      <c r="B118" s="1">
        <v>12</v>
      </c>
      <c r="C118" s="1" t="s">
        <v>1087</v>
      </c>
      <c r="D118" s="1" t="s">
        <v>1088</v>
      </c>
      <c r="E118" s="2">
        <v>45992</v>
      </c>
      <c r="F118" s="1" t="s">
        <v>317</v>
      </c>
      <c r="G118" s="1" t="s">
        <v>1089</v>
      </c>
      <c r="H118" s="1" t="s">
        <v>1090</v>
      </c>
      <c r="I118" s="1">
        <v>1</v>
      </c>
      <c r="J118" s="3">
        <v>39615</v>
      </c>
      <c r="K118" s="3">
        <v>37801</v>
      </c>
      <c r="L118" s="1">
        <v>0</v>
      </c>
      <c r="M118" s="4">
        <v>0</v>
      </c>
      <c r="N118" s="3">
        <v>1814</v>
      </c>
      <c r="O118" s="4">
        <v>4.5999999999999999E-2</v>
      </c>
      <c r="P118" s="1" t="s">
        <v>2721</v>
      </c>
    </row>
    <row r="119" spans="1:16">
      <c r="A119" s="1" t="s">
        <v>15</v>
      </c>
      <c r="B119" s="1">
        <v>12</v>
      </c>
      <c r="C119" s="1" t="s">
        <v>1091</v>
      </c>
      <c r="D119" s="1" t="s">
        <v>1092</v>
      </c>
      <c r="E119" s="2">
        <v>45992</v>
      </c>
      <c r="F119" s="1" t="s">
        <v>856</v>
      </c>
      <c r="G119" s="1" t="s">
        <v>1093</v>
      </c>
      <c r="H119" s="1" t="s">
        <v>1094</v>
      </c>
      <c r="I119" s="1">
        <v>1</v>
      </c>
      <c r="J119" s="3">
        <v>31439</v>
      </c>
      <c r="K119" s="3">
        <v>30000</v>
      </c>
      <c r="L119" s="1">
        <v>0</v>
      </c>
      <c r="M119" s="4">
        <v>0</v>
      </c>
      <c r="N119" s="3">
        <v>1439</v>
      </c>
      <c r="O119" s="4">
        <v>4.5999999999999999E-2</v>
      </c>
      <c r="P119" s="1" t="s">
        <v>2721</v>
      </c>
    </row>
    <row r="120" spans="1:16">
      <c r="A120" s="1" t="s">
        <v>15</v>
      </c>
      <c r="B120" s="1">
        <v>12</v>
      </c>
      <c r="C120" s="1" t="s">
        <v>1095</v>
      </c>
      <c r="D120" s="1" t="s">
        <v>132</v>
      </c>
      <c r="E120" s="2">
        <v>45992</v>
      </c>
      <c r="F120" s="1" t="s">
        <v>53</v>
      </c>
      <c r="G120" s="1" t="s">
        <v>133</v>
      </c>
      <c r="H120" s="1" t="s">
        <v>88</v>
      </c>
      <c r="I120" s="1">
        <v>2</v>
      </c>
      <c r="J120" s="3">
        <v>34073</v>
      </c>
      <c r="K120" s="3">
        <v>32513</v>
      </c>
      <c r="L120" s="1">
        <v>0</v>
      </c>
      <c r="M120" s="4">
        <v>0</v>
      </c>
      <c r="N120" s="3">
        <v>1560</v>
      </c>
      <c r="O120" s="4">
        <v>4.5999999999999999E-2</v>
      </c>
      <c r="P120" s="1" t="s">
        <v>2721</v>
      </c>
    </row>
    <row r="121" spans="1:16">
      <c r="A121" s="1" t="s">
        <v>15</v>
      </c>
      <c r="B121" s="1">
        <v>12</v>
      </c>
      <c r="C121" s="1" t="s">
        <v>1096</v>
      </c>
      <c r="D121" s="1" t="s">
        <v>76</v>
      </c>
      <c r="E121" s="2">
        <v>45992</v>
      </c>
      <c r="F121" s="1" t="s">
        <v>77</v>
      </c>
      <c r="G121" s="1" t="s">
        <v>78</v>
      </c>
      <c r="H121" s="1" t="s">
        <v>78</v>
      </c>
      <c r="I121" s="1">
        <v>1</v>
      </c>
      <c r="J121" s="3">
        <v>11231</v>
      </c>
      <c r="K121" s="3">
        <v>10717</v>
      </c>
      <c r="L121" s="1">
        <v>0</v>
      </c>
      <c r="M121" s="4">
        <v>0</v>
      </c>
      <c r="N121" s="1">
        <v>514</v>
      </c>
      <c r="O121" s="4">
        <v>4.5999999999999999E-2</v>
      </c>
      <c r="P121" s="1" t="s">
        <v>2721</v>
      </c>
    </row>
    <row r="122" spans="1:16">
      <c r="A122" s="1" t="s">
        <v>15</v>
      </c>
      <c r="B122" s="1">
        <v>12</v>
      </c>
      <c r="C122" s="1" t="s">
        <v>1097</v>
      </c>
      <c r="D122" s="1" t="s">
        <v>797</v>
      </c>
      <c r="E122" s="2">
        <v>45992</v>
      </c>
      <c r="F122" s="1" t="s">
        <v>798</v>
      </c>
      <c r="G122" s="1" t="s">
        <v>799</v>
      </c>
      <c r="H122" s="1" t="s">
        <v>1098</v>
      </c>
      <c r="I122" s="1">
        <v>1</v>
      </c>
      <c r="J122" s="3">
        <v>13271</v>
      </c>
      <c r="K122" s="3">
        <v>12663</v>
      </c>
      <c r="L122" s="1">
        <v>0</v>
      </c>
      <c r="M122" s="4">
        <v>0</v>
      </c>
      <c r="N122" s="1">
        <v>608</v>
      </c>
      <c r="O122" s="4">
        <v>4.5999999999999999E-2</v>
      </c>
      <c r="P122" s="1" t="s">
        <v>2721</v>
      </c>
    </row>
    <row r="123" spans="1:16">
      <c r="A123" s="1" t="s">
        <v>15</v>
      </c>
      <c r="B123" s="1">
        <v>12</v>
      </c>
      <c r="C123" s="1" t="s">
        <v>1099</v>
      </c>
      <c r="D123" s="1" t="s">
        <v>1100</v>
      </c>
      <c r="E123" s="2">
        <v>45992</v>
      </c>
      <c r="F123" s="1" t="s">
        <v>1101</v>
      </c>
      <c r="G123" s="1" t="s">
        <v>1102</v>
      </c>
      <c r="H123" s="1" t="s">
        <v>1103</v>
      </c>
      <c r="I123" s="1">
        <v>1</v>
      </c>
      <c r="J123" s="3">
        <v>14155</v>
      </c>
      <c r="K123" s="3">
        <v>13507</v>
      </c>
      <c r="L123" s="1">
        <v>0</v>
      </c>
      <c r="M123" s="4">
        <v>0</v>
      </c>
      <c r="N123" s="1">
        <v>648</v>
      </c>
      <c r="O123" s="4">
        <v>4.5999999999999999E-2</v>
      </c>
      <c r="P123" s="1" t="s">
        <v>2721</v>
      </c>
    </row>
    <row r="124" spans="1:16">
      <c r="A124" s="1" t="s">
        <v>15</v>
      </c>
      <c r="B124" s="1">
        <v>12</v>
      </c>
      <c r="C124" s="1" t="s">
        <v>1104</v>
      </c>
      <c r="D124" s="1" t="s">
        <v>1105</v>
      </c>
      <c r="E124" s="2">
        <v>45992</v>
      </c>
      <c r="F124" s="1" t="s">
        <v>1106</v>
      </c>
      <c r="G124" s="1" t="s">
        <v>1107</v>
      </c>
      <c r="H124" s="1" t="s">
        <v>1108</v>
      </c>
      <c r="I124" s="1">
        <v>1</v>
      </c>
      <c r="J124" s="3">
        <v>10471</v>
      </c>
      <c r="K124" s="3">
        <v>9992</v>
      </c>
      <c r="L124" s="1">
        <v>0</v>
      </c>
      <c r="M124" s="4">
        <v>0</v>
      </c>
      <c r="N124" s="1">
        <v>479</v>
      </c>
      <c r="O124" s="4">
        <v>4.5999999999999999E-2</v>
      </c>
      <c r="P124" s="1" t="s">
        <v>2721</v>
      </c>
    </row>
    <row r="125" spans="1:16">
      <c r="A125" s="1" t="s">
        <v>15</v>
      </c>
      <c r="B125" s="1">
        <v>12</v>
      </c>
      <c r="C125" s="1" t="s">
        <v>1109</v>
      </c>
      <c r="D125" s="1" t="s">
        <v>865</v>
      </c>
      <c r="E125" s="2">
        <v>45992</v>
      </c>
      <c r="F125" s="1" t="s">
        <v>334</v>
      </c>
      <c r="G125" s="1" t="s">
        <v>866</v>
      </c>
      <c r="H125" s="1" t="s">
        <v>868</v>
      </c>
      <c r="I125" s="1">
        <v>1</v>
      </c>
      <c r="J125" s="3">
        <v>9044</v>
      </c>
      <c r="K125" s="3">
        <v>8630</v>
      </c>
      <c r="L125" s="1">
        <v>0</v>
      </c>
      <c r="M125" s="4">
        <v>0</v>
      </c>
      <c r="N125" s="3">
        <v>414</v>
      </c>
      <c r="O125" s="4">
        <v>4.5999999999999999E-2</v>
      </c>
      <c r="P125" s="1" t="s">
        <v>2721</v>
      </c>
    </row>
    <row r="126" spans="1:16">
      <c r="A126" s="1" t="s">
        <v>15</v>
      </c>
      <c r="B126" s="1">
        <v>12</v>
      </c>
      <c r="C126" s="1" t="s">
        <v>1110</v>
      </c>
      <c r="D126" s="1" t="s">
        <v>1111</v>
      </c>
      <c r="E126" s="2">
        <v>45992</v>
      </c>
      <c r="F126" s="1" t="s">
        <v>1112</v>
      </c>
      <c r="G126" s="1" t="s">
        <v>1113</v>
      </c>
      <c r="H126" s="1" t="s">
        <v>1114</v>
      </c>
      <c r="I126" s="1">
        <v>1</v>
      </c>
      <c r="J126" s="3">
        <v>46201</v>
      </c>
      <c r="K126" s="3">
        <v>44086</v>
      </c>
      <c r="L126" s="1">
        <v>0</v>
      </c>
      <c r="M126" s="4">
        <v>0</v>
      </c>
      <c r="N126" s="3">
        <v>2115</v>
      </c>
      <c r="O126" s="4">
        <v>4.5999999999999999E-2</v>
      </c>
      <c r="P126" s="1" t="s">
        <v>2721</v>
      </c>
    </row>
    <row r="127" spans="1:16">
      <c r="A127" s="1" t="s">
        <v>15</v>
      </c>
      <c r="B127" s="1">
        <v>12</v>
      </c>
      <c r="C127" s="1" t="s">
        <v>1115</v>
      </c>
      <c r="D127" s="1" t="s">
        <v>913</v>
      </c>
      <c r="E127" s="2">
        <v>45992</v>
      </c>
      <c r="F127" s="1" t="s">
        <v>914</v>
      </c>
      <c r="G127" s="1" t="s">
        <v>915</v>
      </c>
      <c r="H127" s="1" t="s">
        <v>916</v>
      </c>
      <c r="I127" s="1">
        <v>1</v>
      </c>
      <c r="J127" s="3">
        <v>29773</v>
      </c>
      <c r="K127" s="3">
        <v>28410</v>
      </c>
      <c r="L127" s="1">
        <v>0</v>
      </c>
      <c r="M127" s="4">
        <v>0</v>
      </c>
      <c r="N127" s="3">
        <v>1363</v>
      </c>
      <c r="O127" s="4">
        <v>4.5999999999999999E-2</v>
      </c>
      <c r="P127" s="1" t="s">
        <v>2721</v>
      </c>
    </row>
    <row r="128" spans="1:16">
      <c r="A128" s="1" t="s">
        <v>15</v>
      </c>
      <c r="B128" s="1">
        <v>12</v>
      </c>
      <c r="C128" s="1" t="s">
        <v>1116</v>
      </c>
      <c r="D128" s="1" t="s">
        <v>1049</v>
      </c>
      <c r="E128" s="2">
        <v>45992</v>
      </c>
      <c r="F128" s="1" t="s">
        <v>469</v>
      </c>
      <c r="G128" s="1" t="s">
        <v>1050</v>
      </c>
      <c r="H128" s="1" t="s">
        <v>1117</v>
      </c>
      <c r="I128" s="1">
        <v>1</v>
      </c>
      <c r="J128" s="3">
        <v>15728</v>
      </c>
      <c r="K128" s="3">
        <v>15008</v>
      </c>
      <c r="L128" s="1">
        <v>0</v>
      </c>
      <c r="M128" s="4">
        <v>0</v>
      </c>
      <c r="N128" s="3">
        <v>720</v>
      </c>
      <c r="O128" s="4">
        <v>4.5999999999999999E-2</v>
      </c>
      <c r="P128" s="1" t="s">
        <v>2721</v>
      </c>
    </row>
    <row r="129" spans="1:16">
      <c r="A129" s="1" t="s">
        <v>15</v>
      </c>
      <c r="B129" s="1">
        <v>12</v>
      </c>
      <c r="C129" s="1" t="s">
        <v>1118</v>
      </c>
      <c r="D129" s="1" t="s">
        <v>995</v>
      </c>
      <c r="E129" s="2">
        <v>45992</v>
      </c>
      <c r="F129" s="1" t="s">
        <v>174</v>
      </c>
      <c r="G129" s="1" t="s">
        <v>996</v>
      </c>
      <c r="H129" s="1" t="s">
        <v>997</v>
      </c>
      <c r="I129" s="1">
        <v>1</v>
      </c>
      <c r="J129" s="3">
        <v>54065</v>
      </c>
      <c r="K129" s="3">
        <v>51590</v>
      </c>
      <c r="L129" s="1">
        <v>0</v>
      </c>
      <c r="M129" s="4">
        <v>0</v>
      </c>
      <c r="N129" s="3">
        <v>2475</v>
      </c>
      <c r="O129" s="4">
        <v>4.5999999999999999E-2</v>
      </c>
      <c r="P129" s="1" t="s">
        <v>2721</v>
      </c>
    </row>
    <row r="130" spans="1:16">
      <c r="A130" s="1" t="s">
        <v>15</v>
      </c>
      <c r="B130" s="1">
        <v>12</v>
      </c>
      <c r="C130" s="1" t="s">
        <v>1119</v>
      </c>
      <c r="D130" s="1" t="s">
        <v>492</v>
      </c>
      <c r="E130" s="2">
        <v>45992</v>
      </c>
      <c r="F130" s="1" t="s">
        <v>493</v>
      </c>
      <c r="G130" s="1" t="s">
        <v>494</v>
      </c>
      <c r="H130" s="1" t="s">
        <v>1120</v>
      </c>
      <c r="I130" s="1">
        <v>1</v>
      </c>
      <c r="J130" s="3">
        <v>7569</v>
      </c>
      <c r="K130" s="3">
        <v>7223</v>
      </c>
      <c r="L130" s="1">
        <v>0</v>
      </c>
      <c r="M130" s="4">
        <v>0</v>
      </c>
      <c r="N130" s="3">
        <v>346</v>
      </c>
      <c r="O130" s="4">
        <v>4.5999999999999999E-2</v>
      </c>
      <c r="P130" s="1" t="s">
        <v>2721</v>
      </c>
    </row>
    <row r="131" spans="1:16">
      <c r="A131" s="1" t="s">
        <v>15</v>
      </c>
      <c r="B131" s="1">
        <v>12</v>
      </c>
      <c r="C131" s="1" t="s">
        <v>1121</v>
      </c>
      <c r="D131" s="1" t="s">
        <v>329</v>
      </c>
      <c r="E131" s="2">
        <v>45992</v>
      </c>
      <c r="F131" s="1" t="s">
        <v>174</v>
      </c>
      <c r="G131" s="1" t="s">
        <v>330</v>
      </c>
      <c r="H131" s="1" t="s">
        <v>331</v>
      </c>
      <c r="I131" s="1">
        <v>2</v>
      </c>
      <c r="J131" s="3">
        <v>33422</v>
      </c>
      <c r="K131" s="3">
        <v>31892</v>
      </c>
      <c r="L131" s="1">
        <v>0</v>
      </c>
      <c r="M131" s="4">
        <v>0</v>
      </c>
      <c r="N131" s="3">
        <v>1530</v>
      </c>
      <c r="O131" s="4">
        <v>4.5999999999999999E-2</v>
      </c>
      <c r="P131" s="1" t="s">
        <v>2721</v>
      </c>
    </row>
    <row r="132" spans="1:16">
      <c r="A132" s="1" t="s">
        <v>15</v>
      </c>
      <c r="B132" s="1">
        <v>12</v>
      </c>
      <c r="C132" s="1" t="s">
        <v>1122</v>
      </c>
      <c r="D132" s="1" t="s">
        <v>72</v>
      </c>
      <c r="E132" s="2">
        <v>45992</v>
      </c>
      <c r="F132" s="1" t="s">
        <v>63</v>
      </c>
      <c r="G132" s="1" t="s">
        <v>73</v>
      </c>
      <c r="H132" s="1" t="s">
        <v>74</v>
      </c>
      <c r="I132" s="1">
        <v>1</v>
      </c>
      <c r="J132" s="3">
        <v>10456</v>
      </c>
      <c r="K132" s="3">
        <v>9978</v>
      </c>
      <c r="L132" s="1">
        <v>0</v>
      </c>
      <c r="M132" s="4">
        <v>0</v>
      </c>
      <c r="N132" s="3">
        <v>478</v>
      </c>
      <c r="O132" s="4">
        <v>4.5999999999999999E-2</v>
      </c>
      <c r="P132" s="1" t="s">
        <v>2721</v>
      </c>
    </row>
    <row r="133" spans="1:16">
      <c r="A133" s="1" t="s">
        <v>15</v>
      </c>
      <c r="B133" s="1">
        <v>12</v>
      </c>
      <c r="C133" s="1" t="s">
        <v>1123</v>
      </c>
      <c r="D133" s="1" t="s">
        <v>1079</v>
      </c>
      <c r="E133" s="2">
        <v>45992</v>
      </c>
      <c r="F133" s="1" t="s">
        <v>500</v>
      </c>
      <c r="G133" s="1" t="s">
        <v>1080</v>
      </c>
      <c r="H133" s="1" t="s">
        <v>1081</v>
      </c>
      <c r="I133" s="1">
        <v>1</v>
      </c>
      <c r="J133" s="3">
        <v>113182</v>
      </c>
      <c r="K133" s="3">
        <v>108000</v>
      </c>
      <c r="L133" s="1">
        <v>0</v>
      </c>
      <c r="M133" s="4">
        <v>0</v>
      </c>
      <c r="N133" s="3">
        <v>5182</v>
      </c>
      <c r="O133" s="4">
        <v>4.5999999999999999E-2</v>
      </c>
      <c r="P133" s="1" t="s">
        <v>2721</v>
      </c>
    </row>
    <row r="134" spans="1:16">
      <c r="A134" s="1" t="s">
        <v>15</v>
      </c>
      <c r="B134" s="1">
        <v>12</v>
      </c>
      <c r="C134" s="1" t="s">
        <v>1124</v>
      </c>
      <c r="D134" s="1" t="s">
        <v>1125</v>
      </c>
      <c r="E134" s="2">
        <v>45992</v>
      </c>
      <c r="F134" s="1" t="s">
        <v>96</v>
      </c>
      <c r="G134" s="1" t="s">
        <v>1126</v>
      </c>
      <c r="H134" s="1" t="s">
        <v>1127</v>
      </c>
      <c r="I134" s="1">
        <v>1</v>
      </c>
      <c r="J134" s="3">
        <v>9858</v>
      </c>
      <c r="K134" s="3">
        <v>9406</v>
      </c>
      <c r="L134" s="1">
        <v>0</v>
      </c>
      <c r="M134" s="4">
        <v>0</v>
      </c>
      <c r="N134" s="3">
        <v>452</v>
      </c>
      <c r="O134" s="4">
        <v>4.5999999999999999E-2</v>
      </c>
      <c r="P134" s="1" t="s">
        <v>2721</v>
      </c>
    </row>
    <row r="135" spans="1:16">
      <c r="A135" s="1" t="s">
        <v>15</v>
      </c>
      <c r="B135" s="1">
        <v>12</v>
      </c>
      <c r="C135" s="1" t="s">
        <v>1128</v>
      </c>
      <c r="D135" s="1" t="s">
        <v>244</v>
      </c>
      <c r="E135" s="2">
        <v>45992</v>
      </c>
      <c r="F135" s="1" t="s">
        <v>53</v>
      </c>
      <c r="G135" s="1" t="s">
        <v>245</v>
      </c>
      <c r="H135" s="1" t="s">
        <v>246</v>
      </c>
      <c r="I135" s="1">
        <v>1</v>
      </c>
      <c r="J135" s="3">
        <v>8272</v>
      </c>
      <c r="K135" s="3">
        <v>7893</v>
      </c>
      <c r="L135" s="1">
        <v>0</v>
      </c>
      <c r="M135" s="4">
        <v>0</v>
      </c>
      <c r="N135" s="3">
        <v>379</v>
      </c>
      <c r="O135" s="4">
        <v>4.5999999999999999E-2</v>
      </c>
      <c r="P135" s="1" t="s">
        <v>2721</v>
      </c>
    </row>
    <row r="136" spans="1:16">
      <c r="A136" s="1" t="s">
        <v>15</v>
      </c>
      <c r="B136" s="1">
        <v>12</v>
      </c>
      <c r="C136" s="1" t="s">
        <v>1129</v>
      </c>
      <c r="D136" s="1" t="s">
        <v>482</v>
      </c>
      <c r="E136" s="2">
        <v>45992</v>
      </c>
      <c r="F136" s="1" t="s">
        <v>483</v>
      </c>
      <c r="G136" s="1" t="s">
        <v>484</v>
      </c>
      <c r="H136" s="1" t="s">
        <v>485</v>
      </c>
      <c r="I136" s="1">
        <v>1</v>
      </c>
      <c r="J136" s="3">
        <v>16501</v>
      </c>
      <c r="K136" s="3">
        <v>15745</v>
      </c>
      <c r="L136" s="1">
        <v>0</v>
      </c>
      <c r="M136" s="4">
        <v>0</v>
      </c>
      <c r="N136" s="3">
        <v>756</v>
      </c>
      <c r="O136" s="4">
        <v>4.5999999999999999E-2</v>
      </c>
      <c r="P136" s="1" t="s">
        <v>2721</v>
      </c>
    </row>
    <row r="137" spans="1:16">
      <c r="A137" s="1" t="s">
        <v>15</v>
      </c>
      <c r="B137" s="1">
        <v>12</v>
      </c>
      <c r="C137" s="1" t="s">
        <v>1130</v>
      </c>
      <c r="D137" s="1" t="s">
        <v>504</v>
      </c>
      <c r="E137" s="2">
        <v>45992</v>
      </c>
      <c r="F137" s="1" t="s">
        <v>407</v>
      </c>
      <c r="G137" s="1" t="s">
        <v>505</v>
      </c>
      <c r="H137" s="1" t="s">
        <v>1131</v>
      </c>
      <c r="I137" s="1">
        <v>1</v>
      </c>
      <c r="J137" s="3">
        <v>54065</v>
      </c>
      <c r="K137" s="3">
        <v>51590</v>
      </c>
      <c r="L137" s="1">
        <v>0</v>
      </c>
      <c r="M137" s="4">
        <v>0</v>
      </c>
      <c r="N137" s="3">
        <v>2475</v>
      </c>
      <c r="O137" s="4">
        <v>4.5999999999999999E-2</v>
      </c>
      <c r="P137" s="1" t="s">
        <v>2721</v>
      </c>
    </row>
    <row r="138" spans="1:16">
      <c r="A138" s="1" t="s">
        <v>15</v>
      </c>
      <c r="B138" s="1">
        <v>12</v>
      </c>
      <c r="C138" s="1" t="s">
        <v>1132</v>
      </c>
      <c r="D138" s="1" t="s">
        <v>1133</v>
      </c>
      <c r="E138" s="2">
        <v>45992</v>
      </c>
      <c r="F138" s="1" t="s">
        <v>347</v>
      </c>
      <c r="G138" s="1" t="s">
        <v>1134</v>
      </c>
      <c r="H138" s="1" t="s">
        <v>1135</v>
      </c>
      <c r="I138" s="1">
        <v>1</v>
      </c>
      <c r="J138" s="3">
        <v>22790</v>
      </c>
      <c r="K138" s="3">
        <v>21747</v>
      </c>
      <c r="L138" s="1">
        <v>0</v>
      </c>
      <c r="M138" s="4">
        <v>0</v>
      </c>
      <c r="N138" s="3">
        <v>1043</v>
      </c>
      <c r="O138" s="4">
        <v>4.5999999999999999E-2</v>
      </c>
      <c r="P138" s="1" t="s">
        <v>2721</v>
      </c>
    </row>
    <row r="139" spans="1:16">
      <c r="A139" s="1" t="s">
        <v>15</v>
      </c>
      <c r="B139" s="1">
        <v>12</v>
      </c>
      <c r="C139" s="1" t="s">
        <v>1136</v>
      </c>
      <c r="D139" s="1" t="s">
        <v>1137</v>
      </c>
      <c r="E139" s="2">
        <v>45992</v>
      </c>
      <c r="F139" s="1" t="s">
        <v>58</v>
      </c>
      <c r="G139" s="1" t="s">
        <v>1138</v>
      </c>
      <c r="H139" s="1" t="s">
        <v>1139</v>
      </c>
      <c r="I139" s="1">
        <v>1</v>
      </c>
      <c r="J139" s="3">
        <v>14450</v>
      </c>
      <c r="K139" s="3">
        <v>13789</v>
      </c>
      <c r="L139" s="1">
        <v>0</v>
      </c>
      <c r="M139" s="4">
        <v>0</v>
      </c>
      <c r="N139" s="1">
        <v>661</v>
      </c>
      <c r="O139" s="4">
        <v>4.5999999999999999E-2</v>
      </c>
      <c r="P139" s="1" t="s">
        <v>2721</v>
      </c>
    </row>
    <row r="140" spans="1:16">
      <c r="A140" s="1" t="s">
        <v>15</v>
      </c>
      <c r="B140" s="1">
        <v>12</v>
      </c>
      <c r="C140" s="1" t="s">
        <v>1140</v>
      </c>
      <c r="D140" s="1" t="s">
        <v>789</v>
      </c>
      <c r="E140" s="2">
        <v>45992</v>
      </c>
      <c r="F140" s="1" t="s">
        <v>53</v>
      </c>
      <c r="G140" s="1" t="s">
        <v>790</v>
      </c>
      <c r="H140" s="1" t="s">
        <v>1141</v>
      </c>
      <c r="I140" s="1">
        <v>1</v>
      </c>
      <c r="J140" s="3">
        <v>8924</v>
      </c>
      <c r="K140" s="3">
        <v>8515</v>
      </c>
      <c r="L140" s="1">
        <v>0</v>
      </c>
      <c r="M140" s="4">
        <v>0</v>
      </c>
      <c r="N140" s="3">
        <v>409</v>
      </c>
      <c r="O140" s="4">
        <v>4.5999999999999999E-2</v>
      </c>
      <c r="P140" s="1" t="s">
        <v>2721</v>
      </c>
    </row>
    <row r="141" spans="1:16">
      <c r="A141" s="1" t="s">
        <v>15</v>
      </c>
      <c r="B141" s="1">
        <v>12</v>
      </c>
      <c r="C141" s="1" t="s">
        <v>1142</v>
      </c>
      <c r="D141" s="1" t="s">
        <v>108</v>
      </c>
      <c r="E141" s="2">
        <v>45992</v>
      </c>
      <c r="F141" s="1" t="s">
        <v>96</v>
      </c>
      <c r="G141" s="1" t="s">
        <v>109</v>
      </c>
      <c r="H141" s="1" t="s">
        <v>110</v>
      </c>
      <c r="I141" s="1">
        <v>1</v>
      </c>
      <c r="J141" s="3">
        <v>10762</v>
      </c>
      <c r="K141" s="3">
        <v>10269</v>
      </c>
      <c r="L141" s="1">
        <v>0</v>
      </c>
      <c r="M141" s="4">
        <v>0</v>
      </c>
      <c r="N141" s="3">
        <v>493</v>
      </c>
      <c r="O141" s="4">
        <v>4.5999999999999999E-2</v>
      </c>
      <c r="P141" s="1" t="s">
        <v>2721</v>
      </c>
    </row>
    <row r="142" spans="1:16">
      <c r="A142" s="1" t="s">
        <v>15</v>
      </c>
      <c r="B142" s="1">
        <v>12</v>
      </c>
      <c r="C142" s="1" t="s">
        <v>1142</v>
      </c>
      <c r="D142" s="1" t="s">
        <v>1143</v>
      </c>
      <c r="E142" s="2">
        <v>45992</v>
      </c>
      <c r="F142" s="1" t="s">
        <v>96</v>
      </c>
      <c r="G142" s="1" t="s">
        <v>1144</v>
      </c>
      <c r="H142" s="1" t="s">
        <v>1145</v>
      </c>
      <c r="I142" s="1">
        <v>3</v>
      </c>
      <c r="J142" s="3">
        <v>43138</v>
      </c>
      <c r="K142" s="3">
        <v>41163</v>
      </c>
      <c r="L142" s="1">
        <v>0</v>
      </c>
      <c r="M142" s="4">
        <v>0</v>
      </c>
      <c r="N142" s="3">
        <v>1975</v>
      </c>
      <c r="O142" s="4">
        <v>4.5999999999999999E-2</v>
      </c>
      <c r="P142" s="1" t="s">
        <v>2721</v>
      </c>
    </row>
    <row r="143" spans="1:16">
      <c r="A143" s="1" t="s">
        <v>15</v>
      </c>
      <c r="B143" s="1">
        <v>12</v>
      </c>
      <c r="C143" s="1" t="s">
        <v>1146</v>
      </c>
      <c r="D143" s="1" t="s">
        <v>1147</v>
      </c>
      <c r="E143" s="2">
        <v>45992</v>
      </c>
      <c r="F143" s="1" t="s">
        <v>126</v>
      </c>
      <c r="G143" s="1" t="s">
        <v>1148</v>
      </c>
      <c r="H143" s="1" t="s">
        <v>1149</v>
      </c>
      <c r="I143" s="1">
        <v>2</v>
      </c>
      <c r="J143" s="3">
        <v>27524</v>
      </c>
      <c r="K143" s="3">
        <v>26264</v>
      </c>
      <c r="L143" s="1">
        <v>0</v>
      </c>
      <c r="M143" s="4">
        <v>0</v>
      </c>
      <c r="N143" s="3">
        <v>1260</v>
      </c>
      <c r="O143" s="4">
        <v>4.5999999999999999E-2</v>
      </c>
      <c r="P143" s="1" t="s">
        <v>2721</v>
      </c>
    </row>
    <row r="144" spans="1:16">
      <c r="A144" s="1" t="s">
        <v>15</v>
      </c>
      <c r="B144" s="1">
        <v>12</v>
      </c>
      <c r="C144" s="1" t="s">
        <v>1150</v>
      </c>
      <c r="D144" s="1" t="s">
        <v>468</v>
      </c>
      <c r="E144" s="2">
        <v>45992</v>
      </c>
      <c r="F144" s="1" t="s">
        <v>469</v>
      </c>
      <c r="G144" s="1" t="s">
        <v>470</v>
      </c>
      <c r="H144" s="1" t="s">
        <v>471</v>
      </c>
      <c r="I144" s="1">
        <v>1</v>
      </c>
      <c r="J144" s="3">
        <v>24477</v>
      </c>
      <c r="K144" s="3">
        <v>23356</v>
      </c>
      <c r="L144" s="1">
        <v>0</v>
      </c>
      <c r="M144" s="4">
        <v>0</v>
      </c>
      <c r="N144" s="3">
        <v>1121</v>
      </c>
      <c r="O144" s="4">
        <v>4.5999999999999999E-2</v>
      </c>
      <c r="P144" s="1" t="s">
        <v>2721</v>
      </c>
    </row>
    <row r="145" spans="1:16">
      <c r="A145" s="1" t="s">
        <v>15</v>
      </c>
      <c r="B145" s="1">
        <v>12</v>
      </c>
      <c r="C145" s="1" t="s">
        <v>1151</v>
      </c>
      <c r="D145" s="1" t="s">
        <v>169</v>
      </c>
      <c r="E145" s="2">
        <v>45992</v>
      </c>
      <c r="F145" s="1" t="s">
        <v>53</v>
      </c>
      <c r="G145" s="1" t="s">
        <v>170</v>
      </c>
      <c r="H145" s="1" t="s">
        <v>171</v>
      </c>
      <c r="I145" s="1">
        <v>1</v>
      </c>
      <c r="J145" s="3">
        <v>14332</v>
      </c>
      <c r="K145" s="3">
        <v>13676</v>
      </c>
      <c r="L145" s="1">
        <v>0</v>
      </c>
      <c r="M145" s="4">
        <v>0</v>
      </c>
      <c r="N145" s="3">
        <v>656</v>
      </c>
      <c r="O145" s="4">
        <v>4.5999999999999999E-2</v>
      </c>
      <c r="P145" s="1" t="s">
        <v>2721</v>
      </c>
    </row>
    <row r="146" spans="1:16">
      <c r="A146" s="1" t="s">
        <v>15</v>
      </c>
      <c r="B146" s="1">
        <v>12</v>
      </c>
      <c r="C146" s="1" t="s">
        <v>1152</v>
      </c>
      <c r="D146" s="1" t="s">
        <v>1153</v>
      </c>
      <c r="E146" s="2">
        <v>45992</v>
      </c>
      <c r="F146" s="1" t="s">
        <v>235</v>
      </c>
      <c r="G146" s="1" t="s">
        <v>1154</v>
      </c>
      <c r="H146" s="1" t="s">
        <v>1155</v>
      </c>
      <c r="I146" s="1">
        <v>3</v>
      </c>
      <c r="J146" s="3">
        <v>42761</v>
      </c>
      <c r="K146" s="3">
        <v>40803</v>
      </c>
      <c r="L146" s="1">
        <v>0</v>
      </c>
      <c r="M146" s="4">
        <v>0</v>
      </c>
      <c r="N146" s="3">
        <v>1958</v>
      </c>
      <c r="O146" s="4">
        <v>4.5999999999999999E-2</v>
      </c>
      <c r="P146" s="1" t="s">
        <v>2721</v>
      </c>
    </row>
    <row r="147" spans="1:16">
      <c r="A147" s="1" t="s">
        <v>15</v>
      </c>
      <c r="B147" s="1">
        <v>12</v>
      </c>
      <c r="C147" s="1" t="s">
        <v>1156</v>
      </c>
      <c r="D147" s="1" t="s">
        <v>72</v>
      </c>
      <c r="E147" s="2">
        <v>45992</v>
      </c>
      <c r="F147" s="1" t="s">
        <v>63</v>
      </c>
      <c r="G147" s="1" t="s">
        <v>73</v>
      </c>
      <c r="H147" s="1" t="s">
        <v>74</v>
      </c>
      <c r="I147" s="1">
        <v>1</v>
      </c>
      <c r="J147" s="3">
        <v>10456</v>
      </c>
      <c r="K147" s="3">
        <v>9978</v>
      </c>
      <c r="L147" s="1">
        <v>0</v>
      </c>
      <c r="M147" s="4">
        <v>0</v>
      </c>
      <c r="N147" s="3">
        <v>478</v>
      </c>
      <c r="O147" s="4">
        <v>4.5999999999999999E-2</v>
      </c>
      <c r="P147" s="1" t="s">
        <v>2721</v>
      </c>
    </row>
    <row r="148" spans="1:16">
      <c r="A148" s="1" t="s">
        <v>15</v>
      </c>
      <c r="B148" s="1">
        <v>12</v>
      </c>
      <c r="C148" s="1" t="s">
        <v>1157</v>
      </c>
      <c r="D148" s="1" t="s">
        <v>965</v>
      </c>
      <c r="E148" s="2">
        <v>45992</v>
      </c>
      <c r="F148" s="1" t="s">
        <v>53</v>
      </c>
      <c r="G148" s="1" t="s">
        <v>966</v>
      </c>
      <c r="H148" s="1" t="s">
        <v>1158</v>
      </c>
      <c r="I148" s="1">
        <v>1</v>
      </c>
      <c r="J148" s="3">
        <v>13882</v>
      </c>
      <c r="K148" s="3">
        <v>13246</v>
      </c>
      <c r="L148" s="1">
        <v>0</v>
      </c>
      <c r="M148" s="4">
        <v>0</v>
      </c>
      <c r="N148" s="1">
        <v>636</v>
      </c>
      <c r="O148" s="4">
        <v>4.5999999999999999E-2</v>
      </c>
      <c r="P148" s="1" t="s">
        <v>2721</v>
      </c>
    </row>
    <row r="149" spans="1:16">
      <c r="A149" s="1" t="s">
        <v>15</v>
      </c>
      <c r="B149" s="1">
        <v>12</v>
      </c>
      <c r="C149" s="1" t="s">
        <v>1159</v>
      </c>
      <c r="D149" s="1" t="s">
        <v>406</v>
      </c>
      <c r="E149" s="2">
        <v>45992</v>
      </c>
      <c r="F149" s="1" t="s">
        <v>407</v>
      </c>
      <c r="G149" s="1" t="s">
        <v>408</v>
      </c>
      <c r="H149" s="1" t="s">
        <v>1160</v>
      </c>
      <c r="I149" s="1">
        <v>1</v>
      </c>
      <c r="J149" s="3">
        <v>12189</v>
      </c>
      <c r="K149" s="3">
        <v>11631</v>
      </c>
      <c r="L149" s="1">
        <v>0</v>
      </c>
      <c r="M149" s="4">
        <v>0</v>
      </c>
      <c r="N149" s="1">
        <v>558</v>
      </c>
      <c r="O149" s="4">
        <v>4.5999999999999999E-2</v>
      </c>
      <c r="P149" s="1" t="s">
        <v>2721</v>
      </c>
    </row>
    <row r="150" spans="1:16">
      <c r="A150" s="1" t="s">
        <v>15</v>
      </c>
      <c r="B150" s="1">
        <v>12</v>
      </c>
      <c r="C150" s="1" t="s">
        <v>1161</v>
      </c>
      <c r="D150" s="1" t="s">
        <v>367</v>
      </c>
      <c r="E150" s="2">
        <v>45992</v>
      </c>
      <c r="F150" s="1" t="s">
        <v>368</v>
      </c>
      <c r="G150" s="1" t="s">
        <v>369</v>
      </c>
      <c r="H150" s="1" t="s">
        <v>1162</v>
      </c>
      <c r="I150" s="1">
        <v>1</v>
      </c>
      <c r="J150" s="3">
        <v>14470</v>
      </c>
      <c r="K150" s="3">
        <v>13807</v>
      </c>
      <c r="L150" s="1">
        <v>0</v>
      </c>
      <c r="M150" s="4">
        <v>0</v>
      </c>
      <c r="N150" s="1">
        <v>663</v>
      </c>
      <c r="O150" s="4">
        <v>4.5999999999999999E-2</v>
      </c>
      <c r="P150" s="1" t="s">
        <v>2721</v>
      </c>
    </row>
    <row r="151" spans="1:16">
      <c r="A151" s="1" t="s">
        <v>15</v>
      </c>
      <c r="B151" s="1">
        <v>12</v>
      </c>
      <c r="C151" s="1" t="s">
        <v>1163</v>
      </c>
      <c r="D151" s="1" t="s">
        <v>989</v>
      </c>
      <c r="E151" s="2">
        <v>45992</v>
      </c>
      <c r="F151" s="1" t="s">
        <v>48</v>
      </c>
      <c r="G151" s="1" t="s">
        <v>990</v>
      </c>
      <c r="H151" s="1" t="s">
        <v>1164</v>
      </c>
      <c r="I151" s="1">
        <v>1</v>
      </c>
      <c r="J151" s="3">
        <v>9315</v>
      </c>
      <c r="K151" s="3">
        <v>8888</v>
      </c>
      <c r="L151" s="1">
        <v>0</v>
      </c>
      <c r="M151" s="4">
        <v>0</v>
      </c>
      <c r="N151" s="1">
        <v>427</v>
      </c>
      <c r="O151" s="4">
        <v>4.5999999999999999E-2</v>
      </c>
      <c r="P151" s="1" t="s">
        <v>2721</v>
      </c>
    </row>
    <row r="152" spans="1:16">
      <c r="A152" s="1" t="s">
        <v>15</v>
      </c>
      <c r="B152" s="1">
        <v>12</v>
      </c>
      <c r="C152" s="1" t="s">
        <v>1165</v>
      </c>
      <c r="D152" s="1" t="s">
        <v>244</v>
      </c>
      <c r="E152" s="2">
        <v>45992</v>
      </c>
      <c r="F152" s="1" t="s">
        <v>53</v>
      </c>
      <c r="G152" s="1" t="s">
        <v>245</v>
      </c>
      <c r="H152" s="1" t="s">
        <v>1166</v>
      </c>
      <c r="I152" s="1">
        <v>1</v>
      </c>
      <c r="J152" s="3">
        <v>8272</v>
      </c>
      <c r="K152" s="3">
        <v>7893</v>
      </c>
      <c r="L152" s="1">
        <v>0</v>
      </c>
      <c r="M152" s="4">
        <v>0</v>
      </c>
      <c r="N152" s="1">
        <v>379</v>
      </c>
      <c r="O152" s="4">
        <v>4.5999999999999999E-2</v>
      </c>
      <c r="P152" s="1" t="s">
        <v>2721</v>
      </c>
    </row>
    <row r="153" spans="1:16">
      <c r="A153" s="1" t="s">
        <v>15</v>
      </c>
      <c r="B153" s="1">
        <v>12</v>
      </c>
      <c r="C153" s="1" t="s">
        <v>1167</v>
      </c>
      <c r="D153" s="1" t="s">
        <v>1168</v>
      </c>
      <c r="E153" s="2">
        <v>45992</v>
      </c>
      <c r="F153" s="1" t="s">
        <v>53</v>
      </c>
      <c r="G153" s="1" t="s">
        <v>1169</v>
      </c>
      <c r="H153" s="1" t="s">
        <v>1170</v>
      </c>
      <c r="I153" s="1">
        <v>1</v>
      </c>
      <c r="J153" s="3">
        <v>13431</v>
      </c>
      <c r="K153" s="3">
        <v>12816</v>
      </c>
      <c r="L153" s="1">
        <v>0</v>
      </c>
      <c r="M153" s="4">
        <v>0</v>
      </c>
      <c r="N153" s="1">
        <v>615</v>
      </c>
      <c r="O153" s="4">
        <v>4.5999999999999999E-2</v>
      </c>
      <c r="P153" s="1" t="s">
        <v>2721</v>
      </c>
    </row>
    <row r="154" spans="1:16">
      <c r="A154" s="1" t="s">
        <v>15</v>
      </c>
      <c r="B154" s="1">
        <v>12</v>
      </c>
      <c r="C154" s="1" t="s">
        <v>1171</v>
      </c>
      <c r="D154" s="1" t="s">
        <v>86</v>
      </c>
      <c r="E154" s="2">
        <v>45992</v>
      </c>
      <c r="F154" s="1" t="s">
        <v>53</v>
      </c>
      <c r="G154" s="1" t="s">
        <v>87</v>
      </c>
      <c r="H154" s="1" t="s">
        <v>88</v>
      </c>
      <c r="I154" s="1">
        <v>1</v>
      </c>
      <c r="J154" s="3">
        <v>14956</v>
      </c>
      <c r="K154" s="3">
        <v>14272</v>
      </c>
      <c r="L154" s="1">
        <v>0</v>
      </c>
      <c r="M154" s="4">
        <v>0</v>
      </c>
      <c r="N154" s="1">
        <v>684</v>
      </c>
      <c r="O154" s="4">
        <v>4.5999999999999999E-2</v>
      </c>
      <c r="P154" s="1" t="s">
        <v>2721</v>
      </c>
    </row>
    <row r="155" spans="1:16">
      <c r="A155" s="1" t="s">
        <v>15</v>
      </c>
      <c r="B155" s="1">
        <v>12</v>
      </c>
      <c r="C155" s="1" t="s">
        <v>1172</v>
      </c>
      <c r="D155" s="1" t="s">
        <v>1173</v>
      </c>
      <c r="E155" s="2">
        <v>45992</v>
      </c>
      <c r="F155" s="1" t="s">
        <v>1075</v>
      </c>
      <c r="G155" s="1" t="s">
        <v>1174</v>
      </c>
      <c r="H155" s="1" t="s">
        <v>1175</v>
      </c>
      <c r="I155" s="1">
        <v>1</v>
      </c>
      <c r="J155" s="3">
        <v>14379</v>
      </c>
      <c r="K155" s="3">
        <v>13721</v>
      </c>
      <c r="L155" s="1">
        <v>0</v>
      </c>
      <c r="M155" s="4">
        <v>0</v>
      </c>
      <c r="N155" s="1">
        <v>658</v>
      </c>
      <c r="O155" s="4">
        <v>4.5999999999999999E-2</v>
      </c>
      <c r="P155" s="1" t="s">
        <v>2721</v>
      </c>
    </row>
    <row r="156" spans="1:16">
      <c r="A156" s="1" t="s">
        <v>15</v>
      </c>
      <c r="B156" s="1">
        <v>12</v>
      </c>
      <c r="C156" s="1" t="s">
        <v>1176</v>
      </c>
      <c r="D156" s="1" t="s">
        <v>1177</v>
      </c>
      <c r="E156" s="2">
        <v>45992</v>
      </c>
      <c r="F156" s="1" t="s">
        <v>251</v>
      </c>
      <c r="G156" s="1" t="s">
        <v>1178</v>
      </c>
      <c r="H156" s="1" t="s">
        <v>1179</v>
      </c>
      <c r="I156" s="1">
        <v>1</v>
      </c>
      <c r="J156" s="3">
        <v>21429</v>
      </c>
      <c r="K156" s="3">
        <v>20448</v>
      </c>
      <c r="L156" s="1">
        <v>0</v>
      </c>
      <c r="M156" s="4">
        <v>0</v>
      </c>
      <c r="N156" s="1">
        <v>981</v>
      </c>
      <c r="O156" s="4">
        <v>4.5999999999999999E-2</v>
      </c>
      <c r="P156" s="1" t="s">
        <v>2721</v>
      </c>
    </row>
    <row r="157" spans="1:16">
      <c r="A157" s="1" t="s">
        <v>15</v>
      </c>
      <c r="B157" s="1">
        <v>12</v>
      </c>
      <c r="C157" s="1" t="s">
        <v>1180</v>
      </c>
      <c r="D157" s="1" t="s">
        <v>386</v>
      </c>
      <c r="E157" s="2">
        <v>45992</v>
      </c>
      <c r="F157" s="1" t="s">
        <v>368</v>
      </c>
      <c r="G157" s="1" t="s">
        <v>387</v>
      </c>
      <c r="H157" s="1" t="s">
        <v>388</v>
      </c>
      <c r="I157" s="1">
        <v>2</v>
      </c>
      <c r="J157" s="3">
        <v>17906</v>
      </c>
      <c r="K157" s="3">
        <v>17087</v>
      </c>
      <c r="L157" s="1">
        <v>0</v>
      </c>
      <c r="M157" s="4">
        <v>0</v>
      </c>
      <c r="N157" s="3">
        <v>819</v>
      </c>
      <c r="O157" s="4">
        <v>4.5999999999999999E-2</v>
      </c>
      <c r="P157" s="1" t="s">
        <v>2721</v>
      </c>
    </row>
    <row r="158" spans="1:16">
      <c r="A158" s="1" t="s">
        <v>15</v>
      </c>
      <c r="B158" s="1">
        <v>12</v>
      </c>
      <c r="C158" s="1" t="s">
        <v>1180</v>
      </c>
      <c r="D158" s="1" t="s">
        <v>1181</v>
      </c>
      <c r="E158" s="2">
        <v>45992</v>
      </c>
      <c r="F158" s="1" t="s">
        <v>524</v>
      </c>
      <c r="G158" s="1" t="s">
        <v>1182</v>
      </c>
      <c r="H158" s="1" t="s">
        <v>1183</v>
      </c>
      <c r="I158" s="1">
        <v>1</v>
      </c>
      <c r="J158" s="3">
        <v>20121</v>
      </c>
      <c r="K158" s="3">
        <v>19200</v>
      </c>
      <c r="L158" s="1">
        <v>0</v>
      </c>
      <c r="M158" s="4">
        <v>0</v>
      </c>
      <c r="N158" s="1">
        <v>921</v>
      </c>
      <c r="O158" s="4">
        <v>4.5999999999999999E-2</v>
      </c>
      <c r="P158" s="1" t="s">
        <v>2721</v>
      </c>
    </row>
    <row r="159" spans="1:16">
      <c r="A159" s="1" t="s">
        <v>15</v>
      </c>
      <c r="B159" s="1">
        <v>12</v>
      </c>
      <c r="C159" s="1" t="s">
        <v>1180</v>
      </c>
      <c r="D159" s="1" t="s">
        <v>1184</v>
      </c>
      <c r="E159" s="2">
        <v>45992</v>
      </c>
      <c r="F159" s="1" t="s">
        <v>524</v>
      </c>
      <c r="G159" s="1" t="s">
        <v>1185</v>
      </c>
      <c r="H159" s="1" t="s">
        <v>1186</v>
      </c>
      <c r="I159" s="1">
        <v>1</v>
      </c>
      <c r="J159" s="3">
        <v>19912</v>
      </c>
      <c r="K159" s="3">
        <v>19000</v>
      </c>
      <c r="L159" s="1">
        <v>0</v>
      </c>
      <c r="M159" s="4">
        <v>0</v>
      </c>
      <c r="N159" s="3">
        <v>912</v>
      </c>
      <c r="O159" s="4">
        <v>4.5999999999999999E-2</v>
      </c>
      <c r="P159" s="1" t="s">
        <v>2721</v>
      </c>
    </row>
    <row r="160" spans="1:16">
      <c r="A160" s="1" t="s">
        <v>15</v>
      </c>
      <c r="B160" s="1">
        <v>12</v>
      </c>
      <c r="C160" s="1" t="s">
        <v>1180</v>
      </c>
      <c r="D160" s="1" t="s">
        <v>818</v>
      </c>
      <c r="E160" s="2">
        <v>45992</v>
      </c>
      <c r="F160" s="1" t="s">
        <v>235</v>
      </c>
      <c r="G160" s="1" t="s">
        <v>819</v>
      </c>
      <c r="H160" s="1" t="s">
        <v>1187</v>
      </c>
      <c r="I160" s="1">
        <v>2</v>
      </c>
      <c r="J160" s="3">
        <v>27131</v>
      </c>
      <c r="K160" s="3">
        <v>25889</v>
      </c>
      <c r="L160" s="1">
        <v>0</v>
      </c>
      <c r="M160" s="4">
        <v>0</v>
      </c>
      <c r="N160" s="3">
        <v>1242</v>
      </c>
      <c r="O160" s="4">
        <v>4.5999999999999999E-2</v>
      </c>
      <c r="P160" s="1" t="s">
        <v>2721</v>
      </c>
    </row>
    <row r="161" spans="1:16">
      <c r="A161" s="1" t="s">
        <v>15</v>
      </c>
      <c r="B161" s="1">
        <v>12</v>
      </c>
      <c r="C161" s="1" t="s">
        <v>1188</v>
      </c>
      <c r="D161" s="1" t="s">
        <v>238</v>
      </c>
      <c r="E161" s="2">
        <v>45992</v>
      </c>
      <c r="F161" s="1" t="s">
        <v>239</v>
      </c>
      <c r="G161" s="1" t="s">
        <v>240</v>
      </c>
      <c r="H161" s="1" t="s">
        <v>241</v>
      </c>
      <c r="I161" s="1">
        <v>1</v>
      </c>
      <c r="J161" s="3">
        <v>11305</v>
      </c>
      <c r="K161" s="3">
        <v>10787</v>
      </c>
      <c r="L161" s="1">
        <v>0</v>
      </c>
      <c r="M161" s="4">
        <v>0</v>
      </c>
      <c r="N161" s="3">
        <v>518</v>
      </c>
      <c r="O161" s="4">
        <v>4.5999999999999999E-2</v>
      </c>
      <c r="P161" s="1" t="s">
        <v>2721</v>
      </c>
    </row>
    <row r="162" spans="1:16">
      <c r="A162" s="1" t="s">
        <v>15</v>
      </c>
      <c r="B162" s="1">
        <v>12</v>
      </c>
      <c r="C162" s="1" t="s">
        <v>1188</v>
      </c>
      <c r="D162" s="1" t="s">
        <v>238</v>
      </c>
      <c r="E162" s="2">
        <v>45992</v>
      </c>
      <c r="F162" s="1" t="s">
        <v>239</v>
      </c>
      <c r="G162" s="1" t="s">
        <v>240</v>
      </c>
      <c r="H162" s="1" t="s">
        <v>242</v>
      </c>
      <c r="I162" s="1">
        <v>2</v>
      </c>
      <c r="J162" s="3">
        <v>22609</v>
      </c>
      <c r="K162" s="3">
        <v>21574</v>
      </c>
      <c r="L162" s="1">
        <v>0</v>
      </c>
      <c r="M162" s="4">
        <v>0</v>
      </c>
      <c r="N162" s="3">
        <v>1035</v>
      </c>
      <c r="O162" s="4">
        <v>4.5999999999999999E-2</v>
      </c>
      <c r="P162" s="1" t="s">
        <v>2721</v>
      </c>
    </row>
    <row r="163" spans="1:16">
      <c r="A163" s="1" t="s">
        <v>15</v>
      </c>
      <c r="B163" s="1">
        <v>12</v>
      </c>
      <c r="C163" s="1" t="s">
        <v>1189</v>
      </c>
      <c r="D163" s="1" t="s">
        <v>224</v>
      </c>
      <c r="E163" s="2">
        <v>45992</v>
      </c>
      <c r="F163" s="1" t="s">
        <v>96</v>
      </c>
      <c r="G163" s="1" t="s">
        <v>225</v>
      </c>
      <c r="H163" s="1" t="s">
        <v>896</v>
      </c>
      <c r="I163" s="1">
        <v>1</v>
      </c>
      <c r="J163" s="3">
        <v>12571</v>
      </c>
      <c r="K163" s="3">
        <v>11995</v>
      </c>
      <c r="L163" s="1">
        <v>0</v>
      </c>
      <c r="M163" s="4">
        <v>0</v>
      </c>
      <c r="N163" s="1">
        <v>576</v>
      </c>
      <c r="O163" s="4">
        <v>4.5999999999999999E-2</v>
      </c>
      <c r="P163" s="1" t="s">
        <v>2721</v>
      </c>
    </row>
    <row r="164" spans="1:16">
      <c r="A164" s="1" t="s">
        <v>15</v>
      </c>
      <c r="B164" s="1">
        <v>12</v>
      </c>
      <c r="C164" s="1" t="s">
        <v>1190</v>
      </c>
      <c r="D164" s="1" t="s">
        <v>1191</v>
      </c>
      <c r="E164" s="2">
        <v>45992</v>
      </c>
      <c r="F164" s="1" t="s">
        <v>570</v>
      </c>
      <c r="G164" s="1" t="s">
        <v>1192</v>
      </c>
      <c r="H164" s="1" t="s">
        <v>1193</v>
      </c>
      <c r="I164" s="1">
        <v>1</v>
      </c>
      <c r="J164" s="3">
        <v>16514</v>
      </c>
      <c r="K164" s="3">
        <v>15758</v>
      </c>
      <c r="L164" s="1">
        <v>0</v>
      </c>
      <c r="M164" s="4">
        <v>0</v>
      </c>
      <c r="N164" s="3">
        <v>756</v>
      </c>
      <c r="O164" s="4">
        <v>4.5999999999999999E-2</v>
      </c>
      <c r="P164" s="1" t="s">
        <v>2721</v>
      </c>
    </row>
    <row r="165" spans="1:16">
      <c r="A165" s="1" t="s">
        <v>15</v>
      </c>
      <c r="B165" s="1">
        <v>12</v>
      </c>
      <c r="C165" s="1" t="s">
        <v>1194</v>
      </c>
      <c r="D165" s="1" t="s">
        <v>1195</v>
      </c>
      <c r="E165" s="2">
        <v>45992</v>
      </c>
      <c r="F165" s="1" t="s">
        <v>892</v>
      </c>
      <c r="G165" s="1" t="s">
        <v>1196</v>
      </c>
      <c r="H165" s="1" t="s">
        <v>1197</v>
      </c>
      <c r="I165" s="1">
        <v>1</v>
      </c>
      <c r="J165" s="3">
        <v>73725</v>
      </c>
      <c r="K165" s="3">
        <v>70350</v>
      </c>
      <c r="L165" s="1">
        <v>0</v>
      </c>
      <c r="M165" s="4">
        <v>0</v>
      </c>
      <c r="N165" s="3">
        <v>3375</v>
      </c>
      <c r="O165" s="4">
        <v>4.5999999999999999E-2</v>
      </c>
      <c r="P165" s="1" t="s">
        <v>2721</v>
      </c>
    </row>
    <row r="166" spans="1:16">
      <c r="A166" s="1" t="s">
        <v>15</v>
      </c>
      <c r="B166" s="1">
        <v>12</v>
      </c>
      <c r="C166" s="1" t="s">
        <v>1198</v>
      </c>
      <c r="D166" s="1" t="s">
        <v>1199</v>
      </c>
      <c r="E166" s="2">
        <v>45992</v>
      </c>
      <c r="F166" s="1" t="s">
        <v>1200</v>
      </c>
      <c r="G166" s="1" t="s">
        <v>1201</v>
      </c>
      <c r="H166" s="1" t="s">
        <v>1202</v>
      </c>
      <c r="I166" s="1">
        <v>1</v>
      </c>
      <c r="J166" s="3">
        <v>27033</v>
      </c>
      <c r="K166" s="3">
        <v>25795</v>
      </c>
      <c r="L166" s="1">
        <v>0</v>
      </c>
      <c r="M166" s="4">
        <v>0</v>
      </c>
      <c r="N166" s="3">
        <v>1238</v>
      </c>
      <c r="O166" s="4">
        <v>4.5999999999999999E-2</v>
      </c>
      <c r="P166" s="1" t="s">
        <v>2721</v>
      </c>
    </row>
    <row r="167" spans="1:16">
      <c r="A167" s="1" t="s">
        <v>15</v>
      </c>
      <c r="B167" s="1">
        <v>12</v>
      </c>
      <c r="C167" s="1" t="s">
        <v>1203</v>
      </c>
      <c r="D167" s="1" t="s">
        <v>1204</v>
      </c>
      <c r="E167" s="2">
        <v>45992</v>
      </c>
      <c r="F167" s="1" t="s">
        <v>53</v>
      </c>
      <c r="G167" s="1" t="s">
        <v>1205</v>
      </c>
      <c r="H167" s="1" t="s">
        <v>1206</v>
      </c>
      <c r="I167" s="1">
        <v>1</v>
      </c>
      <c r="J167" s="3">
        <v>8924</v>
      </c>
      <c r="K167" s="3">
        <v>8515</v>
      </c>
      <c r="L167" s="1">
        <v>0</v>
      </c>
      <c r="M167" s="4">
        <v>0</v>
      </c>
      <c r="N167" s="3">
        <v>409</v>
      </c>
      <c r="O167" s="4">
        <v>4.5999999999999999E-2</v>
      </c>
      <c r="P167" s="1" t="s">
        <v>2721</v>
      </c>
    </row>
    <row r="168" spans="1:16">
      <c r="A168" s="1" t="s">
        <v>15</v>
      </c>
      <c r="B168" s="1">
        <v>12</v>
      </c>
      <c r="C168" s="1" t="s">
        <v>1207</v>
      </c>
      <c r="D168" s="1" t="s">
        <v>1208</v>
      </c>
      <c r="E168" s="2">
        <v>45992</v>
      </c>
      <c r="F168" s="1" t="s">
        <v>646</v>
      </c>
      <c r="G168" s="1" t="s">
        <v>1209</v>
      </c>
      <c r="H168" s="1" t="s">
        <v>1210</v>
      </c>
      <c r="I168" s="1">
        <v>1</v>
      </c>
      <c r="J168" s="3">
        <v>131722</v>
      </c>
      <c r="K168" s="3">
        <v>125692</v>
      </c>
      <c r="L168" s="3">
        <v>0</v>
      </c>
      <c r="M168" s="4">
        <v>0</v>
      </c>
      <c r="N168" s="3">
        <v>6030</v>
      </c>
      <c r="O168" s="4">
        <v>4.5999999999999999E-2</v>
      </c>
      <c r="P168" s="1" t="s">
        <v>2721</v>
      </c>
    </row>
    <row r="169" spans="1:16">
      <c r="A169" s="1" t="s">
        <v>15</v>
      </c>
      <c r="B169" s="1">
        <v>12</v>
      </c>
      <c r="C169" s="1" t="s">
        <v>1211</v>
      </c>
      <c r="D169" s="1" t="s">
        <v>1191</v>
      </c>
      <c r="E169" s="2">
        <v>45992</v>
      </c>
      <c r="F169" s="1" t="s">
        <v>570</v>
      </c>
      <c r="G169" s="1" t="s">
        <v>1192</v>
      </c>
      <c r="H169" s="1" t="s">
        <v>1193</v>
      </c>
      <c r="I169" s="1">
        <v>1</v>
      </c>
      <c r="J169" s="3">
        <v>16514</v>
      </c>
      <c r="K169" s="3">
        <v>15758</v>
      </c>
      <c r="L169" s="3">
        <v>0</v>
      </c>
      <c r="M169" s="4">
        <v>0</v>
      </c>
      <c r="N169" s="3">
        <v>756</v>
      </c>
      <c r="O169" s="4">
        <v>4.5999999999999999E-2</v>
      </c>
      <c r="P169" s="1" t="s">
        <v>2721</v>
      </c>
    </row>
    <row r="170" spans="1:16">
      <c r="A170" s="1" t="s">
        <v>15</v>
      </c>
      <c r="B170" s="1">
        <v>12</v>
      </c>
      <c r="C170" s="1" t="s">
        <v>1212</v>
      </c>
      <c r="D170" s="1" t="s">
        <v>325</v>
      </c>
      <c r="E170" s="2">
        <v>45992</v>
      </c>
      <c r="F170" s="1" t="s">
        <v>256</v>
      </c>
      <c r="G170" s="1" t="s">
        <v>326</v>
      </c>
      <c r="H170" s="1" t="s">
        <v>1213</v>
      </c>
      <c r="I170" s="1">
        <v>1</v>
      </c>
      <c r="J170" s="3">
        <v>26246</v>
      </c>
      <c r="K170" s="3">
        <v>25045</v>
      </c>
      <c r="L170" s="3">
        <v>0</v>
      </c>
      <c r="M170" s="4">
        <v>0</v>
      </c>
      <c r="N170" s="3">
        <v>1201</v>
      </c>
      <c r="O170" s="4">
        <v>4.5999999999999999E-2</v>
      </c>
      <c r="P170" s="1" t="s">
        <v>2721</v>
      </c>
    </row>
    <row r="171" spans="1:16">
      <c r="A171" s="1" t="s">
        <v>15</v>
      </c>
      <c r="B171" s="1">
        <v>12</v>
      </c>
      <c r="C171" s="1" t="s">
        <v>1214</v>
      </c>
      <c r="D171" s="1" t="s">
        <v>797</v>
      </c>
      <c r="E171" s="2">
        <v>45992</v>
      </c>
      <c r="F171" s="1" t="s">
        <v>798</v>
      </c>
      <c r="G171" s="1" t="s">
        <v>799</v>
      </c>
      <c r="H171" s="1" t="s">
        <v>832</v>
      </c>
      <c r="I171" s="1">
        <v>1</v>
      </c>
      <c r="J171" s="3">
        <v>13271</v>
      </c>
      <c r="K171" s="3">
        <v>12663</v>
      </c>
      <c r="L171" s="3">
        <v>0</v>
      </c>
      <c r="M171" s="4">
        <v>0</v>
      </c>
      <c r="N171" s="3">
        <v>608</v>
      </c>
      <c r="O171" s="4">
        <v>4.5999999999999999E-2</v>
      </c>
      <c r="P171" s="1" t="s">
        <v>2721</v>
      </c>
    </row>
    <row r="172" spans="1:16">
      <c r="A172" s="1" t="s">
        <v>15</v>
      </c>
      <c r="B172" s="1">
        <v>12</v>
      </c>
      <c r="C172" s="1" t="s">
        <v>1215</v>
      </c>
      <c r="D172" s="1" t="s">
        <v>341</v>
      </c>
      <c r="E172" s="2">
        <v>45992</v>
      </c>
      <c r="F172" s="1" t="s">
        <v>53</v>
      </c>
      <c r="G172" s="1" t="s">
        <v>342</v>
      </c>
      <c r="H172" s="1" t="s">
        <v>343</v>
      </c>
      <c r="I172" s="1">
        <v>1</v>
      </c>
      <c r="J172" s="3">
        <v>16135</v>
      </c>
      <c r="K172" s="3">
        <v>15396</v>
      </c>
      <c r="L172" s="3">
        <v>0</v>
      </c>
      <c r="M172" s="4">
        <v>0</v>
      </c>
      <c r="N172" s="3">
        <v>739</v>
      </c>
      <c r="O172" s="4">
        <v>4.5999999999999999E-2</v>
      </c>
      <c r="P172" s="1" t="s">
        <v>2721</v>
      </c>
    </row>
    <row r="173" spans="1:16">
      <c r="A173" s="1" t="s">
        <v>15</v>
      </c>
      <c r="B173" s="1">
        <v>12</v>
      </c>
      <c r="C173" s="1" t="s">
        <v>1216</v>
      </c>
      <c r="D173" s="1" t="s">
        <v>228</v>
      </c>
      <c r="E173" s="2">
        <v>45992</v>
      </c>
      <c r="F173" s="1" t="s">
        <v>53</v>
      </c>
      <c r="G173" s="1" t="s">
        <v>229</v>
      </c>
      <c r="H173" s="1" t="s">
        <v>230</v>
      </c>
      <c r="I173" s="1">
        <v>1</v>
      </c>
      <c r="J173" s="3">
        <v>9825</v>
      </c>
      <c r="K173" s="3">
        <v>9375</v>
      </c>
      <c r="L173" s="3">
        <v>0</v>
      </c>
      <c r="M173" s="4">
        <v>0</v>
      </c>
      <c r="N173" s="3">
        <v>450</v>
      </c>
      <c r="O173" s="4">
        <v>4.5999999999999999E-2</v>
      </c>
      <c r="P173" s="1" t="s">
        <v>2721</v>
      </c>
    </row>
    <row r="174" spans="1:16">
      <c r="A174" s="1" t="s">
        <v>15</v>
      </c>
      <c r="B174" s="1">
        <v>12</v>
      </c>
      <c r="C174" s="1" t="s">
        <v>1217</v>
      </c>
      <c r="D174" s="1" t="s">
        <v>52</v>
      </c>
      <c r="E174" s="2">
        <v>45992</v>
      </c>
      <c r="F174" s="1" t="s">
        <v>53</v>
      </c>
      <c r="G174" s="1" t="s">
        <v>54</v>
      </c>
      <c r="H174" s="1" t="s">
        <v>248</v>
      </c>
      <c r="I174" s="1">
        <v>1</v>
      </c>
      <c r="J174" s="3">
        <v>16135</v>
      </c>
      <c r="K174" s="3">
        <v>15396</v>
      </c>
      <c r="L174" s="3">
        <v>0</v>
      </c>
      <c r="M174" s="4">
        <v>0</v>
      </c>
      <c r="N174" s="3">
        <v>739</v>
      </c>
      <c r="O174" s="4">
        <v>4.5999999999999999E-2</v>
      </c>
      <c r="P174" s="1" t="s">
        <v>2721</v>
      </c>
    </row>
    <row r="175" spans="1:16">
      <c r="A175" s="1" t="s">
        <v>15</v>
      </c>
      <c r="B175" s="1">
        <v>12</v>
      </c>
      <c r="C175" s="1" t="s">
        <v>1218</v>
      </c>
      <c r="D175" s="1" t="s">
        <v>1219</v>
      </c>
      <c r="E175" s="2">
        <v>45992</v>
      </c>
      <c r="F175" s="1" t="s">
        <v>256</v>
      </c>
      <c r="G175" s="1" t="s">
        <v>1220</v>
      </c>
      <c r="H175" s="1" t="s">
        <v>1221</v>
      </c>
      <c r="I175" s="1">
        <v>1</v>
      </c>
      <c r="J175" s="3">
        <v>11452</v>
      </c>
      <c r="K175" s="3">
        <v>10928</v>
      </c>
      <c r="L175" s="3">
        <v>0</v>
      </c>
      <c r="M175" s="4">
        <v>0</v>
      </c>
      <c r="N175" s="3">
        <v>524</v>
      </c>
      <c r="O175" s="4">
        <v>4.5999999999999999E-2</v>
      </c>
      <c r="P175" s="1" t="s">
        <v>2721</v>
      </c>
    </row>
    <row r="176" spans="1:16">
      <c r="A176" s="1" t="s">
        <v>15</v>
      </c>
      <c r="B176" s="1">
        <v>12</v>
      </c>
      <c r="C176" s="1" t="s">
        <v>1222</v>
      </c>
      <c r="D176" s="1" t="s">
        <v>221</v>
      </c>
      <c r="E176" s="2">
        <v>45992</v>
      </c>
      <c r="F176" s="1" t="s">
        <v>96</v>
      </c>
      <c r="G176" s="1" t="s">
        <v>222</v>
      </c>
      <c r="H176" s="1" t="s">
        <v>1223</v>
      </c>
      <c r="I176" s="1">
        <v>1</v>
      </c>
      <c r="J176" s="3">
        <v>12571</v>
      </c>
      <c r="K176" s="3">
        <v>11995</v>
      </c>
      <c r="L176" s="3">
        <v>0</v>
      </c>
      <c r="M176" s="4">
        <v>0</v>
      </c>
      <c r="N176" s="3">
        <v>576</v>
      </c>
      <c r="O176" s="4">
        <v>4.5999999999999999E-2</v>
      </c>
      <c r="P176" s="1" t="s">
        <v>2721</v>
      </c>
    </row>
    <row r="177" spans="1:16">
      <c r="A177" s="1" t="s">
        <v>15</v>
      </c>
      <c r="B177" s="1">
        <v>12</v>
      </c>
      <c r="C177" s="1" t="s">
        <v>1222</v>
      </c>
      <c r="D177" s="1" t="s">
        <v>182</v>
      </c>
      <c r="E177" s="2">
        <v>45992</v>
      </c>
      <c r="F177" s="1" t="s">
        <v>53</v>
      </c>
      <c r="G177" s="1" t="s">
        <v>183</v>
      </c>
      <c r="H177" s="1" t="s">
        <v>1224</v>
      </c>
      <c r="I177" s="1">
        <v>1</v>
      </c>
      <c r="J177" s="3">
        <v>6219</v>
      </c>
      <c r="K177" s="3">
        <v>5935</v>
      </c>
      <c r="L177" s="1">
        <v>0</v>
      </c>
      <c r="M177" s="4">
        <v>0</v>
      </c>
      <c r="N177" s="3">
        <v>284</v>
      </c>
      <c r="O177" s="4">
        <v>4.5999999999999999E-2</v>
      </c>
      <c r="P177" s="1" t="s">
        <v>2721</v>
      </c>
    </row>
    <row r="178" spans="1:16">
      <c r="A178" s="1" t="s">
        <v>15</v>
      </c>
      <c r="B178" s="1">
        <v>12</v>
      </c>
      <c r="C178" s="1" t="s">
        <v>1225</v>
      </c>
      <c r="D178" s="1" t="s">
        <v>1226</v>
      </c>
      <c r="E178" s="2">
        <v>45992</v>
      </c>
      <c r="F178" s="1" t="s">
        <v>500</v>
      </c>
      <c r="G178" s="1" t="s">
        <v>1227</v>
      </c>
      <c r="H178" s="1" t="s">
        <v>1228</v>
      </c>
      <c r="I178" s="1">
        <v>1</v>
      </c>
      <c r="J178" s="3">
        <v>265138</v>
      </c>
      <c r="K178" s="3">
        <v>253000</v>
      </c>
      <c r="L178" s="1">
        <v>0</v>
      </c>
      <c r="M178" s="4">
        <v>0</v>
      </c>
      <c r="N178" s="3">
        <v>12138</v>
      </c>
      <c r="O178" s="4">
        <v>4.5999999999999999E-2</v>
      </c>
      <c r="P178" s="1" t="s">
        <v>2721</v>
      </c>
    </row>
    <row r="179" spans="1:16">
      <c r="A179" s="1" t="s">
        <v>15</v>
      </c>
      <c r="B179" s="1">
        <v>12</v>
      </c>
      <c r="C179" s="1" t="s">
        <v>1229</v>
      </c>
      <c r="D179" s="1" t="s">
        <v>287</v>
      </c>
      <c r="E179" s="2">
        <v>45992</v>
      </c>
      <c r="F179" s="1" t="s">
        <v>235</v>
      </c>
      <c r="G179" s="1" t="s">
        <v>288</v>
      </c>
      <c r="H179" s="1" t="s">
        <v>289</v>
      </c>
      <c r="I179" s="1">
        <v>1</v>
      </c>
      <c r="J179" s="3">
        <v>14647</v>
      </c>
      <c r="K179" s="3">
        <v>13976</v>
      </c>
      <c r="L179" s="1">
        <v>0</v>
      </c>
      <c r="M179" s="4">
        <v>0</v>
      </c>
      <c r="N179" s="3">
        <v>671</v>
      </c>
      <c r="O179" s="4">
        <v>4.5999999999999999E-2</v>
      </c>
      <c r="P179" s="1" t="s">
        <v>2721</v>
      </c>
    </row>
    <row r="180" spans="1:16">
      <c r="A180" s="1" t="s">
        <v>15</v>
      </c>
      <c r="B180" s="1">
        <v>12</v>
      </c>
      <c r="C180" s="1" t="s">
        <v>1230</v>
      </c>
      <c r="D180" s="1" t="s">
        <v>291</v>
      </c>
      <c r="E180" s="2">
        <v>45992</v>
      </c>
      <c r="F180" s="1" t="s">
        <v>292</v>
      </c>
      <c r="G180" s="1" t="s">
        <v>293</v>
      </c>
      <c r="H180" s="1" t="s">
        <v>1231</v>
      </c>
      <c r="I180" s="1">
        <v>1</v>
      </c>
      <c r="J180" s="3">
        <v>13271</v>
      </c>
      <c r="K180" s="3">
        <v>12663</v>
      </c>
      <c r="L180" s="3">
        <v>0</v>
      </c>
      <c r="M180" s="4">
        <v>0</v>
      </c>
      <c r="N180" s="3">
        <v>608</v>
      </c>
      <c r="O180" s="4">
        <v>4.5999999999999999E-2</v>
      </c>
      <c r="P180" s="1" t="s">
        <v>2721</v>
      </c>
    </row>
    <row r="181" spans="1:16">
      <c r="A181" s="1" t="s">
        <v>15</v>
      </c>
      <c r="B181" s="1">
        <v>12</v>
      </c>
      <c r="C181" s="1" t="s">
        <v>1232</v>
      </c>
      <c r="D181" s="1" t="s">
        <v>1233</v>
      </c>
      <c r="E181" s="2">
        <v>45992</v>
      </c>
      <c r="F181" s="1" t="s">
        <v>500</v>
      </c>
      <c r="G181" s="1" t="s">
        <v>1234</v>
      </c>
      <c r="H181" s="1" t="s">
        <v>1235</v>
      </c>
      <c r="I181" s="1">
        <v>1</v>
      </c>
      <c r="J181" s="3">
        <v>253565</v>
      </c>
      <c r="K181" s="3">
        <v>241957</v>
      </c>
      <c r="L181" s="3">
        <v>0</v>
      </c>
      <c r="M181" s="4">
        <v>0</v>
      </c>
      <c r="N181" s="3">
        <v>11608</v>
      </c>
      <c r="O181" s="4">
        <v>4.5999999999999999E-2</v>
      </c>
      <c r="P181" s="1" t="s">
        <v>2721</v>
      </c>
    </row>
    <row r="182" spans="1:16">
      <c r="A182" s="1" t="s">
        <v>15</v>
      </c>
      <c r="B182" s="1">
        <v>12</v>
      </c>
      <c r="C182" s="1" t="s">
        <v>1236</v>
      </c>
      <c r="D182" s="1" t="s">
        <v>558</v>
      </c>
      <c r="E182" s="2">
        <v>45992</v>
      </c>
      <c r="F182" s="1" t="s">
        <v>256</v>
      </c>
      <c r="G182" s="1" t="s">
        <v>559</v>
      </c>
      <c r="H182" s="1" t="s">
        <v>560</v>
      </c>
      <c r="I182" s="1">
        <v>1</v>
      </c>
      <c r="J182" s="3">
        <v>9339</v>
      </c>
      <c r="K182" s="3">
        <v>8911</v>
      </c>
      <c r="L182" s="3">
        <v>0</v>
      </c>
      <c r="M182" s="4">
        <v>0</v>
      </c>
      <c r="N182" s="3">
        <v>428</v>
      </c>
      <c r="O182" s="4">
        <v>4.5999999999999999E-2</v>
      </c>
      <c r="P182" s="1" t="s">
        <v>2721</v>
      </c>
    </row>
    <row r="183" spans="1:16">
      <c r="A183" s="1" t="s">
        <v>15</v>
      </c>
      <c r="B183" s="1">
        <v>12</v>
      </c>
      <c r="C183" s="1" t="s">
        <v>1237</v>
      </c>
      <c r="D183" s="1" t="s">
        <v>125</v>
      </c>
      <c r="E183" s="2">
        <v>45992</v>
      </c>
      <c r="F183" s="1" t="s">
        <v>126</v>
      </c>
      <c r="G183" s="1" t="s">
        <v>127</v>
      </c>
      <c r="H183" s="1" t="s">
        <v>128</v>
      </c>
      <c r="I183" s="1">
        <v>1</v>
      </c>
      <c r="J183" s="3">
        <v>13959</v>
      </c>
      <c r="K183" s="3">
        <v>13320</v>
      </c>
      <c r="L183" s="1">
        <v>0</v>
      </c>
      <c r="M183" s="4">
        <v>0</v>
      </c>
      <c r="N183" s="1">
        <v>639</v>
      </c>
      <c r="O183" s="4">
        <v>4.5999999999999999E-2</v>
      </c>
      <c r="P183" s="1" t="s">
        <v>2721</v>
      </c>
    </row>
    <row r="184" spans="1:16">
      <c r="A184" s="1" t="s">
        <v>15</v>
      </c>
      <c r="B184" s="1">
        <v>12</v>
      </c>
      <c r="C184" s="1" t="s">
        <v>1238</v>
      </c>
      <c r="D184" s="1" t="s">
        <v>1020</v>
      </c>
      <c r="E184" s="2">
        <v>45992</v>
      </c>
      <c r="F184" s="1" t="s">
        <v>1021</v>
      </c>
      <c r="G184" s="1" t="s">
        <v>1022</v>
      </c>
      <c r="H184" s="1" t="s">
        <v>1023</v>
      </c>
      <c r="I184" s="1">
        <v>1</v>
      </c>
      <c r="J184" s="3">
        <v>16912</v>
      </c>
      <c r="K184" s="3">
        <v>16137</v>
      </c>
      <c r="L184" s="1">
        <v>0</v>
      </c>
      <c r="M184" s="4">
        <v>0</v>
      </c>
      <c r="N184" s="3">
        <v>775</v>
      </c>
      <c r="O184" s="4">
        <v>4.5999999999999999E-2</v>
      </c>
      <c r="P184" s="1" t="s">
        <v>2721</v>
      </c>
    </row>
    <row r="185" spans="1:16">
      <c r="A185" s="1" t="s">
        <v>15</v>
      </c>
      <c r="B185" s="1">
        <v>12</v>
      </c>
      <c r="C185" s="1" t="s">
        <v>1239</v>
      </c>
      <c r="D185" s="1" t="s">
        <v>1240</v>
      </c>
      <c r="E185" s="2">
        <v>45992</v>
      </c>
      <c r="F185" s="1" t="s">
        <v>1241</v>
      </c>
      <c r="G185" s="1" t="s">
        <v>1242</v>
      </c>
      <c r="H185" s="1" t="s">
        <v>1243</v>
      </c>
      <c r="I185" s="1">
        <v>1</v>
      </c>
      <c r="J185" s="3">
        <v>27033</v>
      </c>
      <c r="K185" s="3">
        <v>25795</v>
      </c>
      <c r="L185" s="1">
        <v>0</v>
      </c>
      <c r="M185" s="4">
        <v>0</v>
      </c>
      <c r="N185" s="3">
        <v>1238</v>
      </c>
      <c r="O185" s="4">
        <v>4.5999999999999999E-2</v>
      </c>
      <c r="P185" s="1" t="s">
        <v>2721</v>
      </c>
    </row>
    <row r="186" spans="1:16">
      <c r="A186" s="1" t="s">
        <v>15</v>
      </c>
      <c r="B186" s="1">
        <v>12</v>
      </c>
      <c r="C186" s="1" t="s">
        <v>1244</v>
      </c>
      <c r="D186" s="1" t="s">
        <v>504</v>
      </c>
      <c r="E186" s="2">
        <v>45992</v>
      </c>
      <c r="F186" s="1" t="s">
        <v>407</v>
      </c>
      <c r="G186" s="1" t="s">
        <v>505</v>
      </c>
      <c r="H186" s="1" t="s">
        <v>506</v>
      </c>
      <c r="I186" s="1">
        <v>1</v>
      </c>
      <c r="J186" s="3">
        <v>40303</v>
      </c>
      <c r="K186" s="3">
        <v>38458</v>
      </c>
      <c r="L186" s="1">
        <v>0</v>
      </c>
      <c r="M186" s="4">
        <v>0</v>
      </c>
      <c r="N186" s="3">
        <v>1845</v>
      </c>
      <c r="O186" s="4">
        <v>4.5999999999999999E-2</v>
      </c>
      <c r="P186" s="1" t="s">
        <v>2721</v>
      </c>
    </row>
    <row r="187" spans="1:16">
      <c r="A187" s="1" t="s">
        <v>15</v>
      </c>
      <c r="B187" s="1">
        <v>12</v>
      </c>
      <c r="C187" s="1" t="s">
        <v>1245</v>
      </c>
      <c r="D187" s="1" t="s">
        <v>1246</v>
      </c>
      <c r="E187" s="2">
        <v>45992</v>
      </c>
      <c r="F187" s="1" t="s">
        <v>53</v>
      </c>
      <c r="G187" s="1" t="s">
        <v>1247</v>
      </c>
      <c r="H187" s="1" t="s">
        <v>1248</v>
      </c>
      <c r="I187" s="1">
        <v>1</v>
      </c>
      <c r="J187" s="3">
        <v>8383</v>
      </c>
      <c r="K187" s="3">
        <v>7999</v>
      </c>
      <c r="L187" s="1">
        <v>0</v>
      </c>
      <c r="M187" s="4">
        <v>0</v>
      </c>
      <c r="N187" s="3">
        <v>384</v>
      </c>
      <c r="O187" s="4">
        <v>4.5999999999999999E-2</v>
      </c>
      <c r="P187" s="1" t="s">
        <v>2721</v>
      </c>
    </row>
    <row r="188" spans="1:16">
      <c r="A188" s="1" t="s">
        <v>15</v>
      </c>
      <c r="B188" s="1">
        <v>12</v>
      </c>
      <c r="C188" s="1" t="s">
        <v>1249</v>
      </c>
      <c r="D188" s="1" t="s">
        <v>1250</v>
      </c>
      <c r="E188" s="2">
        <v>45992</v>
      </c>
      <c r="F188" s="1" t="s">
        <v>18</v>
      </c>
      <c r="G188" s="1" t="s">
        <v>1251</v>
      </c>
      <c r="H188" s="1" t="s">
        <v>1252</v>
      </c>
      <c r="I188" s="1">
        <v>1</v>
      </c>
      <c r="J188" s="3">
        <v>8395</v>
      </c>
      <c r="K188" s="3">
        <v>8011</v>
      </c>
      <c r="L188" s="1">
        <v>0</v>
      </c>
      <c r="M188" s="4">
        <v>0</v>
      </c>
      <c r="N188" s="3">
        <v>384</v>
      </c>
      <c r="O188" s="4">
        <v>4.5999999999999999E-2</v>
      </c>
      <c r="P188" s="1" t="s">
        <v>2721</v>
      </c>
    </row>
    <row r="189" spans="1:16">
      <c r="A189" s="1" t="s">
        <v>15</v>
      </c>
      <c r="B189" s="1">
        <v>12</v>
      </c>
      <c r="C189" s="1" t="s">
        <v>1253</v>
      </c>
      <c r="D189" s="1" t="s">
        <v>1254</v>
      </c>
      <c r="E189" s="2">
        <v>45992</v>
      </c>
      <c r="F189" s="1" t="s">
        <v>1255</v>
      </c>
      <c r="G189" s="1" t="s">
        <v>1256</v>
      </c>
      <c r="H189" s="1" t="s">
        <v>1257</v>
      </c>
      <c r="I189" s="1">
        <v>1</v>
      </c>
      <c r="J189" s="3">
        <v>20545</v>
      </c>
      <c r="K189" s="3">
        <v>19604</v>
      </c>
      <c r="L189" s="1">
        <v>0</v>
      </c>
      <c r="M189" s="4">
        <v>0</v>
      </c>
      <c r="N189" s="3">
        <v>941</v>
      </c>
      <c r="O189" s="4">
        <v>4.5999999999999999E-2</v>
      </c>
      <c r="P189" s="1" t="s">
        <v>2721</v>
      </c>
    </row>
    <row r="190" spans="1:16">
      <c r="A190" s="1" t="s">
        <v>15</v>
      </c>
      <c r="B190" s="1">
        <v>12</v>
      </c>
      <c r="C190" s="1" t="s">
        <v>1258</v>
      </c>
      <c r="D190" s="1" t="s">
        <v>899</v>
      </c>
      <c r="E190" s="2">
        <v>45992</v>
      </c>
      <c r="F190" s="1" t="s">
        <v>500</v>
      </c>
      <c r="G190" s="1" t="s">
        <v>900</v>
      </c>
      <c r="H190" s="1" t="s">
        <v>901</v>
      </c>
      <c r="I190" s="1">
        <v>1</v>
      </c>
      <c r="J190" s="3">
        <v>105846</v>
      </c>
      <c r="K190" s="3">
        <v>101000</v>
      </c>
      <c r="L190" s="1">
        <v>0</v>
      </c>
      <c r="M190" s="4">
        <v>0</v>
      </c>
      <c r="N190" s="3">
        <v>4846</v>
      </c>
      <c r="O190" s="4">
        <v>4.5999999999999999E-2</v>
      </c>
      <c r="P190" s="1" t="s">
        <v>2721</v>
      </c>
    </row>
    <row r="191" spans="1:16">
      <c r="A191" s="1" t="s">
        <v>15</v>
      </c>
      <c r="B191" s="1">
        <v>12</v>
      </c>
      <c r="C191" s="1" t="s">
        <v>1259</v>
      </c>
      <c r="D191" s="1" t="s">
        <v>504</v>
      </c>
      <c r="E191" s="2">
        <v>45992</v>
      </c>
      <c r="F191" s="1" t="s">
        <v>407</v>
      </c>
      <c r="G191" s="1" t="s">
        <v>505</v>
      </c>
      <c r="H191" s="1" t="s">
        <v>1131</v>
      </c>
      <c r="I191" s="1">
        <v>1</v>
      </c>
      <c r="J191" s="3">
        <v>54065</v>
      </c>
      <c r="K191" s="3">
        <v>51590</v>
      </c>
      <c r="L191" s="1">
        <v>0</v>
      </c>
      <c r="M191" s="4">
        <v>0</v>
      </c>
      <c r="N191" s="3">
        <v>2475</v>
      </c>
      <c r="O191" s="4">
        <v>4.5999999999999999E-2</v>
      </c>
      <c r="P191" s="1" t="s">
        <v>2721</v>
      </c>
    </row>
    <row r="192" spans="1:16">
      <c r="A192" s="1" t="s">
        <v>15</v>
      </c>
      <c r="B192" s="1">
        <v>12</v>
      </c>
      <c r="C192" s="1" t="s">
        <v>1260</v>
      </c>
      <c r="D192" s="1" t="s">
        <v>1261</v>
      </c>
      <c r="E192" s="2">
        <v>45992</v>
      </c>
      <c r="F192" s="1" t="s">
        <v>33</v>
      </c>
      <c r="G192" s="1" t="s">
        <v>1262</v>
      </c>
      <c r="H192" s="1" t="s">
        <v>1263</v>
      </c>
      <c r="I192" s="1">
        <v>2</v>
      </c>
      <c r="J192" s="3">
        <v>178935</v>
      </c>
      <c r="K192" s="3">
        <v>170744</v>
      </c>
      <c r="L192" s="1">
        <v>0</v>
      </c>
      <c r="M192" s="4">
        <v>0</v>
      </c>
      <c r="N192" s="3">
        <v>8191</v>
      </c>
      <c r="O192" s="4">
        <v>4.5999999999999999E-2</v>
      </c>
      <c r="P192" s="1" t="s">
        <v>2721</v>
      </c>
    </row>
    <row r="193" spans="1:16">
      <c r="A193" s="1" t="s">
        <v>15</v>
      </c>
      <c r="B193" s="1">
        <v>12</v>
      </c>
      <c r="C193" s="1" t="s">
        <v>1260</v>
      </c>
      <c r="D193" s="1" t="s">
        <v>1261</v>
      </c>
      <c r="E193" s="2">
        <v>45992</v>
      </c>
      <c r="F193" s="1" t="s">
        <v>33</v>
      </c>
      <c r="G193" s="1" t="s">
        <v>1262</v>
      </c>
      <c r="H193" s="1" t="s">
        <v>1264</v>
      </c>
      <c r="I193" s="1">
        <v>1</v>
      </c>
      <c r="J193" s="3">
        <v>70173</v>
      </c>
      <c r="K193" s="3">
        <v>66961</v>
      </c>
      <c r="L193" s="1">
        <v>0</v>
      </c>
      <c r="M193" s="4">
        <v>0</v>
      </c>
      <c r="N193" s="3">
        <v>3212</v>
      </c>
      <c r="O193" s="4">
        <v>4.5999999999999999E-2</v>
      </c>
      <c r="P193" s="1" t="s">
        <v>2721</v>
      </c>
    </row>
    <row r="194" spans="1:16">
      <c r="A194" s="1" t="s">
        <v>15</v>
      </c>
      <c r="B194" s="1">
        <v>12</v>
      </c>
      <c r="C194" s="1" t="s">
        <v>1265</v>
      </c>
      <c r="D194" s="1" t="s">
        <v>1266</v>
      </c>
      <c r="E194" s="2">
        <v>45992</v>
      </c>
      <c r="F194" s="1" t="s">
        <v>317</v>
      </c>
      <c r="G194" s="1" t="s">
        <v>1267</v>
      </c>
      <c r="H194" s="1" t="s">
        <v>1268</v>
      </c>
      <c r="I194" s="1">
        <v>1</v>
      </c>
      <c r="J194" s="3">
        <v>27524</v>
      </c>
      <c r="K194" s="3">
        <v>26264</v>
      </c>
      <c r="L194" s="3">
        <v>0</v>
      </c>
      <c r="M194" s="4">
        <v>0</v>
      </c>
      <c r="N194" s="3">
        <v>1260</v>
      </c>
      <c r="O194" s="4">
        <v>4.5999999999999999E-2</v>
      </c>
      <c r="P194" s="1" t="s">
        <v>2721</v>
      </c>
    </row>
    <row r="195" spans="1:16">
      <c r="A195" s="1" t="s">
        <v>15</v>
      </c>
      <c r="B195" s="1">
        <v>12</v>
      </c>
      <c r="C195" s="1" t="s">
        <v>1269</v>
      </c>
      <c r="D195" s="1" t="s">
        <v>1270</v>
      </c>
      <c r="E195" s="2">
        <v>45992</v>
      </c>
      <c r="F195" s="1" t="s">
        <v>1271</v>
      </c>
      <c r="G195" s="1" t="s">
        <v>1272</v>
      </c>
      <c r="H195" s="1" t="s">
        <v>1273</v>
      </c>
      <c r="I195" s="1">
        <v>1</v>
      </c>
      <c r="J195" s="3">
        <v>35781</v>
      </c>
      <c r="K195" s="3">
        <v>34143</v>
      </c>
      <c r="L195" s="3">
        <v>0</v>
      </c>
      <c r="M195" s="4">
        <v>0</v>
      </c>
      <c r="N195" s="3">
        <v>1638</v>
      </c>
      <c r="O195" s="4">
        <v>4.5999999999999999E-2</v>
      </c>
      <c r="P195" s="1" t="s">
        <v>2721</v>
      </c>
    </row>
    <row r="196" spans="1:16">
      <c r="A196" s="1" t="s">
        <v>15</v>
      </c>
      <c r="B196" s="1">
        <v>12</v>
      </c>
      <c r="C196" s="1" t="s">
        <v>1274</v>
      </c>
      <c r="D196" s="1" t="s">
        <v>1275</v>
      </c>
      <c r="E196" s="2">
        <v>45992</v>
      </c>
      <c r="F196" s="1" t="s">
        <v>945</v>
      </c>
      <c r="G196" s="1" t="s">
        <v>1276</v>
      </c>
      <c r="H196" s="1" t="s">
        <v>1277</v>
      </c>
      <c r="I196" s="1">
        <v>1</v>
      </c>
      <c r="J196" s="3">
        <v>17203</v>
      </c>
      <c r="K196" s="3">
        <v>16415</v>
      </c>
      <c r="L196" s="3">
        <v>0</v>
      </c>
      <c r="M196" s="4">
        <v>0</v>
      </c>
      <c r="N196" s="3">
        <v>788</v>
      </c>
      <c r="O196" s="4">
        <v>4.5999999999999999E-2</v>
      </c>
      <c r="P196" s="1" t="s">
        <v>2721</v>
      </c>
    </row>
    <row r="197" spans="1:16">
      <c r="A197" s="1" t="s">
        <v>15</v>
      </c>
      <c r="B197" s="1">
        <v>12</v>
      </c>
      <c r="C197" s="1" t="s">
        <v>1278</v>
      </c>
      <c r="D197" s="1" t="s">
        <v>777</v>
      </c>
      <c r="E197" s="2">
        <v>45992</v>
      </c>
      <c r="F197" s="1" t="s">
        <v>256</v>
      </c>
      <c r="G197" s="1" t="s">
        <v>778</v>
      </c>
      <c r="H197" s="1" t="s">
        <v>779</v>
      </c>
      <c r="I197" s="1">
        <v>1</v>
      </c>
      <c r="J197" s="3">
        <v>11010</v>
      </c>
      <c r="K197" s="3">
        <v>10506</v>
      </c>
      <c r="L197" s="3">
        <v>0</v>
      </c>
      <c r="M197" s="4">
        <v>0</v>
      </c>
      <c r="N197" s="3">
        <v>504</v>
      </c>
      <c r="O197" s="4">
        <v>4.5999999999999999E-2</v>
      </c>
      <c r="P197" s="1" t="s">
        <v>2721</v>
      </c>
    </row>
    <row r="198" spans="1:16">
      <c r="A198" s="1" t="s">
        <v>15</v>
      </c>
      <c r="B198" s="1">
        <v>12</v>
      </c>
      <c r="C198" s="1" t="s">
        <v>1279</v>
      </c>
      <c r="D198" s="1" t="s">
        <v>1219</v>
      </c>
      <c r="E198" s="2">
        <v>45992</v>
      </c>
      <c r="F198" s="1" t="s">
        <v>256</v>
      </c>
      <c r="G198" s="1" t="s">
        <v>1220</v>
      </c>
      <c r="H198" s="1" t="s">
        <v>1280</v>
      </c>
      <c r="I198" s="1">
        <v>1</v>
      </c>
      <c r="J198" s="3">
        <v>20692</v>
      </c>
      <c r="K198" s="3">
        <v>19745</v>
      </c>
      <c r="L198" s="3">
        <v>0</v>
      </c>
      <c r="M198" s="4">
        <v>0</v>
      </c>
      <c r="N198" s="3">
        <v>947</v>
      </c>
      <c r="O198" s="4">
        <v>4.5999999999999999E-2</v>
      </c>
      <c r="P198" s="1" t="s">
        <v>2721</v>
      </c>
    </row>
    <row r="199" spans="1:16">
      <c r="A199" s="1" t="s">
        <v>15</v>
      </c>
      <c r="B199" s="1">
        <v>12</v>
      </c>
      <c r="C199" s="1" t="s">
        <v>1281</v>
      </c>
      <c r="D199" s="1" t="s">
        <v>169</v>
      </c>
      <c r="E199" s="2">
        <v>45992</v>
      </c>
      <c r="F199" s="1" t="s">
        <v>53</v>
      </c>
      <c r="G199" s="1" t="s">
        <v>170</v>
      </c>
      <c r="H199" s="1" t="s">
        <v>171</v>
      </c>
      <c r="I199" s="1">
        <v>1</v>
      </c>
      <c r="J199" s="3">
        <v>14332</v>
      </c>
      <c r="K199" s="3">
        <v>13676</v>
      </c>
      <c r="L199" s="1">
        <v>0</v>
      </c>
      <c r="M199" s="4">
        <v>0</v>
      </c>
      <c r="N199" s="3">
        <v>656</v>
      </c>
      <c r="O199" s="4">
        <v>4.5999999999999999E-2</v>
      </c>
      <c r="P199" s="1" t="s">
        <v>2721</v>
      </c>
    </row>
    <row r="200" spans="1:16">
      <c r="A200" s="1" t="s">
        <v>15</v>
      </c>
      <c r="B200" s="1">
        <v>12</v>
      </c>
      <c r="C200" s="1" t="s">
        <v>1282</v>
      </c>
      <c r="D200" s="1" t="s">
        <v>1283</v>
      </c>
      <c r="E200" s="2">
        <v>45992</v>
      </c>
      <c r="F200" s="1" t="s">
        <v>1255</v>
      </c>
      <c r="G200" s="1" t="s">
        <v>1284</v>
      </c>
      <c r="H200" s="1" t="s">
        <v>1285</v>
      </c>
      <c r="I200" s="1">
        <v>1</v>
      </c>
      <c r="J200" s="3">
        <v>46004</v>
      </c>
      <c r="K200" s="3">
        <v>43898</v>
      </c>
      <c r="L200" s="1">
        <v>0</v>
      </c>
      <c r="M200" s="4">
        <v>0</v>
      </c>
      <c r="N200" s="3">
        <v>2106</v>
      </c>
      <c r="O200" s="4">
        <v>4.5999999999999999E-2</v>
      </c>
      <c r="P200" s="1" t="s">
        <v>2721</v>
      </c>
    </row>
    <row r="201" spans="1:16">
      <c r="A201" s="1" t="s">
        <v>15</v>
      </c>
      <c r="B201" s="1">
        <v>12</v>
      </c>
      <c r="C201" s="1" t="s">
        <v>1286</v>
      </c>
      <c r="D201" s="1" t="s">
        <v>1287</v>
      </c>
      <c r="E201" s="2">
        <v>45992</v>
      </c>
      <c r="F201" s="1" t="s">
        <v>23</v>
      </c>
      <c r="G201" s="1" t="s">
        <v>1288</v>
      </c>
      <c r="H201" s="1" t="s">
        <v>1289</v>
      </c>
      <c r="I201" s="1">
        <v>1</v>
      </c>
      <c r="J201" s="3">
        <v>12779</v>
      </c>
      <c r="K201" s="3">
        <v>12194</v>
      </c>
      <c r="L201" s="1">
        <v>0</v>
      </c>
      <c r="M201" s="4">
        <v>0</v>
      </c>
      <c r="N201" s="3">
        <v>585</v>
      </c>
      <c r="O201" s="4">
        <v>4.5999999999999999E-2</v>
      </c>
      <c r="P201" s="1" t="s">
        <v>2721</v>
      </c>
    </row>
    <row r="202" spans="1:16">
      <c r="A202" s="1" t="s">
        <v>15</v>
      </c>
      <c r="B202" s="1">
        <v>12</v>
      </c>
      <c r="C202" s="1" t="s">
        <v>1290</v>
      </c>
      <c r="D202" s="1" t="s">
        <v>504</v>
      </c>
      <c r="E202" s="2">
        <v>45992</v>
      </c>
      <c r="F202" s="1" t="s">
        <v>407</v>
      </c>
      <c r="G202" s="1" t="s">
        <v>505</v>
      </c>
      <c r="H202" s="1" t="s">
        <v>1004</v>
      </c>
      <c r="I202" s="1">
        <v>1</v>
      </c>
      <c r="J202" s="3">
        <v>9339</v>
      </c>
      <c r="K202" s="3">
        <v>8911</v>
      </c>
      <c r="L202" s="1">
        <v>0</v>
      </c>
      <c r="M202" s="4">
        <v>0</v>
      </c>
      <c r="N202" s="3">
        <v>428</v>
      </c>
      <c r="O202" s="4">
        <v>4.5999999999999999E-2</v>
      </c>
      <c r="P202" s="1" t="s">
        <v>2721</v>
      </c>
    </row>
    <row r="203" spans="1:16">
      <c r="A203" s="1" t="s">
        <v>15</v>
      </c>
      <c r="B203" s="1">
        <v>12</v>
      </c>
      <c r="C203" s="1" t="s">
        <v>1290</v>
      </c>
      <c r="D203" s="1" t="s">
        <v>960</v>
      </c>
      <c r="E203" s="2">
        <v>45992</v>
      </c>
      <c r="F203" s="1" t="s">
        <v>407</v>
      </c>
      <c r="G203" s="1" t="s">
        <v>961</v>
      </c>
      <c r="H203" s="1" t="s">
        <v>962</v>
      </c>
      <c r="I203" s="1">
        <v>1</v>
      </c>
      <c r="J203" s="3">
        <v>14745</v>
      </c>
      <c r="K203" s="3">
        <v>14070</v>
      </c>
      <c r="L203" s="1">
        <v>0</v>
      </c>
      <c r="M203" s="4">
        <v>0</v>
      </c>
      <c r="N203" s="3">
        <v>675</v>
      </c>
      <c r="O203" s="4">
        <v>4.5999999999999999E-2</v>
      </c>
      <c r="P203" s="1" t="s">
        <v>2721</v>
      </c>
    </row>
    <row r="204" spans="1:16">
      <c r="A204" s="1" t="s">
        <v>15</v>
      </c>
      <c r="B204" s="1">
        <v>12</v>
      </c>
      <c r="C204" s="1" t="s">
        <v>1291</v>
      </c>
      <c r="D204" s="1" t="s">
        <v>1026</v>
      </c>
      <c r="E204" s="2">
        <v>45992</v>
      </c>
      <c r="F204" s="1" t="s">
        <v>256</v>
      </c>
      <c r="G204" s="1" t="s">
        <v>1027</v>
      </c>
      <c r="H204" s="1" t="s">
        <v>1035</v>
      </c>
      <c r="I204" s="1">
        <v>1</v>
      </c>
      <c r="J204" s="3">
        <v>8700</v>
      </c>
      <c r="K204" s="3">
        <v>8301</v>
      </c>
      <c r="L204" s="3">
        <v>0</v>
      </c>
      <c r="M204" s="4">
        <v>0</v>
      </c>
      <c r="N204" s="3">
        <v>399</v>
      </c>
      <c r="O204" s="4">
        <v>4.5999999999999999E-2</v>
      </c>
      <c r="P204" s="1" t="s">
        <v>2721</v>
      </c>
    </row>
    <row r="205" spans="1:16">
      <c r="A205" s="1" t="s">
        <v>15</v>
      </c>
      <c r="B205" s="1">
        <v>12</v>
      </c>
      <c r="C205" s="1" t="s">
        <v>1292</v>
      </c>
      <c r="D205" s="1" t="s">
        <v>777</v>
      </c>
      <c r="E205" s="2">
        <v>45992</v>
      </c>
      <c r="F205" s="1" t="s">
        <v>256</v>
      </c>
      <c r="G205" s="1" t="s">
        <v>778</v>
      </c>
      <c r="H205" s="1" t="s">
        <v>779</v>
      </c>
      <c r="I205" s="1">
        <v>1</v>
      </c>
      <c r="J205" s="3">
        <v>11010</v>
      </c>
      <c r="K205" s="3">
        <v>10506</v>
      </c>
      <c r="L205" s="3">
        <v>0</v>
      </c>
      <c r="M205" s="4">
        <v>0</v>
      </c>
      <c r="N205" s="3">
        <v>504</v>
      </c>
      <c r="O205" s="4">
        <v>4.5999999999999999E-2</v>
      </c>
      <c r="P205" s="1" t="s">
        <v>2721</v>
      </c>
    </row>
    <row r="206" spans="1:16">
      <c r="A206" s="1" t="s">
        <v>15</v>
      </c>
      <c r="B206" s="1">
        <v>12</v>
      </c>
      <c r="C206" s="1" t="s">
        <v>1293</v>
      </c>
      <c r="D206" s="1" t="s">
        <v>1294</v>
      </c>
      <c r="E206" s="2">
        <v>45992</v>
      </c>
      <c r="F206" s="1" t="s">
        <v>347</v>
      </c>
      <c r="G206" s="1" t="s">
        <v>1295</v>
      </c>
      <c r="H206" s="1" t="s">
        <v>1296</v>
      </c>
      <c r="I206" s="1">
        <v>1</v>
      </c>
      <c r="J206" s="3">
        <v>23985</v>
      </c>
      <c r="K206" s="3">
        <v>22887</v>
      </c>
      <c r="L206" s="3">
        <v>0</v>
      </c>
      <c r="M206" s="4">
        <v>0</v>
      </c>
      <c r="N206" s="3">
        <v>1098</v>
      </c>
      <c r="O206" s="4">
        <v>4.5999999999999999E-2</v>
      </c>
      <c r="P206" s="1" t="s">
        <v>2721</v>
      </c>
    </row>
    <row r="207" spans="1:16">
      <c r="A207" s="1" t="s">
        <v>15</v>
      </c>
      <c r="B207" s="1">
        <v>12</v>
      </c>
      <c r="C207" s="1" t="s">
        <v>1297</v>
      </c>
      <c r="D207" s="1" t="s">
        <v>1298</v>
      </c>
      <c r="E207" s="2">
        <v>45992</v>
      </c>
      <c r="F207" s="1" t="s">
        <v>161</v>
      </c>
      <c r="G207" s="1" t="s">
        <v>1299</v>
      </c>
      <c r="H207" s="1" t="s">
        <v>1300</v>
      </c>
      <c r="I207" s="1">
        <v>1</v>
      </c>
      <c r="J207" s="3">
        <v>11796</v>
      </c>
      <c r="K207" s="3">
        <v>11256</v>
      </c>
      <c r="L207" s="3">
        <v>0</v>
      </c>
      <c r="M207" s="4">
        <v>0</v>
      </c>
      <c r="N207" s="3">
        <v>540</v>
      </c>
      <c r="O207" s="4">
        <v>4.5999999999999999E-2</v>
      </c>
      <c r="P207" s="1" t="s">
        <v>2721</v>
      </c>
    </row>
    <row r="208" spans="1:16">
      <c r="A208" s="1" t="s">
        <v>15</v>
      </c>
      <c r="B208" s="1">
        <v>12</v>
      </c>
      <c r="C208" s="1" t="s">
        <v>1301</v>
      </c>
      <c r="D208" s="1" t="s">
        <v>1302</v>
      </c>
      <c r="E208" s="2">
        <v>45992</v>
      </c>
      <c r="F208" s="1" t="s">
        <v>256</v>
      </c>
      <c r="G208" s="1" t="s">
        <v>1303</v>
      </c>
      <c r="H208" s="1" t="s">
        <v>1304</v>
      </c>
      <c r="I208" s="1">
        <v>1</v>
      </c>
      <c r="J208" s="3">
        <v>4944</v>
      </c>
      <c r="K208" s="3">
        <v>4718</v>
      </c>
      <c r="L208" s="3">
        <v>0</v>
      </c>
      <c r="M208" s="4">
        <v>0</v>
      </c>
      <c r="N208" s="3">
        <v>226</v>
      </c>
      <c r="O208" s="4">
        <v>4.5999999999999999E-2</v>
      </c>
      <c r="P208" s="1" t="s">
        <v>2721</v>
      </c>
    </row>
    <row r="209" spans="1:16">
      <c r="A209" s="1" t="s">
        <v>15</v>
      </c>
      <c r="B209" s="1">
        <v>12</v>
      </c>
      <c r="C209" s="1" t="s">
        <v>1305</v>
      </c>
      <c r="D209" s="1" t="s">
        <v>238</v>
      </c>
      <c r="E209" s="2">
        <v>45992</v>
      </c>
      <c r="F209" s="1" t="s">
        <v>239</v>
      </c>
      <c r="G209" s="1" t="s">
        <v>240</v>
      </c>
      <c r="H209" s="1" t="s">
        <v>241</v>
      </c>
      <c r="I209" s="1">
        <v>3</v>
      </c>
      <c r="J209" s="3">
        <v>33914</v>
      </c>
      <c r="K209" s="3">
        <v>32361</v>
      </c>
      <c r="L209" s="1">
        <v>0</v>
      </c>
      <c r="M209" s="4">
        <v>0</v>
      </c>
      <c r="N209" s="3">
        <v>1553</v>
      </c>
      <c r="O209" s="4">
        <v>4.5999999999999999E-2</v>
      </c>
      <c r="P209" s="1" t="s">
        <v>2721</v>
      </c>
    </row>
    <row r="210" spans="1:16">
      <c r="A210" s="1" t="s">
        <v>15</v>
      </c>
      <c r="B210" s="1">
        <v>12</v>
      </c>
      <c r="C210" s="1" t="s">
        <v>1306</v>
      </c>
      <c r="D210" s="1" t="s">
        <v>390</v>
      </c>
      <c r="E210" s="2">
        <v>45992</v>
      </c>
      <c r="F210" s="1" t="s">
        <v>256</v>
      </c>
      <c r="G210" s="1" t="s">
        <v>391</v>
      </c>
      <c r="H210" s="1" t="s">
        <v>1307</v>
      </c>
      <c r="I210" s="1">
        <v>1</v>
      </c>
      <c r="J210" s="3">
        <v>23395</v>
      </c>
      <c r="K210" s="3">
        <v>22324</v>
      </c>
      <c r="L210" s="1">
        <v>0</v>
      </c>
      <c r="M210" s="4">
        <v>0</v>
      </c>
      <c r="N210" s="3">
        <v>1071</v>
      </c>
      <c r="O210" s="4">
        <v>4.5999999999999999E-2</v>
      </c>
      <c r="P210" s="1" t="s">
        <v>2721</v>
      </c>
    </row>
    <row r="211" spans="1:16">
      <c r="A211" s="1" t="s">
        <v>15</v>
      </c>
      <c r="B211" s="1">
        <v>12</v>
      </c>
      <c r="C211" s="1" t="s">
        <v>1308</v>
      </c>
      <c r="D211" s="1" t="s">
        <v>1309</v>
      </c>
      <c r="E211" s="2">
        <v>45992</v>
      </c>
      <c r="F211" s="1" t="s">
        <v>1310</v>
      </c>
      <c r="G211" s="1" t="s">
        <v>1311</v>
      </c>
      <c r="H211" s="1" t="s">
        <v>1312</v>
      </c>
      <c r="I211" s="1">
        <v>1</v>
      </c>
      <c r="J211" s="3">
        <v>22707</v>
      </c>
      <c r="K211" s="3">
        <v>21668</v>
      </c>
      <c r="L211" s="1">
        <v>0</v>
      </c>
      <c r="M211" s="4">
        <v>0</v>
      </c>
      <c r="N211" s="3">
        <v>1039</v>
      </c>
      <c r="O211" s="4">
        <v>4.5999999999999999E-2</v>
      </c>
      <c r="P211" s="1" t="s">
        <v>2721</v>
      </c>
    </row>
    <row r="212" spans="1:16">
      <c r="A212" s="1" t="s">
        <v>15</v>
      </c>
      <c r="B212" s="1">
        <v>12</v>
      </c>
      <c r="C212" s="1" t="s">
        <v>1313</v>
      </c>
      <c r="D212" s="1" t="s">
        <v>212</v>
      </c>
      <c r="E212" s="2">
        <v>45992</v>
      </c>
      <c r="F212" s="1" t="s">
        <v>213</v>
      </c>
      <c r="G212" s="1" t="s">
        <v>214</v>
      </c>
      <c r="H212" s="1" t="s">
        <v>215</v>
      </c>
      <c r="I212" s="1">
        <v>1</v>
      </c>
      <c r="J212" s="3">
        <v>16220</v>
      </c>
      <c r="K212" s="3">
        <v>15477</v>
      </c>
      <c r="L212" s="1">
        <v>0</v>
      </c>
      <c r="M212" s="4">
        <v>0</v>
      </c>
      <c r="N212" s="3">
        <v>743</v>
      </c>
      <c r="O212" s="4">
        <v>4.5999999999999999E-2</v>
      </c>
      <c r="P212" s="1" t="s">
        <v>2721</v>
      </c>
    </row>
    <row r="213" spans="1:16">
      <c r="A213" s="1" t="s">
        <v>15</v>
      </c>
      <c r="B213" s="1">
        <v>12</v>
      </c>
      <c r="C213" s="1" t="s">
        <v>1314</v>
      </c>
      <c r="D213" s="1" t="s">
        <v>1315</v>
      </c>
      <c r="E213" s="2">
        <v>45992</v>
      </c>
      <c r="F213" s="1" t="s">
        <v>187</v>
      </c>
      <c r="G213" s="1" t="s">
        <v>1316</v>
      </c>
      <c r="H213" s="1" t="s">
        <v>1317</v>
      </c>
      <c r="I213" s="1">
        <v>1</v>
      </c>
      <c r="J213" s="3">
        <v>24872</v>
      </c>
      <c r="K213" s="3">
        <v>23733</v>
      </c>
      <c r="L213" s="1">
        <v>0</v>
      </c>
      <c r="M213" s="4">
        <v>0</v>
      </c>
      <c r="N213" s="3">
        <v>1139</v>
      </c>
      <c r="O213" s="4">
        <v>4.5999999999999999E-2</v>
      </c>
      <c r="P213" s="1" t="s">
        <v>2721</v>
      </c>
    </row>
    <row r="214" spans="1:16">
      <c r="A214" s="1" t="s">
        <v>15</v>
      </c>
      <c r="B214" s="1">
        <v>12</v>
      </c>
      <c r="C214" s="1" t="s">
        <v>1318</v>
      </c>
      <c r="D214" s="1" t="s">
        <v>1319</v>
      </c>
      <c r="E214" s="2">
        <v>45992</v>
      </c>
      <c r="F214" s="1" t="s">
        <v>96</v>
      </c>
      <c r="G214" s="1" t="s">
        <v>1320</v>
      </c>
      <c r="H214" s="1" t="s">
        <v>1321</v>
      </c>
      <c r="I214" s="1">
        <v>1</v>
      </c>
      <c r="J214" s="3">
        <v>8501</v>
      </c>
      <c r="K214" s="3">
        <v>8112</v>
      </c>
      <c r="L214" s="1">
        <v>0</v>
      </c>
      <c r="M214" s="4">
        <v>0</v>
      </c>
      <c r="N214" s="3">
        <v>389</v>
      </c>
      <c r="O214" s="4">
        <v>4.5999999999999999E-2</v>
      </c>
      <c r="P214" s="1" t="s">
        <v>2721</v>
      </c>
    </row>
    <row r="215" spans="1:16">
      <c r="A215" s="1" t="s">
        <v>15</v>
      </c>
      <c r="B215" s="1">
        <v>12</v>
      </c>
      <c r="C215" s="1" t="s">
        <v>1318</v>
      </c>
      <c r="D215" s="1" t="s">
        <v>504</v>
      </c>
      <c r="E215" s="2">
        <v>45992</v>
      </c>
      <c r="F215" s="1" t="s">
        <v>407</v>
      </c>
      <c r="G215" s="1" t="s">
        <v>505</v>
      </c>
      <c r="H215" s="1" t="s">
        <v>1322</v>
      </c>
      <c r="I215" s="1">
        <v>1</v>
      </c>
      <c r="J215" s="3">
        <v>23592</v>
      </c>
      <c r="K215" s="3">
        <v>22512</v>
      </c>
      <c r="L215" s="3">
        <v>0</v>
      </c>
      <c r="M215" s="4">
        <v>0</v>
      </c>
      <c r="N215" s="3">
        <v>1080</v>
      </c>
      <c r="O215" s="4">
        <v>4.5999999999999999E-2</v>
      </c>
      <c r="P215" s="1" t="s">
        <v>2721</v>
      </c>
    </row>
    <row r="216" spans="1:16">
      <c r="A216" s="1" t="s">
        <v>15</v>
      </c>
      <c r="B216" s="1">
        <v>12</v>
      </c>
      <c r="C216" s="1" t="s">
        <v>1323</v>
      </c>
      <c r="D216" s="1" t="s">
        <v>1324</v>
      </c>
      <c r="E216" s="2">
        <v>45992</v>
      </c>
      <c r="F216" s="1" t="s">
        <v>1325</v>
      </c>
      <c r="G216" s="1" t="s">
        <v>1326</v>
      </c>
      <c r="H216" s="1" t="s">
        <v>1327</v>
      </c>
      <c r="I216" s="1">
        <v>1</v>
      </c>
      <c r="J216" s="3">
        <v>9437</v>
      </c>
      <c r="K216" s="3">
        <v>9005</v>
      </c>
      <c r="L216" s="3">
        <v>0</v>
      </c>
      <c r="M216" s="4">
        <v>0</v>
      </c>
      <c r="N216" s="3">
        <v>432</v>
      </c>
      <c r="O216" s="4">
        <v>4.5999999999999999E-2</v>
      </c>
      <c r="P216" s="1" t="s">
        <v>2721</v>
      </c>
    </row>
    <row r="217" spans="1:16">
      <c r="A217" s="1" t="s">
        <v>15</v>
      </c>
      <c r="B217" s="1">
        <v>12</v>
      </c>
      <c r="C217" s="1" t="s">
        <v>1328</v>
      </c>
      <c r="D217" s="1" t="s">
        <v>228</v>
      </c>
      <c r="E217" s="2">
        <v>45992</v>
      </c>
      <c r="F217" s="1" t="s">
        <v>53</v>
      </c>
      <c r="G217" s="1" t="s">
        <v>229</v>
      </c>
      <c r="H217" s="1" t="s">
        <v>230</v>
      </c>
      <c r="I217" s="1">
        <v>1</v>
      </c>
      <c r="J217" s="3">
        <v>9825</v>
      </c>
      <c r="K217" s="3">
        <v>9375</v>
      </c>
      <c r="L217" s="3">
        <v>0</v>
      </c>
      <c r="M217" s="4">
        <v>0</v>
      </c>
      <c r="N217" s="3">
        <v>450</v>
      </c>
      <c r="O217" s="4">
        <v>4.5999999999999999E-2</v>
      </c>
      <c r="P217" s="1" t="s">
        <v>2721</v>
      </c>
    </row>
    <row r="218" spans="1:16">
      <c r="A218" s="1" t="s">
        <v>15</v>
      </c>
      <c r="B218" s="1">
        <v>12</v>
      </c>
      <c r="C218" s="1" t="s">
        <v>1329</v>
      </c>
      <c r="D218" s="1" t="s">
        <v>112</v>
      </c>
      <c r="E218" s="2">
        <v>45992</v>
      </c>
      <c r="F218" s="1" t="s">
        <v>63</v>
      </c>
      <c r="G218" s="1" t="s">
        <v>113</v>
      </c>
      <c r="H218" s="1" t="s">
        <v>872</v>
      </c>
      <c r="I218" s="1">
        <v>2</v>
      </c>
      <c r="J218" s="3">
        <v>17668</v>
      </c>
      <c r="K218" s="3">
        <v>16860</v>
      </c>
      <c r="L218" s="1">
        <v>0</v>
      </c>
      <c r="M218" s="4">
        <v>0</v>
      </c>
      <c r="N218" s="3">
        <v>808</v>
      </c>
      <c r="O218" s="4">
        <v>4.5999999999999999E-2</v>
      </c>
      <c r="P218" s="1" t="s">
        <v>2721</v>
      </c>
    </row>
    <row r="219" spans="1:16">
      <c r="A219" s="1" t="s">
        <v>15</v>
      </c>
      <c r="B219" s="1">
        <v>12</v>
      </c>
      <c r="C219" s="1" t="s">
        <v>1330</v>
      </c>
      <c r="D219" s="1" t="s">
        <v>797</v>
      </c>
      <c r="E219" s="2">
        <v>45992</v>
      </c>
      <c r="F219" s="1" t="s">
        <v>798</v>
      </c>
      <c r="G219" s="1" t="s">
        <v>799</v>
      </c>
      <c r="H219" s="1" t="s">
        <v>1331</v>
      </c>
      <c r="I219" s="1">
        <v>1</v>
      </c>
      <c r="J219" s="3">
        <v>13271</v>
      </c>
      <c r="K219" s="3">
        <v>12663</v>
      </c>
      <c r="L219" s="3">
        <v>0</v>
      </c>
      <c r="M219" s="4">
        <v>0</v>
      </c>
      <c r="N219" s="3">
        <v>608</v>
      </c>
      <c r="O219" s="4">
        <v>4.5999999999999999E-2</v>
      </c>
      <c r="P219" s="1" t="s">
        <v>2721</v>
      </c>
    </row>
    <row r="220" spans="1:16">
      <c r="A220" s="1" t="s">
        <v>15</v>
      </c>
      <c r="B220" s="1">
        <v>12</v>
      </c>
      <c r="C220" s="1" t="s">
        <v>1332</v>
      </c>
      <c r="D220" s="1" t="s">
        <v>903</v>
      </c>
      <c r="E220" s="2">
        <v>45992</v>
      </c>
      <c r="F220" s="1" t="s">
        <v>23</v>
      </c>
      <c r="G220" s="1" t="s">
        <v>587</v>
      </c>
      <c r="H220" s="1" t="s">
        <v>904</v>
      </c>
      <c r="I220" s="1">
        <v>1</v>
      </c>
      <c r="J220" s="3">
        <v>13762</v>
      </c>
      <c r="K220" s="3">
        <v>13132</v>
      </c>
      <c r="L220" s="1">
        <v>0</v>
      </c>
      <c r="M220" s="4">
        <v>0</v>
      </c>
      <c r="N220" s="3">
        <v>630</v>
      </c>
      <c r="O220" s="4">
        <v>4.5999999999999999E-2</v>
      </c>
      <c r="P220" s="1" t="s">
        <v>2721</v>
      </c>
    </row>
    <row r="221" spans="1:16">
      <c r="A221" s="1" t="s">
        <v>15</v>
      </c>
      <c r="B221" s="1">
        <v>12</v>
      </c>
      <c r="C221" s="1" t="s">
        <v>1333</v>
      </c>
      <c r="D221" s="1" t="s">
        <v>504</v>
      </c>
      <c r="E221" s="2">
        <v>45992</v>
      </c>
      <c r="F221" s="1" t="s">
        <v>407</v>
      </c>
      <c r="G221" s="1" t="s">
        <v>505</v>
      </c>
      <c r="H221" s="1" t="s">
        <v>1334</v>
      </c>
      <c r="I221" s="1">
        <v>1</v>
      </c>
      <c r="J221" s="3">
        <v>8552</v>
      </c>
      <c r="K221" s="3">
        <v>8161</v>
      </c>
      <c r="L221" s="1">
        <v>0</v>
      </c>
      <c r="M221" s="4">
        <v>0</v>
      </c>
      <c r="N221" s="3">
        <v>391</v>
      </c>
      <c r="O221" s="4">
        <v>4.5999999999999999E-2</v>
      </c>
      <c r="P221" s="1" t="s">
        <v>2721</v>
      </c>
    </row>
    <row r="222" spans="1:16">
      <c r="A222" s="1" t="s">
        <v>15</v>
      </c>
      <c r="B222" s="1">
        <v>12</v>
      </c>
      <c r="C222" s="1" t="s">
        <v>1335</v>
      </c>
      <c r="D222" s="1" t="s">
        <v>1336</v>
      </c>
      <c r="E222" s="2">
        <v>45992</v>
      </c>
      <c r="F222" s="1" t="s">
        <v>1271</v>
      </c>
      <c r="G222" s="1" t="s">
        <v>1337</v>
      </c>
      <c r="H222" s="1" t="s">
        <v>1338</v>
      </c>
      <c r="I222" s="1">
        <v>1</v>
      </c>
      <c r="J222" s="3">
        <v>49347</v>
      </c>
      <c r="K222" s="3">
        <v>47088</v>
      </c>
      <c r="L222" s="1">
        <v>0</v>
      </c>
      <c r="M222" s="4">
        <v>0</v>
      </c>
      <c r="N222" s="3">
        <v>2259</v>
      </c>
      <c r="O222" s="4">
        <v>4.5999999999999999E-2</v>
      </c>
      <c r="P222" s="1" t="s">
        <v>2721</v>
      </c>
    </row>
    <row r="223" spans="1:16">
      <c r="A223" s="1" t="s">
        <v>15</v>
      </c>
      <c r="B223" s="1">
        <v>12</v>
      </c>
      <c r="C223" s="1" t="s">
        <v>1339</v>
      </c>
      <c r="D223" s="1" t="s">
        <v>1133</v>
      </c>
      <c r="E223" s="2">
        <v>45992</v>
      </c>
      <c r="F223" s="1" t="s">
        <v>347</v>
      </c>
      <c r="G223" s="1" t="s">
        <v>1134</v>
      </c>
      <c r="H223" s="1" t="s">
        <v>1340</v>
      </c>
      <c r="I223" s="1">
        <v>1</v>
      </c>
      <c r="J223" s="3">
        <v>22519</v>
      </c>
      <c r="K223" s="3">
        <v>21488</v>
      </c>
      <c r="L223" s="1">
        <v>0</v>
      </c>
      <c r="M223" s="4">
        <v>0</v>
      </c>
      <c r="N223" s="3">
        <v>1031</v>
      </c>
      <c r="O223" s="4">
        <v>4.5999999999999999E-2</v>
      </c>
      <c r="P223" s="1" t="s">
        <v>2721</v>
      </c>
    </row>
    <row r="224" spans="1:16">
      <c r="A224" s="1" t="s">
        <v>15</v>
      </c>
      <c r="B224" s="1">
        <v>12</v>
      </c>
      <c r="C224" s="1" t="s">
        <v>1341</v>
      </c>
      <c r="D224" s="1" t="s">
        <v>1342</v>
      </c>
      <c r="E224" s="2">
        <v>45992</v>
      </c>
      <c r="F224" s="1" t="s">
        <v>63</v>
      </c>
      <c r="G224" s="1" t="s">
        <v>1343</v>
      </c>
      <c r="H224" s="1" t="s">
        <v>1344</v>
      </c>
      <c r="I224" s="1">
        <v>2</v>
      </c>
      <c r="J224" s="3">
        <v>56068</v>
      </c>
      <c r="K224" s="3">
        <v>53502</v>
      </c>
      <c r="L224" s="1">
        <v>0</v>
      </c>
      <c r="M224" s="4">
        <v>0</v>
      </c>
      <c r="N224" s="3">
        <v>2566</v>
      </c>
      <c r="O224" s="4">
        <v>4.5999999999999999E-2</v>
      </c>
      <c r="P224" s="1" t="s">
        <v>2721</v>
      </c>
    </row>
    <row r="225" spans="1:16">
      <c r="A225" s="1" t="s">
        <v>15</v>
      </c>
      <c r="B225" s="1">
        <v>12</v>
      </c>
      <c r="C225" s="1" t="s">
        <v>1345</v>
      </c>
      <c r="D225" s="1" t="s">
        <v>1346</v>
      </c>
      <c r="E225" s="2">
        <v>45992</v>
      </c>
      <c r="F225" s="1" t="s">
        <v>317</v>
      </c>
      <c r="G225" s="1" t="s">
        <v>1347</v>
      </c>
      <c r="H225" s="1" t="s">
        <v>1348</v>
      </c>
      <c r="I225" s="1">
        <v>1</v>
      </c>
      <c r="J225" s="3">
        <v>32439</v>
      </c>
      <c r="K225" s="3">
        <v>30954</v>
      </c>
      <c r="L225" s="1">
        <v>0</v>
      </c>
      <c r="M225" s="4">
        <v>0</v>
      </c>
      <c r="N225" s="3">
        <v>1485</v>
      </c>
      <c r="O225" s="4">
        <v>4.5999999999999999E-2</v>
      </c>
      <c r="P225" s="1" t="s">
        <v>2721</v>
      </c>
    </row>
    <row r="226" spans="1:16">
      <c r="A226" s="1" t="s">
        <v>15</v>
      </c>
      <c r="B226" s="1">
        <v>12</v>
      </c>
      <c r="C226" s="1" t="s">
        <v>1349</v>
      </c>
      <c r="D226" s="1" t="s">
        <v>1350</v>
      </c>
      <c r="E226" s="2">
        <v>45992</v>
      </c>
      <c r="F226" s="1" t="s">
        <v>235</v>
      </c>
      <c r="G226" s="1" t="s">
        <v>1351</v>
      </c>
      <c r="H226" s="1" t="s">
        <v>1352</v>
      </c>
      <c r="I226" s="1">
        <v>1</v>
      </c>
      <c r="J226" s="3">
        <v>15998</v>
      </c>
      <c r="K226" s="3">
        <v>15266</v>
      </c>
      <c r="L226" s="1">
        <v>0</v>
      </c>
      <c r="M226" s="4">
        <v>0</v>
      </c>
      <c r="N226" s="1">
        <v>732</v>
      </c>
      <c r="O226" s="4">
        <v>4.5999999999999999E-2</v>
      </c>
      <c r="P226" s="1" t="s">
        <v>2721</v>
      </c>
    </row>
    <row r="227" spans="1:16">
      <c r="A227" s="1" t="s">
        <v>15</v>
      </c>
      <c r="B227" s="1">
        <v>12</v>
      </c>
      <c r="C227" s="1" t="s">
        <v>1349</v>
      </c>
      <c r="D227" s="1" t="s">
        <v>1350</v>
      </c>
      <c r="E227" s="2">
        <v>45992</v>
      </c>
      <c r="F227" s="1" t="s">
        <v>235</v>
      </c>
      <c r="G227" s="1" t="s">
        <v>1351</v>
      </c>
      <c r="H227" s="1" t="s">
        <v>1353</v>
      </c>
      <c r="I227" s="1">
        <v>1</v>
      </c>
      <c r="J227" s="3">
        <v>15998</v>
      </c>
      <c r="K227" s="3">
        <v>15266</v>
      </c>
      <c r="L227" s="1">
        <v>0</v>
      </c>
      <c r="M227" s="4">
        <v>0</v>
      </c>
      <c r="N227" s="3">
        <v>732</v>
      </c>
      <c r="O227" s="4">
        <v>4.5999999999999999E-2</v>
      </c>
      <c r="P227" s="1" t="s">
        <v>2721</v>
      </c>
    </row>
    <row r="228" spans="1:16">
      <c r="A228" s="1" t="s">
        <v>15</v>
      </c>
      <c r="B228" s="1">
        <v>12</v>
      </c>
      <c r="C228" s="1" t="s">
        <v>1354</v>
      </c>
      <c r="D228" s="1" t="s">
        <v>1355</v>
      </c>
      <c r="E228" s="2">
        <v>45992</v>
      </c>
      <c r="F228" s="1" t="s">
        <v>256</v>
      </c>
      <c r="G228" s="1" t="s">
        <v>1356</v>
      </c>
      <c r="H228" s="1" t="s">
        <v>1357</v>
      </c>
      <c r="I228" s="1">
        <v>1</v>
      </c>
      <c r="J228" s="3">
        <v>25990</v>
      </c>
      <c r="K228" s="3">
        <v>24800</v>
      </c>
      <c r="L228" s="1">
        <v>0</v>
      </c>
      <c r="M228" s="4">
        <v>0</v>
      </c>
      <c r="N228" s="3">
        <v>1190</v>
      </c>
      <c r="O228" s="4">
        <v>4.5999999999999999E-2</v>
      </c>
      <c r="P228" s="1" t="s">
        <v>2721</v>
      </c>
    </row>
    <row r="229" spans="1:16">
      <c r="A229" s="1" t="s">
        <v>15</v>
      </c>
      <c r="B229" s="1">
        <v>12</v>
      </c>
      <c r="C229" s="1" t="s">
        <v>1358</v>
      </c>
      <c r="D229" s="1" t="s">
        <v>1359</v>
      </c>
      <c r="E229" s="2">
        <v>45992</v>
      </c>
      <c r="F229" s="1" t="s">
        <v>63</v>
      </c>
      <c r="G229" s="1" t="s">
        <v>1360</v>
      </c>
      <c r="H229" s="1" t="s">
        <v>1361</v>
      </c>
      <c r="I229" s="1">
        <v>1</v>
      </c>
      <c r="J229" s="3">
        <v>30765</v>
      </c>
      <c r="K229" s="3">
        <v>29357</v>
      </c>
      <c r="L229" s="1">
        <v>0</v>
      </c>
      <c r="M229" s="4">
        <v>0</v>
      </c>
      <c r="N229" s="3">
        <v>1408</v>
      </c>
      <c r="O229" s="4">
        <v>4.5999999999999999E-2</v>
      </c>
      <c r="P229" s="1" t="s">
        <v>2721</v>
      </c>
    </row>
    <row r="230" spans="1:16">
      <c r="A230" s="1" t="s">
        <v>15</v>
      </c>
      <c r="B230" s="1">
        <v>12</v>
      </c>
      <c r="C230" s="1" t="s">
        <v>1362</v>
      </c>
      <c r="D230" s="1" t="s">
        <v>52</v>
      </c>
      <c r="E230" s="2">
        <v>45992</v>
      </c>
      <c r="F230" s="1" t="s">
        <v>53</v>
      </c>
      <c r="G230" s="1" t="s">
        <v>54</v>
      </c>
      <c r="H230" s="1" t="s">
        <v>55</v>
      </c>
      <c r="I230" s="1">
        <v>1</v>
      </c>
      <c r="J230" s="3">
        <v>16135</v>
      </c>
      <c r="K230" s="3">
        <v>15396</v>
      </c>
      <c r="L230" s="1">
        <v>0</v>
      </c>
      <c r="M230" s="4">
        <v>0</v>
      </c>
      <c r="N230" s="1">
        <v>739</v>
      </c>
      <c r="O230" s="4">
        <v>4.5999999999999999E-2</v>
      </c>
      <c r="P230" s="1" t="s">
        <v>2721</v>
      </c>
    </row>
    <row r="231" spans="1:16">
      <c r="A231" s="1" t="s">
        <v>15</v>
      </c>
      <c r="B231" s="1">
        <v>12</v>
      </c>
      <c r="C231" s="1" t="s">
        <v>1363</v>
      </c>
      <c r="D231" s="1" t="s">
        <v>1191</v>
      </c>
      <c r="E231" s="2">
        <v>45992</v>
      </c>
      <c r="F231" s="1" t="s">
        <v>570</v>
      </c>
      <c r="G231" s="1" t="s">
        <v>1192</v>
      </c>
      <c r="H231" s="1" t="s">
        <v>1193</v>
      </c>
      <c r="I231" s="1">
        <v>1</v>
      </c>
      <c r="J231" s="3">
        <v>16514</v>
      </c>
      <c r="K231" s="3">
        <v>15758</v>
      </c>
      <c r="L231" s="1">
        <v>0</v>
      </c>
      <c r="M231" s="4">
        <v>0</v>
      </c>
      <c r="N231" s="1">
        <v>756</v>
      </c>
      <c r="O231" s="4">
        <v>4.5999999999999999E-2</v>
      </c>
      <c r="P231" s="1" t="s">
        <v>2721</v>
      </c>
    </row>
    <row r="232" spans="1:16">
      <c r="A232" s="1" t="s">
        <v>15</v>
      </c>
      <c r="B232" s="1">
        <v>12</v>
      </c>
      <c r="C232" s="1" t="s">
        <v>1364</v>
      </c>
      <c r="D232" s="1" t="s">
        <v>516</v>
      </c>
      <c r="E232" s="2">
        <v>45992</v>
      </c>
      <c r="F232" s="1" t="s">
        <v>517</v>
      </c>
      <c r="G232" s="1" t="s">
        <v>518</v>
      </c>
      <c r="H232" s="1" t="s">
        <v>519</v>
      </c>
      <c r="I232" s="1">
        <v>1</v>
      </c>
      <c r="J232" s="3">
        <v>21528</v>
      </c>
      <c r="K232" s="3">
        <v>20542</v>
      </c>
      <c r="L232" s="1">
        <v>0</v>
      </c>
      <c r="M232" s="4">
        <v>0</v>
      </c>
      <c r="N232" s="1">
        <v>986</v>
      </c>
      <c r="O232" s="4">
        <v>4.5999999999999999E-2</v>
      </c>
      <c r="P232" s="1" t="s">
        <v>2721</v>
      </c>
    </row>
    <row r="233" spans="1:16">
      <c r="A233" s="1" t="s">
        <v>15</v>
      </c>
      <c r="B233" s="1">
        <v>12</v>
      </c>
      <c r="C233" s="1" t="s">
        <v>1365</v>
      </c>
      <c r="D233" s="1" t="s">
        <v>178</v>
      </c>
      <c r="E233" s="2">
        <v>45992</v>
      </c>
      <c r="F233" s="1" t="s">
        <v>96</v>
      </c>
      <c r="G233" s="1" t="s">
        <v>179</v>
      </c>
      <c r="H233" s="1" t="s">
        <v>180</v>
      </c>
      <c r="I233" s="1">
        <v>1</v>
      </c>
      <c r="J233" s="3">
        <v>15284</v>
      </c>
      <c r="K233" s="3">
        <v>14584</v>
      </c>
      <c r="L233" s="1">
        <v>0</v>
      </c>
      <c r="M233" s="4">
        <v>0</v>
      </c>
      <c r="N233" s="1">
        <v>700</v>
      </c>
      <c r="O233" s="4">
        <v>4.5999999999999999E-2</v>
      </c>
      <c r="P233" s="1" t="s">
        <v>2721</v>
      </c>
    </row>
    <row r="234" spans="1:16">
      <c r="A234" s="1" t="s">
        <v>15</v>
      </c>
      <c r="B234" s="1">
        <v>12</v>
      </c>
      <c r="C234" s="1" t="s">
        <v>1365</v>
      </c>
      <c r="D234" s="1" t="s">
        <v>1246</v>
      </c>
      <c r="E234" s="2">
        <v>45992</v>
      </c>
      <c r="F234" s="1" t="s">
        <v>53</v>
      </c>
      <c r="G234" s="1" t="s">
        <v>1247</v>
      </c>
      <c r="H234" s="1" t="s">
        <v>1366</v>
      </c>
      <c r="I234" s="1">
        <v>1</v>
      </c>
      <c r="J234" s="3">
        <v>8383</v>
      </c>
      <c r="K234" s="3">
        <v>7999</v>
      </c>
      <c r="L234" s="1">
        <v>0</v>
      </c>
      <c r="M234" s="4">
        <v>0</v>
      </c>
      <c r="N234" s="1">
        <v>384</v>
      </c>
      <c r="O234" s="4">
        <v>4.5999999999999999E-2</v>
      </c>
      <c r="P234" s="1" t="s">
        <v>2721</v>
      </c>
    </row>
    <row r="235" spans="1:16">
      <c r="A235" s="1" t="s">
        <v>15</v>
      </c>
      <c r="B235" s="1">
        <v>12</v>
      </c>
      <c r="C235" s="1" t="s">
        <v>1367</v>
      </c>
      <c r="D235" s="1" t="s">
        <v>169</v>
      </c>
      <c r="E235" s="2">
        <v>45992</v>
      </c>
      <c r="F235" s="1" t="s">
        <v>53</v>
      </c>
      <c r="G235" s="1" t="s">
        <v>170</v>
      </c>
      <c r="H235" s="1" t="s">
        <v>171</v>
      </c>
      <c r="I235" s="1">
        <v>1</v>
      </c>
      <c r="J235" s="3">
        <v>14332</v>
      </c>
      <c r="K235" s="3">
        <v>13676</v>
      </c>
      <c r="L235" s="1">
        <v>0</v>
      </c>
      <c r="M235" s="4">
        <v>0</v>
      </c>
      <c r="N235" s="1">
        <v>656</v>
      </c>
      <c r="O235" s="4">
        <v>4.5999999999999999E-2</v>
      </c>
      <c r="P235" s="1" t="s">
        <v>2721</v>
      </c>
    </row>
    <row r="236" spans="1:16">
      <c r="A236" s="1" t="s">
        <v>15</v>
      </c>
      <c r="B236" s="1">
        <v>12</v>
      </c>
      <c r="C236" s="1" t="s">
        <v>1368</v>
      </c>
      <c r="D236" s="1" t="s">
        <v>169</v>
      </c>
      <c r="E236" s="2">
        <v>45992</v>
      </c>
      <c r="F236" s="1" t="s">
        <v>53</v>
      </c>
      <c r="G236" s="1" t="s">
        <v>170</v>
      </c>
      <c r="H236" s="1" t="s">
        <v>171</v>
      </c>
      <c r="I236" s="1">
        <v>1</v>
      </c>
      <c r="J236" s="3">
        <v>14332</v>
      </c>
      <c r="K236" s="3">
        <v>13676</v>
      </c>
      <c r="L236" s="1">
        <v>0</v>
      </c>
      <c r="M236" s="4">
        <v>0</v>
      </c>
      <c r="N236" s="1">
        <v>656</v>
      </c>
      <c r="O236" s="4">
        <v>4.5999999999999999E-2</v>
      </c>
      <c r="P236" s="1" t="s">
        <v>2721</v>
      </c>
    </row>
    <row r="237" spans="1:16">
      <c r="A237" s="1" t="s">
        <v>15</v>
      </c>
      <c r="B237" s="1">
        <v>12</v>
      </c>
      <c r="C237" s="1" t="s">
        <v>1369</v>
      </c>
      <c r="D237" s="1" t="s">
        <v>132</v>
      </c>
      <c r="E237" s="2">
        <v>45992</v>
      </c>
      <c r="F237" s="1" t="s">
        <v>53</v>
      </c>
      <c r="G237" s="1" t="s">
        <v>133</v>
      </c>
      <c r="H237" s="1" t="s">
        <v>88</v>
      </c>
      <c r="I237" s="1">
        <v>1</v>
      </c>
      <c r="J237" s="3">
        <v>17036</v>
      </c>
      <c r="K237" s="3">
        <v>16256</v>
      </c>
      <c r="L237" s="1">
        <v>0</v>
      </c>
      <c r="M237" s="4">
        <v>0</v>
      </c>
      <c r="N237" s="1">
        <v>780</v>
      </c>
      <c r="O237" s="4">
        <v>4.5999999999999999E-2</v>
      </c>
      <c r="P237" s="1" t="s">
        <v>2721</v>
      </c>
    </row>
    <row r="238" spans="1:16">
      <c r="A238" s="1" t="s">
        <v>15</v>
      </c>
      <c r="B238" s="1">
        <v>12</v>
      </c>
      <c r="C238" s="1" t="s">
        <v>1370</v>
      </c>
      <c r="D238" s="1" t="s">
        <v>250</v>
      </c>
      <c r="E238" s="2">
        <v>45992</v>
      </c>
      <c r="F238" s="1" t="s">
        <v>251</v>
      </c>
      <c r="G238" s="1" t="s">
        <v>252</v>
      </c>
      <c r="H238" s="1" t="s">
        <v>253</v>
      </c>
      <c r="I238" s="1">
        <v>1</v>
      </c>
      <c r="J238" s="3">
        <v>17203</v>
      </c>
      <c r="K238" s="3">
        <v>16415</v>
      </c>
      <c r="L238" s="1">
        <v>0</v>
      </c>
      <c r="M238" s="4">
        <v>0</v>
      </c>
      <c r="N238" s="1">
        <v>788</v>
      </c>
      <c r="O238" s="4">
        <v>4.5999999999999999E-2</v>
      </c>
      <c r="P238" s="1" t="s">
        <v>2721</v>
      </c>
    </row>
    <row r="239" spans="1:16">
      <c r="A239" s="1" t="s">
        <v>15</v>
      </c>
      <c r="B239" s="1">
        <v>12</v>
      </c>
      <c r="C239" s="1" t="s">
        <v>1371</v>
      </c>
      <c r="D239" s="1" t="s">
        <v>238</v>
      </c>
      <c r="E239" s="2">
        <v>45992</v>
      </c>
      <c r="F239" s="1" t="s">
        <v>239</v>
      </c>
      <c r="G239" s="1" t="s">
        <v>240</v>
      </c>
      <c r="H239" s="1" t="s">
        <v>241</v>
      </c>
      <c r="I239" s="1">
        <v>1</v>
      </c>
      <c r="J239" s="3">
        <v>11305</v>
      </c>
      <c r="K239" s="3">
        <v>10787</v>
      </c>
      <c r="L239" s="1">
        <v>0</v>
      </c>
      <c r="M239" s="4">
        <v>0</v>
      </c>
      <c r="N239" s="3">
        <v>518</v>
      </c>
      <c r="O239" s="4">
        <v>4.5999999999999999E-2</v>
      </c>
      <c r="P239" s="1" t="s">
        <v>2721</v>
      </c>
    </row>
    <row r="240" spans="1:16">
      <c r="A240" s="1" t="s">
        <v>15</v>
      </c>
      <c r="B240" s="1">
        <v>12</v>
      </c>
      <c r="C240" s="1" t="s">
        <v>1372</v>
      </c>
      <c r="D240" s="1" t="s">
        <v>878</v>
      </c>
      <c r="E240" s="2">
        <v>45992</v>
      </c>
      <c r="F240" s="1" t="s">
        <v>856</v>
      </c>
      <c r="G240" s="1" t="s">
        <v>879</v>
      </c>
      <c r="H240" s="1" t="s">
        <v>880</v>
      </c>
      <c r="I240" s="1">
        <v>1</v>
      </c>
      <c r="J240" s="3">
        <v>89453</v>
      </c>
      <c r="K240" s="3">
        <v>85358</v>
      </c>
      <c r="L240" s="1">
        <v>0</v>
      </c>
      <c r="M240" s="4">
        <v>0</v>
      </c>
      <c r="N240" s="3">
        <v>4095</v>
      </c>
      <c r="O240" s="4">
        <v>4.5999999999999999E-2</v>
      </c>
      <c r="P240" s="1" t="s">
        <v>2721</v>
      </c>
    </row>
    <row r="241" spans="1:16">
      <c r="A241" s="1" t="s">
        <v>15</v>
      </c>
      <c r="B241" s="1">
        <v>12</v>
      </c>
      <c r="C241" s="1" t="s">
        <v>1373</v>
      </c>
      <c r="D241" s="1" t="s">
        <v>72</v>
      </c>
      <c r="E241" s="2">
        <v>45992</v>
      </c>
      <c r="F241" s="1" t="s">
        <v>63</v>
      </c>
      <c r="G241" s="1" t="s">
        <v>73</v>
      </c>
      <c r="H241" s="1" t="s">
        <v>74</v>
      </c>
      <c r="I241" s="1">
        <v>1</v>
      </c>
      <c r="J241" s="3">
        <v>10456</v>
      </c>
      <c r="K241" s="3">
        <v>9978</v>
      </c>
      <c r="L241" s="1">
        <v>0</v>
      </c>
      <c r="M241" s="4">
        <v>0</v>
      </c>
      <c r="N241" s="1">
        <v>478</v>
      </c>
      <c r="O241" s="4">
        <v>4.5999999999999999E-2</v>
      </c>
      <c r="P241" s="1" t="s">
        <v>2721</v>
      </c>
    </row>
    <row r="242" spans="1:16">
      <c r="A242" s="1" t="s">
        <v>15</v>
      </c>
      <c r="B242" s="1">
        <v>12</v>
      </c>
      <c r="C242" s="1" t="s">
        <v>1374</v>
      </c>
      <c r="D242" s="1" t="s">
        <v>1375</v>
      </c>
      <c r="E242" s="2">
        <v>45992</v>
      </c>
      <c r="F242" s="1" t="s">
        <v>256</v>
      </c>
      <c r="G242" s="1" t="s">
        <v>1376</v>
      </c>
      <c r="H242" s="1" t="s">
        <v>1377</v>
      </c>
      <c r="I242" s="1">
        <v>1</v>
      </c>
      <c r="J242" s="3">
        <v>8208</v>
      </c>
      <c r="K242" s="3">
        <v>7832</v>
      </c>
      <c r="L242" s="1">
        <v>0</v>
      </c>
      <c r="M242" s="4">
        <v>0</v>
      </c>
      <c r="N242" s="1">
        <v>376</v>
      </c>
      <c r="O242" s="4">
        <v>4.5999999999999999E-2</v>
      </c>
      <c r="P242" s="1" t="s">
        <v>2721</v>
      </c>
    </row>
    <row r="243" spans="1:16">
      <c r="A243" s="1" t="s">
        <v>15</v>
      </c>
      <c r="B243" s="1">
        <v>12</v>
      </c>
      <c r="C243" s="1" t="s">
        <v>1378</v>
      </c>
      <c r="D243" s="1" t="s">
        <v>777</v>
      </c>
      <c r="E243" s="2">
        <v>45992</v>
      </c>
      <c r="F243" s="1" t="s">
        <v>256</v>
      </c>
      <c r="G243" s="1" t="s">
        <v>778</v>
      </c>
      <c r="H243" s="1" t="s">
        <v>779</v>
      </c>
      <c r="I243" s="1">
        <v>1</v>
      </c>
      <c r="J243" s="3">
        <v>11010</v>
      </c>
      <c r="K243" s="3">
        <v>10506</v>
      </c>
      <c r="L243" s="1">
        <v>0</v>
      </c>
      <c r="M243" s="4">
        <v>0</v>
      </c>
      <c r="N243" s="3">
        <v>504</v>
      </c>
      <c r="O243" s="4">
        <v>4.5999999999999999E-2</v>
      </c>
      <c r="P243" s="1" t="s">
        <v>2721</v>
      </c>
    </row>
    <row r="244" spans="1:16">
      <c r="A244" s="1" t="s">
        <v>15</v>
      </c>
      <c r="B244" s="1">
        <v>12</v>
      </c>
      <c r="C244" s="1" t="s">
        <v>1379</v>
      </c>
      <c r="D244" s="1" t="s">
        <v>1380</v>
      </c>
      <c r="E244" s="2">
        <v>45992</v>
      </c>
      <c r="F244" s="1" t="s">
        <v>1381</v>
      </c>
      <c r="G244" s="1" t="s">
        <v>1382</v>
      </c>
      <c r="H244" s="1" t="s">
        <v>1383</v>
      </c>
      <c r="I244" s="1">
        <v>1</v>
      </c>
      <c r="J244" s="3">
        <v>34792</v>
      </c>
      <c r="K244" s="3">
        <v>33200</v>
      </c>
      <c r="L244" s="1">
        <v>0</v>
      </c>
      <c r="M244" s="4">
        <v>0</v>
      </c>
      <c r="N244" s="3">
        <v>1592</v>
      </c>
      <c r="O244" s="4">
        <v>4.5999999999999999E-2</v>
      </c>
      <c r="P244" s="1" t="s">
        <v>2721</v>
      </c>
    </row>
    <row r="245" spans="1:16">
      <c r="A245" s="1" t="s">
        <v>15</v>
      </c>
      <c r="B245" s="1">
        <v>12</v>
      </c>
      <c r="C245" s="1" t="s">
        <v>1384</v>
      </c>
      <c r="D245" s="1" t="s">
        <v>1385</v>
      </c>
      <c r="E245" s="2">
        <v>45992</v>
      </c>
      <c r="F245" s="1" t="s">
        <v>368</v>
      </c>
      <c r="G245" s="1" t="s">
        <v>1386</v>
      </c>
      <c r="H245" s="1" t="s">
        <v>1387</v>
      </c>
      <c r="I245" s="1">
        <v>2</v>
      </c>
      <c r="J245" s="3">
        <v>17906</v>
      </c>
      <c r="K245" s="3">
        <v>17087</v>
      </c>
      <c r="L245" s="1">
        <v>0</v>
      </c>
      <c r="M245" s="4">
        <v>0</v>
      </c>
      <c r="N245" s="1">
        <v>819</v>
      </c>
      <c r="O245" s="4">
        <v>4.5999999999999999E-2</v>
      </c>
      <c r="P245" s="1" t="s">
        <v>2721</v>
      </c>
    </row>
    <row r="246" spans="1:16">
      <c r="A246" s="1" t="s">
        <v>15</v>
      </c>
      <c r="B246" s="1">
        <v>12</v>
      </c>
      <c r="C246" s="1" t="s">
        <v>1384</v>
      </c>
      <c r="D246" s="1" t="s">
        <v>386</v>
      </c>
      <c r="E246" s="2">
        <v>45992</v>
      </c>
      <c r="F246" s="1" t="s">
        <v>368</v>
      </c>
      <c r="G246" s="1" t="s">
        <v>387</v>
      </c>
      <c r="H246" s="1" t="s">
        <v>388</v>
      </c>
      <c r="I246" s="1">
        <v>2</v>
      </c>
      <c r="J246" s="3">
        <v>17906</v>
      </c>
      <c r="K246" s="3">
        <v>17087</v>
      </c>
      <c r="L246" s="1">
        <v>0</v>
      </c>
      <c r="M246" s="4">
        <v>0</v>
      </c>
      <c r="N246" s="1">
        <v>819</v>
      </c>
      <c r="O246" s="4">
        <v>4.5999999999999999E-2</v>
      </c>
      <c r="P246" s="1" t="s">
        <v>2721</v>
      </c>
    </row>
    <row r="247" spans="1:16">
      <c r="A247" s="1" t="s">
        <v>15</v>
      </c>
      <c r="B247" s="1">
        <v>12</v>
      </c>
      <c r="C247" s="1" t="s">
        <v>1388</v>
      </c>
      <c r="D247" s="1" t="s">
        <v>1389</v>
      </c>
      <c r="E247" s="2">
        <v>45992</v>
      </c>
      <c r="F247" s="1" t="s">
        <v>96</v>
      </c>
      <c r="G247" s="1" t="s">
        <v>1390</v>
      </c>
      <c r="H247" s="1" t="s">
        <v>1391</v>
      </c>
      <c r="I247" s="1">
        <v>1</v>
      </c>
      <c r="J247" s="3">
        <v>10518</v>
      </c>
      <c r="K247" s="3">
        <v>10037</v>
      </c>
      <c r="L247" s="1">
        <v>0</v>
      </c>
      <c r="M247" s="4">
        <v>0</v>
      </c>
      <c r="N247" s="1">
        <v>481</v>
      </c>
      <c r="O247" s="4">
        <v>4.5999999999999999E-2</v>
      </c>
      <c r="P247" s="1" t="s">
        <v>2721</v>
      </c>
    </row>
    <row r="248" spans="1:16">
      <c r="A248" s="1" t="s">
        <v>15</v>
      </c>
      <c r="B248" s="1">
        <v>12</v>
      </c>
      <c r="C248" s="1" t="s">
        <v>1392</v>
      </c>
      <c r="D248" s="1" t="s">
        <v>1393</v>
      </c>
      <c r="E248" s="2">
        <v>45992</v>
      </c>
      <c r="F248" s="1" t="s">
        <v>235</v>
      </c>
      <c r="G248" s="1" t="s">
        <v>1394</v>
      </c>
      <c r="H248" s="1" t="s">
        <v>1395</v>
      </c>
      <c r="I248" s="1">
        <v>1</v>
      </c>
      <c r="J248" s="3">
        <v>8110</v>
      </c>
      <c r="K248" s="3">
        <v>7739</v>
      </c>
      <c r="L248" s="1">
        <v>0</v>
      </c>
      <c r="M248" s="4">
        <v>0</v>
      </c>
      <c r="N248" s="1">
        <v>371</v>
      </c>
      <c r="O248" s="4">
        <v>4.5999999999999999E-2</v>
      </c>
      <c r="P248" s="1" t="s">
        <v>2721</v>
      </c>
    </row>
    <row r="249" spans="1:16">
      <c r="A249" s="1" t="s">
        <v>15</v>
      </c>
      <c r="B249" s="1">
        <v>12</v>
      </c>
      <c r="C249" s="1" t="s">
        <v>1396</v>
      </c>
      <c r="D249" s="1" t="s">
        <v>1153</v>
      </c>
      <c r="E249" s="2">
        <v>45992</v>
      </c>
      <c r="F249" s="1" t="s">
        <v>235</v>
      </c>
      <c r="G249" s="1" t="s">
        <v>1154</v>
      </c>
      <c r="H249" s="1" t="s">
        <v>1155</v>
      </c>
      <c r="I249" s="1">
        <v>1</v>
      </c>
      <c r="J249" s="3">
        <v>14254</v>
      </c>
      <c r="K249" s="3">
        <v>13601</v>
      </c>
      <c r="L249" s="1">
        <v>0</v>
      </c>
      <c r="M249" s="4">
        <v>0</v>
      </c>
      <c r="N249" s="1">
        <v>653</v>
      </c>
      <c r="O249" s="4">
        <v>4.5999999999999999E-2</v>
      </c>
      <c r="P249" s="1" t="s">
        <v>2721</v>
      </c>
    </row>
    <row r="250" spans="1:16">
      <c r="A250" s="1" t="s">
        <v>15</v>
      </c>
      <c r="B250" s="1">
        <v>12</v>
      </c>
      <c r="C250" s="1" t="s">
        <v>1397</v>
      </c>
      <c r="D250" s="1" t="s">
        <v>90</v>
      </c>
      <c r="E250" s="2">
        <v>45992</v>
      </c>
      <c r="F250" s="1" t="s">
        <v>91</v>
      </c>
      <c r="G250" s="1" t="s">
        <v>92</v>
      </c>
      <c r="H250" s="1" t="s">
        <v>93</v>
      </c>
      <c r="I250" s="1">
        <v>1</v>
      </c>
      <c r="J250" s="3">
        <v>13526</v>
      </c>
      <c r="K250" s="3">
        <v>12907</v>
      </c>
      <c r="L250" s="1">
        <v>0</v>
      </c>
      <c r="M250" s="4">
        <v>0</v>
      </c>
      <c r="N250" s="3">
        <v>619</v>
      </c>
      <c r="O250" s="4">
        <v>4.5999999999999999E-2</v>
      </c>
      <c r="P250" s="1" t="s">
        <v>2721</v>
      </c>
    </row>
    <row r="251" spans="1:16">
      <c r="A251" s="1" t="s">
        <v>15</v>
      </c>
      <c r="B251" s="1">
        <v>12</v>
      </c>
      <c r="C251" s="1" t="s">
        <v>1398</v>
      </c>
      <c r="D251" s="1" t="s">
        <v>1399</v>
      </c>
      <c r="E251" s="2">
        <v>45992</v>
      </c>
      <c r="F251" s="1" t="s">
        <v>261</v>
      </c>
      <c r="G251" s="1" t="s">
        <v>1400</v>
      </c>
      <c r="H251" s="1" t="s">
        <v>1400</v>
      </c>
      <c r="I251" s="1">
        <v>1</v>
      </c>
      <c r="J251" s="3">
        <v>23592</v>
      </c>
      <c r="K251" s="3">
        <v>22512</v>
      </c>
      <c r="L251" s="1">
        <v>0</v>
      </c>
      <c r="M251" s="4">
        <v>0</v>
      </c>
      <c r="N251" s="3">
        <v>1080</v>
      </c>
      <c r="O251" s="4">
        <v>4.5999999999999999E-2</v>
      </c>
      <c r="P251" s="1" t="s">
        <v>2721</v>
      </c>
    </row>
    <row r="252" spans="1:16">
      <c r="A252" s="1" t="s">
        <v>15</v>
      </c>
      <c r="B252" s="1">
        <v>12</v>
      </c>
      <c r="C252" s="1" t="s">
        <v>1401</v>
      </c>
      <c r="D252" s="1" t="s">
        <v>1402</v>
      </c>
      <c r="E252" s="2">
        <v>45992</v>
      </c>
      <c r="F252" s="1" t="s">
        <v>1403</v>
      </c>
      <c r="G252" s="1" t="s">
        <v>1404</v>
      </c>
      <c r="H252" s="1" t="s">
        <v>1405</v>
      </c>
      <c r="I252" s="1">
        <v>1</v>
      </c>
      <c r="J252" s="3">
        <v>5407</v>
      </c>
      <c r="K252" s="3">
        <v>5159</v>
      </c>
      <c r="L252" s="1">
        <v>0</v>
      </c>
      <c r="M252" s="4">
        <v>0</v>
      </c>
      <c r="N252" s="1">
        <v>248</v>
      </c>
      <c r="O252" s="4">
        <v>4.5999999999999999E-2</v>
      </c>
      <c r="P252" s="1" t="s">
        <v>2721</v>
      </c>
    </row>
    <row r="253" spans="1:16">
      <c r="A253" s="1" t="s">
        <v>15</v>
      </c>
      <c r="B253" s="1">
        <v>12</v>
      </c>
      <c r="C253" s="1" t="s">
        <v>1406</v>
      </c>
      <c r="D253" s="1" t="s">
        <v>132</v>
      </c>
      <c r="E253" s="2">
        <v>45992</v>
      </c>
      <c r="F253" s="1" t="s">
        <v>53</v>
      </c>
      <c r="G253" s="1" t="s">
        <v>133</v>
      </c>
      <c r="H253" s="1" t="s">
        <v>88</v>
      </c>
      <c r="I253" s="1">
        <v>1</v>
      </c>
      <c r="J253" s="3">
        <v>17036</v>
      </c>
      <c r="K253" s="3">
        <v>16256</v>
      </c>
      <c r="L253" s="1">
        <v>0</v>
      </c>
      <c r="M253" s="4">
        <v>0</v>
      </c>
      <c r="N253" s="1">
        <v>780</v>
      </c>
      <c r="O253" s="4">
        <v>4.5999999999999999E-2</v>
      </c>
      <c r="P253" s="1" t="s">
        <v>2721</v>
      </c>
    </row>
    <row r="254" spans="1:16">
      <c r="A254" s="1" t="s">
        <v>15</v>
      </c>
      <c r="B254" s="1">
        <v>12</v>
      </c>
      <c r="C254" s="1" t="s">
        <v>1407</v>
      </c>
      <c r="D254" s="1" t="s">
        <v>333</v>
      </c>
      <c r="E254" s="2">
        <v>45992</v>
      </c>
      <c r="F254" s="1" t="s">
        <v>334</v>
      </c>
      <c r="G254" s="1" t="s">
        <v>335</v>
      </c>
      <c r="H254" s="1" t="s">
        <v>1408</v>
      </c>
      <c r="I254" s="1">
        <v>1</v>
      </c>
      <c r="J254" s="3">
        <v>5505</v>
      </c>
      <c r="K254" s="3">
        <v>5253</v>
      </c>
      <c r="L254" s="1">
        <v>0</v>
      </c>
      <c r="M254" s="4">
        <v>0</v>
      </c>
      <c r="N254" s="1">
        <v>252</v>
      </c>
      <c r="O254" s="4">
        <v>4.5999999999999999E-2</v>
      </c>
      <c r="P254" s="1" t="s">
        <v>2721</v>
      </c>
    </row>
    <row r="255" spans="1:16">
      <c r="A255" s="1" t="s">
        <v>15</v>
      </c>
      <c r="B255" s="1">
        <v>12</v>
      </c>
      <c r="C255" s="1" t="s">
        <v>1409</v>
      </c>
      <c r="D255" s="1" t="s">
        <v>1410</v>
      </c>
      <c r="E255" s="2">
        <v>45992</v>
      </c>
      <c r="F255" s="1" t="s">
        <v>1411</v>
      </c>
      <c r="G255" s="1" t="s">
        <v>1412</v>
      </c>
      <c r="H255" s="1" t="s">
        <v>1413</v>
      </c>
      <c r="I255" s="1">
        <v>1</v>
      </c>
      <c r="J255" s="3">
        <v>15214</v>
      </c>
      <c r="K255" s="3">
        <v>14517</v>
      </c>
      <c r="L255" s="1">
        <v>0</v>
      </c>
      <c r="M255" s="4">
        <v>0</v>
      </c>
      <c r="N255" s="1">
        <v>697</v>
      </c>
      <c r="O255" s="4">
        <v>4.5999999999999999E-2</v>
      </c>
      <c r="P255" s="1" t="s">
        <v>2721</v>
      </c>
    </row>
    <row r="256" spans="1:16">
      <c r="A256" s="1" t="s">
        <v>15</v>
      </c>
      <c r="B256" s="1">
        <v>12</v>
      </c>
      <c r="C256" s="1" t="s">
        <v>1414</v>
      </c>
      <c r="D256" s="1" t="s">
        <v>492</v>
      </c>
      <c r="E256" s="2">
        <v>45992</v>
      </c>
      <c r="F256" s="1" t="s">
        <v>493</v>
      </c>
      <c r="G256" s="1" t="s">
        <v>494</v>
      </c>
      <c r="H256" s="1" t="s">
        <v>495</v>
      </c>
      <c r="I256" s="1">
        <v>1</v>
      </c>
      <c r="J256" s="3">
        <v>7569</v>
      </c>
      <c r="K256" s="3">
        <v>7223</v>
      </c>
      <c r="L256" s="1">
        <v>0</v>
      </c>
      <c r="M256" s="4">
        <v>0</v>
      </c>
      <c r="N256" s="1">
        <v>346</v>
      </c>
      <c r="O256" s="4">
        <v>4.5999999999999999E-2</v>
      </c>
      <c r="P256" s="1" t="s">
        <v>2721</v>
      </c>
    </row>
    <row r="257" spans="1:16">
      <c r="A257" s="1" t="s">
        <v>15</v>
      </c>
      <c r="B257" s="1">
        <v>12</v>
      </c>
      <c r="C257" s="1" t="s">
        <v>1415</v>
      </c>
      <c r="D257" s="1" t="s">
        <v>238</v>
      </c>
      <c r="E257" s="2">
        <v>45992</v>
      </c>
      <c r="F257" s="1" t="s">
        <v>239</v>
      </c>
      <c r="G257" s="1" t="s">
        <v>240</v>
      </c>
      <c r="H257" s="1" t="s">
        <v>241</v>
      </c>
      <c r="I257" s="1">
        <v>1</v>
      </c>
      <c r="J257" s="3">
        <v>11305</v>
      </c>
      <c r="K257" s="3">
        <v>10787</v>
      </c>
      <c r="L257" s="1">
        <v>0</v>
      </c>
      <c r="M257" s="4">
        <v>0</v>
      </c>
      <c r="N257" s="3">
        <v>518</v>
      </c>
      <c r="O257" s="4">
        <v>4.5999999999999999E-2</v>
      </c>
      <c r="P257" s="1" t="s">
        <v>2721</v>
      </c>
    </row>
    <row r="258" spans="1:16">
      <c r="A258" s="1" t="s">
        <v>15</v>
      </c>
      <c r="B258" s="1">
        <v>12</v>
      </c>
      <c r="C258" s="1" t="s">
        <v>1416</v>
      </c>
      <c r="D258" s="1" t="s">
        <v>27</v>
      </c>
      <c r="E258" s="2">
        <v>45992</v>
      </c>
      <c r="F258" s="1" t="s">
        <v>28</v>
      </c>
      <c r="G258" s="1" t="s">
        <v>29</v>
      </c>
      <c r="H258" s="1" t="s">
        <v>30</v>
      </c>
      <c r="I258" s="1">
        <v>1</v>
      </c>
      <c r="J258" s="3">
        <v>27033</v>
      </c>
      <c r="K258" s="3">
        <v>25795</v>
      </c>
      <c r="L258" s="1">
        <v>0</v>
      </c>
      <c r="M258" s="4">
        <v>0</v>
      </c>
      <c r="N258" s="3">
        <v>1238</v>
      </c>
      <c r="O258" s="4">
        <v>4.5999999999999999E-2</v>
      </c>
      <c r="P258" s="1" t="s">
        <v>2721</v>
      </c>
    </row>
    <row r="259" spans="1:16">
      <c r="A259" s="1" t="s">
        <v>15</v>
      </c>
      <c r="B259" s="1">
        <v>12</v>
      </c>
      <c r="C259" s="1" t="s">
        <v>1417</v>
      </c>
      <c r="D259" s="1" t="s">
        <v>72</v>
      </c>
      <c r="E259" s="2">
        <v>45992</v>
      </c>
      <c r="F259" s="1" t="s">
        <v>63</v>
      </c>
      <c r="G259" s="1" t="s">
        <v>73</v>
      </c>
      <c r="H259" s="1" t="s">
        <v>74</v>
      </c>
      <c r="I259" s="1">
        <v>1</v>
      </c>
      <c r="J259" s="3">
        <v>10456</v>
      </c>
      <c r="K259" s="3">
        <v>9978</v>
      </c>
      <c r="L259" s="1">
        <v>0</v>
      </c>
      <c r="M259" s="4">
        <v>0</v>
      </c>
      <c r="N259" s="1">
        <v>478</v>
      </c>
      <c r="O259" s="4">
        <v>4.5999999999999999E-2</v>
      </c>
      <c r="P259" s="1" t="s">
        <v>2721</v>
      </c>
    </row>
    <row r="260" spans="1:16">
      <c r="A260" s="1" t="s">
        <v>15</v>
      </c>
      <c r="B260" s="1">
        <v>12</v>
      </c>
      <c r="C260" s="1" t="s">
        <v>1418</v>
      </c>
      <c r="D260" s="1" t="s">
        <v>1419</v>
      </c>
      <c r="E260" s="2">
        <v>45992</v>
      </c>
      <c r="F260" s="1" t="s">
        <v>96</v>
      </c>
      <c r="G260" s="1" t="s">
        <v>1420</v>
      </c>
      <c r="H260" s="1" t="s">
        <v>1421</v>
      </c>
      <c r="I260" s="1">
        <v>1</v>
      </c>
      <c r="J260" s="3">
        <v>11550</v>
      </c>
      <c r="K260" s="3">
        <v>11022</v>
      </c>
      <c r="L260" s="1">
        <v>0</v>
      </c>
      <c r="M260" s="4">
        <v>0</v>
      </c>
      <c r="N260" s="1">
        <v>528</v>
      </c>
      <c r="O260" s="4">
        <v>4.5999999999999999E-2</v>
      </c>
      <c r="P260" s="1" t="s">
        <v>2721</v>
      </c>
    </row>
    <row r="261" spans="1:16">
      <c r="A261" s="1" t="s">
        <v>15</v>
      </c>
      <c r="B261" s="1">
        <v>12</v>
      </c>
      <c r="C261" s="1" t="s">
        <v>1422</v>
      </c>
      <c r="D261" s="1" t="s">
        <v>1423</v>
      </c>
      <c r="E261" s="2">
        <v>45992</v>
      </c>
      <c r="F261" s="1" t="s">
        <v>1424</v>
      </c>
      <c r="G261" s="1" t="s">
        <v>1425</v>
      </c>
      <c r="H261" s="1" t="s">
        <v>1426</v>
      </c>
      <c r="I261" s="1">
        <v>1</v>
      </c>
      <c r="J261" s="3">
        <v>20152</v>
      </c>
      <c r="K261" s="3">
        <v>19229</v>
      </c>
      <c r="L261" s="1">
        <v>0</v>
      </c>
      <c r="M261" s="4">
        <v>0</v>
      </c>
      <c r="N261" s="1">
        <v>923</v>
      </c>
      <c r="O261" s="4">
        <v>4.5999999999999999E-2</v>
      </c>
      <c r="P261" s="1" t="s">
        <v>2721</v>
      </c>
    </row>
    <row r="262" spans="1:16">
      <c r="A262" s="1" t="s">
        <v>15</v>
      </c>
      <c r="B262" s="1">
        <v>12</v>
      </c>
      <c r="C262" s="1" t="s">
        <v>1427</v>
      </c>
      <c r="D262" s="1" t="s">
        <v>1250</v>
      </c>
      <c r="E262" s="2">
        <v>45992</v>
      </c>
      <c r="F262" s="1" t="s">
        <v>18</v>
      </c>
      <c r="G262" s="1" t="s">
        <v>1251</v>
      </c>
      <c r="H262" s="1" t="s">
        <v>1252</v>
      </c>
      <c r="I262" s="1">
        <v>1</v>
      </c>
      <c r="J262" s="3">
        <v>8395</v>
      </c>
      <c r="K262" s="3">
        <v>8011</v>
      </c>
      <c r="L262" s="1">
        <v>0</v>
      </c>
      <c r="M262" s="4">
        <v>0</v>
      </c>
      <c r="N262" s="1">
        <v>384</v>
      </c>
      <c r="O262" s="4">
        <v>4.5999999999999999E-2</v>
      </c>
      <c r="P262" s="1" t="s">
        <v>2721</v>
      </c>
    </row>
    <row r="263" spans="1:16">
      <c r="A263" s="1" t="s">
        <v>15</v>
      </c>
      <c r="B263" s="1">
        <v>12</v>
      </c>
      <c r="C263" s="1" t="s">
        <v>1427</v>
      </c>
      <c r="D263" s="1" t="s">
        <v>1250</v>
      </c>
      <c r="E263" s="2">
        <v>45992</v>
      </c>
      <c r="F263" s="1" t="s">
        <v>18</v>
      </c>
      <c r="G263" s="1" t="s">
        <v>1251</v>
      </c>
      <c r="H263" s="1" t="s">
        <v>1428</v>
      </c>
      <c r="I263" s="1">
        <v>1</v>
      </c>
      <c r="J263" s="3">
        <v>8395</v>
      </c>
      <c r="K263" s="3">
        <v>8011</v>
      </c>
      <c r="L263" s="1">
        <v>0</v>
      </c>
      <c r="M263" s="4">
        <v>0</v>
      </c>
      <c r="N263" s="1">
        <v>384</v>
      </c>
      <c r="O263" s="4">
        <v>4.5999999999999999E-2</v>
      </c>
      <c r="P263" s="1" t="s">
        <v>2721</v>
      </c>
    </row>
    <row r="264" spans="1:16">
      <c r="A264" s="1" t="s">
        <v>15</v>
      </c>
      <c r="B264" s="1">
        <v>12</v>
      </c>
      <c r="C264" s="1" t="s">
        <v>1429</v>
      </c>
      <c r="D264" s="1" t="s">
        <v>504</v>
      </c>
      <c r="E264" s="2">
        <v>45992</v>
      </c>
      <c r="F264" s="1" t="s">
        <v>407</v>
      </c>
      <c r="G264" s="1" t="s">
        <v>505</v>
      </c>
      <c r="H264" s="1" t="s">
        <v>1334</v>
      </c>
      <c r="I264" s="1">
        <v>1</v>
      </c>
      <c r="J264" s="3">
        <v>8552</v>
      </c>
      <c r="K264" s="3">
        <v>8161</v>
      </c>
      <c r="L264" s="1">
        <v>0</v>
      </c>
      <c r="M264" s="4">
        <v>0</v>
      </c>
      <c r="N264" s="1">
        <v>391</v>
      </c>
      <c r="O264" s="4">
        <v>4.5999999999999999E-2</v>
      </c>
      <c r="P264" s="1" t="s">
        <v>2721</v>
      </c>
    </row>
    <row r="265" spans="1:16">
      <c r="A265" s="1" t="s">
        <v>15</v>
      </c>
      <c r="B265" s="1">
        <v>12</v>
      </c>
      <c r="C265" s="1" t="s">
        <v>1429</v>
      </c>
      <c r="D265" s="1" t="s">
        <v>960</v>
      </c>
      <c r="E265" s="2">
        <v>45992</v>
      </c>
      <c r="F265" s="1" t="s">
        <v>407</v>
      </c>
      <c r="G265" s="1" t="s">
        <v>961</v>
      </c>
      <c r="H265" s="1" t="s">
        <v>962</v>
      </c>
      <c r="I265" s="1">
        <v>1</v>
      </c>
      <c r="J265" s="3">
        <v>14745</v>
      </c>
      <c r="K265" s="3">
        <v>14070</v>
      </c>
      <c r="L265" s="1">
        <v>0</v>
      </c>
      <c r="M265" s="4">
        <v>0</v>
      </c>
      <c r="N265" s="3">
        <v>675</v>
      </c>
      <c r="O265" s="4">
        <v>4.5999999999999999E-2</v>
      </c>
      <c r="P265" s="1" t="s">
        <v>2721</v>
      </c>
    </row>
    <row r="266" spans="1:16">
      <c r="A266" s="1" t="s">
        <v>15</v>
      </c>
      <c r="B266" s="1">
        <v>12</v>
      </c>
      <c r="C266" s="1" t="s">
        <v>1430</v>
      </c>
      <c r="D266" s="1" t="s">
        <v>1431</v>
      </c>
      <c r="E266" s="2">
        <v>45992</v>
      </c>
      <c r="F266" s="1" t="s">
        <v>500</v>
      </c>
      <c r="G266" s="1" t="s">
        <v>1432</v>
      </c>
      <c r="H266" s="1" t="s">
        <v>1433</v>
      </c>
      <c r="I266" s="1">
        <v>1</v>
      </c>
      <c r="J266" s="3">
        <v>155625</v>
      </c>
      <c r="K266" s="3">
        <v>148500</v>
      </c>
      <c r="L266" s="1">
        <v>0</v>
      </c>
      <c r="M266" s="4">
        <v>0</v>
      </c>
      <c r="N266" s="3">
        <v>7125</v>
      </c>
      <c r="O266" s="4">
        <v>4.5999999999999999E-2</v>
      </c>
      <c r="P266" s="1" t="s">
        <v>2721</v>
      </c>
    </row>
    <row r="267" spans="1:16">
      <c r="A267" s="1" t="s">
        <v>15</v>
      </c>
      <c r="B267" s="1">
        <v>12</v>
      </c>
      <c r="C267" s="1" t="s">
        <v>1434</v>
      </c>
      <c r="D267" s="1" t="s">
        <v>777</v>
      </c>
      <c r="E267" s="2">
        <v>45992</v>
      </c>
      <c r="F267" s="1" t="s">
        <v>256</v>
      </c>
      <c r="G267" s="1" t="s">
        <v>778</v>
      </c>
      <c r="H267" s="1" t="s">
        <v>779</v>
      </c>
      <c r="I267" s="1">
        <v>1</v>
      </c>
      <c r="J267" s="3">
        <v>11010</v>
      </c>
      <c r="K267" s="3">
        <v>10506</v>
      </c>
      <c r="L267" s="1">
        <v>0</v>
      </c>
      <c r="M267" s="4">
        <v>0</v>
      </c>
      <c r="N267" s="1">
        <v>504</v>
      </c>
      <c r="O267" s="4">
        <v>4.5999999999999999E-2</v>
      </c>
      <c r="P267" s="1" t="s">
        <v>2721</v>
      </c>
    </row>
    <row r="268" spans="1:16">
      <c r="A268" s="1" t="s">
        <v>15</v>
      </c>
      <c r="B268" s="1">
        <v>12</v>
      </c>
      <c r="C268" s="1" t="s">
        <v>1435</v>
      </c>
      <c r="D268" s="1" t="s">
        <v>516</v>
      </c>
      <c r="E268" s="2">
        <v>45992</v>
      </c>
      <c r="F268" s="1" t="s">
        <v>517</v>
      </c>
      <c r="G268" s="1" t="s">
        <v>518</v>
      </c>
      <c r="H268" s="1" t="s">
        <v>519</v>
      </c>
      <c r="I268" s="1">
        <v>1</v>
      </c>
      <c r="J268" s="3">
        <v>21528</v>
      </c>
      <c r="K268" s="3">
        <v>20542</v>
      </c>
      <c r="L268" s="1">
        <v>0</v>
      </c>
      <c r="M268" s="4">
        <v>0</v>
      </c>
      <c r="N268" s="1">
        <v>986</v>
      </c>
      <c r="O268" s="4">
        <v>4.5999999999999999E-2</v>
      </c>
      <c r="P268" s="1" t="s">
        <v>2721</v>
      </c>
    </row>
    <row r="269" spans="1:16">
      <c r="A269" s="1" t="s">
        <v>15</v>
      </c>
      <c r="B269" s="1">
        <v>12</v>
      </c>
      <c r="C269" s="1" t="s">
        <v>1436</v>
      </c>
      <c r="D269" s="1" t="s">
        <v>169</v>
      </c>
      <c r="E269" s="2">
        <v>45992</v>
      </c>
      <c r="F269" s="1" t="s">
        <v>53</v>
      </c>
      <c r="G269" s="1" t="s">
        <v>170</v>
      </c>
      <c r="H269" s="1" t="s">
        <v>171</v>
      </c>
      <c r="I269" s="1">
        <v>1</v>
      </c>
      <c r="J269" s="3">
        <v>14332</v>
      </c>
      <c r="K269" s="3">
        <v>13676</v>
      </c>
      <c r="L269" s="1">
        <v>0</v>
      </c>
      <c r="M269" s="4">
        <v>0</v>
      </c>
      <c r="N269" s="1">
        <v>656</v>
      </c>
      <c r="O269" s="4">
        <v>4.5999999999999999E-2</v>
      </c>
      <c r="P269" s="1" t="s">
        <v>2721</v>
      </c>
    </row>
    <row r="270" spans="1:16">
      <c r="A270" s="1" t="s">
        <v>15</v>
      </c>
      <c r="B270" s="1">
        <v>12</v>
      </c>
      <c r="C270" s="1" t="s">
        <v>1437</v>
      </c>
      <c r="D270" s="1" t="s">
        <v>1438</v>
      </c>
      <c r="E270" s="2">
        <v>45992</v>
      </c>
      <c r="F270" s="1" t="s">
        <v>126</v>
      </c>
      <c r="G270" s="1" t="s">
        <v>1439</v>
      </c>
      <c r="H270" s="1" t="s">
        <v>1440</v>
      </c>
      <c r="I270" s="1">
        <v>1</v>
      </c>
      <c r="J270" s="3">
        <v>20643</v>
      </c>
      <c r="K270" s="3">
        <v>19698</v>
      </c>
      <c r="L270" s="1">
        <v>0</v>
      </c>
      <c r="M270" s="4">
        <v>0</v>
      </c>
      <c r="N270" s="1">
        <v>945</v>
      </c>
      <c r="O270" s="4">
        <v>4.5999999999999999E-2</v>
      </c>
      <c r="P270" s="1" t="s">
        <v>2721</v>
      </c>
    </row>
    <row r="271" spans="1:16">
      <c r="A271" s="1" t="s">
        <v>15</v>
      </c>
      <c r="B271" s="1">
        <v>12</v>
      </c>
      <c r="C271" s="1" t="s">
        <v>1441</v>
      </c>
      <c r="D271" s="1" t="s">
        <v>777</v>
      </c>
      <c r="E271" s="2">
        <v>45992</v>
      </c>
      <c r="F271" s="1" t="s">
        <v>256</v>
      </c>
      <c r="G271" s="1" t="s">
        <v>778</v>
      </c>
      <c r="H271" s="1" t="s">
        <v>779</v>
      </c>
      <c r="I271" s="1">
        <v>1</v>
      </c>
      <c r="J271" s="3">
        <v>11010</v>
      </c>
      <c r="K271" s="3">
        <v>10506</v>
      </c>
      <c r="L271" s="1">
        <v>0</v>
      </c>
      <c r="M271" s="4">
        <v>0</v>
      </c>
      <c r="N271" s="1">
        <v>504</v>
      </c>
      <c r="O271" s="4">
        <v>4.5999999999999999E-2</v>
      </c>
      <c r="P271" s="1" t="s">
        <v>2721</v>
      </c>
    </row>
    <row r="272" spans="1:16">
      <c r="A272" s="1" t="s">
        <v>15</v>
      </c>
      <c r="B272" s="1">
        <v>12</v>
      </c>
      <c r="C272" s="1" t="s">
        <v>1442</v>
      </c>
      <c r="D272" s="1" t="s">
        <v>1443</v>
      </c>
      <c r="E272" s="2">
        <v>45992</v>
      </c>
      <c r="F272" s="1" t="s">
        <v>96</v>
      </c>
      <c r="G272" s="1" t="s">
        <v>1444</v>
      </c>
      <c r="H272" s="1" t="s">
        <v>1444</v>
      </c>
      <c r="I272" s="1">
        <v>1</v>
      </c>
      <c r="J272" s="3">
        <v>9858</v>
      </c>
      <c r="K272" s="3">
        <v>9406</v>
      </c>
      <c r="L272" s="1">
        <v>0</v>
      </c>
      <c r="M272" s="4">
        <v>0</v>
      </c>
      <c r="N272" s="1">
        <v>452</v>
      </c>
      <c r="O272" s="4">
        <v>4.5999999999999999E-2</v>
      </c>
      <c r="P272" s="1" t="s">
        <v>2721</v>
      </c>
    </row>
    <row r="273" spans="1:16">
      <c r="A273" s="1" t="s">
        <v>15</v>
      </c>
      <c r="B273" s="1">
        <v>12</v>
      </c>
      <c r="C273" s="1" t="s">
        <v>1445</v>
      </c>
      <c r="D273" s="1" t="s">
        <v>504</v>
      </c>
      <c r="E273" s="2">
        <v>45992</v>
      </c>
      <c r="F273" s="1" t="s">
        <v>407</v>
      </c>
      <c r="G273" s="1" t="s">
        <v>505</v>
      </c>
      <c r="H273" s="1" t="s">
        <v>1004</v>
      </c>
      <c r="I273" s="1">
        <v>1</v>
      </c>
      <c r="J273" s="3">
        <v>9339</v>
      </c>
      <c r="K273" s="3">
        <v>8911</v>
      </c>
      <c r="L273" s="1">
        <v>0</v>
      </c>
      <c r="M273" s="4">
        <v>0</v>
      </c>
      <c r="N273" s="3">
        <v>428</v>
      </c>
      <c r="O273" s="4">
        <v>4.5999999999999999E-2</v>
      </c>
      <c r="P273" s="1" t="s">
        <v>2721</v>
      </c>
    </row>
    <row r="274" spans="1:16">
      <c r="A274" s="1" t="s">
        <v>15</v>
      </c>
      <c r="B274" s="1">
        <v>12</v>
      </c>
      <c r="C274" s="1" t="s">
        <v>1446</v>
      </c>
      <c r="D274" s="1" t="s">
        <v>1447</v>
      </c>
      <c r="E274" s="2">
        <v>45992</v>
      </c>
      <c r="F274" s="1" t="s">
        <v>302</v>
      </c>
      <c r="G274" s="1" t="s">
        <v>1448</v>
      </c>
      <c r="H274" s="1" t="s">
        <v>1449</v>
      </c>
      <c r="I274" s="1">
        <v>1</v>
      </c>
      <c r="J274" s="3">
        <v>22609</v>
      </c>
      <c r="K274" s="3">
        <v>21574</v>
      </c>
      <c r="L274" s="1">
        <v>0</v>
      </c>
      <c r="M274" s="4">
        <v>0</v>
      </c>
      <c r="N274" s="3">
        <v>1035</v>
      </c>
      <c r="O274" s="4">
        <v>4.5999999999999999E-2</v>
      </c>
      <c r="P274" s="1" t="s">
        <v>2721</v>
      </c>
    </row>
    <row r="275" spans="1:16">
      <c r="A275" s="1" t="s">
        <v>15</v>
      </c>
      <c r="B275" s="1">
        <v>12</v>
      </c>
      <c r="C275" s="1" t="s">
        <v>1450</v>
      </c>
      <c r="D275" s="1" t="s">
        <v>212</v>
      </c>
      <c r="E275" s="2">
        <v>45992</v>
      </c>
      <c r="F275" s="1" t="s">
        <v>213</v>
      </c>
      <c r="G275" s="1" t="s">
        <v>214</v>
      </c>
      <c r="H275" s="1" t="s">
        <v>215</v>
      </c>
      <c r="I275" s="1">
        <v>1</v>
      </c>
      <c r="J275" s="3">
        <v>16220</v>
      </c>
      <c r="K275" s="3">
        <v>15477</v>
      </c>
      <c r="L275" s="1">
        <v>0</v>
      </c>
      <c r="M275" s="4">
        <v>0</v>
      </c>
      <c r="N275" s="1">
        <v>743</v>
      </c>
      <c r="O275" s="4">
        <v>4.5999999999999999E-2</v>
      </c>
      <c r="P275" s="1" t="s">
        <v>2721</v>
      </c>
    </row>
    <row r="276" spans="1:16">
      <c r="A276" s="1" t="s">
        <v>15</v>
      </c>
      <c r="B276" s="1">
        <v>12</v>
      </c>
      <c r="C276" s="1" t="s">
        <v>1451</v>
      </c>
      <c r="D276" s="1" t="s">
        <v>960</v>
      </c>
      <c r="E276" s="2">
        <v>45992</v>
      </c>
      <c r="F276" s="1" t="s">
        <v>407</v>
      </c>
      <c r="G276" s="1" t="s">
        <v>961</v>
      </c>
      <c r="H276" s="1" t="s">
        <v>962</v>
      </c>
      <c r="I276" s="1">
        <v>1</v>
      </c>
      <c r="J276" s="3">
        <v>14745</v>
      </c>
      <c r="K276" s="3">
        <v>14070</v>
      </c>
      <c r="L276" s="1">
        <v>0</v>
      </c>
      <c r="M276" s="4">
        <v>0</v>
      </c>
      <c r="N276" s="1">
        <v>675</v>
      </c>
      <c r="O276" s="4">
        <v>4.5999999999999999E-2</v>
      </c>
      <c r="P276" s="1" t="s">
        <v>2721</v>
      </c>
    </row>
    <row r="277" spans="1:16">
      <c r="A277" s="1" t="s">
        <v>15</v>
      </c>
      <c r="B277" s="1">
        <v>12</v>
      </c>
      <c r="C277" s="1" t="s">
        <v>1451</v>
      </c>
      <c r="D277" s="1" t="s">
        <v>1452</v>
      </c>
      <c r="E277" s="2">
        <v>45992</v>
      </c>
      <c r="F277" s="1" t="s">
        <v>407</v>
      </c>
      <c r="G277" s="1" t="s">
        <v>1453</v>
      </c>
      <c r="H277" s="1" t="s">
        <v>1454</v>
      </c>
      <c r="I277" s="1">
        <v>1</v>
      </c>
      <c r="J277" s="3">
        <v>10715</v>
      </c>
      <c r="K277" s="3">
        <v>10224</v>
      </c>
      <c r="L277" s="1">
        <v>0</v>
      </c>
      <c r="M277" s="4">
        <v>0</v>
      </c>
      <c r="N277" s="1">
        <v>491</v>
      </c>
      <c r="O277" s="4">
        <v>4.5999999999999999E-2</v>
      </c>
      <c r="P277" s="1" t="s">
        <v>2721</v>
      </c>
    </row>
    <row r="278" spans="1:16">
      <c r="A278" s="1" t="s">
        <v>15</v>
      </c>
      <c r="B278" s="1">
        <v>12</v>
      </c>
      <c r="C278" s="1" t="s">
        <v>1455</v>
      </c>
      <c r="D278" s="1" t="s">
        <v>1438</v>
      </c>
      <c r="E278" s="2">
        <v>45992</v>
      </c>
      <c r="F278" s="1" t="s">
        <v>126</v>
      </c>
      <c r="G278" s="1" t="s">
        <v>1439</v>
      </c>
      <c r="H278" s="1" t="s">
        <v>1440</v>
      </c>
      <c r="I278" s="1">
        <v>1</v>
      </c>
      <c r="J278" s="3">
        <v>20643</v>
      </c>
      <c r="K278" s="3">
        <v>19698</v>
      </c>
      <c r="L278" s="1">
        <v>0</v>
      </c>
      <c r="M278" s="4">
        <v>0</v>
      </c>
      <c r="N278" s="3">
        <v>945</v>
      </c>
      <c r="O278" s="4">
        <v>4.5999999999999999E-2</v>
      </c>
      <c r="P278" s="1" t="s">
        <v>2721</v>
      </c>
    </row>
    <row r="279" spans="1:16">
      <c r="A279" s="1" t="s">
        <v>15</v>
      </c>
      <c r="B279" s="1">
        <v>12</v>
      </c>
      <c r="C279" s="1" t="s">
        <v>1456</v>
      </c>
      <c r="D279" s="1" t="s">
        <v>1457</v>
      </c>
      <c r="E279" s="2">
        <v>45992</v>
      </c>
      <c r="F279" s="1" t="s">
        <v>347</v>
      </c>
      <c r="G279" s="1" t="s">
        <v>1458</v>
      </c>
      <c r="H279" s="1" t="s">
        <v>1459</v>
      </c>
      <c r="I279" s="1">
        <v>1</v>
      </c>
      <c r="J279" s="3">
        <v>23120</v>
      </c>
      <c r="K279" s="3">
        <v>22062</v>
      </c>
      <c r="L279" s="1">
        <v>0</v>
      </c>
      <c r="M279" s="4">
        <v>0</v>
      </c>
      <c r="N279" s="3">
        <v>1058</v>
      </c>
      <c r="O279" s="4">
        <v>4.5999999999999999E-2</v>
      </c>
      <c r="P279" s="1" t="s">
        <v>2721</v>
      </c>
    </row>
    <row r="280" spans="1:16">
      <c r="A280" s="1" t="s">
        <v>15</v>
      </c>
      <c r="B280" s="1">
        <v>12</v>
      </c>
      <c r="C280" s="1" t="s">
        <v>1460</v>
      </c>
      <c r="D280" s="1" t="s">
        <v>244</v>
      </c>
      <c r="E280" s="2">
        <v>45992</v>
      </c>
      <c r="F280" s="1" t="s">
        <v>53</v>
      </c>
      <c r="G280" s="1" t="s">
        <v>245</v>
      </c>
      <c r="H280" s="1" t="s">
        <v>246</v>
      </c>
      <c r="I280" s="1">
        <v>1</v>
      </c>
      <c r="J280" s="3">
        <v>8272</v>
      </c>
      <c r="K280" s="3">
        <v>7893</v>
      </c>
      <c r="L280" s="1">
        <v>0</v>
      </c>
      <c r="M280" s="4">
        <v>0</v>
      </c>
      <c r="N280" s="1">
        <v>379</v>
      </c>
      <c r="O280" s="4">
        <v>4.5999999999999999E-2</v>
      </c>
      <c r="P280" s="1" t="s">
        <v>2721</v>
      </c>
    </row>
    <row r="281" spans="1:16">
      <c r="A281" s="1" t="s">
        <v>15</v>
      </c>
      <c r="B281" s="1">
        <v>12</v>
      </c>
      <c r="C281" s="1" t="s">
        <v>1461</v>
      </c>
      <c r="D281" s="1" t="s">
        <v>86</v>
      </c>
      <c r="E281" s="2">
        <v>45992</v>
      </c>
      <c r="F281" s="1" t="s">
        <v>53</v>
      </c>
      <c r="G281" s="1" t="s">
        <v>87</v>
      </c>
      <c r="H281" s="1" t="s">
        <v>88</v>
      </c>
      <c r="I281" s="1">
        <v>1</v>
      </c>
      <c r="J281" s="3">
        <v>14956</v>
      </c>
      <c r="K281" s="3">
        <v>14272</v>
      </c>
      <c r="L281" s="1">
        <v>0</v>
      </c>
      <c r="M281" s="4">
        <v>0</v>
      </c>
      <c r="N281" s="1">
        <v>684</v>
      </c>
      <c r="O281" s="4">
        <v>4.5999999999999999E-2</v>
      </c>
      <c r="P281" s="1" t="s">
        <v>2721</v>
      </c>
    </row>
    <row r="282" spans="1:16">
      <c r="A282" s="1" t="s">
        <v>15</v>
      </c>
      <c r="B282" s="1">
        <v>12</v>
      </c>
      <c r="C282" s="1" t="s">
        <v>1462</v>
      </c>
      <c r="D282" s="1" t="s">
        <v>390</v>
      </c>
      <c r="E282" s="2">
        <v>45992</v>
      </c>
      <c r="F282" s="1" t="s">
        <v>256</v>
      </c>
      <c r="G282" s="1" t="s">
        <v>391</v>
      </c>
      <c r="H282" s="1" t="s">
        <v>392</v>
      </c>
      <c r="I282" s="1">
        <v>1</v>
      </c>
      <c r="J282" s="3">
        <v>12799</v>
      </c>
      <c r="K282" s="3">
        <v>12213</v>
      </c>
      <c r="L282" s="1">
        <v>0</v>
      </c>
      <c r="M282" s="4">
        <v>0</v>
      </c>
      <c r="N282" s="1">
        <v>586</v>
      </c>
      <c r="O282" s="4">
        <v>4.5999999999999999E-2</v>
      </c>
      <c r="P282" s="1" t="s">
        <v>2721</v>
      </c>
    </row>
    <row r="283" spans="1:16">
      <c r="A283" s="1" t="s">
        <v>15</v>
      </c>
      <c r="B283" s="1">
        <v>12</v>
      </c>
      <c r="C283" s="1" t="s">
        <v>1463</v>
      </c>
      <c r="D283" s="1" t="s">
        <v>1026</v>
      </c>
      <c r="E283" s="2">
        <v>45992</v>
      </c>
      <c r="F283" s="1" t="s">
        <v>256</v>
      </c>
      <c r="G283" s="1" t="s">
        <v>1027</v>
      </c>
      <c r="H283" s="1" t="s">
        <v>1464</v>
      </c>
      <c r="I283" s="1">
        <v>1</v>
      </c>
      <c r="J283" s="3">
        <v>15433</v>
      </c>
      <c r="K283" s="3">
        <v>14727</v>
      </c>
      <c r="L283" s="1">
        <v>0</v>
      </c>
      <c r="M283" s="4">
        <v>0</v>
      </c>
      <c r="N283" s="3">
        <v>706</v>
      </c>
      <c r="O283" s="4">
        <v>4.5999999999999999E-2</v>
      </c>
      <c r="P283" s="1" t="s">
        <v>2721</v>
      </c>
    </row>
    <row r="284" spans="1:16">
      <c r="A284" s="1" t="s">
        <v>15</v>
      </c>
      <c r="B284" s="1">
        <v>12</v>
      </c>
      <c r="C284" s="1" t="s">
        <v>1465</v>
      </c>
      <c r="D284" s="1" t="s">
        <v>1226</v>
      </c>
      <c r="E284" s="2">
        <v>45992</v>
      </c>
      <c r="F284" s="1" t="s">
        <v>500</v>
      </c>
      <c r="G284" s="1" t="s">
        <v>1227</v>
      </c>
      <c r="H284" s="1" t="s">
        <v>1228</v>
      </c>
      <c r="I284" s="1">
        <v>2</v>
      </c>
      <c r="J284" s="3">
        <v>530275</v>
      </c>
      <c r="K284" s="3">
        <v>506000</v>
      </c>
      <c r="L284" s="1">
        <v>0</v>
      </c>
      <c r="M284" s="4">
        <v>0</v>
      </c>
      <c r="N284" s="3">
        <v>24275</v>
      </c>
      <c r="O284" s="4">
        <v>4.5999999999999999E-2</v>
      </c>
      <c r="P284" s="1" t="s">
        <v>2721</v>
      </c>
    </row>
    <row r="285" spans="1:16">
      <c r="A285" s="1" t="s">
        <v>15</v>
      </c>
      <c r="B285" s="1">
        <v>12</v>
      </c>
      <c r="C285" s="1" t="s">
        <v>1466</v>
      </c>
      <c r="D285" s="1" t="s">
        <v>1467</v>
      </c>
      <c r="E285" s="2">
        <v>45992</v>
      </c>
      <c r="F285" s="1" t="s">
        <v>126</v>
      </c>
      <c r="G285" s="1" t="s">
        <v>1468</v>
      </c>
      <c r="H285" s="1" t="s">
        <v>1469</v>
      </c>
      <c r="I285" s="1">
        <v>1</v>
      </c>
      <c r="J285" s="3">
        <v>17989</v>
      </c>
      <c r="K285" s="3">
        <v>17165</v>
      </c>
      <c r="L285" s="1">
        <v>0</v>
      </c>
      <c r="M285" s="4">
        <v>0</v>
      </c>
      <c r="N285" s="1">
        <v>824</v>
      </c>
      <c r="O285" s="4">
        <v>4.5999999999999999E-2</v>
      </c>
      <c r="P285" s="1" t="s">
        <v>2721</v>
      </c>
    </row>
    <row r="286" spans="1:16">
      <c r="A286" s="1" t="s">
        <v>15</v>
      </c>
      <c r="B286" s="1">
        <v>12</v>
      </c>
      <c r="C286" s="1" t="s">
        <v>1470</v>
      </c>
      <c r="D286" s="1" t="s">
        <v>504</v>
      </c>
      <c r="E286" s="2">
        <v>45992</v>
      </c>
      <c r="F286" s="1" t="s">
        <v>407</v>
      </c>
      <c r="G286" s="1" t="s">
        <v>505</v>
      </c>
      <c r="H286" s="1" t="s">
        <v>1004</v>
      </c>
      <c r="I286" s="1">
        <v>2</v>
      </c>
      <c r="J286" s="3">
        <v>18677</v>
      </c>
      <c r="K286" s="3">
        <v>17822</v>
      </c>
      <c r="L286" s="1">
        <v>0</v>
      </c>
      <c r="M286" s="4">
        <v>0</v>
      </c>
      <c r="N286" s="3">
        <v>855</v>
      </c>
      <c r="O286" s="4">
        <v>4.5999999999999999E-2</v>
      </c>
      <c r="P286" s="1" t="s">
        <v>2721</v>
      </c>
    </row>
    <row r="287" spans="1:16">
      <c r="A287" s="1" t="s">
        <v>15</v>
      </c>
      <c r="B287" s="1">
        <v>12</v>
      </c>
      <c r="C287" s="1" t="s">
        <v>1471</v>
      </c>
      <c r="D287" s="1" t="s">
        <v>32</v>
      </c>
      <c r="E287" s="2">
        <v>45992</v>
      </c>
      <c r="F287" s="1" t="s">
        <v>33</v>
      </c>
      <c r="G287" s="1" t="s">
        <v>34</v>
      </c>
      <c r="H287" s="1" t="s">
        <v>1472</v>
      </c>
      <c r="I287" s="1">
        <v>1</v>
      </c>
      <c r="J287" s="3">
        <v>86482</v>
      </c>
      <c r="K287" s="3">
        <v>82523</v>
      </c>
      <c r="L287" s="1">
        <v>0</v>
      </c>
      <c r="M287" s="4">
        <v>0</v>
      </c>
      <c r="N287" s="3">
        <v>3959</v>
      </c>
      <c r="O287" s="4">
        <v>4.5999999999999999E-2</v>
      </c>
      <c r="P287" s="1" t="s">
        <v>2721</v>
      </c>
    </row>
    <row r="288" spans="1:16">
      <c r="A288" s="1" t="s">
        <v>15</v>
      </c>
      <c r="B288" s="1">
        <v>12</v>
      </c>
      <c r="C288" s="1" t="s">
        <v>1473</v>
      </c>
      <c r="D288" s="1" t="s">
        <v>504</v>
      </c>
      <c r="E288" s="2">
        <v>45992</v>
      </c>
      <c r="F288" s="1" t="s">
        <v>407</v>
      </c>
      <c r="G288" s="1" t="s">
        <v>505</v>
      </c>
      <c r="H288" s="1" t="s">
        <v>1322</v>
      </c>
      <c r="I288" s="1">
        <v>1</v>
      </c>
      <c r="J288" s="3">
        <v>23592</v>
      </c>
      <c r="K288" s="3">
        <v>22512</v>
      </c>
      <c r="L288" s="1">
        <v>0</v>
      </c>
      <c r="M288" s="4">
        <v>0</v>
      </c>
      <c r="N288" s="3">
        <v>1080</v>
      </c>
      <c r="O288" s="4">
        <v>4.5999999999999999E-2</v>
      </c>
      <c r="P288" s="1" t="s">
        <v>2721</v>
      </c>
    </row>
    <row r="289" spans="1:16">
      <c r="A289" s="1" t="s">
        <v>15</v>
      </c>
      <c r="B289" s="1">
        <v>12</v>
      </c>
      <c r="C289" s="1" t="s">
        <v>1473</v>
      </c>
      <c r="D289" s="1" t="s">
        <v>1452</v>
      </c>
      <c r="E289" s="2">
        <v>45992</v>
      </c>
      <c r="F289" s="1" t="s">
        <v>407</v>
      </c>
      <c r="G289" s="1" t="s">
        <v>1453</v>
      </c>
      <c r="H289" s="1" t="s">
        <v>1474</v>
      </c>
      <c r="I289" s="1">
        <v>1</v>
      </c>
      <c r="J289" s="3">
        <v>11305</v>
      </c>
      <c r="K289" s="3">
        <v>10787</v>
      </c>
      <c r="L289" s="1">
        <v>0</v>
      </c>
      <c r="M289" s="4">
        <v>0</v>
      </c>
      <c r="N289" s="1">
        <v>518</v>
      </c>
      <c r="O289" s="4">
        <v>4.5999999999999999E-2</v>
      </c>
      <c r="P289" s="1" t="s">
        <v>2721</v>
      </c>
    </row>
    <row r="290" spans="1:16">
      <c r="A290" s="1" t="s">
        <v>15</v>
      </c>
      <c r="B290" s="1">
        <v>12</v>
      </c>
      <c r="C290" s="1" t="s">
        <v>1473</v>
      </c>
      <c r="D290" s="1" t="s">
        <v>1475</v>
      </c>
      <c r="E290" s="2">
        <v>45992</v>
      </c>
      <c r="F290" s="1" t="s">
        <v>407</v>
      </c>
      <c r="G290" s="1" t="s">
        <v>1476</v>
      </c>
      <c r="H290" s="1" t="s">
        <v>1477</v>
      </c>
      <c r="I290" s="1">
        <v>1</v>
      </c>
      <c r="J290" s="3">
        <v>11305</v>
      </c>
      <c r="K290" s="3">
        <v>10787</v>
      </c>
      <c r="L290" s="1">
        <v>0</v>
      </c>
      <c r="M290" s="4">
        <v>0</v>
      </c>
      <c r="N290" s="3">
        <v>518</v>
      </c>
      <c r="O290" s="4">
        <v>4.5999999999999999E-2</v>
      </c>
      <c r="P290" s="1" t="s">
        <v>2721</v>
      </c>
    </row>
    <row r="291" spans="1:16">
      <c r="A291" s="1" t="s">
        <v>15</v>
      </c>
      <c r="B291" s="1">
        <v>12</v>
      </c>
      <c r="C291" s="1" t="s">
        <v>1478</v>
      </c>
      <c r="D291" s="1" t="s">
        <v>1479</v>
      </c>
      <c r="E291" s="2">
        <v>45992</v>
      </c>
      <c r="F291" s="1" t="s">
        <v>187</v>
      </c>
      <c r="G291" s="1" t="s">
        <v>1480</v>
      </c>
      <c r="H291" s="1" t="s">
        <v>1481</v>
      </c>
      <c r="I291" s="1">
        <v>1</v>
      </c>
      <c r="J291" s="3">
        <v>54065</v>
      </c>
      <c r="K291" s="3">
        <v>51590</v>
      </c>
      <c r="L291" s="1">
        <v>0</v>
      </c>
      <c r="M291" s="4">
        <v>0</v>
      </c>
      <c r="N291" s="3">
        <v>2475</v>
      </c>
      <c r="O291" s="4">
        <v>4.5999999999999999E-2</v>
      </c>
      <c r="P291" s="1" t="s">
        <v>2721</v>
      </c>
    </row>
    <row r="292" spans="1:16">
      <c r="A292" s="1" t="s">
        <v>15</v>
      </c>
      <c r="B292" s="1">
        <v>12</v>
      </c>
      <c r="C292" s="1" t="s">
        <v>1482</v>
      </c>
      <c r="D292" s="1" t="s">
        <v>516</v>
      </c>
      <c r="E292" s="2">
        <v>45992</v>
      </c>
      <c r="F292" s="1" t="s">
        <v>517</v>
      </c>
      <c r="G292" s="1" t="s">
        <v>518</v>
      </c>
      <c r="H292" s="1" t="s">
        <v>519</v>
      </c>
      <c r="I292" s="1">
        <v>2</v>
      </c>
      <c r="J292" s="3">
        <v>43055</v>
      </c>
      <c r="K292" s="3">
        <v>41084</v>
      </c>
      <c r="L292" s="1">
        <v>0</v>
      </c>
      <c r="M292" s="4">
        <v>0</v>
      </c>
      <c r="N292" s="3">
        <v>1971</v>
      </c>
      <c r="O292" s="4">
        <v>4.5999999999999999E-2</v>
      </c>
      <c r="P292" s="1" t="s">
        <v>2721</v>
      </c>
    </row>
    <row r="293" spans="1:16">
      <c r="A293" s="1" t="s">
        <v>15</v>
      </c>
      <c r="B293" s="1">
        <v>12</v>
      </c>
      <c r="C293" s="1" t="s">
        <v>1482</v>
      </c>
      <c r="D293" s="1" t="s">
        <v>516</v>
      </c>
      <c r="E293" s="2">
        <v>45992</v>
      </c>
      <c r="F293" s="1" t="s">
        <v>517</v>
      </c>
      <c r="G293" s="1" t="s">
        <v>518</v>
      </c>
      <c r="H293" s="1" t="s">
        <v>519</v>
      </c>
      <c r="I293" s="1">
        <v>1</v>
      </c>
      <c r="J293" s="3">
        <v>21528</v>
      </c>
      <c r="K293" s="3">
        <v>20542</v>
      </c>
      <c r="L293" s="1">
        <v>0</v>
      </c>
      <c r="M293" s="4">
        <v>0</v>
      </c>
      <c r="N293" s="1">
        <v>986</v>
      </c>
      <c r="O293" s="4">
        <v>4.5999999999999999E-2</v>
      </c>
      <c r="P293" s="1" t="s">
        <v>2721</v>
      </c>
    </row>
    <row r="294" spans="1:16">
      <c r="A294" s="1" t="s">
        <v>15</v>
      </c>
      <c r="B294" s="1">
        <v>12</v>
      </c>
      <c r="C294" s="1" t="s">
        <v>1483</v>
      </c>
      <c r="D294" s="1" t="s">
        <v>1484</v>
      </c>
      <c r="E294" s="2">
        <v>45992</v>
      </c>
      <c r="F294" s="1" t="s">
        <v>1485</v>
      </c>
      <c r="G294" s="1" t="s">
        <v>1486</v>
      </c>
      <c r="H294" s="1" t="s">
        <v>1487</v>
      </c>
      <c r="I294" s="1">
        <v>1</v>
      </c>
      <c r="J294" s="3">
        <v>16416</v>
      </c>
      <c r="K294" s="3">
        <v>15665</v>
      </c>
      <c r="L294" s="1">
        <v>0</v>
      </c>
      <c r="M294" s="4">
        <v>0</v>
      </c>
      <c r="N294" s="3">
        <v>751</v>
      </c>
      <c r="O294" s="4">
        <v>4.5999999999999999E-2</v>
      </c>
      <c r="P294" s="1" t="s">
        <v>2721</v>
      </c>
    </row>
    <row r="295" spans="1:16">
      <c r="A295" s="1" t="s">
        <v>15</v>
      </c>
      <c r="B295" s="1">
        <v>12</v>
      </c>
      <c r="C295" s="1" t="s">
        <v>1488</v>
      </c>
      <c r="D295" s="1" t="s">
        <v>116</v>
      </c>
      <c r="E295" s="2">
        <v>45992</v>
      </c>
      <c r="F295" s="1" t="s">
        <v>63</v>
      </c>
      <c r="G295" s="1" t="s">
        <v>117</v>
      </c>
      <c r="H295" s="1" t="s">
        <v>580</v>
      </c>
      <c r="I295" s="1">
        <v>1</v>
      </c>
      <c r="J295" s="3">
        <v>27764</v>
      </c>
      <c r="K295" s="3">
        <v>26493</v>
      </c>
      <c r="L295" s="1">
        <v>0</v>
      </c>
      <c r="M295" s="4">
        <v>0</v>
      </c>
      <c r="N295" s="3">
        <v>1271</v>
      </c>
      <c r="O295" s="4">
        <v>4.5999999999999999E-2</v>
      </c>
      <c r="P295" s="1" t="s">
        <v>2721</v>
      </c>
    </row>
    <row r="296" spans="1:16">
      <c r="A296" s="1" t="s">
        <v>15</v>
      </c>
      <c r="B296" s="1">
        <v>12</v>
      </c>
      <c r="C296" s="1" t="s">
        <v>1489</v>
      </c>
      <c r="D296" s="1" t="s">
        <v>1490</v>
      </c>
      <c r="E296" s="2">
        <v>45992</v>
      </c>
      <c r="F296" s="1" t="s">
        <v>187</v>
      </c>
      <c r="G296" s="1" t="s">
        <v>1491</v>
      </c>
      <c r="H296" s="1" t="s">
        <v>1492</v>
      </c>
      <c r="I296" s="1">
        <v>1</v>
      </c>
      <c r="J296" s="3">
        <v>44235</v>
      </c>
      <c r="K296" s="3">
        <v>42210</v>
      </c>
      <c r="L296" s="1">
        <v>0</v>
      </c>
      <c r="M296" s="4">
        <v>0</v>
      </c>
      <c r="N296" s="3">
        <v>2025</v>
      </c>
      <c r="O296" s="4">
        <v>4.5999999999999999E-2</v>
      </c>
      <c r="P296" s="1" t="s">
        <v>2721</v>
      </c>
    </row>
    <row r="297" spans="1:16">
      <c r="A297" s="1" t="s">
        <v>15</v>
      </c>
      <c r="B297" s="1">
        <v>12</v>
      </c>
      <c r="C297" s="1" t="s">
        <v>1493</v>
      </c>
      <c r="D297" s="1" t="s">
        <v>212</v>
      </c>
      <c r="E297" s="2">
        <v>45992</v>
      </c>
      <c r="F297" s="1" t="s">
        <v>213</v>
      </c>
      <c r="G297" s="1" t="s">
        <v>214</v>
      </c>
      <c r="H297" s="1" t="s">
        <v>215</v>
      </c>
      <c r="I297" s="1">
        <v>1</v>
      </c>
      <c r="J297" s="3">
        <v>16220</v>
      </c>
      <c r="K297" s="3">
        <v>15477</v>
      </c>
      <c r="L297" s="1">
        <v>0</v>
      </c>
      <c r="M297" s="4">
        <v>0</v>
      </c>
      <c r="N297" s="1">
        <v>743</v>
      </c>
      <c r="O297" s="4">
        <v>4.5999999999999999E-2</v>
      </c>
      <c r="P297" s="1" t="s">
        <v>2721</v>
      </c>
    </row>
    <row r="298" spans="1:16">
      <c r="A298" s="1" t="s">
        <v>15</v>
      </c>
      <c r="B298" s="1">
        <v>12</v>
      </c>
      <c r="C298" s="1" t="s">
        <v>1494</v>
      </c>
      <c r="D298" s="1" t="s">
        <v>1495</v>
      </c>
      <c r="E298" s="2">
        <v>45992</v>
      </c>
      <c r="F298" s="1" t="s">
        <v>33</v>
      </c>
      <c r="G298" s="1" t="s">
        <v>1496</v>
      </c>
      <c r="H298" s="1" t="s">
        <v>1497</v>
      </c>
      <c r="I298" s="1">
        <v>1</v>
      </c>
      <c r="J298" s="3">
        <v>13494</v>
      </c>
      <c r="K298" s="3">
        <v>12876</v>
      </c>
      <c r="L298" s="1">
        <v>0</v>
      </c>
      <c r="M298" s="4">
        <v>0</v>
      </c>
      <c r="N298" s="1">
        <v>618</v>
      </c>
      <c r="O298" s="4">
        <v>4.5999999999999999E-2</v>
      </c>
      <c r="P298" s="1" t="s">
        <v>2721</v>
      </c>
    </row>
    <row r="299" spans="1:16">
      <c r="A299" s="1" t="s">
        <v>15</v>
      </c>
      <c r="B299" s="1">
        <v>12</v>
      </c>
      <c r="C299" s="1" t="s">
        <v>1498</v>
      </c>
      <c r="D299" s="1" t="s">
        <v>250</v>
      </c>
      <c r="E299" s="2">
        <v>45992</v>
      </c>
      <c r="F299" s="1" t="s">
        <v>251</v>
      </c>
      <c r="G299" s="1" t="s">
        <v>252</v>
      </c>
      <c r="H299" s="1" t="s">
        <v>253</v>
      </c>
      <c r="I299" s="1">
        <v>1</v>
      </c>
      <c r="J299" s="3">
        <v>17203</v>
      </c>
      <c r="K299" s="3">
        <v>16415</v>
      </c>
      <c r="L299" s="1">
        <v>0</v>
      </c>
      <c r="M299" s="4">
        <v>0</v>
      </c>
      <c r="N299" s="1">
        <v>788</v>
      </c>
      <c r="O299" s="4">
        <v>4.5999999999999999E-2</v>
      </c>
      <c r="P299" s="1" t="s">
        <v>2721</v>
      </c>
    </row>
    <row r="300" spans="1:16">
      <c r="A300" s="1" t="s">
        <v>15</v>
      </c>
      <c r="B300" s="1">
        <v>12</v>
      </c>
      <c r="C300" s="1" t="s">
        <v>1499</v>
      </c>
      <c r="D300" s="1" t="s">
        <v>1500</v>
      </c>
      <c r="E300" s="2">
        <v>45992</v>
      </c>
      <c r="F300" s="1" t="s">
        <v>96</v>
      </c>
      <c r="G300" s="1" t="s">
        <v>1501</v>
      </c>
      <c r="H300" s="1" t="s">
        <v>1502</v>
      </c>
      <c r="I300" s="1">
        <v>1</v>
      </c>
      <c r="J300" s="3">
        <v>11305</v>
      </c>
      <c r="K300" s="3">
        <v>10787</v>
      </c>
      <c r="L300" s="1">
        <v>0</v>
      </c>
      <c r="M300" s="4">
        <v>0</v>
      </c>
      <c r="N300" s="1">
        <v>518</v>
      </c>
      <c r="O300" s="4">
        <v>4.5999999999999999E-2</v>
      </c>
      <c r="P300" s="1" t="s">
        <v>2721</v>
      </c>
    </row>
    <row r="301" spans="1:16">
      <c r="A301" s="1" t="s">
        <v>15</v>
      </c>
      <c r="B301" s="1">
        <v>12</v>
      </c>
      <c r="C301" s="1" t="s">
        <v>1499</v>
      </c>
      <c r="D301" s="1" t="s">
        <v>1503</v>
      </c>
      <c r="E301" s="2">
        <v>45992</v>
      </c>
      <c r="F301" s="1" t="s">
        <v>96</v>
      </c>
      <c r="G301" s="1" t="s">
        <v>1504</v>
      </c>
      <c r="H301" s="1" t="s">
        <v>1505</v>
      </c>
      <c r="I301" s="1">
        <v>1</v>
      </c>
      <c r="J301" s="3">
        <v>12571</v>
      </c>
      <c r="K301" s="3">
        <v>11995</v>
      </c>
      <c r="L301" s="1">
        <v>0</v>
      </c>
      <c r="M301" s="4">
        <v>0</v>
      </c>
      <c r="N301" s="1">
        <v>576</v>
      </c>
      <c r="O301" s="4">
        <v>4.5999999999999999E-2</v>
      </c>
      <c r="P301" s="1" t="s">
        <v>2721</v>
      </c>
    </row>
    <row r="302" spans="1:16">
      <c r="A302" s="1" t="s">
        <v>15</v>
      </c>
      <c r="B302" s="1">
        <v>12</v>
      </c>
      <c r="C302" s="1" t="s">
        <v>1506</v>
      </c>
      <c r="D302" s="1" t="s">
        <v>238</v>
      </c>
      <c r="E302" s="2">
        <v>45992</v>
      </c>
      <c r="F302" s="1" t="s">
        <v>239</v>
      </c>
      <c r="G302" s="1" t="s">
        <v>240</v>
      </c>
      <c r="H302" s="1" t="s">
        <v>242</v>
      </c>
      <c r="I302" s="1">
        <v>1</v>
      </c>
      <c r="J302" s="3">
        <v>11305</v>
      </c>
      <c r="K302" s="3">
        <v>10787</v>
      </c>
      <c r="L302" s="1">
        <v>0</v>
      </c>
      <c r="M302" s="4">
        <v>0</v>
      </c>
      <c r="N302" s="1">
        <v>518</v>
      </c>
      <c r="O302" s="4">
        <v>4.5999999999999999E-2</v>
      </c>
      <c r="P302" s="1" t="s">
        <v>2721</v>
      </c>
    </row>
    <row r="303" spans="1:16">
      <c r="A303" s="1" t="s">
        <v>15</v>
      </c>
      <c r="B303" s="1">
        <v>12</v>
      </c>
      <c r="C303" s="1" t="s">
        <v>1507</v>
      </c>
      <c r="D303" s="1" t="s">
        <v>1508</v>
      </c>
      <c r="E303" s="2">
        <v>45992</v>
      </c>
      <c r="F303" s="1" t="s">
        <v>53</v>
      </c>
      <c r="G303" s="1" t="s">
        <v>1509</v>
      </c>
      <c r="H303" s="1" t="s">
        <v>1510</v>
      </c>
      <c r="I303" s="1">
        <v>1</v>
      </c>
      <c r="J303" s="3">
        <v>8022</v>
      </c>
      <c r="K303" s="3">
        <v>7655</v>
      </c>
      <c r="L303" s="1">
        <v>0</v>
      </c>
      <c r="M303" s="4">
        <v>0</v>
      </c>
      <c r="N303" s="1">
        <v>367</v>
      </c>
      <c r="O303" s="4">
        <v>4.5999999999999999E-2</v>
      </c>
      <c r="P303" s="1" t="s">
        <v>2721</v>
      </c>
    </row>
    <row r="304" spans="1:16">
      <c r="A304" s="1" t="s">
        <v>15</v>
      </c>
      <c r="B304" s="1">
        <v>12</v>
      </c>
      <c r="C304" s="1" t="s">
        <v>1511</v>
      </c>
      <c r="D304" s="1" t="s">
        <v>1512</v>
      </c>
      <c r="E304" s="2">
        <v>45992</v>
      </c>
      <c r="F304" s="1" t="s">
        <v>1513</v>
      </c>
      <c r="G304" s="1" t="s">
        <v>1514</v>
      </c>
      <c r="H304" s="1" t="s">
        <v>1515</v>
      </c>
      <c r="I304" s="1">
        <v>1</v>
      </c>
      <c r="J304" s="3">
        <v>12617</v>
      </c>
      <c r="K304" s="3">
        <v>12039</v>
      </c>
      <c r="L304" s="1">
        <v>0</v>
      </c>
      <c r="M304" s="4">
        <v>0</v>
      </c>
      <c r="N304" s="3">
        <v>578</v>
      </c>
      <c r="O304" s="4">
        <v>4.5999999999999999E-2</v>
      </c>
      <c r="P304" s="1" t="s">
        <v>2721</v>
      </c>
    </row>
    <row r="305" spans="1:16">
      <c r="A305" s="1" t="s">
        <v>15</v>
      </c>
      <c r="B305" s="1">
        <v>12</v>
      </c>
      <c r="C305" s="1" t="s">
        <v>1516</v>
      </c>
      <c r="D305" s="1" t="s">
        <v>1517</v>
      </c>
      <c r="E305" s="2">
        <v>45992</v>
      </c>
      <c r="F305" s="1" t="s">
        <v>121</v>
      </c>
      <c r="G305" s="1" t="s">
        <v>1518</v>
      </c>
      <c r="H305" s="1" t="s">
        <v>1519</v>
      </c>
      <c r="I305" s="1">
        <v>1</v>
      </c>
      <c r="J305" s="3">
        <v>63895</v>
      </c>
      <c r="K305" s="3">
        <v>60970</v>
      </c>
      <c r="L305" s="1">
        <v>0</v>
      </c>
      <c r="M305" s="4">
        <v>0</v>
      </c>
      <c r="N305" s="3">
        <v>2925</v>
      </c>
      <c r="O305" s="4">
        <v>4.5999999999999999E-2</v>
      </c>
      <c r="P305" s="1" t="s">
        <v>2721</v>
      </c>
    </row>
    <row r="306" spans="1:16">
      <c r="A306" s="1" t="s">
        <v>15</v>
      </c>
      <c r="B306" s="1">
        <v>12</v>
      </c>
      <c r="C306" s="1" t="s">
        <v>1520</v>
      </c>
      <c r="D306" s="1" t="s">
        <v>1521</v>
      </c>
      <c r="E306" s="2">
        <v>45992</v>
      </c>
      <c r="F306" s="1" t="s">
        <v>235</v>
      </c>
      <c r="G306" s="1" t="s">
        <v>1522</v>
      </c>
      <c r="H306" s="1" t="s">
        <v>1523</v>
      </c>
      <c r="I306" s="1">
        <v>1</v>
      </c>
      <c r="J306" s="3">
        <v>18555</v>
      </c>
      <c r="K306" s="3">
        <v>17706</v>
      </c>
      <c r="L306" s="1">
        <v>0</v>
      </c>
      <c r="M306" s="4">
        <v>0</v>
      </c>
      <c r="N306" s="1">
        <v>849</v>
      </c>
      <c r="O306" s="4">
        <v>4.5999999999999999E-2</v>
      </c>
      <c r="P306" s="1" t="s">
        <v>2721</v>
      </c>
    </row>
    <row r="307" spans="1:16">
      <c r="A307" s="1" t="s">
        <v>15</v>
      </c>
      <c r="B307" s="1">
        <v>12</v>
      </c>
      <c r="C307" s="1" t="s">
        <v>1524</v>
      </c>
      <c r="D307" s="1" t="s">
        <v>789</v>
      </c>
      <c r="E307" s="2">
        <v>45992</v>
      </c>
      <c r="F307" s="1" t="s">
        <v>53</v>
      </c>
      <c r="G307" s="1" t="s">
        <v>790</v>
      </c>
      <c r="H307" s="1" t="s">
        <v>791</v>
      </c>
      <c r="I307" s="1">
        <v>1</v>
      </c>
      <c r="J307" s="3">
        <v>15234</v>
      </c>
      <c r="K307" s="3">
        <v>14536</v>
      </c>
      <c r="L307" s="1">
        <v>0</v>
      </c>
      <c r="M307" s="4">
        <v>0</v>
      </c>
      <c r="N307" s="1">
        <v>698</v>
      </c>
      <c r="O307" s="4">
        <v>4.5999999999999999E-2</v>
      </c>
      <c r="P307" s="1" t="s">
        <v>2721</v>
      </c>
    </row>
    <row r="308" spans="1:16">
      <c r="A308" s="1" t="s">
        <v>15</v>
      </c>
      <c r="B308" s="1">
        <v>12</v>
      </c>
      <c r="C308" s="1" t="s">
        <v>1525</v>
      </c>
      <c r="D308" s="1" t="s">
        <v>238</v>
      </c>
      <c r="E308" s="2">
        <v>45992</v>
      </c>
      <c r="F308" s="1" t="s">
        <v>239</v>
      </c>
      <c r="G308" s="1" t="s">
        <v>240</v>
      </c>
      <c r="H308" s="1" t="s">
        <v>241</v>
      </c>
      <c r="I308" s="1">
        <v>1</v>
      </c>
      <c r="J308" s="3">
        <v>11305</v>
      </c>
      <c r="K308" s="3">
        <v>10787</v>
      </c>
      <c r="L308" s="1">
        <v>0</v>
      </c>
      <c r="M308" s="4">
        <v>0</v>
      </c>
      <c r="N308" s="1">
        <v>518</v>
      </c>
      <c r="O308" s="4">
        <v>4.5999999999999999E-2</v>
      </c>
      <c r="P308" s="1" t="s">
        <v>2721</v>
      </c>
    </row>
    <row r="309" spans="1:16">
      <c r="A309" s="1" t="s">
        <v>15</v>
      </c>
      <c r="B309" s="1">
        <v>12</v>
      </c>
      <c r="C309" s="1" t="s">
        <v>1525</v>
      </c>
      <c r="D309" s="1" t="s">
        <v>238</v>
      </c>
      <c r="E309" s="2">
        <v>45992</v>
      </c>
      <c r="F309" s="1" t="s">
        <v>239</v>
      </c>
      <c r="G309" s="1" t="s">
        <v>240</v>
      </c>
      <c r="H309" s="1" t="s">
        <v>242</v>
      </c>
      <c r="I309" s="1">
        <v>1</v>
      </c>
      <c r="J309" s="3">
        <v>11305</v>
      </c>
      <c r="K309" s="3">
        <v>10787</v>
      </c>
      <c r="L309" s="1">
        <v>0</v>
      </c>
      <c r="M309" s="4">
        <v>0</v>
      </c>
      <c r="N309" s="3">
        <v>518</v>
      </c>
      <c r="O309" s="4">
        <v>4.5999999999999999E-2</v>
      </c>
      <c r="P309" s="1" t="s">
        <v>2721</v>
      </c>
    </row>
    <row r="310" spans="1:16">
      <c r="A310" s="1" t="s">
        <v>15</v>
      </c>
      <c r="B310" s="1">
        <v>12</v>
      </c>
      <c r="C310" s="1" t="s">
        <v>1526</v>
      </c>
      <c r="D310" s="1" t="s">
        <v>1527</v>
      </c>
      <c r="E310" s="2">
        <v>45992</v>
      </c>
      <c r="F310" s="1" t="s">
        <v>431</v>
      </c>
      <c r="G310" s="1" t="s">
        <v>1528</v>
      </c>
      <c r="H310" s="1" t="s">
        <v>1529</v>
      </c>
      <c r="I310" s="1">
        <v>1</v>
      </c>
      <c r="J310" s="3">
        <v>73725</v>
      </c>
      <c r="K310" s="3">
        <v>70350</v>
      </c>
      <c r="L310" s="1">
        <v>0</v>
      </c>
      <c r="M310" s="4">
        <v>0</v>
      </c>
      <c r="N310" s="3">
        <v>3375</v>
      </c>
      <c r="O310" s="4">
        <v>4.5999999999999999E-2</v>
      </c>
      <c r="P310" s="1" t="s">
        <v>2721</v>
      </c>
    </row>
    <row r="311" spans="1:16">
      <c r="A311" s="1" t="s">
        <v>15</v>
      </c>
      <c r="B311" s="1">
        <v>12</v>
      </c>
      <c r="C311" s="1" t="s">
        <v>1530</v>
      </c>
      <c r="D311" s="1" t="s">
        <v>1531</v>
      </c>
      <c r="E311" s="2">
        <v>45992</v>
      </c>
      <c r="F311" s="1" t="s">
        <v>53</v>
      </c>
      <c r="G311" s="1" t="s">
        <v>1532</v>
      </c>
      <c r="H311" s="1" t="s">
        <v>1533</v>
      </c>
      <c r="I311" s="1">
        <v>1</v>
      </c>
      <c r="J311" s="3">
        <v>8022</v>
      </c>
      <c r="K311" s="3">
        <v>7655</v>
      </c>
      <c r="L311" s="1">
        <v>0</v>
      </c>
      <c r="M311" s="4">
        <v>0</v>
      </c>
      <c r="N311" s="3">
        <v>367</v>
      </c>
      <c r="O311" s="4">
        <v>4.5999999999999999E-2</v>
      </c>
      <c r="P311" s="1" t="s">
        <v>2721</v>
      </c>
    </row>
    <row r="312" spans="1:16">
      <c r="A312" s="1" t="s">
        <v>15</v>
      </c>
      <c r="B312" s="1">
        <v>12</v>
      </c>
      <c r="C312" s="1" t="s">
        <v>1534</v>
      </c>
      <c r="D312" s="1" t="s">
        <v>270</v>
      </c>
      <c r="E312" s="2">
        <v>45992</v>
      </c>
      <c r="F312" s="1" t="s">
        <v>271</v>
      </c>
      <c r="G312" s="1" t="s">
        <v>272</v>
      </c>
      <c r="H312" s="1" t="s">
        <v>273</v>
      </c>
      <c r="I312" s="1">
        <v>1</v>
      </c>
      <c r="J312" s="3">
        <v>25067</v>
      </c>
      <c r="K312" s="3">
        <v>23919</v>
      </c>
      <c r="L312" s="1">
        <v>0</v>
      </c>
      <c r="M312" s="4">
        <v>0</v>
      </c>
      <c r="N312" s="3">
        <v>1148</v>
      </c>
      <c r="O312" s="4">
        <v>4.5999999999999999E-2</v>
      </c>
      <c r="P312" s="1" t="s">
        <v>2721</v>
      </c>
    </row>
    <row r="313" spans="1:16">
      <c r="A313" s="1" t="s">
        <v>15</v>
      </c>
      <c r="B313" s="1">
        <v>12</v>
      </c>
      <c r="C313" s="1" t="s">
        <v>1535</v>
      </c>
      <c r="D313" s="1" t="s">
        <v>1026</v>
      </c>
      <c r="E313" s="2">
        <v>45992</v>
      </c>
      <c r="F313" s="1" t="s">
        <v>256</v>
      </c>
      <c r="G313" s="1" t="s">
        <v>1027</v>
      </c>
      <c r="H313" s="1" t="s">
        <v>1035</v>
      </c>
      <c r="I313" s="1">
        <v>1</v>
      </c>
      <c r="J313" s="3">
        <v>8700</v>
      </c>
      <c r="K313" s="3">
        <v>8301</v>
      </c>
      <c r="L313" s="1">
        <v>0</v>
      </c>
      <c r="M313" s="4">
        <v>0</v>
      </c>
      <c r="N313" s="1">
        <v>399</v>
      </c>
      <c r="O313" s="4">
        <v>4.5999999999999999E-2</v>
      </c>
      <c r="P313" s="1" t="s">
        <v>2721</v>
      </c>
    </row>
    <row r="314" spans="1:16">
      <c r="A314" s="1" t="s">
        <v>15</v>
      </c>
      <c r="B314" s="1">
        <v>12</v>
      </c>
      <c r="C314" s="1" t="s">
        <v>1536</v>
      </c>
      <c r="D314" s="1" t="s">
        <v>538</v>
      </c>
      <c r="E314" s="2">
        <v>45992</v>
      </c>
      <c r="F314" s="1" t="s">
        <v>53</v>
      </c>
      <c r="G314" s="1" t="s">
        <v>539</v>
      </c>
      <c r="H314" s="1" t="s">
        <v>540</v>
      </c>
      <c r="I314" s="1">
        <v>1</v>
      </c>
      <c r="J314" s="3">
        <v>14332</v>
      </c>
      <c r="K314" s="3">
        <v>13676</v>
      </c>
      <c r="L314" s="1">
        <v>0</v>
      </c>
      <c r="M314" s="4">
        <v>0</v>
      </c>
      <c r="N314" s="1">
        <v>656</v>
      </c>
      <c r="O314" s="4">
        <v>4.5999999999999999E-2</v>
      </c>
      <c r="P314" s="1" t="s">
        <v>2721</v>
      </c>
    </row>
    <row r="315" spans="1:16">
      <c r="A315" s="1" t="s">
        <v>15</v>
      </c>
      <c r="B315" s="1">
        <v>12</v>
      </c>
      <c r="C315" s="1" t="s">
        <v>1537</v>
      </c>
      <c r="D315" s="1" t="s">
        <v>549</v>
      </c>
      <c r="E315" s="2">
        <v>45992</v>
      </c>
      <c r="F315" s="1" t="s">
        <v>63</v>
      </c>
      <c r="G315" s="1" t="s">
        <v>550</v>
      </c>
      <c r="H315" s="1" t="s">
        <v>551</v>
      </c>
      <c r="I315" s="1">
        <v>1</v>
      </c>
      <c r="J315" s="3">
        <v>15422</v>
      </c>
      <c r="K315" s="3">
        <v>14716</v>
      </c>
      <c r="L315" s="1">
        <v>0</v>
      </c>
      <c r="M315" s="4">
        <v>0</v>
      </c>
      <c r="N315" s="1">
        <v>706</v>
      </c>
      <c r="O315" s="4">
        <v>4.5999999999999999E-2</v>
      </c>
      <c r="P315" s="1" t="s">
        <v>2721</v>
      </c>
    </row>
    <row r="316" spans="1:16">
      <c r="A316" s="1" t="s">
        <v>15</v>
      </c>
      <c r="B316" s="1">
        <v>12</v>
      </c>
      <c r="C316" s="1" t="s">
        <v>1538</v>
      </c>
      <c r="D316" s="1" t="s">
        <v>86</v>
      </c>
      <c r="E316" s="2">
        <v>45992</v>
      </c>
      <c r="F316" s="1" t="s">
        <v>53</v>
      </c>
      <c r="G316" s="1" t="s">
        <v>87</v>
      </c>
      <c r="H316" s="1" t="s">
        <v>88</v>
      </c>
      <c r="I316" s="1">
        <v>1</v>
      </c>
      <c r="J316" s="3">
        <v>14956</v>
      </c>
      <c r="K316" s="3">
        <v>14272</v>
      </c>
      <c r="L316" s="1">
        <v>0</v>
      </c>
      <c r="M316" s="4">
        <v>0</v>
      </c>
      <c r="N316" s="3">
        <v>684</v>
      </c>
      <c r="O316" s="4">
        <v>4.5999999999999999E-2</v>
      </c>
      <c r="P316" s="1" t="s">
        <v>2721</v>
      </c>
    </row>
    <row r="317" spans="1:16">
      <c r="A317" s="1" t="s">
        <v>15</v>
      </c>
      <c r="B317" s="1">
        <v>12</v>
      </c>
      <c r="C317" s="1" t="s">
        <v>1539</v>
      </c>
      <c r="D317" s="1" t="s">
        <v>504</v>
      </c>
      <c r="E317" s="2">
        <v>45992</v>
      </c>
      <c r="F317" s="1" t="s">
        <v>407</v>
      </c>
      <c r="G317" s="1" t="s">
        <v>505</v>
      </c>
      <c r="H317" s="1" t="s">
        <v>963</v>
      </c>
      <c r="I317" s="1">
        <v>1</v>
      </c>
      <c r="J317" s="3">
        <v>35880</v>
      </c>
      <c r="K317" s="3">
        <v>34237</v>
      </c>
      <c r="L317" s="1">
        <v>0</v>
      </c>
      <c r="M317" s="4">
        <v>0</v>
      </c>
      <c r="N317" s="3">
        <v>1643</v>
      </c>
      <c r="O317" s="4">
        <v>4.5999999999999999E-2</v>
      </c>
      <c r="P317" s="1" t="s">
        <v>2721</v>
      </c>
    </row>
    <row r="318" spans="1:16">
      <c r="A318" s="1" t="s">
        <v>15</v>
      </c>
      <c r="B318" s="1">
        <v>12</v>
      </c>
      <c r="C318" s="1" t="s">
        <v>1540</v>
      </c>
      <c r="D318" s="1" t="s">
        <v>238</v>
      </c>
      <c r="E318" s="2">
        <v>45992</v>
      </c>
      <c r="F318" s="1" t="s">
        <v>239</v>
      </c>
      <c r="G318" s="1" t="s">
        <v>240</v>
      </c>
      <c r="H318" s="1" t="s">
        <v>242</v>
      </c>
      <c r="I318" s="1">
        <v>1</v>
      </c>
      <c r="J318" s="3">
        <v>11305</v>
      </c>
      <c r="K318" s="3">
        <v>10787</v>
      </c>
      <c r="L318" s="1">
        <v>0</v>
      </c>
      <c r="M318" s="4">
        <v>0</v>
      </c>
      <c r="N318" s="1">
        <v>518</v>
      </c>
      <c r="O318" s="4">
        <v>4.5999999999999999E-2</v>
      </c>
      <c r="P318" s="1" t="s">
        <v>2721</v>
      </c>
    </row>
    <row r="319" spans="1:16">
      <c r="A319" s="1" t="s">
        <v>15</v>
      </c>
      <c r="B319" s="1">
        <v>12</v>
      </c>
      <c r="C319" s="1" t="s">
        <v>1541</v>
      </c>
      <c r="D319" s="1" t="s">
        <v>777</v>
      </c>
      <c r="E319" s="2">
        <v>45992</v>
      </c>
      <c r="F319" s="1" t="s">
        <v>256</v>
      </c>
      <c r="G319" s="1" t="s">
        <v>778</v>
      </c>
      <c r="H319" s="1" t="s">
        <v>779</v>
      </c>
      <c r="I319" s="1">
        <v>1</v>
      </c>
      <c r="J319" s="3">
        <v>11010</v>
      </c>
      <c r="K319" s="3">
        <v>10506</v>
      </c>
      <c r="L319" s="1">
        <v>0</v>
      </c>
      <c r="M319" s="4">
        <v>0</v>
      </c>
      <c r="N319" s="1">
        <v>504</v>
      </c>
      <c r="O319" s="4">
        <v>4.5999999999999999E-2</v>
      </c>
      <c r="P319" s="1" t="s">
        <v>2721</v>
      </c>
    </row>
    <row r="320" spans="1:16">
      <c r="A320" s="1" t="s">
        <v>15</v>
      </c>
      <c r="B320" s="1">
        <v>12</v>
      </c>
      <c r="C320" s="1" t="s">
        <v>1542</v>
      </c>
      <c r="D320" s="1" t="s">
        <v>165</v>
      </c>
      <c r="E320" s="2">
        <v>45992</v>
      </c>
      <c r="F320" s="1" t="s">
        <v>48</v>
      </c>
      <c r="G320" s="1" t="s">
        <v>166</v>
      </c>
      <c r="H320" s="1" t="s">
        <v>1543</v>
      </c>
      <c r="I320" s="1">
        <v>1</v>
      </c>
      <c r="J320" s="3">
        <v>17997</v>
      </c>
      <c r="K320" s="3">
        <v>17173</v>
      </c>
      <c r="L320" s="1">
        <v>0</v>
      </c>
      <c r="M320" s="4">
        <v>0</v>
      </c>
      <c r="N320" s="1">
        <v>824</v>
      </c>
      <c r="O320" s="4">
        <v>4.5999999999999999E-2</v>
      </c>
      <c r="P320" s="1" t="s">
        <v>2721</v>
      </c>
    </row>
    <row r="321" spans="1:16">
      <c r="A321" s="1" t="s">
        <v>15</v>
      </c>
      <c r="B321" s="1">
        <v>12</v>
      </c>
      <c r="C321" s="1" t="s">
        <v>1544</v>
      </c>
      <c r="D321" s="1" t="s">
        <v>72</v>
      </c>
      <c r="E321" s="2">
        <v>45992</v>
      </c>
      <c r="F321" s="1" t="s">
        <v>63</v>
      </c>
      <c r="G321" s="1" t="s">
        <v>73</v>
      </c>
      <c r="H321" s="1" t="s">
        <v>74</v>
      </c>
      <c r="I321" s="1">
        <v>1</v>
      </c>
      <c r="J321" s="3">
        <v>10456</v>
      </c>
      <c r="K321" s="3">
        <v>9978</v>
      </c>
      <c r="L321" s="1">
        <v>0</v>
      </c>
      <c r="M321" s="4">
        <v>0</v>
      </c>
      <c r="N321" s="3">
        <v>478</v>
      </c>
      <c r="O321" s="4">
        <v>4.5999999999999999E-2</v>
      </c>
      <c r="P321" s="1" t="s">
        <v>2721</v>
      </c>
    </row>
    <row r="322" spans="1:16">
      <c r="A322" s="1" t="s">
        <v>15</v>
      </c>
      <c r="B322" s="1">
        <v>12</v>
      </c>
      <c r="C322" s="1" t="s">
        <v>1545</v>
      </c>
      <c r="D322" s="1" t="s">
        <v>1546</v>
      </c>
      <c r="E322" s="2">
        <v>45992</v>
      </c>
      <c r="F322" s="1" t="s">
        <v>261</v>
      </c>
      <c r="G322" s="1" t="s">
        <v>706</v>
      </c>
      <c r="H322" s="1" t="s">
        <v>706</v>
      </c>
      <c r="I322" s="1">
        <v>1</v>
      </c>
      <c r="J322" s="3">
        <v>32439</v>
      </c>
      <c r="K322" s="3">
        <v>30954</v>
      </c>
      <c r="L322" s="1">
        <v>0</v>
      </c>
      <c r="M322" s="4">
        <v>0</v>
      </c>
      <c r="N322" s="3">
        <v>1485</v>
      </c>
      <c r="O322" s="4">
        <v>4.5999999999999999E-2</v>
      </c>
      <c r="P322" s="1" t="s">
        <v>2721</v>
      </c>
    </row>
    <row r="323" spans="1:16">
      <c r="A323" s="1" t="s">
        <v>15</v>
      </c>
      <c r="B323" s="1">
        <v>12</v>
      </c>
      <c r="C323" s="1" t="s">
        <v>1547</v>
      </c>
      <c r="D323" s="1" t="s">
        <v>1467</v>
      </c>
      <c r="E323" s="2">
        <v>45992</v>
      </c>
      <c r="F323" s="1" t="s">
        <v>126</v>
      </c>
      <c r="G323" s="1" t="s">
        <v>1468</v>
      </c>
      <c r="H323" s="1" t="s">
        <v>1469</v>
      </c>
      <c r="I323" s="1">
        <v>1</v>
      </c>
      <c r="J323" s="3">
        <v>17989</v>
      </c>
      <c r="K323" s="3">
        <v>17165</v>
      </c>
      <c r="L323" s="1">
        <v>0</v>
      </c>
      <c r="M323" s="4">
        <v>0</v>
      </c>
      <c r="N323" s="1">
        <v>824</v>
      </c>
      <c r="O323" s="4">
        <v>4.5999999999999999E-2</v>
      </c>
      <c r="P323" s="1" t="s">
        <v>2721</v>
      </c>
    </row>
    <row r="324" spans="1:16">
      <c r="A324" s="1" t="s">
        <v>15</v>
      </c>
      <c r="B324" s="1">
        <v>12</v>
      </c>
      <c r="C324" s="1" t="s">
        <v>1548</v>
      </c>
      <c r="D324" s="1" t="s">
        <v>862</v>
      </c>
      <c r="E324" s="2">
        <v>45992</v>
      </c>
      <c r="F324" s="1" t="s">
        <v>334</v>
      </c>
      <c r="G324" s="1" t="s">
        <v>863</v>
      </c>
      <c r="H324" s="1" t="s">
        <v>1549</v>
      </c>
      <c r="I324" s="1">
        <v>1</v>
      </c>
      <c r="J324" s="3">
        <v>16220</v>
      </c>
      <c r="K324" s="3">
        <v>15477</v>
      </c>
      <c r="L324" s="1">
        <v>0</v>
      </c>
      <c r="M324" s="4">
        <v>0</v>
      </c>
      <c r="N324" s="1">
        <v>743</v>
      </c>
      <c r="O324" s="4">
        <v>4.5999999999999999E-2</v>
      </c>
      <c r="P324" s="1" t="s">
        <v>2721</v>
      </c>
    </row>
    <row r="325" spans="1:16">
      <c r="A325" s="1" t="s">
        <v>15</v>
      </c>
      <c r="B325" s="1">
        <v>12</v>
      </c>
      <c r="C325" s="1" t="s">
        <v>1548</v>
      </c>
      <c r="D325" s="1" t="s">
        <v>865</v>
      </c>
      <c r="E325" s="2">
        <v>45992</v>
      </c>
      <c r="F325" s="1" t="s">
        <v>334</v>
      </c>
      <c r="G325" s="1" t="s">
        <v>866</v>
      </c>
      <c r="H325" s="1" t="s">
        <v>867</v>
      </c>
      <c r="I325" s="1">
        <v>1</v>
      </c>
      <c r="J325" s="3">
        <v>9044</v>
      </c>
      <c r="K325" s="3">
        <v>8630</v>
      </c>
      <c r="L325" s="1">
        <v>0</v>
      </c>
      <c r="M325" s="4">
        <v>0</v>
      </c>
      <c r="N325" s="1">
        <v>414</v>
      </c>
      <c r="O325" s="4">
        <v>4.5999999999999999E-2</v>
      </c>
      <c r="P325" s="1" t="s">
        <v>2721</v>
      </c>
    </row>
    <row r="326" spans="1:16">
      <c r="A326" s="1" t="s">
        <v>15</v>
      </c>
      <c r="B326" s="1">
        <v>12</v>
      </c>
      <c r="C326" s="1" t="s">
        <v>1550</v>
      </c>
      <c r="D326" s="1" t="s">
        <v>782</v>
      </c>
      <c r="E326" s="2">
        <v>45992</v>
      </c>
      <c r="F326" s="1" t="s">
        <v>783</v>
      </c>
      <c r="G326" s="1" t="s">
        <v>784</v>
      </c>
      <c r="H326" s="1" t="s">
        <v>785</v>
      </c>
      <c r="I326" s="1">
        <v>1</v>
      </c>
      <c r="J326" s="3">
        <v>15925</v>
      </c>
      <c r="K326" s="3">
        <v>15196</v>
      </c>
      <c r="L326" s="1">
        <v>0</v>
      </c>
      <c r="M326" s="4">
        <v>0</v>
      </c>
      <c r="N326" s="3">
        <v>729</v>
      </c>
      <c r="O326" s="4">
        <v>4.5999999999999999E-2</v>
      </c>
      <c r="P326" s="1" t="s">
        <v>2721</v>
      </c>
    </row>
    <row r="327" spans="1:16">
      <c r="A327" s="1" t="s">
        <v>15</v>
      </c>
      <c r="B327" s="1">
        <v>12</v>
      </c>
      <c r="C327" s="1" t="s">
        <v>1551</v>
      </c>
      <c r="D327" s="1" t="s">
        <v>1552</v>
      </c>
      <c r="E327" s="2">
        <v>45992</v>
      </c>
      <c r="F327" s="1" t="s">
        <v>38</v>
      </c>
      <c r="G327" s="1" t="s">
        <v>1553</v>
      </c>
      <c r="H327" s="1" t="s">
        <v>1554</v>
      </c>
      <c r="I327" s="1">
        <v>1</v>
      </c>
      <c r="J327" s="3">
        <v>80115</v>
      </c>
      <c r="K327" s="3">
        <v>76447</v>
      </c>
      <c r="L327" s="1">
        <v>0</v>
      </c>
      <c r="M327" s="4">
        <v>0</v>
      </c>
      <c r="N327" s="3">
        <v>3668</v>
      </c>
      <c r="O327" s="4">
        <v>4.5999999999999999E-2</v>
      </c>
      <c r="P327" s="1" t="s">
        <v>2721</v>
      </c>
    </row>
    <row r="328" spans="1:16">
      <c r="A328" s="1" t="s">
        <v>15</v>
      </c>
      <c r="B328" s="1">
        <v>12</v>
      </c>
      <c r="C328" s="1" t="s">
        <v>1555</v>
      </c>
      <c r="D328" s="1" t="s">
        <v>17</v>
      </c>
      <c r="E328" s="2">
        <v>45992</v>
      </c>
      <c r="F328" s="1" t="s">
        <v>18</v>
      </c>
      <c r="G328" s="1" t="s">
        <v>19</v>
      </c>
      <c r="H328" s="1" t="s">
        <v>20</v>
      </c>
      <c r="I328" s="1">
        <v>1</v>
      </c>
      <c r="J328" s="3">
        <v>7166</v>
      </c>
      <c r="K328" s="3">
        <v>6838</v>
      </c>
      <c r="L328" s="1">
        <v>0</v>
      </c>
      <c r="M328" s="4">
        <v>0</v>
      </c>
      <c r="N328" s="3">
        <v>328</v>
      </c>
      <c r="O328" s="4">
        <v>4.5999999999999999E-2</v>
      </c>
      <c r="P328" s="1" t="s">
        <v>2721</v>
      </c>
    </row>
    <row r="329" spans="1:16">
      <c r="A329" s="1" t="s">
        <v>15</v>
      </c>
      <c r="B329" s="1">
        <v>12</v>
      </c>
      <c r="C329" s="1" t="s">
        <v>1556</v>
      </c>
      <c r="D329" s="1" t="s">
        <v>1557</v>
      </c>
      <c r="E329" s="2">
        <v>45992</v>
      </c>
      <c r="F329" s="1" t="s">
        <v>355</v>
      </c>
      <c r="G329" s="1" t="s">
        <v>1558</v>
      </c>
      <c r="H329" s="1" t="s">
        <v>1559</v>
      </c>
      <c r="I329" s="1">
        <v>1</v>
      </c>
      <c r="J329" s="3">
        <v>231603</v>
      </c>
      <c r="K329" s="3">
        <v>221000</v>
      </c>
      <c r="L329" s="1">
        <v>0</v>
      </c>
      <c r="M329" s="4">
        <v>0</v>
      </c>
      <c r="N329" s="3">
        <v>10603</v>
      </c>
      <c r="O329" s="4">
        <v>4.5999999999999999E-2</v>
      </c>
      <c r="P329" s="1" t="s">
        <v>2721</v>
      </c>
    </row>
    <row r="330" spans="1:16">
      <c r="A330" s="1" t="s">
        <v>15</v>
      </c>
      <c r="B330" s="1">
        <v>12</v>
      </c>
      <c r="C330" s="1" t="s">
        <v>1560</v>
      </c>
      <c r="D330" s="1" t="s">
        <v>1561</v>
      </c>
      <c r="E330" s="2">
        <v>45992</v>
      </c>
      <c r="F330" s="1" t="s">
        <v>1562</v>
      </c>
      <c r="G330" s="1" t="s">
        <v>1563</v>
      </c>
      <c r="H330" s="1" t="s">
        <v>1564</v>
      </c>
      <c r="I330" s="1">
        <v>1</v>
      </c>
      <c r="J330" s="3">
        <v>108130</v>
      </c>
      <c r="K330" s="3">
        <v>103180</v>
      </c>
      <c r="L330" s="1">
        <v>0</v>
      </c>
      <c r="M330" s="4">
        <v>0</v>
      </c>
      <c r="N330" s="3">
        <v>4950</v>
      </c>
      <c r="O330" s="4">
        <v>4.5999999999999999E-2</v>
      </c>
      <c r="P330" s="1" t="s">
        <v>2721</v>
      </c>
    </row>
    <row r="331" spans="1:16">
      <c r="A331" s="1" t="s">
        <v>15</v>
      </c>
      <c r="B331" s="1">
        <v>12</v>
      </c>
      <c r="C331" s="1" t="s">
        <v>1565</v>
      </c>
      <c r="D331" s="1" t="s">
        <v>333</v>
      </c>
      <c r="E331" s="2">
        <v>45992</v>
      </c>
      <c r="F331" s="1" t="s">
        <v>334</v>
      </c>
      <c r="G331" s="1" t="s">
        <v>335</v>
      </c>
      <c r="H331" s="1" t="s">
        <v>1408</v>
      </c>
      <c r="I331" s="1">
        <v>1</v>
      </c>
      <c r="J331" s="3">
        <v>5505</v>
      </c>
      <c r="K331" s="3">
        <v>5253</v>
      </c>
      <c r="L331" s="1">
        <v>0</v>
      </c>
      <c r="M331" s="4">
        <v>0</v>
      </c>
      <c r="N331" s="1">
        <v>252</v>
      </c>
      <c r="O331" s="4">
        <v>4.5999999999999999E-2</v>
      </c>
      <c r="P331" s="1" t="s">
        <v>2721</v>
      </c>
    </row>
    <row r="332" spans="1:16">
      <c r="A332" s="1" t="s">
        <v>15</v>
      </c>
      <c r="B332" s="1">
        <v>12</v>
      </c>
      <c r="C332" s="1" t="s">
        <v>1566</v>
      </c>
      <c r="D332" s="1" t="s">
        <v>86</v>
      </c>
      <c r="E332" s="2">
        <v>45992</v>
      </c>
      <c r="F332" s="1" t="s">
        <v>53</v>
      </c>
      <c r="G332" s="1" t="s">
        <v>87</v>
      </c>
      <c r="H332" s="1" t="s">
        <v>88</v>
      </c>
      <c r="I332" s="1">
        <v>1</v>
      </c>
      <c r="J332" s="3">
        <v>14956</v>
      </c>
      <c r="K332" s="3">
        <v>14272</v>
      </c>
      <c r="L332" s="1">
        <v>0</v>
      </c>
      <c r="M332" s="4">
        <v>0</v>
      </c>
      <c r="N332" s="3">
        <v>684</v>
      </c>
      <c r="O332" s="4">
        <v>4.5999999999999999E-2</v>
      </c>
      <c r="P332" s="1" t="s">
        <v>2721</v>
      </c>
    </row>
    <row r="333" spans="1:16">
      <c r="A333" s="1" t="s">
        <v>15</v>
      </c>
      <c r="B333" s="1">
        <v>12</v>
      </c>
      <c r="C333" s="1" t="s">
        <v>1567</v>
      </c>
      <c r="D333" s="1" t="s">
        <v>425</v>
      </c>
      <c r="E333" s="2">
        <v>45992</v>
      </c>
      <c r="F333" s="1" t="s">
        <v>426</v>
      </c>
      <c r="G333" s="1" t="s">
        <v>427</v>
      </c>
      <c r="H333" s="1" t="s">
        <v>1568</v>
      </c>
      <c r="I333" s="1">
        <v>1</v>
      </c>
      <c r="J333" s="3">
        <v>24575</v>
      </c>
      <c r="K333" s="3">
        <v>23450</v>
      </c>
      <c r="L333" s="1">
        <v>0</v>
      </c>
      <c r="M333" s="4">
        <v>0</v>
      </c>
      <c r="N333" s="3">
        <v>1125</v>
      </c>
      <c r="O333" s="4">
        <v>4.5999999999999999E-2</v>
      </c>
      <c r="P333" s="1" t="s">
        <v>2721</v>
      </c>
    </row>
    <row r="334" spans="1:16">
      <c r="A334" s="1" t="s">
        <v>15</v>
      </c>
      <c r="B334" s="1">
        <v>12</v>
      </c>
      <c r="C334" s="1" t="s">
        <v>1569</v>
      </c>
      <c r="D334" s="1" t="s">
        <v>504</v>
      </c>
      <c r="E334" s="2">
        <v>45992</v>
      </c>
      <c r="F334" s="1" t="s">
        <v>407</v>
      </c>
      <c r="G334" s="1" t="s">
        <v>505</v>
      </c>
      <c r="H334" s="1" t="s">
        <v>1334</v>
      </c>
      <c r="I334" s="1">
        <v>1</v>
      </c>
      <c r="J334" s="3">
        <v>8552</v>
      </c>
      <c r="K334" s="3">
        <v>8161</v>
      </c>
      <c r="L334" s="1">
        <v>0</v>
      </c>
      <c r="M334" s="4">
        <v>0</v>
      </c>
      <c r="N334" s="1">
        <v>391</v>
      </c>
      <c r="O334" s="4">
        <v>4.5999999999999999E-2</v>
      </c>
      <c r="P334" s="1" t="s">
        <v>2721</v>
      </c>
    </row>
    <row r="335" spans="1:16">
      <c r="A335" s="1" t="s">
        <v>15</v>
      </c>
      <c r="B335" s="1">
        <v>12</v>
      </c>
      <c r="C335" s="1" t="s">
        <v>1570</v>
      </c>
      <c r="D335" s="1" t="s">
        <v>777</v>
      </c>
      <c r="E335" s="2">
        <v>45992</v>
      </c>
      <c r="F335" s="1" t="s">
        <v>256</v>
      </c>
      <c r="G335" s="1" t="s">
        <v>778</v>
      </c>
      <c r="H335" s="1" t="s">
        <v>1571</v>
      </c>
      <c r="I335" s="1">
        <v>1</v>
      </c>
      <c r="J335" s="3">
        <v>19857</v>
      </c>
      <c r="K335" s="3">
        <v>18948</v>
      </c>
      <c r="L335" s="1">
        <v>0</v>
      </c>
      <c r="M335" s="4">
        <v>0</v>
      </c>
      <c r="N335" s="1">
        <v>909</v>
      </c>
      <c r="O335" s="4">
        <v>4.5999999999999999E-2</v>
      </c>
      <c r="P335" s="1" t="s">
        <v>2721</v>
      </c>
    </row>
    <row r="336" spans="1:16">
      <c r="A336" s="1" t="s">
        <v>15</v>
      </c>
      <c r="B336" s="1">
        <v>12</v>
      </c>
      <c r="C336" s="1" t="s">
        <v>1572</v>
      </c>
      <c r="D336" s="1" t="s">
        <v>104</v>
      </c>
      <c r="E336" s="2">
        <v>45992</v>
      </c>
      <c r="F336" s="1" t="s">
        <v>96</v>
      </c>
      <c r="G336" s="1" t="s">
        <v>105</v>
      </c>
      <c r="H336" s="1" t="s">
        <v>106</v>
      </c>
      <c r="I336" s="1">
        <v>1</v>
      </c>
      <c r="J336" s="3">
        <v>21614</v>
      </c>
      <c r="K336" s="3">
        <v>20625</v>
      </c>
      <c r="L336" s="1">
        <v>0</v>
      </c>
      <c r="M336" s="4">
        <v>0</v>
      </c>
      <c r="N336" s="1">
        <v>989</v>
      </c>
      <c r="O336" s="4">
        <v>4.5999999999999999E-2</v>
      </c>
      <c r="P336" s="1" t="s">
        <v>2721</v>
      </c>
    </row>
    <row r="337" spans="1:16">
      <c r="A337" s="1" t="s">
        <v>15</v>
      </c>
      <c r="B337" s="1">
        <v>12</v>
      </c>
      <c r="C337" s="1" t="s">
        <v>1573</v>
      </c>
      <c r="D337" s="1" t="s">
        <v>72</v>
      </c>
      <c r="E337" s="2">
        <v>45992</v>
      </c>
      <c r="F337" s="1" t="s">
        <v>63</v>
      </c>
      <c r="G337" s="1" t="s">
        <v>73</v>
      </c>
      <c r="H337" s="1" t="s">
        <v>74</v>
      </c>
      <c r="I337" s="1">
        <v>1</v>
      </c>
      <c r="J337" s="3">
        <v>10456</v>
      </c>
      <c r="K337" s="3">
        <v>9978</v>
      </c>
      <c r="L337" s="1">
        <v>0</v>
      </c>
      <c r="M337" s="4">
        <v>0</v>
      </c>
      <c r="N337" s="1">
        <v>478</v>
      </c>
      <c r="O337" s="4">
        <v>4.5999999999999999E-2</v>
      </c>
      <c r="P337" s="1" t="s">
        <v>2721</v>
      </c>
    </row>
    <row r="338" spans="1:16">
      <c r="A338" s="1" t="s">
        <v>15</v>
      </c>
      <c r="B338" s="1">
        <v>12</v>
      </c>
      <c r="C338" s="1" t="s">
        <v>1574</v>
      </c>
      <c r="D338" s="1" t="s">
        <v>228</v>
      </c>
      <c r="E338" s="2">
        <v>45992</v>
      </c>
      <c r="F338" s="1" t="s">
        <v>53</v>
      </c>
      <c r="G338" s="1" t="s">
        <v>229</v>
      </c>
      <c r="H338" s="1" t="s">
        <v>230</v>
      </c>
      <c r="I338" s="1">
        <v>1</v>
      </c>
      <c r="J338" s="3">
        <v>9825</v>
      </c>
      <c r="K338" s="3">
        <v>9375</v>
      </c>
      <c r="L338" s="1">
        <v>0</v>
      </c>
      <c r="M338" s="4">
        <v>0</v>
      </c>
      <c r="N338" s="1">
        <v>450</v>
      </c>
      <c r="O338" s="4">
        <v>4.5999999999999999E-2</v>
      </c>
      <c r="P338" s="1" t="s">
        <v>2721</v>
      </c>
    </row>
    <row r="339" spans="1:16">
      <c r="A339" s="1" t="s">
        <v>15</v>
      </c>
      <c r="B339" s="1">
        <v>12</v>
      </c>
      <c r="C339" s="1" t="s">
        <v>1574</v>
      </c>
      <c r="D339" s="1" t="s">
        <v>1531</v>
      </c>
      <c r="E339" s="2">
        <v>45992</v>
      </c>
      <c r="F339" s="1" t="s">
        <v>53</v>
      </c>
      <c r="G339" s="1" t="s">
        <v>1532</v>
      </c>
      <c r="H339" s="1" t="s">
        <v>1533</v>
      </c>
      <c r="I339" s="1">
        <v>1</v>
      </c>
      <c r="J339" s="3">
        <v>8022</v>
      </c>
      <c r="K339" s="3">
        <v>7655</v>
      </c>
      <c r="L339" s="1">
        <v>0</v>
      </c>
      <c r="M339" s="4">
        <v>0</v>
      </c>
      <c r="N339" s="1">
        <v>367</v>
      </c>
      <c r="O339" s="4">
        <v>4.5999999999999999E-2</v>
      </c>
      <c r="P339" s="1" t="s">
        <v>2721</v>
      </c>
    </row>
    <row r="340" spans="1:16">
      <c r="A340" s="1" t="s">
        <v>15</v>
      </c>
      <c r="B340" s="1">
        <v>12</v>
      </c>
      <c r="C340" s="1" t="s">
        <v>1575</v>
      </c>
      <c r="D340" s="1" t="s">
        <v>116</v>
      </c>
      <c r="E340" s="2">
        <v>45992</v>
      </c>
      <c r="F340" s="1" t="s">
        <v>63</v>
      </c>
      <c r="G340" s="1" t="s">
        <v>117</v>
      </c>
      <c r="H340" s="1" t="s">
        <v>139</v>
      </c>
      <c r="I340" s="1">
        <v>1</v>
      </c>
      <c r="J340" s="3">
        <v>15422</v>
      </c>
      <c r="K340" s="3">
        <v>14716</v>
      </c>
      <c r="L340" s="1">
        <v>0</v>
      </c>
      <c r="M340" s="4">
        <v>0</v>
      </c>
      <c r="N340" s="3">
        <v>706</v>
      </c>
      <c r="O340" s="4">
        <v>4.5999999999999999E-2</v>
      </c>
      <c r="P340" s="1" t="s">
        <v>2721</v>
      </c>
    </row>
    <row r="341" spans="1:16">
      <c r="A341" s="1" t="s">
        <v>15</v>
      </c>
      <c r="B341" s="1">
        <v>12</v>
      </c>
      <c r="C341" s="1" t="s">
        <v>1576</v>
      </c>
      <c r="D341" s="1" t="s">
        <v>1342</v>
      </c>
      <c r="E341" s="2">
        <v>45992</v>
      </c>
      <c r="F341" s="1" t="s">
        <v>63</v>
      </c>
      <c r="G341" s="1" t="s">
        <v>1343</v>
      </c>
      <c r="H341" s="1" t="s">
        <v>1344</v>
      </c>
      <c r="I341" s="1">
        <v>1</v>
      </c>
      <c r="J341" s="3">
        <v>28034</v>
      </c>
      <c r="K341" s="3">
        <v>26751</v>
      </c>
      <c r="L341" s="1">
        <v>0</v>
      </c>
      <c r="M341" s="4">
        <v>0</v>
      </c>
      <c r="N341" s="3">
        <v>1283</v>
      </c>
      <c r="O341" s="4">
        <v>4.5999999999999999E-2</v>
      </c>
      <c r="P341" s="1" t="s">
        <v>2721</v>
      </c>
    </row>
    <row r="342" spans="1:16">
      <c r="A342" s="1" t="s">
        <v>15</v>
      </c>
      <c r="B342" s="1">
        <v>12</v>
      </c>
      <c r="C342" s="1" t="s">
        <v>1577</v>
      </c>
      <c r="D342" s="1" t="s">
        <v>238</v>
      </c>
      <c r="E342" s="2">
        <v>45992</v>
      </c>
      <c r="F342" s="1" t="s">
        <v>239</v>
      </c>
      <c r="G342" s="1" t="s">
        <v>240</v>
      </c>
      <c r="H342" s="1" t="s">
        <v>241</v>
      </c>
      <c r="I342" s="1">
        <v>2</v>
      </c>
      <c r="J342" s="3">
        <v>22609</v>
      </c>
      <c r="K342" s="3">
        <v>21574</v>
      </c>
      <c r="L342" s="1">
        <v>0</v>
      </c>
      <c r="M342" s="4">
        <v>0</v>
      </c>
      <c r="N342" s="3">
        <v>1035</v>
      </c>
      <c r="O342" s="4">
        <v>4.5999999999999999E-2</v>
      </c>
      <c r="P342" s="1" t="s">
        <v>2721</v>
      </c>
    </row>
    <row r="343" spans="1:16">
      <c r="A343" s="1" t="s">
        <v>15</v>
      </c>
      <c r="B343" s="1">
        <v>12</v>
      </c>
      <c r="C343" s="1" t="s">
        <v>1578</v>
      </c>
      <c r="D343" s="1" t="s">
        <v>17</v>
      </c>
      <c r="E343" s="2">
        <v>45992</v>
      </c>
      <c r="F343" s="1" t="s">
        <v>18</v>
      </c>
      <c r="G343" s="1" t="s">
        <v>19</v>
      </c>
      <c r="H343" s="1" t="s">
        <v>1428</v>
      </c>
      <c r="I343" s="1">
        <v>1</v>
      </c>
      <c r="J343" s="3">
        <v>7166</v>
      </c>
      <c r="K343" s="3">
        <v>6838</v>
      </c>
      <c r="L343" s="1">
        <v>0</v>
      </c>
      <c r="M343" s="4">
        <v>0</v>
      </c>
      <c r="N343" s="1">
        <v>328</v>
      </c>
      <c r="O343" s="4">
        <v>4.5999999999999999E-2</v>
      </c>
      <c r="P343" s="1" t="s">
        <v>2721</v>
      </c>
    </row>
    <row r="344" spans="1:16">
      <c r="A344" s="1" t="s">
        <v>15</v>
      </c>
      <c r="B344" s="1">
        <v>12</v>
      </c>
      <c r="C344" s="1" t="s">
        <v>1579</v>
      </c>
      <c r="D344" s="1" t="s">
        <v>52</v>
      </c>
      <c r="E344" s="2">
        <v>45992</v>
      </c>
      <c r="F344" s="1" t="s">
        <v>53</v>
      </c>
      <c r="G344" s="1" t="s">
        <v>54</v>
      </c>
      <c r="H344" s="1" t="s">
        <v>55</v>
      </c>
      <c r="I344" s="1">
        <v>1</v>
      </c>
      <c r="J344" s="3">
        <v>16135</v>
      </c>
      <c r="K344" s="3">
        <v>15396</v>
      </c>
      <c r="L344" s="1">
        <v>0</v>
      </c>
      <c r="M344" s="4">
        <v>0</v>
      </c>
      <c r="N344" s="1">
        <v>739</v>
      </c>
      <c r="O344" s="4">
        <v>4.5999999999999999E-2</v>
      </c>
      <c r="P344" s="1" t="s">
        <v>2721</v>
      </c>
    </row>
    <row r="345" spans="1:16">
      <c r="A345" s="1" t="s">
        <v>15</v>
      </c>
      <c r="B345" s="1">
        <v>12</v>
      </c>
      <c r="C345" s="1" t="s">
        <v>1580</v>
      </c>
      <c r="D345" s="1" t="s">
        <v>516</v>
      </c>
      <c r="E345" s="2">
        <v>45992</v>
      </c>
      <c r="F345" s="1" t="s">
        <v>517</v>
      </c>
      <c r="G345" s="1" t="s">
        <v>518</v>
      </c>
      <c r="H345" s="1" t="s">
        <v>519</v>
      </c>
      <c r="I345" s="1">
        <v>1</v>
      </c>
      <c r="J345" s="3">
        <v>21528</v>
      </c>
      <c r="K345" s="3">
        <v>20542</v>
      </c>
      <c r="L345" s="1">
        <v>0</v>
      </c>
      <c r="M345" s="4">
        <v>0</v>
      </c>
      <c r="N345" s="3">
        <v>986</v>
      </c>
      <c r="O345" s="4">
        <v>4.5999999999999999E-2</v>
      </c>
      <c r="P345" s="1" t="s">
        <v>2721</v>
      </c>
    </row>
    <row r="346" spans="1:16">
      <c r="A346" s="1" t="s">
        <v>15</v>
      </c>
      <c r="B346" s="1">
        <v>12</v>
      </c>
      <c r="C346" s="1" t="s">
        <v>1581</v>
      </c>
      <c r="D346" s="1" t="s">
        <v>1261</v>
      </c>
      <c r="E346" s="2">
        <v>45992</v>
      </c>
      <c r="F346" s="1" t="s">
        <v>33</v>
      </c>
      <c r="G346" s="1" t="s">
        <v>1262</v>
      </c>
      <c r="H346" s="1" t="s">
        <v>1582</v>
      </c>
      <c r="I346" s="1">
        <v>1</v>
      </c>
      <c r="J346" s="3">
        <v>122388</v>
      </c>
      <c r="K346" s="3">
        <v>116786</v>
      </c>
      <c r="L346" s="1">
        <v>0</v>
      </c>
      <c r="M346" s="4">
        <v>0</v>
      </c>
      <c r="N346" s="3">
        <v>5602</v>
      </c>
      <c r="O346" s="4">
        <v>4.5999999999999999E-2</v>
      </c>
      <c r="P346" s="1" t="s">
        <v>2721</v>
      </c>
    </row>
    <row r="347" spans="1:16">
      <c r="A347" s="1" t="s">
        <v>15</v>
      </c>
      <c r="B347" s="1">
        <v>12</v>
      </c>
      <c r="C347" s="1" t="s">
        <v>1583</v>
      </c>
      <c r="D347" s="1" t="s">
        <v>1199</v>
      </c>
      <c r="E347" s="2">
        <v>45992</v>
      </c>
      <c r="F347" s="1" t="s">
        <v>1200</v>
      </c>
      <c r="G347" s="1" t="s">
        <v>1201</v>
      </c>
      <c r="H347" s="1" t="s">
        <v>1202</v>
      </c>
      <c r="I347" s="1">
        <v>1</v>
      </c>
      <c r="J347" s="3">
        <v>27033</v>
      </c>
      <c r="K347" s="3">
        <v>25795</v>
      </c>
      <c r="L347" s="1">
        <v>0</v>
      </c>
      <c r="M347" s="4">
        <v>0</v>
      </c>
      <c r="N347" s="3">
        <v>1238</v>
      </c>
      <c r="O347" s="4">
        <v>4.5999999999999999E-2</v>
      </c>
      <c r="P347" s="1" t="s">
        <v>2721</v>
      </c>
    </row>
    <row r="348" spans="1:16">
      <c r="A348" s="1" t="s">
        <v>15</v>
      </c>
      <c r="B348" s="1">
        <v>12</v>
      </c>
      <c r="C348" s="1" t="s">
        <v>1584</v>
      </c>
      <c r="D348" s="1" t="s">
        <v>1074</v>
      </c>
      <c r="E348" s="2">
        <v>45992</v>
      </c>
      <c r="F348" s="1" t="s">
        <v>1075</v>
      </c>
      <c r="G348" s="1" t="s">
        <v>1076</v>
      </c>
      <c r="H348" s="1" t="s">
        <v>1585</v>
      </c>
      <c r="I348" s="1">
        <v>1</v>
      </c>
      <c r="J348" s="3">
        <v>12503</v>
      </c>
      <c r="K348" s="3">
        <v>11930</v>
      </c>
      <c r="L348" s="1">
        <v>0</v>
      </c>
      <c r="M348" s="4">
        <v>0</v>
      </c>
      <c r="N348" s="1">
        <v>573</v>
      </c>
      <c r="O348" s="4">
        <v>4.5999999999999999E-2</v>
      </c>
      <c r="P348" s="1" t="s">
        <v>2721</v>
      </c>
    </row>
    <row r="349" spans="1:16">
      <c r="A349" s="1" t="s">
        <v>15</v>
      </c>
      <c r="B349" s="1">
        <v>12</v>
      </c>
      <c r="C349" s="1" t="s">
        <v>1586</v>
      </c>
      <c r="D349" s="1" t="s">
        <v>1587</v>
      </c>
      <c r="E349" s="2">
        <v>45992</v>
      </c>
      <c r="F349" s="1" t="s">
        <v>126</v>
      </c>
      <c r="G349" s="1" t="s">
        <v>1588</v>
      </c>
      <c r="H349" s="1" t="s">
        <v>1589</v>
      </c>
      <c r="I349" s="1">
        <v>1</v>
      </c>
      <c r="J349" s="3">
        <v>12484</v>
      </c>
      <c r="K349" s="3">
        <v>11913</v>
      </c>
      <c r="L349" s="1">
        <v>0</v>
      </c>
      <c r="M349" s="4">
        <v>0</v>
      </c>
      <c r="N349" s="1">
        <v>571</v>
      </c>
      <c r="O349" s="4">
        <v>4.5999999999999999E-2</v>
      </c>
      <c r="P349" s="1" t="s">
        <v>2721</v>
      </c>
    </row>
    <row r="350" spans="1:16">
      <c r="A350" s="1" t="s">
        <v>15</v>
      </c>
      <c r="B350" s="1">
        <v>12</v>
      </c>
      <c r="C350" s="1" t="s">
        <v>1590</v>
      </c>
      <c r="D350" s="1" t="s">
        <v>1467</v>
      </c>
      <c r="E350" s="2">
        <v>45992</v>
      </c>
      <c r="F350" s="1" t="s">
        <v>126</v>
      </c>
      <c r="G350" s="1" t="s">
        <v>1468</v>
      </c>
      <c r="H350" s="1" t="s">
        <v>1469</v>
      </c>
      <c r="I350" s="1">
        <v>1</v>
      </c>
      <c r="J350" s="3">
        <v>17989</v>
      </c>
      <c r="K350" s="3">
        <v>17165</v>
      </c>
      <c r="L350" s="1">
        <v>0</v>
      </c>
      <c r="M350" s="4">
        <v>0</v>
      </c>
      <c r="N350" s="1">
        <v>824</v>
      </c>
      <c r="O350" s="4">
        <v>4.5999999999999999E-2</v>
      </c>
      <c r="P350" s="1" t="s">
        <v>2721</v>
      </c>
    </row>
    <row r="351" spans="1:16">
      <c r="A351" s="1" t="s">
        <v>15</v>
      </c>
      <c r="B351" s="1">
        <v>12</v>
      </c>
      <c r="C351" s="1" t="s">
        <v>1591</v>
      </c>
      <c r="D351" s="1" t="s">
        <v>504</v>
      </c>
      <c r="E351" s="2">
        <v>45992</v>
      </c>
      <c r="F351" s="1" t="s">
        <v>407</v>
      </c>
      <c r="G351" s="1" t="s">
        <v>505</v>
      </c>
      <c r="H351" s="1" t="s">
        <v>1004</v>
      </c>
      <c r="I351" s="1">
        <v>1</v>
      </c>
      <c r="J351" s="3">
        <v>9339</v>
      </c>
      <c r="K351" s="3">
        <v>8911</v>
      </c>
      <c r="L351" s="1">
        <v>0</v>
      </c>
      <c r="M351" s="4">
        <v>0</v>
      </c>
      <c r="N351" s="1">
        <v>428</v>
      </c>
      <c r="O351" s="4">
        <v>4.5999999999999999E-2</v>
      </c>
      <c r="P351" s="1" t="s">
        <v>2721</v>
      </c>
    </row>
    <row r="352" spans="1:16">
      <c r="A352" s="1" t="s">
        <v>15</v>
      </c>
      <c r="B352" s="1">
        <v>12</v>
      </c>
      <c r="C352" s="1" t="s">
        <v>1592</v>
      </c>
      <c r="D352" s="1" t="s">
        <v>1593</v>
      </c>
      <c r="E352" s="2">
        <v>45992</v>
      </c>
      <c r="F352" s="1" t="s">
        <v>96</v>
      </c>
      <c r="G352" s="1" t="s">
        <v>1594</v>
      </c>
      <c r="H352" s="1" t="s">
        <v>1595</v>
      </c>
      <c r="I352" s="1">
        <v>1</v>
      </c>
      <c r="J352" s="3">
        <v>11666</v>
      </c>
      <c r="K352" s="3">
        <v>11132</v>
      </c>
      <c r="L352" s="1">
        <v>0</v>
      </c>
      <c r="M352" s="4">
        <v>0</v>
      </c>
      <c r="N352" s="3">
        <v>534</v>
      </c>
      <c r="O352" s="4">
        <v>4.5999999999999999E-2</v>
      </c>
      <c r="P352" s="1" t="s">
        <v>2721</v>
      </c>
    </row>
    <row r="353" spans="1:16">
      <c r="A353" s="1" t="s">
        <v>15</v>
      </c>
      <c r="B353" s="1">
        <v>12</v>
      </c>
      <c r="C353" s="1" t="s">
        <v>1596</v>
      </c>
      <c r="D353" s="1" t="s">
        <v>1597</v>
      </c>
      <c r="E353" s="2">
        <v>45992</v>
      </c>
      <c r="F353" s="1" t="s">
        <v>464</v>
      </c>
      <c r="G353" s="1" t="s">
        <v>1598</v>
      </c>
      <c r="H353" s="1" t="s">
        <v>1599</v>
      </c>
      <c r="I353" s="1">
        <v>2</v>
      </c>
      <c r="J353" s="3">
        <v>25414</v>
      </c>
      <c r="K353" s="3">
        <v>24251</v>
      </c>
      <c r="L353" s="1">
        <v>0</v>
      </c>
      <c r="M353" s="4">
        <v>0</v>
      </c>
      <c r="N353" s="3">
        <v>1163</v>
      </c>
      <c r="O353" s="4">
        <v>4.5999999999999999E-2</v>
      </c>
      <c r="P353" s="1" t="s">
        <v>2721</v>
      </c>
    </row>
    <row r="354" spans="1:16">
      <c r="A354" s="1" t="s">
        <v>15</v>
      </c>
      <c r="B354" s="1">
        <v>12</v>
      </c>
      <c r="C354" s="1" t="s">
        <v>1600</v>
      </c>
      <c r="D354" s="1" t="s">
        <v>90</v>
      </c>
      <c r="E354" s="2">
        <v>45992</v>
      </c>
      <c r="F354" s="1" t="s">
        <v>91</v>
      </c>
      <c r="G354" s="1" t="s">
        <v>92</v>
      </c>
      <c r="H354" s="1" t="s">
        <v>93</v>
      </c>
      <c r="I354" s="1">
        <v>1</v>
      </c>
      <c r="J354" s="3">
        <v>13526</v>
      </c>
      <c r="K354" s="3">
        <v>12907</v>
      </c>
      <c r="L354" s="1">
        <v>0</v>
      </c>
      <c r="M354" s="4">
        <v>0</v>
      </c>
      <c r="N354" s="1">
        <v>619</v>
      </c>
      <c r="O354" s="4">
        <v>4.5999999999999999E-2</v>
      </c>
      <c r="P354" s="1" t="s">
        <v>2721</v>
      </c>
    </row>
    <row r="355" spans="1:16">
      <c r="A355" s="1" t="s">
        <v>15</v>
      </c>
      <c r="B355" s="1">
        <v>12</v>
      </c>
      <c r="C355" s="1" t="s">
        <v>1601</v>
      </c>
      <c r="D355" s="1" t="s">
        <v>1250</v>
      </c>
      <c r="E355" s="2">
        <v>45992</v>
      </c>
      <c r="F355" s="1" t="s">
        <v>18</v>
      </c>
      <c r="G355" s="1" t="s">
        <v>1251</v>
      </c>
      <c r="H355" s="1" t="s">
        <v>20</v>
      </c>
      <c r="I355" s="1">
        <v>1</v>
      </c>
      <c r="J355" s="3">
        <v>8395</v>
      </c>
      <c r="K355" s="3">
        <v>8011</v>
      </c>
      <c r="L355" s="1">
        <v>0</v>
      </c>
      <c r="M355" s="4">
        <v>0</v>
      </c>
      <c r="N355" s="1">
        <v>384</v>
      </c>
      <c r="O355" s="4">
        <v>4.5999999999999999E-2</v>
      </c>
      <c r="P355" s="1" t="s">
        <v>2721</v>
      </c>
    </row>
    <row r="356" spans="1:16">
      <c r="A356" s="1" t="s">
        <v>15</v>
      </c>
      <c r="B356" s="1">
        <v>12</v>
      </c>
      <c r="C356" s="1" t="s">
        <v>1601</v>
      </c>
      <c r="D356" s="1" t="s">
        <v>1250</v>
      </c>
      <c r="E356" s="2">
        <v>45992</v>
      </c>
      <c r="F356" s="1" t="s">
        <v>18</v>
      </c>
      <c r="G356" s="1" t="s">
        <v>1251</v>
      </c>
      <c r="H356" s="1" t="s">
        <v>1428</v>
      </c>
      <c r="I356" s="1">
        <v>1</v>
      </c>
      <c r="J356" s="3">
        <v>8395</v>
      </c>
      <c r="K356" s="3">
        <v>8011</v>
      </c>
      <c r="L356" s="1">
        <v>0</v>
      </c>
      <c r="M356" s="4">
        <v>0</v>
      </c>
      <c r="N356" s="1">
        <v>384</v>
      </c>
      <c r="O356" s="4">
        <v>4.5999999999999999E-2</v>
      </c>
      <c r="P356" s="1" t="s">
        <v>2721</v>
      </c>
    </row>
    <row r="357" spans="1:16">
      <c r="A357" s="1" t="s">
        <v>15</v>
      </c>
      <c r="B357" s="1">
        <v>12</v>
      </c>
      <c r="C357" s="1" t="s">
        <v>1602</v>
      </c>
      <c r="D357" s="1" t="s">
        <v>244</v>
      </c>
      <c r="E357" s="2">
        <v>45992</v>
      </c>
      <c r="F357" s="1" t="s">
        <v>53</v>
      </c>
      <c r="G357" s="1" t="s">
        <v>245</v>
      </c>
      <c r="H357" s="1" t="s">
        <v>1166</v>
      </c>
      <c r="I357" s="1">
        <v>1</v>
      </c>
      <c r="J357" s="3">
        <v>8272</v>
      </c>
      <c r="K357" s="3">
        <v>7893</v>
      </c>
      <c r="L357" s="1">
        <v>0</v>
      </c>
      <c r="M357" s="4">
        <v>0</v>
      </c>
      <c r="N357" s="1">
        <v>379</v>
      </c>
      <c r="O357" s="4">
        <v>4.5999999999999999E-2</v>
      </c>
      <c r="P357" s="1" t="s">
        <v>2721</v>
      </c>
    </row>
    <row r="358" spans="1:16">
      <c r="A358" s="1" t="s">
        <v>15</v>
      </c>
      <c r="B358" s="1">
        <v>12</v>
      </c>
      <c r="C358" s="1" t="s">
        <v>1603</v>
      </c>
      <c r="D358" s="1" t="s">
        <v>1604</v>
      </c>
      <c r="E358" s="2">
        <v>45992</v>
      </c>
      <c r="F358" s="1" t="s">
        <v>53</v>
      </c>
      <c r="G358" s="1" t="s">
        <v>1605</v>
      </c>
      <c r="H358" s="1" t="s">
        <v>1606</v>
      </c>
      <c r="I358" s="1">
        <v>1</v>
      </c>
      <c r="J358" s="3">
        <v>9375</v>
      </c>
      <c r="K358" s="3">
        <v>8946</v>
      </c>
      <c r="L358" s="1">
        <v>0</v>
      </c>
      <c r="M358" s="4">
        <v>0</v>
      </c>
      <c r="N358" s="3">
        <v>429</v>
      </c>
      <c r="O358" s="4">
        <v>4.5999999999999999E-2</v>
      </c>
      <c r="P358" s="1" t="s">
        <v>2721</v>
      </c>
    </row>
    <row r="359" spans="1:16">
      <c r="A359" s="1" t="s">
        <v>15</v>
      </c>
      <c r="B359" s="1">
        <v>12</v>
      </c>
      <c r="C359" s="1" t="s">
        <v>1607</v>
      </c>
      <c r="D359" s="1" t="s">
        <v>922</v>
      </c>
      <c r="E359" s="2">
        <v>45992</v>
      </c>
      <c r="F359" s="1" t="s">
        <v>126</v>
      </c>
      <c r="G359" s="1" t="s">
        <v>923</v>
      </c>
      <c r="H359" s="1" t="s">
        <v>1608</v>
      </c>
      <c r="I359" s="1">
        <v>1</v>
      </c>
      <c r="J359" s="3">
        <v>29687</v>
      </c>
      <c r="K359" s="3">
        <v>28328</v>
      </c>
      <c r="L359" s="1">
        <v>0</v>
      </c>
      <c r="M359" s="4">
        <v>0</v>
      </c>
      <c r="N359" s="3">
        <v>1359</v>
      </c>
      <c r="O359" s="4">
        <v>4.5999999999999999E-2</v>
      </c>
      <c r="P359" s="1" t="s">
        <v>2721</v>
      </c>
    </row>
    <row r="360" spans="1:16">
      <c r="A360" s="1" t="s">
        <v>15</v>
      </c>
      <c r="B360" s="1">
        <v>12</v>
      </c>
      <c r="C360" s="1" t="s">
        <v>1609</v>
      </c>
      <c r="D360" s="1" t="s">
        <v>482</v>
      </c>
      <c r="E360" s="2">
        <v>45992</v>
      </c>
      <c r="F360" s="1" t="s">
        <v>483</v>
      </c>
      <c r="G360" s="1" t="s">
        <v>484</v>
      </c>
      <c r="H360" s="1" t="s">
        <v>1039</v>
      </c>
      <c r="I360" s="1">
        <v>2</v>
      </c>
      <c r="J360" s="3">
        <v>54851</v>
      </c>
      <c r="K360" s="3">
        <v>52340</v>
      </c>
      <c r="L360" s="1">
        <v>0</v>
      </c>
      <c r="M360" s="4">
        <v>0</v>
      </c>
      <c r="N360" s="3">
        <v>2511</v>
      </c>
      <c r="O360" s="4">
        <v>4.5999999999999999E-2</v>
      </c>
      <c r="P360" s="1" t="s">
        <v>2721</v>
      </c>
    </row>
    <row r="361" spans="1:16">
      <c r="A361" s="1" t="s">
        <v>15</v>
      </c>
      <c r="B361" s="1">
        <v>12</v>
      </c>
      <c r="C361" s="1" t="s">
        <v>1609</v>
      </c>
      <c r="D361" s="1" t="s">
        <v>482</v>
      </c>
      <c r="E361" s="2">
        <v>45992</v>
      </c>
      <c r="F361" s="1" t="s">
        <v>483</v>
      </c>
      <c r="G361" s="1" t="s">
        <v>484</v>
      </c>
      <c r="H361" s="1" t="s">
        <v>1610</v>
      </c>
      <c r="I361" s="1">
        <v>1</v>
      </c>
      <c r="J361" s="3">
        <v>81098</v>
      </c>
      <c r="K361" s="3">
        <v>77385</v>
      </c>
      <c r="L361" s="1">
        <v>0</v>
      </c>
      <c r="M361" s="4">
        <v>0</v>
      </c>
      <c r="N361" s="3">
        <v>3713</v>
      </c>
      <c r="O361" s="4">
        <v>4.5999999999999999E-2</v>
      </c>
      <c r="P361" s="1" t="s">
        <v>2721</v>
      </c>
    </row>
    <row r="362" spans="1:16">
      <c r="A362" s="1" t="s">
        <v>15</v>
      </c>
      <c r="B362" s="1">
        <v>12</v>
      </c>
      <c r="C362" s="1" t="s">
        <v>1611</v>
      </c>
      <c r="D362" s="1" t="s">
        <v>549</v>
      </c>
      <c r="E362" s="2">
        <v>45992</v>
      </c>
      <c r="F362" s="1" t="s">
        <v>63</v>
      </c>
      <c r="G362" s="1" t="s">
        <v>550</v>
      </c>
      <c r="H362" s="1" t="s">
        <v>551</v>
      </c>
      <c r="I362" s="1">
        <v>1</v>
      </c>
      <c r="J362" s="3">
        <v>15422</v>
      </c>
      <c r="K362" s="3">
        <v>14716</v>
      </c>
      <c r="L362" s="1">
        <v>0</v>
      </c>
      <c r="M362" s="4">
        <v>0</v>
      </c>
      <c r="N362" s="1">
        <v>706</v>
      </c>
      <c r="O362" s="4">
        <v>4.5999999999999999E-2</v>
      </c>
      <c r="P362" s="1" t="s">
        <v>2721</v>
      </c>
    </row>
    <row r="363" spans="1:16">
      <c r="A363" s="1" t="s">
        <v>15</v>
      </c>
      <c r="B363" s="1">
        <v>12</v>
      </c>
      <c r="C363" s="1" t="s">
        <v>1612</v>
      </c>
      <c r="D363" s="1" t="s">
        <v>86</v>
      </c>
      <c r="E363" s="2">
        <v>45992</v>
      </c>
      <c r="F363" s="1" t="s">
        <v>53</v>
      </c>
      <c r="G363" s="1" t="s">
        <v>87</v>
      </c>
      <c r="H363" s="1" t="s">
        <v>88</v>
      </c>
      <c r="I363" s="1">
        <v>1</v>
      </c>
      <c r="J363" s="3">
        <v>14956</v>
      </c>
      <c r="K363" s="3">
        <v>14272</v>
      </c>
      <c r="L363" s="1">
        <v>0</v>
      </c>
      <c r="M363" s="4">
        <v>0</v>
      </c>
      <c r="N363" s="1">
        <v>684</v>
      </c>
      <c r="O363" s="4">
        <v>4.5999999999999999E-2</v>
      </c>
      <c r="P363" s="1" t="s">
        <v>2721</v>
      </c>
    </row>
    <row r="364" spans="1:16">
      <c r="A364" s="1" t="s">
        <v>15</v>
      </c>
      <c r="B364" s="1">
        <v>12</v>
      </c>
      <c r="C364" s="1" t="s">
        <v>1613</v>
      </c>
      <c r="D364" s="1" t="s">
        <v>90</v>
      </c>
      <c r="E364" s="2">
        <v>45992</v>
      </c>
      <c r="F364" s="1" t="s">
        <v>91</v>
      </c>
      <c r="G364" s="1" t="s">
        <v>92</v>
      </c>
      <c r="H364" s="1" t="s">
        <v>456</v>
      </c>
      <c r="I364" s="1">
        <v>1</v>
      </c>
      <c r="J364" s="3">
        <v>6763</v>
      </c>
      <c r="K364" s="3">
        <v>6453</v>
      </c>
      <c r="L364" s="1">
        <v>0</v>
      </c>
      <c r="M364" s="4">
        <v>0</v>
      </c>
      <c r="N364" s="1">
        <v>310</v>
      </c>
      <c r="O364" s="4">
        <v>4.5999999999999999E-2</v>
      </c>
      <c r="P364" s="1" t="s">
        <v>2721</v>
      </c>
    </row>
    <row r="365" spans="1:16">
      <c r="A365" s="1" t="s">
        <v>15</v>
      </c>
      <c r="B365" s="1">
        <v>12</v>
      </c>
      <c r="C365" s="1" t="s">
        <v>1614</v>
      </c>
      <c r="D365" s="1" t="s">
        <v>95</v>
      </c>
      <c r="E365" s="2">
        <v>45992</v>
      </c>
      <c r="F365" s="1" t="s">
        <v>96</v>
      </c>
      <c r="G365" s="1" t="s">
        <v>97</v>
      </c>
      <c r="H365" s="1" t="s">
        <v>97</v>
      </c>
      <c r="I365" s="1">
        <v>1</v>
      </c>
      <c r="J365" s="3">
        <v>12571</v>
      </c>
      <c r="K365" s="3">
        <v>11995</v>
      </c>
      <c r="L365" s="1">
        <v>0</v>
      </c>
      <c r="M365" s="4">
        <v>0</v>
      </c>
      <c r="N365" s="1">
        <v>576</v>
      </c>
      <c r="O365" s="4">
        <v>4.5999999999999999E-2</v>
      </c>
      <c r="P365" s="1" t="s">
        <v>2721</v>
      </c>
    </row>
    <row r="366" spans="1:16">
      <c r="A366" s="1" t="s">
        <v>15</v>
      </c>
      <c r="B366" s="1">
        <v>12</v>
      </c>
      <c r="C366" s="1" t="s">
        <v>1615</v>
      </c>
      <c r="D366" s="1" t="s">
        <v>287</v>
      </c>
      <c r="E366" s="2">
        <v>45992</v>
      </c>
      <c r="F366" s="1" t="s">
        <v>235</v>
      </c>
      <c r="G366" s="1" t="s">
        <v>288</v>
      </c>
      <c r="H366" s="1" t="s">
        <v>289</v>
      </c>
      <c r="I366" s="1">
        <v>1</v>
      </c>
      <c r="J366" s="3">
        <v>14647</v>
      </c>
      <c r="K366" s="3">
        <v>13976</v>
      </c>
      <c r="L366" s="1">
        <v>0</v>
      </c>
      <c r="M366" s="4">
        <v>0</v>
      </c>
      <c r="N366" s="1">
        <v>671</v>
      </c>
      <c r="O366" s="4">
        <v>4.5999999999999999E-2</v>
      </c>
      <c r="P366" s="1" t="s">
        <v>2721</v>
      </c>
    </row>
    <row r="367" spans="1:16">
      <c r="A367" s="1" t="s">
        <v>15</v>
      </c>
      <c r="B367" s="1">
        <v>12</v>
      </c>
      <c r="C367" s="1" t="s">
        <v>1616</v>
      </c>
      <c r="D367" s="1" t="s">
        <v>549</v>
      </c>
      <c r="E367" s="2">
        <v>45992</v>
      </c>
      <c r="F367" s="1" t="s">
        <v>63</v>
      </c>
      <c r="G367" s="1" t="s">
        <v>550</v>
      </c>
      <c r="H367" s="1" t="s">
        <v>551</v>
      </c>
      <c r="I367" s="1">
        <v>1</v>
      </c>
      <c r="J367" s="3">
        <v>15422</v>
      </c>
      <c r="K367" s="3">
        <v>14716</v>
      </c>
      <c r="L367" s="1">
        <v>0</v>
      </c>
      <c r="M367" s="4">
        <v>0</v>
      </c>
      <c r="N367" s="1">
        <v>706</v>
      </c>
      <c r="O367" s="4">
        <v>4.5999999999999999E-2</v>
      </c>
      <c r="P367" s="1" t="s">
        <v>2721</v>
      </c>
    </row>
    <row r="368" spans="1:16">
      <c r="A368" s="1" t="s">
        <v>15</v>
      </c>
      <c r="B368" s="1">
        <v>12</v>
      </c>
      <c r="C368" s="1" t="s">
        <v>1617</v>
      </c>
      <c r="D368" s="1" t="s">
        <v>931</v>
      </c>
      <c r="E368" s="2">
        <v>45992</v>
      </c>
      <c r="F368" s="1" t="s">
        <v>932</v>
      </c>
      <c r="G368" s="1" t="s">
        <v>933</v>
      </c>
      <c r="H368" s="1" t="s">
        <v>1618</v>
      </c>
      <c r="I368" s="1">
        <v>1</v>
      </c>
      <c r="J368" s="3">
        <v>19660</v>
      </c>
      <c r="K368" s="3">
        <v>18760</v>
      </c>
      <c r="L368" s="1">
        <v>0</v>
      </c>
      <c r="M368" s="4">
        <v>0</v>
      </c>
      <c r="N368" s="1">
        <v>900</v>
      </c>
      <c r="O368" s="4">
        <v>4.5999999999999999E-2</v>
      </c>
      <c r="P368" s="1" t="s">
        <v>2721</v>
      </c>
    </row>
    <row r="369" spans="1:16">
      <c r="A369" s="1" t="s">
        <v>15</v>
      </c>
      <c r="B369" s="1">
        <v>12</v>
      </c>
      <c r="C369" s="1" t="s">
        <v>1619</v>
      </c>
      <c r="D369" s="1" t="s">
        <v>169</v>
      </c>
      <c r="E369" s="2">
        <v>45992</v>
      </c>
      <c r="F369" s="1" t="s">
        <v>53</v>
      </c>
      <c r="G369" s="1" t="s">
        <v>170</v>
      </c>
      <c r="H369" s="1" t="s">
        <v>171</v>
      </c>
      <c r="I369" s="1">
        <v>1</v>
      </c>
      <c r="J369" s="3">
        <v>14332</v>
      </c>
      <c r="K369" s="3">
        <v>13676</v>
      </c>
      <c r="L369" s="1">
        <v>0</v>
      </c>
      <c r="M369" s="4">
        <v>0</v>
      </c>
      <c r="N369" s="1">
        <v>656</v>
      </c>
      <c r="O369" s="4">
        <v>4.5999999999999999E-2</v>
      </c>
      <c r="P369" s="1" t="s">
        <v>2721</v>
      </c>
    </row>
    <row r="370" spans="1:16">
      <c r="A370" s="1" t="s">
        <v>15</v>
      </c>
      <c r="B370" s="1">
        <v>12</v>
      </c>
      <c r="C370" s="1" t="s">
        <v>1620</v>
      </c>
      <c r="D370" s="1" t="s">
        <v>482</v>
      </c>
      <c r="E370" s="2">
        <v>45992</v>
      </c>
      <c r="F370" s="1" t="s">
        <v>483</v>
      </c>
      <c r="G370" s="1" t="s">
        <v>484</v>
      </c>
      <c r="H370" s="1" t="s">
        <v>1018</v>
      </c>
      <c r="I370" s="1">
        <v>1</v>
      </c>
      <c r="J370" s="3">
        <v>16501</v>
      </c>
      <c r="K370" s="3">
        <v>15745</v>
      </c>
      <c r="L370" s="1">
        <v>0</v>
      </c>
      <c r="M370" s="4">
        <v>0</v>
      </c>
      <c r="N370" s="1">
        <v>756</v>
      </c>
      <c r="O370" s="4">
        <v>4.5999999999999999E-2</v>
      </c>
      <c r="P370" s="1" t="s">
        <v>2721</v>
      </c>
    </row>
    <row r="371" spans="1:16">
      <c r="A371" s="1" t="s">
        <v>15</v>
      </c>
      <c r="B371" s="1">
        <v>12</v>
      </c>
      <c r="C371" s="1" t="s">
        <v>1621</v>
      </c>
      <c r="D371" s="1" t="s">
        <v>221</v>
      </c>
      <c r="E371" s="2">
        <v>45992</v>
      </c>
      <c r="F371" s="1" t="s">
        <v>96</v>
      </c>
      <c r="G371" s="1" t="s">
        <v>222</v>
      </c>
      <c r="H371" s="1" t="s">
        <v>509</v>
      </c>
      <c r="I371" s="1">
        <v>1</v>
      </c>
      <c r="J371" s="3">
        <v>12571</v>
      </c>
      <c r="K371" s="3">
        <v>11995</v>
      </c>
      <c r="L371" s="1">
        <v>0</v>
      </c>
      <c r="M371" s="4">
        <v>0</v>
      </c>
      <c r="N371" s="1">
        <v>576</v>
      </c>
      <c r="O371" s="4">
        <v>4.5999999999999999E-2</v>
      </c>
      <c r="P371" s="1" t="s">
        <v>2721</v>
      </c>
    </row>
    <row r="372" spans="1:16">
      <c r="A372" s="1" t="s">
        <v>15</v>
      </c>
      <c r="B372" s="1">
        <v>12</v>
      </c>
      <c r="C372" s="1" t="s">
        <v>1622</v>
      </c>
      <c r="D372" s="1" t="s">
        <v>125</v>
      </c>
      <c r="E372" s="2">
        <v>45992</v>
      </c>
      <c r="F372" s="1" t="s">
        <v>126</v>
      </c>
      <c r="G372" s="1" t="s">
        <v>127</v>
      </c>
      <c r="H372" s="1" t="s">
        <v>128</v>
      </c>
      <c r="I372" s="1">
        <v>1</v>
      </c>
      <c r="J372" s="3">
        <v>13959</v>
      </c>
      <c r="K372" s="3">
        <v>13320</v>
      </c>
      <c r="L372" s="1">
        <v>0</v>
      </c>
      <c r="M372" s="4">
        <v>0</v>
      </c>
      <c r="N372" s="1">
        <v>639</v>
      </c>
      <c r="O372" s="4">
        <v>4.5999999999999999E-2</v>
      </c>
      <c r="P372" s="1" t="s">
        <v>2721</v>
      </c>
    </row>
    <row r="373" spans="1:16">
      <c r="A373" s="1" t="s">
        <v>15</v>
      </c>
      <c r="B373" s="1">
        <v>12</v>
      </c>
      <c r="C373" s="1" t="s">
        <v>1623</v>
      </c>
      <c r="D373" s="1" t="s">
        <v>17</v>
      </c>
      <c r="E373" s="2">
        <v>45992</v>
      </c>
      <c r="F373" s="1" t="s">
        <v>18</v>
      </c>
      <c r="G373" s="1" t="s">
        <v>19</v>
      </c>
      <c r="H373" s="1" t="s">
        <v>1428</v>
      </c>
      <c r="I373" s="1">
        <v>1</v>
      </c>
      <c r="J373" s="3">
        <v>7166</v>
      </c>
      <c r="K373" s="3">
        <v>6838</v>
      </c>
      <c r="L373" s="1">
        <v>0</v>
      </c>
      <c r="M373" s="4">
        <v>0</v>
      </c>
      <c r="N373" s="3">
        <v>328</v>
      </c>
      <c r="O373" s="4">
        <v>4.5999999999999999E-2</v>
      </c>
      <c r="P373" s="1" t="s">
        <v>2721</v>
      </c>
    </row>
    <row r="374" spans="1:16">
      <c r="A374" s="1" t="s">
        <v>15</v>
      </c>
      <c r="B374" s="1">
        <v>12</v>
      </c>
      <c r="C374" s="1" t="s">
        <v>1624</v>
      </c>
      <c r="D374" s="1" t="s">
        <v>440</v>
      </c>
      <c r="E374" s="2">
        <v>45992</v>
      </c>
      <c r="F374" s="1" t="s">
        <v>441</v>
      </c>
      <c r="G374" s="1" t="s">
        <v>442</v>
      </c>
      <c r="H374" s="1" t="s">
        <v>443</v>
      </c>
      <c r="I374" s="1">
        <v>1</v>
      </c>
      <c r="J374" s="3">
        <v>27524</v>
      </c>
      <c r="K374" s="3">
        <v>26264</v>
      </c>
      <c r="L374" s="1">
        <v>0</v>
      </c>
      <c r="M374" s="4">
        <v>0</v>
      </c>
      <c r="N374" s="3">
        <v>1260</v>
      </c>
      <c r="O374" s="4">
        <v>4.5999999999999999E-2</v>
      </c>
      <c r="P374" s="1" t="s">
        <v>2721</v>
      </c>
    </row>
    <row r="375" spans="1:16">
      <c r="A375" s="1" t="s">
        <v>15</v>
      </c>
      <c r="B375" s="1">
        <v>12</v>
      </c>
      <c r="C375" s="1" t="s">
        <v>1625</v>
      </c>
      <c r="D375" s="1" t="s">
        <v>1531</v>
      </c>
      <c r="E375" s="2">
        <v>45992</v>
      </c>
      <c r="F375" s="1" t="s">
        <v>53</v>
      </c>
      <c r="G375" s="1" t="s">
        <v>1532</v>
      </c>
      <c r="H375" s="1" t="s">
        <v>1533</v>
      </c>
      <c r="I375" s="1">
        <v>1</v>
      </c>
      <c r="J375" s="3">
        <v>8022</v>
      </c>
      <c r="K375" s="3">
        <v>7655</v>
      </c>
      <c r="L375" s="1">
        <v>0</v>
      </c>
      <c r="M375" s="4">
        <v>0</v>
      </c>
      <c r="N375" s="1">
        <v>367</v>
      </c>
      <c r="O375" s="4">
        <v>4.5999999999999999E-2</v>
      </c>
      <c r="P375" s="1" t="s">
        <v>2721</v>
      </c>
    </row>
    <row r="376" spans="1:16">
      <c r="A376" s="1" t="s">
        <v>15</v>
      </c>
      <c r="B376" s="1">
        <v>12</v>
      </c>
      <c r="C376" s="1" t="s">
        <v>1626</v>
      </c>
      <c r="D376" s="1" t="s">
        <v>1627</v>
      </c>
      <c r="E376" s="2">
        <v>45992</v>
      </c>
      <c r="F376" s="1" t="s">
        <v>96</v>
      </c>
      <c r="G376" s="1" t="s">
        <v>1628</v>
      </c>
      <c r="H376" s="1" t="s">
        <v>1629</v>
      </c>
      <c r="I376" s="1">
        <v>1</v>
      </c>
      <c r="J376" s="3">
        <v>14289</v>
      </c>
      <c r="K376" s="3">
        <v>13635</v>
      </c>
      <c r="L376" s="1">
        <v>0</v>
      </c>
      <c r="M376" s="4">
        <v>0</v>
      </c>
      <c r="N376" s="3">
        <v>654</v>
      </c>
      <c r="O376" s="4">
        <v>4.5999999999999999E-2</v>
      </c>
      <c r="P376" s="1" t="s">
        <v>2721</v>
      </c>
    </row>
    <row r="377" spans="1:16">
      <c r="A377" s="1" t="s">
        <v>15</v>
      </c>
      <c r="B377" s="1">
        <v>12</v>
      </c>
      <c r="C377" s="1" t="s">
        <v>1630</v>
      </c>
      <c r="D377" s="1" t="s">
        <v>1631</v>
      </c>
      <c r="E377" s="2">
        <v>45992</v>
      </c>
      <c r="F377" s="1" t="s">
        <v>1632</v>
      </c>
      <c r="G377" s="1" t="s">
        <v>1633</v>
      </c>
      <c r="H377" s="1" t="s">
        <v>1634</v>
      </c>
      <c r="I377" s="1">
        <v>1</v>
      </c>
      <c r="J377" s="3">
        <v>25633</v>
      </c>
      <c r="K377" s="3">
        <v>24459</v>
      </c>
      <c r="L377" s="1">
        <v>0</v>
      </c>
      <c r="M377" s="4">
        <v>0</v>
      </c>
      <c r="N377" s="3">
        <v>1174</v>
      </c>
      <c r="O377" s="4">
        <v>4.5999999999999999E-2</v>
      </c>
      <c r="P377" s="1" t="s">
        <v>2721</v>
      </c>
    </row>
    <row r="378" spans="1:16">
      <c r="A378" s="1" t="s">
        <v>15</v>
      </c>
      <c r="B378" s="1">
        <v>12</v>
      </c>
      <c r="C378" s="1" t="s">
        <v>1635</v>
      </c>
      <c r="D378" s="1" t="s">
        <v>255</v>
      </c>
      <c r="E378" s="2">
        <v>45992</v>
      </c>
      <c r="F378" s="1" t="s">
        <v>256</v>
      </c>
      <c r="G378" s="1" t="s">
        <v>257</v>
      </c>
      <c r="H378" s="1" t="s">
        <v>1636</v>
      </c>
      <c r="I378" s="1">
        <v>1</v>
      </c>
      <c r="J378" s="3">
        <v>25558</v>
      </c>
      <c r="K378" s="3">
        <v>24388</v>
      </c>
      <c r="L378" s="1">
        <v>0</v>
      </c>
      <c r="M378" s="4">
        <v>0</v>
      </c>
      <c r="N378" s="3">
        <v>1170</v>
      </c>
      <c r="O378" s="4">
        <v>4.5999999999999999E-2</v>
      </c>
      <c r="P378" s="1" t="s">
        <v>2721</v>
      </c>
    </row>
    <row r="379" spans="1:16">
      <c r="A379" s="1" t="s">
        <v>15</v>
      </c>
      <c r="B379" s="1">
        <v>12</v>
      </c>
      <c r="C379" s="1" t="s">
        <v>1637</v>
      </c>
      <c r="D379" s="1" t="s">
        <v>1638</v>
      </c>
      <c r="E379" s="2">
        <v>45992</v>
      </c>
      <c r="F379" s="1" t="s">
        <v>53</v>
      </c>
      <c r="G379" s="1" t="s">
        <v>1639</v>
      </c>
      <c r="H379" s="1" t="s">
        <v>1640</v>
      </c>
      <c r="I379" s="1">
        <v>2</v>
      </c>
      <c r="J379" s="3">
        <v>16766</v>
      </c>
      <c r="K379" s="3">
        <v>15999</v>
      </c>
      <c r="L379" s="1">
        <v>0</v>
      </c>
      <c r="M379" s="4">
        <v>0</v>
      </c>
      <c r="N379" s="1">
        <v>767</v>
      </c>
      <c r="O379" s="4">
        <v>4.5999999999999999E-2</v>
      </c>
      <c r="P379" s="1" t="s">
        <v>2721</v>
      </c>
    </row>
    <row r="380" spans="1:16">
      <c r="A380" s="1" t="s">
        <v>15</v>
      </c>
      <c r="B380" s="1">
        <v>12</v>
      </c>
      <c r="C380" s="1" t="s">
        <v>1641</v>
      </c>
      <c r="D380" s="1" t="s">
        <v>95</v>
      </c>
      <c r="E380" s="2">
        <v>45992</v>
      </c>
      <c r="F380" s="1" t="s">
        <v>96</v>
      </c>
      <c r="G380" s="1" t="s">
        <v>97</v>
      </c>
      <c r="H380" s="1" t="s">
        <v>97</v>
      </c>
      <c r="I380" s="1">
        <v>1</v>
      </c>
      <c r="J380" s="3">
        <v>12571</v>
      </c>
      <c r="K380" s="3">
        <v>11995</v>
      </c>
      <c r="L380" s="1">
        <v>0</v>
      </c>
      <c r="M380" s="4">
        <v>0</v>
      </c>
      <c r="N380" s="1">
        <v>576</v>
      </c>
      <c r="O380" s="4">
        <v>4.5999999999999999E-2</v>
      </c>
      <c r="P380" s="1" t="s">
        <v>2721</v>
      </c>
    </row>
    <row r="381" spans="1:16">
      <c r="A381" s="1" t="s">
        <v>15</v>
      </c>
      <c r="B381" s="1">
        <v>12</v>
      </c>
      <c r="C381" s="1" t="s">
        <v>1641</v>
      </c>
      <c r="D381" s="1" t="s">
        <v>1642</v>
      </c>
      <c r="E381" s="2">
        <v>45992</v>
      </c>
      <c r="F381" s="1" t="s">
        <v>96</v>
      </c>
      <c r="G381" s="1" t="s">
        <v>1643</v>
      </c>
      <c r="H381" s="1" t="s">
        <v>1644</v>
      </c>
      <c r="I381" s="1">
        <v>1</v>
      </c>
      <c r="J381" s="3">
        <v>14379</v>
      </c>
      <c r="K381" s="3">
        <v>13721</v>
      </c>
      <c r="L381" s="1">
        <v>0</v>
      </c>
      <c r="M381" s="4">
        <v>0</v>
      </c>
      <c r="N381" s="3">
        <v>658</v>
      </c>
      <c r="O381" s="4">
        <v>4.5999999999999999E-2</v>
      </c>
      <c r="P381" s="1" t="s">
        <v>2721</v>
      </c>
    </row>
    <row r="382" spans="1:16">
      <c r="A382" s="1" t="s">
        <v>15</v>
      </c>
      <c r="B382" s="1">
        <v>12</v>
      </c>
      <c r="C382" s="1" t="s">
        <v>1645</v>
      </c>
      <c r="D382" s="1" t="s">
        <v>1399</v>
      </c>
      <c r="E382" s="2">
        <v>45992</v>
      </c>
      <c r="F382" s="1" t="s">
        <v>261</v>
      </c>
      <c r="G382" s="1" t="s">
        <v>1400</v>
      </c>
      <c r="H382" s="1" t="s">
        <v>1400</v>
      </c>
      <c r="I382" s="1">
        <v>1</v>
      </c>
      <c r="J382" s="3">
        <v>23592</v>
      </c>
      <c r="K382" s="3">
        <v>22512</v>
      </c>
      <c r="L382" s="1">
        <v>0</v>
      </c>
      <c r="M382" s="4">
        <v>0</v>
      </c>
      <c r="N382" s="3">
        <v>1080</v>
      </c>
      <c r="O382" s="4">
        <v>4.5999999999999999E-2</v>
      </c>
      <c r="P382" s="1" t="s">
        <v>2721</v>
      </c>
    </row>
    <row r="383" spans="1:16">
      <c r="A383" s="1" t="s">
        <v>15</v>
      </c>
      <c r="B383" s="1">
        <v>12</v>
      </c>
      <c r="C383" s="1" t="s">
        <v>1646</v>
      </c>
      <c r="D383" s="1" t="s">
        <v>1647</v>
      </c>
      <c r="E383" s="2">
        <v>45992</v>
      </c>
      <c r="F383" s="1" t="s">
        <v>1112</v>
      </c>
      <c r="G383" s="1" t="s">
        <v>1648</v>
      </c>
      <c r="H383" s="1" t="s">
        <v>1649</v>
      </c>
      <c r="I383" s="1">
        <v>1</v>
      </c>
      <c r="J383" s="3">
        <v>47184</v>
      </c>
      <c r="K383" s="3">
        <v>45024</v>
      </c>
      <c r="L383" s="1">
        <v>0</v>
      </c>
      <c r="M383" s="4">
        <v>0</v>
      </c>
      <c r="N383" s="3">
        <v>2160</v>
      </c>
      <c r="O383" s="4">
        <v>4.5999999999999999E-2</v>
      </c>
      <c r="P383" s="1" t="s">
        <v>2721</v>
      </c>
    </row>
    <row r="384" spans="1:16">
      <c r="A384" s="1" t="s">
        <v>15</v>
      </c>
      <c r="B384" s="1">
        <v>12</v>
      </c>
      <c r="C384" s="1" t="s">
        <v>1650</v>
      </c>
      <c r="D384" s="1" t="s">
        <v>1651</v>
      </c>
      <c r="E384" s="2">
        <v>45992</v>
      </c>
      <c r="F384" s="1" t="s">
        <v>1112</v>
      </c>
      <c r="G384" s="1" t="s">
        <v>1652</v>
      </c>
      <c r="H384" s="1" t="s">
        <v>1653</v>
      </c>
      <c r="I384" s="1">
        <v>1</v>
      </c>
      <c r="J384" s="3">
        <v>47184</v>
      </c>
      <c r="K384" s="3">
        <v>45024</v>
      </c>
      <c r="L384" s="1">
        <v>0</v>
      </c>
      <c r="M384" s="4">
        <v>0</v>
      </c>
      <c r="N384" s="3">
        <v>2160</v>
      </c>
      <c r="O384" s="4">
        <v>4.5999999999999999E-2</v>
      </c>
      <c r="P384" s="1" t="s">
        <v>2721</v>
      </c>
    </row>
    <row r="385" spans="1:16">
      <c r="A385" s="1" t="s">
        <v>15</v>
      </c>
      <c r="B385" s="1">
        <v>12</v>
      </c>
      <c r="C385" s="1" t="s">
        <v>1654</v>
      </c>
      <c r="D385" s="1" t="s">
        <v>112</v>
      </c>
      <c r="E385" s="2">
        <v>45992</v>
      </c>
      <c r="F385" s="1" t="s">
        <v>63</v>
      </c>
      <c r="G385" s="1" t="s">
        <v>113</v>
      </c>
      <c r="H385" s="1" t="s">
        <v>1655</v>
      </c>
      <c r="I385" s="1">
        <v>1</v>
      </c>
      <c r="J385" s="3">
        <v>6009</v>
      </c>
      <c r="K385" s="3">
        <v>5734</v>
      </c>
      <c r="L385" s="1">
        <v>0</v>
      </c>
      <c r="M385" s="4">
        <v>0</v>
      </c>
      <c r="N385" s="1">
        <v>275</v>
      </c>
      <c r="O385" s="4">
        <v>4.5999999999999999E-2</v>
      </c>
      <c r="P385" s="1" t="s">
        <v>2721</v>
      </c>
    </row>
    <row r="386" spans="1:16">
      <c r="A386" s="1" t="s">
        <v>15</v>
      </c>
      <c r="B386" s="1">
        <v>12</v>
      </c>
      <c r="C386" s="1" t="s">
        <v>1656</v>
      </c>
      <c r="D386" s="1" t="s">
        <v>1250</v>
      </c>
      <c r="E386" s="2">
        <v>45992</v>
      </c>
      <c r="F386" s="1" t="s">
        <v>18</v>
      </c>
      <c r="G386" s="1" t="s">
        <v>1251</v>
      </c>
      <c r="H386" s="1" t="s">
        <v>1428</v>
      </c>
      <c r="I386" s="1">
        <v>1</v>
      </c>
      <c r="J386" s="3">
        <v>8395</v>
      </c>
      <c r="K386" s="3">
        <v>8011</v>
      </c>
      <c r="L386" s="1">
        <v>0</v>
      </c>
      <c r="M386" s="4">
        <v>0</v>
      </c>
      <c r="N386" s="1">
        <v>384</v>
      </c>
      <c r="O386" s="4">
        <v>4.5999999999999999E-2</v>
      </c>
      <c r="P386" s="1" t="s">
        <v>2721</v>
      </c>
    </row>
    <row r="387" spans="1:16">
      <c r="A387" s="1" t="s">
        <v>15</v>
      </c>
      <c r="B387" s="1">
        <v>12</v>
      </c>
      <c r="C387" s="1" t="s">
        <v>1657</v>
      </c>
      <c r="D387" s="1" t="s">
        <v>125</v>
      </c>
      <c r="E387" s="2">
        <v>45992</v>
      </c>
      <c r="F387" s="1" t="s">
        <v>126</v>
      </c>
      <c r="G387" s="1" t="s">
        <v>127</v>
      </c>
      <c r="H387" s="1" t="s">
        <v>1658</v>
      </c>
      <c r="I387" s="1">
        <v>1</v>
      </c>
      <c r="J387" s="3">
        <v>19758</v>
      </c>
      <c r="K387" s="3">
        <v>18854</v>
      </c>
      <c r="L387" s="1">
        <v>0</v>
      </c>
      <c r="M387" s="4">
        <v>0</v>
      </c>
      <c r="N387" s="1">
        <v>904</v>
      </c>
      <c r="O387" s="4">
        <v>4.5999999999999999E-2</v>
      </c>
      <c r="P387" s="1" t="s">
        <v>2721</v>
      </c>
    </row>
    <row r="388" spans="1:16">
      <c r="A388" s="1" t="s">
        <v>15</v>
      </c>
      <c r="B388" s="1">
        <v>12</v>
      </c>
      <c r="C388" s="1" t="s">
        <v>1659</v>
      </c>
      <c r="D388" s="1" t="s">
        <v>538</v>
      </c>
      <c r="E388" s="2">
        <v>45992</v>
      </c>
      <c r="F388" s="1" t="s">
        <v>53</v>
      </c>
      <c r="G388" s="1" t="s">
        <v>539</v>
      </c>
      <c r="H388" s="1" t="s">
        <v>540</v>
      </c>
      <c r="I388" s="1">
        <v>1</v>
      </c>
      <c r="J388" s="3">
        <v>14332</v>
      </c>
      <c r="K388" s="3">
        <v>13676</v>
      </c>
      <c r="L388" s="1">
        <v>0</v>
      </c>
      <c r="M388" s="4">
        <v>0</v>
      </c>
      <c r="N388" s="3">
        <v>656</v>
      </c>
      <c r="O388" s="4">
        <v>4.5999999999999999E-2</v>
      </c>
      <c r="P388" s="1" t="s">
        <v>2721</v>
      </c>
    </row>
    <row r="389" spans="1:16">
      <c r="A389" s="1" t="s">
        <v>15</v>
      </c>
      <c r="B389" s="1">
        <v>12</v>
      </c>
      <c r="C389" s="1" t="s">
        <v>1660</v>
      </c>
      <c r="D389" s="1" t="s">
        <v>878</v>
      </c>
      <c r="E389" s="2">
        <v>45992</v>
      </c>
      <c r="F389" s="1" t="s">
        <v>856</v>
      </c>
      <c r="G389" s="1" t="s">
        <v>879</v>
      </c>
      <c r="H389" s="1" t="s">
        <v>880</v>
      </c>
      <c r="I389" s="1">
        <v>1</v>
      </c>
      <c r="J389" s="3">
        <v>89453</v>
      </c>
      <c r="K389" s="3">
        <v>85358</v>
      </c>
      <c r="L389" s="1">
        <v>0</v>
      </c>
      <c r="M389" s="4">
        <v>0</v>
      </c>
      <c r="N389" s="3">
        <v>4095</v>
      </c>
      <c r="O389" s="4">
        <v>4.5999999999999999E-2</v>
      </c>
      <c r="P389" s="1" t="s">
        <v>2721</v>
      </c>
    </row>
    <row r="390" spans="1:16">
      <c r="A390" s="1" t="s">
        <v>15</v>
      </c>
      <c r="B390" s="1">
        <v>12</v>
      </c>
      <c r="C390" s="1" t="s">
        <v>1661</v>
      </c>
      <c r="D390" s="1" t="s">
        <v>458</v>
      </c>
      <c r="E390" s="2">
        <v>45992</v>
      </c>
      <c r="F390" s="1" t="s">
        <v>161</v>
      </c>
      <c r="G390" s="1" t="s">
        <v>459</v>
      </c>
      <c r="H390" s="1" t="s">
        <v>460</v>
      </c>
      <c r="I390" s="1">
        <v>1</v>
      </c>
      <c r="J390" s="3">
        <v>9928</v>
      </c>
      <c r="K390" s="3">
        <v>9474</v>
      </c>
      <c r="L390" s="1">
        <v>0</v>
      </c>
      <c r="M390" s="4">
        <v>0</v>
      </c>
      <c r="N390" s="1">
        <v>454</v>
      </c>
      <c r="O390" s="4">
        <v>4.5999999999999999E-2</v>
      </c>
      <c r="P390" s="1" t="s">
        <v>2721</v>
      </c>
    </row>
    <row r="391" spans="1:16">
      <c r="A391" s="1" t="s">
        <v>15</v>
      </c>
      <c r="B391" s="1">
        <v>12</v>
      </c>
      <c r="C391" s="1" t="s">
        <v>1662</v>
      </c>
      <c r="D391" s="1" t="s">
        <v>178</v>
      </c>
      <c r="E391" s="2">
        <v>45992</v>
      </c>
      <c r="F391" s="1" t="s">
        <v>96</v>
      </c>
      <c r="G391" s="1" t="s">
        <v>179</v>
      </c>
      <c r="H391" s="1" t="s">
        <v>180</v>
      </c>
      <c r="I391" s="1">
        <v>1</v>
      </c>
      <c r="J391" s="3">
        <v>15284</v>
      </c>
      <c r="K391" s="3">
        <v>14584</v>
      </c>
      <c r="L391" s="1">
        <v>0</v>
      </c>
      <c r="M391" s="4">
        <v>0</v>
      </c>
      <c r="N391" s="1">
        <v>700</v>
      </c>
      <c r="O391" s="4">
        <v>4.5999999999999999E-2</v>
      </c>
      <c r="P391" s="1" t="s">
        <v>2721</v>
      </c>
    </row>
    <row r="392" spans="1:16">
      <c r="A392" s="1" t="s">
        <v>15</v>
      </c>
      <c r="B392" s="1">
        <v>12</v>
      </c>
      <c r="C392" s="1" t="s">
        <v>1663</v>
      </c>
      <c r="D392" s="1" t="s">
        <v>1664</v>
      </c>
      <c r="E392" s="2">
        <v>45992</v>
      </c>
      <c r="F392" s="1" t="s">
        <v>1665</v>
      </c>
      <c r="G392" s="1" t="s">
        <v>1666</v>
      </c>
      <c r="H392" s="1" t="s">
        <v>1667</v>
      </c>
      <c r="I392" s="1">
        <v>1</v>
      </c>
      <c r="J392" s="3">
        <v>10754</v>
      </c>
      <c r="K392" s="3">
        <v>10262</v>
      </c>
      <c r="L392" s="1">
        <v>0</v>
      </c>
      <c r="M392" s="4">
        <v>0</v>
      </c>
      <c r="N392" s="3">
        <v>492</v>
      </c>
      <c r="O392" s="4">
        <v>4.5999999999999999E-2</v>
      </c>
      <c r="P392" s="1" t="s">
        <v>2721</v>
      </c>
    </row>
    <row r="393" spans="1:16">
      <c r="A393" s="1" t="s">
        <v>15</v>
      </c>
      <c r="B393" s="1">
        <v>12</v>
      </c>
      <c r="C393" s="1" t="s">
        <v>1668</v>
      </c>
      <c r="D393" s="1" t="s">
        <v>1669</v>
      </c>
      <c r="E393" s="2">
        <v>45992</v>
      </c>
      <c r="F393" s="1" t="s">
        <v>266</v>
      </c>
      <c r="G393" s="1" t="s">
        <v>1670</v>
      </c>
      <c r="H393" s="1" t="s">
        <v>1671</v>
      </c>
      <c r="I393" s="1">
        <v>1</v>
      </c>
      <c r="J393" s="3">
        <v>22511</v>
      </c>
      <c r="K393" s="3">
        <v>21480</v>
      </c>
      <c r="L393" s="1">
        <v>0</v>
      </c>
      <c r="M393" s="4">
        <v>0</v>
      </c>
      <c r="N393" s="3">
        <v>1031</v>
      </c>
      <c r="O393" s="4">
        <v>4.5999999999999999E-2</v>
      </c>
      <c r="P393" s="1" t="s">
        <v>2721</v>
      </c>
    </row>
    <row r="394" spans="1:16">
      <c r="A394" s="1" t="s">
        <v>15</v>
      </c>
      <c r="B394" s="1">
        <v>12</v>
      </c>
      <c r="C394" s="1" t="s">
        <v>1672</v>
      </c>
      <c r="D394" s="1" t="s">
        <v>291</v>
      </c>
      <c r="E394" s="2">
        <v>45992</v>
      </c>
      <c r="F394" s="1" t="s">
        <v>292</v>
      </c>
      <c r="G394" s="1" t="s">
        <v>293</v>
      </c>
      <c r="H394" s="1" t="s">
        <v>294</v>
      </c>
      <c r="I394" s="1">
        <v>1</v>
      </c>
      <c r="J394" s="3">
        <v>13271</v>
      </c>
      <c r="K394" s="3">
        <v>12663</v>
      </c>
      <c r="L394" s="1">
        <v>0</v>
      </c>
      <c r="M394" s="4">
        <v>0</v>
      </c>
      <c r="N394" s="1">
        <v>608</v>
      </c>
      <c r="O394" s="4">
        <v>4.5999999999999999E-2</v>
      </c>
      <c r="P394" s="1" t="s">
        <v>2721</v>
      </c>
    </row>
    <row r="395" spans="1:16">
      <c r="A395" s="1" t="s">
        <v>15</v>
      </c>
      <c r="B395" s="1">
        <v>12</v>
      </c>
      <c r="C395" s="1" t="s">
        <v>1672</v>
      </c>
      <c r="D395" s="1" t="s">
        <v>1673</v>
      </c>
      <c r="E395" s="2">
        <v>45992</v>
      </c>
      <c r="F395" s="1" t="s">
        <v>660</v>
      </c>
      <c r="G395" s="1" t="s">
        <v>1674</v>
      </c>
      <c r="H395" s="1" t="s">
        <v>1675</v>
      </c>
      <c r="I395" s="1">
        <v>1</v>
      </c>
      <c r="J395" s="3">
        <v>11285</v>
      </c>
      <c r="K395" s="3">
        <v>10768</v>
      </c>
      <c r="L395" s="1">
        <v>0</v>
      </c>
      <c r="M395" s="4">
        <v>0</v>
      </c>
      <c r="N395" s="1">
        <v>517</v>
      </c>
      <c r="O395" s="4">
        <v>4.5999999999999999E-2</v>
      </c>
      <c r="P395" s="1" t="s">
        <v>2721</v>
      </c>
    </row>
    <row r="396" spans="1:16">
      <c r="A396" s="1" t="s">
        <v>15</v>
      </c>
      <c r="B396" s="1">
        <v>12</v>
      </c>
      <c r="C396" s="1" t="s">
        <v>1672</v>
      </c>
      <c r="D396" s="1" t="s">
        <v>1673</v>
      </c>
      <c r="E396" s="2">
        <v>45992</v>
      </c>
      <c r="F396" s="1" t="s">
        <v>660</v>
      </c>
      <c r="G396" s="1" t="s">
        <v>1674</v>
      </c>
      <c r="H396" s="1" t="s">
        <v>1676</v>
      </c>
      <c r="I396" s="1">
        <v>1</v>
      </c>
      <c r="J396" s="3">
        <v>10469</v>
      </c>
      <c r="K396" s="3">
        <v>9990</v>
      </c>
      <c r="L396" s="1">
        <v>0</v>
      </c>
      <c r="M396" s="4">
        <v>0</v>
      </c>
      <c r="N396" s="3">
        <v>479</v>
      </c>
      <c r="O396" s="4">
        <v>4.5999999999999999E-2</v>
      </c>
      <c r="P396" s="1" t="s">
        <v>2721</v>
      </c>
    </row>
    <row r="397" spans="1:16">
      <c r="A397" s="1" t="s">
        <v>15</v>
      </c>
      <c r="B397" s="1">
        <v>12</v>
      </c>
      <c r="C397" s="1" t="s">
        <v>1677</v>
      </c>
      <c r="D397" s="1" t="s">
        <v>899</v>
      </c>
      <c r="E397" s="2">
        <v>45992</v>
      </c>
      <c r="F397" s="1" t="s">
        <v>500</v>
      </c>
      <c r="G397" s="1" t="s">
        <v>900</v>
      </c>
      <c r="H397" s="1" t="s">
        <v>1678</v>
      </c>
      <c r="I397" s="1">
        <v>1</v>
      </c>
      <c r="J397" s="3">
        <v>102702</v>
      </c>
      <c r="K397" s="3">
        <v>98000</v>
      </c>
      <c r="L397" s="1">
        <v>0</v>
      </c>
      <c r="M397" s="4">
        <v>0</v>
      </c>
      <c r="N397" s="3">
        <v>4702</v>
      </c>
      <c r="O397" s="4">
        <v>4.5999999999999999E-2</v>
      </c>
      <c r="P397" s="1" t="s">
        <v>2721</v>
      </c>
    </row>
    <row r="398" spans="1:16">
      <c r="A398" s="1" t="s">
        <v>15</v>
      </c>
      <c r="B398" s="1">
        <v>12</v>
      </c>
      <c r="C398" s="1" t="s">
        <v>1679</v>
      </c>
      <c r="D398" s="1" t="s">
        <v>169</v>
      </c>
      <c r="E398" s="2">
        <v>45992</v>
      </c>
      <c r="F398" s="1" t="s">
        <v>53</v>
      </c>
      <c r="G398" s="1" t="s">
        <v>170</v>
      </c>
      <c r="H398" s="1" t="s">
        <v>171</v>
      </c>
      <c r="I398" s="1">
        <v>1</v>
      </c>
      <c r="J398" s="3">
        <v>14332</v>
      </c>
      <c r="K398" s="3">
        <v>13676</v>
      </c>
      <c r="L398" s="1">
        <v>0</v>
      </c>
      <c r="M398" s="4">
        <v>0</v>
      </c>
      <c r="N398" s="1">
        <v>656</v>
      </c>
      <c r="O398" s="4">
        <v>4.5999999999999999E-2</v>
      </c>
      <c r="P398" s="1" t="s">
        <v>2721</v>
      </c>
    </row>
    <row r="399" spans="1:16">
      <c r="A399" s="1" t="s">
        <v>15</v>
      </c>
      <c r="B399" s="1">
        <v>12</v>
      </c>
      <c r="C399" s="1" t="s">
        <v>1680</v>
      </c>
      <c r="D399" s="1" t="s">
        <v>125</v>
      </c>
      <c r="E399" s="2">
        <v>45992</v>
      </c>
      <c r="F399" s="1" t="s">
        <v>126</v>
      </c>
      <c r="G399" s="1" t="s">
        <v>127</v>
      </c>
      <c r="H399" s="1" t="s">
        <v>128</v>
      </c>
      <c r="I399" s="1">
        <v>1</v>
      </c>
      <c r="J399" s="3">
        <v>13959</v>
      </c>
      <c r="K399" s="3">
        <v>13320</v>
      </c>
      <c r="L399" s="1">
        <v>0</v>
      </c>
      <c r="M399" s="4">
        <v>0</v>
      </c>
      <c r="N399" s="1">
        <v>639</v>
      </c>
      <c r="O399" s="4">
        <v>4.5999999999999999E-2</v>
      </c>
      <c r="P399" s="1" t="s">
        <v>2721</v>
      </c>
    </row>
    <row r="400" spans="1:16">
      <c r="A400" s="1" t="s">
        <v>15</v>
      </c>
      <c r="B400" s="1">
        <v>12</v>
      </c>
      <c r="C400" s="1" t="s">
        <v>1681</v>
      </c>
      <c r="D400" s="1" t="s">
        <v>1682</v>
      </c>
      <c r="E400" s="2">
        <v>45992</v>
      </c>
      <c r="F400" s="1" t="s">
        <v>604</v>
      </c>
      <c r="G400" s="1" t="s">
        <v>1683</v>
      </c>
      <c r="H400" s="1" t="s">
        <v>1684</v>
      </c>
      <c r="I400" s="1">
        <v>1</v>
      </c>
      <c r="J400" s="3">
        <v>12299</v>
      </c>
      <c r="K400" s="3">
        <v>11736</v>
      </c>
      <c r="L400" s="1">
        <v>0</v>
      </c>
      <c r="M400" s="4">
        <v>0</v>
      </c>
      <c r="N400" s="1">
        <v>563</v>
      </c>
      <c r="O400" s="4">
        <v>4.5999999999999999E-2</v>
      </c>
      <c r="P400" s="1" t="s">
        <v>2721</v>
      </c>
    </row>
    <row r="401" spans="1:16">
      <c r="A401" s="1" t="s">
        <v>15</v>
      </c>
      <c r="B401" s="1">
        <v>12</v>
      </c>
      <c r="C401" s="1" t="s">
        <v>1685</v>
      </c>
      <c r="D401" s="1" t="s">
        <v>208</v>
      </c>
      <c r="E401" s="2">
        <v>45992</v>
      </c>
      <c r="F401" s="1" t="s">
        <v>126</v>
      </c>
      <c r="G401" s="1" t="s">
        <v>209</v>
      </c>
      <c r="H401" s="1" t="s">
        <v>210</v>
      </c>
      <c r="I401" s="1">
        <v>1</v>
      </c>
      <c r="J401" s="3">
        <v>19267</v>
      </c>
      <c r="K401" s="3">
        <v>18385</v>
      </c>
      <c r="L401" s="1">
        <v>0</v>
      </c>
      <c r="M401" s="4">
        <v>0</v>
      </c>
      <c r="N401" s="3">
        <v>882</v>
      </c>
      <c r="O401" s="4">
        <v>4.5999999999999999E-2</v>
      </c>
      <c r="P401" s="1" t="s">
        <v>2721</v>
      </c>
    </row>
    <row r="402" spans="1:16">
      <c r="A402" s="1" t="s">
        <v>15</v>
      </c>
      <c r="B402" s="1">
        <v>12</v>
      </c>
      <c r="C402" s="1" t="s">
        <v>1686</v>
      </c>
      <c r="D402" s="1" t="s">
        <v>1687</v>
      </c>
      <c r="E402" s="2">
        <v>45992</v>
      </c>
      <c r="F402" s="1" t="s">
        <v>1688</v>
      </c>
      <c r="G402" s="1" t="s">
        <v>1689</v>
      </c>
      <c r="H402" s="1" t="s">
        <v>1690</v>
      </c>
      <c r="I402" s="1">
        <v>1</v>
      </c>
      <c r="J402" s="3">
        <v>30896</v>
      </c>
      <c r="K402" s="3">
        <v>29481</v>
      </c>
      <c r="L402" s="1">
        <v>0</v>
      </c>
      <c r="M402" s="4">
        <v>0</v>
      </c>
      <c r="N402" s="3">
        <v>1415</v>
      </c>
      <c r="O402" s="4">
        <v>4.5999999999999999E-2</v>
      </c>
      <c r="P402" s="1" t="s">
        <v>2721</v>
      </c>
    </row>
    <row r="403" spans="1:16">
      <c r="A403" s="1" t="s">
        <v>577</v>
      </c>
      <c r="B403" s="1">
        <v>12</v>
      </c>
      <c r="C403" s="1" t="s">
        <v>1691</v>
      </c>
      <c r="D403" s="1" t="s">
        <v>1692</v>
      </c>
      <c r="E403" s="2">
        <v>45992</v>
      </c>
      <c r="F403" s="1" t="s">
        <v>856</v>
      </c>
      <c r="G403" s="1" t="s">
        <v>879</v>
      </c>
      <c r="H403" s="1" t="s">
        <v>880</v>
      </c>
      <c r="I403" s="1">
        <v>1</v>
      </c>
      <c r="J403" s="3">
        <v>89453</v>
      </c>
      <c r="K403" s="3">
        <v>85358</v>
      </c>
      <c r="L403" s="1">
        <v>0</v>
      </c>
      <c r="M403" s="4">
        <v>0</v>
      </c>
      <c r="N403" s="3">
        <v>4095</v>
      </c>
      <c r="O403" s="4">
        <v>4.5999999999999999E-2</v>
      </c>
      <c r="P403" s="1" t="s">
        <v>2721</v>
      </c>
    </row>
    <row r="404" spans="1:16">
      <c r="A404" s="1" t="s">
        <v>577</v>
      </c>
      <c r="B404" s="1">
        <v>12</v>
      </c>
      <c r="C404" s="1" t="s">
        <v>1693</v>
      </c>
      <c r="D404" s="1" t="s">
        <v>1694</v>
      </c>
      <c r="E404" s="2">
        <v>45992</v>
      </c>
      <c r="F404" s="1" t="s">
        <v>1665</v>
      </c>
      <c r="G404" s="1" t="s">
        <v>1695</v>
      </c>
      <c r="H404" s="1" t="s">
        <v>1696</v>
      </c>
      <c r="I404" s="1">
        <v>1</v>
      </c>
      <c r="J404" s="3">
        <v>42593</v>
      </c>
      <c r="K404" s="3">
        <v>40644</v>
      </c>
      <c r="L404" s="1">
        <v>0</v>
      </c>
      <c r="M404" s="4">
        <v>0</v>
      </c>
      <c r="N404" s="3">
        <v>1949</v>
      </c>
      <c r="O404" s="4">
        <v>4.5999999999999999E-2</v>
      </c>
      <c r="P404" s="1" t="s">
        <v>2721</v>
      </c>
    </row>
    <row r="405" spans="1:16">
      <c r="A405" s="1" t="s">
        <v>577</v>
      </c>
      <c r="B405" s="1">
        <v>12</v>
      </c>
      <c r="C405" s="1" t="s">
        <v>1697</v>
      </c>
      <c r="D405" s="1" t="s">
        <v>1698</v>
      </c>
      <c r="E405" s="2">
        <v>45992</v>
      </c>
      <c r="F405" s="1" t="s">
        <v>235</v>
      </c>
      <c r="G405" s="1" t="s">
        <v>1154</v>
      </c>
      <c r="H405" s="1" t="s">
        <v>1155</v>
      </c>
      <c r="I405" s="1">
        <v>1</v>
      </c>
      <c r="J405" s="3">
        <v>14254</v>
      </c>
      <c r="K405" s="3">
        <v>13601</v>
      </c>
      <c r="L405" s="1">
        <v>0</v>
      </c>
      <c r="M405" s="4">
        <v>0</v>
      </c>
      <c r="N405" s="1">
        <v>653</v>
      </c>
      <c r="O405" s="4">
        <v>4.5999999999999999E-2</v>
      </c>
      <c r="P405" s="1" t="s">
        <v>2721</v>
      </c>
    </row>
    <row r="406" spans="1:16">
      <c r="A406" s="1" t="s">
        <v>577</v>
      </c>
      <c r="B406" s="1">
        <v>12</v>
      </c>
      <c r="C406" s="1" t="s">
        <v>1699</v>
      </c>
      <c r="D406" s="1" t="s">
        <v>1700</v>
      </c>
      <c r="E406" s="2">
        <v>45992</v>
      </c>
      <c r="F406" s="1" t="s">
        <v>395</v>
      </c>
      <c r="G406" s="1" t="s">
        <v>396</v>
      </c>
      <c r="H406" s="1" t="s">
        <v>397</v>
      </c>
      <c r="I406" s="1">
        <v>1</v>
      </c>
      <c r="J406" s="3">
        <v>18874</v>
      </c>
      <c r="K406" s="3">
        <v>18010</v>
      </c>
      <c r="L406" s="1">
        <v>0</v>
      </c>
      <c r="M406" s="4">
        <v>0</v>
      </c>
      <c r="N406" s="1">
        <v>864</v>
      </c>
      <c r="O406" s="4">
        <v>4.5999999999999999E-2</v>
      </c>
      <c r="P406" s="1" t="s">
        <v>2721</v>
      </c>
    </row>
    <row r="407" spans="1:16">
      <c r="A407" s="1" t="s">
        <v>577</v>
      </c>
      <c r="B407" s="1">
        <v>12</v>
      </c>
      <c r="C407" s="1" t="s">
        <v>1701</v>
      </c>
      <c r="D407" s="1" t="s">
        <v>1702</v>
      </c>
      <c r="E407" s="2">
        <v>45992</v>
      </c>
      <c r="F407" s="1" t="s">
        <v>347</v>
      </c>
      <c r="G407" s="1" t="s">
        <v>348</v>
      </c>
      <c r="H407" s="1" t="s">
        <v>1703</v>
      </c>
      <c r="I407" s="1">
        <v>1</v>
      </c>
      <c r="J407" s="3">
        <v>18677</v>
      </c>
      <c r="K407" s="3">
        <v>17822</v>
      </c>
      <c r="L407" s="1">
        <v>0</v>
      </c>
      <c r="M407" s="4">
        <v>0</v>
      </c>
      <c r="N407" s="1">
        <v>855</v>
      </c>
      <c r="O407" s="4">
        <v>4.5999999999999999E-2</v>
      </c>
      <c r="P407" s="1" t="s">
        <v>2721</v>
      </c>
    </row>
    <row r="408" spans="1:16">
      <c r="A408" s="1" t="s">
        <v>577</v>
      </c>
      <c r="B408" s="1">
        <v>12</v>
      </c>
      <c r="C408" s="1" t="s">
        <v>1704</v>
      </c>
      <c r="D408" s="1" t="s">
        <v>1705</v>
      </c>
      <c r="E408" s="2">
        <v>45992</v>
      </c>
      <c r="F408" s="1" t="s">
        <v>96</v>
      </c>
      <c r="G408" s="1" t="s">
        <v>1706</v>
      </c>
      <c r="H408" s="1" t="s">
        <v>1707</v>
      </c>
      <c r="I408" s="1">
        <v>1</v>
      </c>
      <c r="J408" s="3">
        <v>9405</v>
      </c>
      <c r="K408" s="3">
        <v>8975</v>
      </c>
      <c r="L408" s="1">
        <v>0</v>
      </c>
      <c r="M408" s="4">
        <v>0</v>
      </c>
      <c r="N408" s="1">
        <v>430</v>
      </c>
      <c r="O408" s="4">
        <v>4.5999999999999999E-2</v>
      </c>
      <c r="P408" s="1" t="s">
        <v>2721</v>
      </c>
    </row>
    <row r="409" spans="1:16">
      <c r="A409" s="1" t="s">
        <v>577</v>
      </c>
      <c r="B409" s="1">
        <v>12</v>
      </c>
      <c r="C409" s="1" t="s">
        <v>1708</v>
      </c>
      <c r="D409" s="1" t="s">
        <v>1709</v>
      </c>
      <c r="E409" s="2">
        <v>45992</v>
      </c>
      <c r="F409" s="1" t="s">
        <v>276</v>
      </c>
      <c r="G409" s="1" t="s">
        <v>1710</v>
      </c>
      <c r="H409" s="1" t="s">
        <v>1711</v>
      </c>
      <c r="I409" s="1">
        <v>1</v>
      </c>
      <c r="J409" s="3">
        <v>16663</v>
      </c>
      <c r="K409" s="3">
        <v>15900</v>
      </c>
      <c r="L409" s="1">
        <v>0</v>
      </c>
      <c r="M409" s="4">
        <v>0</v>
      </c>
      <c r="N409" s="1">
        <v>763</v>
      </c>
      <c r="O409" s="4">
        <v>4.5999999999999999E-2</v>
      </c>
      <c r="P409" s="1" t="s">
        <v>2721</v>
      </c>
    </row>
    <row r="410" spans="1:16">
      <c r="A410" s="1" t="s">
        <v>577</v>
      </c>
      <c r="B410" s="1">
        <v>12</v>
      </c>
      <c r="C410" s="1" t="s">
        <v>1712</v>
      </c>
      <c r="D410" s="1" t="s">
        <v>1713</v>
      </c>
      <c r="E410" s="2">
        <v>45992</v>
      </c>
      <c r="F410" s="1" t="s">
        <v>96</v>
      </c>
      <c r="G410" s="1" t="s">
        <v>1714</v>
      </c>
      <c r="H410" s="1" t="s">
        <v>1715</v>
      </c>
      <c r="I410" s="1">
        <v>1</v>
      </c>
      <c r="J410" s="3">
        <v>16190</v>
      </c>
      <c r="K410" s="3">
        <v>15449</v>
      </c>
      <c r="L410" s="1">
        <v>0</v>
      </c>
      <c r="M410" s="4">
        <v>0</v>
      </c>
      <c r="N410" s="3">
        <v>741</v>
      </c>
      <c r="O410" s="4">
        <v>4.5999999999999999E-2</v>
      </c>
      <c r="P410" s="1" t="s">
        <v>2721</v>
      </c>
    </row>
    <row r="411" spans="1:16">
      <c r="A411" s="1" t="s">
        <v>577</v>
      </c>
      <c r="B411" s="1">
        <v>12</v>
      </c>
      <c r="C411" s="1" t="s">
        <v>1716</v>
      </c>
      <c r="D411" s="1" t="s">
        <v>1717</v>
      </c>
      <c r="E411" s="2">
        <v>45992</v>
      </c>
      <c r="F411" s="1" t="s">
        <v>48</v>
      </c>
      <c r="G411" s="1" t="s">
        <v>1718</v>
      </c>
      <c r="H411" s="1" t="s">
        <v>1719</v>
      </c>
      <c r="I411" s="1">
        <v>3</v>
      </c>
      <c r="J411" s="3">
        <v>53990</v>
      </c>
      <c r="K411" s="3">
        <v>51519</v>
      </c>
      <c r="L411" s="1">
        <v>0</v>
      </c>
      <c r="M411" s="4">
        <v>0</v>
      </c>
      <c r="N411" s="3">
        <v>2471</v>
      </c>
      <c r="O411" s="4">
        <v>4.5999999999999999E-2</v>
      </c>
      <c r="P411" s="1" t="s">
        <v>2721</v>
      </c>
    </row>
    <row r="412" spans="1:16">
      <c r="A412" s="1" t="s">
        <v>577</v>
      </c>
      <c r="B412" s="1">
        <v>12</v>
      </c>
      <c r="C412" s="1" t="s">
        <v>1720</v>
      </c>
      <c r="D412" s="1" t="s">
        <v>1721</v>
      </c>
      <c r="E412" s="2">
        <v>45992</v>
      </c>
      <c r="F412" s="1" t="s">
        <v>798</v>
      </c>
      <c r="G412" s="1" t="s">
        <v>799</v>
      </c>
      <c r="H412" s="1" t="s">
        <v>1331</v>
      </c>
      <c r="I412" s="1">
        <v>1</v>
      </c>
      <c r="J412" s="3">
        <v>13271</v>
      </c>
      <c r="K412" s="3">
        <v>12663</v>
      </c>
      <c r="L412" s="1">
        <v>0</v>
      </c>
      <c r="M412" s="4">
        <v>0</v>
      </c>
      <c r="N412" s="3">
        <v>608</v>
      </c>
      <c r="O412" s="4">
        <v>4.5999999999999999E-2</v>
      </c>
      <c r="P412" s="1" t="s">
        <v>2721</v>
      </c>
    </row>
    <row r="413" spans="1:16">
      <c r="A413" s="1" t="s">
        <v>577</v>
      </c>
      <c r="B413" s="1">
        <v>12</v>
      </c>
      <c r="C413" s="1" t="s">
        <v>1722</v>
      </c>
      <c r="D413" s="1" t="s">
        <v>592</v>
      </c>
      <c r="E413" s="2">
        <v>45992</v>
      </c>
      <c r="F413" s="1" t="s">
        <v>33</v>
      </c>
      <c r="G413" s="1" t="s">
        <v>34</v>
      </c>
      <c r="H413" s="1" t="s">
        <v>1723</v>
      </c>
      <c r="I413" s="1">
        <v>1</v>
      </c>
      <c r="J413" s="3">
        <v>85827</v>
      </c>
      <c r="K413" s="3">
        <v>81898</v>
      </c>
      <c r="L413" s="1">
        <v>0</v>
      </c>
      <c r="M413" s="4">
        <v>0</v>
      </c>
      <c r="N413" s="3">
        <v>3929</v>
      </c>
      <c r="O413" s="4">
        <v>4.5999999999999999E-2</v>
      </c>
      <c r="P413" s="1" t="s">
        <v>2721</v>
      </c>
    </row>
    <row r="414" spans="1:16">
      <c r="A414" s="1" t="s">
        <v>577</v>
      </c>
      <c r="B414" s="1">
        <v>12</v>
      </c>
      <c r="C414" s="1" t="s">
        <v>1724</v>
      </c>
      <c r="D414" s="1" t="s">
        <v>1725</v>
      </c>
      <c r="E414" s="2">
        <v>45992</v>
      </c>
      <c r="F414" s="1" t="s">
        <v>488</v>
      </c>
      <c r="G414" s="1" t="s">
        <v>1726</v>
      </c>
      <c r="H414" s="1" t="s">
        <v>1727</v>
      </c>
      <c r="I414" s="1">
        <v>1</v>
      </c>
      <c r="J414" s="3">
        <v>16711</v>
      </c>
      <c r="K414" s="3">
        <v>15946</v>
      </c>
      <c r="L414" s="1">
        <v>0</v>
      </c>
      <c r="M414" s="4">
        <v>0</v>
      </c>
      <c r="N414" s="3">
        <v>765</v>
      </c>
      <c r="O414" s="4">
        <v>4.5999999999999999E-2</v>
      </c>
      <c r="P414" s="1" t="s">
        <v>2721</v>
      </c>
    </row>
    <row r="415" spans="1:16">
      <c r="A415" s="1" t="s">
        <v>577</v>
      </c>
      <c r="B415" s="1">
        <v>12</v>
      </c>
      <c r="C415" s="1" t="s">
        <v>1728</v>
      </c>
      <c r="D415" s="1" t="s">
        <v>592</v>
      </c>
      <c r="E415" s="2">
        <v>45992</v>
      </c>
      <c r="F415" s="1" t="s">
        <v>33</v>
      </c>
      <c r="G415" s="1" t="s">
        <v>34</v>
      </c>
      <c r="H415" s="1" t="s">
        <v>1729</v>
      </c>
      <c r="I415" s="1">
        <v>1</v>
      </c>
      <c r="J415" s="3">
        <v>152567</v>
      </c>
      <c r="K415" s="3">
        <v>145582</v>
      </c>
      <c r="L415" s="1">
        <v>0</v>
      </c>
      <c r="M415" s="4">
        <v>0</v>
      </c>
      <c r="N415" s="3">
        <v>6985</v>
      </c>
      <c r="O415" s="4">
        <v>4.5999999999999999E-2</v>
      </c>
      <c r="P415" s="1" t="s">
        <v>2721</v>
      </c>
    </row>
    <row r="416" spans="1:16">
      <c r="A416" s="1" t="s">
        <v>577</v>
      </c>
      <c r="B416" s="1">
        <v>12</v>
      </c>
      <c r="C416" s="1" t="s">
        <v>1730</v>
      </c>
      <c r="D416" s="1" t="s">
        <v>1731</v>
      </c>
      <c r="E416" s="2">
        <v>45992</v>
      </c>
      <c r="F416" s="1" t="s">
        <v>500</v>
      </c>
      <c r="G416" s="1" t="s">
        <v>1080</v>
      </c>
      <c r="H416" s="1" t="s">
        <v>1081</v>
      </c>
      <c r="I416" s="1">
        <v>1</v>
      </c>
      <c r="J416" s="3">
        <v>113182</v>
      </c>
      <c r="K416" s="3">
        <v>108000</v>
      </c>
      <c r="L416" s="1">
        <v>0</v>
      </c>
      <c r="M416" s="4">
        <v>0</v>
      </c>
      <c r="N416" s="3">
        <v>5182</v>
      </c>
      <c r="O416" s="4">
        <v>4.5999999999999999E-2</v>
      </c>
      <c r="P416" s="1" t="s">
        <v>2721</v>
      </c>
    </row>
    <row r="417" spans="1:16">
      <c r="A417" s="1" t="s">
        <v>577</v>
      </c>
      <c r="B417" s="1">
        <v>12</v>
      </c>
      <c r="C417" s="1" t="s">
        <v>1732</v>
      </c>
      <c r="D417" s="1" t="s">
        <v>1733</v>
      </c>
      <c r="E417" s="2">
        <v>45992</v>
      </c>
      <c r="F417" s="1" t="s">
        <v>187</v>
      </c>
      <c r="G417" s="1" t="s">
        <v>1734</v>
      </c>
      <c r="H417" s="1" t="s">
        <v>1735</v>
      </c>
      <c r="I417" s="1">
        <v>1</v>
      </c>
      <c r="J417" s="3">
        <v>24872</v>
      </c>
      <c r="K417" s="3">
        <v>23733</v>
      </c>
      <c r="L417" s="1">
        <v>0</v>
      </c>
      <c r="M417" s="4">
        <v>0</v>
      </c>
      <c r="N417" s="3">
        <v>1139</v>
      </c>
      <c r="O417" s="4">
        <v>4.5999999999999999E-2</v>
      </c>
      <c r="P417" s="1" t="s">
        <v>2721</v>
      </c>
    </row>
    <row r="418" spans="1:16">
      <c r="A418" s="1" t="s">
        <v>577</v>
      </c>
      <c r="B418" s="1">
        <v>12</v>
      </c>
      <c r="C418" s="1" t="s">
        <v>1736</v>
      </c>
      <c r="D418" s="1" t="s">
        <v>1731</v>
      </c>
      <c r="E418" s="2">
        <v>45992</v>
      </c>
      <c r="F418" s="1" t="s">
        <v>500</v>
      </c>
      <c r="G418" s="1" t="s">
        <v>1080</v>
      </c>
      <c r="H418" s="1" t="s">
        <v>1081</v>
      </c>
      <c r="I418" s="1">
        <v>1</v>
      </c>
      <c r="J418" s="3">
        <v>113182</v>
      </c>
      <c r="K418" s="3">
        <v>108000</v>
      </c>
      <c r="L418" s="1">
        <v>0</v>
      </c>
      <c r="M418" s="4">
        <v>0</v>
      </c>
      <c r="N418" s="3">
        <v>5182</v>
      </c>
      <c r="O418" s="4">
        <v>4.5999999999999999E-2</v>
      </c>
      <c r="P418" s="1" t="s">
        <v>2721</v>
      </c>
    </row>
    <row r="419" spans="1:16">
      <c r="A419" s="1" t="s">
        <v>577</v>
      </c>
      <c r="B419" s="1">
        <v>12</v>
      </c>
      <c r="C419" s="1" t="s">
        <v>1737</v>
      </c>
      <c r="D419" s="1" t="s">
        <v>1738</v>
      </c>
      <c r="E419" s="2">
        <v>45992</v>
      </c>
      <c r="F419" s="1" t="s">
        <v>407</v>
      </c>
      <c r="G419" s="1" t="s">
        <v>1453</v>
      </c>
      <c r="H419" s="1" t="s">
        <v>1739</v>
      </c>
      <c r="I419" s="1">
        <v>1</v>
      </c>
      <c r="J419" s="3">
        <v>26050</v>
      </c>
      <c r="K419" s="3">
        <v>24857</v>
      </c>
      <c r="L419" s="1">
        <v>0</v>
      </c>
      <c r="M419" s="4">
        <v>0</v>
      </c>
      <c r="N419" s="3">
        <v>1193</v>
      </c>
      <c r="O419" s="4">
        <v>4.5999999999999999E-2</v>
      </c>
      <c r="P419" s="1" t="s">
        <v>2721</v>
      </c>
    </row>
    <row r="420" spans="1:16">
      <c r="A420" s="1" t="s">
        <v>577</v>
      </c>
      <c r="B420" s="1">
        <v>12</v>
      </c>
      <c r="C420" s="1" t="s">
        <v>1740</v>
      </c>
      <c r="D420" s="1" t="s">
        <v>1741</v>
      </c>
      <c r="E420" s="2">
        <v>45992</v>
      </c>
      <c r="F420" s="1" t="s">
        <v>500</v>
      </c>
      <c r="G420" s="1" t="s">
        <v>900</v>
      </c>
      <c r="H420" s="1" t="s">
        <v>901</v>
      </c>
      <c r="I420" s="1">
        <v>1</v>
      </c>
      <c r="J420" s="3">
        <v>105846</v>
      </c>
      <c r="K420" s="3">
        <v>101000</v>
      </c>
      <c r="L420" s="1">
        <v>0</v>
      </c>
      <c r="M420" s="4">
        <v>0</v>
      </c>
      <c r="N420" s="3">
        <v>4846</v>
      </c>
      <c r="O420" s="4">
        <v>4.5999999999999999E-2</v>
      </c>
      <c r="P420" s="1" t="s">
        <v>2721</v>
      </c>
    </row>
    <row r="421" spans="1:16">
      <c r="A421" s="1" t="s">
        <v>577</v>
      </c>
      <c r="B421" s="1">
        <v>12</v>
      </c>
      <c r="C421" s="1" t="s">
        <v>1742</v>
      </c>
      <c r="D421" s="1" t="s">
        <v>1743</v>
      </c>
      <c r="E421" s="2">
        <v>45992</v>
      </c>
      <c r="F421" s="1" t="s">
        <v>1744</v>
      </c>
      <c r="G421" s="1" t="s">
        <v>1745</v>
      </c>
      <c r="H421" s="1" t="s">
        <v>1746</v>
      </c>
      <c r="I421" s="1">
        <v>1</v>
      </c>
      <c r="J421" s="3">
        <v>20938</v>
      </c>
      <c r="K421" s="3">
        <v>19979</v>
      </c>
      <c r="L421" s="1">
        <v>0</v>
      </c>
      <c r="M421" s="4">
        <v>0</v>
      </c>
      <c r="N421" s="1">
        <v>959</v>
      </c>
      <c r="O421" s="4">
        <v>4.5999999999999999E-2</v>
      </c>
      <c r="P421" s="1" t="s">
        <v>2721</v>
      </c>
    </row>
    <row r="422" spans="1:16">
      <c r="A422" s="1" t="s">
        <v>577</v>
      </c>
      <c r="B422" s="1">
        <v>12</v>
      </c>
      <c r="C422" s="1" t="s">
        <v>1742</v>
      </c>
      <c r="D422" s="1" t="s">
        <v>1743</v>
      </c>
      <c r="E422" s="2">
        <v>45992</v>
      </c>
      <c r="F422" s="1" t="s">
        <v>1744</v>
      </c>
      <c r="G422" s="1" t="s">
        <v>1745</v>
      </c>
      <c r="H422" s="1" t="s">
        <v>1747</v>
      </c>
      <c r="I422" s="1">
        <v>1</v>
      </c>
      <c r="J422" s="3">
        <v>12288</v>
      </c>
      <c r="K422" s="3">
        <v>11725</v>
      </c>
      <c r="L422" s="1">
        <v>0</v>
      </c>
      <c r="M422" s="4">
        <v>0</v>
      </c>
      <c r="N422" s="3">
        <v>563</v>
      </c>
      <c r="O422" s="4">
        <v>4.5999999999999999E-2</v>
      </c>
      <c r="P422" s="1" t="s">
        <v>2721</v>
      </c>
    </row>
    <row r="423" spans="1:16">
      <c r="A423" s="1" t="s">
        <v>577</v>
      </c>
      <c r="B423" s="1">
        <v>12</v>
      </c>
      <c r="C423" s="1" t="s">
        <v>1748</v>
      </c>
      <c r="D423" s="1" t="s">
        <v>1741</v>
      </c>
      <c r="E423" s="2">
        <v>45992</v>
      </c>
      <c r="F423" s="1" t="s">
        <v>500</v>
      </c>
      <c r="G423" s="1" t="s">
        <v>900</v>
      </c>
      <c r="H423" s="1" t="s">
        <v>901</v>
      </c>
      <c r="I423" s="1">
        <v>1</v>
      </c>
      <c r="J423" s="3">
        <v>105846</v>
      </c>
      <c r="K423" s="3">
        <v>101000</v>
      </c>
      <c r="L423" s="1">
        <v>0</v>
      </c>
      <c r="M423" s="4">
        <v>0</v>
      </c>
      <c r="N423" s="3">
        <v>4846</v>
      </c>
      <c r="O423" s="4">
        <v>4.5999999999999999E-2</v>
      </c>
      <c r="P423" s="1" t="s">
        <v>2721</v>
      </c>
    </row>
    <row r="424" spans="1:16">
      <c r="A424" s="1" t="s">
        <v>577</v>
      </c>
      <c r="B424" s="1">
        <v>12</v>
      </c>
      <c r="C424" s="1" t="s">
        <v>1749</v>
      </c>
      <c r="D424" s="1" t="s">
        <v>1750</v>
      </c>
      <c r="E424" s="2">
        <v>45992</v>
      </c>
      <c r="F424" s="1" t="s">
        <v>96</v>
      </c>
      <c r="G424" s="1" t="s">
        <v>1751</v>
      </c>
      <c r="H424" s="1" t="s">
        <v>1752</v>
      </c>
      <c r="I424" s="1">
        <v>1</v>
      </c>
      <c r="J424" s="3">
        <v>17906</v>
      </c>
      <c r="K424" s="3">
        <v>17087</v>
      </c>
      <c r="L424" s="1">
        <v>0</v>
      </c>
      <c r="M424" s="4">
        <v>0</v>
      </c>
      <c r="N424" s="3">
        <v>819</v>
      </c>
      <c r="O424" s="4">
        <v>4.5999999999999999E-2</v>
      </c>
      <c r="P424" s="1" t="s">
        <v>2721</v>
      </c>
    </row>
    <row r="425" spans="1:16">
      <c r="A425" s="1" t="s">
        <v>577</v>
      </c>
      <c r="B425" s="1">
        <v>12</v>
      </c>
      <c r="C425" s="1" t="s">
        <v>1753</v>
      </c>
      <c r="D425" s="1" t="s">
        <v>1754</v>
      </c>
      <c r="E425" s="2">
        <v>45992</v>
      </c>
      <c r="F425" s="1" t="s">
        <v>251</v>
      </c>
      <c r="G425" s="1" t="s">
        <v>252</v>
      </c>
      <c r="H425" s="1" t="s">
        <v>497</v>
      </c>
      <c r="I425" s="1">
        <v>1</v>
      </c>
      <c r="J425" s="3">
        <v>23494</v>
      </c>
      <c r="K425" s="3">
        <v>22418</v>
      </c>
      <c r="L425" s="1">
        <v>0</v>
      </c>
      <c r="M425" s="4">
        <v>0</v>
      </c>
      <c r="N425" s="3">
        <v>1076</v>
      </c>
      <c r="O425" s="4">
        <v>4.5999999999999999E-2</v>
      </c>
      <c r="P425" s="1" t="s">
        <v>2721</v>
      </c>
    </row>
    <row r="426" spans="1:16">
      <c r="A426" s="1" t="s">
        <v>577</v>
      </c>
      <c r="B426" s="1">
        <v>12</v>
      </c>
      <c r="C426" s="1" t="s">
        <v>1755</v>
      </c>
      <c r="D426" s="1" t="s">
        <v>1741</v>
      </c>
      <c r="E426" s="2">
        <v>45992</v>
      </c>
      <c r="F426" s="1" t="s">
        <v>500</v>
      </c>
      <c r="G426" s="1" t="s">
        <v>900</v>
      </c>
      <c r="H426" s="1" t="s">
        <v>901</v>
      </c>
      <c r="I426" s="1">
        <v>1</v>
      </c>
      <c r="J426" s="3">
        <v>105846</v>
      </c>
      <c r="K426" s="3">
        <v>101000</v>
      </c>
      <c r="L426" s="1">
        <v>0</v>
      </c>
      <c r="M426" s="4">
        <v>0</v>
      </c>
      <c r="N426" s="3">
        <v>4846</v>
      </c>
      <c r="O426" s="4">
        <v>4.5999999999999999E-2</v>
      </c>
      <c r="P426" s="1" t="s">
        <v>2721</v>
      </c>
    </row>
    <row r="427" spans="1:16">
      <c r="A427" s="1" t="s">
        <v>577</v>
      </c>
      <c r="B427" s="1">
        <v>12</v>
      </c>
      <c r="C427" s="1" t="s">
        <v>1756</v>
      </c>
      <c r="D427" s="1" t="s">
        <v>1757</v>
      </c>
      <c r="E427" s="2">
        <v>45992</v>
      </c>
      <c r="F427" s="1" t="s">
        <v>395</v>
      </c>
      <c r="G427" s="1" t="s">
        <v>1758</v>
      </c>
      <c r="H427" s="1" t="s">
        <v>1759</v>
      </c>
      <c r="I427" s="1">
        <v>1</v>
      </c>
      <c r="J427" s="3">
        <v>22118</v>
      </c>
      <c r="K427" s="3">
        <v>21105</v>
      </c>
      <c r="L427" s="1">
        <v>0</v>
      </c>
      <c r="M427" s="4">
        <v>0</v>
      </c>
      <c r="N427" s="3">
        <v>1013</v>
      </c>
      <c r="O427" s="4">
        <v>4.5999999999999999E-2</v>
      </c>
      <c r="P427" s="1" t="s">
        <v>2721</v>
      </c>
    </row>
    <row r="428" spans="1:16">
      <c r="A428" s="1" t="s">
        <v>577</v>
      </c>
      <c r="B428" s="1">
        <v>12</v>
      </c>
      <c r="C428" s="1" t="s">
        <v>1760</v>
      </c>
      <c r="D428" s="1" t="s">
        <v>1741</v>
      </c>
      <c r="E428" s="2">
        <v>45992</v>
      </c>
      <c r="F428" s="1" t="s">
        <v>500</v>
      </c>
      <c r="G428" s="1" t="s">
        <v>900</v>
      </c>
      <c r="H428" s="1" t="s">
        <v>1678</v>
      </c>
      <c r="I428" s="1">
        <v>1</v>
      </c>
      <c r="J428" s="3">
        <v>102702</v>
      </c>
      <c r="K428" s="3">
        <v>98000</v>
      </c>
      <c r="L428" s="1">
        <v>0</v>
      </c>
      <c r="M428" s="4">
        <v>0</v>
      </c>
      <c r="N428" s="3">
        <v>4702</v>
      </c>
      <c r="O428" s="4">
        <v>4.5999999999999999E-2</v>
      </c>
      <c r="P428" s="1" t="s">
        <v>2721</v>
      </c>
    </row>
    <row r="429" spans="1:16">
      <c r="A429" s="1" t="s">
        <v>577</v>
      </c>
      <c r="B429" s="1">
        <v>12</v>
      </c>
      <c r="C429" s="1" t="s">
        <v>1761</v>
      </c>
      <c r="D429" s="1" t="s">
        <v>1762</v>
      </c>
      <c r="E429" s="2">
        <v>45992</v>
      </c>
      <c r="F429" s="1" t="s">
        <v>347</v>
      </c>
      <c r="G429" s="1" t="s">
        <v>1458</v>
      </c>
      <c r="H429" s="1" t="s">
        <v>1763</v>
      </c>
      <c r="I429" s="1">
        <v>1</v>
      </c>
      <c r="J429" s="3">
        <v>26246</v>
      </c>
      <c r="K429" s="3">
        <v>25045</v>
      </c>
      <c r="L429" s="1">
        <v>0</v>
      </c>
      <c r="M429" s="4">
        <v>0</v>
      </c>
      <c r="N429" s="3">
        <v>1201</v>
      </c>
      <c r="O429" s="4">
        <v>4.5999999999999999E-2</v>
      </c>
      <c r="P429" s="1" t="s">
        <v>2721</v>
      </c>
    </row>
    <row r="430" spans="1:16">
      <c r="A430" s="1" t="s">
        <v>577</v>
      </c>
      <c r="B430" s="1">
        <v>12</v>
      </c>
      <c r="C430" s="1" t="s">
        <v>1764</v>
      </c>
      <c r="D430" s="1" t="s">
        <v>1765</v>
      </c>
      <c r="E430" s="2">
        <v>45992</v>
      </c>
      <c r="F430" s="1" t="s">
        <v>151</v>
      </c>
      <c r="G430" s="1" t="s">
        <v>323</v>
      </c>
      <c r="H430" s="1" t="s">
        <v>323</v>
      </c>
      <c r="I430" s="1">
        <v>2</v>
      </c>
      <c r="J430" s="3">
        <v>29490</v>
      </c>
      <c r="K430" s="3">
        <v>28140</v>
      </c>
      <c r="L430" s="1">
        <v>0</v>
      </c>
      <c r="M430" s="4">
        <v>0</v>
      </c>
      <c r="N430" s="3">
        <v>1350</v>
      </c>
      <c r="O430" s="4">
        <v>4.5999999999999999E-2</v>
      </c>
      <c r="P430" s="1" t="s">
        <v>2721</v>
      </c>
    </row>
    <row r="431" spans="1:16">
      <c r="A431" s="1" t="s">
        <v>577</v>
      </c>
      <c r="B431" s="1">
        <v>12</v>
      </c>
      <c r="C431" s="1" t="s">
        <v>1766</v>
      </c>
      <c r="D431" s="1" t="s">
        <v>1767</v>
      </c>
      <c r="E431" s="2">
        <v>45992</v>
      </c>
      <c r="F431" s="1" t="s">
        <v>783</v>
      </c>
      <c r="G431" s="1" t="s">
        <v>1768</v>
      </c>
      <c r="H431" s="1" t="s">
        <v>1769</v>
      </c>
      <c r="I431" s="1">
        <v>1</v>
      </c>
      <c r="J431" s="3">
        <v>21626</v>
      </c>
      <c r="K431" s="3">
        <v>20636</v>
      </c>
      <c r="L431" s="1">
        <v>0</v>
      </c>
      <c r="M431" s="4">
        <v>0</v>
      </c>
      <c r="N431" s="3">
        <v>990</v>
      </c>
      <c r="O431" s="4">
        <v>4.5999999999999999E-2</v>
      </c>
      <c r="P431" s="1" t="s">
        <v>2721</v>
      </c>
    </row>
    <row r="432" spans="1:16">
      <c r="A432" s="1" t="s">
        <v>577</v>
      </c>
      <c r="B432" s="1">
        <v>12</v>
      </c>
      <c r="C432" s="1" t="s">
        <v>1770</v>
      </c>
      <c r="D432" s="1" t="s">
        <v>1771</v>
      </c>
      <c r="E432" s="2">
        <v>45992</v>
      </c>
      <c r="F432" s="1" t="s">
        <v>1772</v>
      </c>
      <c r="G432" s="1" t="s">
        <v>1773</v>
      </c>
      <c r="H432" s="1" t="s">
        <v>1774</v>
      </c>
      <c r="I432" s="1">
        <v>1</v>
      </c>
      <c r="J432" s="3">
        <v>23395</v>
      </c>
      <c r="K432" s="3">
        <v>22324</v>
      </c>
      <c r="L432" s="1">
        <v>0</v>
      </c>
      <c r="M432" s="4">
        <v>0</v>
      </c>
      <c r="N432" s="3">
        <v>1071</v>
      </c>
      <c r="O432" s="4">
        <v>4.5999999999999999E-2</v>
      </c>
      <c r="P432" s="1" t="s">
        <v>2721</v>
      </c>
    </row>
    <row r="433" spans="1:16">
      <c r="A433" s="1" t="s">
        <v>577</v>
      </c>
      <c r="B433" s="1">
        <v>12</v>
      </c>
      <c r="C433" s="1" t="s">
        <v>1775</v>
      </c>
      <c r="D433" s="1" t="s">
        <v>1776</v>
      </c>
      <c r="E433" s="2">
        <v>45992</v>
      </c>
      <c r="F433" s="1" t="s">
        <v>483</v>
      </c>
      <c r="G433" s="1" t="s">
        <v>484</v>
      </c>
      <c r="H433" s="1" t="s">
        <v>1777</v>
      </c>
      <c r="I433" s="1">
        <v>1</v>
      </c>
      <c r="J433" s="3">
        <v>27426</v>
      </c>
      <c r="K433" s="3">
        <v>26170</v>
      </c>
      <c r="L433" s="1">
        <v>0</v>
      </c>
      <c r="M433" s="4">
        <v>0</v>
      </c>
      <c r="N433" s="3">
        <v>1256</v>
      </c>
      <c r="O433" s="4">
        <v>4.5999999999999999E-2</v>
      </c>
      <c r="P433" s="1" t="s">
        <v>2721</v>
      </c>
    </row>
    <row r="434" spans="1:16">
      <c r="A434" s="1" t="s">
        <v>577</v>
      </c>
      <c r="B434" s="1">
        <v>12</v>
      </c>
      <c r="C434" s="1" t="s">
        <v>1778</v>
      </c>
      <c r="D434" s="1" t="s">
        <v>1779</v>
      </c>
      <c r="E434" s="2">
        <v>45992</v>
      </c>
      <c r="F434" s="1" t="s">
        <v>63</v>
      </c>
      <c r="G434" s="1" t="s">
        <v>113</v>
      </c>
      <c r="H434" s="1" t="s">
        <v>74</v>
      </c>
      <c r="I434" s="1">
        <v>1</v>
      </c>
      <c r="J434" s="3">
        <v>10456</v>
      </c>
      <c r="K434" s="3">
        <v>9978</v>
      </c>
      <c r="L434" s="1">
        <v>0</v>
      </c>
      <c r="M434" s="4">
        <v>0</v>
      </c>
      <c r="N434" s="1">
        <v>478</v>
      </c>
      <c r="O434" s="4">
        <v>4.5999999999999999E-2</v>
      </c>
      <c r="P434" s="1" t="s">
        <v>2721</v>
      </c>
    </row>
    <row r="435" spans="1:16">
      <c r="A435" s="1" t="s">
        <v>577</v>
      </c>
      <c r="B435" s="1">
        <v>12</v>
      </c>
      <c r="C435" s="1" t="s">
        <v>1780</v>
      </c>
      <c r="D435" s="1" t="s">
        <v>1781</v>
      </c>
      <c r="E435" s="2">
        <v>45992</v>
      </c>
      <c r="F435" s="1" t="s">
        <v>96</v>
      </c>
      <c r="G435" s="1" t="s">
        <v>222</v>
      </c>
      <c r="H435" s="1" t="s">
        <v>509</v>
      </c>
      <c r="I435" s="1">
        <v>1</v>
      </c>
      <c r="J435" s="3">
        <v>12571</v>
      </c>
      <c r="K435" s="3">
        <v>11995</v>
      </c>
      <c r="L435" s="1">
        <v>0</v>
      </c>
      <c r="M435" s="4">
        <v>0</v>
      </c>
      <c r="N435" s="1">
        <v>576</v>
      </c>
      <c r="O435" s="4">
        <v>4.5999999999999999E-2</v>
      </c>
      <c r="P435" s="1" t="s">
        <v>2721</v>
      </c>
    </row>
    <row r="436" spans="1:16">
      <c r="A436" s="1" t="s">
        <v>577</v>
      </c>
      <c r="B436" s="1">
        <v>12</v>
      </c>
      <c r="C436" s="1" t="s">
        <v>1780</v>
      </c>
      <c r="D436" s="1" t="s">
        <v>1782</v>
      </c>
      <c r="E436" s="2">
        <v>45992</v>
      </c>
      <c r="F436" s="1" t="s">
        <v>96</v>
      </c>
      <c r="G436" s="1" t="s">
        <v>225</v>
      </c>
      <c r="H436" s="1" t="s">
        <v>896</v>
      </c>
      <c r="I436" s="1">
        <v>1</v>
      </c>
      <c r="J436" s="3">
        <v>12571</v>
      </c>
      <c r="K436" s="3">
        <v>11995</v>
      </c>
      <c r="L436" s="1">
        <v>0</v>
      </c>
      <c r="M436" s="4">
        <v>0</v>
      </c>
      <c r="N436" s="1">
        <v>576</v>
      </c>
      <c r="O436" s="4">
        <v>4.5999999999999999E-2</v>
      </c>
      <c r="P436" s="1" t="s">
        <v>2721</v>
      </c>
    </row>
    <row r="437" spans="1:16">
      <c r="A437" s="1" t="s">
        <v>577</v>
      </c>
      <c r="B437" s="1">
        <v>12</v>
      </c>
      <c r="C437" s="1" t="s">
        <v>1783</v>
      </c>
      <c r="D437" s="1" t="s">
        <v>1784</v>
      </c>
      <c r="E437" s="2">
        <v>45992</v>
      </c>
      <c r="F437" s="1" t="s">
        <v>256</v>
      </c>
      <c r="G437" s="1" t="s">
        <v>778</v>
      </c>
      <c r="H437" s="1" t="s">
        <v>779</v>
      </c>
      <c r="I437" s="1">
        <v>1</v>
      </c>
      <c r="J437" s="3">
        <v>11010</v>
      </c>
      <c r="K437" s="3">
        <v>10506</v>
      </c>
      <c r="L437" s="1">
        <v>0</v>
      </c>
      <c r="M437" s="4">
        <v>0</v>
      </c>
      <c r="N437" s="3">
        <v>504</v>
      </c>
      <c r="O437" s="4">
        <v>4.5999999999999999E-2</v>
      </c>
      <c r="P437" s="1" t="s">
        <v>2721</v>
      </c>
    </row>
    <row r="438" spans="1:16">
      <c r="A438" s="1" t="s">
        <v>577</v>
      </c>
      <c r="B438" s="1">
        <v>12</v>
      </c>
      <c r="C438" s="1" t="s">
        <v>1785</v>
      </c>
      <c r="D438" s="1" t="s">
        <v>1786</v>
      </c>
      <c r="E438" s="2">
        <v>45992</v>
      </c>
      <c r="F438" s="1" t="s">
        <v>347</v>
      </c>
      <c r="G438" s="1" t="s">
        <v>1134</v>
      </c>
      <c r="H438" s="1" t="s">
        <v>1340</v>
      </c>
      <c r="I438" s="1">
        <v>1</v>
      </c>
      <c r="J438" s="3">
        <v>22519</v>
      </c>
      <c r="K438" s="3">
        <v>21488</v>
      </c>
      <c r="L438" s="1">
        <v>0</v>
      </c>
      <c r="M438" s="4">
        <v>0</v>
      </c>
      <c r="N438" s="3">
        <v>1031</v>
      </c>
      <c r="O438" s="4">
        <v>4.5999999999999999E-2</v>
      </c>
      <c r="P438" s="1" t="s">
        <v>2721</v>
      </c>
    </row>
    <row r="439" spans="1:16">
      <c r="A439" s="1" t="s">
        <v>577</v>
      </c>
      <c r="B439" s="1">
        <v>12</v>
      </c>
      <c r="C439" s="1" t="s">
        <v>1787</v>
      </c>
      <c r="D439" s="1" t="s">
        <v>1788</v>
      </c>
      <c r="E439" s="2">
        <v>45992</v>
      </c>
      <c r="F439" s="1" t="s">
        <v>96</v>
      </c>
      <c r="G439" s="1" t="s">
        <v>105</v>
      </c>
      <c r="H439" s="1" t="s">
        <v>106</v>
      </c>
      <c r="I439" s="1">
        <v>1</v>
      </c>
      <c r="J439" s="3">
        <v>21614</v>
      </c>
      <c r="K439" s="3">
        <v>20625</v>
      </c>
      <c r="L439" s="1">
        <v>0</v>
      </c>
      <c r="M439" s="4">
        <v>0</v>
      </c>
      <c r="N439" s="1">
        <v>989</v>
      </c>
      <c r="O439" s="4">
        <v>4.5999999999999999E-2</v>
      </c>
      <c r="P439" s="1" t="s">
        <v>2721</v>
      </c>
    </row>
    <row r="440" spans="1:16">
      <c r="A440" s="1" t="s">
        <v>577</v>
      </c>
      <c r="B440" s="1">
        <v>12</v>
      </c>
      <c r="C440" s="1" t="s">
        <v>1789</v>
      </c>
      <c r="D440" s="1" t="s">
        <v>1702</v>
      </c>
      <c r="E440" s="2">
        <v>45992</v>
      </c>
      <c r="F440" s="1" t="s">
        <v>347</v>
      </c>
      <c r="G440" s="1" t="s">
        <v>348</v>
      </c>
      <c r="H440" s="1" t="s">
        <v>1703</v>
      </c>
      <c r="I440" s="1">
        <v>1</v>
      </c>
      <c r="J440" s="3">
        <v>18677</v>
      </c>
      <c r="K440" s="3">
        <v>17822</v>
      </c>
      <c r="L440" s="1">
        <v>0</v>
      </c>
      <c r="M440" s="4">
        <v>0</v>
      </c>
      <c r="N440" s="1">
        <v>855</v>
      </c>
      <c r="O440" s="4">
        <v>4.5999999999999999E-2</v>
      </c>
      <c r="P440" s="1" t="s">
        <v>2721</v>
      </c>
    </row>
    <row r="441" spans="1:16">
      <c r="A441" s="1" t="s">
        <v>577</v>
      </c>
      <c r="B441" s="1">
        <v>12</v>
      </c>
      <c r="C441" s="1" t="s">
        <v>1790</v>
      </c>
      <c r="D441" s="1" t="s">
        <v>1791</v>
      </c>
      <c r="E441" s="2">
        <v>45992</v>
      </c>
      <c r="F441" s="1" t="s">
        <v>63</v>
      </c>
      <c r="G441" s="1" t="s">
        <v>1792</v>
      </c>
      <c r="H441" s="1" t="s">
        <v>1793</v>
      </c>
      <c r="I441" s="1">
        <v>1</v>
      </c>
      <c r="J441" s="3">
        <v>7785</v>
      </c>
      <c r="K441" s="3">
        <v>7429</v>
      </c>
      <c r="L441" s="1">
        <v>0</v>
      </c>
      <c r="M441" s="4">
        <v>0</v>
      </c>
      <c r="N441" s="3">
        <v>356</v>
      </c>
      <c r="O441" s="4">
        <v>4.5999999999999999E-2</v>
      </c>
      <c r="P441" s="1" t="s">
        <v>2721</v>
      </c>
    </row>
    <row r="442" spans="1:16">
      <c r="A442" s="1" t="s">
        <v>577</v>
      </c>
      <c r="B442" s="1">
        <v>12</v>
      </c>
      <c r="C442" s="1" t="s">
        <v>1794</v>
      </c>
      <c r="D442" s="1" t="s">
        <v>1762</v>
      </c>
      <c r="E442" s="2">
        <v>45992</v>
      </c>
      <c r="F442" s="1" t="s">
        <v>347</v>
      </c>
      <c r="G442" s="1" t="s">
        <v>1458</v>
      </c>
      <c r="H442" s="1" t="s">
        <v>1795</v>
      </c>
      <c r="I442" s="1">
        <v>1</v>
      </c>
      <c r="J442" s="3">
        <v>23061</v>
      </c>
      <c r="K442" s="3">
        <v>22005</v>
      </c>
      <c r="L442" s="1">
        <v>0</v>
      </c>
      <c r="M442" s="4">
        <v>0</v>
      </c>
      <c r="N442" s="3">
        <v>1056</v>
      </c>
      <c r="O442" s="4">
        <v>4.5999999999999999E-2</v>
      </c>
      <c r="P442" s="1" t="s">
        <v>2721</v>
      </c>
    </row>
    <row r="443" spans="1:16">
      <c r="A443" s="1" t="s">
        <v>577</v>
      </c>
      <c r="B443" s="1">
        <v>12</v>
      </c>
      <c r="C443" s="1" t="s">
        <v>1796</v>
      </c>
      <c r="D443" s="1" t="s">
        <v>1797</v>
      </c>
      <c r="E443" s="2">
        <v>45992</v>
      </c>
      <c r="F443" s="1" t="s">
        <v>1798</v>
      </c>
      <c r="G443" s="1" t="s">
        <v>1799</v>
      </c>
      <c r="H443" s="1" t="s">
        <v>1800</v>
      </c>
      <c r="I443" s="1">
        <v>1</v>
      </c>
      <c r="J443" s="3">
        <v>20741</v>
      </c>
      <c r="K443" s="3">
        <v>19792</v>
      </c>
      <c r="L443" s="1">
        <v>0</v>
      </c>
      <c r="M443" s="4">
        <v>0</v>
      </c>
      <c r="N443" s="1">
        <v>949</v>
      </c>
      <c r="O443" s="4">
        <v>4.5999999999999999E-2</v>
      </c>
      <c r="P443" s="1" t="s">
        <v>2721</v>
      </c>
    </row>
    <row r="444" spans="1:16">
      <c r="A444" s="1" t="s">
        <v>577</v>
      </c>
      <c r="B444" s="1">
        <v>12</v>
      </c>
      <c r="C444" s="1" t="s">
        <v>1801</v>
      </c>
      <c r="D444" s="1" t="s">
        <v>1802</v>
      </c>
      <c r="E444" s="2">
        <v>45992</v>
      </c>
      <c r="F444" s="1" t="s">
        <v>96</v>
      </c>
      <c r="G444" s="1" t="s">
        <v>1320</v>
      </c>
      <c r="H444" s="1" t="s">
        <v>1321</v>
      </c>
      <c r="I444" s="1">
        <v>2</v>
      </c>
      <c r="J444" s="3">
        <v>17002</v>
      </c>
      <c r="K444" s="3">
        <v>16224</v>
      </c>
      <c r="L444" s="1">
        <v>0</v>
      </c>
      <c r="M444" s="4">
        <v>0</v>
      </c>
      <c r="N444" s="1">
        <v>778</v>
      </c>
      <c r="O444" s="4">
        <v>4.5999999999999999E-2</v>
      </c>
      <c r="P444" s="1" t="s">
        <v>2721</v>
      </c>
    </row>
    <row r="445" spans="1:16">
      <c r="A445" s="1" t="s">
        <v>577</v>
      </c>
      <c r="B445" s="1">
        <v>12</v>
      </c>
      <c r="C445" s="1" t="s">
        <v>1803</v>
      </c>
      <c r="D445" s="1" t="s">
        <v>1804</v>
      </c>
      <c r="E445" s="2">
        <v>45992</v>
      </c>
      <c r="F445" s="1" t="s">
        <v>96</v>
      </c>
      <c r="G445" s="1" t="s">
        <v>835</v>
      </c>
      <c r="H445" s="1" t="s">
        <v>1805</v>
      </c>
      <c r="I445" s="1">
        <v>1</v>
      </c>
      <c r="J445" s="3">
        <v>13475</v>
      </c>
      <c r="K445" s="3">
        <v>12858</v>
      </c>
      <c r="L445" s="1">
        <v>0</v>
      </c>
      <c r="M445" s="4">
        <v>0</v>
      </c>
      <c r="N445" s="3">
        <v>617</v>
      </c>
      <c r="O445" s="4">
        <v>4.5999999999999999E-2</v>
      </c>
      <c r="P445" s="1" t="s">
        <v>2721</v>
      </c>
    </row>
    <row r="446" spans="1:16">
      <c r="A446" s="1" t="s">
        <v>577</v>
      </c>
      <c r="B446" s="1">
        <v>12</v>
      </c>
      <c r="C446" s="1" t="s">
        <v>1806</v>
      </c>
      <c r="D446" s="1" t="s">
        <v>1741</v>
      </c>
      <c r="E446" s="2">
        <v>45992</v>
      </c>
      <c r="F446" s="1" t="s">
        <v>500</v>
      </c>
      <c r="G446" s="1" t="s">
        <v>900</v>
      </c>
      <c r="H446" s="1" t="s">
        <v>1678</v>
      </c>
      <c r="I446" s="1">
        <v>1</v>
      </c>
      <c r="J446" s="3">
        <v>102702</v>
      </c>
      <c r="K446" s="3">
        <v>98000</v>
      </c>
      <c r="L446" s="1">
        <v>0</v>
      </c>
      <c r="M446" s="4">
        <v>0</v>
      </c>
      <c r="N446" s="3">
        <v>4702</v>
      </c>
      <c r="O446" s="4">
        <v>4.5999999999999999E-2</v>
      </c>
      <c r="P446" s="1" t="s">
        <v>2721</v>
      </c>
    </row>
    <row r="447" spans="1:16">
      <c r="A447" s="1" t="s">
        <v>577</v>
      </c>
      <c r="B447" s="1">
        <v>12</v>
      </c>
      <c r="C447" s="1" t="s">
        <v>1807</v>
      </c>
      <c r="D447" s="1" t="s">
        <v>1808</v>
      </c>
      <c r="E447" s="2">
        <v>45992</v>
      </c>
      <c r="F447" s="1" t="s">
        <v>400</v>
      </c>
      <c r="G447" s="1" t="s">
        <v>1809</v>
      </c>
      <c r="H447" s="1" t="s">
        <v>1810</v>
      </c>
      <c r="I447" s="1">
        <v>1</v>
      </c>
      <c r="J447" s="3">
        <v>20012</v>
      </c>
      <c r="K447" s="3">
        <v>19096</v>
      </c>
      <c r="L447" s="1">
        <v>0</v>
      </c>
      <c r="M447" s="4">
        <v>0</v>
      </c>
      <c r="N447" s="1">
        <v>916</v>
      </c>
      <c r="O447" s="4">
        <v>4.5999999999999999E-2</v>
      </c>
      <c r="P447" s="1" t="s">
        <v>2721</v>
      </c>
    </row>
    <row r="448" spans="1:16">
      <c r="A448" s="1" t="s">
        <v>577</v>
      </c>
      <c r="B448" s="1">
        <v>12</v>
      </c>
      <c r="C448" s="1" t="s">
        <v>1811</v>
      </c>
      <c r="D448" s="1" t="s">
        <v>1812</v>
      </c>
      <c r="E448" s="2">
        <v>45992</v>
      </c>
      <c r="F448" s="1" t="s">
        <v>256</v>
      </c>
      <c r="G448" s="1" t="s">
        <v>1376</v>
      </c>
      <c r="H448" s="1" t="s">
        <v>1377</v>
      </c>
      <c r="I448" s="1">
        <v>1</v>
      </c>
      <c r="J448" s="3">
        <v>8208</v>
      </c>
      <c r="K448" s="3">
        <v>7832</v>
      </c>
      <c r="L448" s="1">
        <v>0</v>
      </c>
      <c r="M448" s="4">
        <v>0</v>
      </c>
      <c r="N448" s="1">
        <v>376</v>
      </c>
      <c r="O448" s="4">
        <v>4.5999999999999999E-2</v>
      </c>
      <c r="P448" s="1" t="s">
        <v>2721</v>
      </c>
    </row>
    <row r="449" spans="1:16">
      <c r="A449" s="1" t="s">
        <v>577</v>
      </c>
      <c r="B449" s="1">
        <v>12</v>
      </c>
      <c r="C449" s="1" t="s">
        <v>1813</v>
      </c>
      <c r="D449" s="1" t="s">
        <v>1814</v>
      </c>
      <c r="E449" s="2">
        <v>45992</v>
      </c>
      <c r="F449" s="1" t="s">
        <v>1815</v>
      </c>
      <c r="G449" s="1" t="s">
        <v>1816</v>
      </c>
      <c r="H449" s="1" t="s">
        <v>1817</v>
      </c>
      <c r="I449" s="1">
        <v>1</v>
      </c>
      <c r="J449" s="3">
        <v>14057</v>
      </c>
      <c r="K449" s="3">
        <v>13413</v>
      </c>
      <c r="L449" s="1">
        <v>0</v>
      </c>
      <c r="M449" s="4">
        <v>0</v>
      </c>
      <c r="N449" s="1">
        <v>644</v>
      </c>
      <c r="O449" s="4">
        <v>4.5999999999999999E-2</v>
      </c>
      <c r="P449" s="1" t="s">
        <v>2721</v>
      </c>
    </row>
    <row r="450" spans="1:16">
      <c r="A450" s="1" t="s">
        <v>577</v>
      </c>
      <c r="B450" s="1">
        <v>12</v>
      </c>
      <c r="C450" s="1" t="s">
        <v>1818</v>
      </c>
      <c r="D450" s="1" t="s">
        <v>1819</v>
      </c>
      <c r="E450" s="2">
        <v>45992</v>
      </c>
      <c r="F450" s="1" t="s">
        <v>53</v>
      </c>
      <c r="G450" s="1" t="s">
        <v>1820</v>
      </c>
      <c r="H450" s="1" t="s">
        <v>1821</v>
      </c>
      <c r="I450" s="1">
        <v>1</v>
      </c>
      <c r="J450" s="3">
        <v>8924</v>
      </c>
      <c r="K450" s="3">
        <v>8515</v>
      </c>
      <c r="L450" s="1">
        <v>0</v>
      </c>
      <c r="M450" s="4">
        <v>0</v>
      </c>
      <c r="N450" s="1">
        <v>409</v>
      </c>
      <c r="O450" s="4">
        <v>4.5999999999999999E-2</v>
      </c>
      <c r="P450" s="1" t="s">
        <v>2721</v>
      </c>
    </row>
    <row r="451" spans="1:16">
      <c r="A451" s="1" t="s">
        <v>577</v>
      </c>
      <c r="B451" s="1">
        <v>12</v>
      </c>
      <c r="C451" s="1" t="s">
        <v>1822</v>
      </c>
      <c r="D451" s="1" t="s">
        <v>1721</v>
      </c>
      <c r="E451" s="2">
        <v>45992</v>
      </c>
      <c r="F451" s="1" t="s">
        <v>798</v>
      </c>
      <c r="G451" s="1" t="s">
        <v>799</v>
      </c>
      <c r="H451" s="1" t="s">
        <v>1331</v>
      </c>
      <c r="I451" s="1">
        <v>1</v>
      </c>
      <c r="J451" s="3">
        <v>13271</v>
      </c>
      <c r="K451" s="3">
        <v>12663</v>
      </c>
      <c r="L451" s="1">
        <v>0</v>
      </c>
      <c r="M451" s="4">
        <v>0</v>
      </c>
      <c r="N451" s="3">
        <v>608</v>
      </c>
      <c r="O451" s="4">
        <v>4.5999999999999999E-2</v>
      </c>
      <c r="P451" s="1" t="s">
        <v>2721</v>
      </c>
    </row>
    <row r="452" spans="1:16">
      <c r="A452" s="1" t="s">
        <v>577</v>
      </c>
      <c r="B452" s="1">
        <v>12</v>
      </c>
      <c r="C452" s="1" t="s">
        <v>1823</v>
      </c>
      <c r="D452" s="1" t="s">
        <v>592</v>
      </c>
      <c r="E452" s="2">
        <v>45992</v>
      </c>
      <c r="F452" s="1" t="s">
        <v>33</v>
      </c>
      <c r="G452" s="1" t="s">
        <v>34</v>
      </c>
      <c r="H452" s="1" t="s">
        <v>1824</v>
      </c>
      <c r="I452" s="1">
        <v>1</v>
      </c>
      <c r="J452" s="3">
        <v>53805</v>
      </c>
      <c r="K452" s="3">
        <v>51341</v>
      </c>
      <c r="L452" s="1">
        <v>0</v>
      </c>
      <c r="M452" s="4">
        <v>0</v>
      </c>
      <c r="N452" s="3">
        <v>2464</v>
      </c>
      <c r="O452" s="4">
        <v>4.5999999999999999E-2</v>
      </c>
      <c r="P452" s="1" t="s">
        <v>2721</v>
      </c>
    </row>
    <row r="453" spans="1:16">
      <c r="A453" s="1" t="s">
        <v>577</v>
      </c>
      <c r="B453" s="1">
        <v>12</v>
      </c>
      <c r="C453" s="1" t="s">
        <v>1825</v>
      </c>
      <c r="D453" s="1" t="s">
        <v>1826</v>
      </c>
      <c r="E453" s="2">
        <v>45992</v>
      </c>
      <c r="F453" s="1" t="s">
        <v>500</v>
      </c>
      <c r="G453" s="1" t="s">
        <v>1827</v>
      </c>
      <c r="H453" s="1" t="s">
        <v>1828</v>
      </c>
      <c r="I453" s="1">
        <v>1</v>
      </c>
      <c r="J453" s="3">
        <v>141099</v>
      </c>
      <c r="K453" s="3">
        <v>134640</v>
      </c>
      <c r="L453" s="1">
        <v>0</v>
      </c>
      <c r="M453" s="4">
        <v>0</v>
      </c>
      <c r="N453" s="3">
        <v>6459</v>
      </c>
      <c r="O453" s="4">
        <v>4.5999999999999999E-2</v>
      </c>
      <c r="P453" s="1" t="s">
        <v>2721</v>
      </c>
    </row>
    <row r="454" spans="1:16">
      <c r="A454" s="1" t="s">
        <v>577</v>
      </c>
      <c r="B454" s="1">
        <v>12</v>
      </c>
      <c r="C454" s="1" t="s">
        <v>1829</v>
      </c>
      <c r="D454" s="1" t="s">
        <v>1830</v>
      </c>
      <c r="E454" s="2">
        <v>45992</v>
      </c>
      <c r="F454" s="1" t="s">
        <v>500</v>
      </c>
      <c r="G454" s="1" t="s">
        <v>1831</v>
      </c>
      <c r="H454" s="1" t="s">
        <v>1832</v>
      </c>
      <c r="I454" s="1">
        <v>1</v>
      </c>
      <c r="J454" s="3">
        <v>351796</v>
      </c>
      <c r="K454" s="3">
        <v>335691</v>
      </c>
      <c r="L454" s="1">
        <v>0</v>
      </c>
      <c r="M454" s="4">
        <v>0</v>
      </c>
      <c r="N454" s="3">
        <v>16105</v>
      </c>
      <c r="O454" s="4">
        <v>4.5999999999999999E-2</v>
      </c>
      <c r="P454" s="1" t="s">
        <v>2721</v>
      </c>
    </row>
    <row r="455" spans="1:16">
      <c r="A455" s="1" t="s">
        <v>577</v>
      </c>
      <c r="B455" s="1">
        <v>12</v>
      </c>
      <c r="C455" s="1" t="s">
        <v>1833</v>
      </c>
      <c r="D455" s="1" t="s">
        <v>1834</v>
      </c>
      <c r="E455" s="2">
        <v>45992</v>
      </c>
      <c r="F455" s="1" t="s">
        <v>1835</v>
      </c>
      <c r="G455" s="1" t="s">
        <v>1836</v>
      </c>
      <c r="H455" s="1" t="s">
        <v>1837</v>
      </c>
      <c r="I455" s="1">
        <v>1</v>
      </c>
      <c r="J455" s="3">
        <v>33422</v>
      </c>
      <c r="K455" s="3">
        <v>31892</v>
      </c>
      <c r="L455" s="1">
        <v>0</v>
      </c>
      <c r="M455" s="4">
        <v>0</v>
      </c>
      <c r="N455" s="3">
        <v>1530</v>
      </c>
      <c r="O455" s="4">
        <v>4.5999999999999999E-2</v>
      </c>
      <c r="P455" s="1" t="s">
        <v>2721</v>
      </c>
    </row>
    <row r="456" spans="1:16">
      <c r="A456" s="1" t="s">
        <v>577</v>
      </c>
      <c r="B456" s="1">
        <v>12</v>
      </c>
      <c r="C456" s="1" t="s">
        <v>1838</v>
      </c>
      <c r="D456" s="1" t="s">
        <v>1839</v>
      </c>
      <c r="E456" s="2">
        <v>45992</v>
      </c>
      <c r="F456" s="1" t="s">
        <v>256</v>
      </c>
      <c r="G456" s="1" t="s">
        <v>1303</v>
      </c>
      <c r="H456" s="1" t="s">
        <v>1304</v>
      </c>
      <c r="I456" s="1">
        <v>1</v>
      </c>
      <c r="J456" s="3">
        <v>4944</v>
      </c>
      <c r="K456" s="3">
        <v>4718</v>
      </c>
      <c r="L456" s="3">
        <v>0</v>
      </c>
      <c r="M456" s="4">
        <v>0</v>
      </c>
      <c r="N456" s="3">
        <v>226</v>
      </c>
      <c r="O456" s="4">
        <v>4.5999999999999999E-2</v>
      </c>
      <c r="P456" s="1" t="s">
        <v>2721</v>
      </c>
    </row>
    <row r="457" spans="1:16">
      <c r="A457" s="1" t="s">
        <v>602</v>
      </c>
      <c r="B457" s="1">
        <v>12</v>
      </c>
      <c r="C457" s="1">
        <v>10100155616155</v>
      </c>
      <c r="D457" s="1" t="s">
        <v>603</v>
      </c>
      <c r="E457" s="2">
        <v>45992</v>
      </c>
      <c r="F457" s="1" t="s">
        <v>604</v>
      </c>
      <c r="G457" s="1" t="s">
        <v>605</v>
      </c>
      <c r="H457" s="1" t="s">
        <v>1840</v>
      </c>
      <c r="I457" s="1">
        <v>5</v>
      </c>
      <c r="J457" s="3">
        <v>50800</v>
      </c>
      <c r="K457" s="3">
        <v>38250</v>
      </c>
      <c r="L457" s="3">
        <v>5893</v>
      </c>
      <c r="M457" s="4">
        <v>0.11600000000000001</v>
      </c>
      <c r="N457" s="3">
        <v>6657</v>
      </c>
      <c r="O457" s="4">
        <v>0.13100000000000001</v>
      </c>
      <c r="P457" s="1" t="s">
        <v>2721</v>
      </c>
    </row>
    <row r="458" spans="1:16">
      <c r="A458" s="1" t="s">
        <v>602</v>
      </c>
      <c r="B458" s="1">
        <v>12</v>
      </c>
      <c r="C458" s="1">
        <v>22100155305441</v>
      </c>
      <c r="D458" s="1" t="s">
        <v>1841</v>
      </c>
      <c r="E458" s="2">
        <v>45992</v>
      </c>
      <c r="F458" s="1" t="s">
        <v>604</v>
      </c>
      <c r="G458" s="1" t="s">
        <v>1842</v>
      </c>
      <c r="H458" s="1" t="s">
        <v>1843</v>
      </c>
      <c r="I458" s="1">
        <v>3</v>
      </c>
      <c r="J458" s="3">
        <v>42800</v>
      </c>
      <c r="K458" s="3">
        <v>32200</v>
      </c>
      <c r="L458" s="3">
        <v>4965</v>
      </c>
      <c r="M458" s="4">
        <v>0.11600000000000001</v>
      </c>
      <c r="N458" s="3">
        <v>5635</v>
      </c>
      <c r="O458" s="4">
        <v>0.13200000000000001</v>
      </c>
      <c r="P458" s="1" t="s">
        <v>2721</v>
      </c>
    </row>
    <row r="459" spans="1:16">
      <c r="A459" s="1" t="s">
        <v>602</v>
      </c>
      <c r="B459" s="1">
        <v>12</v>
      </c>
      <c r="C459" s="1">
        <v>8100156472253</v>
      </c>
      <c r="D459" s="1" t="s">
        <v>607</v>
      </c>
      <c r="E459" s="2">
        <v>45992</v>
      </c>
      <c r="F459" s="1" t="s">
        <v>604</v>
      </c>
      <c r="G459" s="1" t="s">
        <v>608</v>
      </c>
      <c r="H459" s="1" t="s">
        <v>609</v>
      </c>
      <c r="I459" s="1">
        <v>3</v>
      </c>
      <c r="J459" s="3">
        <v>42800</v>
      </c>
      <c r="K459" s="3">
        <v>32200</v>
      </c>
      <c r="L459" s="3">
        <v>4965</v>
      </c>
      <c r="M459" s="4">
        <v>0.11600000000000001</v>
      </c>
      <c r="N459" s="3">
        <v>5635</v>
      </c>
      <c r="O459" s="4">
        <v>0.13200000000000001</v>
      </c>
      <c r="P459" s="1" t="s">
        <v>2721</v>
      </c>
    </row>
    <row r="460" spans="1:16">
      <c r="A460" s="1" t="s">
        <v>624</v>
      </c>
      <c r="B460" s="1">
        <v>12</v>
      </c>
      <c r="C460" s="1">
        <v>2025112817093240</v>
      </c>
      <c r="D460" s="1" t="s">
        <v>1844</v>
      </c>
      <c r="E460" s="2">
        <v>45992</v>
      </c>
      <c r="F460" s="1" t="s">
        <v>604</v>
      </c>
      <c r="G460" s="1" t="s">
        <v>1845</v>
      </c>
      <c r="H460" s="1" t="s">
        <v>1846</v>
      </c>
      <c r="I460" s="1">
        <v>5</v>
      </c>
      <c r="J460" s="3">
        <v>15148</v>
      </c>
      <c r="K460" s="3">
        <v>12125</v>
      </c>
      <c r="L460" s="3">
        <v>1969</v>
      </c>
      <c r="M460" s="4">
        <v>0.13</v>
      </c>
      <c r="N460" s="3">
        <v>1054</v>
      </c>
      <c r="O460" s="4">
        <v>7.0000000000000007E-2</v>
      </c>
      <c r="P460" s="1" t="s">
        <v>2721</v>
      </c>
    </row>
    <row r="461" spans="1:16">
      <c r="A461" s="1" t="s">
        <v>624</v>
      </c>
      <c r="B461" s="1">
        <v>12</v>
      </c>
      <c r="C461" s="1">
        <v>2025112917454990</v>
      </c>
      <c r="D461" s="1" t="s">
        <v>607</v>
      </c>
      <c r="E461" s="2">
        <v>45992</v>
      </c>
      <c r="F461" s="1" t="s">
        <v>604</v>
      </c>
      <c r="G461" s="1" t="s">
        <v>608</v>
      </c>
      <c r="H461" s="1" t="s">
        <v>1847</v>
      </c>
      <c r="I461" s="1">
        <v>5</v>
      </c>
      <c r="J461" s="3">
        <v>59966</v>
      </c>
      <c r="K461" s="3">
        <v>52000</v>
      </c>
      <c r="L461" s="3">
        <v>7796</v>
      </c>
      <c r="M461" s="4">
        <v>0.13</v>
      </c>
      <c r="N461" s="3">
        <v>170</v>
      </c>
      <c r="O461" s="4">
        <v>3.0000000000000001E-3</v>
      </c>
      <c r="P461" s="1" t="s">
        <v>2721</v>
      </c>
    </row>
    <row r="462" spans="1:16">
      <c r="A462" s="1" t="s">
        <v>624</v>
      </c>
      <c r="B462" s="1">
        <v>12</v>
      </c>
      <c r="C462" s="1">
        <v>2025113017926780</v>
      </c>
      <c r="D462" s="1" t="s">
        <v>607</v>
      </c>
      <c r="E462" s="2">
        <v>45992</v>
      </c>
      <c r="F462" s="1" t="s">
        <v>604</v>
      </c>
      <c r="G462" s="1" t="s">
        <v>608</v>
      </c>
      <c r="H462" s="1" t="s">
        <v>1847</v>
      </c>
      <c r="I462" s="1">
        <v>5</v>
      </c>
      <c r="J462" s="3">
        <v>68338</v>
      </c>
      <c r="K462" s="3">
        <v>52000</v>
      </c>
      <c r="L462" s="3">
        <v>8884</v>
      </c>
      <c r="M462" s="4">
        <v>0.13</v>
      </c>
      <c r="N462" s="3">
        <v>7454</v>
      </c>
      <c r="O462" s="4">
        <v>0.109</v>
      </c>
      <c r="P462" s="1" t="s">
        <v>2721</v>
      </c>
    </row>
    <row r="463" spans="1:16">
      <c r="A463" s="1" t="s">
        <v>626</v>
      </c>
      <c r="B463" s="1">
        <v>12</v>
      </c>
      <c r="C463" s="1">
        <v>69539388</v>
      </c>
      <c r="D463" s="1" t="s">
        <v>627</v>
      </c>
      <c r="E463" s="2">
        <v>45992</v>
      </c>
      <c r="F463" s="1" t="s">
        <v>604</v>
      </c>
      <c r="G463" s="1" t="s">
        <v>628</v>
      </c>
      <c r="H463" s="1" t="s">
        <v>629</v>
      </c>
      <c r="I463" s="1">
        <v>1</v>
      </c>
      <c r="J463" s="3">
        <v>8000</v>
      </c>
      <c r="K463" s="3">
        <v>1800</v>
      </c>
      <c r="L463" s="1">
        <v>880</v>
      </c>
      <c r="M463" s="4">
        <v>0.11</v>
      </c>
      <c r="N463" s="3">
        <v>5320</v>
      </c>
      <c r="O463" s="4">
        <v>0.66500000000000004</v>
      </c>
      <c r="P463" s="1" t="s">
        <v>2721</v>
      </c>
    </row>
    <row r="464" spans="1:16">
      <c r="A464" s="1" t="s">
        <v>630</v>
      </c>
      <c r="B464" s="1">
        <v>12</v>
      </c>
      <c r="C464" s="1">
        <v>1117620988054420</v>
      </c>
      <c r="D464" s="1" t="s">
        <v>627</v>
      </c>
      <c r="E464" s="2">
        <v>45992</v>
      </c>
      <c r="F464" s="1" t="s">
        <v>604</v>
      </c>
      <c r="G464" s="1" t="s">
        <v>628</v>
      </c>
      <c r="H464" s="1" t="s">
        <v>1848</v>
      </c>
      <c r="I464" s="1">
        <v>1</v>
      </c>
      <c r="J464" s="3">
        <v>6750</v>
      </c>
      <c r="K464" s="3">
        <v>4300</v>
      </c>
      <c r="L464" s="1">
        <v>446</v>
      </c>
      <c r="M464" s="4">
        <v>6.6000000000000003E-2</v>
      </c>
      <c r="N464" s="3">
        <v>2005</v>
      </c>
      <c r="O464" s="4">
        <v>0.29699999999999999</v>
      </c>
      <c r="P464" s="1" t="s">
        <v>2721</v>
      </c>
    </row>
    <row r="465" spans="1:16">
      <c r="A465" s="1" t="s">
        <v>630</v>
      </c>
      <c r="B465" s="1">
        <v>12</v>
      </c>
      <c r="C465" s="1">
        <v>1117698719764540</v>
      </c>
      <c r="D465" s="1" t="s">
        <v>627</v>
      </c>
      <c r="E465" s="2">
        <v>45992</v>
      </c>
      <c r="F465" s="1" t="s">
        <v>604</v>
      </c>
      <c r="G465" s="1" t="s">
        <v>628</v>
      </c>
      <c r="H465" s="1" t="s">
        <v>1848</v>
      </c>
      <c r="I465" s="1">
        <v>1</v>
      </c>
      <c r="J465" s="3">
        <v>6750</v>
      </c>
      <c r="K465" s="3">
        <v>4300</v>
      </c>
      <c r="L465" s="1">
        <v>446</v>
      </c>
      <c r="M465" s="4">
        <v>6.6000000000000003E-2</v>
      </c>
      <c r="N465" s="3">
        <v>2005</v>
      </c>
      <c r="O465" s="4">
        <v>0.29699999999999999</v>
      </c>
      <c r="P465" s="1" t="s">
        <v>2721</v>
      </c>
    </row>
    <row r="466" spans="1:16">
      <c r="A466" s="1" t="s">
        <v>630</v>
      </c>
      <c r="B466" s="1">
        <v>12</v>
      </c>
      <c r="C466" s="1">
        <v>1117698474614540</v>
      </c>
      <c r="D466" s="1" t="s">
        <v>627</v>
      </c>
      <c r="E466" s="2">
        <v>45992</v>
      </c>
      <c r="F466" s="1" t="s">
        <v>604</v>
      </c>
      <c r="G466" s="1" t="s">
        <v>628</v>
      </c>
      <c r="H466" s="1" t="s">
        <v>1848</v>
      </c>
      <c r="I466" s="1">
        <v>1</v>
      </c>
      <c r="J466" s="3">
        <v>6750</v>
      </c>
      <c r="K466" s="3">
        <v>4300</v>
      </c>
      <c r="L466" s="1">
        <v>446</v>
      </c>
      <c r="M466" s="4">
        <v>6.6000000000000003E-2</v>
      </c>
      <c r="N466" s="3">
        <v>2005</v>
      </c>
      <c r="O466" s="4">
        <v>0.29699999999999999</v>
      </c>
      <c r="P466" s="1" t="s">
        <v>2721</v>
      </c>
    </row>
    <row r="467" spans="1:16">
      <c r="A467" s="1" t="s">
        <v>630</v>
      </c>
      <c r="B467" s="1">
        <v>12</v>
      </c>
      <c r="C467" s="1">
        <v>1117614341611700</v>
      </c>
      <c r="D467" s="1" t="s">
        <v>627</v>
      </c>
      <c r="E467" s="2">
        <v>45992</v>
      </c>
      <c r="F467" s="1" t="s">
        <v>604</v>
      </c>
      <c r="G467" s="1" t="s">
        <v>628</v>
      </c>
      <c r="H467" s="1" t="s">
        <v>1848</v>
      </c>
      <c r="I467" s="1">
        <v>1</v>
      </c>
      <c r="J467" s="3">
        <v>6750</v>
      </c>
      <c r="K467" s="3">
        <v>4300</v>
      </c>
      <c r="L467" s="3">
        <v>446</v>
      </c>
      <c r="M467" s="4">
        <v>6.6000000000000003E-2</v>
      </c>
      <c r="N467" s="3">
        <v>2005</v>
      </c>
      <c r="O467" s="4">
        <v>0.29699999999999999</v>
      </c>
      <c r="P467" s="1" t="s">
        <v>2721</v>
      </c>
    </row>
    <row r="468" spans="1:16">
      <c r="A468" s="1" t="s">
        <v>630</v>
      </c>
      <c r="B468" s="1">
        <v>12</v>
      </c>
      <c r="C468" s="1">
        <v>1117578166814120</v>
      </c>
      <c r="D468" s="1" t="s">
        <v>627</v>
      </c>
      <c r="E468" s="2">
        <v>45992</v>
      </c>
      <c r="F468" s="1" t="s">
        <v>604</v>
      </c>
      <c r="G468" s="1" t="s">
        <v>628</v>
      </c>
      <c r="H468" s="1" t="s">
        <v>1848</v>
      </c>
      <c r="I468" s="1">
        <v>3</v>
      </c>
      <c r="J468" s="3">
        <v>20250</v>
      </c>
      <c r="K468" s="3">
        <v>7900</v>
      </c>
      <c r="L468" s="3">
        <v>1337</v>
      </c>
      <c r="M468" s="4">
        <v>6.6000000000000003E-2</v>
      </c>
      <c r="N468" s="3">
        <v>11014</v>
      </c>
      <c r="O468" s="4">
        <v>0.54400000000000004</v>
      </c>
      <c r="P468" s="1" t="s">
        <v>2721</v>
      </c>
    </row>
    <row r="469" spans="1:16">
      <c r="A469" s="1" t="s">
        <v>630</v>
      </c>
      <c r="B469" s="1">
        <v>12</v>
      </c>
      <c r="C469" s="1">
        <v>1117568968658170</v>
      </c>
      <c r="D469" s="1" t="s">
        <v>627</v>
      </c>
      <c r="E469" s="2">
        <v>45992</v>
      </c>
      <c r="F469" s="1" t="s">
        <v>604</v>
      </c>
      <c r="G469" s="1" t="s">
        <v>628</v>
      </c>
      <c r="H469" s="1" t="s">
        <v>1848</v>
      </c>
      <c r="I469" s="1">
        <v>3</v>
      </c>
      <c r="J469" s="3">
        <v>20250</v>
      </c>
      <c r="K469" s="3">
        <v>7900</v>
      </c>
      <c r="L469" s="3">
        <v>1337</v>
      </c>
      <c r="M469" s="4">
        <v>6.6000000000000003E-2</v>
      </c>
      <c r="N469" s="3">
        <v>11014</v>
      </c>
      <c r="O469" s="4">
        <v>0.54400000000000004</v>
      </c>
      <c r="P469" s="1" t="s">
        <v>2721</v>
      </c>
    </row>
    <row r="470" spans="1:16">
      <c r="A470" s="1" t="s">
        <v>630</v>
      </c>
      <c r="B470" s="1">
        <v>12</v>
      </c>
      <c r="C470" s="1">
        <v>1117616037929860</v>
      </c>
      <c r="D470" s="1" t="s">
        <v>627</v>
      </c>
      <c r="E470" s="2">
        <v>45992</v>
      </c>
      <c r="F470" s="1" t="s">
        <v>604</v>
      </c>
      <c r="G470" s="1" t="s">
        <v>628</v>
      </c>
      <c r="H470" s="1" t="s">
        <v>1848</v>
      </c>
      <c r="I470" s="1">
        <v>2</v>
      </c>
      <c r="J470" s="3">
        <v>13500</v>
      </c>
      <c r="K470" s="3">
        <v>6100</v>
      </c>
      <c r="L470" s="3">
        <v>891</v>
      </c>
      <c r="M470" s="4">
        <v>6.6000000000000003E-2</v>
      </c>
      <c r="N470" s="3">
        <v>6509</v>
      </c>
      <c r="O470" s="4">
        <v>0.48199999999999998</v>
      </c>
      <c r="P470" s="1" t="s">
        <v>2721</v>
      </c>
    </row>
    <row r="471" spans="1:16">
      <c r="A471" s="1" t="s">
        <v>1849</v>
      </c>
      <c r="B471" s="1">
        <v>12</v>
      </c>
      <c r="C471" s="1">
        <v>6948415</v>
      </c>
      <c r="D471" s="1" t="s">
        <v>1850</v>
      </c>
      <c r="E471" s="2">
        <v>45992</v>
      </c>
      <c r="F471" s="1" t="s">
        <v>604</v>
      </c>
      <c r="G471" s="1" t="s">
        <v>1851</v>
      </c>
      <c r="H471" s="1" t="s">
        <v>1852</v>
      </c>
      <c r="I471" s="1">
        <v>3</v>
      </c>
      <c r="J471" s="3">
        <v>13800</v>
      </c>
      <c r="K471" s="3">
        <v>8275</v>
      </c>
      <c r="L471" s="3">
        <v>2070</v>
      </c>
      <c r="M471" s="4">
        <v>0.15</v>
      </c>
      <c r="N471" s="3">
        <v>3455</v>
      </c>
      <c r="O471" s="4">
        <v>0.25</v>
      </c>
      <c r="P471" s="1" t="s">
        <v>2721</v>
      </c>
    </row>
    <row r="472" spans="1:16">
      <c r="A472" s="1" t="s">
        <v>739</v>
      </c>
      <c r="B472" s="1">
        <v>12</v>
      </c>
      <c r="C472" s="1">
        <v>31530962</v>
      </c>
      <c r="D472" s="1" t="s">
        <v>1853</v>
      </c>
      <c r="E472" s="2">
        <v>45992</v>
      </c>
      <c r="F472" s="1" t="s">
        <v>604</v>
      </c>
      <c r="G472" s="1" t="s">
        <v>1854</v>
      </c>
      <c r="H472" s="1" t="s">
        <v>1855</v>
      </c>
      <c r="I472" s="1">
        <v>1</v>
      </c>
      <c r="J472" s="3">
        <v>8900</v>
      </c>
      <c r="K472" s="3">
        <v>5026</v>
      </c>
      <c r="L472" s="3">
        <v>1175</v>
      </c>
      <c r="M472" s="4">
        <v>0.13200000000000001</v>
      </c>
      <c r="N472" s="3">
        <v>2699</v>
      </c>
      <c r="O472" s="4">
        <v>0.30299999999999999</v>
      </c>
      <c r="P472" s="1" t="s">
        <v>2721</v>
      </c>
    </row>
    <row r="473" spans="1:16">
      <c r="A473" s="1" t="s">
        <v>739</v>
      </c>
      <c r="B473" s="1">
        <v>12</v>
      </c>
      <c r="C473" s="1">
        <v>31530962</v>
      </c>
      <c r="D473" s="1" t="s">
        <v>1856</v>
      </c>
      <c r="E473" s="2">
        <v>45992</v>
      </c>
      <c r="F473" s="1" t="s">
        <v>604</v>
      </c>
      <c r="G473" s="1" t="s">
        <v>1857</v>
      </c>
      <c r="H473" s="1" t="s">
        <v>1858</v>
      </c>
      <c r="I473" s="1">
        <v>1</v>
      </c>
      <c r="J473" s="3">
        <v>8900</v>
      </c>
      <c r="K473" s="3">
        <v>5026</v>
      </c>
      <c r="L473" s="3">
        <v>1175</v>
      </c>
      <c r="M473" s="4">
        <v>0.13200000000000001</v>
      </c>
      <c r="N473" s="3">
        <v>2699</v>
      </c>
      <c r="O473" s="4">
        <v>0.30299999999999999</v>
      </c>
      <c r="P473" s="1" t="s">
        <v>2721</v>
      </c>
    </row>
    <row r="474" spans="1:16">
      <c r="A474" s="1" t="s">
        <v>739</v>
      </c>
      <c r="B474" s="1">
        <v>12</v>
      </c>
      <c r="C474" s="1">
        <v>31533825</v>
      </c>
      <c r="D474" s="1" t="s">
        <v>1856</v>
      </c>
      <c r="E474" s="2">
        <v>45992</v>
      </c>
      <c r="F474" s="1" t="s">
        <v>604</v>
      </c>
      <c r="G474" s="1" t="s">
        <v>1857</v>
      </c>
      <c r="H474" s="1" t="s">
        <v>1858</v>
      </c>
      <c r="I474" s="1">
        <v>1</v>
      </c>
      <c r="J474" s="3">
        <v>8900</v>
      </c>
      <c r="K474" s="3">
        <v>5026</v>
      </c>
      <c r="L474" s="3">
        <v>1175</v>
      </c>
      <c r="M474" s="4">
        <v>0.13200000000000001</v>
      </c>
      <c r="N474" s="3">
        <v>2699</v>
      </c>
      <c r="O474" s="4">
        <v>0.30299999999999999</v>
      </c>
      <c r="P474" s="1" t="s">
        <v>2721</v>
      </c>
    </row>
    <row r="475" spans="1:16">
      <c r="A475" s="1" t="s">
        <v>739</v>
      </c>
      <c r="B475" s="1">
        <v>12</v>
      </c>
      <c r="C475" s="1">
        <v>31538318</v>
      </c>
      <c r="D475" s="1" t="s">
        <v>1859</v>
      </c>
      <c r="E475" s="2">
        <v>45992</v>
      </c>
      <c r="F475" s="1" t="s">
        <v>604</v>
      </c>
      <c r="G475" s="1" t="s">
        <v>1860</v>
      </c>
      <c r="H475" s="1" t="s">
        <v>1861</v>
      </c>
      <c r="I475" s="1">
        <v>1</v>
      </c>
      <c r="J475" s="3">
        <v>8900</v>
      </c>
      <c r="K475" s="3">
        <v>5026</v>
      </c>
      <c r="L475" s="3">
        <v>1175</v>
      </c>
      <c r="M475" s="4">
        <v>0.13200000000000001</v>
      </c>
      <c r="N475" s="3">
        <v>2699</v>
      </c>
      <c r="O475" s="4">
        <v>0.30299999999999999</v>
      </c>
      <c r="P475" s="1" t="s">
        <v>2721</v>
      </c>
    </row>
    <row r="476" spans="1:16">
      <c r="A476" s="1" t="s">
        <v>602</v>
      </c>
      <c r="B476" s="1">
        <v>12</v>
      </c>
      <c r="C476" s="1">
        <v>26100155797134</v>
      </c>
      <c r="D476" s="1" t="s">
        <v>1862</v>
      </c>
      <c r="E476" s="2">
        <v>45992</v>
      </c>
      <c r="F476" s="1" t="s">
        <v>235</v>
      </c>
      <c r="G476" s="1" t="s">
        <v>1863</v>
      </c>
      <c r="H476" s="1" t="s">
        <v>1864</v>
      </c>
      <c r="I476" s="1">
        <v>1</v>
      </c>
      <c r="J476" s="3">
        <v>14690</v>
      </c>
      <c r="K476" s="3">
        <v>7739</v>
      </c>
      <c r="L476" s="3">
        <v>1704</v>
      </c>
      <c r="M476" s="4">
        <v>0.11600000000000001</v>
      </c>
      <c r="N476" s="3">
        <v>5247</v>
      </c>
      <c r="O476" s="4">
        <v>0.35699999999999998</v>
      </c>
      <c r="P476" s="1" t="s">
        <v>2721</v>
      </c>
    </row>
    <row r="477" spans="1:16">
      <c r="A477" s="1" t="s">
        <v>602</v>
      </c>
      <c r="B477" s="1">
        <v>12</v>
      </c>
      <c r="C477" s="1">
        <v>29100156053852</v>
      </c>
      <c r="D477" s="1" t="s">
        <v>1865</v>
      </c>
      <c r="E477" s="2">
        <v>45992</v>
      </c>
      <c r="F477" s="1" t="s">
        <v>266</v>
      </c>
      <c r="G477" s="1" t="s">
        <v>1866</v>
      </c>
      <c r="H477" s="1" t="s">
        <v>1867</v>
      </c>
      <c r="I477" s="1">
        <v>1</v>
      </c>
      <c r="J477" s="3">
        <v>39000</v>
      </c>
      <c r="K477" s="3">
        <v>21480</v>
      </c>
      <c r="L477" s="3">
        <v>4524</v>
      </c>
      <c r="M477" s="4">
        <v>0.11600000000000001</v>
      </c>
      <c r="N477" s="3">
        <v>12996</v>
      </c>
      <c r="O477" s="4">
        <v>0.33300000000000002</v>
      </c>
      <c r="P477" s="1" t="s">
        <v>2721</v>
      </c>
    </row>
    <row r="478" spans="1:16">
      <c r="A478" s="1" t="s">
        <v>649</v>
      </c>
      <c r="B478" s="1">
        <v>12</v>
      </c>
      <c r="C478" s="1">
        <v>25113022072253</v>
      </c>
      <c r="D478" s="1" t="s">
        <v>1868</v>
      </c>
      <c r="E478" s="2">
        <v>45992</v>
      </c>
      <c r="F478" s="1" t="s">
        <v>347</v>
      </c>
      <c r="G478" s="1" t="s">
        <v>1869</v>
      </c>
      <c r="H478" s="1" t="s">
        <v>1870</v>
      </c>
      <c r="I478" s="1">
        <v>1</v>
      </c>
      <c r="J478" s="3">
        <v>22015</v>
      </c>
      <c r="K478" s="3">
        <v>20625</v>
      </c>
      <c r="L478" s="1">
        <v>0</v>
      </c>
      <c r="M478" s="4">
        <v>0</v>
      </c>
      <c r="N478" s="3">
        <v>1390</v>
      </c>
      <c r="O478" s="4">
        <v>6.3E-2</v>
      </c>
      <c r="P478" s="1" t="s">
        <v>2721</v>
      </c>
    </row>
    <row r="479" spans="1:16">
      <c r="A479" s="1" t="s">
        <v>649</v>
      </c>
      <c r="B479" s="1">
        <v>12</v>
      </c>
      <c r="C479" s="1">
        <v>25113022072253</v>
      </c>
      <c r="D479" s="1" t="s">
        <v>1871</v>
      </c>
      <c r="E479" s="2">
        <v>45992</v>
      </c>
      <c r="F479" s="1" t="s">
        <v>347</v>
      </c>
      <c r="G479" s="1" t="s">
        <v>1872</v>
      </c>
      <c r="H479" s="1" t="s">
        <v>1873</v>
      </c>
      <c r="I479" s="1">
        <v>1</v>
      </c>
      <c r="J479" s="3">
        <v>22270</v>
      </c>
      <c r="K479" s="3">
        <v>20880</v>
      </c>
      <c r="L479" s="1">
        <v>0</v>
      </c>
      <c r="M479" s="4">
        <v>0</v>
      </c>
      <c r="N479" s="3">
        <v>1390</v>
      </c>
      <c r="O479" s="4">
        <v>6.2E-2</v>
      </c>
      <c r="P479" s="1" t="s">
        <v>2721</v>
      </c>
    </row>
    <row r="480" spans="1:16">
      <c r="A480" s="1" t="s">
        <v>649</v>
      </c>
      <c r="B480" s="1">
        <v>12</v>
      </c>
      <c r="C480" s="1">
        <v>25113022072253</v>
      </c>
      <c r="D480" s="1" t="s">
        <v>1874</v>
      </c>
      <c r="E480" s="2">
        <v>45992</v>
      </c>
      <c r="F480" s="1" t="s">
        <v>347</v>
      </c>
      <c r="G480" s="1" t="s">
        <v>1875</v>
      </c>
      <c r="H480" s="1" t="s">
        <v>1876</v>
      </c>
      <c r="I480" s="1">
        <v>1</v>
      </c>
      <c r="J480" s="3">
        <v>24310</v>
      </c>
      <c r="K480" s="3">
        <v>22737</v>
      </c>
      <c r="L480" s="1">
        <v>0</v>
      </c>
      <c r="M480" s="4">
        <v>0</v>
      </c>
      <c r="N480" s="3">
        <v>1573</v>
      </c>
      <c r="O480" s="4">
        <v>6.5000000000000002E-2</v>
      </c>
      <c r="P480" s="1" t="s">
        <v>2721</v>
      </c>
    </row>
    <row r="481" spans="1:16">
      <c r="A481" s="1" t="s">
        <v>649</v>
      </c>
      <c r="B481" s="1">
        <v>12</v>
      </c>
      <c r="C481" s="1">
        <v>25113021215454</v>
      </c>
      <c r="D481" s="1" t="s">
        <v>1877</v>
      </c>
      <c r="E481" s="2">
        <v>45992</v>
      </c>
      <c r="F481" s="1" t="s">
        <v>1772</v>
      </c>
      <c r="G481" s="1" t="s">
        <v>1878</v>
      </c>
      <c r="H481" s="1" t="s">
        <v>1879</v>
      </c>
      <c r="I481" s="1">
        <v>1</v>
      </c>
      <c r="J481" s="3">
        <v>16550</v>
      </c>
      <c r="K481" s="3">
        <v>14070</v>
      </c>
      <c r="L481" s="1">
        <v>0</v>
      </c>
      <c r="M481" s="4">
        <v>0</v>
      </c>
      <c r="N481" s="3">
        <v>2480</v>
      </c>
      <c r="O481" s="4">
        <v>0.15</v>
      </c>
      <c r="P481" s="1" t="s">
        <v>2721</v>
      </c>
    </row>
    <row r="482" spans="1:16">
      <c r="A482" s="1" t="s">
        <v>649</v>
      </c>
      <c r="B482" s="1">
        <v>12</v>
      </c>
      <c r="C482" s="1">
        <v>25113008362059</v>
      </c>
      <c r="D482" s="1" t="s">
        <v>1880</v>
      </c>
      <c r="E482" s="2">
        <v>45992</v>
      </c>
      <c r="F482" s="1" t="s">
        <v>48</v>
      </c>
      <c r="G482" s="1" t="s">
        <v>1881</v>
      </c>
      <c r="H482" s="1" t="s">
        <v>1882</v>
      </c>
      <c r="I482" s="1">
        <v>1</v>
      </c>
      <c r="J482" s="3">
        <v>18700</v>
      </c>
      <c r="K482" s="3">
        <v>15899</v>
      </c>
      <c r="L482" s="1">
        <v>0</v>
      </c>
      <c r="M482" s="4">
        <v>0</v>
      </c>
      <c r="N482" s="3">
        <v>2801</v>
      </c>
      <c r="O482" s="4">
        <v>0.15</v>
      </c>
      <c r="P482" s="1" t="s">
        <v>2721</v>
      </c>
    </row>
    <row r="483" spans="1:16">
      <c r="A483" s="1" t="s">
        <v>649</v>
      </c>
      <c r="B483" s="1">
        <v>12</v>
      </c>
      <c r="C483" s="1">
        <v>25113014274549</v>
      </c>
      <c r="D483" s="1" t="s">
        <v>724</v>
      </c>
      <c r="E483" s="2">
        <v>45992</v>
      </c>
      <c r="F483" s="1" t="s">
        <v>725</v>
      </c>
      <c r="G483" s="1" t="s">
        <v>726</v>
      </c>
      <c r="H483" s="1" t="s">
        <v>1883</v>
      </c>
      <c r="I483" s="1">
        <v>1</v>
      </c>
      <c r="J483" s="3">
        <v>134215</v>
      </c>
      <c r="K483" s="3">
        <v>121940</v>
      </c>
      <c r="L483" s="1">
        <v>0</v>
      </c>
      <c r="M483" s="4">
        <v>0</v>
      </c>
      <c r="N483" s="3">
        <v>12275</v>
      </c>
      <c r="O483" s="4">
        <v>9.0999999999999998E-2</v>
      </c>
      <c r="P483" s="1" t="s">
        <v>2721</v>
      </c>
    </row>
    <row r="484" spans="1:16">
      <c r="A484" s="1" t="s">
        <v>649</v>
      </c>
      <c r="B484" s="1">
        <v>12</v>
      </c>
      <c r="C484" s="1">
        <v>25112921130078</v>
      </c>
      <c r="D484" s="1" t="s">
        <v>1884</v>
      </c>
      <c r="E484" s="2">
        <v>45992</v>
      </c>
      <c r="F484" s="1" t="s">
        <v>1055</v>
      </c>
      <c r="G484" s="1" t="s">
        <v>1885</v>
      </c>
      <c r="H484" s="1" t="s">
        <v>1886</v>
      </c>
      <c r="I484" s="1">
        <v>1</v>
      </c>
      <c r="J484" s="3">
        <v>26265</v>
      </c>
      <c r="K484" s="3">
        <v>24566</v>
      </c>
      <c r="L484" s="1">
        <v>0</v>
      </c>
      <c r="M484" s="4">
        <v>0</v>
      </c>
      <c r="N484" s="3">
        <v>1699</v>
      </c>
      <c r="O484" s="4">
        <v>6.5000000000000002E-2</v>
      </c>
      <c r="P484" s="1" t="s">
        <v>2721</v>
      </c>
    </row>
    <row r="485" spans="1:16">
      <c r="A485" s="1" t="s">
        <v>649</v>
      </c>
      <c r="B485" s="1">
        <v>12</v>
      </c>
      <c r="C485" s="1">
        <v>25112921030486</v>
      </c>
      <c r="D485" s="1" t="s">
        <v>1887</v>
      </c>
      <c r="E485" s="2">
        <v>45992</v>
      </c>
      <c r="F485" s="1" t="s">
        <v>1888</v>
      </c>
      <c r="G485" s="1" t="s">
        <v>1889</v>
      </c>
      <c r="H485" s="1" t="s">
        <v>1890</v>
      </c>
      <c r="I485" s="1">
        <v>1</v>
      </c>
      <c r="J485" s="3">
        <v>15045</v>
      </c>
      <c r="K485" s="3">
        <v>14070</v>
      </c>
      <c r="L485" s="1">
        <v>0</v>
      </c>
      <c r="M485" s="4">
        <v>0</v>
      </c>
      <c r="N485" s="3">
        <v>975</v>
      </c>
      <c r="O485" s="4">
        <v>6.5000000000000002E-2</v>
      </c>
      <c r="P485" s="1" t="s">
        <v>2721</v>
      </c>
    </row>
    <row r="486" spans="1:16">
      <c r="A486" s="1" t="s">
        <v>649</v>
      </c>
      <c r="B486" s="1">
        <v>12</v>
      </c>
      <c r="C486" s="1">
        <v>25112920090377</v>
      </c>
      <c r="D486" s="1" t="s">
        <v>773</v>
      </c>
      <c r="E486" s="2">
        <v>45992</v>
      </c>
      <c r="F486" s="1" t="s">
        <v>48</v>
      </c>
      <c r="G486" s="1" t="s">
        <v>774</v>
      </c>
      <c r="H486" s="1" t="s">
        <v>1891</v>
      </c>
      <c r="I486" s="1">
        <v>1</v>
      </c>
      <c r="J486" s="3">
        <v>10379</v>
      </c>
      <c r="K486" s="3">
        <v>8802</v>
      </c>
      <c r="L486" s="1">
        <v>0</v>
      </c>
      <c r="M486" s="4">
        <v>0</v>
      </c>
      <c r="N486" s="3">
        <v>1577</v>
      </c>
      <c r="O486" s="4">
        <v>0.152</v>
      </c>
      <c r="P486" s="1" t="s">
        <v>2721</v>
      </c>
    </row>
    <row r="487" spans="1:16">
      <c r="A487" s="1" t="s">
        <v>649</v>
      </c>
      <c r="B487" s="1">
        <v>12</v>
      </c>
      <c r="C487" s="1">
        <v>25112915095154</v>
      </c>
      <c r="D487" s="1" t="s">
        <v>1887</v>
      </c>
      <c r="E487" s="2">
        <v>45992</v>
      </c>
      <c r="F487" s="1" t="s">
        <v>1888</v>
      </c>
      <c r="G487" s="1" t="s">
        <v>1889</v>
      </c>
      <c r="H487" s="1" t="s">
        <v>1890</v>
      </c>
      <c r="I487" s="1">
        <v>1</v>
      </c>
      <c r="J487" s="3">
        <v>15045</v>
      </c>
      <c r="K487" s="3">
        <v>14070</v>
      </c>
      <c r="L487" s="1">
        <v>0</v>
      </c>
      <c r="M487" s="4">
        <v>0</v>
      </c>
      <c r="N487" s="3">
        <v>975</v>
      </c>
      <c r="O487" s="4">
        <v>6.5000000000000002E-2</v>
      </c>
      <c r="P487" s="1" t="s">
        <v>2721</v>
      </c>
    </row>
    <row r="488" spans="1:16">
      <c r="A488" s="1" t="s">
        <v>649</v>
      </c>
      <c r="B488" s="1">
        <v>12</v>
      </c>
      <c r="C488" s="1">
        <v>25112910315724</v>
      </c>
      <c r="D488" s="1" t="s">
        <v>1892</v>
      </c>
      <c r="E488" s="2">
        <v>45992</v>
      </c>
      <c r="F488" s="1" t="s">
        <v>400</v>
      </c>
      <c r="G488" s="1" t="s">
        <v>1893</v>
      </c>
      <c r="H488" s="1" t="s">
        <v>1894</v>
      </c>
      <c r="I488" s="1">
        <v>1</v>
      </c>
      <c r="J488" s="3">
        <v>28730</v>
      </c>
      <c r="K488" s="3">
        <v>26921</v>
      </c>
      <c r="L488" s="1">
        <v>0</v>
      </c>
      <c r="M488" s="4">
        <v>0</v>
      </c>
      <c r="N488" s="3">
        <v>1809</v>
      </c>
      <c r="O488" s="4">
        <v>6.3E-2</v>
      </c>
      <c r="P488" s="1" t="s">
        <v>2721</v>
      </c>
    </row>
    <row r="489" spans="1:16">
      <c r="A489" s="1" t="s">
        <v>649</v>
      </c>
      <c r="B489" s="1">
        <v>12</v>
      </c>
      <c r="C489" s="1">
        <v>25112909283046</v>
      </c>
      <c r="D489" s="1" t="s">
        <v>1895</v>
      </c>
      <c r="E489" s="2">
        <v>45992</v>
      </c>
      <c r="F489" s="1" t="s">
        <v>63</v>
      </c>
      <c r="G489" s="1" t="s">
        <v>1896</v>
      </c>
      <c r="H489" s="1" t="s">
        <v>1897</v>
      </c>
      <c r="I489" s="1">
        <v>1</v>
      </c>
      <c r="J489" s="3">
        <v>18955</v>
      </c>
      <c r="K489" s="3">
        <v>18950</v>
      </c>
      <c r="L489" s="1">
        <v>0</v>
      </c>
      <c r="M489" s="4">
        <v>0</v>
      </c>
      <c r="N489" s="3">
        <v>5</v>
      </c>
      <c r="O489" s="4">
        <v>0</v>
      </c>
      <c r="P489" s="1" t="s">
        <v>2721</v>
      </c>
    </row>
    <row r="490" spans="1:16">
      <c r="A490" s="1" t="s">
        <v>649</v>
      </c>
      <c r="B490" s="1">
        <v>12</v>
      </c>
      <c r="C490" s="1">
        <v>25112816113280</v>
      </c>
      <c r="D490" s="1" t="s">
        <v>1898</v>
      </c>
      <c r="E490" s="2">
        <v>45992</v>
      </c>
      <c r="F490" s="1" t="s">
        <v>1513</v>
      </c>
      <c r="G490" s="1" t="s">
        <v>1899</v>
      </c>
      <c r="H490" s="1" t="s">
        <v>1900</v>
      </c>
      <c r="I490" s="1">
        <v>1</v>
      </c>
      <c r="J490" s="3">
        <v>20315</v>
      </c>
      <c r="K490" s="3">
        <v>18150</v>
      </c>
      <c r="L490" s="1">
        <v>0</v>
      </c>
      <c r="M490" s="4">
        <v>0</v>
      </c>
      <c r="N490" s="3">
        <v>2165</v>
      </c>
      <c r="O490" s="4">
        <v>0.107</v>
      </c>
      <c r="P490" s="1" t="s">
        <v>2721</v>
      </c>
    </row>
    <row r="491" spans="1:16">
      <c r="A491" s="1" t="s">
        <v>649</v>
      </c>
      <c r="B491" s="1">
        <v>12</v>
      </c>
      <c r="C491" s="1">
        <v>25112815551257</v>
      </c>
      <c r="D491" s="1" t="s">
        <v>1901</v>
      </c>
      <c r="E491" s="2">
        <v>45992</v>
      </c>
      <c r="F491" s="1" t="s">
        <v>1513</v>
      </c>
      <c r="G491" s="1" t="s">
        <v>1902</v>
      </c>
      <c r="H491" s="1" t="s">
        <v>1903</v>
      </c>
      <c r="I491" s="1">
        <v>1</v>
      </c>
      <c r="J491" s="3">
        <v>9265</v>
      </c>
      <c r="K491" s="3">
        <v>8600</v>
      </c>
      <c r="L491" s="1">
        <v>0</v>
      </c>
      <c r="M491" s="4">
        <v>0</v>
      </c>
      <c r="N491" s="3">
        <v>665</v>
      </c>
      <c r="O491" s="4">
        <v>7.1999999999999995E-2</v>
      </c>
      <c r="P491" s="1" t="s">
        <v>2721</v>
      </c>
    </row>
    <row r="492" spans="1:16">
      <c r="A492" s="1" t="s">
        <v>649</v>
      </c>
      <c r="B492" s="1">
        <v>12</v>
      </c>
      <c r="C492" s="1">
        <v>25112814330879</v>
      </c>
      <c r="D492" s="1" t="s">
        <v>1904</v>
      </c>
      <c r="E492" s="2">
        <v>45992</v>
      </c>
      <c r="F492" s="1" t="s">
        <v>48</v>
      </c>
      <c r="G492" s="1" t="s">
        <v>1905</v>
      </c>
      <c r="H492" s="1" t="s">
        <v>1906</v>
      </c>
      <c r="I492" s="1">
        <v>1</v>
      </c>
      <c r="J492" s="3">
        <v>32445</v>
      </c>
      <c r="K492" s="3">
        <v>27615</v>
      </c>
      <c r="L492" s="1">
        <v>0</v>
      </c>
      <c r="M492" s="4">
        <v>0</v>
      </c>
      <c r="N492" s="3">
        <v>4830</v>
      </c>
      <c r="O492" s="4">
        <v>0.14899999999999999</v>
      </c>
      <c r="P492" s="1" t="s">
        <v>2721</v>
      </c>
    </row>
    <row r="493" spans="1:16">
      <c r="A493" s="1" t="s">
        <v>649</v>
      </c>
      <c r="B493" s="1">
        <v>12</v>
      </c>
      <c r="C493" s="1">
        <v>25112814021139</v>
      </c>
      <c r="D493" s="1" t="s">
        <v>1907</v>
      </c>
      <c r="E493" s="2">
        <v>45992</v>
      </c>
      <c r="F493" s="1" t="s">
        <v>235</v>
      </c>
      <c r="G493" s="1" t="s">
        <v>1908</v>
      </c>
      <c r="H493" s="1" t="s">
        <v>1909</v>
      </c>
      <c r="I493" s="1">
        <v>1</v>
      </c>
      <c r="J493" s="3">
        <v>26435</v>
      </c>
      <c r="K493" s="3">
        <v>24774</v>
      </c>
      <c r="L493" s="1">
        <v>0</v>
      </c>
      <c r="M493" s="4">
        <v>0</v>
      </c>
      <c r="N493" s="3">
        <v>1661</v>
      </c>
      <c r="O493" s="4">
        <v>6.3E-2</v>
      </c>
      <c r="P493" s="1" t="s">
        <v>2721</v>
      </c>
    </row>
    <row r="494" spans="1:16">
      <c r="A494" s="1" t="s">
        <v>649</v>
      </c>
      <c r="B494" s="1">
        <v>12</v>
      </c>
      <c r="C494" s="1">
        <v>25112813394057</v>
      </c>
      <c r="D494" s="1" t="s">
        <v>1910</v>
      </c>
      <c r="E494" s="2">
        <v>45992</v>
      </c>
      <c r="F494" s="1" t="s">
        <v>783</v>
      </c>
      <c r="G494" s="1" t="s">
        <v>1911</v>
      </c>
      <c r="H494" s="1" t="s">
        <v>1912</v>
      </c>
      <c r="I494" s="1">
        <v>1</v>
      </c>
      <c r="J494" s="3">
        <v>23970</v>
      </c>
      <c r="K494" s="3">
        <v>22418</v>
      </c>
      <c r="L494" s="1">
        <v>0</v>
      </c>
      <c r="M494" s="4">
        <v>0</v>
      </c>
      <c r="N494" s="3">
        <v>1552</v>
      </c>
      <c r="O494" s="4">
        <v>6.5000000000000002E-2</v>
      </c>
      <c r="P494" s="1" t="s">
        <v>2721</v>
      </c>
    </row>
    <row r="495" spans="1:16">
      <c r="A495" s="1" t="s">
        <v>649</v>
      </c>
      <c r="B495" s="1">
        <v>12</v>
      </c>
      <c r="C495" s="1">
        <v>25112811532528</v>
      </c>
      <c r="D495" s="1" t="s">
        <v>1913</v>
      </c>
      <c r="E495" s="2">
        <v>45992</v>
      </c>
      <c r="F495" s="1" t="s">
        <v>660</v>
      </c>
      <c r="G495" s="1" t="s">
        <v>1914</v>
      </c>
      <c r="H495" s="1" t="s">
        <v>1915</v>
      </c>
      <c r="I495" s="1">
        <v>1</v>
      </c>
      <c r="J495" s="3">
        <v>23035</v>
      </c>
      <c r="K495" s="3">
        <v>21574</v>
      </c>
      <c r="L495" s="1">
        <v>0</v>
      </c>
      <c r="M495" s="4">
        <v>0</v>
      </c>
      <c r="N495" s="3">
        <v>1461</v>
      </c>
      <c r="O495" s="4">
        <v>6.3E-2</v>
      </c>
      <c r="P495" s="1" t="s">
        <v>2721</v>
      </c>
    </row>
    <row r="496" spans="1:16">
      <c r="A496" s="1" t="s">
        <v>649</v>
      </c>
      <c r="B496" s="1">
        <v>12</v>
      </c>
      <c r="C496" s="1">
        <v>25112811355091</v>
      </c>
      <c r="D496" s="1" t="s">
        <v>653</v>
      </c>
      <c r="E496" s="2">
        <v>45992</v>
      </c>
      <c r="F496" s="1" t="s">
        <v>302</v>
      </c>
      <c r="G496" s="1" t="s">
        <v>654</v>
      </c>
      <c r="H496" s="1" t="s">
        <v>1916</v>
      </c>
      <c r="I496" s="1">
        <v>1</v>
      </c>
      <c r="J496" s="3">
        <v>9605</v>
      </c>
      <c r="K496" s="3">
        <v>8975</v>
      </c>
      <c r="L496" s="3">
        <v>0</v>
      </c>
      <c r="M496" s="4">
        <v>0</v>
      </c>
      <c r="N496" s="3">
        <v>630</v>
      </c>
      <c r="O496" s="4">
        <v>6.6000000000000003E-2</v>
      </c>
      <c r="P496" s="1" t="s">
        <v>2721</v>
      </c>
    </row>
    <row r="497" spans="1:16">
      <c r="A497" s="1" t="s">
        <v>632</v>
      </c>
      <c r="B497" s="1">
        <v>12</v>
      </c>
      <c r="C497" s="1">
        <v>165352925</v>
      </c>
      <c r="D497" s="1" t="s">
        <v>682</v>
      </c>
      <c r="E497" s="2">
        <v>45992</v>
      </c>
      <c r="F497" s="1" t="s">
        <v>500</v>
      </c>
      <c r="G497" s="1" t="s">
        <v>683</v>
      </c>
      <c r="I497" s="1">
        <v>1</v>
      </c>
      <c r="J497" s="3">
        <v>134900</v>
      </c>
      <c r="K497" s="3">
        <v>107500</v>
      </c>
      <c r="L497" s="3">
        <v>14299</v>
      </c>
      <c r="M497" s="4">
        <v>0.106</v>
      </c>
      <c r="N497" s="3">
        <v>13100</v>
      </c>
      <c r="O497" s="4">
        <v>9.7000000000000003E-2</v>
      </c>
      <c r="P497" s="1" t="s">
        <v>2721</v>
      </c>
    </row>
    <row r="498" spans="1:16">
      <c r="A498" s="1" t="s">
        <v>632</v>
      </c>
      <c r="B498" s="1">
        <v>12</v>
      </c>
      <c r="C498" s="1">
        <v>165348475</v>
      </c>
      <c r="D498" s="1" t="s">
        <v>715</v>
      </c>
      <c r="E498" s="2">
        <v>45992</v>
      </c>
      <c r="F498" s="1" t="s">
        <v>500</v>
      </c>
      <c r="G498" s="1" t="s">
        <v>716</v>
      </c>
      <c r="I498" s="1">
        <v>1</v>
      </c>
      <c r="J498" s="3">
        <v>138900</v>
      </c>
      <c r="K498" s="3">
        <v>111200</v>
      </c>
      <c r="L498" s="3">
        <v>14723</v>
      </c>
      <c r="M498" s="4">
        <v>0.106</v>
      </c>
      <c r="N498" s="3">
        <v>12977</v>
      </c>
      <c r="O498" s="4">
        <v>9.2999999999999999E-2</v>
      </c>
      <c r="P498" s="1" t="s">
        <v>2721</v>
      </c>
    </row>
    <row r="499" spans="1:16">
      <c r="A499" s="1" t="s">
        <v>632</v>
      </c>
      <c r="B499" s="1">
        <v>12</v>
      </c>
      <c r="C499" s="1">
        <v>165281683</v>
      </c>
      <c r="D499" s="1" t="s">
        <v>715</v>
      </c>
      <c r="E499" s="2">
        <v>45992</v>
      </c>
      <c r="F499" s="1" t="s">
        <v>500</v>
      </c>
      <c r="G499" s="1" t="s">
        <v>716</v>
      </c>
      <c r="I499" s="1">
        <v>1</v>
      </c>
      <c r="J499" s="3">
        <v>138900</v>
      </c>
      <c r="K499" s="3">
        <v>111200</v>
      </c>
      <c r="L499" s="3">
        <v>14723</v>
      </c>
      <c r="M499" s="4">
        <v>0.106</v>
      </c>
      <c r="N499" s="3">
        <v>12977</v>
      </c>
      <c r="O499" s="4">
        <v>9.2999999999999999E-2</v>
      </c>
      <c r="P499" s="1" t="s">
        <v>2721</v>
      </c>
    </row>
    <row r="500" spans="1:16">
      <c r="A500" s="1" t="s">
        <v>632</v>
      </c>
      <c r="B500" s="1">
        <v>12</v>
      </c>
      <c r="C500" s="1">
        <v>165152315</v>
      </c>
      <c r="D500" s="1" t="s">
        <v>715</v>
      </c>
      <c r="E500" s="2">
        <v>45992</v>
      </c>
      <c r="F500" s="1" t="s">
        <v>500</v>
      </c>
      <c r="G500" s="1" t="s">
        <v>716</v>
      </c>
      <c r="I500" s="1">
        <v>1</v>
      </c>
      <c r="J500" s="3">
        <v>138900</v>
      </c>
      <c r="K500" s="3">
        <v>111200</v>
      </c>
      <c r="L500" s="3">
        <v>14723</v>
      </c>
      <c r="M500" s="4">
        <v>0.106</v>
      </c>
      <c r="N500" s="3">
        <v>12977</v>
      </c>
      <c r="O500" s="4">
        <v>9.2999999999999999E-2</v>
      </c>
      <c r="P500" s="1" t="s">
        <v>2721</v>
      </c>
    </row>
    <row r="501" spans="1:16">
      <c r="A501" s="1" t="s">
        <v>1917</v>
      </c>
      <c r="B501" s="1">
        <v>12</v>
      </c>
      <c r="C501" s="1">
        <v>1.18781764502065E+20</v>
      </c>
      <c r="D501" s="1" t="s">
        <v>1901</v>
      </c>
      <c r="E501" s="2">
        <v>45992</v>
      </c>
      <c r="F501" s="1" t="s">
        <v>1513</v>
      </c>
      <c r="G501" s="1" t="s">
        <v>1902</v>
      </c>
      <c r="H501" s="1" t="s">
        <v>1918</v>
      </c>
      <c r="I501" s="1">
        <v>1</v>
      </c>
      <c r="J501" s="3">
        <v>13616</v>
      </c>
      <c r="K501" s="3">
        <v>8600</v>
      </c>
      <c r="L501" s="1">
        <v>0</v>
      </c>
      <c r="M501" s="4">
        <v>0</v>
      </c>
      <c r="N501" s="3">
        <v>5016</v>
      </c>
      <c r="O501" s="4">
        <v>0.36799999999999999</v>
      </c>
      <c r="P501" s="1" t="s">
        <v>2721</v>
      </c>
    </row>
    <row r="502" spans="1:16">
      <c r="A502" s="1" t="s">
        <v>1917</v>
      </c>
      <c r="B502" s="1">
        <v>12</v>
      </c>
      <c r="C502" s="1">
        <v>1.18761764485518E+20</v>
      </c>
      <c r="D502" s="1" t="s">
        <v>1919</v>
      </c>
      <c r="E502" s="2">
        <v>45992</v>
      </c>
      <c r="F502" s="1" t="s">
        <v>646</v>
      </c>
      <c r="G502" s="1" t="s">
        <v>1920</v>
      </c>
      <c r="H502" s="1" t="s">
        <v>1921</v>
      </c>
      <c r="I502" s="1">
        <v>1</v>
      </c>
      <c r="J502" s="3">
        <v>153900</v>
      </c>
      <c r="K502" s="3">
        <v>130382</v>
      </c>
      <c r="L502" s="1">
        <v>0</v>
      </c>
      <c r="M502" s="4">
        <v>0</v>
      </c>
      <c r="N502" s="3">
        <v>23518</v>
      </c>
      <c r="O502" s="4">
        <v>0.153</v>
      </c>
      <c r="P502" s="1" t="s">
        <v>2721</v>
      </c>
    </row>
    <row r="503" spans="1:16">
      <c r="A503" s="1" t="s">
        <v>1917</v>
      </c>
      <c r="B503" s="1">
        <v>12</v>
      </c>
      <c r="C503" s="1">
        <v>1.18731764468431E+20</v>
      </c>
      <c r="D503" s="1" t="s">
        <v>1922</v>
      </c>
      <c r="E503" s="2">
        <v>45992</v>
      </c>
      <c r="F503" s="1" t="s">
        <v>1325</v>
      </c>
      <c r="G503" s="1" t="s">
        <v>1923</v>
      </c>
      <c r="H503" s="1" t="s">
        <v>1924</v>
      </c>
      <c r="I503" s="1">
        <v>1</v>
      </c>
      <c r="J503" s="3">
        <v>14705</v>
      </c>
      <c r="K503" s="3">
        <v>13038</v>
      </c>
      <c r="L503" s="1">
        <v>0</v>
      </c>
      <c r="M503" s="4">
        <v>0</v>
      </c>
      <c r="N503" s="3">
        <v>1667</v>
      </c>
      <c r="O503" s="4">
        <v>0.113</v>
      </c>
      <c r="P503" s="1" t="s">
        <v>2721</v>
      </c>
    </row>
    <row r="504" spans="1:16">
      <c r="A504" s="1" t="s">
        <v>1917</v>
      </c>
      <c r="B504" s="1">
        <v>12</v>
      </c>
      <c r="C504" s="1">
        <v>1.18731764468431E+20</v>
      </c>
      <c r="D504" s="1" t="s">
        <v>1925</v>
      </c>
      <c r="E504" s="2">
        <v>45992</v>
      </c>
      <c r="F504" s="1" t="s">
        <v>1325</v>
      </c>
      <c r="G504" s="1" t="s">
        <v>1926</v>
      </c>
      <c r="H504" s="1" t="s">
        <v>1927</v>
      </c>
      <c r="I504" s="1">
        <v>1</v>
      </c>
      <c r="J504" s="3">
        <v>14705</v>
      </c>
      <c r="K504" s="3">
        <v>13038</v>
      </c>
      <c r="L504" s="1">
        <v>0</v>
      </c>
      <c r="M504" s="4">
        <v>0</v>
      </c>
      <c r="N504" s="3">
        <v>1667</v>
      </c>
      <c r="O504" s="4">
        <v>0.113</v>
      </c>
      <c r="P504" s="1" t="s">
        <v>2721</v>
      </c>
    </row>
    <row r="505" spans="1:16">
      <c r="A505" s="1" t="s">
        <v>1917</v>
      </c>
      <c r="B505" s="1">
        <v>12</v>
      </c>
      <c r="C505" s="1">
        <v>1.18731764468431E+20</v>
      </c>
      <c r="D505" s="1" t="s">
        <v>1928</v>
      </c>
      <c r="E505" s="2">
        <v>45992</v>
      </c>
      <c r="F505" s="1" t="s">
        <v>1325</v>
      </c>
      <c r="G505" s="1" t="s">
        <v>1929</v>
      </c>
      <c r="H505" s="1" t="s">
        <v>1930</v>
      </c>
      <c r="I505" s="1">
        <v>2</v>
      </c>
      <c r="J505" s="3">
        <v>29410</v>
      </c>
      <c r="K505" s="3">
        <v>26076</v>
      </c>
      <c r="L505" s="1">
        <v>0</v>
      </c>
      <c r="M505" s="4">
        <v>0</v>
      </c>
      <c r="N505" s="3">
        <v>3334</v>
      </c>
      <c r="O505" s="4">
        <v>0.113</v>
      </c>
      <c r="P505" s="1" t="s">
        <v>2721</v>
      </c>
    </row>
    <row r="506" spans="1:16">
      <c r="A506" s="1" t="s">
        <v>1917</v>
      </c>
      <c r="B506" s="1">
        <v>12</v>
      </c>
      <c r="C506" s="1">
        <v>1.18681764419949E+20</v>
      </c>
      <c r="D506" s="1" t="s">
        <v>1931</v>
      </c>
      <c r="E506" s="2">
        <v>45992</v>
      </c>
      <c r="F506" s="1" t="s">
        <v>96</v>
      </c>
      <c r="G506" s="1" t="s">
        <v>1932</v>
      </c>
      <c r="H506" s="1" t="s">
        <v>1933</v>
      </c>
      <c r="I506" s="1">
        <v>1</v>
      </c>
      <c r="J506" s="3">
        <v>11610</v>
      </c>
      <c r="K506" s="3">
        <v>8457</v>
      </c>
      <c r="L506" s="1">
        <v>0</v>
      </c>
      <c r="M506" s="4">
        <v>0</v>
      </c>
      <c r="N506" s="3">
        <v>3153</v>
      </c>
      <c r="O506" s="4">
        <v>0.27200000000000002</v>
      </c>
      <c r="P506" s="1" t="s">
        <v>2721</v>
      </c>
    </row>
    <row r="507" spans="1:16">
      <c r="A507" s="1" t="s">
        <v>1917</v>
      </c>
      <c r="B507" s="1">
        <v>12</v>
      </c>
      <c r="C507" s="1">
        <v>1.18651764411595E+20</v>
      </c>
      <c r="D507" s="1" t="s">
        <v>1934</v>
      </c>
      <c r="E507" s="2">
        <v>45992</v>
      </c>
      <c r="F507" s="1" t="s">
        <v>1935</v>
      </c>
      <c r="G507" s="1" t="s">
        <v>1936</v>
      </c>
      <c r="H507" s="1" t="s">
        <v>1937</v>
      </c>
      <c r="I507" s="1">
        <v>1</v>
      </c>
      <c r="J507" s="3">
        <v>13950</v>
      </c>
      <c r="K507" s="3">
        <v>10787</v>
      </c>
      <c r="L507" s="1">
        <v>0</v>
      </c>
      <c r="M507" s="4">
        <v>0</v>
      </c>
      <c r="N507" s="3">
        <v>3163</v>
      </c>
      <c r="O507" s="4">
        <v>0.22700000000000001</v>
      </c>
      <c r="P507" s="1" t="s">
        <v>2721</v>
      </c>
    </row>
    <row r="508" spans="1:16">
      <c r="A508" s="1" t="s">
        <v>1917</v>
      </c>
      <c r="B508" s="1">
        <v>12</v>
      </c>
      <c r="C508" s="1">
        <v>1.1864176440173099E+20</v>
      </c>
      <c r="D508" s="1" t="s">
        <v>1938</v>
      </c>
      <c r="E508" s="2">
        <v>45992</v>
      </c>
      <c r="F508" s="1" t="s">
        <v>43</v>
      </c>
      <c r="G508" s="1" t="s">
        <v>1939</v>
      </c>
      <c r="H508" s="1" t="s">
        <v>1940</v>
      </c>
      <c r="I508" s="1">
        <v>1</v>
      </c>
      <c r="J508" s="3">
        <v>21690</v>
      </c>
      <c r="K508" s="3">
        <v>19229</v>
      </c>
      <c r="L508" s="1">
        <v>0</v>
      </c>
      <c r="M508" s="4">
        <v>0</v>
      </c>
      <c r="N508" s="3">
        <v>2461</v>
      </c>
      <c r="O508" s="4">
        <v>0.113</v>
      </c>
      <c r="P508" s="1" t="s">
        <v>2721</v>
      </c>
    </row>
    <row r="509" spans="1:16">
      <c r="A509" s="1" t="s">
        <v>1917</v>
      </c>
      <c r="B509" s="1">
        <v>12</v>
      </c>
      <c r="C509" s="1">
        <v>1.18611764382403E+20</v>
      </c>
      <c r="D509" s="1" t="s">
        <v>1941</v>
      </c>
      <c r="E509" s="2">
        <v>45992</v>
      </c>
      <c r="F509" s="1" t="s">
        <v>235</v>
      </c>
      <c r="G509" s="1" t="s">
        <v>1942</v>
      </c>
      <c r="I509" s="1">
        <v>2</v>
      </c>
      <c r="J509" s="3">
        <v>49320</v>
      </c>
      <c r="K509" s="3">
        <v>42680</v>
      </c>
      <c r="L509" s="1">
        <v>0</v>
      </c>
      <c r="M509" s="4">
        <v>0</v>
      </c>
      <c r="N509" s="3">
        <v>6640</v>
      </c>
      <c r="O509" s="4">
        <v>0.13500000000000001</v>
      </c>
      <c r="P509" s="1" t="s">
        <v>2721</v>
      </c>
    </row>
    <row r="510" spans="1:16">
      <c r="A510" s="1" t="s">
        <v>1917</v>
      </c>
      <c r="B510" s="1">
        <v>12</v>
      </c>
      <c r="C510" s="1">
        <v>1.1855176437112901E+20</v>
      </c>
      <c r="D510" s="1" t="s">
        <v>1943</v>
      </c>
      <c r="E510" s="2">
        <v>45992</v>
      </c>
      <c r="F510" s="1" t="s">
        <v>368</v>
      </c>
      <c r="G510" s="1" t="s">
        <v>1944</v>
      </c>
      <c r="H510" s="1" t="s">
        <v>370</v>
      </c>
      <c r="I510" s="1">
        <v>1</v>
      </c>
      <c r="J510" s="3">
        <v>15840</v>
      </c>
      <c r="K510" s="3">
        <v>13807</v>
      </c>
      <c r="L510" s="1">
        <v>0</v>
      </c>
      <c r="M510" s="4">
        <v>0</v>
      </c>
      <c r="N510" s="3">
        <v>2033</v>
      </c>
      <c r="O510" s="4">
        <v>0.128</v>
      </c>
      <c r="P510" s="1" t="s">
        <v>2721</v>
      </c>
    </row>
    <row r="511" spans="1:16">
      <c r="A511" s="1" t="s">
        <v>1917</v>
      </c>
      <c r="B511" s="1">
        <v>12</v>
      </c>
      <c r="C511" s="1">
        <v>1.18531764352625E+20</v>
      </c>
      <c r="D511" s="1" t="s">
        <v>1945</v>
      </c>
      <c r="E511" s="2">
        <v>45992</v>
      </c>
      <c r="F511" s="1" t="s">
        <v>96</v>
      </c>
      <c r="G511" s="1" t="s">
        <v>1946</v>
      </c>
      <c r="H511" s="1" t="s">
        <v>1947</v>
      </c>
      <c r="I511" s="1">
        <v>1</v>
      </c>
      <c r="J511" s="3">
        <v>21528</v>
      </c>
      <c r="K511" s="3">
        <v>16227</v>
      </c>
      <c r="L511" s="1">
        <v>0</v>
      </c>
      <c r="M511" s="4">
        <v>0</v>
      </c>
      <c r="N511" s="3">
        <v>5301</v>
      </c>
      <c r="O511" s="4">
        <v>0.246</v>
      </c>
      <c r="P511" s="1" t="s">
        <v>2721</v>
      </c>
    </row>
    <row r="512" spans="1:16">
      <c r="A512" s="1" t="s">
        <v>1917</v>
      </c>
      <c r="B512" s="1">
        <v>12</v>
      </c>
      <c r="C512" s="1">
        <v>1.18531764352625E+20</v>
      </c>
      <c r="D512" s="1" t="s">
        <v>1948</v>
      </c>
      <c r="E512" s="2">
        <v>45992</v>
      </c>
      <c r="F512" s="1" t="s">
        <v>1949</v>
      </c>
      <c r="G512" s="1" t="s">
        <v>1950</v>
      </c>
      <c r="H512" s="1" t="s">
        <v>1951</v>
      </c>
      <c r="I512" s="1">
        <v>1</v>
      </c>
      <c r="J512" s="3">
        <v>19890</v>
      </c>
      <c r="K512" s="3">
        <v>15008</v>
      </c>
      <c r="L512" s="1">
        <v>0</v>
      </c>
      <c r="M512" s="4">
        <v>0</v>
      </c>
      <c r="N512" s="3">
        <v>4882</v>
      </c>
      <c r="O512" s="4">
        <v>0.245</v>
      </c>
      <c r="P512" s="1" t="s">
        <v>2721</v>
      </c>
    </row>
    <row r="513" spans="1:16">
      <c r="A513" s="1" t="s">
        <v>1917</v>
      </c>
      <c r="B513" s="1">
        <v>12</v>
      </c>
      <c r="C513" s="1">
        <v>1.1851176433474E+20</v>
      </c>
      <c r="D513" s="1" t="s">
        <v>1952</v>
      </c>
      <c r="E513" s="2">
        <v>45992</v>
      </c>
      <c r="F513" s="1" t="s">
        <v>524</v>
      </c>
      <c r="G513" s="1" t="s">
        <v>1953</v>
      </c>
      <c r="H513" s="1" t="s">
        <v>1954</v>
      </c>
      <c r="I513" s="1">
        <v>1</v>
      </c>
      <c r="J513" s="3">
        <v>13410</v>
      </c>
      <c r="K513" s="3">
        <v>10560</v>
      </c>
      <c r="L513" s="1">
        <v>0</v>
      </c>
      <c r="M513" s="4">
        <v>0</v>
      </c>
      <c r="N513" s="3">
        <v>2850</v>
      </c>
      <c r="O513" s="4">
        <v>0.21299999999999999</v>
      </c>
      <c r="P513" s="1" t="s">
        <v>2721</v>
      </c>
    </row>
    <row r="514" spans="1:16">
      <c r="A514" s="1" t="s">
        <v>1917</v>
      </c>
      <c r="B514" s="1">
        <v>12</v>
      </c>
      <c r="C514" s="1">
        <v>1.1848176431962001E+20</v>
      </c>
      <c r="D514" s="1" t="s">
        <v>1955</v>
      </c>
      <c r="E514" s="2">
        <v>45992</v>
      </c>
      <c r="F514" s="1" t="s">
        <v>1956</v>
      </c>
      <c r="G514" s="1" t="s">
        <v>1957</v>
      </c>
      <c r="H514" s="1" t="s">
        <v>1958</v>
      </c>
      <c r="I514" s="1">
        <v>1</v>
      </c>
      <c r="J514" s="3">
        <v>142375</v>
      </c>
      <c r="K514" s="3">
        <v>117907</v>
      </c>
      <c r="L514" s="1">
        <v>0</v>
      </c>
      <c r="M514" s="4">
        <v>0</v>
      </c>
      <c r="N514" s="3">
        <v>24468</v>
      </c>
      <c r="O514" s="4">
        <v>0.17199999999999999</v>
      </c>
      <c r="P514" s="1" t="s">
        <v>2721</v>
      </c>
    </row>
    <row r="515" spans="1:16">
      <c r="A515" s="1" t="s">
        <v>1917</v>
      </c>
      <c r="B515" s="1">
        <v>12</v>
      </c>
      <c r="C515" s="1">
        <v>1.1846176431130799E+20</v>
      </c>
      <c r="D515" s="1" t="s">
        <v>1959</v>
      </c>
      <c r="E515" s="2">
        <v>45992</v>
      </c>
      <c r="F515" s="1" t="s">
        <v>1513</v>
      </c>
      <c r="G515" s="1" t="s">
        <v>1960</v>
      </c>
      <c r="H515" s="1" t="s">
        <v>1961</v>
      </c>
      <c r="I515" s="1">
        <v>1</v>
      </c>
      <c r="J515" s="3">
        <v>12788</v>
      </c>
      <c r="K515" s="3">
        <v>10100</v>
      </c>
      <c r="L515" s="3">
        <v>0</v>
      </c>
      <c r="M515" s="4">
        <v>0</v>
      </c>
      <c r="N515" s="3">
        <v>2688</v>
      </c>
      <c r="O515" s="4">
        <v>0.21</v>
      </c>
      <c r="P515" s="1" t="s">
        <v>2721</v>
      </c>
    </row>
    <row r="516" spans="1:16">
      <c r="A516" s="1" t="s">
        <v>686</v>
      </c>
      <c r="B516" s="1">
        <v>12</v>
      </c>
      <c r="C516" s="1" t="s">
        <v>1962</v>
      </c>
      <c r="D516" s="1" t="s">
        <v>1907</v>
      </c>
      <c r="E516" s="2">
        <v>45992</v>
      </c>
      <c r="F516" s="1" t="s">
        <v>235</v>
      </c>
      <c r="G516" s="1" t="s">
        <v>1908</v>
      </c>
      <c r="H516" s="1" t="s">
        <v>1963</v>
      </c>
      <c r="I516" s="1">
        <v>1</v>
      </c>
      <c r="J516" s="3">
        <v>31410</v>
      </c>
      <c r="K516" s="3">
        <v>24774</v>
      </c>
      <c r="L516" s="3">
        <v>1225</v>
      </c>
      <c r="M516" s="4">
        <v>3.9E-2</v>
      </c>
      <c r="N516" s="3">
        <v>5411</v>
      </c>
      <c r="O516" s="4">
        <v>0.17199999999999999</v>
      </c>
      <c r="P516" s="1" t="s">
        <v>2721</v>
      </c>
    </row>
    <row r="517" spans="1:16">
      <c r="A517" s="1" t="s">
        <v>686</v>
      </c>
      <c r="B517" s="1">
        <v>12</v>
      </c>
      <c r="C517" s="1" t="s">
        <v>1964</v>
      </c>
      <c r="D517" s="1" t="s">
        <v>1965</v>
      </c>
      <c r="E517" s="2">
        <v>45992</v>
      </c>
      <c r="F517" s="1" t="s">
        <v>1772</v>
      </c>
      <c r="G517" s="1" t="s">
        <v>1966</v>
      </c>
      <c r="H517" s="1" t="s">
        <v>1967</v>
      </c>
      <c r="I517" s="1">
        <v>1</v>
      </c>
      <c r="J517" s="3">
        <v>29160</v>
      </c>
      <c r="K517" s="3">
        <v>22324</v>
      </c>
      <c r="L517" s="3">
        <v>1137</v>
      </c>
      <c r="M517" s="4">
        <v>3.9E-2</v>
      </c>
      <c r="N517" s="3">
        <v>5699</v>
      </c>
      <c r="O517" s="4">
        <v>0.19500000000000001</v>
      </c>
      <c r="P517" s="1" t="s">
        <v>2721</v>
      </c>
    </row>
    <row r="518" spans="1:16">
      <c r="A518" s="1" t="s">
        <v>1849</v>
      </c>
      <c r="B518" s="1">
        <v>12</v>
      </c>
      <c r="C518" s="1">
        <v>6948416</v>
      </c>
      <c r="D518" s="1" t="s">
        <v>1968</v>
      </c>
      <c r="E518" s="2">
        <v>45992</v>
      </c>
      <c r="F518" s="1" t="s">
        <v>239</v>
      </c>
      <c r="G518" s="1" t="s">
        <v>1969</v>
      </c>
      <c r="H518" s="1" t="s">
        <v>1970</v>
      </c>
      <c r="I518" s="1">
        <v>1</v>
      </c>
      <c r="J518" s="3">
        <v>16800</v>
      </c>
      <c r="K518" s="3">
        <v>10787</v>
      </c>
      <c r="L518" s="3">
        <v>2520</v>
      </c>
      <c r="M518" s="4">
        <v>0.15</v>
      </c>
      <c r="N518" s="3">
        <v>3493</v>
      </c>
      <c r="O518" s="4">
        <v>0.20799999999999999</v>
      </c>
      <c r="P518" s="1" t="s">
        <v>2721</v>
      </c>
    </row>
    <row r="519" spans="1:16">
      <c r="A519" s="1" t="s">
        <v>1849</v>
      </c>
      <c r="B519" s="1">
        <v>12</v>
      </c>
      <c r="C519" s="1">
        <v>6947166</v>
      </c>
      <c r="D519" s="1" t="s">
        <v>1971</v>
      </c>
      <c r="E519" s="2">
        <v>45992</v>
      </c>
      <c r="F519" s="1" t="s">
        <v>426</v>
      </c>
      <c r="G519" s="1" t="s">
        <v>1972</v>
      </c>
      <c r="H519" s="1" t="s">
        <v>1973</v>
      </c>
      <c r="I519" s="1">
        <v>1</v>
      </c>
      <c r="J519" s="3">
        <v>28500</v>
      </c>
      <c r="K519" s="3">
        <v>20636</v>
      </c>
      <c r="L519" s="3">
        <v>4275</v>
      </c>
      <c r="M519" s="4">
        <v>0.15</v>
      </c>
      <c r="N519" s="3">
        <v>3589</v>
      </c>
      <c r="O519" s="4">
        <v>0.126</v>
      </c>
      <c r="P519" s="1" t="s">
        <v>2721</v>
      </c>
    </row>
    <row r="520" spans="1:16">
      <c r="A520" s="1" t="s">
        <v>1849</v>
      </c>
      <c r="B520" s="1">
        <v>12</v>
      </c>
      <c r="C520" s="1">
        <v>359429</v>
      </c>
      <c r="D520" s="1" t="s">
        <v>1974</v>
      </c>
      <c r="E520" s="2">
        <v>45992</v>
      </c>
      <c r="F520" s="1" t="s">
        <v>256</v>
      </c>
      <c r="G520" s="1" t="s">
        <v>1975</v>
      </c>
      <c r="H520" s="1" t="s">
        <v>1976</v>
      </c>
      <c r="I520" s="1">
        <v>1</v>
      </c>
      <c r="J520" s="3">
        <v>40600</v>
      </c>
      <c r="K520" s="3">
        <v>31704</v>
      </c>
      <c r="L520" s="3">
        <v>6090</v>
      </c>
      <c r="M520" s="4">
        <v>0.15</v>
      </c>
      <c r="N520" s="3">
        <v>2806</v>
      </c>
      <c r="O520" s="4">
        <v>6.9000000000000006E-2</v>
      </c>
      <c r="P520" s="1" t="s">
        <v>2721</v>
      </c>
    </row>
    <row r="521" spans="1:16">
      <c r="A521" s="1" t="s">
        <v>1849</v>
      </c>
      <c r="B521" s="1">
        <v>12</v>
      </c>
      <c r="C521" s="1">
        <v>359368</v>
      </c>
      <c r="D521" s="1" t="s">
        <v>1977</v>
      </c>
      <c r="E521" s="2">
        <v>45992</v>
      </c>
      <c r="F521" s="1" t="s">
        <v>235</v>
      </c>
      <c r="G521" s="1" t="s">
        <v>1978</v>
      </c>
      <c r="H521" s="1" t="s">
        <v>1979</v>
      </c>
      <c r="I521" s="1">
        <v>1</v>
      </c>
      <c r="J521" s="3">
        <v>17700</v>
      </c>
      <c r="K521" s="3">
        <v>12579</v>
      </c>
      <c r="L521" s="3">
        <v>2655</v>
      </c>
      <c r="M521" s="4">
        <v>0.15</v>
      </c>
      <c r="N521" s="3">
        <v>2466</v>
      </c>
      <c r="O521" s="4">
        <v>0.13900000000000001</v>
      </c>
      <c r="P521" s="1" t="s">
        <v>2721</v>
      </c>
    </row>
    <row r="522" spans="1:16">
      <c r="A522" s="1" t="s">
        <v>1849</v>
      </c>
      <c r="B522" s="1">
        <v>12</v>
      </c>
      <c r="C522" s="1">
        <v>357980</v>
      </c>
      <c r="D522" s="1" t="s">
        <v>1980</v>
      </c>
      <c r="E522" s="2">
        <v>45992</v>
      </c>
      <c r="F522" s="1" t="s">
        <v>23</v>
      </c>
      <c r="G522" s="1" t="s">
        <v>1981</v>
      </c>
      <c r="H522" s="1" t="s">
        <v>1982</v>
      </c>
      <c r="I522" s="1">
        <v>1</v>
      </c>
      <c r="J522" s="3">
        <v>26400</v>
      </c>
      <c r="K522" s="3">
        <v>10787</v>
      </c>
      <c r="L522" s="3">
        <v>3960</v>
      </c>
      <c r="M522" s="4">
        <v>0.15</v>
      </c>
      <c r="N522" s="3">
        <v>11653</v>
      </c>
      <c r="O522" s="4">
        <v>0.441</v>
      </c>
      <c r="P522" s="1" t="s">
        <v>2721</v>
      </c>
    </row>
    <row r="523" spans="1:16">
      <c r="A523" s="1" t="s">
        <v>1849</v>
      </c>
      <c r="B523" s="1">
        <v>12</v>
      </c>
      <c r="C523" s="1">
        <v>356660</v>
      </c>
      <c r="D523" s="1" t="s">
        <v>1983</v>
      </c>
      <c r="E523" s="2">
        <v>45992</v>
      </c>
      <c r="F523" s="1" t="s">
        <v>239</v>
      </c>
      <c r="G523" s="1" t="s">
        <v>1984</v>
      </c>
      <c r="H523" s="1" t="s">
        <v>1985</v>
      </c>
      <c r="I523" s="1">
        <v>1</v>
      </c>
      <c r="J523" s="3">
        <v>20700</v>
      </c>
      <c r="K523" s="3">
        <v>10787</v>
      </c>
      <c r="L523" s="3">
        <v>3105</v>
      </c>
      <c r="M523" s="4">
        <v>0.15</v>
      </c>
      <c r="N523" s="3">
        <v>6808</v>
      </c>
      <c r="O523" s="4">
        <v>0.32900000000000001</v>
      </c>
      <c r="P523" s="1" t="s">
        <v>2721</v>
      </c>
    </row>
    <row r="524" spans="1:16">
      <c r="A524" s="1" t="s">
        <v>1849</v>
      </c>
      <c r="B524" s="1">
        <v>12</v>
      </c>
      <c r="C524" s="1">
        <v>356660</v>
      </c>
      <c r="D524" s="1" t="s">
        <v>1968</v>
      </c>
      <c r="E524" s="2">
        <v>45992</v>
      </c>
      <c r="F524" s="1" t="s">
        <v>239</v>
      </c>
      <c r="G524" s="1" t="s">
        <v>1969</v>
      </c>
      <c r="H524" s="1" t="s">
        <v>1986</v>
      </c>
      <c r="I524" s="1">
        <v>1</v>
      </c>
      <c r="J524" s="3">
        <v>20700</v>
      </c>
      <c r="K524" s="3">
        <v>10787</v>
      </c>
      <c r="L524" s="3">
        <v>3105</v>
      </c>
      <c r="M524" s="4">
        <v>0.15</v>
      </c>
      <c r="N524" s="3">
        <v>6808</v>
      </c>
      <c r="O524" s="4">
        <v>0.32900000000000001</v>
      </c>
      <c r="P524" s="1" t="s">
        <v>2721</v>
      </c>
    </row>
    <row r="525" spans="1:16">
      <c r="A525" s="1" t="s">
        <v>1849</v>
      </c>
      <c r="B525" s="1">
        <v>12</v>
      </c>
      <c r="C525" s="1">
        <v>354995</v>
      </c>
      <c r="D525" s="1" t="s">
        <v>1987</v>
      </c>
      <c r="E525" s="2">
        <v>45992</v>
      </c>
      <c r="F525" s="1" t="s">
        <v>23</v>
      </c>
      <c r="G525" s="1" t="s">
        <v>1988</v>
      </c>
      <c r="H525" s="1" t="s">
        <v>1989</v>
      </c>
      <c r="I525" s="1">
        <v>1</v>
      </c>
      <c r="J525" s="3">
        <v>21800</v>
      </c>
      <c r="K525" s="3">
        <v>15008</v>
      </c>
      <c r="L525" s="3">
        <v>3270</v>
      </c>
      <c r="M525" s="4">
        <v>0.15</v>
      </c>
      <c r="N525" s="3">
        <v>3522</v>
      </c>
      <c r="O525" s="4">
        <v>0.16200000000000001</v>
      </c>
      <c r="P525" s="1" t="s">
        <v>2721</v>
      </c>
    </row>
    <row r="526" spans="1:16">
      <c r="A526" s="1" t="s">
        <v>692</v>
      </c>
      <c r="B526" s="1">
        <v>12</v>
      </c>
      <c r="C526" s="1" t="s">
        <v>1990</v>
      </c>
      <c r="D526" s="1" t="s">
        <v>1991</v>
      </c>
      <c r="E526" s="2">
        <v>45992</v>
      </c>
      <c r="F526" s="1" t="s">
        <v>33</v>
      </c>
      <c r="G526" s="1" t="s">
        <v>1992</v>
      </c>
      <c r="H526" s="1" t="s">
        <v>1993</v>
      </c>
      <c r="I526" s="1">
        <v>1</v>
      </c>
      <c r="J526" s="3">
        <v>100980</v>
      </c>
      <c r="K526" s="3">
        <v>84420</v>
      </c>
      <c r="L526" s="1">
        <v>0</v>
      </c>
      <c r="M526" s="4">
        <v>0</v>
      </c>
      <c r="N526" s="3">
        <v>16560</v>
      </c>
      <c r="O526" s="4">
        <v>0.16400000000000001</v>
      </c>
      <c r="P526" s="1" t="s">
        <v>2721</v>
      </c>
    </row>
    <row r="527" spans="1:16">
      <c r="A527" s="1" t="s">
        <v>692</v>
      </c>
      <c r="B527" s="1">
        <v>12</v>
      </c>
      <c r="C527" s="1" t="s">
        <v>1994</v>
      </c>
      <c r="D527" s="1" t="s">
        <v>1995</v>
      </c>
      <c r="E527" s="2">
        <v>45992</v>
      </c>
      <c r="F527" s="1" t="s">
        <v>33</v>
      </c>
      <c r="G527" s="1" t="s">
        <v>1996</v>
      </c>
      <c r="H527" s="1" t="s">
        <v>1997</v>
      </c>
      <c r="I527" s="1">
        <v>1</v>
      </c>
      <c r="J527" s="3">
        <v>70975</v>
      </c>
      <c r="K527" s="3">
        <v>64229</v>
      </c>
      <c r="L527" s="1">
        <v>0</v>
      </c>
      <c r="M527" s="4">
        <v>0</v>
      </c>
      <c r="N527" s="3">
        <v>6746</v>
      </c>
      <c r="O527" s="4">
        <v>9.5000000000000001E-2</v>
      </c>
      <c r="P527" s="1" t="s">
        <v>2721</v>
      </c>
    </row>
    <row r="528" spans="1:16">
      <c r="A528" s="1" t="s">
        <v>692</v>
      </c>
      <c r="B528" s="1">
        <v>12</v>
      </c>
      <c r="C528" s="1" t="s">
        <v>1998</v>
      </c>
      <c r="D528" s="1" t="s">
        <v>1999</v>
      </c>
      <c r="E528" s="2">
        <v>45992</v>
      </c>
      <c r="F528" s="1" t="s">
        <v>96</v>
      </c>
      <c r="G528" s="1" t="s">
        <v>2000</v>
      </c>
      <c r="H528" s="1" t="s">
        <v>2001</v>
      </c>
      <c r="I528" s="1">
        <v>1</v>
      </c>
      <c r="J528" s="3">
        <v>10540</v>
      </c>
      <c r="K528" s="3">
        <v>9406</v>
      </c>
      <c r="L528" s="1">
        <v>0</v>
      </c>
      <c r="M528" s="4">
        <v>0</v>
      </c>
      <c r="N528" s="3">
        <v>1134</v>
      </c>
      <c r="O528" s="4">
        <v>0.108</v>
      </c>
      <c r="P528" s="1" t="s">
        <v>2721</v>
      </c>
    </row>
    <row r="529" spans="1:16">
      <c r="A529" s="1" t="s">
        <v>692</v>
      </c>
      <c r="B529" s="1">
        <v>12</v>
      </c>
      <c r="C529" s="1" t="s">
        <v>2002</v>
      </c>
      <c r="D529" s="1" t="s">
        <v>2003</v>
      </c>
      <c r="E529" s="2">
        <v>45992</v>
      </c>
      <c r="F529" s="1" t="s">
        <v>33</v>
      </c>
      <c r="G529" s="1" t="s">
        <v>2004</v>
      </c>
      <c r="H529" s="1" t="s">
        <v>2005</v>
      </c>
      <c r="I529" s="1">
        <v>1</v>
      </c>
      <c r="J529" s="3">
        <v>73610</v>
      </c>
      <c r="K529" s="3">
        <v>66616</v>
      </c>
      <c r="L529" s="1">
        <v>0</v>
      </c>
      <c r="M529" s="4">
        <v>0</v>
      </c>
      <c r="N529" s="3">
        <v>6994</v>
      </c>
      <c r="O529" s="4">
        <v>9.5000000000000001E-2</v>
      </c>
      <c r="P529" s="1" t="s">
        <v>2721</v>
      </c>
    </row>
    <row r="530" spans="1:16">
      <c r="A530" s="1" t="s">
        <v>692</v>
      </c>
      <c r="B530" s="1">
        <v>12</v>
      </c>
      <c r="C530" s="1" t="s">
        <v>2006</v>
      </c>
      <c r="D530" s="1" t="s">
        <v>2007</v>
      </c>
      <c r="E530" s="2">
        <v>45992</v>
      </c>
      <c r="F530" s="1" t="s">
        <v>2008</v>
      </c>
      <c r="G530" s="1" t="s">
        <v>2009</v>
      </c>
      <c r="H530" s="1" t="s">
        <v>2010</v>
      </c>
      <c r="I530" s="1">
        <v>1</v>
      </c>
      <c r="J530" s="3">
        <v>253300</v>
      </c>
      <c r="K530" s="3">
        <v>248570</v>
      </c>
      <c r="L530" s="1">
        <v>0</v>
      </c>
      <c r="M530" s="4">
        <v>0</v>
      </c>
      <c r="N530" s="3">
        <v>4730</v>
      </c>
      <c r="O530" s="4">
        <v>1.9E-2</v>
      </c>
      <c r="P530" s="1" t="s">
        <v>2721</v>
      </c>
    </row>
    <row r="531" spans="1:16">
      <c r="A531" s="1" t="s">
        <v>692</v>
      </c>
      <c r="B531" s="1">
        <v>12</v>
      </c>
      <c r="C531" s="1" t="s">
        <v>2011</v>
      </c>
      <c r="D531" s="1" t="s">
        <v>2012</v>
      </c>
      <c r="E531" s="2">
        <v>45992</v>
      </c>
      <c r="F531" s="1" t="s">
        <v>96</v>
      </c>
      <c r="G531" s="1" t="s">
        <v>2013</v>
      </c>
      <c r="H531" s="1" t="s">
        <v>2014</v>
      </c>
      <c r="I531" s="1">
        <v>1</v>
      </c>
      <c r="J531" s="3">
        <v>24140</v>
      </c>
      <c r="K531" s="3">
        <v>22351</v>
      </c>
      <c r="L531" s="1">
        <v>0</v>
      </c>
      <c r="M531" s="4">
        <v>0</v>
      </c>
      <c r="N531" s="3">
        <v>1789</v>
      </c>
      <c r="O531" s="4">
        <v>7.3999999999999996E-2</v>
      </c>
      <c r="P531" s="1" t="s">
        <v>2721</v>
      </c>
    </row>
    <row r="532" spans="1:16">
      <c r="A532" s="1" t="s">
        <v>692</v>
      </c>
      <c r="B532" s="1">
        <v>12</v>
      </c>
      <c r="C532" s="1" t="s">
        <v>2015</v>
      </c>
      <c r="D532" s="1" t="s">
        <v>2016</v>
      </c>
      <c r="E532" s="2">
        <v>45992</v>
      </c>
      <c r="F532" s="1" t="s">
        <v>2008</v>
      </c>
      <c r="G532" s="1" t="s">
        <v>2017</v>
      </c>
      <c r="H532" s="1" t="s">
        <v>2018</v>
      </c>
      <c r="I532" s="1">
        <v>1</v>
      </c>
      <c r="J532" s="3">
        <v>101915</v>
      </c>
      <c r="K532" s="3">
        <v>93800</v>
      </c>
      <c r="L532" s="1">
        <v>0</v>
      </c>
      <c r="M532" s="4">
        <v>0</v>
      </c>
      <c r="N532" s="3">
        <v>8115</v>
      </c>
      <c r="O532" s="4">
        <v>0.08</v>
      </c>
      <c r="P532" s="1" t="s">
        <v>2721</v>
      </c>
    </row>
    <row r="533" spans="1:16">
      <c r="A533" s="1" t="s">
        <v>692</v>
      </c>
      <c r="B533" s="1">
        <v>12</v>
      </c>
      <c r="C533" s="1" t="s">
        <v>2019</v>
      </c>
      <c r="D533" s="1" t="s">
        <v>2020</v>
      </c>
      <c r="E533" s="2">
        <v>45992</v>
      </c>
      <c r="F533" s="1" t="s">
        <v>96</v>
      </c>
      <c r="G533" s="1" t="s">
        <v>2021</v>
      </c>
      <c r="H533" s="1" t="s">
        <v>2022</v>
      </c>
      <c r="I533" s="1">
        <v>1</v>
      </c>
      <c r="J533" s="3">
        <v>9010</v>
      </c>
      <c r="K533" s="3">
        <v>7893</v>
      </c>
      <c r="L533" s="1">
        <v>0</v>
      </c>
      <c r="M533" s="4">
        <v>0</v>
      </c>
      <c r="N533" s="3">
        <v>1117</v>
      </c>
      <c r="O533" s="4">
        <v>0.124</v>
      </c>
      <c r="P533" s="1" t="s">
        <v>2721</v>
      </c>
    </row>
    <row r="534" spans="1:16">
      <c r="A534" s="1" t="s">
        <v>692</v>
      </c>
      <c r="B534" s="1">
        <v>12</v>
      </c>
      <c r="C534" s="1" t="s">
        <v>2023</v>
      </c>
      <c r="D534" s="1" t="s">
        <v>2024</v>
      </c>
      <c r="E534" s="2">
        <v>45992</v>
      </c>
      <c r="F534" s="1" t="s">
        <v>96</v>
      </c>
      <c r="G534" s="1" t="s">
        <v>2025</v>
      </c>
      <c r="H534" s="1" t="s">
        <v>2026</v>
      </c>
      <c r="I534" s="1">
        <v>1</v>
      </c>
      <c r="J534" s="3">
        <v>10880</v>
      </c>
      <c r="K534" s="3">
        <v>10269</v>
      </c>
      <c r="L534" s="1">
        <v>0</v>
      </c>
      <c r="M534" s="4">
        <v>0</v>
      </c>
      <c r="N534" s="3">
        <v>611</v>
      </c>
      <c r="O534" s="4">
        <v>5.6000000000000001E-2</v>
      </c>
      <c r="P534" s="1" t="s">
        <v>2721</v>
      </c>
    </row>
    <row r="535" spans="1:16">
      <c r="A535" s="1" t="s">
        <v>692</v>
      </c>
      <c r="B535" s="1">
        <v>12</v>
      </c>
      <c r="C535" s="1" t="s">
        <v>2027</v>
      </c>
      <c r="D535" s="1" t="s">
        <v>2028</v>
      </c>
      <c r="E535" s="2">
        <v>45992</v>
      </c>
      <c r="F535" s="1" t="s">
        <v>96</v>
      </c>
      <c r="G535" s="1" t="s">
        <v>2029</v>
      </c>
      <c r="H535" s="1" t="s">
        <v>1145</v>
      </c>
      <c r="I535" s="1">
        <v>1</v>
      </c>
      <c r="J535" s="3">
        <v>14790</v>
      </c>
      <c r="K535" s="3">
        <v>13721</v>
      </c>
      <c r="L535" s="1">
        <v>0</v>
      </c>
      <c r="M535" s="4">
        <v>0</v>
      </c>
      <c r="N535" s="3">
        <v>1069</v>
      </c>
      <c r="O535" s="4">
        <v>7.1999999999999995E-2</v>
      </c>
      <c r="P535" s="1" t="s">
        <v>2721</v>
      </c>
    </row>
    <row r="536" spans="1:16">
      <c r="A536" s="1" t="s">
        <v>692</v>
      </c>
      <c r="B536" s="1">
        <v>12</v>
      </c>
      <c r="C536" s="1" t="s">
        <v>2030</v>
      </c>
      <c r="D536" s="1" t="s">
        <v>694</v>
      </c>
      <c r="E536" s="2">
        <v>45992</v>
      </c>
      <c r="F536" s="1" t="s">
        <v>96</v>
      </c>
      <c r="G536" s="1" t="s">
        <v>695</v>
      </c>
      <c r="H536" s="1" t="s">
        <v>696</v>
      </c>
      <c r="I536" s="1">
        <v>1</v>
      </c>
      <c r="J536" s="3">
        <v>16065</v>
      </c>
      <c r="K536" s="3">
        <v>14584</v>
      </c>
      <c r="L536" s="1">
        <v>0</v>
      </c>
      <c r="M536" s="4">
        <v>0</v>
      </c>
      <c r="N536" s="3">
        <v>1481</v>
      </c>
      <c r="O536" s="4">
        <v>9.1999999999999998E-2</v>
      </c>
      <c r="P536" s="1" t="s">
        <v>2721</v>
      </c>
    </row>
    <row r="537" spans="1:16">
      <c r="A537" s="1" t="s">
        <v>692</v>
      </c>
      <c r="B537" s="1">
        <v>12</v>
      </c>
      <c r="C537" s="1" t="s">
        <v>2031</v>
      </c>
      <c r="D537" s="1" t="s">
        <v>2020</v>
      </c>
      <c r="E537" s="2">
        <v>45992</v>
      </c>
      <c r="F537" s="1" t="s">
        <v>96</v>
      </c>
      <c r="G537" s="1" t="s">
        <v>2021</v>
      </c>
      <c r="H537" s="1" t="s">
        <v>2022</v>
      </c>
      <c r="I537" s="1">
        <v>1</v>
      </c>
      <c r="J537" s="3">
        <v>9010</v>
      </c>
      <c r="K537" s="3">
        <v>7893</v>
      </c>
      <c r="L537" s="1">
        <v>0</v>
      </c>
      <c r="M537" s="4">
        <v>0</v>
      </c>
      <c r="N537" s="3">
        <v>1117</v>
      </c>
      <c r="O537" s="4">
        <v>0.124</v>
      </c>
      <c r="P537" s="1" t="s">
        <v>2721</v>
      </c>
    </row>
    <row r="538" spans="1:16">
      <c r="A538" s="1" t="s">
        <v>692</v>
      </c>
      <c r="B538" s="1">
        <v>12</v>
      </c>
      <c r="C538" s="1" t="s">
        <v>2032</v>
      </c>
      <c r="D538" s="1" t="s">
        <v>694</v>
      </c>
      <c r="E538" s="2">
        <v>45992</v>
      </c>
      <c r="F538" s="1" t="s">
        <v>96</v>
      </c>
      <c r="G538" s="1" t="s">
        <v>695</v>
      </c>
      <c r="H538" s="1" t="s">
        <v>696</v>
      </c>
      <c r="I538" s="1">
        <v>1</v>
      </c>
      <c r="J538" s="3">
        <v>16065</v>
      </c>
      <c r="K538" s="3">
        <v>14584</v>
      </c>
      <c r="L538" s="1">
        <v>0</v>
      </c>
      <c r="M538" s="4">
        <v>0</v>
      </c>
      <c r="N538" s="3">
        <v>1481</v>
      </c>
      <c r="O538" s="4">
        <v>9.1999999999999998E-2</v>
      </c>
      <c r="P538" s="1" t="s">
        <v>2721</v>
      </c>
    </row>
    <row r="539" spans="1:16">
      <c r="A539" s="1" t="s">
        <v>2033</v>
      </c>
      <c r="B539" s="1">
        <v>12</v>
      </c>
      <c r="C539" s="1">
        <v>2.02511281118111E+18</v>
      </c>
      <c r="D539" s="1" t="s">
        <v>2034</v>
      </c>
      <c r="E539" s="2">
        <v>45992</v>
      </c>
      <c r="F539" s="1" t="s">
        <v>554</v>
      </c>
      <c r="G539" s="1" t="s">
        <v>2035</v>
      </c>
      <c r="H539" s="1" t="s">
        <v>2036</v>
      </c>
      <c r="I539" s="1">
        <v>1</v>
      </c>
      <c r="J539" s="3">
        <v>9605</v>
      </c>
      <c r="K539" s="3">
        <v>8630</v>
      </c>
      <c r="L539" s="1">
        <v>0</v>
      </c>
      <c r="M539" s="4">
        <v>0</v>
      </c>
      <c r="N539" s="3">
        <v>975</v>
      </c>
      <c r="O539" s="4">
        <v>0.10199999999999999</v>
      </c>
      <c r="P539" s="1" t="s">
        <v>2721</v>
      </c>
    </row>
    <row r="540" spans="1:16">
      <c r="A540" s="1" t="s">
        <v>702</v>
      </c>
      <c r="B540" s="1">
        <v>12</v>
      </c>
      <c r="C540" s="1" t="s">
        <v>2037</v>
      </c>
      <c r="D540" s="1" t="s">
        <v>2038</v>
      </c>
      <c r="E540" s="2">
        <v>45992</v>
      </c>
      <c r="F540" s="1" t="s">
        <v>96</v>
      </c>
      <c r="G540" s="1" t="s">
        <v>2039</v>
      </c>
      <c r="H540" s="1" t="s">
        <v>88</v>
      </c>
      <c r="I540" s="1">
        <v>1</v>
      </c>
      <c r="J540" s="3">
        <v>21200</v>
      </c>
      <c r="K540" s="3">
        <v>16741</v>
      </c>
      <c r="L540" s="1">
        <v>0</v>
      </c>
      <c r="M540" s="4">
        <v>0</v>
      </c>
      <c r="N540" s="3">
        <v>4459</v>
      </c>
      <c r="O540" s="4">
        <v>0.21</v>
      </c>
      <c r="P540" s="1" t="s">
        <v>2721</v>
      </c>
    </row>
    <row r="541" spans="1:16">
      <c r="A541" s="1" t="s">
        <v>702</v>
      </c>
      <c r="B541" s="1">
        <v>12</v>
      </c>
      <c r="C541" s="1" t="s">
        <v>2040</v>
      </c>
      <c r="D541" s="1" t="s">
        <v>2041</v>
      </c>
      <c r="E541" s="2">
        <v>45992</v>
      </c>
      <c r="F541" s="1" t="s">
        <v>96</v>
      </c>
      <c r="G541" s="1" t="s">
        <v>2042</v>
      </c>
      <c r="H541" s="1" t="s">
        <v>2043</v>
      </c>
      <c r="I541" s="1">
        <v>1</v>
      </c>
      <c r="J541" s="3">
        <v>9800</v>
      </c>
      <c r="K541" s="3">
        <v>8112</v>
      </c>
      <c r="L541" s="1">
        <v>0</v>
      </c>
      <c r="M541" s="4">
        <v>0</v>
      </c>
      <c r="N541" s="3">
        <v>1688</v>
      </c>
      <c r="O541" s="4">
        <v>0.17199999999999999</v>
      </c>
      <c r="P541" s="1" t="s">
        <v>2721</v>
      </c>
    </row>
    <row r="542" spans="1:16">
      <c r="A542" s="1" t="s">
        <v>702</v>
      </c>
      <c r="B542" s="1">
        <v>12</v>
      </c>
      <c r="C542" s="1" t="s">
        <v>2044</v>
      </c>
      <c r="D542" s="1" t="s">
        <v>2045</v>
      </c>
      <c r="E542" s="2">
        <v>45992</v>
      </c>
      <c r="F542" s="1" t="s">
        <v>256</v>
      </c>
      <c r="G542" s="1" t="s">
        <v>2046</v>
      </c>
      <c r="H542" s="1" t="s">
        <v>2047</v>
      </c>
      <c r="I542" s="1">
        <v>1</v>
      </c>
      <c r="J542" s="3">
        <v>17500</v>
      </c>
      <c r="K542" s="3">
        <v>13413</v>
      </c>
      <c r="L542" s="1">
        <v>0</v>
      </c>
      <c r="M542" s="4">
        <v>0</v>
      </c>
      <c r="N542" s="3">
        <v>4087</v>
      </c>
      <c r="O542" s="4">
        <v>0.23400000000000001</v>
      </c>
      <c r="P542" s="1" t="s">
        <v>2721</v>
      </c>
    </row>
    <row r="543" spans="1:16">
      <c r="A543" s="1" t="s">
        <v>702</v>
      </c>
      <c r="B543" s="1">
        <v>12</v>
      </c>
      <c r="C543" s="1" t="s">
        <v>2044</v>
      </c>
      <c r="D543" s="1" t="s">
        <v>2048</v>
      </c>
      <c r="E543" s="2">
        <v>45992</v>
      </c>
      <c r="F543" s="1" t="s">
        <v>96</v>
      </c>
      <c r="G543" s="1" t="s">
        <v>2049</v>
      </c>
      <c r="H543" s="1" t="s">
        <v>1321</v>
      </c>
      <c r="I543" s="1">
        <v>1</v>
      </c>
      <c r="J543" s="3">
        <v>10600</v>
      </c>
      <c r="K543" s="3">
        <v>8112</v>
      </c>
      <c r="L543" s="1">
        <v>0</v>
      </c>
      <c r="M543" s="4">
        <v>0</v>
      </c>
      <c r="N543" s="3">
        <v>2488</v>
      </c>
      <c r="O543" s="4">
        <v>0.23499999999999999</v>
      </c>
      <c r="P543" s="1" t="s">
        <v>2721</v>
      </c>
    </row>
    <row r="544" spans="1:16">
      <c r="A544" s="1" t="s">
        <v>702</v>
      </c>
      <c r="B544" s="1">
        <v>12</v>
      </c>
      <c r="C544" s="1" t="s">
        <v>2044</v>
      </c>
      <c r="D544" s="1" t="s">
        <v>2050</v>
      </c>
      <c r="E544" s="2">
        <v>45992</v>
      </c>
      <c r="F544" s="1" t="s">
        <v>126</v>
      </c>
      <c r="G544" s="1" t="s">
        <v>2051</v>
      </c>
      <c r="H544" s="1" t="s">
        <v>2052</v>
      </c>
      <c r="I544" s="1">
        <v>1</v>
      </c>
      <c r="J544" s="3">
        <v>22600</v>
      </c>
      <c r="K544" s="3">
        <v>17353</v>
      </c>
      <c r="L544" s="1">
        <v>0</v>
      </c>
      <c r="M544" s="4">
        <v>0</v>
      </c>
      <c r="N544" s="3">
        <v>5247</v>
      </c>
      <c r="O544" s="4">
        <v>0.23200000000000001</v>
      </c>
      <c r="P544" s="1" t="s">
        <v>2721</v>
      </c>
    </row>
    <row r="545" spans="1:16">
      <c r="A545" s="1" t="s">
        <v>702</v>
      </c>
      <c r="B545" s="1">
        <v>12</v>
      </c>
      <c r="C545" s="1" t="s">
        <v>2053</v>
      </c>
      <c r="D545" s="1" t="s">
        <v>2054</v>
      </c>
      <c r="E545" s="2">
        <v>45992</v>
      </c>
      <c r="F545" s="1" t="s">
        <v>96</v>
      </c>
      <c r="G545" s="1" t="s">
        <v>2055</v>
      </c>
      <c r="H545" s="1" t="s">
        <v>2056</v>
      </c>
      <c r="I545" s="1">
        <v>1</v>
      </c>
      <c r="J545" s="3">
        <v>10600</v>
      </c>
      <c r="K545" s="3">
        <v>7096</v>
      </c>
      <c r="L545" s="1">
        <v>0</v>
      </c>
      <c r="M545" s="4">
        <v>0</v>
      </c>
      <c r="N545" s="3">
        <v>3504</v>
      </c>
      <c r="O545" s="4">
        <v>0.33100000000000002</v>
      </c>
      <c r="P545" s="1" t="s">
        <v>2721</v>
      </c>
    </row>
    <row r="546" spans="1:16">
      <c r="A546" s="1" t="s">
        <v>702</v>
      </c>
      <c r="B546" s="1">
        <v>12</v>
      </c>
      <c r="C546" s="1" t="s">
        <v>2053</v>
      </c>
      <c r="D546" s="1" t="s">
        <v>2057</v>
      </c>
      <c r="E546" s="2">
        <v>45992</v>
      </c>
      <c r="F546" s="1" t="s">
        <v>96</v>
      </c>
      <c r="G546" s="1" t="s">
        <v>2058</v>
      </c>
      <c r="H546" s="1" t="s">
        <v>106</v>
      </c>
      <c r="I546" s="1">
        <v>1</v>
      </c>
      <c r="J546" s="3">
        <v>26900</v>
      </c>
      <c r="K546" s="3">
        <v>17461</v>
      </c>
      <c r="L546" s="1">
        <v>0</v>
      </c>
      <c r="M546" s="4">
        <v>0</v>
      </c>
      <c r="N546" s="3">
        <v>9439</v>
      </c>
      <c r="O546" s="4">
        <v>0.35099999999999998</v>
      </c>
      <c r="P546" s="1" t="s">
        <v>2721</v>
      </c>
    </row>
    <row r="547" spans="1:16">
      <c r="A547" s="1" t="s">
        <v>702</v>
      </c>
      <c r="B547" s="1">
        <v>12</v>
      </c>
      <c r="C547" s="1" t="s">
        <v>2059</v>
      </c>
      <c r="D547" s="1" t="s">
        <v>1907</v>
      </c>
      <c r="E547" s="2">
        <v>45992</v>
      </c>
      <c r="F547" s="1" t="s">
        <v>235</v>
      </c>
      <c r="G547" s="1" t="s">
        <v>1908</v>
      </c>
      <c r="H547" s="1" t="s">
        <v>2060</v>
      </c>
      <c r="I547" s="1">
        <v>2</v>
      </c>
      <c r="J547" s="3">
        <v>74800</v>
      </c>
      <c r="K547" s="3">
        <v>49548</v>
      </c>
      <c r="L547" s="3">
        <v>0</v>
      </c>
      <c r="M547" s="4">
        <v>0</v>
      </c>
      <c r="N547" s="3">
        <v>25252</v>
      </c>
      <c r="O547" s="4">
        <v>0.33800000000000002</v>
      </c>
      <c r="P547" s="1" t="s">
        <v>2721</v>
      </c>
    </row>
    <row r="548" spans="1:16">
      <c r="A548" s="1" t="s">
        <v>707</v>
      </c>
      <c r="B548" s="1">
        <v>12</v>
      </c>
      <c r="C548" s="1">
        <v>2.0251128100522701E+17</v>
      </c>
      <c r="D548" s="1" t="s">
        <v>2061</v>
      </c>
      <c r="E548" s="2">
        <v>45992</v>
      </c>
      <c r="F548" s="1" t="s">
        <v>155</v>
      </c>
      <c r="G548" s="1" t="s">
        <v>2062</v>
      </c>
      <c r="H548" s="1" t="s">
        <v>2063</v>
      </c>
      <c r="I548" s="1">
        <v>2</v>
      </c>
      <c r="J548" s="3">
        <v>73600</v>
      </c>
      <c r="K548" s="3">
        <v>51590</v>
      </c>
      <c r="L548" s="3">
        <v>11040</v>
      </c>
      <c r="M548" s="4">
        <v>0.15</v>
      </c>
      <c r="N548" s="3">
        <v>10970</v>
      </c>
      <c r="O548" s="4">
        <v>0.14899999999999999</v>
      </c>
      <c r="P548" s="1" t="s">
        <v>2721</v>
      </c>
    </row>
    <row r="549" spans="1:16">
      <c r="A549" s="1" t="s">
        <v>707</v>
      </c>
      <c r="B549" s="1">
        <v>12</v>
      </c>
      <c r="C549" s="1">
        <v>2.0251129145012301E+17</v>
      </c>
      <c r="D549" s="1" t="s">
        <v>2064</v>
      </c>
      <c r="E549" s="2">
        <v>45992</v>
      </c>
      <c r="F549" s="1" t="s">
        <v>235</v>
      </c>
      <c r="G549" s="1" t="s">
        <v>2065</v>
      </c>
      <c r="H549" s="1" t="s">
        <v>2066</v>
      </c>
      <c r="I549" s="1">
        <v>1</v>
      </c>
      <c r="J549" s="3">
        <v>14600</v>
      </c>
      <c r="K549" s="3">
        <v>10010</v>
      </c>
      <c r="L549" s="3">
        <v>2190</v>
      </c>
      <c r="M549" s="4">
        <v>0.15</v>
      </c>
      <c r="N549" s="3">
        <v>2400</v>
      </c>
      <c r="O549" s="4">
        <v>0.16400000000000001</v>
      </c>
      <c r="P549" s="1" t="s">
        <v>2721</v>
      </c>
    </row>
    <row r="550" spans="1:16">
      <c r="A550" s="1" t="s">
        <v>707</v>
      </c>
      <c r="B550" s="1">
        <v>12</v>
      </c>
      <c r="C550" s="1">
        <v>2.0251129221239501E+17</v>
      </c>
      <c r="D550" s="1" t="s">
        <v>2067</v>
      </c>
      <c r="E550" s="2">
        <v>45992</v>
      </c>
      <c r="F550" s="1" t="s">
        <v>1075</v>
      </c>
      <c r="G550" s="1" t="s">
        <v>2068</v>
      </c>
      <c r="H550" s="1" t="s">
        <v>2069</v>
      </c>
      <c r="I550" s="1">
        <v>1</v>
      </c>
      <c r="J550" s="3">
        <v>14800</v>
      </c>
      <c r="K550" s="3">
        <v>11725</v>
      </c>
      <c r="L550" s="3">
        <v>2220</v>
      </c>
      <c r="M550" s="4">
        <v>0.15</v>
      </c>
      <c r="N550" s="1">
        <v>855</v>
      </c>
      <c r="O550" s="4">
        <v>5.8000000000000003E-2</v>
      </c>
      <c r="P550" s="1" t="s">
        <v>2721</v>
      </c>
    </row>
    <row r="551" spans="1:16">
      <c r="A551" s="1" t="s">
        <v>707</v>
      </c>
      <c r="B551" s="1">
        <v>12</v>
      </c>
      <c r="C551" s="1">
        <v>2.0251130043855002E+17</v>
      </c>
      <c r="D551" s="1" t="s">
        <v>1862</v>
      </c>
      <c r="E551" s="2">
        <v>45992</v>
      </c>
      <c r="F551" s="1" t="s">
        <v>235</v>
      </c>
      <c r="G551" s="1" t="s">
        <v>1863</v>
      </c>
      <c r="H551" s="1" t="s">
        <v>2070</v>
      </c>
      <c r="I551" s="1">
        <v>1</v>
      </c>
      <c r="J551" s="3">
        <v>9800</v>
      </c>
      <c r="K551" s="3">
        <v>7739</v>
      </c>
      <c r="L551" s="3">
        <v>1470</v>
      </c>
      <c r="M551" s="4">
        <v>0.15</v>
      </c>
      <c r="N551" s="1">
        <v>591</v>
      </c>
      <c r="O551" s="4">
        <v>0.06</v>
      </c>
      <c r="P551" s="1" t="s">
        <v>2721</v>
      </c>
    </row>
    <row r="552" spans="1:16">
      <c r="A552" s="1" t="s">
        <v>707</v>
      </c>
      <c r="B552" s="1">
        <v>12</v>
      </c>
      <c r="C552" s="1">
        <v>2.0251130141808198E+17</v>
      </c>
      <c r="D552" s="1" t="s">
        <v>2071</v>
      </c>
      <c r="E552" s="2">
        <v>45992</v>
      </c>
      <c r="F552" s="1" t="s">
        <v>235</v>
      </c>
      <c r="G552" s="1" t="s">
        <v>2072</v>
      </c>
      <c r="H552" s="1" t="s">
        <v>2073</v>
      </c>
      <c r="I552" s="1">
        <v>1</v>
      </c>
      <c r="J552" s="3">
        <v>9800</v>
      </c>
      <c r="K552" s="3">
        <v>7739</v>
      </c>
      <c r="L552" s="3">
        <v>1470</v>
      </c>
      <c r="M552" s="4">
        <v>0.15</v>
      </c>
      <c r="N552" s="3">
        <v>591</v>
      </c>
      <c r="O552" s="4">
        <v>0.06</v>
      </c>
      <c r="P552" s="1" t="s">
        <v>2721</v>
      </c>
    </row>
    <row r="553" spans="1:16">
      <c r="A553" s="1" t="s">
        <v>707</v>
      </c>
      <c r="B553" s="1">
        <v>12</v>
      </c>
      <c r="C553" s="1">
        <v>2.0251130193549101E+17</v>
      </c>
      <c r="D553" s="1" t="s">
        <v>1983</v>
      </c>
      <c r="E553" s="2">
        <v>45992</v>
      </c>
      <c r="F553" s="1" t="s">
        <v>239</v>
      </c>
      <c r="G553" s="1" t="s">
        <v>1984</v>
      </c>
      <c r="H553" s="1" t="s">
        <v>2074</v>
      </c>
      <c r="I553" s="1">
        <v>1</v>
      </c>
      <c r="J553" s="3">
        <v>18000</v>
      </c>
      <c r="K553" s="3">
        <v>10787</v>
      </c>
      <c r="L553" s="3">
        <v>2700</v>
      </c>
      <c r="M553" s="4">
        <v>0.15</v>
      </c>
      <c r="N553" s="3">
        <v>4513</v>
      </c>
      <c r="O553" s="4">
        <v>0.251</v>
      </c>
      <c r="P553" s="1" t="s">
        <v>2721</v>
      </c>
    </row>
    <row r="554" spans="1:16">
      <c r="A554" s="1" t="s">
        <v>707</v>
      </c>
      <c r="B554" s="1">
        <v>12</v>
      </c>
      <c r="C554" s="1">
        <v>2.0251130195532099E+17</v>
      </c>
      <c r="D554" s="1" t="s">
        <v>1941</v>
      </c>
      <c r="E554" s="2">
        <v>45992</v>
      </c>
      <c r="F554" s="1" t="s">
        <v>235</v>
      </c>
      <c r="G554" s="1" t="s">
        <v>1942</v>
      </c>
      <c r="H554" s="1" t="s">
        <v>2075</v>
      </c>
      <c r="I554" s="1">
        <v>2</v>
      </c>
      <c r="J554" s="3">
        <v>57400</v>
      </c>
      <c r="K554" s="3">
        <v>42680</v>
      </c>
      <c r="L554" s="3">
        <v>8610</v>
      </c>
      <c r="M554" s="4">
        <v>0.15</v>
      </c>
      <c r="N554" s="3">
        <v>6110</v>
      </c>
      <c r="O554" s="4">
        <v>0.106</v>
      </c>
      <c r="P554" s="1" t="s">
        <v>2721</v>
      </c>
    </row>
    <row r="555" spans="1:16">
      <c r="A555" s="1" t="s">
        <v>707</v>
      </c>
      <c r="B555" s="1">
        <v>12</v>
      </c>
      <c r="C555" s="1">
        <v>2.02511302055464E+17</v>
      </c>
      <c r="D555" s="1" t="s">
        <v>2071</v>
      </c>
      <c r="E555" s="2">
        <v>45992</v>
      </c>
      <c r="F555" s="1" t="s">
        <v>235</v>
      </c>
      <c r="G555" s="1" t="s">
        <v>2072</v>
      </c>
      <c r="H555" s="1" t="s">
        <v>2073</v>
      </c>
      <c r="I555" s="1">
        <v>1</v>
      </c>
      <c r="J555" s="3">
        <v>9800</v>
      </c>
      <c r="K555" s="3">
        <v>7739</v>
      </c>
      <c r="L555" s="3">
        <v>1470</v>
      </c>
      <c r="M555" s="4">
        <v>0.15</v>
      </c>
      <c r="N555" s="3">
        <v>591</v>
      </c>
      <c r="O555" s="4">
        <v>0.06</v>
      </c>
      <c r="P555" s="1" t="s">
        <v>2721</v>
      </c>
    </row>
    <row r="556" spans="1:16">
      <c r="A556" s="1" t="s">
        <v>707</v>
      </c>
      <c r="B556" s="1">
        <v>12</v>
      </c>
      <c r="C556" s="1">
        <v>2.0251201080858701E+17</v>
      </c>
      <c r="D556" s="1" t="s">
        <v>2076</v>
      </c>
      <c r="E556" s="2">
        <v>45992</v>
      </c>
      <c r="F556" s="1" t="s">
        <v>347</v>
      </c>
      <c r="G556" s="1" t="s">
        <v>2077</v>
      </c>
      <c r="H556" s="1" t="s">
        <v>2078</v>
      </c>
      <c r="I556" s="1">
        <v>1</v>
      </c>
      <c r="J556" s="3">
        <v>24600</v>
      </c>
      <c r="K556" s="3">
        <v>18572</v>
      </c>
      <c r="L556" s="3">
        <v>3690</v>
      </c>
      <c r="M556" s="4">
        <v>0.15</v>
      </c>
      <c r="N556" s="3">
        <v>2338</v>
      </c>
      <c r="O556" s="4">
        <v>9.5000000000000001E-2</v>
      </c>
      <c r="P556" s="1" t="s">
        <v>2721</v>
      </c>
    </row>
    <row r="557" spans="1:16">
      <c r="A557" s="1" t="s">
        <v>707</v>
      </c>
      <c r="B557" s="1">
        <v>12</v>
      </c>
      <c r="C557" s="1">
        <v>2.0251201080938701E+17</v>
      </c>
      <c r="D557" s="1" t="s">
        <v>2079</v>
      </c>
      <c r="E557" s="2">
        <v>45992</v>
      </c>
      <c r="F557" s="1" t="s">
        <v>235</v>
      </c>
      <c r="G557" s="1" t="s">
        <v>2080</v>
      </c>
      <c r="H557" s="1" t="s">
        <v>2081</v>
      </c>
      <c r="I557" s="1">
        <v>1</v>
      </c>
      <c r="J557" s="3">
        <v>14600</v>
      </c>
      <c r="K557" s="3">
        <v>10010</v>
      </c>
      <c r="L557" s="3">
        <v>2190</v>
      </c>
      <c r="M557" s="4">
        <v>0.15</v>
      </c>
      <c r="N557" s="3">
        <v>2400</v>
      </c>
      <c r="O557" s="4">
        <v>0.16400000000000001</v>
      </c>
      <c r="P557" s="1" t="s">
        <v>2721</v>
      </c>
    </row>
    <row r="558" spans="1:16">
      <c r="A558" s="1" t="s">
        <v>707</v>
      </c>
      <c r="B558" s="1">
        <v>12</v>
      </c>
      <c r="C558" s="1">
        <v>2.0251201085759901E+17</v>
      </c>
      <c r="D558" s="1" t="s">
        <v>2071</v>
      </c>
      <c r="E558" s="2">
        <v>45992</v>
      </c>
      <c r="F558" s="1" t="s">
        <v>235</v>
      </c>
      <c r="G558" s="1" t="s">
        <v>2072</v>
      </c>
      <c r="H558" s="1" t="s">
        <v>2073</v>
      </c>
      <c r="I558" s="1">
        <v>1</v>
      </c>
      <c r="J558" s="3">
        <v>9800</v>
      </c>
      <c r="K558" s="3">
        <v>7739</v>
      </c>
      <c r="L558" s="3">
        <v>1470</v>
      </c>
      <c r="M558" s="4">
        <v>0.15</v>
      </c>
      <c r="N558" s="1">
        <v>591</v>
      </c>
      <c r="O558" s="4">
        <v>0.06</v>
      </c>
      <c r="P558" s="1" t="s">
        <v>2721</v>
      </c>
    </row>
    <row r="559" spans="1:16">
      <c r="A559" s="1" t="s">
        <v>707</v>
      </c>
      <c r="B559" s="1">
        <v>12</v>
      </c>
      <c r="C559" s="1">
        <v>2.0251201085855901E+17</v>
      </c>
      <c r="D559" s="1" t="s">
        <v>2071</v>
      </c>
      <c r="E559" s="2">
        <v>45992</v>
      </c>
      <c r="F559" s="1" t="s">
        <v>235</v>
      </c>
      <c r="G559" s="1" t="s">
        <v>2072</v>
      </c>
      <c r="H559" s="1" t="s">
        <v>2073</v>
      </c>
      <c r="I559" s="1">
        <v>1</v>
      </c>
      <c r="J559" s="3">
        <v>9800</v>
      </c>
      <c r="K559" s="3">
        <v>7739</v>
      </c>
      <c r="L559" s="3">
        <v>1470</v>
      </c>
      <c r="M559" s="4">
        <v>0.15</v>
      </c>
      <c r="N559" s="3">
        <v>591</v>
      </c>
      <c r="O559" s="4">
        <v>0.06</v>
      </c>
      <c r="P559" s="1" t="s">
        <v>2721</v>
      </c>
    </row>
    <row r="560" spans="1:16">
      <c r="A560" s="1" t="s">
        <v>2082</v>
      </c>
      <c r="B560" s="1">
        <v>12</v>
      </c>
      <c r="C560" s="1">
        <v>2.02511292030392E+17</v>
      </c>
      <c r="D560" s="1" t="s">
        <v>2083</v>
      </c>
      <c r="E560" s="2">
        <v>45992</v>
      </c>
      <c r="F560" s="1" t="s">
        <v>426</v>
      </c>
      <c r="G560" s="1" t="s">
        <v>2084</v>
      </c>
      <c r="H560" s="1" t="s">
        <v>2085</v>
      </c>
      <c r="I560" s="1">
        <v>1</v>
      </c>
      <c r="J560" s="3">
        <v>32000</v>
      </c>
      <c r="K560" s="3">
        <v>23450</v>
      </c>
      <c r="L560" s="3">
        <v>4800</v>
      </c>
      <c r="M560" s="4">
        <v>0.15</v>
      </c>
      <c r="N560" s="3">
        <v>3750</v>
      </c>
      <c r="O560" s="4">
        <v>0.11700000000000001</v>
      </c>
      <c r="P560" s="1" t="s">
        <v>2721</v>
      </c>
    </row>
    <row r="561" spans="1:16">
      <c r="A561" s="1" t="s">
        <v>711</v>
      </c>
      <c r="B561" s="1">
        <v>12</v>
      </c>
      <c r="C561" s="1">
        <v>2.0251129104208499E+17</v>
      </c>
      <c r="D561" s="1" t="s">
        <v>2086</v>
      </c>
      <c r="E561" s="2">
        <v>45992</v>
      </c>
      <c r="F561" s="1" t="s">
        <v>58</v>
      </c>
      <c r="G561" s="1" t="s">
        <v>2087</v>
      </c>
      <c r="H561" s="1" t="s">
        <v>2088</v>
      </c>
      <c r="I561" s="1">
        <v>1</v>
      </c>
      <c r="J561" s="3">
        <v>28000</v>
      </c>
      <c r="K561" s="3">
        <v>20167</v>
      </c>
      <c r="L561" s="3">
        <v>4200</v>
      </c>
      <c r="M561" s="4">
        <v>0.15</v>
      </c>
      <c r="N561" s="3">
        <v>3633</v>
      </c>
      <c r="O561" s="4">
        <v>0.13</v>
      </c>
      <c r="P561" s="1" t="s">
        <v>2721</v>
      </c>
    </row>
    <row r="562" spans="1:16">
      <c r="A562" s="1" t="s">
        <v>718</v>
      </c>
      <c r="B562" s="1">
        <v>12</v>
      </c>
      <c r="C562" s="1">
        <v>2.0251201022352602E+17</v>
      </c>
      <c r="D562" s="1" t="s">
        <v>2089</v>
      </c>
      <c r="E562" s="2">
        <v>45992</v>
      </c>
      <c r="F562" s="1" t="s">
        <v>1935</v>
      </c>
      <c r="G562" s="1" t="s">
        <v>2090</v>
      </c>
      <c r="H562" s="1" t="s">
        <v>2091</v>
      </c>
      <c r="I562" s="1">
        <v>1</v>
      </c>
      <c r="J562" s="3">
        <v>19900</v>
      </c>
      <c r="K562" s="3">
        <v>16884</v>
      </c>
      <c r="L562" s="3">
        <v>1990</v>
      </c>
      <c r="M562" s="4">
        <v>0.1</v>
      </c>
      <c r="N562" s="3">
        <v>1026</v>
      </c>
      <c r="O562" s="4">
        <v>5.1999999999999998E-2</v>
      </c>
      <c r="P562" s="1" t="s">
        <v>2721</v>
      </c>
    </row>
    <row r="563" spans="1:16">
      <c r="A563" s="1" t="s">
        <v>718</v>
      </c>
      <c r="B563" s="1">
        <v>12</v>
      </c>
      <c r="C563" s="1">
        <v>2.0251130230802301E+17</v>
      </c>
      <c r="D563" s="1" t="s">
        <v>2071</v>
      </c>
      <c r="E563" s="2">
        <v>45992</v>
      </c>
      <c r="F563" s="1" t="s">
        <v>235</v>
      </c>
      <c r="G563" s="1" t="s">
        <v>2072</v>
      </c>
      <c r="H563" s="1" t="s">
        <v>2092</v>
      </c>
      <c r="I563" s="1">
        <v>1</v>
      </c>
      <c r="J563" s="3">
        <v>11000</v>
      </c>
      <c r="K563" s="3">
        <v>7739</v>
      </c>
      <c r="L563" s="3">
        <v>1100</v>
      </c>
      <c r="M563" s="4">
        <v>0.1</v>
      </c>
      <c r="N563" s="3">
        <v>2161</v>
      </c>
      <c r="O563" s="4">
        <v>0.19600000000000001</v>
      </c>
      <c r="P563" s="1" t="s">
        <v>2721</v>
      </c>
    </row>
    <row r="564" spans="1:16">
      <c r="A564" s="1" t="s">
        <v>718</v>
      </c>
      <c r="B564" s="1">
        <v>12</v>
      </c>
      <c r="C564" s="1">
        <v>2.02511302129564E+17</v>
      </c>
      <c r="D564" s="1" t="s">
        <v>2093</v>
      </c>
      <c r="E564" s="2">
        <v>45992</v>
      </c>
      <c r="F564" s="1" t="s">
        <v>1935</v>
      </c>
      <c r="G564" s="1" t="s">
        <v>2094</v>
      </c>
      <c r="H564" s="1" t="s">
        <v>2095</v>
      </c>
      <c r="I564" s="1">
        <v>1</v>
      </c>
      <c r="J564" s="3">
        <v>12900</v>
      </c>
      <c r="K564" s="3">
        <v>11247</v>
      </c>
      <c r="L564" s="3">
        <v>1290</v>
      </c>
      <c r="M564" s="4">
        <v>0.1</v>
      </c>
      <c r="N564" s="3">
        <v>363</v>
      </c>
      <c r="O564" s="4">
        <v>2.8000000000000001E-2</v>
      </c>
      <c r="P564" s="1" t="s">
        <v>2721</v>
      </c>
    </row>
    <row r="565" spans="1:16">
      <c r="A565" s="1" t="s">
        <v>718</v>
      </c>
      <c r="B565" s="1">
        <v>12</v>
      </c>
      <c r="C565" s="1">
        <v>2.0251130162247802E+17</v>
      </c>
      <c r="D565" s="1" t="s">
        <v>719</v>
      </c>
      <c r="E565" s="2">
        <v>45992</v>
      </c>
      <c r="F565" s="1" t="s">
        <v>239</v>
      </c>
      <c r="G565" s="1" t="s">
        <v>720</v>
      </c>
      <c r="H565" s="1" t="s">
        <v>721</v>
      </c>
      <c r="I565" s="1">
        <v>1</v>
      </c>
      <c r="J565" s="3">
        <v>13900</v>
      </c>
      <c r="K565" s="3">
        <v>10787</v>
      </c>
      <c r="L565" s="3">
        <v>1390</v>
      </c>
      <c r="M565" s="4">
        <v>0.1</v>
      </c>
      <c r="N565" s="3">
        <v>1723</v>
      </c>
      <c r="O565" s="4">
        <v>0.124</v>
      </c>
      <c r="P565" s="1" t="s">
        <v>2721</v>
      </c>
    </row>
    <row r="566" spans="1:16">
      <c r="A566" s="1" t="s">
        <v>718</v>
      </c>
      <c r="B566" s="1">
        <v>12</v>
      </c>
      <c r="C566" s="1">
        <v>2.0251130111418701E+17</v>
      </c>
      <c r="D566" s="1" t="s">
        <v>2096</v>
      </c>
      <c r="E566" s="2">
        <v>45992</v>
      </c>
      <c r="F566" s="1" t="s">
        <v>1935</v>
      </c>
      <c r="G566" s="1" t="s">
        <v>2097</v>
      </c>
      <c r="H566" s="1" t="s">
        <v>2098</v>
      </c>
      <c r="I566" s="1">
        <v>1</v>
      </c>
      <c r="J566" s="3">
        <v>10000</v>
      </c>
      <c r="K566" s="3">
        <v>7504</v>
      </c>
      <c r="L566" s="3">
        <v>1000</v>
      </c>
      <c r="M566" s="4">
        <v>0.1</v>
      </c>
      <c r="N566" s="3">
        <v>1496</v>
      </c>
      <c r="O566" s="4">
        <v>0.15</v>
      </c>
      <c r="P566" s="1" t="s">
        <v>2721</v>
      </c>
    </row>
    <row r="567" spans="1:16">
      <c r="A567" s="1" t="s">
        <v>718</v>
      </c>
      <c r="B567" s="1">
        <v>12</v>
      </c>
      <c r="C567" s="1">
        <v>2.0251130110507299E+17</v>
      </c>
      <c r="D567" s="1" t="s">
        <v>2089</v>
      </c>
      <c r="E567" s="2">
        <v>45992</v>
      </c>
      <c r="F567" s="1" t="s">
        <v>1935</v>
      </c>
      <c r="G567" s="1" t="s">
        <v>2090</v>
      </c>
      <c r="H567" s="1" t="s">
        <v>2091</v>
      </c>
      <c r="I567" s="1">
        <v>1</v>
      </c>
      <c r="J567" s="3">
        <v>19900</v>
      </c>
      <c r="K567" s="3">
        <v>16884</v>
      </c>
      <c r="L567" s="3">
        <v>1990</v>
      </c>
      <c r="M567" s="4">
        <v>0.1</v>
      </c>
      <c r="N567" s="3">
        <v>1026</v>
      </c>
      <c r="O567" s="4">
        <v>5.1999999999999998E-2</v>
      </c>
      <c r="P567" s="1" t="s">
        <v>2721</v>
      </c>
    </row>
    <row r="568" spans="1:16">
      <c r="A568" s="1" t="s">
        <v>718</v>
      </c>
      <c r="B568" s="1">
        <v>12</v>
      </c>
      <c r="C568" s="1">
        <v>2.02511292158096E+17</v>
      </c>
      <c r="D568" s="1" t="s">
        <v>2093</v>
      </c>
      <c r="E568" s="2">
        <v>45992</v>
      </c>
      <c r="F568" s="1" t="s">
        <v>1935</v>
      </c>
      <c r="G568" s="1" t="s">
        <v>2094</v>
      </c>
      <c r="H568" s="1" t="s">
        <v>2095</v>
      </c>
      <c r="I568" s="1">
        <v>1</v>
      </c>
      <c r="J568" s="3">
        <v>12900</v>
      </c>
      <c r="K568" s="3">
        <v>11247</v>
      </c>
      <c r="L568" s="3">
        <v>1290</v>
      </c>
      <c r="M568" s="4">
        <v>0.1</v>
      </c>
      <c r="N568" s="3">
        <v>363</v>
      </c>
      <c r="O568" s="4">
        <v>2.8000000000000001E-2</v>
      </c>
      <c r="P568" s="1" t="s">
        <v>2721</v>
      </c>
    </row>
    <row r="569" spans="1:16">
      <c r="A569" s="1" t="s">
        <v>718</v>
      </c>
      <c r="B569" s="1">
        <v>12</v>
      </c>
      <c r="C569" s="1">
        <v>2.02511291218096E+17</v>
      </c>
      <c r="D569" s="1" t="s">
        <v>2099</v>
      </c>
      <c r="E569" s="2">
        <v>45992</v>
      </c>
      <c r="F569" s="1" t="s">
        <v>1935</v>
      </c>
      <c r="G569" s="1" t="s">
        <v>2100</v>
      </c>
      <c r="H569" s="1" t="s">
        <v>2101</v>
      </c>
      <c r="I569" s="1">
        <v>1</v>
      </c>
      <c r="J569" s="3">
        <v>26000</v>
      </c>
      <c r="K569" s="3">
        <v>18291</v>
      </c>
      <c r="L569" s="3">
        <v>2600</v>
      </c>
      <c r="M569" s="4">
        <v>0.1</v>
      </c>
      <c r="N569" s="3">
        <v>5109</v>
      </c>
      <c r="O569" s="4">
        <v>0.19700000000000001</v>
      </c>
      <c r="P569" s="1" t="s">
        <v>2721</v>
      </c>
    </row>
    <row r="570" spans="1:16">
      <c r="A570" s="1" t="s">
        <v>718</v>
      </c>
      <c r="B570" s="1">
        <v>12</v>
      </c>
      <c r="C570" s="1">
        <v>2.02511290828352E+17</v>
      </c>
      <c r="D570" s="1" t="s">
        <v>2093</v>
      </c>
      <c r="E570" s="2">
        <v>45992</v>
      </c>
      <c r="F570" s="1" t="s">
        <v>1935</v>
      </c>
      <c r="G570" s="1" t="s">
        <v>2094</v>
      </c>
      <c r="H570" s="1" t="s">
        <v>2095</v>
      </c>
      <c r="I570" s="1">
        <v>1</v>
      </c>
      <c r="J570" s="3">
        <v>12900</v>
      </c>
      <c r="K570" s="3">
        <v>11247</v>
      </c>
      <c r="L570" s="3">
        <v>1290</v>
      </c>
      <c r="M570" s="4">
        <v>0.1</v>
      </c>
      <c r="N570" s="3">
        <v>363</v>
      </c>
      <c r="O570" s="4">
        <v>2.8000000000000001E-2</v>
      </c>
      <c r="P570" s="1" t="s">
        <v>2721</v>
      </c>
    </row>
    <row r="571" spans="1:16">
      <c r="A571" s="1" t="s">
        <v>718</v>
      </c>
      <c r="B571" s="1">
        <v>12</v>
      </c>
      <c r="C571" s="1">
        <v>2.0251128231046499E+17</v>
      </c>
      <c r="D571" s="1" t="s">
        <v>2089</v>
      </c>
      <c r="E571" s="2">
        <v>45992</v>
      </c>
      <c r="F571" s="1" t="s">
        <v>1935</v>
      </c>
      <c r="G571" s="1" t="s">
        <v>2090</v>
      </c>
      <c r="H571" s="1" t="s">
        <v>2091</v>
      </c>
      <c r="I571" s="1">
        <v>1</v>
      </c>
      <c r="J571" s="3">
        <v>19900</v>
      </c>
      <c r="K571" s="3">
        <v>16884</v>
      </c>
      <c r="L571" s="3">
        <v>1990</v>
      </c>
      <c r="M571" s="4">
        <v>0.1</v>
      </c>
      <c r="N571" s="3">
        <v>1026</v>
      </c>
      <c r="O571" s="4">
        <v>5.1999999999999998E-2</v>
      </c>
      <c r="P571" s="1" t="s">
        <v>2721</v>
      </c>
    </row>
    <row r="572" spans="1:16">
      <c r="A572" s="1" t="s">
        <v>718</v>
      </c>
      <c r="B572" s="1">
        <v>12</v>
      </c>
      <c r="C572" s="1">
        <v>2.025112820001E+17</v>
      </c>
      <c r="D572" s="1" t="s">
        <v>2089</v>
      </c>
      <c r="E572" s="2">
        <v>45992</v>
      </c>
      <c r="F572" s="1" t="s">
        <v>1935</v>
      </c>
      <c r="G572" s="1" t="s">
        <v>2090</v>
      </c>
      <c r="H572" s="1" t="s">
        <v>2091</v>
      </c>
      <c r="I572" s="1">
        <v>1</v>
      </c>
      <c r="J572" s="3">
        <v>19900</v>
      </c>
      <c r="K572" s="3">
        <v>16884</v>
      </c>
      <c r="L572" s="3">
        <v>1990</v>
      </c>
      <c r="M572" s="4">
        <v>0.1</v>
      </c>
      <c r="N572" s="3">
        <v>1026</v>
      </c>
      <c r="O572" s="4">
        <v>5.1999999999999998E-2</v>
      </c>
      <c r="P572" s="1" t="s">
        <v>2721</v>
      </c>
    </row>
    <row r="573" spans="1:16">
      <c r="A573" s="1" t="s">
        <v>718</v>
      </c>
      <c r="B573" s="1">
        <v>12</v>
      </c>
      <c r="C573" s="1">
        <v>2.0251128111528998E+17</v>
      </c>
      <c r="D573" s="1" t="s">
        <v>2071</v>
      </c>
      <c r="E573" s="2">
        <v>45992</v>
      </c>
      <c r="F573" s="1" t="s">
        <v>235</v>
      </c>
      <c r="G573" s="1" t="s">
        <v>2072</v>
      </c>
      <c r="H573" s="1" t="s">
        <v>2092</v>
      </c>
      <c r="I573" s="1">
        <v>1</v>
      </c>
      <c r="J573" s="3">
        <v>11000</v>
      </c>
      <c r="K573" s="3">
        <v>7739</v>
      </c>
      <c r="L573" s="3">
        <v>1100</v>
      </c>
      <c r="M573" s="4">
        <v>0.1</v>
      </c>
      <c r="N573" s="3">
        <v>2161</v>
      </c>
      <c r="O573" s="4">
        <v>0.19600000000000001</v>
      </c>
      <c r="P573" s="1" t="s">
        <v>2721</v>
      </c>
    </row>
    <row r="574" spans="1:16">
      <c r="A574" s="1" t="s">
        <v>722</v>
      </c>
      <c r="B574" s="1">
        <v>12</v>
      </c>
      <c r="C574" s="1" t="s">
        <v>2102</v>
      </c>
      <c r="D574" s="1" t="s">
        <v>2103</v>
      </c>
      <c r="E574" s="2">
        <v>45992</v>
      </c>
      <c r="F574" s="1" t="s">
        <v>100</v>
      </c>
      <c r="G574" s="1" t="s">
        <v>2104</v>
      </c>
      <c r="H574" s="1" t="s">
        <v>2105</v>
      </c>
      <c r="I574" s="1">
        <v>1</v>
      </c>
      <c r="J574" s="3">
        <v>29100</v>
      </c>
      <c r="K574" s="3">
        <v>25795</v>
      </c>
      <c r="L574" s="1">
        <v>0</v>
      </c>
      <c r="M574" s="4">
        <v>0</v>
      </c>
      <c r="N574" s="3">
        <v>3305</v>
      </c>
      <c r="O574" s="4">
        <v>0.114</v>
      </c>
      <c r="P574" s="1" t="s">
        <v>2721</v>
      </c>
    </row>
    <row r="575" spans="1:16">
      <c r="A575" s="1" t="s">
        <v>722</v>
      </c>
      <c r="B575" s="1">
        <v>12</v>
      </c>
      <c r="C575" s="1" t="s">
        <v>2106</v>
      </c>
      <c r="D575" s="1" t="s">
        <v>2107</v>
      </c>
      <c r="E575" s="2">
        <v>45992</v>
      </c>
      <c r="F575" s="1" t="s">
        <v>554</v>
      </c>
      <c r="G575" s="1" t="s">
        <v>2108</v>
      </c>
      <c r="H575" s="1" t="s">
        <v>2109</v>
      </c>
      <c r="I575" s="1">
        <v>1</v>
      </c>
      <c r="J575" s="3">
        <v>21200</v>
      </c>
      <c r="K575" s="3">
        <v>20214</v>
      </c>
      <c r="L575" s="1">
        <v>0</v>
      </c>
      <c r="M575" s="4">
        <v>0</v>
      </c>
      <c r="N575" s="3">
        <v>986</v>
      </c>
      <c r="O575" s="4">
        <v>4.7E-2</v>
      </c>
      <c r="P575" s="1" t="s">
        <v>2721</v>
      </c>
    </row>
    <row r="576" spans="1:16">
      <c r="A576" s="1" t="s">
        <v>722</v>
      </c>
      <c r="B576" s="1">
        <v>12</v>
      </c>
      <c r="C576" s="1" t="s">
        <v>2110</v>
      </c>
      <c r="D576" s="1" t="s">
        <v>2111</v>
      </c>
      <c r="E576" s="2">
        <v>45992</v>
      </c>
      <c r="F576" s="1" t="s">
        <v>689</v>
      </c>
      <c r="G576" s="1" t="s">
        <v>2112</v>
      </c>
      <c r="H576" s="1" t="s">
        <v>2113</v>
      </c>
      <c r="I576" s="1">
        <v>1</v>
      </c>
      <c r="J576" s="3">
        <v>33150</v>
      </c>
      <c r="K576" s="3">
        <v>30016</v>
      </c>
      <c r="L576" s="1">
        <v>0</v>
      </c>
      <c r="M576" s="4">
        <v>0</v>
      </c>
      <c r="N576" s="3">
        <v>3134</v>
      </c>
      <c r="O576" s="4">
        <v>9.5000000000000001E-2</v>
      </c>
      <c r="P576" s="1" t="s">
        <v>2721</v>
      </c>
    </row>
    <row r="577" spans="1:16">
      <c r="A577" s="1" t="s">
        <v>733</v>
      </c>
      <c r="B577" s="1">
        <v>12</v>
      </c>
      <c r="C577" s="1" t="s">
        <v>2114</v>
      </c>
      <c r="D577" s="1" t="s">
        <v>2115</v>
      </c>
      <c r="E577" s="2">
        <v>45992</v>
      </c>
      <c r="F577" s="1" t="s">
        <v>96</v>
      </c>
      <c r="G577" s="1" t="s">
        <v>2116</v>
      </c>
      <c r="I577" s="1">
        <v>1</v>
      </c>
      <c r="J577" s="3">
        <v>19900</v>
      </c>
      <c r="K577" s="3">
        <v>17087</v>
      </c>
      <c r="L577" s="3">
        <v>0</v>
      </c>
      <c r="M577" s="4">
        <v>0</v>
      </c>
      <c r="N577" s="3">
        <v>2813</v>
      </c>
      <c r="O577" s="4">
        <v>0.14099999999999999</v>
      </c>
      <c r="P577" s="1" t="s">
        <v>2721</v>
      </c>
    </row>
    <row r="578" spans="1:16">
      <c r="A578" s="1" t="s">
        <v>739</v>
      </c>
      <c r="B578" s="1">
        <v>12</v>
      </c>
      <c r="C578" s="1">
        <v>31531089</v>
      </c>
      <c r="D578" s="1" t="s">
        <v>2117</v>
      </c>
      <c r="E578" s="2">
        <v>45992</v>
      </c>
      <c r="F578" s="1" t="s">
        <v>126</v>
      </c>
      <c r="G578" s="1" t="s">
        <v>2118</v>
      </c>
      <c r="H578" s="1" t="s">
        <v>210</v>
      </c>
      <c r="I578" s="1">
        <v>1</v>
      </c>
      <c r="J578" s="3">
        <v>24000</v>
      </c>
      <c r="K578" s="3">
        <v>18385</v>
      </c>
      <c r="L578" s="3">
        <v>3168</v>
      </c>
      <c r="M578" s="4">
        <v>0.13200000000000001</v>
      </c>
      <c r="N578" s="3">
        <v>2447</v>
      </c>
      <c r="O578" s="4">
        <v>0.10199999999999999</v>
      </c>
      <c r="P578" s="1" t="s">
        <v>2721</v>
      </c>
    </row>
    <row r="579" spans="1:16">
      <c r="A579" s="1" t="s">
        <v>739</v>
      </c>
      <c r="B579" s="1">
        <v>12</v>
      </c>
      <c r="C579" s="1">
        <v>31534167</v>
      </c>
      <c r="D579" s="1" t="s">
        <v>2083</v>
      </c>
      <c r="E579" s="2">
        <v>45992</v>
      </c>
      <c r="F579" s="1" t="s">
        <v>426</v>
      </c>
      <c r="G579" s="1" t="s">
        <v>2084</v>
      </c>
      <c r="H579" s="1" t="s">
        <v>1568</v>
      </c>
      <c r="I579" s="1">
        <v>1</v>
      </c>
      <c r="J579" s="3">
        <v>32000</v>
      </c>
      <c r="K579" s="3">
        <v>23450</v>
      </c>
      <c r="L579" s="3">
        <v>4224</v>
      </c>
      <c r="M579" s="4">
        <v>0.13200000000000001</v>
      </c>
      <c r="N579" s="3">
        <v>4326</v>
      </c>
      <c r="O579" s="4">
        <v>0.13500000000000001</v>
      </c>
      <c r="P579" s="1" t="s">
        <v>2721</v>
      </c>
    </row>
    <row r="580" spans="1:16">
      <c r="A580" s="1" t="s">
        <v>739</v>
      </c>
      <c r="B580" s="1">
        <v>12</v>
      </c>
      <c r="C580" s="1">
        <v>31537344</v>
      </c>
      <c r="D580" s="1" t="s">
        <v>2119</v>
      </c>
      <c r="E580" s="2">
        <v>45992</v>
      </c>
      <c r="F580" s="1" t="s">
        <v>18</v>
      </c>
      <c r="G580" s="1" t="s">
        <v>2120</v>
      </c>
      <c r="H580" s="1" t="s">
        <v>1252</v>
      </c>
      <c r="I580" s="1">
        <v>1</v>
      </c>
      <c r="J580" s="3">
        <v>10500</v>
      </c>
      <c r="K580" s="3">
        <v>8011</v>
      </c>
      <c r="L580" s="3">
        <v>1386</v>
      </c>
      <c r="M580" s="4">
        <v>0.13200000000000001</v>
      </c>
      <c r="N580" s="3">
        <v>1103</v>
      </c>
      <c r="O580" s="4">
        <v>0.105</v>
      </c>
      <c r="P580" s="1" t="s">
        <v>2721</v>
      </c>
    </row>
    <row r="581" spans="1:16">
      <c r="A581" s="1" t="s">
        <v>739</v>
      </c>
      <c r="B581" s="1">
        <v>12</v>
      </c>
      <c r="C581" s="1">
        <v>31538619</v>
      </c>
      <c r="D581" s="1" t="s">
        <v>2121</v>
      </c>
      <c r="E581" s="2">
        <v>45992</v>
      </c>
      <c r="F581" s="1" t="s">
        <v>347</v>
      </c>
      <c r="G581" s="1" t="s">
        <v>2122</v>
      </c>
      <c r="H581" s="1" t="s">
        <v>2123</v>
      </c>
      <c r="I581" s="1">
        <v>1</v>
      </c>
      <c r="J581" s="3">
        <v>28600</v>
      </c>
      <c r="K581" s="3">
        <v>22062</v>
      </c>
      <c r="L581" s="3">
        <v>3775</v>
      </c>
      <c r="M581" s="4">
        <v>0.13200000000000001</v>
      </c>
      <c r="N581" s="3">
        <v>2763</v>
      </c>
      <c r="O581" s="4">
        <v>9.7000000000000003E-2</v>
      </c>
      <c r="P581" s="1" t="s">
        <v>2721</v>
      </c>
    </row>
    <row r="582" spans="1:16">
      <c r="A582" s="1" t="s">
        <v>739</v>
      </c>
      <c r="B582" s="1">
        <v>12</v>
      </c>
      <c r="C582" s="1">
        <v>31539293</v>
      </c>
      <c r="D582" s="1" t="s">
        <v>2124</v>
      </c>
      <c r="E582" s="2">
        <v>45992</v>
      </c>
      <c r="F582" s="1" t="s">
        <v>256</v>
      </c>
      <c r="G582" s="1" t="s">
        <v>2125</v>
      </c>
      <c r="H582" s="1" t="s">
        <v>560</v>
      </c>
      <c r="I582" s="1">
        <v>1</v>
      </c>
      <c r="J582" s="3">
        <v>11600</v>
      </c>
      <c r="K582" s="3">
        <v>8911</v>
      </c>
      <c r="L582" s="3">
        <v>1531</v>
      </c>
      <c r="M582" s="4">
        <v>0.13200000000000001</v>
      </c>
      <c r="N582" s="3">
        <v>1158</v>
      </c>
      <c r="O582" s="4">
        <v>0.1</v>
      </c>
      <c r="P582" s="1" t="s">
        <v>2721</v>
      </c>
    </row>
    <row r="583" spans="1:16">
      <c r="A583" s="1" t="s">
        <v>739</v>
      </c>
      <c r="B583" s="1">
        <v>12</v>
      </c>
      <c r="C583" s="1">
        <v>31540321</v>
      </c>
      <c r="D583" s="1" t="s">
        <v>2126</v>
      </c>
      <c r="E583" s="2">
        <v>45992</v>
      </c>
      <c r="F583" s="1" t="s">
        <v>395</v>
      </c>
      <c r="G583" s="1" t="s">
        <v>2127</v>
      </c>
      <c r="H583" s="1" t="s">
        <v>2128</v>
      </c>
      <c r="I583" s="1">
        <v>1</v>
      </c>
      <c r="J583" s="3">
        <v>30900</v>
      </c>
      <c r="K583" s="3">
        <v>23450</v>
      </c>
      <c r="L583" s="3">
        <v>4079</v>
      </c>
      <c r="M583" s="4">
        <v>0.13200000000000001</v>
      </c>
      <c r="N583" s="3">
        <v>3371</v>
      </c>
      <c r="O583" s="4">
        <v>0.109</v>
      </c>
      <c r="P583" s="1" t="s">
        <v>2721</v>
      </c>
    </row>
    <row r="584" spans="1:16">
      <c r="A584" s="1" t="s">
        <v>739</v>
      </c>
      <c r="B584" s="1">
        <v>12</v>
      </c>
      <c r="C584" s="1">
        <v>31541234</v>
      </c>
      <c r="D584" s="1" t="s">
        <v>2129</v>
      </c>
      <c r="E584" s="2">
        <v>45992</v>
      </c>
      <c r="F584" s="1" t="s">
        <v>63</v>
      </c>
      <c r="G584" s="1" t="s">
        <v>1655</v>
      </c>
      <c r="H584" s="1" t="s">
        <v>1655</v>
      </c>
      <c r="I584" s="1">
        <v>1</v>
      </c>
      <c r="J584" s="3">
        <v>7200</v>
      </c>
      <c r="K584" s="3">
        <v>6113</v>
      </c>
      <c r="L584" s="3">
        <v>950</v>
      </c>
      <c r="M584" s="4">
        <v>0.13200000000000001</v>
      </c>
      <c r="N584" s="3">
        <v>137</v>
      </c>
      <c r="O584" s="4">
        <v>1.9E-2</v>
      </c>
      <c r="P584" s="1" t="s">
        <v>2721</v>
      </c>
    </row>
    <row r="585" spans="1:16">
      <c r="A585" s="1" t="s">
        <v>739</v>
      </c>
      <c r="B585" s="1">
        <v>12</v>
      </c>
      <c r="C585" s="1">
        <v>31541332</v>
      </c>
      <c r="D585" s="1" t="s">
        <v>2130</v>
      </c>
      <c r="E585" s="2">
        <v>45992</v>
      </c>
      <c r="F585" s="1" t="s">
        <v>126</v>
      </c>
      <c r="G585" s="1" t="s">
        <v>2131</v>
      </c>
      <c r="H585" s="1" t="s">
        <v>1149</v>
      </c>
      <c r="I585" s="1">
        <v>1</v>
      </c>
      <c r="J585" s="3">
        <v>18000</v>
      </c>
      <c r="K585" s="3">
        <v>13132</v>
      </c>
      <c r="L585" s="3">
        <v>2376</v>
      </c>
      <c r="M585" s="4">
        <v>0.13200000000000001</v>
      </c>
      <c r="N585" s="3">
        <v>2492</v>
      </c>
      <c r="O585" s="4">
        <v>0.13800000000000001</v>
      </c>
      <c r="P585" s="1" t="s">
        <v>2721</v>
      </c>
    </row>
    <row r="586" spans="1:16">
      <c r="A586" s="1" t="s">
        <v>739</v>
      </c>
      <c r="B586" s="1">
        <v>12</v>
      </c>
      <c r="C586" s="1">
        <v>31541509</v>
      </c>
      <c r="D586" s="1" t="s">
        <v>2132</v>
      </c>
      <c r="E586" s="2">
        <v>45992</v>
      </c>
      <c r="F586" s="1" t="s">
        <v>426</v>
      </c>
      <c r="G586" s="1" t="s">
        <v>2133</v>
      </c>
      <c r="H586" s="1" t="s">
        <v>428</v>
      </c>
      <c r="I586" s="1">
        <v>1</v>
      </c>
      <c r="J586" s="3">
        <v>31000</v>
      </c>
      <c r="K586" s="3">
        <v>22512</v>
      </c>
      <c r="L586" s="3">
        <v>4092</v>
      </c>
      <c r="M586" s="4">
        <v>0.13200000000000001</v>
      </c>
      <c r="N586" s="3">
        <v>4396</v>
      </c>
      <c r="O586" s="4">
        <v>0.14199999999999999</v>
      </c>
      <c r="P586" s="1" t="s">
        <v>2721</v>
      </c>
    </row>
    <row r="587" spans="1:16">
      <c r="A587" s="1" t="s">
        <v>739</v>
      </c>
      <c r="B587" s="1">
        <v>12</v>
      </c>
      <c r="C587" s="1">
        <v>31541691</v>
      </c>
      <c r="D587" s="1" t="s">
        <v>2134</v>
      </c>
      <c r="E587" s="2">
        <v>45992</v>
      </c>
      <c r="F587" s="1" t="s">
        <v>517</v>
      </c>
      <c r="G587" s="1" t="s">
        <v>2135</v>
      </c>
      <c r="H587" s="1" t="s">
        <v>2136</v>
      </c>
      <c r="I587" s="1">
        <v>1</v>
      </c>
      <c r="J587" s="3">
        <v>29000</v>
      </c>
      <c r="K587" s="3">
        <v>21574</v>
      </c>
      <c r="L587" s="3">
        <v>3828</v>
      </c>
      <c r="M587" s="4">
        <v>0.13200000000000001</v>
      </c>
      <c r="N587" s="3">
        <v>3598</v>
      </c>
      <c r="O587" s="4">
        <v>0.124</v>
      </c>
      <c r="P587" s="1" t="s">
        <v>2721</v>
      </c>
    </row>
    <row r="588" spans="1:16">
      <c r="A588" s="1" t="s">
        <v>739</v>
      </c>
      <c r="B588" s="1">
        <v>12</v>
      </c>
      <c r="C588" s="1">
        <v>31542060</v>
      </c>
      <c r="D588" s="1" t="s">
        <v>1971</v>
      </c>
      <c r="E588" s="2">
        <v>45992</v>
      </c>
      <c r="F588" s="1" t="s">
        <v>426</v>
      </c>
      <c r="G588" s="1" t="s">
        <v>1972</v>
      </c>
      <c r="H588" s="1" t="s">
        <v>2137</v>
      </c>
      <c r="I588" s="1">
        <v>2</v>
      </c>
      <c r="J588" s="3">
        <v>56000</v>
      </c>
      <c r="K588" s="3">
        <v>41272</v>
      </c>
      <c r="L588" s="3">
        <v>7392</v>
      </c>
      <c r="M588" s="4">
        <v>0.13200000000000001</v>
      </c>
      <c r="N588" s="3">
        <v>7336</v>
      </c>
      <c r="O588" s="4">
        <v>0.13100000000000001</v>
      </c>
      <c r="P588" s="1" t="s">
        <v>2721</v>
      </c>
    </row>
    <row r="589" spans="1:16">
      <c r="A589" s="1" t="s">
        <v>739</v>
      </c>
      <c r="B589" s="1">
        <v>12</v>
      </c>
      <c r="C589" s="1">
        <v>31542060</v>
      </c>
      <c r="D589" s="1" t="s">
        <v>2083</v>
      </c>
      <c r="E589" s="2">
        <v>45992</v>
      </c>
      <c r="F589" s="1" t="s">
        <v>426</v>
      </c>
      <c r="G589" s="1" t="s">
        <v>2084</v>
      </c>
      <c r="H589" s="1" t="s">
        <v>1568</v>
      </c>
      <c r="I589" s="1">
        <v>1</v>
      </c>
      <c r="J589" s="3">
        <v>32000</v>
      </c>
      <c r="K589" s="3">
        <v>23450</v>
      </c>
      <c r="L589" s="3">
        <v>4224</v>
      </c>
      <c r="M589" s="4">
        <v>0.13200000000000001</v>
      </c>
      <c r="N589" s="3">
        <v>4326</v>
      </c>
      <c r="O589" s="4">
        <v>0.13500000000000001</v>
      </c>
      <c r="P589" s="1" t="s">
        <v>2721</v>
      </c>
    </row>
    <row r="590" spans="1:16">
      <c r="A590" s="1" t="s">
        <v>739</v>
      </c>
      <c r="B590" s="1">
        <v>12</v>
      </c>
      <c r="C590" s="1">
        <v>31542212</v>
      </c>
      <c r="D590" s="1" t="s">
        <v>2089</v>
      </c>
      <c r="E590" s="2">
        <v>45992</v>
      </c>
      <c r="F590" s="1" t="s">
        <v>1935</v>
      </c>
      <c r="G590" s="1" t="s">
        <v>2090</v>
      </c>
      <c r="H590" s="1" t="s">
        <v>2138</v>
      </c>
      <c r="I590" s="1">
        <v>1</v>
      </c>
      <c r="J590" s="3">
        <v>20900</v>
      </c>
      <c r="K590" s="3">
        <v>16884</v>
      </c>
      <c r="L590" s="3">
        <v>2759</v>
      </c>
      <c r="M590" s="4">
        <v>0.13200000000000001</v>
      </c>
      <c r="N590" s="3">
        <v>1257</v>
      </c>
      <c r="O590" s="4">
        <v>0.06</v>
      </c>
      <c r="P590" s="1" t="s">
        <v>2721</v>
      </c>
    </row>
    <row r="591" spans="1:16">
      <c r="A591" s="1" t="s">
        <v>739</v>
      </c>
      <c r="B591" s="1">
        <v>12</v>
      </c>
      <c r="C591" s="1">
        <v>31542302</v>
      </c>
      <c r="D591" s="1" t="s">
        <v>2139</v>
      </c>
      <c r="E591" s="2">
        <v>45992</v>
      </c>
      <c r="F591" s="1" t="s">
        <v>469</v>
      </c>
      <c r="G591" s="1" t="s">
        <v>2140</v>
      </c>
      <c r="H591" s="1" t="s">
        <v>1051</v>
      </c>
      <c r="I591" s="1">
        <v>1</v>
      </c>
      <c r="J591" s="3">
        <v>23500</v>
      </c>
      <c r="K591" s="3">
        <v>15008</v>
      </c>
      <c r="L591" s="3">
        <v>3102</v>
      </c>
      <c r="M591" s="4">
        <v>0.13200000000000001</v>
      </c>
      <c r="N591" s="3">
        <v>5390</v>
      </c>
      <c r="O591" s="4">
        <v>0.22900000000000001</v>
      </c>
      <c r="P591" s="1" t="s">
        <v>2721</v>
      </c>
    </row>
    <row r="592" spans="1:16">
      <c r="A592" s="1" t="s">
        <v>739</v>
      </c>
      <c r="B592" s="1">
        <v>12</v>
      </c>
      <c r="C592" s="1">
        <v>31542302</v>
      </c>
      <c r="D592" s="1" t="s">
        <v>2141</v>
      </c>
      <c r="E592" s="2">
        <v>45992</v>
      </c>
      <c r="F592" s="1" t="s">
        <v>469</v>
      </c>
      <c r="G592" s="1" t="s">
        <v>2142</v>
      </c>
      <c r="H592" s="1" t="s">
        <v>1117</v>
      </c>
      <c r="I592" s="1">
        <v>1</v>
      </c>
      <c r="J592" s="3">
        <v>23500</v>
      </c>
      <c r="K592" s="3">
        <v>15008</v>
      </c>
      <c r="L592" s="3">
        <v>3102</v>
      </c>
      <c r="M592" s="4">
        <v>0.13200000000000001</v>
      </c>
      <c r="N592" s="3">
        <v>5390</v>
      </c>
      <c r="O592" s="4">
        <v>0.22900000000000001</v>
      </c>
      <c r="P592" s="1" t="s">
        <v>2721</v>
      </c>
    </row>
    <row r="593" spans="1:16">
      <c r="A593" s="1" t="s">
        <v>739</v>
      </c>
      <c r="B593" s="1">
        <v>12</v>
      </c>
      <c r="C593" s="1">
        <v>31542995</v>
      </c>
      <c r="D593" s="1" t="s">
        <v>2143</v>
      </c>
      <c r="E593" s="2">
        <v>45992</v>
      </c>
      <c r="F593" s="1" t="s">
        <v>347</v>
      </c>
      <c r="G593" s="1" t="s">
        <v>2144</v>
      </c>
      <c r="H593" s="1" t="s">
        <v>2145</v>
      </c>
      <c r="I593" s="1">
        <v>1</v>
      </c>
      <c r="J593" s="3">
        <v>28300</v>
      </c>
      <c r="K593" s="3">
        <v>21837</v>
      </c>
      <c r="L593" s="3">
        <v>3736</v>
      </c>
      <c r="M593" s="4">
        <v>0.13200000000000001</v>
      </c>
      <c r="N593" s="3">
        <v>2727</v>
      </c>
      <c r="O593" s="4">
        <v>9.6000000000000002E-2</v>
      </c>
      <c r="P593" s="1" t="s">
        <v>2721</v>
      </c>
    </row>
    <row r="594" spans="1:16">
      <c r="A594" s="1" t="s">
        <v>756</v>
      </c>
      <c r="B594" s="1">
        <v>12</v>
      </c>
      <c r="C594" s="1" t="s">
        <v>2146</v>
      </c>
      <c r="D594" s="1" t="s">
        <v>2147</v>
      </c>
      <c r="E594" s="2">
        <v>45992</v>
      </c>
      <c r="F594" s="1" t="s">
        <v>28</v>
      </c>
      <c r="G594" s="1" t="s">
        <v>2148</v>
      </c>
      <c r="H594" s="1" t="s">
        <v>2149</v>
      </c>
      <c r="I594" s="1">
        <v>1</v>
      </c>
      <c r="J594" s="3">
        <v>28950</v>
      </c>
      <c r="K594" s="3">
        <v>25795</v>
      </c>
      <c r="L594" s="1">
        <v>0</v>
      </c>
      <c r="M594" s="4">
        <v>0</v>
      </c>
      <c r="N594" s="3">
        <v>3155</v>
      </c>
      <c r="O594" s="4">
        <v>0.109</v>
      </c>
      <c r="P594" s="1" t="s">
        <v>2723</v>
      </c>
    </row>
    <row r="595" spans="1:16">
      <c r="A595" s="1" t="s">
        <v>756</v>
      </c>
      <c r="B595" s="1">
        <v>12</v>
      </c>
      <c r="C595" s="1" t="s">
        <v>2150</v>
      </c>
      <c r="D595" s="1" t="s">
        <v>2151</v>
      </c>
      <c r="E595" s="2">
        <v>45992</v>
      </c>
      <c r="F595" s="1" t="s">
        <v>53</v>
      </c>
      <c r="G595" s="1" t="s">
        <v>2152</v>
      </c>
      <c r="H595" s="1" t="s">
        <v>2153</v>
      </c>
      <c r="I595" s="1">
        <v>1</v>
      </c>
      <c r="J595" s="3">
        <v>18390</v>
      </c>
      <c r="K595" s="3">
        <v>16256</v>
      </c>
      <c r="L595" s="1">
        <v>0</v>
      </c>
      <c r="M595" s="4">
        <v>0</v>
      </c>
      <c r="N595" s="3">
        <v>2134</v>
      </c>
      <c r="O595" s="4">
        <v>0.11600000000000001</v>
      </c>
      <c r="P595" s="1" t="s">
        <v>2723</v>
      </c>
    </row>
    <row r="596" spans="1:16">
      <c r="A596" s="1" t="s">
        <v>756</v>
      </c>
      <c r="B596" s="1">
        <v>12</v>
      </c>
      <c r="C596" s="1" t="s">
        <v>2154</v>
      </c>
      <c r="D596" s="1" t="s">
        <v>2155</v>
      </c>
      <c r="E596" s="2">
        <v>45992</v>
      </c>
      <c r="F596" s="1" t="s">
        <v>2156</v>
      </c>
      <c r="G596" s="1" t="s">
        <v>2157</v>
      </c>
      <c r="H596" s="1" t="s">
        <v>2158</v>
      </c>
      <c r="I596" s="1">
        <v>1</v>
      </c>
      <c r="J596" s="3">
        <v>25600</v>
      </c>
      <c r="K596" s="3">
        <v>21762</v>
      </c>
      <c r="L596" s="1">
        <v>0</v>
      </c>
      <c r="M596" s="4">
        <v>0</v>
      </c>
      <c r="N596" s="3">
        <v>3838</v>
      </c>
      <c r="O596" s="4">
        <v>0.15</v>
      </c>
      <c r="P596" s="1" t="s">
        <v>2723</v>
      </c>
    </row>
    <row r="597" spans="1:16">
      <c r="A597" s="1" t="s">
        <v>756</v>
      </c>
      <c r="B597" s="1">
        <v>12</v>
      </c>
      <c r="C597" s="1" t="s">
        <v>2159</v>
      </c>
      <c r="D597" s="1" t="s">
        <v>2160</v>
      </c>
      <c r="E597" s="2">
        <v>45992</v>
      </c>
      <c r="F597" s="1" t="s">
        <v>126</v>
      </c>
      <c r="G597" s="1" t="s">
        <v>2161</v>
      </c>
      <c r="H597" s="1" t="s">
        <v>2162</v>
      </c>
      <c r="I597" s="1">
        <v>2</v>
      </c>
      <c r="J597" s="3">
        <v>40400</v>
      </c>
      <c r="K597" s="3">
        <v>34330</v>
      </c>
      <c r="L597" s="1">
        <v>0</v>
      </c>
      <c r="M597" s="4">
        <v>0</v>
      </c>
      <c r="N597" s="3">
        <v>6070</v>
      </c>
      <c r="O597" s="4">
        <v>0.15</v>
      </c>
      <c r="P597" s="1" t="s">
        <v>2723</v>
      </c>
    </row>
    <row r="598" spans="1:16">
      <c r="A598" s="1" t="s">
        <v>756</v>
      </c>
      <c r="B598" s="1">
        <v>12</v>
      </c>
      <c r="C598" s="1" t="s">
        <v>2163</v>
      </c>
      <c r="D598" s="1" t="s">
        <v>758</v>
      </c>
      <c r="E598" s="2">
        <v>45992</v>
      </c>
      <c r="F598" s="1" t="s">
        <v>28</v>
      </c>
      <c r="G598" s="1" t="s">
        <v>759</v>
      </c>
      <c r="H598" s="1" t="s">
        <v>760</v>
      </c>
      <c r="I598" s="1">
        <v>1</v>
      </c>
      <c r="J598" s="3">
        <v>28950</v>
      </c>
      <c r="K598" s="3">
        <v>25795</v>
      </c>
      <c r="L598" s="1">
        <v>0</v>
      </c>
      <c r="M598" s="4">
        <v>0</v>
      </c>
      <c r="N598" s="3">
        <v>3155</v>
      </c>
      <c r="O598" s="4">
        <v>0.109</v>
      </c>
      <c r="P598" s="1" t="s">
        <v>2723</v>
      </c>
    </row>
    <row r="599" spans="1:16">
      <c r="A599" s="1" t="s">
        <v>756</v>
      </c>
      <c r="B599" s="1">
        <v>12</v>
      </c>
      <c r="C599" s="1" t="s">
        <v>2164</v>
      </c>
      <c r="D599" s="1" t="s">
        <v>758</v>
      </c>
      <c r="E599" s="2">
        <v>45992</v>
      </c>
      <c r="F599" s="1" t="s">
        <v>28</v>
      </c>
      <c r="G599" s="1" t="s">
        <v>759</v>
      </c>
      <c r="H599" s="1" t="s">
        <v>760</v>
      </c>
      <c r="I599" s="1">
        <v>1</v>
      </c>
      <c r="J599" s="3">
        <v>28950</v>
      </c>
      <c r="K599" s="3">
        <v>25795</v>
      </c>
      <c r="L599" s="1">
        <v>0</v>
      </c>
      <c r="M599" s="4">
        <v>0</v>
      </c>
      <c r="N599" s="3">
        <v>3155</v>
      </c>
      <c r="O599" s="4">
        <v>0.109</v>
      </c>
      <c r="P599" s="1" t="s">
        <v>2723</v>
      </c>
    </row>
    <row r="600" spans="1:16">
      <c r="A600" s="1" t="s">
        <v>756</v>
      </c>
      <c r="B600" s="1">
        <v>12</v>
      </c>
      <c r="C600" s="1" t="s">
        <v>2165</v>
      </c>
      <c r="D600" s="1" t="s">
        <v>2083</v>
      </c>
      <c r="E600" s="2">
        <v>45992</v>
      </c>
      <c r="F600" s="1" t="s">
        <v>426</v>
      </c>
      <c r="G600" s="1" t="s">
        <v>2084</v>
      </c>
      <c r="H600" s="1" t="s">
        <v>2166</v>
      </c>
      <c r="I600" s="1">
        <v>1</v>
      </c>
      <c r="J600" s="3">
        <v>27600</v>
      </c>
      <c r="K600" s="3">
        <v>23450</v>
      </c>
      <c r="L600" s="1">
        <v>0</v>
      </c>
      <c r="M600" s="4">
        <v>0</v>
      </c>
      <c r="N600" s="3">
        <v>4150</v>
      </c>
      <c r="O600" s="4">
        <v>0.15</v>
      </c>
      <c r="P600" s="1" t="s">
        <v>2723</v>
      </c>
    </row>
    <row r="601" spans="1:16">
      <c r="A601" s="1" t="s">
        <v>756</v>
      </c>
      <c r="B601" s="1">
        <v>12</v>
      </c>
      <c r="C601" s="1" t="s">
        <v>2167</v>
      </c>
      <c r="D601" s="1" t="s">
        <v>2168</v>
      </c>
      <c r="E601" s="2">
        <v>45992</v>
      </c>
      <c r="F601" s="1" t="s">
        <v>256</v>
      </c>
      <c r="G601" s="1" t="s">
        <v>2169</v>
      </c>
      <c r="H601" s="1" t="s">
        <v>2170</v>
      </c>
      <c r="I601" s="1">
        <v>1</v>
      </c>
      <c r="J601" s="3">
        <v>23670</v>
      </c>
      <c r="K601" s="3">
        <v>19745</v>
      </c>
      <c r="L601" s="1">
        <v>0</v>
      </c>
      <c r="M601" s="4">
        <v>0</v>
      </c>
      <c r="N601" s="3">
        <v>3925</v>
      </c>
      <c r="O601" s="4">
        <v>0.16600000000000001</v>
      </c>
      <c r="P601" s="1" t="s">
        <v>2723</v>
      </c>
    </row>
    <row r="602" spans="1:16">
      <c r="A602" s="1" t="s">
        <v>756</v>
      </c>
      <c r="B602" s="1">
        <v>12</v>
      </c>
      <c r="C602" s="1" t="s">
        <v>2171</v>
      </c>
      <c r="D602" s="1" t="s">
        <v>2172</v>
      </c>
      <c r="E602" s="2">
        <v>45992</v>
      </c>
      <c r="F602" s="1" t="s">
        <v>2173</v>
      </c>
      <c r="G602" s="1" t="s">
        <v>2174</v>
      </c>
      <c r="H602" s="1" t="s">
        <v>2175</v>
      </c>
      <c r="I602" s="1">
        <v>1</v>
      </c>
      <c r="J602" s="3">
        <v>24500</v>
      </c>
      <c r="K602" s="3">
        <v>20824</v>
      </c>
      <c r="L602" s="1">
        <v>0</v>
      </c>
      <c r="M602" s="4">
        <v>0</v>
      </c>
      <c r="N602" s="3">
        <v>3676</v>
      </c>
      <c r="O602" s="4">
        <v>0.15</v>
      </c>
      <c r="P602" s="1" t="s">
        <v>2723</v>
      </c>
    </row>
    <row r="603" spans="1:16">
      <c r="A603" s="1" t="s">
        <v>756</v>
      </c>
      <c r="B603" s="1">
        <v>12</v>
      </c>
      <c r="C603" s="1" t="s">
        <v>2171</v>
      </c>
      <c r="D603" s="1" t="s">
        <v>2176</v>
      </c>
      <c r="E603" s="2">
        <v>45992</v>
      </c>
      <c r="F603" s="1" t="s">
        <v>126</v>
      </c>
      <c r="G603" s="1" t="s">
        <v>2177</v>
      </c>
      <c r="H603" s="1" t="s">
        <v>2178</v>
      </c>
      <c r="I603" s="1">
        <v>1</v>
      </c>
      <c r="J603" s="3">
        <v>17400</v>
      </c>
      <c r="K603" s="3">
        <v>14820</v>
      </c>
      <c r="L603" s="1">
        <v>0</v>
      </c>
      <c r="M603" s="4">
        <v>0</v>
      </c>
      <c r="N603" s="3">
        <v>2580</v>
      </c>
      <c r="O603" s="4">
        <v>0.14799999999999999</v>
      </c>
      <c r="P603" s="1" t="s">
        <v>2723</v>
      </c>
    </row>
    <row r="604" spans="1:16">
      <c r="A604" s="1" t="s">
        <v>2179</v>
      </c>
      <c r="B604" s="1">
        <v>12</v>
      </c>
      <c r="C604" s="1">
        <v>2.02511290909411E+18</v>
      </c>
      <c r="D604" s="1" t="s">
        <v>2180</v>
      </c>
      <c r="E604" s="2">
        <v>45992</v>
      </c>
      <c r="F604" s="1" t="s">
        <v>43</v>
      </c>
      <c r="G604" s="1" t="s">
        <v>2181</v>
      </c>
      <c r="H604" s="1" t="s">
        <v>2182</v>
      </c>
      <c r="I604" s="1">
        <v>1</v>
      </c>
      <c r="J604" s="3">
        <v>21200</v>
      </c>
      <c r="K604" s="3">
        <v>19417</v>
      </c>
      <c r="L604" s="1">
        <v>0</v>
      </c>
      <c r="M604" s="4">
        <v>0</v>
      </c>
      <c r="N604" s="3">
        <v>1783</v>
      </c>
      <c r="O604" s="4">
        <v>8.4000000000000005E-2</v>
      </c>
      <c r="P604" s="1" t="s">
        <v>2723</v>
      </c>
    </row>
    <row r="605" spans="1:16">
      <c r="A605" s="1" t="s">
        <v>761</v>
      </c>
      <c r="B605" s="1">
        <v>12</v>
      </c>
      <c r="C605" s="1" t="s">
        <v>2183</v>
      </c>
      <c r="D605" s="1" t="s">
        <v>2184</v>
      </c>
      <c r="E605" s="2">
        <v>45992</v>
      </c>
      <c r="F605" s="1" t="s">
        <v>500</v>
      </c>
      <c r="G605" s="1" t="s">
        <v>2185</v>
      </c>
      <c r="I605" s="1">
        <v>1</v>
      </c>
      <c r="J605" s="3">
        <v>128300</v>
      </c>
      <c r="K605" s="3">
        <v>98000</v>
      </c>
      <c r="L605" s="1">
        <v>0</v>
      </c>
      <c r="M605" s="4">
        <v>0</v>
      </c>
      <c r="N605" s="3">
        <v>30300</v>
      </c>
      <c r="O605" s="4">
        <v>0.23599999999999999</v>
      </c>
      <c r="P605" s="1" t="s">
        <v>2723</v>
      </c>
    </row>
    <row r="606" spans="1:16">
      <c r="A606" s="1" t="s">
        <v>761</v>
      </c>
      <c r="B606" s="1">
        <v>12</v>
      </c>
      <c r="C606" s="1" t="s">
        <v>2186</v>
      </c>
      <c r="D606" s="1" t="s">
        <v>2187</v>
      </c>
      <c r="E606" s="2">
        <v>45992</v>
      </c>
      <c r="F606" s="1" t="s">
        <v>2188</v>
      </c>
      <c r="G606" s="1" t="s">
        <v>2189</v>
      </c>
      <c r="I606" s="1">
        <v>1</v>
      </c>
      <c r="J606" s="3">
        <v>13100</v>
      </c>
      <c r="K606" s="3">
        <v>10300</v>
      </c>
      <c r="L606" s="1">
        <v>0</v>
      </c>
      <c r="M606" s="4">
        <v>0</v>
      </c>
      <c r="N606" s="3">
        <v>2800</v>
      </c>
      <c r="O606" s="4">
        <v>0.214</v>
      </c>
      <c r="P606" s="1" t="s">
        <v>2723</v>
      </c>
    </row>
    <row r="607" spans="1:16">
      <c r="A607" s="1" t="s">
        <v>761</v>
      </c>
      <c r="B607" s="1">
        <v>12</v>
      </c>
      <c r="C607" s="1" t="s">
        <v>2190</v>
      </c>
      <c r="D607" s="1" t="s">
        <v>2191</v>
      </c>
      <c r="E607" s="2">
        <v>45992</v>
      </c>
      <c r="F607" s="1" t="s">
        <v>256</v>
      </c>
      <c r="G607" s="1" t="s">
        <v>2192</v>
      </c>
      <c r="I607" s="1">
        <v>1</v>
      </c>
      <c r="J607" s="3">
        <v>20400</v>
      </c>
      <c r="K607" s="3">
        <v>13320</v>
      </c>
      <c r="L607" s="1">
        <v>0</v>
      </c>
      <c r="M607" s="4">
        <v>0</v>
      </c>
      <c r="N607" s="3">
        <v>7080</v>
      </c>
      <c r="O607" s="4">
        <v>0.34699999999999998</v>
      </c>
      <c r="P607" s="1" t="s">
        <v>2723</v>
      </c>
    </row>
    <row r="608" spans="1:16">
      <c r="A608" s="1" t="s">
        <v>2193</v>
      </c>
      <c r="B608" s="1">
        <v>12</v>
      </c>
      <c r="C608" s="1">
        <v>30738999</v>
      </c>
      <c r="D608" s="1" t="s">
        <v>2194</v>
      </c>
      <c r="E608" s="2">
        <v>45992</v>
      </c>
      <c r="F608" s="1" t="s">
        <v>96</v>
      </c>
      <c r="G608" s="1" t="s">
        <v>2195</v>
      </c>
      <c r="H608" s="1" t="s">
        <v>2196</v>
      </c>
      <c r="I608" s="1">
        <v>1</v>
      </c>
      <c r="J608" s="3">
        <v>13026</v>
      </c>
      <c r="K608" s="3">
        <v>10285</v>
      </c>
      <c r="L608" s="1">
        <v>0</v>
      </c>
      <c r="M608" s="4">
        <v>0</v>
      </c>
      <c r="N608" s="3">
        <v>2741</v>
      </c>
      <c r="O608" s="4">
        <v>0.21</v>
      </c>
      <c r="P608" s="1" t="s">
        <v>2723</v>
      </c>
    </row>
    <row r="609" spans="1:16">
      <c r="A609" s="1" t="s">
        <v>2193</v>
      </c>
      <c r="B609" s="1">
        <v>12</v>
      </c>
      <c r="C609" s="1">
        <v>30738999</v>
      </c>
      <c r="D609" s="1" t="s">
        <v>2197</v>
      </c>
      <c r="E609" s="2">
        <v>45992</v>
      </c>
      <c r="F609" s="1" t="s">
        <v>96</v>
      </c>
      <c r="G609" s="1" t="s">
        <v>2198</v>
      </c>
      <c r="H609" s="1" t="s">
        <v>2199</v>
      </c>
      <c r="I609" s="1">
        <v>1</v>
      </c>
      <c r="J609" s="3">
        <v>13026</v>
      </c>
      <c r="K609" s="3">
        <v>10285</v>
      </c>
      <c r="L609" s="1">
        <v>0</v>
      </c>
      <c r="M609" s="4">
        <v>0</v>
      </c>
      <c r="N609" s="3">
        <v>2741</v>
      </c>
      <c r="O609" s="4">
        <v>0.21</v>
      </c>
      <c r="P609" s="1" t="s">
        <v>2723</v>
      </c>
    </row>
    <row r="610" spans="1:16">
      <c r="A610" s="1" t="s">
        <v>2200</v>
      </c>
      <c r="B610" s="1">
        <v>12</v>
      </c>
      <c r="C610" s="1">
        <v>249542574</v>
      </c>
      <c r="D610" s="1" t="s">
        <v>2201</v>
      </c>
      <c r="E610" s="2">
        <v>45992</v>
      </c>
      <c r="F610" s="1" t="s">
        <v>174</v>
      </c>
      <c r="G610" s="1" t="s">
        <v>2202</v>
      </c>
      <c r="H610" s="1" t="s">
        <v>2203</v>
      </c>
      <c r="I610" s="1">
        <v>1</v>
      </c>
      <c r="J610" s="3">
        <v>53570</v>
      </c>
      <c r="K610" s="3">
        <v>49714</v>
      </c>
      <c r="L610" s="1">
        <v>0</v>
      </c>
      <c r="M610" s="4">
        <v>0</v>
      </c>
      <c r="N610" s="3">
        <v>3856</v>
      </c>
      <c r="O610" s="4">
        <v>7.1999999999999995E-2</v>
      </c>
      <c r="P610" s="1" t="s">
        <v>2723</v>
      </c>
    </row>
    <row r="611" spans="1:16">
      <c r="A611" s="1" t="s">
        <v>763</v>
      </c>
      <c r="B611" s="1">
        <v>12</v>
      </c>
      <c r="C611" s="1" t="s">
        <v>2204</v>
      </c>
      <c r="D611" s="1" t="s">
        <v>2205</v>
      </c>
      <c r="E611" s="2">
        <v>45992</v>
      </c>
      <c r="F611" s="1" t="s">
        <v>2206</v>
      </c>
      <c r="G611" s="1" t="s">
        <v>2207</v>
      </c>
      <c r="H611" s="1" t="s">
        <v>2208</v>
      </c>
      <c r="I611" s="1">
        <v>1</v>
      </c>
      <c r="J611" s="3">
        <v>22610</v>
      </c>
      <c r="K611" s="3">
        <v>20437</v>
      </c>
      <c r="L611" s="1">
        <v>0</v>
      </c>
      <c r="M611" s="4">
        <v>0</v>
      </c>
      <c r="N611" s="3">
        <v>2173</v>
      </c>
      <c r="O611" s="4">
        <v>9.6000000000000002E-2</v>
      </c>
      <c r="P611" s="1" t="s">
        <v>2723</v>
      </c>
    </row>
    <row r="612" spans="1:16">
      <c r="A612" s="1" t="s">
        <v>763</v>
      </c>
      <c r="B612" s="1">
        <v>12</v>
      </c>
      <c r="C612" s="1" t="s">
        <v>2209</v>
      </c>
      <c r="D612" s="1" t="s">
        <v>2210</v>
      </c>
      <c r="E612" s="2">
        <v>45992</v>
      </c>
      <c r="F612" s="1" t="s">
        <v>554</v>
      </c>
      <c r="G612" s="1" t="s">
        <v>2211</v>
      </c>
      <c r="H612" s="1" t="s">
        <v>2212</v>
      </c>
      <c r="I612" s="1">
        <v>1</v>
      </c>
      <c r="J612" s="3">
        <v>16070</v>
      </c>
      <c r="K612" s="3">
        <v>14539</v>
      </c>
      <c r="L612" s="1">
        <v>0</v>
      </c>
      <c r="M612" s="4">
        <v>0</v>
      </c>
      <c r="N612" s="3">
        <v>1531</v>
      </c>
      <c r="O612" s="4">
        <v>9.5000000000000001E-2</v>
      </c>
      <c r="P612" s="1" t="s">
        <v>2723</v>
      </c>
    </row>
    <row r="613" spans="1:16">
      <c r="A613" s="1" t="s">
        <v>763</v>
      </c>
      <c r="B613" s="1">
        <v>12</v>
      </c>
      <c r="C613" s="1" t="s">
        <v>2213</v>
      </c>
      <c r="D613" s="1" t="s">
        <v>2214</v>
      </c>
      <c r="E613" s="2">
        <v>45992</v>
      </c>
      <c r="F613" s="1" t="s">
        <v>2188</v>
      </c>
      <c r="G613" s="1" t="s">
        <v>2215</v>
      </c>
      <c r="H613" s="1" t="s">
        <v>2216</v>
      </c>
      <c r="I613" s="1">
        <v>1</v>
      </c>
      <c r="J613" s="3">
        <v>23500</v>
      </c>
      <c r="K613" s="3">
        <v>21500</v>
      </c>
      <c r="L613" s="1">
        <v>0</v>
      </c>
      <c r="M613" s="4">
        <v>0</v>
      </c>
      <c r="N613" s="3">
        <v>2000</v>
      </c>
      <c r="O613" s="4">
        <v>8.5000000000000006E-2</v>
      </c>
      <c r="P613" s="1" t="s">
        <v>2723</v>
      </c>
    </row>
    <row r="614" spans="1:16">
      <c r="A614" s="1" t="s">
        <v>763</v>
      </c>
      <c r="B614" s="1">
        <v>12</v>
      </c>
      <c r="C614" s="1" t="s">
        <v>2217</v>
      </c>
      <c r="D614" s="1" t="s">
        <v>2218</v>
      </c>
      <c r="E614" s="2">
        <v>45992</v>
      </c>
      <c r="F614" s="1" t="s">
        <v>53</v>
      </c>
      <c r="G614" s="1" t="s">
        <v>2219</v>
      </c>
      <c r="H614" s="1" t="s">
        <v>2220</v>
      </c>
      <c r="I614" s="1">
        <v>1</v>
      </c>
      <c r="J614" s="3">
        <v>22700</v>
      </c>
      <c r="K614" s="3">
        <v>13676</v>
      </c>
      <c r="L614" s="1">
        <v>0</v>
      </c>
      <c r="M614" s="4">
        <v>0</v>
      </c>
      <c r="N614" s="3">
        <v>9024</v>
      </c>
      <c r="O614" s="4">
        <v>0.39800000000000002</v>
      </c>
      <c r="P614" s="1" t="s">
        <v>2723</v>
      </c>
    </row>
    <row r="615" spans="1:16">
      <c r="A615" s="1" t="s">
        <v>763</v>
      </c>
      <c r="B615" s="1">
        <v>12</v>
      </c>
      <c r="C615" s="1" t="s">
        <v>2221</v>
      </c>
      <c r="D615" s="1" t="s">
        <v>2222</v>
      </c>
      <c r="E615" s="2">
        <v>45992</v>
      </c>
      <c r="F615" s="1" t="s">
        <v>53</v>
      </c>
      <c r="G615" s="1" t="s">
        <v>2223</v>
      </c>
      <c r="H615" s="1" t="s">
        <v>2224</v>
      </c>
      <c r="I615" s="1">
        <v>1</v>
      </c>
      <c r="J615" s="3">
        <v>10370</v>
      </c>
      <c r="K615" s="3">
        <v>9375</v>
      </c>
      <c r="L615" s="1">
        <v>0</v>
      </c>
      <c r="M615" s="4">
        <v>0</v>
      </c>
      <c r="N615" s="3">
        <v>995</v>
      </c>
      <c r="O615" s="4">
        <v>9.6000000000000002E-2</v>
      </c>
      <c r="P615" s="1" t="s">
        <v>2723</v>
      </c>
    </row>
    <row r="616" spans="1:16">
      <c r="A616" s="1" t="s">
        <v>763</v>
      </c>
      <c r="B616" s="1">
        <v>12</v>
      </c>
      <c r="C616" s="1" t="s">
        <v>2225</v>
      </c>
      <c r="D616" s="1" t="s">
        <v>2205</v>
      </c>
      <c r="E616" s="2">
        <v>45992</v>
      </c>
      <c r="F616" s="1" t="s">
        <v>2206</v>
      </c>
      <c r="G616" s="1" t="s">
        <v>2207</v>
      </c>
      <c r="H616" s="1" t="s">
        <v>2208</v>
      </c>
      <c r="I616" s="1">
        <v>1</v>
      </c>
      <c r="J616" s="3">
        <v>22610</v>
      </c>
      <c r="K616" s="3">
        <v>20437</v>
      </c>
      <c r="L616" s="1">
        <v>0</v>
      </c>
      <c r="M616" s="4">
        <v>0</v>
      </c>
      <c r="N616" s="3">
        <v>2173</v>
      </c>
      <c r="O616" s="4">
        <v>9.6000000000000002E-2</v>
      </c>
      <c r="P616" s="1" t="s">
        <v>2723</v>
      </c>
    </row>
    <row r="617" spans="1:16">
      <c r="A617" s="1" t="s">
        <v>763</v>
      </c>
      <c r="B617" s="1">
        <v>12</v>
      </c>
      <c r="C617" s="1" t="s">
        <v>2226</v>
      </c>
      <c r="D617" s="1" t="s">
        <v>2227</v>
      </c>
      <c r="E617" s="2">
        <v>45992</v>
      </c>
      <c r="F617" s="1" t="s">
        <v>2188</v>
      </c>
      <c r="G617" s="1" t="s">
        <v>2228</v>
      </c>
      <c r="H617" s="1" t="s">
        <v>2229</v>
      </c>
      <c r="I617" s="1">
        <v>1</v>
      </c>
      <c r="J617" s="3">
        <v>20900</v>
      </c>
      <c r="K617" s="3">
        <v>18500</v>
      </c>
      <c r="L617" s="1">
        <v>0</v>
      </c>
      <c r="M617" s="4">
        <v>0</v>
      </c>
      <c r="N617" s="3">
        <v>2400</v>
      </c>
      <c r="O617" s="4">
        <v>0.115</v>
      </c>
      <c r="P617" s="1" t="s">
        <v>2723</v>
      </c>
    </row>
    <row r="618" spans="1:16">
      <c r="A618" s="1" t="s">
        <v>763</v>
      </c>
      <c r="B618" s="1">
        <v>12</v>
      </c>
      <c r="C618" s="1" t="s">
        <v>2230</v>
      </c>
      <c r="D618" s="1" t="s">
        <v>2231</v>
      </c>
      <c r="E618" s="2">
        <v>45992</v>
      </c>
      <c r="F618" s="1" t="s">
        <v>53</v>
      </c>
      <c r="G618" s="1" t="s">
        <v>2232</v>
      </c>
      <c r="H618" s="1" t="s">
        <v>2233</v>
      </c>
      <c r="I618" s="1">
        <v>1</v>
      </c>
      <c r="J618" s="3">
        <v>24570</v>
      </c>
      <c r="K618" s="3">
        <v>22278</v>
      </c>
      <c r="L618" s="1">
        <v>0</v>
      </c>
      <c r="M618" s="4">
        <v>0</v>
      </c>
      <c r="N618" s="3">
        <v>2292</v>
      </c>
      <c r="O618" s="4">
        <v>9.2999999999999999E-2</v>
      </c>
      <c r="P618" s="1" t="s">
        <v>2723</v>
      </c>
    </row>
    <row r="619" spans="1:16">
      <c r="A619" s="1" t="s">
        <v>763</v>
      </c>
      <c r="B619" s="1">
        <v>12</v>
      </c>
      <c r="C619" s="1" t="s">
        <v>2234</v>
      </c>
      <c r="D619" s="1" t="s">
        <v>2235</v>
      </c>
      <c r="E619" s="2">
        <v>45992</v>
      </c>
      <c r="F619" s="1" t="s">
        <v>2188</v>
      </c>
      <c r="G619" s="1" t="s">
        <v>2236</v>
      </c>
      <c r="H619" s="1" t="s">
        <v>2237</v>
      </c>
      <c r="I619" s="1">
        <v>1</v>
      </c>
      <c r="J619" s="3">
        <v>14700</v>
      </c>
      <c r="K619" s="3">
        <v>13700</v>
      </c>
      <c r="L619" s="1">
        <v>0</v>
      </c>
      <c r="M619" s="4">
        <v>0</v>
      </c>
      <c r="N619" s="3">
        <v>1000</v>
      </c>
      <c r="O619" s="4">
        <v>6.8000000000000005E-2</v>
      </c>
      <c r="P619" s="1" t="s">
        <v>2723</v>
      </c>
    </row>
    <row r="620" spans="1:16">
      <c r="A620" s="1" t="s">
        <v>763</v>
      </c>
      <c r="B620" s="1">
        <v>12</v>
      </c>
      <c r="C620" s="1" t="s">
        <v>2238</v>
      </c>
      <c r="D620" s="1" t="s">
        <v>765</v>
      </c>
      <c r="E620" s="2">
        <v>45992</v>
      </c>
      <c r="F620" s="1" t="s">
        <v>256</v>
      </c>
      <c r="G620" s="1" t="s">
        <v>766</v>
      </c>
      <c r="H620" s="1" t="s">
        <v>767</v>
      </c>
      <c r="I620" s="1">
        <v>1</v>
      </c>
      <c r="J620" s="3">
        <v>8590</v>
      </c>
      <c r="K620" s="3">
        <v>7785</v>
      </c>
      <c r="L620" s="1">
        <v>0</v>
      </c>
      <c r="M620" s="4">
        <v>0</v>
      </c>
      <c r="N620" s="3">
        <v>805</v>
      </c>
      <c r="O620" s="4">
        <v>9.4E-2</v>
      </c>
      <c r="P620" s="1" t="s">
        <v>2723</v>
      </c>
    </row>
    <row r="621" spans="1:16">
      <c r="A621" s="1" t="s">
        <v>763</v>
      </c>
      <c r="B621" s="1">
        <v>12</v>
      </c>
      <c r="C621" s="1" t="s">
        <v>2239</v>
      </c>
      <c r="D621" s="1" t="s">
        <v>2083</v>
      </c>
      <c r="E621" s="2">
        <v>45992</v>
      </c>
      <c r="F621" s="1" t="s">
        <v>426</v>
      </c>
      <c r="G621" s="1" t="s">
        <v>2084</v>
      </c>
      <c r="H621" s="1" t="s">
        <v>2240</v>
      </c>
      <c r="I621" s="1">
        <v>1</v>
      </c>
      <c r="J621" s="3">
        <v>25200</v>
      </c>
      <c r="K621" s="3">
        <v>23450</v>
      </c>
      <c r="L621" s="1">
        <v>0</v>
      </c>
      <c r="M621" s="4">
        <v>0</v>
      </c>
      <c r="N621" s="3">
        <v>1750</v>
      </c>
      <c r="O621" s="4">
        <v>6.9000000000000006E-2</v>
      </c>
      <c r="P621" s="1" t="s">
        <v>2723</v>
      </c>
    </row>
    <row r="622" spans="1:16">
      <c r="A622" s="1" t="s">
        <v>763</v>
      </c>
      <c r="B622" s="1">
        <v>12</v>
      </c>
      <c r="C622" s="1" t="s">
        <v>2241</v>
      </c>
      <c r="D622" s="1" t="s">
        <v>769</v>
      </c>
      <c r="E622" s="2">
        <v>45992</v>
      </c>
      <c r="F622" s="1" t="s">
        <v>48</v>
      </c>
      <c r="G622" s="1" t="s">
        <v>770</v>
      </c>
      <c r="H622" s="1" t="s">
        <v>771</v>
      </c>
      <c r="I622" s="1">
        <v>1</v>
      </c>
      <c r="J622" s="3">
        <v>14900</v>
      </c>
      <c r="K622" s="3">
        <v>12513</v>
      </c>
      <c r="L622" s="1">
        <v>0</v>
      </c>
      <c r="M622" s="4">
        <v>0</v>
      </c>
      <c r="N622" s="3">
        <v>2387</v>
      </c>
      <c r="O622" s="4">
        <v>0.16</v>
      </c>
      <c r="P622" s="1" t="s">
        <v>2723</v>
      </c>
    </row>
    <row r="623" spans="1:16">
      <c r="A623" s="1" t="s">
        <v>763</v>
      </c>
      <c r="B623" s="1">
        <v>12</v>
      </c>
      <c r="C623" s="1" t="s">
        <v>2242</v>
      </c>
      <c r="D623" s="1" t="s">
        <v>769</v>
      </c>
      <c r="E623" s="2">
        <v>45992</v>
      </c>
      <c r="F623" s="1" t="s">
        <v>48</v>
      </c>
      <c r="G623" s="1" t="s">
        <v>770</v>
      </c>
      <c r="H623" s="1" t="s">
        <v>771</v>
      </c>
      <c r="I623" s="1">
        <v>1</v>
      </c>
      <c r="J623" s="3">
        <v>14900</v>
      </c>
      <c r="K623" s="3">
        <v>12513</v>
      </c>
      <c r="L623" s="1">
        <v>0</v>
      </c>
      <c r="M623" s="4">
        <v>0</v>
      </c>
      <c r="N623" s="3">
        <v>2387</v>
      </c>
      <c r="O623" s="4">
        <v>0.16</v>
      </c>
      <c r="P623" s="1" t="s">
        <v>2723</v>
      </c>
    </row>
    <row r="624" spans="1:16">
      <c r="A624" s="1" t="s">
        <v>763</v>
      </c>
      <c r="B624" s="1">
        <v>12</v>
      </c>
      <c r="C624" s="1" t="s">
        <v>2243</v>
      </c>
      <c r="D624" s="1" t="s">
        <v>2244</v>
      </c>
      <c r="E624" s="2">
        <v>45992</v>
      </c>
      <c r="F624" s="1" t="s">
        <v>53</v>
      </c>
      <c r="G624" s="1" t="s">
        <v>2245</v>
      </c>
      <c r="H624" s="1" t="s">
        <v>2246</v>
      </c>
      <c r="I624" s="1">
        <v>1</v>
      </c>
      <c r="J624" s="3">
        <v>13260</v>
      </c>
      <c r="K624" s="3">
        <v>11956</v>
      </c>
      <c r="L624" s="1">
        <v>0</v>
      </c>
      <c r="M624" s="4">
        <v>0</v>
      </c>
      <c r="N624" s="3">
        <v>1304</v>
      </c>
      <c r="O624" s="4">
        <v>9.8000000000000004E-2</v>
      </c>
      <c r="P624" s="1" t="s">
        <v>2723</v>
      </c>
    </row>
    <row r="625" spans="1:16">
      <c r="A625" s="1" t="s">
        <v>763</v>
      </c>
      <c r="B625" s="1">
        <v>12</v>
      </c>
      <c r="C625" s="1" t="s">
        <v>2247</v>
      </c>
      <c r="D625" s="1" t="s">
        <v>2248</v>
      </c>
      <c r="E625" s="2">
        <v>45992</v>
      </c>
      <c r="F625" s="1" t="s">
        <v>2206</v>
      </c>
      <c r="G625" s="1" t="s">
        <v>2249</v>
      </c>
      <c r="H625" s="1" t="s">
        <v>2250</v>
      </c>
      <c r="I625" s="1">
        <v>1</v>
      </c>
      <c r="J625" s="3">
        <v>15640</v>
      </c>
      <c r="K625" s="3">
        <v>14149</v>
      </c>
      <c r="L625" s="1">
        <v>0</v>
      </c>
      <c r="M625" s="4">
        <v>0</v>
      </c>
      <c r="N625" s="3">
        <v>1491</v>
      </c>
      <c r="O625" s="4">
        <v>9.5000000000000001E-2</v>
      </c>
      <c r="P625" s="1" t="s">
        <v>2723</v>
      </c>
    </row>
    <row r="626" spans="1:16">
      <c r="A626" s="1" t="s">
        <v>763</v>
      </c>
      <c r="B626" s="1">
        <v>12</v>
      </c>
      <c r="C626" s="1" t="s">
        <v>2251</v>
      </c>
      <c r="D626" s="1" t="s">
        <v>2205</v>
      </c>
      <c r="E626" s="2">
        <v>45992</v>
      </c>
      <c r="F626" s="1" t="s">
        <v>2206</v>
      </c>
      <c r="G626" s="1" t="s">
        <v>2207</v>
      </c>
      <c r="H626" s="1" t="s">
        <v>2208</v>
      </c>
      <c r="I626" s="1">
        <v>1</v>
      </c>
      <c r="J626" s="3">
        <v>22610</v>
      </c>
      <c r="K626" s="3">
        <v>20437</v>
      </c>
      <c r="L626" s="1">
        <v>0</v>
      </c>
      <c r="M626" s="4">
        <v>0</v>
      </c>
      <c r="N626" s="3">
        <v>2173</v>
      </c>
      <c r="O626" s="4">
        <v>9.6000000000000002E-2</v>
      </c>
      <c r="P626" s="1" t="s">
        <v>2723</v>
      </c>
    </row>
    <row r="627" spans="1:16">
      <c r="A627" s="1" t="s">
        <v>763</v>
      </c>
      <c r="B627" s="1">
        <v>12</v>
      </c>
      <c r="C627" s="1" t="s">
        <v>2252</v>
      </c>
      <c r="D627" s="1" t="s">
        <v>2253</v>
      </c>
      <c r="E627" s="2">
        <v>45992</v>
      </c>
      <c r="F627" s="1" t="s">
        <v>96</v>
      </c>
      <c r="G627" s="1" t="s">
        <v>2254</v>
      </c>
      <c r="H627" s="1" t="s">
        <v>2255</v>
      </c>
      <c r="I627" s="1">
        <v>1</v>
      </c>
      <c r="J627" s="3">
        <v>12670</v>
      </c>
      <c r="K627" s="3">
        <v>10285</v>
      </c>
      <c r="L627" s="1">
        <v>0</v>
      </c>
      <c r="M627" s="4">
        <v>0</v>
      </c>
      <c r="N627" s="3">
        <v>2385</v>
      </c>
      <c r="O627" s="4">
        <v>0.188</v>
      </c>
      <c r="P627" s="1" t="s">
        <v>2723</v>
      </c>
    </row>
    <row r="628" spans="1:16">
      <c r="A628" s="1" t="s">
        <v>763</v>
      </c>
      <c r="B628" s="1">
        <v>12</v>
      </c>
      <c r="C628" s="1" t="s">
        <v>2256</v>
      </c>
      <c r="D628" s="1" t="s">
        <v>2257</v>
      </c>
      <c r="E628" s="2">
        <v>45992</v>
      </c>
      <c r="F628" s="1" t="s">
        <v>2206</v>
      </c>
      <c r="G628" s="1" t="s">
        <v>2258</v>
      </c>
      <c r="H628" s="1" t="s">
        <v>2259</v>
      </c>
      <c r="I628" s="1">
        <v>1</v>
      </c>
      <c r="J628" s="3">
        <v>37320</v>
      </c>
      <c r="K628" s="3">
        <v>33800</v>
      </c>
      <c r="L628" s="1">
        <v>0</v>
      </c>
      <c r="M628" s="4">
        <v>0</v>
      </c>
      <c r="N628" s="3">
        <v>3520</v>
      </c>
      <c r="O628" s="4">
        <v>9.4E-2</v>
      </c>
      <c r="P628" s="1" t="s">
        <v>2723</v>
      </c>
    </row>
    <row r="629" spans="1:16">
      <c r="A629" s="1" t="s">
        <v>763</v>
      </c>
      <c r="B629" s="1">
        <v>12</v>
      </c>
      <c r="C629" s="1" t="s">
        <v>2260</v>
      </c>
      <c r="D629" s="1" t="s">
        <v>2261</v>
      </c>
      <c r="E629" s="2">
        <v>45992</v>
      </c>
      <c r="F629" s="1" t="s">
        <v>2188</v>
      </c>
      <c r="G629" s="1" t="s">
        <v>2262</v>
      </c>
      <c r="H629" s="1" t="s">
        <v>2263</v>
      </c>
      <c r="I629" s="1">
        <v>1</v>
      </c>
      <c r="J629" s="3">
        <v>17950</v>
      </c>
      <c r="K629" s="3">
        <v>15800</v>
      </c>
      <c r="L629" s="1">
        <v>0</v>
      </c>
      <c r="M629" s="4">
        <v>0</v>
      </c>
      <c r="N629" s="3">
        <v>2150</v>
      </c>
      <c r="O629" s="4">
        <v>0.12</v>
      </c>
      <c r="P629" s="1" t="s">
        <v>2723</v>
      </c>
    </row>
    <row r="630" spans="1:16">
      <c r="A630" s="1" t="s">
        <v>763</v>
      </c>
      <c r="B630" s="1">
        <v>12</v>
      </c>
      <c r="C630" s="1" t="s">
        <v>2264</v>
      </c>
      <c r="D630" s="1" t="s">
        <v>2248</v>
      </c>
      <c r="E630" s="2">
        <v>45992</v>
      </c>
      <c r="F630" s="1" t="s">
        <v>2206</v>
      </c>
      <c r="G630" s="1" t="s">
        <v>2249</v>
      </c>
      <c r="H630" s="1" t="s">
        <v>2250</v>
      </c>
      <c r="I630" s="1">
        <v>1</v>
      </c>
      <c r="J630" s="3">
        <v>15640</v>
      </c>
      <c r="K630" s="3">
        <v>14149</v>
      </c>
      <c r="L630" s="1">
        <v>0</v>
      </c>
      <c r="M630" s="4">
        <v>0</v>
      </c>
      <c r="N630" s="3">
        <v>1491</v>
      </c>
      <c r="O630" s="4">
        <v>9.5000000000000001E-2</v>
      </c>
      <c r="P630" s="1" t="s">
        <v>2723</v>
      </c>
    </row>
    <row r="631" spans="1:16">
      <c r="A631" s="1" t="s">
        <v>763</v>
      </c>
      <c r="B631" s="1">
        <v>12</v>
      </c>
      <c r="C631" s="1" t="s">
        <v>2265</v>
      </c>
      <c r="D631" s="1" t="s">
        <v>2266</v>
      </c>
      <c r="E631" s="2">
        <v>45992</v>
      </c>
      <c r="F631" s="1" t="s">
        <v>783</v>
      </c>
      <c r="G631" s="1" t="s">
        <v>2267</v>
      </c>
      <c r="I631" s="1">
        <v>1</v>
      </c>
      <c r="J631" s="3">
        <v>21850</v>
      </c>
      <c r="K631" s="3">
        <v>19792</v>
      </c>
      <c r="L631" s="1">
        <v>0</v>
      </c>
      <c r="M631" s="4">
        <v>0</v>
      </c>
      <c r="N631" s="3">
        <v>2058</v>
      </c>
      <c r="O631" s="4">
        <v>9.4E-2</v>
      </c>
      <c r="P631" s="1" t="s">
        <v>2723</v>
      </c>
    </row>
    <row r="632" spans="1:16">
      <c r="A632" s="1" t="s">
        <v>763</v>
      </c>
      <c r="B632" s="1">
        <v>12</v>
      </c>
      <c r="C632" s="1" t="s">
        <v>2268</v>
      </c>
      <c r="D632" s="1" t="s">
        <v>2269</v>
      </c>
      <c r="E632" s="2">
        <v>45992</v>
      </c>
      <c r="F632" s="1" t="s">
        <v>2206</v>
      </c>
      <c r="G632" s="1" t="s">
        <v>2270</v>
      </c>
      <c r="I632" s="1">
        <v>1</v>
      </c>
      <c r="J632" s="3">
        <v>14540</v>
      </c>
      <c r="K632" s="3">
        <v>13198</v>
      </c>
      <c r="L632" s="1">
        <v>0</v>
      </c>
      <c r="M632" s="4">
        <v>0</v>
      </c>
      <c r="N632" s="3">
        <v>1342</v>
      </c>
      <c r="O632" s="4">
        <v>9.1999999999999998E-2</v>
      </c>
      <c r="P632" s="1" t="s">
        <v>2723</v>
      </c>
    </row>
    <row r="633" spans="1:16">
      <c r="A633" s="1" t="s">
        <v>763</v>
      </c>
      <c r="B633" s="1">
        <v>12</v>
      </c>
      <c r="C633" s="1" t="s">
        <v>2268</v>
      </c>
      <c r="D633" s="1" t="s">
        <v>2205</v>
      </c>
      <c r="E633" s="2">
        <v>45992</v>
      </c>
      <c r="F633" s="1" t="s">
        <v>2206</v>
      </c>
      <c r="G633" s="1" t="s">
        <v>2207</v>
      </c>
      <c r="H633" s="1" t="s">
        <v>2208</v>
      </c>
      <c r="I633" s="1">
        <v>1</v>
      </c>
      <c r="J633" s="3">
        <v>22610</v>
      </c>
      <c r="K633" s="3">
        <v>20437</v>
      </c>
      <c r="L633" s="3">
        <v>0</v>
      </c>
      <c r="M633" s="4">
        <v>0</v>
      </c>
      <c r="N633" s="3">
        <v>2173</v>
      </c>
      <c r="O633" s="4">
        <v>9.6000000000000002E-2</v>
      </c>
      <c r="P633" s="1" t="s">
        <v>2723</v>
      </c>
    </row>
    <row r="634" spans="1:16">
      <c r="A634" s="1" t="s">
        <v>624</v>
      </c>
      <c r="B634" s="1">
        <v>12</v>
      </c>
      <c r="C634" s="1">
        <v>2025120118183700</v>
      </c>
      <c r="D634" s="1" t="s">
        <v>621</v>
      </c>
      <c r="E634" s="2">
        <v>45992</v>
      </c>
      <c r="F634" s="1" t="s">
        <v>604</v>
      </c>
      <c r="G634" s="1" t="s">
        <v>622</v>
      </c>
      <c r="H634" s="1" t="s">
        <v>625</v>
      </c>
      <c r="I634" s="1">
        <v>1</v>
      </c>
      <c r="J634" s="3">
        <v>8878</v>
      </c>
      <c r="K634" s="3">
        <v>3675</v>
      </c>
      <c r="L634" s="3">
        <v>1154</v>
      </c>
      <c r="M634" s="4">
        <v>0.13</v>
      </c>
      <c r="N634" s="3">
        <v>4049</v>
      </c>
      <c r="O634" s="4">
        <v>0.45600000000000002</v>
      </c>
      <c r="P634" s="1" t="s">
        <v>2721</v>
      </c>
    </row>
    <row r="635" spans="1:16">
      <c r="A635" s="1" t="s">
        <v>626</v>
      </c>
      <c r="B635" s="1">
        <v>12</v>
      </c>
      <c r="C635" s="1">
        <v>69588674</v>
      </c>
      <c r="D635" s="1" t="s">
        <v>627</v>
      </c>
      <c r="E635" s="2">
        <v>45992</v>
      </c>
      <c r="F635" s="1" t="s">
        <v>604</v>
      </c>
      <c r="G635" s="1" t="s">
        <v>628</v>
      </c>
      <c r="H635" s="1" t="s">
        <v>2271</v>
      </c>
      <c r="I635" s="1">
        <v>2</v>
      </c>
      <c r="J635" s="3">
        <v>12800</v>
      </c>
      <c r="K635" s="3">
        <v>3600</v>
      </c>
      <c r="L635" s="3">
        <v>1408</v>
      </c>
      <c r="M635" s="4">
        <v>0.11</v>
      </c>
      <c r="N635" s="3">
        <v>7792</v>
      </c>
      <c r="O635" s="4">
        <v>0.60899999999999999</v>
      </c>
      <c r="P635" s="1" t="s">
        <v>2721</v>
      </c>
    </row>
    <row r="636" spans="1:16">
      <c r="A636" s="1" t="s">
        <v>626</v>
      </c>
      <c r="B636" s="1">
        <v>12</v>
      </c>
      <c r="C636" s="1">
        <v>69572624</v>
      </c>
      <c r="D636" s="1" t="s">
        <v>627</v>
      </c>
      <c r="E636" s="2">
        <v>45992</v>
      </c>
      <c r="F636" s="1" t="s">
        <v>604</v>
      </c>
      <c r="G636" s="1" t="s">
        <v>628</v>
      </c>
      <c r="H636" s="1" t="s">
        <v>629</v>
      </c>
      <c r="I636" s="1">
        <v>1</v>
      </c>
      <c r="J636" s="3">
        <v>8000</v>
      </c>
      <c r="K636" s="3">
        <v>1800</v>
      </c>
      <c r="L636" s="1">
        <v>880</v>
      </c>
      <c r="M636" s="4">
        <v>0.11</v>
      </c>
      <c r="N636" s="3">
        <v>5320</v>
      </c>
      <c r="O636" s="4">
        <v>0.66500000000000004</v>
      </c>
      <c r="P636" s="1" t="s">
        <v>2721</v>
      </c>
    </row>
    <row r="637" spans="1:16">
      <c r="A637" s="1" t="s">
        <v>626</v>
      </c>
      <c r="B637" s="1">
        <v>12</v>
      </c>
      <c r="C637" s="1">
        <v>69572569</v>
      </c>
      <c r="D637" s="1" t="s">
        <v>627</v>
      </c>
      <c r="E637" s="2">
        <v>45992</v>
      </c>
      <c r="F637" s="1" t="s">
        <v>604</v>
      </c>
      <c r="G637" s="1" t="s">
        <v>628</v>
      </c>
      <c r="H637" s="1" t="s">
        <v>629</v>
      </c>
      <c r="I637" s="1">
        <v>1</v>
      </c>
      <c r="J637" s="3">
        <v>8000</v>
      </c>
      <c r="K637" s="3">
        <v>1800</v>
      </c>
      <c r="L637" s="3">
        <v>880</v>
      </c>
      <c r="M637" s="4">
        <v>0.11</v>
      </c>
      <c r="N637" s="3">
        <v>5320</v>
      </c>
      <c r="O637" s="4">
        <v>0.66500000000000004</v>
      </c>
      <c r="P637" s="1" t="s">
        <v>2721</v>
      </c>
    </row>
    <row r="638" spans="1:16">
      <c r="A638" s="1" t="s">
        <v>630</v>
      </c>
      <c r="B638" s="1">
        <v>12</v>
      </c>
      <c r="C638" s="1">
        <v>1117735676895490</v>
      </c>
      <c r="D638" s="1" t="s">
        <v>627</v>
      </c>
      <c r="E638" s="2">
        <v>45992</v>
      </c>
      <c r="F638" s="1" t="s">
        <v>604</v>
      </c>
      <c r="G638" s="1" t="s">
        <v>628</v>
      </c>
      <c r="H638" s="1" t="s">
        <v>631</v>
      </c>
      <c r="I638" s="1">
        <v>6</v>
      </c>
      <c r="J638" s="3">
        <v>37830</v>
      </c>
      <c r="K638" s="3">
        <v>13300</v>
      </c>
      <c r="L638" s="3">
        <v>2497</v>
      </c>
      <c r="M638" s="4">
        <v>6.6000000000000003E-2</v>
      </c>
      <c r="N638" s="3">
        <v>22033</v>
      </c>
      <c r="O638" s="4">
        <v>0.58199999999999996</v>
      </c>
      <c r="P638" s="1" t="s">
        <v>2721</v>
      </c>
    </row>
    <row r="639" spans="1:16">
      <c r="A639" s="1" t="s">
        <v>718</v>
      </c>
      <c r="B639" s="1">
        <v>12</v>
      </c>
      <c r="C639" s="1">
        <v>2.0251119222127398E+17</v>
      </c>
      <c r="D639" s="1" t="s">
        <v>2272</v>
      </c>
      <c r="E639" s="2">
        <v>45992</v>
      </c>
      <c r="F639" s="1" t="s">
        <v>235</v>
      </c>
      <c r="G639" s="1" t="s">
        <v>2273</v>
      </c>
      <c r="H639" s="1" t="s">
        <v>2274</v>
      </c>
      <c r="I639" s="1">
        <v>1</v>
      </c>
      <c r="J639" s="3">
        <v>17000</v>
      </c>
      <c r="K639" s="3">
        <v>11678</v>
      </c>
      <c r="L639" s="3">
        <v>1700</v>
      </c>
      <c r="M639" s="4">
        <v>0.1</v>
      </c>
      <c r="N639" s="3">
        <v>3622</v>
      </c>
      <c r="O639" s="4">
        <v>0.21299999999999999</v>
      </c>
      <c r="P639" s="1" t="s">
        <v>2721</v>
      </c>
    </row>
    <row r="640" spans="1:16">
      <c r="A640" s="1" t="s">
        <v>15</v>
      </c>
      <c r="B640" s="1">
        <v>12</v>
      </c>
      <c r="C640" s="1" t="s">
        <v>2275</v>
      </c>
      <c r="D640" s="1" t="s">
        <v>394</v>
      </c>
      <c r="E640" s="2">
        <v>45993</v>
      </c>
      <c r="F640" s="1" t="s">
        <v>395</v>
      </c>
      <c r="G640" s="1" t="s">
        <v>396</v>
      </c>
      <c r="H640" s="1" t="s">
        <v>397</v>
      </c>
      <c r="I640" s="1">
        <v>1</v>
      </c>
      <c r="J640" s="3">
        <v>18874</v>
      </c>
      <c r="K640" s="3">
        <v>18010</v>
      </c>
      <c r="L640" s="1">
        <v>0</v>
      </c>
      <c r="M640" s="4">
        <v>0</v>
      </c>
      <c r="N640" s="1">
        <v>864</v>
      </c>
      <c r="O640" s="4">
        <v>4.5999999999999999E-2</v>
      </c>
      <c r="P640" s="1" t="s">
        <v>2721</v>
      </c>
    </row>
    <row r="641" spans="1:16">
      <c r="A641" s="1" t="s">
        <v>15</v>
      </c>
      <c r="B641" s="1">
        <v>12</v>
      </c>
      <c r="C641" s="1" t="s">
        <v>2276</v>
      </c>
      <c r="D641" s="1" t="s">
        <v>1191</v>
      </c>
      <c r="E641" s="2">
        <v>45993</v>
      </c>
      <c r="F641" s="1" t="s">
        <v>570</v>
      </c>
      <c r="G641" s="1" t="s">
        <v>1192</v>
      </c>
      <c r="H641" s="1" t="s">
        <v>1193</v>
      </c>
      <c r="I641" s="1">
        <v>1</v>
      </c>
      <c r="J641" s="3">
        <v>16514</v>
      </c>
      <c r="K641" s="3">
        <v>15758</v>
      </c>
      <c r="L641" s="1">
        <v>0</v>
      </c>
      <c r="M641" s="4">
        <v>0</v>
      </c>
      <c r="N641" s="1">
        <v>756</v>
      </c>
      <c r="O641" s="4">
        <v>4.5999999999999999E-2</v>
      </c>
      <c r="P641" s="1" t="s">
        <v>2721</v>
      </c>
    </row>
    <row r="642" spans="1:16">
      <c r="A642" s="1" t="s">
        <v>15</v>
      </c>
      <c r="B642" s="1">
        <v>12</v>
      </c>
      <c r="C642" s="1" t="s">
        <v>2277</v>
      </c>
      <c r="D642" s="1" t="s">
        <v>1531</v>
      </c>
      <c r="E642" s="2">
        <v>45993</v>
      </c>
      <c r="F642" s="1" t="s">
        <v>53</v>
      </c>
      <c r="G642" s="1" t="s">
        <v>1532</v>
      </c>
      <c r="H642" s="1" t="s">
        <v>1533</v>
      </c>
      <c r="I642" s="1">
        <v>1</v>
      </c>
      <c r="J642" s="3">
        <v>8022</v>
      </c>
      <c r="K642" s="3">
        <v>7655</v>
      </c>
      <c r="L642" s="1">
        <v>0</v>
      </c>
      <c r="M642" s="4">
        <v>0</v>
      </c>
      <c r="N642" s="1">
        <v>367</v>
      </c>
      <c r="O642" s="4">
        <v>4.5999999999999999E-2</v>
      </c>
      <c r="P642" s="1" t="s">
        <v>2721</v>
      </c>
    </row>
    <row r="643" spans="1:16">
      <c r="A643" s="1" t="s">
        <v>15</v>
      </c>
      <c r="B643" s="1">
        <v>12</v>
      </c>
      <c r="C643" s="1" t="s">
        <v>2278</v>
      </c>
      <c r="D643" s="1" t="s">
        <v>250</v>
      </c>
      <c r="E643" s="2">
        <v>45993</v>
      </c>
      <c r="F643" s="1" t="s">
        <v>251</v>
      </c>
      <c r="G643" s="1" t="s">
        <v>252</v>
      </c>
      <c r="H643" s="1" t="s">
        <v>2279</v>
      </c>
      <c r="I643" s="1">
        <v>1</v>
      </c>
      <c r="J643" s="3">
        <v>21626</v>
      </c>
      <c r="K643" s="3">
        <v>20636</v>
      </c>
      <c r="L643" s="1">
        <v>0</v>
      </c>
      <c r="M643" s="4">
        <v>0</v>
      </c>
      <c r="N643" s="1">
        <v>990</v>
      </c>
      <c r="O643" s="4">
        <v>4.5999999999999999E-2</v>
      </c>
      <c r="P643" s="1" t="s">
        <v>2721</v>
      </c>
    </row>
    <row r="644" spans="1:16">
      <c r="A644" s="1" t="s">
        <v>15</v>
      </c>
      <c r="B644" s="1">
        <v>12</v>
      </c>
      <c r="C644" s="1" t="s">
        <v>2280</v>
      </c>
      <c r="D644" s="1" t="s">
        <v>2281</v>
      </c>
      <c r="E644" s="2">
        <v>45993</v>
      </c>
      <c r="F644" s="1" t="s">
        <v>1325</v>
      </c>
      <c r="G644" s="1" t="s">
        <v>2282</v>
      </c>
      <c r="H644" s="1" t="s">
        <v>2283</v>
      </c>
      <c r="I644" s="1">
        <v>1</v>
      </c>
      <c r="J644" s="3">
        <v>7864</v>
      </c>
      <c r="K644" s="3">
        <v>7504</v>
      </c>
      <c r="L644" s="1">
        <v>0</v>
      </c>
      <c r="M644" s="4">
        <v>0</v>
      </c>
      <c r="N644" s="1">
        <v>360</v>
      </c>
      <c r="O644" s="4">
        <v>4.5999999999999999E-2</v>
      </c>
      <c r="P644" s="1" t="s">
        <v>2721</v>
      </c>
    </row>
    <row r="645" spans="1:16">
      <c r="A645" s="1" t="s">
        <v>15</v>
      </c>
      <c r="B645" s="1">
        <v>12</v>
      </c>
      <c r="C645" s="1" t="s">
        <v>2284</v>
      </c>
      <c r="D645" s="1" t="s">
        <v>169</v>
      </c>
      <c r="E645" s="2">
        <v>45993</v>
      </c>
      <c r="F645" s="1" t="s">
        <v>53</v>
      </c>
      <c r="G645" s="1" t="s">
        <v>170</v>
      </c>
      <c r="H645" s="1" t="s">
        <v>171</v>
      </c>
      <c r="I645" s="1">
        <v>1</v>
      </c>
      <c r="J645" s="3">
        <v>14332</v>
      </c>
      <c r="K645" s="3">
        <v>13676</v>
      </c>
      <c r="L645" s="1">
        <v>0</v>
      </c>
      <c r="M645" s="4">
        <v>0</v>
      </c>
      <c r="N645" s="1">
        <v>656</v>
      </c>
      <c r="O645" s="4">
        <v>4.5999999999999999E-2</v>
      </c>
      <c r="P645" s="1" t="s">
        <v>2721</v>
      </c>
    </row>
    <row r="646" spans="1:16">
      <c r="A646" s="1" t="s">
        <v>15</v>
      </c>
      <c r="B646" s="1">
        <v>12</v>
      </c>
      <c r="C646" s="1" t="s">
        <v>2285</v>
      </c>
      <c r="D646" s="1" t="s">
        <v>931</v>
      </c>
      <c r="E646" s="2">
        <v>45993</v>
      </c>
      <c r="F646" s="1" t="s">
        <v>932</v>
      </c>
      <c r="G646" s="1" t="s">
        <v>933</v>
      </c>
      <c r="H646" s="1" t="s">
        <v>1037</v>
      </c>
      <c r="I646" s="1">
        <v>1</v>
      </c>
      <c r="J646" s="3">
        <v>19660</v>
      </c>
      <c r="K646" s="3">
        <v>18760</v>
      </c>
      <c r="L646" s="1">
        <v>0</v>
      </c>
      <c r="M646" s="4">
        <v>0</v>
      </c>
      <c r="N646" s="1">
        <v>900</v>
      </c>
      <c r="O646" s="4">
        <v>4.5999999999999999E-2</v>
      </c>
      <c r="P646" s="1" t="s">
        <v>2721</v>
      </c>
    </row>
    <row r="647" spans="1:16">
      <c r="A647" s="1" t="s">
        <v>15</v>
      </c>
      <c r="B647" s="1">
        <v>12</v>
      </c>
      <c r="C647" s="1" t="s">
        <v>2286</v>
      </c>
      <c r="D647" s="1" t="s">
        <v>492</v>
      </c>
      <c r="E647" s="2">
        <v>45993</v>
      </c>
      <c r="F647" s="1" t="s">
        <v>493</v>
      </c>
      <c r="G647" s="1" t="s">
        <v>494</v>
      </c>
      <c r="H647" s="1" t="s">
        <v>495</v>
      </c>
      <c r="I647" s="1">
        <v>1</v>
      </c>
      <c r="J647" s="3">
        <v>7569</v>
      </c>
      <c r="K647" s="3">
        <v>7223</v>
      </c>
      <c r="L647" s="1">
        <v>0</v>
      </c>
      <c r="M647" s="4">
        <v>0</v>
      </c>
      <c r="N647" s="1">
        <v>346</v>
      </c>
      <c r="O647" s="4">
        <v>4.5999999999999999E-2</v>
      </c>
      <c r="P647" s="1" t="s">
        <v>2721</v>
      </c>
    </row>
    <row r="648" spans="1:16">
      <c r="A648" s="1" t="s">
        <v>15</v>
      </c>
      <c r="B648" s="1">
        <v>12</v>
      </c>
      <c r="C648" s="1" t="s">
        <v>2287</v>
      </c>
      <c r="D648" s="1" t="s">
        <v>224</v>
      </c>
      <c r="E648" s="2">
        <v>45993</v>
      </c>
      <c r="F648" s="1" t="s">
        <v>96</v>
      </c>
      <c r="G648" s="1" t="s">
        <v>225</v>
      </c>
      <c r="H648" s="1" t="s">
        <v>972</v>
      </c>
      <c r="I648" s="1">
        <v>1</v>
      </c>
      <c r="J648" s="3">
        <v>12571</v>
      </c>
      <c r="K648" s="3">
        <v>11995</v>
      </c>
      <c r="L648" s="1">
        <v>0</v>
      </c>
      <c r="M648" s="4">
        <v>0</v>
      </c>
      <c r="N648" s="3">
        <v>576</v>
      </c>
      <c r="O648" s="4">
        <v>4.5999999999999999E-2</v>
      </c>
      <c r="P648" s="1" t="s">
        <v>2721</v>
      </c>
    </row>
    <row r="649" spans="1:16">
      <c r="A649" s="1" t="s">
        <v>15</v>
      </c>
      <c r="B649" s="1">
        <v>12</v>
      </c>
      <c r="C649" s="1" t="s">
        <v>2288</v>
      </c>
      <c r="D649" s="1" t="s">
        <v>482</v>
      </c>
      <c r="E649" s="2">
        <v>45993</v>
      </c>
      <c r="F649" s="1" t="s">
        <v>483</v>
      </c>
      <c r="G649" s="1" t="s">
        <v>484</v>
      </c>
      <c r="H649" s="1" t="s">
        <v>1610</v>
      </c>
      <c r="I649" s="1">
        <v>1</v>
      </c>
      <c r="J649" s="3">
        <v>81098</v>
      </c>
      <c r="K649" s="3">
        <v>77385</v>
      </c>
      <c r="L649" s="1">
        <v>0</v>
      </c>
      <c r="M649" s="4">
        <v>0</v>
      </c>
      <c r="N649" s="3">
        <v>3713</v>
      </c>
      <c r="O649" s="4">
        <v>4.5999999999999999E-2</v>
      </c>
      <c r="P649" s="1" t="s">
        <v>2721</v>
      </c>
    </row>
    <row r="650" spans="1:16">
      <c r="A650" s="1" t="s">
        <v>15</v>
      </c>
      <c r="B650" s="1">
        <v>12</v>
      </c>
      <c r="C650" s="1" t="s">
        <v>2288</v>
      </c>
      <c r="D650" s="1" t="s">
        <v>482</v>
      </c>
      <c r="E650" s="2">
        <v>45993</v>
      </c>
      <c r="F650" s="1" t="s">
        <v>483</v>
      </c>
      <c r="G650" s="1" t="s">
        <v>484</v>
      </c>
      <c r="H650" s="1" t="s">
        <v>1039</v>
      </c>
      <c r="I650" s="1">
        <v>2</v>
      </c>
      <c r="J650" s="3">
        <v>54851</v>
      </c>
      <c r="K650" s="3">
        <v>52340</v>
      </c>
      <c r="L650" s="1">
        <v>0</v>
      </c>
      <c r="M650" s="4">
        <v>0</v>
      </c>
      <c r="N650" s="3">
        <v>2511</v>
      </c>
      <c r="O650" s="4">
        <v>4.5999999999999999E-2</v>
      </c>
      <c r="P650" s="1" t="s">
        <v>2721</v>
      </c>
    </row>
    <row r="651" spans="1:16">
      <c r="A651" s="1" t="s">
        <v>15</v>
      </c>
      <c r="B651" s="1">
        <v>12</v>
      </c>
      <c r="C651" s="1" t="s">
        <v>2289</v>
      </c>
      <c r="D651" s="1" t="s">
        <v>244</v>
      </c>
      <c r="E651" s="2">
        <v>45993</v>
      </c>
      <c r="F651" s="1" t="s">
        <v>53</v>
      </c>
      <c r="G651" s="1" t="s">
        <v>245</v>
      </c>
      <c r="H651" s="1" t="s">
        <v>246</v>
      </c>
      <c r="I651" s="1">
        <v>1</v>
      </c>
      <c r="J651" s="3">
        <v>8272</v>
      </c>
      <c r="K651" s="3">
        <v>7893</v>
      </c>
      <c r="L651" s="1">
        <v>0</v>
      </c>
      <c r="M651" s="4">
        <v>0</v>
      </c>
      <c r="N651" s="1">
        <v>379</v>
      </c>
      <c r="O651" s="4">
        <v>4.5999999999999999E-2</v>
      </c>
      <c r="P651" s="1" t="s">
        <v>2721</v>
      </c>
    </row>
    <row r="652" spans="1:16">
      <c r="A652" s="1" t="s">
        <v>15</v>
      </c>
      <c r="B652" s="1">
        <v>12</v>
      </c>
      <c r="C652" s="1" t="s">
        <v>2290</v>
      </c>
      <c r="D652" s="1" t="s">
        <v>2291</v>
      </c>
      <c r="E652" s="2">
        <v>45993</v>
      </c>
      <c r="F652" s="1" t="s">
        <v>53</v>
      </c>
      <c r="G652" s="1" t="s">
        <v>2292</v>
      </c>
      <c r="H652" s="1" t="s">
        <v>2293</v>
      </c>
      <c r="I652" s="1">
        <v>1</v>
      </c>
      <c r="J652" s="3">
        <v>9825</v>
      </c>
      <c r="K652" s="3">
        <v>9375</v>
      </c>
      <c r="L652" s="1">
        <v>0</v>
      </c>
      <c r="M652" s="4">
        <v>0</v>
      </c>
      <c r="N652" s="3">
        <v>450</v>
      </c>
      <c r="O652" s="4">
        <v>4.5999999999999999E-2</v>
      </c>
      <c r="P652" s="1" t="s">
        <v>2721</v>
      </c>
    </row>
    <row r="653" spans="1:16">
      <c r="A653" s="1" t="s">
        <v>15</v>
      </c>
      <c r="B653" s="1">
        <v>12</v>
      </c>
      <c r="C653" s="1" t="s">
        <v>2294</v>
      </c>
      <c r="D653" s="1" t="s">
        <v>311</v>
      </c>
      <c r="E653" s="2">
        <v>45993</v>
      </c>
      <c r="F653" s="1" t="s">
        <v>312</v>
      </c>
      <c r="G653" s="1" t="s">
        <v>313</v>
      </c>
      <c r="H653" s="1" t="s">
        <v>2295</v>
      </c>
      <c r="I653" s="1">
        <v>1</v>
      </c>
      <c r="J653" s="3">
        <v>28310</v>
      </c>
      <c r="K653" s="3">
        <v>27014</v>
      </c>
      <c r="L653" s="1">
        <v>0</v>
      </c>
      <c r="M653" s="4">
        <v>0</v>
      </c>
      <c r="N653" s="3">
        <v>1296</v>
      </c>
      <c r="O653" s="4">
        <v>4.5999999999999999E-2</v>
      </c>
      <c r="P653" s="1" t="s">
        <v>2721</v>
      </c>
    </row>
    <row r="654" spans="1:16">
      <c r="A654" s="1" t="s">
        <v>15</v>
      </c>
      <c r="B654" s="1">
        <v>12</v>
      </c>
      <c r="C654" s="1" t="s">
        <v>2296</v>
      </c>
      <c r="D654" s="1" t="s">
        <v>80</v>
      </c>
      <c r="E654" s="2">
        <v>45993</v>
      </c>
      <c r="F654" s="1" t="s">
        <v>58</v>
      </c>
      <c r="G654" s="1" t="s">
        <v>81</v>
      </c>
      <c r="H654" s="1" t="s">
        <v>2297</v>
      </c>
      <c r="I654" s="1">
        <v>1</v>
      </c>
      <c r="J654" s="3">
        <v>17301</v>
      </c>
      <c r="K654" s="3">
        <v>16509</v>
      </c>
      <c r="L654" s="1">
        <v>0</v>
      </c>
      <c r="M654" s="4">
        <v>0</v>
      </c>
      <c r="N654" s="1">
        <v>792</v>
      </c>
      <c r="O654" s="4">
        <v>4.5999999999999999E-2</v>
      </c>
      <c r="P654" s="1" t="s">
        <v>2721</v>
      </c>
    </row>
    <row r="655" spans="1:16">
      <c r="A655" s="1" t="s">
        <v>15</v>
      </c>
      <c r="B655" s="1">
        <v>12</v>
      </c>
      <c r="C655" s="1" t="s">
        <v>2296</v>
      </c>
      <c r="D655" s="1" t="s">
        <v>1137</v>
      </c>
      <c r="E655" s="2">
        <v>45993</v>
      </c>
      <c r="F655" s="1" t="s">
        <v>58</v>
      </c>
      <c r="G655" s="1" t="s">
        <v>1138</v>
      </c>
      <c r="H655" s="1" t="s">
        <v>2298</v>
      </c>
      <c r="I655" s="1">
        <v>1</v>
      </c>
      <c r="J655" s="3">
        <v>14450</v>
      </c>
      <c r="K655" s="3">
        <v>13789</v>
      </c>
      <c r="L655" s="1">
        <v>0</v>
      </c>
      <c r="M655" s="4">
        <v>0</v>
      </c>
      <c r="N655" s="3">
        <v>661</v>
      </c>
      <c r="O655" s="4">
        <v>4.5999999999999999E-2</v>
      </c>
      <c r="P655" s="1" t="s">
        <v>2721</v>
      </c>
    </row>
    <row r="656" spans="1:16">
      <c r="A656" s="1" t="s">
        <v>15</v>
      </c>
      <c r="B656" s="1">
        <v>12</v>
      </c>
      <c r="C656" s="1" t="s">
        <v>2299</v>
      </c>
      <c r="D656" s="1" t="s">
        <v>311</v>
      </c>
      <c r="E656" s="2">
        <v>45993</v>
      </c>
      <c r="F656" s="1" t="s">
        <v>312</v>
      </c>
      <c r="G656" s="1" t="s">
        <v>313</v>
      </c>
      <c r="H656" s="1" t="s">
        <v>339</v>
      </c>
      <c r="I656" s="1">
        <v>1</v>
      </c>
      <c r="J656" s="3">
        <v>28310</v>
      </c>
      <c r="K656" s="3">
        <v>27014</v>
      </c>
      <c r="L656" s="1">
        <v>0</v>
      </c>
      <c r="M656" s="4">
        <v>0</v>
      </c>
      <c r="N656" s="3">
        <v>1296</v>
      </c>
      <c r="O656" s="4">
        <v>4.5999999999999999E-2</v>
      </c>
      <c r="P656" s="1" t="s">
        <v>2721</v>
      </c>
    </row>
    <row r="657" spans="1:16">
      <c r="A657" s="1" t="s">
        <v>15</v>
      </c>
      <c r="B657" s="1">
        <v>12</v>
      </c>
      <c r="C657" s="1" t="s">
        <v>2300</v>
      </c>
      <c r="D657" s="1" t="s">
        <v>250</v>
      </c>
      <c r="E657" s="2">
        <v>45993</v>
      </c>
      <c r="F657" s="1" t="s">
        <v>251</v>
      </c>
      <c r="G657" s="1" t="s">
        <v>252</v>
      </c>
      <c r="H657" s="1" t="s">
        <v>2301</v>
      </c>
      <c r="I657" s="1">
        <v>1</v>
      </c>
      <c r="J657" s="3">
        <v>22609</v>
      </c>
      <c r="K657" s="3">
        <v>21574</v>
      </c>
      <c r="L657" s="1">
        <v>0</v>
      </c>
      <c r="M657" s="4">
        <v>0</v>
      </c>
      <c r="N657" s="3">
        <v>1035</v>
      </c>
      <c r="O657" s="4">
        <v>4.5999999999999999E-2</v>
      </c>
      <c r="P657" s="1" t="s">
        <v>2721</v>
      </c>
    </row>
    <row r="658" spans="1:16">
      <c r="A658" s="1" t="s">
        <v>15</v>
      </c>
      <c r="B658" s="1">
        <v>12</v>
      </c>
      <c r="C658" s="1" t="s">
        <v>2302</v>
      </c>
      <c r="D658" s="1" t="s">
        <v>1443</v>
      </c>
      <c r="E658" s="2">
        <v>45993</v>
      </c>
      <c r="F658" s="1" t="s">
        <v>96</v>
      </c>
      <c r="G658" s="1" t="s">
        <v>1444</v>
      </c>
      <c r="H658" s="1" t="s">
        <v>1444</v>
      </c>
      <c r="I658" s="1">
        <v>2</v>
      </c>
      <c r="J658" s="3">
        <v>19715</v>
      </c>
      <c r="K658" s="3">
        <v>18813</v>
      </c>
      <c r="L658" s="1">
        <v>0</v>
      </c>
      <c r="M658" s="4">
        <v>0</v>
      </c>
      <c r="N658" s="1">
        <v>902</v>
      </c>
      <c r="O658" s="4">
        <v>4.5999999999999999E-2</v>
      </c>
      <c r="P658" s="1" t="s">
        <v>2721</v>
      </c>
    </row>
    <row r="659" spans="1:16">
      <c r="A659" s="1" t="s">
        <v>15</v>
      </c>
      <c r="B659" s="1">
        <v>12</v>
      </c>
      <c r="C659" s="1" t="s">
        <v>2303</v>
      </c>
      <c r="D659" s="1" t="s">
        <v>95</v>
      </c>
      <c r="E659" s="2">
        <v>45993</v>
      </c>
      <c r="F659" s="1" t="s">
        <v>96</v>
      </c>
      <c r="G659" s="1" t="s">
        <v>97</v>
      </c>
      <c r="H659" s="1" t="s">
        <v>97</v>
      </c>
      <c r="I659" s="1">
        <v>1</v>
      </c>
      <c r="J659" s="3">
        <v>12571</v>
      </c>
      <c r="K659" s="3">
        <v>11995</v>
      </c>
      <c r="L659" s="1">
        <v>0</v>
      </c>
      <c r="M659" s="4">
        <v>0</v>
      </c>
      <c r="N659" s="1">
        <v>576</v>
      </c>
      <c r="O659" s="4">
        <v>4.5999999999999999E-2</v>
      </c>
      <c r="P659" s="1" t="s">
        <v>2721</v>
      </c>
    </row>
    <row r="660" spans="1:16">
      <c r="A660" s="1" t="s">
        <v>15</v>
      </c>
      <c r="B660" s="1">
        <v>12</v>
      </c>
      <c r="C660" s="1" t="s">
        <v>2304</v>
      </c>
      <c r="D660" s="1" t="s">
        <v>169</v>
      </c>
      <c r="E660" s="2">
        <v>45993</v>
      </c>
      <c r="F660" s="1" t="s">
        <v>53</v>
      </c>
      <c r="G660" s="1" t="s">
        <v>170</v>
      </c>
      <c r="H660" s="1" t="s">
        <v>171</v>
      </c>
      <c r="I660" s="1">
        <v>1</v>
      </c>
      <c r="J660" s="3">
        <v>14332</v>
      </c>
      <c r="K660" s="3">
        <v>13676</v>
      </c>
      <c r="L660" s="1">
        <v>0</v>
      </c>
      <c r="M660" s="4">
        <v>0</v>
      </c>
      <c r="N660" s="3">
        <v>656</v>
      </c>
      <c r="O660" s="4">
        <v>4.5999999999999999E-2</v>
      </c>
      <c r="P660" s="1" t="s">
        <v>2721</v>
      </c>
    </row>
    <row r="661" spans="1:16">
      <c r="A661" s="1" t="s">
        <v>15</v>
      </c>
      <c r="B661" s="1">
        <v>12</v>
      </c>
      <c r="C661" s="1" t="s">
        <v>2305</v>
      </c>
      <c r="D661" s="1" t="s">
        <v>482</v>
      </c>
      <c r="E661" s="2">
        <v>45993</v>
      </c>
      <c r="F661" s="1" t="s">
        <v>483</v>
      </c>
      <c r="G661" s="1" t="s">
        <v>484</v>
      </c>
      <c r="H661" s="1" t="s">
        <v>1777</v>
      </c>
      <c r="I661" s="1">
        <v>1</v>
      </c>
      <c r="J661" s="3">
        <v>27426</v>
      </c>
      <c r="K661" s="3">
        <v>26170</v>
      </c>
      <c r="L661" s="1">
        <v>0</v>
      </c>
      <c r="M661" s="4">
        <v>0</v>
      </c>
      <c r="N661" s="3">
        <v>1256</v>
      </c>
      <c r="O661" s="4">
        <v>4.5999999999999999E-2</v>
      </c>
      <c r="P661" s="1" t="s">
        <v>2721</v>
      </c>
    </row>
    <row r="662" spans="1:16">
      <c r="A662" s="1" t="s">
        <v>15</v>
      </c>
      <c r="B662" s="1">
        <v>12</v>
      </c>
      <c r="C662" s="1" t="s">
        <v>2306</v>
      </c>
      <c r="D662" s="1" t="s">
        <v>270</v>
      </c>
      <c r="E662" s="2">
        <v>45993</v>
      </c>
      <c r="F662" s="1" t="s">
        <v>271</v>
      </c>
      <c r="G662" s="1" t="s">
        <v>272</v>
      </c>
      <c r="H662" s="1" t="s">
        <v>273</v>
      </c>
      <c r="I662" s="1">
        <v>1</v>
      </c>
      <c r="J662" s="3">
        <v>25067</v>
      </c>
      <c r="K662" s="3">
        <v>23919</v>
      </c>
      <c r="L662" s="1">
        <v>0</v>
      </c>
      <c r="M662" s="4">
        <v>0</v>
      </c>
      <c r="N662" s="3">
        <v>1148</v>
      </c>
      <c r="O662" s="4">
        <v>4.5999999999999999E-2</v>
      </c>
      <c r="P662" s="1" t="s">
        <v>2721</v>
      </c>
    </row>
    <row r="663" spans="1:16">
      <c r="A663" s="1" t="s">
        <v>15</v>
      </c>
      <c r="B663" s="1">
        <v>12</v>
      </c>
      <c r="C663" s="1" t="s">
        <v>2307</v>
      </c>
      <c r="D663" s="1" t="s">
        <v>887</v>
      </c>
      <c r="E663" s="2">
        <v>45993</v>
      </c>
      <c r="F663" s="1" t="s">
        <v>53</v>
      </c>
      <c r="G663" s="1" t="s">
        <v>888</v>
      </c>
      <c r="H663" s="1" t="s">
        <v>889</v>
      </c>
      <c r="I663" s="1">
        <v>1</v>
      </c>
      <c r="J663" s="3">
        <v>10726</v>
      </c>
      <c r="K663" s="3">
        <v>10235</v>
      </c>
      <c r="L663" s="1">
        <v>0</v>
      </c>
      <c r="M663" s="4">
        <v>0</v>
      </c>
      <c r="N663" s="3">
        <v>491</v>
      </c>
      <c r="O663" s="4">
        <v>4.5999999999999999E-2</v>
      </c>
      <c r="P663" s="1" t="s">
        <v>2721</v>
      </c>
    </row>
    <row r="664" spans="1:16">
      <c r="A664" s="1" t="s">
        <v>15</v>
      </c>
      <c r="B664" s="1">
        <v>12</v>
      </c>
      <c r="C664" s="1" t="s">
        <v>2308</v>
      </c>
      <c r="D664" s="1" t="s">
        <v>165</v>
      </c>
      <c r="E664" s="2">
        <v>45993</v>
      </c>
      <c r="F664" s="1" t="s">
        <v>48</v>
      </c>
      <c r="G664" s="1" t="s">
        <v>166</v>
      </c>
      <c r="H664" s="1" t="s">
        <v>787</v>
      </c>
      <c r="I664" s="1">
        <v>1</v>
      </c>
      <c r="J664" s="3">
        <v>28940</v>
      </c>
      <c r="K664" s="3">
        <v>27615</v>
      </c>
      <c r="L664" s="1">
        <v>0</v>
      </c>
      <c r="M664" s="4">
        <v>0</v>
      </c>
      <c r="N664" s="3">
        <v>1325</v>
      </c>
      <c r="O664" s="4">
        <v>4.5999999999999999E-2</v>
      </c>
      <c r="P664" s="1" t="s">
        <v>2721</v>
      </c>
    </row>
    <row r="665" spans="1:16">
      <c r="A665" s="1" t="s">
        <v>15</v>
      </c>
      <c r="B665" s="1">
        <v>12</v>
      </c>
      <c r="C665" s="1" t="s">
        <v>2309</v>
      </c>
      <c r="D665" s="1" t="s">
        <v>2310</v>
      </c>
      <c r="E665" s="2">
        <v>45993</v>
      </c>
      <c r="F665" s="1" t="s">
        <v>488</v>
      </c>
      <c r="G665" s="1" t="s">
        <v>1726</v>
      </c>
      <c r="H665" s="1" t="s">
        <v>1727</v>
      </c>
      <c r="I665" s="1">
        <v>1</v>
      </c>
      <c r="J665" s="3">
        <v>16711</v>
      </c>
      <c r="K665" s="3">
        <v>15946</v>
      </c>
      <c r="L665" s="1">
        <v>0</v>
      </c>
      <c r="M665" s="4">
        <v>0</v>
      </c>
      <c r="N665" s="3">
        <v>765</v>
      </c>
      <c r="O665" s="4">
        <v>4.5999999999999999E-2</v>
      </c>
      <c r="P665" s="1" t="s">
        <v>2721</v>
      </c>
    </row>
    <row r="666" spans="1:16">
      <c r="A666" s="1" t="s">
        <v>15</v>
      </c>
      <c r="B666" s="1">
        <v>12</v>
      </c>
      <c r="C666" s="1" t="s">
        <v>2311</v>
      </c>
      <c r="D666" s="1" t="s">
        <v>2312</v>
      </c>
      <c r="E666" s="2">
        <v>45993</v>
      </c>
      <c r="F666" s="1" t="s">
        <v>1772</v>
      </c>
      <c r="G666" s="1" t="s">
        <v>1773</v>
      </c>
      <c r="H666" s="1" t="s">
        <v>2313</v>
      </c>
      <c r="I666" s="1">
        <v>1</v>
      </c>
      <c r="J666" s="3">
        <v>23395</v>
      </c>
      <c r="K666" s="3">
        <v>22324</v>
      </c>
      <c r="L666" s="1">
        <v>0</v>
      </c>
      <c r="M666" s="4">
        <v>0</v>
      </c>
      <c r="N666" s="3">
        <v>1071</v>
      </c>
      <c r="O666" s="4">
        <v>4.5999999999999999E-2</v>
      </c>
      <c r="P666" s="1" t="s">
        <v>2721</v>
      </c>
    </row>
    <row r="667" spans="1:16">
      <c r="A667" s="1" t="s">
        <v>15</v>
      </c>
      <c r="B667" s="1">
        <v>12</v>
      </c>
      <c r="C667" s="1" t="s">
        <v>2314</v>
      </c>
      <c r="D667" s="1" t="s">
        <v>845</v>
      </c>
      <c r="E667" s="2">
        <v>45993</v>
      </c>
      <c r="F667" s="1" t="s">
        <v>846</v>
      </c>
      <c r="G667" s="1" t="s">
        <v>847</v>
      </c>
      <c r="H667" s="1" t="s">
        <v>848</v>
      </c>
      <c r="I667" s="1">
        <v>1</v>
      </c>
      <c r="J667" s="3">
        <v>112554</v>
      </c>
      <c r="K667" s="3">
        <v>107401</v>
      </c>
      <c r="L667" s="1">
        <v>0</v>
      </c>
      <c r="M667" s="4">
        <v>0</v>
      </c>
      <c r="N667" s="3">
        <v>5153</v>
      </c>
      <c r="O667" s="4">
        <v>4.5999999999999999E-2</v>
      </c>
      <c r="P667" s="1" t="s">
        <v>2721</v>
      </c>
    </row>
    <row r="668" spans="1:16">
      <c r="A668" s="1" t="s">
        <v>15</v>
      </c>
      <c r="B668" s="1">
        <v>12</v>
      </c>
      <c r="C668" s="1" t="s">
        <v>2315</v>
      </c>
      <c r="D668" s="1" t="s">
        <v>2316</v>
      </c>
      <c r="E668" s="2">
        <v>45993</v>
      </c>
      <c r="F668" s="1" t="s">
        <v>368</v>
      </c>
      <c r="G668" s="1" t="s">
        <v>2317</v>
      </c>
      <c r="H668" s="1" t="s">
        <v>2318</v>
      </c>
      <c r="I668" s="1">
        <v>1</v>
      </c>
      <c r="J668" s="3">
        <v>26950</v>
      </c>
      <c r="K668" s="3">
        <v>25716</v>
      </c>
      <c r="L668" s="1">
        <v>0</v>
      </c>
      <c r="M668" s="4">
        <v>0</v>
      </c>
      <c r="N668" s="3">
        <v>1234</v>
      </c>
      <c r="O668" s="4">
        <v>4.5999999999999999E-2</v>
      </c>
      <c r="P668" s="1" t="s">
        <v>2721</v>
      </c>
    </row>
    <row r="669" spans="1:16">
      <c r="A669" s="1" t="s">
        <v>15</v>
      </c>
      <c r="B669" s="1">
        <v>12</v>
      </c>
      <c r="C669" s="1" t="s">
        <v>2319</v>
      </c>
      <c r="D669" s="1" t="s">
        <v>482</v>
      </c>
      <c r="E669" s="2">
        <v>45993</v>
      </c>
      <c r="F669" s="1" t="s">
        <v>483</v>
      </c>
      <c r="G669" s="1" t="s">
        <v>484</v>
      </c>
      <c r="H669" s="1" t="s">
        <v>860</v>
      </c>
      <c r="I669" s="1">
        <v>1</v>
      </c>
      <c r="J669" s="3">
        <v>27426</v>
      </c>
      <c r="K669" s="3">
        <v>26170</v>
      </c>
      <c r="L669" s="1">
        <v>0</v>
      </c>
      <c r="M669" s="4">
        <v>0</v>
      </c>
      <c r="N669" s="3">
        <v>1256</v>
      </c>
      <c r="O669" s="4">
        <v>4.5999999999999999E-2</v>
      </c>
      <c r="P669" s="1" t="s">
        <v>2721</v>
      </c>
    </row>
    <row r="670" spans="1:16">
      <c r="A670" s="1" t="s">
        <v>15</v>
      </c>
      <c r="B670" s="1">
        <v>12</v>
      </c>
      <c r="C670" s="1" t="s">
        <v>2320</v>
      </c>
      <c r="D670" s="1" t="s">
        <v>2321</v>
      </c>
      <c r="E670" s="2">
        <v>45993</v>
      </c>
      <c r="F670" s="1" t="s">
        <v>839</v>
      </c>
      <c r="G670" s="1" t="s">
        <v>2322</v>
      </c>
      <c r="H670" s="1" t="s">
        <v>2323</v>
      </c>
      <c r="I670" s="1">
        <v>1</v>
      </c>
      <c r="J670" s="3">
        <v>18972</v>
      </c>
      <c r="K670" s="3">
        <v>18103</v>
      </c>
      <c r="L670" s="1">
        <v>0</v>
      </c>
      <c r="M670" s="4">
        <v>0</v>
      </c>
      <c r="N670" s="1">
        <v>869</v>
      </c>
      <c r="O670" s="4">
        <v>4.5999999999999999E-2</v>
      </c>
      <c r="P670" s="1" t="s">
        <v>2721</v>
      </c>
    </row>
    <row r="671" spans="1:16">
      <c r="A671" s="1" t="s">
        <v>15</v>
      </c>
      <c r="B671" s="1">
        <v>12</v>
      </c>
      <c r="C671" s="1" t="s">
        <v>2324</v>
      </c>
      <c r="D671" s="1" t="s">
        <v>1026</v>
      </c>
      <c r="E671" s="2">
        <v>45993</v>
      </c>
      <c r="F671" s="1" t="s">
        <v>256</v>
      </c>
      <c r="G671" s="1" t="s">
        <v>1027</v>
      </c>
      <c r="H671" s="1" t="s">
        <v>1464</v>
      </c>
      <c r="I671" s="1">
        <v>1</v>
      </c>
      <c r="J671" s="3">
        <v>15433</v>
      </c>
      <c r="K671" s="3">
        <v>14727</v>
      </c>
      <c r="L671" s="1">
        <v>0</v>
      </c>
      <c r="M671" s="4">
        <v>0</v>
      </c>
      <c r="N671" s="1">
        <v>706</v>
      </c>
      <c r="O671" s="4">
        <v>4.5999999999999999E-2</v>
      </c>
      <c r="P671" s="1" t="s">
        <v>2721</v>
      </c>
    </row>
    <row r="672" spans="1:16">
      <c r="A672" s="1" t="s">
        <v>15</v>
      </c>
      <c r="B672" s="1">
        <v>12</v>
      </c>
      <c r="C672" s="1" t="s">
        <v>2325</v>
      </c>
      <c r="D672" s="1" t="s">
        <v>1402</v>
      </c>
      <c r="E672" s="2">
        <v>45993</v>
      </c>
      <c r="F672" s="1" t="s">
        <v>1403</v>
      </c>
      <c r="G672" s="1" t="s">
        <v>1404</v>
      </c>
      <c r="H672" s="1" t="s">
        <v>1405</v>
      </c>
      <c r="I672" s="1">
        <v>1</v>
      </c>
      <c r="J672" s="3">
        <v>5407</v>
      </c>
      <c r="K672" s="3">
        <v>5159</v>
      </c>
      <c r="L672" s="1">
        <v>0</v>
      </c>
      <c r="M672" s="4">
        <v>0</v>
      </c>
      <c r="N672" s="3">
        <v>248</v>
      </c>
      <c r="O672" s="4">
        <v>4.5999999999999999E-2</v>
      </c>
      <c r="P672" s="1" t="s">
        <v>2721</v>
      </c>
    </row>
    <row r="673" spans="1:16">
      <c r="A673" s="1" t="s">
        <v>15</v>
      </c>
      <c r="B673" s="1">
        <v>12</v>
      </c>
      <c r="C673" s="1" t="s">
        <v>2326</v>
      </c>
      <c r="D673" s="1" t="s">
        <v>1079</v>
      </c>
      <c r="E673" s="2">
        <v>45993</v>
      </c>
      <c r="F673" s="1" t="s">
        <v>500</v>
      </c>
      <c r="G673" s="1" t="s">
        <v>1080</v>
      </c>
      <c r="H673" s="1" t="s">
        <v>1081</v>
      </c>
      <c r="I673" s="1">
        <v>1</v>
      </c>
      <c r="J673" s="3">
        <v>113182</v>
      </c>
      <c r="K673" s="3">
        <v>108000</v>
      </c>
      <c r="L673" s="1">
        <v>0</v>
      </c>
      <c r="M673" s="4">
        <v>0</v>
      </c>
      <c r="N673" s="3">
        <v>5182</v>
      </c>
      <c r="O673" s="4">
        <v>4.5999999999999999E-2</v>
      </c>
      <c r="P673" s="1" t="s">
        <v>2721</v>
      </c>
    </row>
    <row r="674" spans="1:16">
      <c r="A674" s="1" t="s">
        <v>15</v>
      </c>
      <c r="B674" s="1">
        <v>12</v>
      </c>
      <c r="C674" s="1" t="s">
        <v>2327</v>
      </c>
      <c r="D674" s="1" t="s">
        <v>283</v>
      </c>
      <c r="E674" s="2">
        <v>45993</v>
      </c>
      <c r="F674" s="1" t="s">
        <v>200</v>
      </c>
      <c r="G674" s="1" t="s">
        <v>284</v>
      </c>
      <c r="H674" s="1" t="s">
        <v>285</v>
      </c>
      <c r="I674" s="1">
        <v>1</v>
      </c>
      <c r="J674" s="3">
        <v>28016</v>
      </c>
      <c r="K674" s="3">
        <v>26733</v>
      </c>
      <c r="L674" s="1">
        <v>0</v>
      </c>
      <c r="M674" s="4">
        <v>0</v>
      </c>
      <c r="N674" s="3">
        <v>1283</v>
      </c>
      <c r="O674" s="4">
        <v>4.5999999999999999E-2</v>
      </c>
      <c r="P674" s="1" t="s">
        <v>2721</v>
      </c>
    </row>
    <row r="675" spans="1:16">
      <c r="A675" s="1" t="s">
        <v>15</v>
      </c>
      <c r="B675" s="1">
        <v>12</v>
      </c>
      <c r="C675" s="1" t="s">
        <v>2328</v>
      </c>
      <c r="D675" s="1" t="s">
        <v>2329</v>
      </c>
      <c r="E675" s="2">
        <v>45993</v>
      </c>
      <c r="F675" s="1" t="s">
        <v>660</v>
      </c>
      <c r="G675" s="1" t="s">
        <v>2330</v>
      </c>
      <c r="H675" s="1" t="s">
        <v>2331</v>
      </c>
      <c r="I675" s="1">
        <v>1</v>
      </c>
      <c r="J675" s="3">
        <v>12582</v>
      </c>
      <c r="K675" s="3">
        <v>12006</v>
      </c>
      <c r="L675" s="1">
        <v>0</v>
      </c>
      <c r="M675" s="4">
        <v>0</v>
      </c>
      <c r="N675" s="3">
        <v>576</v>
      </c>
      <c r="O675" s="4">
        <v>4.5999999999999999E-2</v>
      </c>
      <c r="P675" s="1" t="s">
        <v>2721</v>
      </c>
    </row>
    <row r="676" spans="1:16">
      <c r="A676" s="1" t="s">
        <v>15</v>
      </c>
      <c r="B676" s="1">
        <v>12</v>
      </c>
      <c r="C676" s="1" t="s">
        <v>2332</v>
      </c>
      <c r="D676" s="1" t="s">
        <v>165</v>
      </c>
      <c r="E676" s="2">
        <v>45993</v>
      </c>
      <c r="F676" s="1" t="s">
        <v>48</v>
      </c>
      <c r="G676" s="1" t="s">
        <v>166</v>
      </c>
      <c r="H676" s="1" t="s">
        <v>787</v>
      </c>
      <c r="I676" s="1">
        <v>1</v>
      </c>
      <c r="J676" s="3">
        <v>28940</v>
      </c>
      <c r="K676" s="3">
        <v>27615</v>
      </c>
      <c r="L676" s="1">
        <v>0</v>
      </c>
      <c r="M676" s="4">
        <v>0</v>
      </c>
      <c r="N676" s="3">
        <v>1325</v>
      </c>
      <c r="O676" s="4">
        <v>4.5999999999999999E-2</v>
      </c>
      <c r="P676" s="1" t="s">
        <v>2721</v>
      </c>
    </row>
    <row r="677" spans="1:16">
      <c r="A677" s="1" t="s">
        <v>15</v>
      </c>
      <c r="B677" s="1">
        <v>12</v>
      </c>
      <c r="C677" s="1" t="s">
        <v>2333</v>
      </c>
      <c r="D677" s="1" t="s">
        <v>2334</v>
      </c>
      <c r="E677" s="2">
        <v>45993</v>
      </c>
      <c r="F677" s="1" t="s">
        <v>261</v>
      </c>
      <c r="G677" s="1" t="s">
        <v>2335</v>
      </c>
      <c r="H677" s="1" t="s">
        <v>2336</v>
      </c>
      <c r="I677" s="1">
        <v>1</v>
      </c>
      <c r="J677" s="3">
        <v>25558</v>
      </c>
      <c r="K677" s="3">
        <v>24388</v>
      </c>
      <c r="L677" s="1">
        <v>0</v>
      </c>
      <c r="M677" s="4">
        <v>0</v>
      </c>
      <c r="N677" s="3">
        <v>1170</v>
      </c>
      <c r="O677" s="4">
        <v>4.5999999999999999E-2</v>
      </c>
      <c r="P677" s="1" t="s">
        <v>2721</v>
      </c>
    </row>
    <row r="678" spans="1:16">
      <c r="A678" s="1" t="s">
        <v>15</v>
      </c>
      <c r="B678" s="1">
        <v>12</v>
      </c>
      <c r="C678" s="1" t="s">
        <v>2337</v>
      </c>
      <c r="D678" s="1" t="s">
        <v>394</v>
      </c>
      <c r="E678" s="2">
        <v>45993</v>
      </c>
      <c r="F678" s="1" t="s">
        <v>395</v>
      </c>
      <c r="G678" s="1" t="s">
        <v>396</v>
      </c>
      <c r="H678" s="1" t="s">
        <v>397</v>
      </c>
      <c r="I678" s="1">
        <v>1</v>
      </c>
      <c r="J678" s="3">
        <v>18874</v>
      </c>
      <c r="K678" s="3">
        <v>18010</v>
      </c>
      <c r="L678" s="1">
        <v>0</v>
      </c>
      <c r="M678" s="4">
        <v>0</v>
      </c>
      <c r="N678" s="1">
        <v>864</v>
      </c>
      <c r="O678" s="4">
        <v>4.5999999999999999E-2</v>
      </c>
      <c r="P678" s="1" t="s">
        <v>2721</v>
      </c>
    </row>
    <row r="679" spans="1:16">
      <c r="A679" s="1" t="s">
        <v>15</v>
      </c>
      <c r="B679" s="1">
        <v>12</v>
      </c>
      <c r="C679" s="1" t="s">
        <v>2338</v>
      </c>
      <c r="D679" s="1" t="s">
        <v>1673</v>
      </c>
      <c r="E679" s="2">
        <v>45993</v>
      </c>
      <c r="F679" s="1" t="s">
        <v>660</v>
      </c>
      <c r="G679" s="1" t="s">
        <v>1674</v>
      </c>
      <c r="H679" s="1" t="s">
        <v>2339</v>
      </c>
      <c r="I679" s="1">
        <v>1</v>
      </c>
      <c r="J679" s="3">
        <v>11118</v>
      </c>
      <c r="K679" s="3">
        <v>10609</v>
      </c>
      <c r="L679" s="1">
        <v>0</v>
      </c>
      <c r="M679" s="4">
        <v>0</v>
      </c>
      <c r="N679" s="1">
        <v>509</v>
      </c>
      <c r="O679" s="4">
        <v>4.5999999999999999E-2</v>
      </c>
      <c r="P679" s="1" t="s">
        <v>2721</v>
      </c>
    </row>
    <row r="680" spans="1:16">
      <c r="A680" s="1" t="s">
        <v>15</v>
      </c>
      <c r="B680" s="1">
        <v>12</v>
      </c>
      <c r="C680" s="1" t="s">
        <v>2338</v>
      </c>
      <c r="D680" s="1" t="s">
        <v>1673</v>
      </c>
      <c r="E680" s="2">
        <v>45993</v>
      </c>
      <c r="F680" s="1" t="s">
        <v>660</v>
      </c>
      <c r="G680" s="1" t="s">
        <v>1674</v>
      </c>
      <c r="H680" s="1" t="s">
        <v>2340</v>
      </c>
      <c r="I680" s="1">
        <v>1</v>
      </c>
      <c r="J680" s="3">
        <v>7520</v>
      </c>
      <c r="K680" s="3">
        <v>7176</v>
      </c>
      <c r="L680" s="1">
        <v>0</v>
      </c>
      <c r="M680" s="4">
        <v>0</v>
      </c>
      <c r="N680" s="3">
        <v>344</v>
      </c>
      <c r="O680" s="4">
        <v>4.5999999999999999E-2</v>
      </c>
      <c r="P680" s="1" t="s">
        <v>2721</v>
      </c>
    </row>
    <row r="681" spans="1:16">
      <c r="A681" s="1" t="s">
        <v>15</v>
      </c>
      <c r="B681" s="1">
        <v>12</v>
      </c>
      <c r="C681" s="1" t="s">
        <v>2341</v>
      </c>
      <c r="D681" s="1" t="s">
        <v>311</v>
      </c>
      <c r="E681" s="2">
        <v>45993</v>
      </c>
      <c r="F681" s="1" t="s">
        <v>312</v>
      </c>
      <c r="G681" s="1" t="s">
        <v>313</v>
      </c>
      <c r="H681" s="1" t="s">
        <v>339</v>
      </c>
      <c r="I681" s="1">
        <v>2</v>
      </c>
      <c r="J681" s="3">
        <v>56621</v>
      </c>
      <c r="K681" s="3">
        <v>54029</v>
      </c>
      <c r="L681" s="1">
        <v>0</v>
      </c>
      <c r="M681" s="4">
        <v>0</v>
      </c>
      <c r="N681" s="3">
        <v>2592</v>
      </c>
      <c r="O681" s="4">
        <v>4.5999999999999999E-2</v>
      </c>
      <c r="P681" s="1" t="s">
        <v>2721</v>
      </c>
    </row>
    <row r="682" spans="1:16">
      <c r="A682" s="1" t="s">
        <v>15</v>
      </c>
      <c r="B682" s="1">
        <v>12</v>
      </c>
      <c r="C682" s="1" t="s">
        <v>2342</v>
      </c>
      <c r="D682" s="1" t="s">
        <v>1419</v>
      </c>
      <c r="E682" s="2">
        <v>45993</v>
      </c>
      <c r="F682" s="1" t="s">
        <v>96</v>
      </c>
      <c r="G682" s="1" t="s">
        <v>1420</v>
      </c>
      <c r="H682" s="1" t="s">
        <v>2343</v>
      </c>
      <c r="I682" s="1">
        <v>1</v>
      </c>
      <c r="J682" s="3">
        <v>11550</v>
      </c>
      <c r="K682" s="3">
        <v>11022</v>
      </c>
      <c r="L682" s="1">
        <v>0</v>
      </c>
      <c r="M682" s="4">
        <v>0</v>
      </c>
      <c r="N682" s="3">
        <v>528</v>
      </c>
      <c r="O682" s="4">
        <v>4.5999999999999999E-2</v>
      </c>
      <c r="P682" s="1" t="s">
        <v>2721</v>
      </c>
    </row>
    <row r="683" spans="1:16">
      <c r="A683" s="1" t="s">
        <v>15</v>
      </c>
      <c r="B683" s="1">
        <v>12</v>
      </c>
      <c r="C683" s="1" t="s">
        <v>2344</v>
      </c>
      <c r="D683" s="1" t="s">
        <v>2312</v>
      </c>
      <c r="E683" s="2">
        <v>45993</v>
      </c>
      <c r="F683" s="1" t="s">
        <v>1772</v>
      </c>
      <c r="G683" s="1" t="s">
        <v>1773</v>
      </c>
      <c r="H683" s="1" t="s">
        <v>2313</v>
      </c>
      <c r="I683" s="1">
        <v>2</v>
      </c>
      <c r="J683" s="3">
        <v>46791</v>
      </c>
      <c r="K683" s="3">
        <v>44649</v>
      </c>
      <c r="L683" s="1">
        <v>0</v>
      </c>
      <c r="M683" s="4">
        <v>0</v>
      </c>
      <c r="N683" s="3">
        <v>2142</v>
      </c>
      <c r="O683" s="4">
        <v>4.5999999999999999E-2</v>
      </c>
      <c r="P683" s="1" t="s">
        <v>2721</v>
      </c>
    </row>
    <row r="684" spans="1:16">
      <c r="A684" s="1" t="s">
        <v>15</v>
      </c>
      <c r="B684" s="1">
        <v>12</v>
      </c>
      <c r="C684" s="1" t="s">
        <v>2345</v>
      </c>
      <c r="D684" s="1" t="s">
        <v>116</v>
      </c>
      <c r="E684" s="2">
        <v>45993</v>
      </c>
      <c r="F684" s="1" t="s">
        <v>63</v>
      </c>
      <c r="G684" s="1" t="s">
        <v>117</v>
      </c>
      <c r="H684" s="1" t="s">
        <v>139</v>
      </c>
      <c r="I684" s="1">
        <v>1</v>
      </c>
      <c r="J684" s="3">
        <v>15422</v>
      </c>
      <c r="K684" s="3">
        <v>14716</v>
      </c>
      <c r="L684" s="1">
        <v>0</v>
      </c>
      <c r="M684" s="4">
        <v>0</v>
      </c>
      <c r="N684" s="1">
        <v>706</v>
      </c>
      <c r="O684" s="4">
        <v>4.5999999999999999E-2</v>
      </c>
      <c r="P684" s="1" t="s">
        <v>2721</v>
      </c>
    </row>
    <row r="685" spans="1:16">
      <c r="A685" s="1" t="s">
        <v>15</v>
      </c>
      <c r="B685" s="1">
        <v>12</v>
      </c>
      <c r="C685" s="1" t="s">
        <v>2346</v>
      </c>
      <c r="D685" s="1" t="s">
        <v>2347</v>
      </c>
      <c r="E685" s="2">
        <v>45993</v>
      </c>
      <c r="F685" s="1" t="s">
        <v>96</v>
      </c>
      <c r="G685" s="1" t="s">
        <v>1706</v>
      </c>
      <c r="H685" s="1" t="s">
        <v>2348</v>
      </c>
      <c r="I685" s="1">
        <v>1</v>
      </c>
      <c r="J685" s="3">
        <v>9405</v>
      </c>
      <c r="K685" s="3">
        <v>8975</v>
      </c>
      <c r="L685" s="1">
        <v>0</v>
      </c>
      <c r="M685" s="4">
        <v>0</v>
      </c>
      <c r="N685" s="3">
        <v>430</v>
      </c>
      <c r="O685" s="4">
        <v>4.5999999999999999E-2</v>
      </c>
      <c r="P685" s="1" t="s">
        <v>2721</v>
      </c>
    </row>
    <row r="686" spans="1:16">
      <c r="A686" s="1" t="s">
        <v>15</v>
      </c>
      <c r="B686" s="1">
        <v>12</v>
      </c>
      <c r="C686" s="1" t="s">
        <v>2349</v>
      </c>
      <c r="D686" s="1" t="s">
        <v>499</v>
      </c>
      <c r="E686" s="2">
        <v>45993</v>
      </c>
      <c r="F686" s="1" t="s">
        <v>500</v>
      </c>
      <c r="G686" s="1" t="s">
        <v>501</v>
      </c>
      <c r="H686" s="1" t="s">
        <v>502</v>
      </c>
      <c r="I686" s="1">
        <v>1</v>
      </c>
      <c r="J686" s="3">
        <v>242082</v>
      </c>
      <c r="K686" s="3">
        <v>231000</v>
      </c>
      <c r="L686" s="1">
        <v>0</v>
      </c>
      <c r="M686" s="4">
        <v>0</v>
      </c>
      <c r="N686" s="3">
        <v>11082</v>
      </c>
      <c r="O686" s="4">
        <v>4.5999999999999999E-2</v>
      </c>
      <c r="P686" s="1" t="s">
        <v>2721</v>
      </c>
    </row>
    <row r="687" spans="1:16">
      <c r="A687" s="1" t="s">
        <v>15</v>
      </c>
      <c r="B687" s="1">
        <v>12</v>
      </c>
      <c r="C687" s="1" t="s">
        <v>2350</v>
      </c>
      <c r="D687" s="1" t="s">
        <v>221</v>
      </c>
      <c r="E687" s="2">
        <v>45993</v>
      </c>
      <c r="F687" s="1" t="s">
        <v>96</v>
      </c>
      <c r="G687" s="1" t="s">
        <v>222</v>
      </c>
      <c r="H687" s="1" t="s">
        <v>836</v>
      </c>
      <c r="I687" s="1">
        <v>1</v>
      </c>
      <c r="J687" s="3">
        <v>12571</v>
      </c>
      <c r="K687" s="3">
        <v>11995</v>
      </c>
      <c r="L687" s="1">
        <v>0</v>
      </c>
      <c r="M687" s="4">
        <v>0</v>
      </c>
      <c r="N687" s="3">
        <v>576</v>
      </c>
      <c r="O687" s="4">
        <v>4.5999999999999999E-2</v>
      </c>
      <c r="P687" s="1" t="s">
        <v>2721</v>
      </c>
    </row>
    <row r="688" spans="1:16">
      <c r="A688" s="1" t="s">
        <v>15</v>
      </c>
      <c r="B688" s="1">
        <v>12</v>
      </c>
      <c r="C688" s="1" t="s">
        <v>2351</v>
      </c>
      <c r="D688" s="1" t="s">
        <v>1359</v>
      </c>
      <c r="E688" s="2">
        <v>45993</v>
      </c>
      <c r="F688" s="1" t="s">
        <v>63</v>
      </c>
      <c r="G688" s="1" t="s">
        <v>1360</v>
      </c>
      <c r="H688" s="1" t="s">
        <v>2352</v>
      </c>
      <c r="I688" s="1">
        <v>1</v>
      </c>
      <c r="J688" s="3">
        <v>30765</v>
      </c>
      <c r="K688" s="3">
        <v>29357</v>
      </c>
      <c r="L688" s="1">
        <v>0</v>
      </c>
      <c r="M688" s="4">
        <v>0</v>
      </c>
      <c r="N688" s="3">
        <v>1408</v>
      </c>
      <c r="O688" s="4">
        <v>4.5999999999999999E-2</v>
      </c>
      <c r="P688" s="1" t="s">
        <v>2721</v>
      </c>
    </row>
    <row r="689" spans="1:16">
      <c r="A689" s="1" t="s">
        <v>15</v>
      </c>
      <c r="B689" s="1">
        <v>12</v>
      </c>
      <c r="C689" s="1" t="s">
        <v>2353</v>
      </c>
      <c r="D689" s="1" t="s">
        <v>52</v>
      </c>
      <c r="E689" s="2">
        <v>45993</v>
      </c>
      <c r="F689" s="1" t="s">
        <v>53</v>
      </c>
      <c r="G689" s="1" t="s">
        <v>54</v>
      </c>
      <c r="H689" s="1" t="s">
        <v>55</v>
      </c>
      <c r="I689" s="1">
        <v>1</v>
      </c>
      <c r="J689" s="3">
        <v>16135</v>
      </c>
      <c r="K689" s="3">
        <v>15396</v>
      </c>
      <c r="L689" s="1">
        <v>0</v>
      </c>
      <c r="M689" s="4">
        <v>0</v>
      </c>
      <c r="N689" s="1">
        <v>739</v>
      </c>
      <c r="O689" s="4">
        <v>4.5999999999999999E-2</v>
      </c>
      <c r="P689" s="1" t="s">
        <v>2721</v>
      </c>
    </row>
    <row r="690" spans="1:16">
      <c r="A690" s="1" t="s">
        <v>15</v>
      </c>
      <c r="B690" s="1">
        <v>12</v>
      </c>
      <c r="C690" s="1" t="s">
        <v>2353</v>
      </c>
      <c r="D690" s="1" t="s">
        <v>169</v>
      </c>
      <c r="E690" s="2">
        <v>45993</v>
      </c>
      <c r="F690" s="1" t="s">
        <v>53</v>
      </c>
      <c r="G690" s="1" t="s">
        <v>170</v>
      </c>
      <c r="H690" s="1" t="s">
        <v>171</v>
      </c>
      <c r="I690" s="1">
        <v>1</v>
      </c>
      <c r="J690" s="3">
        <v>14332</v>
      </c>
      <c r="K690" s="3">
        <v>13676</v>
      </c>
      <c r="L690" s="1">
        <v>0</v>
      </c>
      <c r="M690" s="4">
        <v>0</v>
      </c>
      <c r="N690" s="1">
        <v>656</v>
      </c>
      <c r="O690" s="4">
        <v>4.5999999999999999E-2</v>
      </c>
      <c r="P690" s="1" t="s">
        <v>2721</v>
      </c>
    </row>
    <row r="691" spans="1:16">
      <c r="A691" s="1" t="s">
        <v>15</v>
      </c>
      <c r="B691" s="1">
        <v>12</v>
      </c>
      <c r="C691" s="1" t="s">
        <v>2354</v>
      </c>
      <c r="D691" s="1" t="s">
        <v>1007</v>
      </c>
      <c r="E691" s="2">
        <v>45993</v>
      </c>
      <c r="F691" s="1" t="s">
        <v>892</v>
      </c>
      <c r="G691" s="1" t="s">
        <v>1008</v>
      </c>
      <c r="H691" s="1" t="s">
        <v>1009</v>
      </c>
      <c r="I691" s="1">
        <v>1</v>
      </c>
      <c r="J691" s="3">
        <v>20643</v>
      </c>
      <c r="K691" s="3">
        <v>19698</v>
      </c>
      <c r="L691" s="1">
        <v>0</v>
      </c>
      <c r="M691" s="4">
        <v>0</v>
      </c>
      <c r="N691" s="3">
        <v>945</v>
      </c>
      <c r="O691" s="4">
        <v>4.5999999999999999E-2</v>
      </c>
      <c r="P691" s="1" t="s">
        <v>2721</v>
      </c>
    </row>
    <row r="692" spans="1:16">
      <c r="A692" s="1" t="s">
        <v>15</v>
      </c>
      <c r="B692" s="1">
        <v>12</v>
      </c>
      <c r="C692" s="1" t="s">
        <v>2355</v>
      </c>
      <c r="D692" s="1" t="s">
        <v>878</v>
      </c>
      <c r="E692" s="2">
        <v>45993</v>
      </c>
      <c r="F692" s="1" t="s">
        <v>856</v>
      </c>
      <c r="G692" s="1" t="s">
        <v>879</v>
      </c>
      <c r="H692" s="1" t="s">
        <v>880</v>
      </c>
      <c r="I692" s="1">
        <v>1</v>
      </c>
      <c r="J692" s="3">
        <v>89453</v>
      </c>
      <c r="K692" s="3">
        <v>85358</v>
      </c>
      <c r="L692" s="1">
        <v>0</v>
      </c>
      <c r="M692" s="4">
        <v>0</v>
      </c>
      <c r="N692" s="3">
        <v>4095</v>
      </c>
      <c r="O692" s="4">
        <v>4.5999999999999999E-2</v>
      </c>
      <c r="P692" s="1" t="s">
        <v>2721</v>
      </c>
    </row>
    <row r="693" spans="1:16">
      <c r="A693" s="1" t="s">
        <v>15</v>
      </c>
      <c r="B693" s="1">
        <v>12</v>
      </c>
      <c r="C693" s="1" t="s">
        <v>2356</v>
      </c>
      <c r="D693" s="1" t="s">
        <v>2357</v>
      </c>
      <c r="E693" s="2">
        <v>45993</v>
      </c>
      <c r="F693" s="1" t="s">
        <v>317</v>
      </c>
      <c r="G693" s="1" t="s">
        <v>2358</v>
      </c>
      <c r="H693" s="1" t="s">
        <v>2359</v>
      </c>
      <c r="I693" s="1">
        <v>1</v>
      </c>
      <c r="J693" s="3">
        <v>32439</v>
      </c>
      <c r="K693" s="3">
        <v>30954</v>
      </c>
      <c r="L693" s="1">
        <v>0</v>
      </c>
      <c r="M693" s="4">
        <v>0</v>
      </c>
      <c r="N693" s="3">
        <v>1485</v>
      </c>
      <c r="O693" s="4">
        <v>4.5999999999999999E-2</v>
      </c>
      <c r="P693" s="1" t="s">
        <v>2721</v>
      </c>
    </row>
    <row r="694" spans="1:16">
      <c r="A694" s="1" t="s">
        <v>15</v>
      </c>
      <c r="B694" s="1">
        <v>12</v>
      </c>
      <c r="C694" s="1" t="s">
        <v>2360</v>
      </c>
      <c r="D694" s="1" t="s">
        <v>569</v>
      </c>
      <c r="E694" s="2">
        <v>45993</v>
      </c>
      <c r="F694" s="1" t="s">
        <v>570</v>
      </c>
      <c r="G694" s="1" t="s">
        <v>571</v>
      </c>
      <c r="H694" s="1" t="s">
        <v>572</v>
      </c>
      <c r="I694" s="1">
        <v>1</v>
      </c>
      <c r="J694" s="3">
        <v>19660</v>
      </c>
      <c r="K694" s="3">
        <v>18760</v>
      </c>
      <c r="L694" s="1">
        <v>0</v>
      </c>
      <c r="M694" s="4">
        <v>0</v>
      </c>
      <c r="N694" s="3">
        <v>900</v>
      </c>
      <c r="O694" s="4">
        <v>4.5999999999999999E-2</v>
      </c>
      <c r="P694" s="1" t="s">
        <v>2721</v>
      </c>
    </row>
    <row r="695" spans="1:16">
      <c r="A695" s="1" t="s">
        <v>15</v>
      </c>
      <c r="B695" s="1">
        <v>12</v>
      </c>
      <c r="C695" s="1" t="s">
        <v>2361</v>
      </c>
      <c r="D695" s="1" t="s">
        <v>2334</v>
      </c>
      <c r="E695" s="2">
        <v>45993</v>
      </c>
      <c r="F695" s="1" t="s">
        <v>261</v>
      </c>
      <c r="G695" s="1" t="s">
        <v>2335</v>
      </c>
      <c r="H695" s="1" t="s">
        <v>2336</v>
      </c>
      <c r="I695" s="1">
        <v>1</v>
      </c>
      <c r="J695" s="3">
        <v>25558</v>
      </c>
      <c r="K695" s="3">
        <v>24388</v>
      </c>
      <c r="L695" s="1">
        <v>0</v>
      </c>
      <c r="M695" s="4">
        <v>0</v>
      </c>
      <c r="N695" s="3">
        <v>1170</v>
      </c>
      <c r="O695" s="4">
        <v>4.5999999999999999E-2</v>
      </c>
      <c r="P695" s="1" t="s">
        <v>2721</v>
      </c>
    </row>
    <row r="696" spans="1:16">
      <c r="A696" s="1" t="s">
        <v>15</v>
      </c>
      <c r="B696" s="1">
        <v>12</v>
      </c>
      <c r="C696" s="1" t="s">
        <v>2362</v>
      </c>
      <c r="D696" s="1" t="s">
        <v>224</v>
      </c>
      <c r="E696" s="2">
        <v>45993</v>
      </c>
      <c r="F696" s="1" t="s">
        <v>96</v>
      </c>
      <c r="G696" s="1" t="s">
        <v>225</v>
      </c>
      <c r="H696" s="1" t="s">
        <v>897</v>
      </c>
      <c r="I696" s="1">
        <v>1</v>
      </c>
      <c r="J696" s="3">
        <v>12571</v>
      </c>
      <c r="K696" s="3">
        <v>11995</v>
      </c>
      <c r="L696" s="1">
        <v>0</v>
      </c>
      <c r="M696" s="4">
        <v>0</v>
      </c>
      <c r="N696" s="1">
        <v>576</v>
      </c>
      <c r="O696" s="4">
        <v>4.5999999999999999E-2</v>
      </c>
      <c r="P696" s="1" t="s">
        <v>2721</v>
      </c>
    </row>
    <row r="697" spans="1:16">
      <c r="A697" s="1" t="s">
        <v>15</v>
      </c>
      <c r="B697" s="1">
        <v>12</v>
      </c>
      <c r="C697" s="1" t="s">
        <v>2363</v>
      </c>
      <c r="D697" s="1" t="s">
        <v>549</v>
      </c>
      <c r="E697" s="2">
        <v>45993</v>
      </c>
      <c r="F697" s="1" t="s">
        <v>63</v>
      </c>
      <c r="G697" s="1" t="s">
        <v>550</v>
      </c>
      <c r="H697" s="1" t="s">
        <v>551</v>
      </c>
      <c r="I697" s="1">
        <v>1</v>
      </c>
      <c r="J697" s="3">
        <v>15422</v>
      </c>
      <c r="K697" s="3">
        <v>14716</v>
      </c>
      <c r="L697" s="1">
        <v>0</v>
      </c>
      <c r="M697" s="4">
        <v>0</v>
      </c>
      <c r="N697" s="1">
        <v>706</v>
      </c>
      <c r="O697" s="4">
        <v>4.5999999999999999E-2</v>
      </c>
      <c r="P697" s="1" t="s">
        <v>2721</v>
      </c>
    </row>
    <row r="698" spans="1:16">
      <c r="A698" s="1" t="s">
        <v>15</v>
      </c>
      <c r="B698" s="1">
        <v>12</v>
      </c>
      <c r="C698" s="1" t="s">
        <v>2364</v>
      </c>
      <c r="D698" s="1" t="s">
        <v>52</v>
      </c>
      <c r="E698" s="2">
        <v>45993</v>
      </c>
      <c r="F698" s="1" t="s">
        <v>53</v>
      </c>
      <c r="G698" s="1" t="s">
        <v>54</v>
      </c>
      <c r="H698" s="1" t="s">
        <v>55</v>
      </c>
      <c r="I698" s="1">
        <v>1</v>
      </c>
      <c r="J698" s="3">
        <v>16135</v>
      </c>
      <c r="K698" s="3">
        <v>15396</v>
      </c>
      <c r="L698" s="1">
        <v>0</v>
      </c>
      <c r="M698" s="4">
        <v>0</v>
      </c>
      <c r="N698" s="1">
        <v>739</v>
      </c>
      <c r="O698" s="4">
        <v>4.5999999999999999E-2</v>
      </c>
      <c r="P698" s="1" t="s">
        <v>2721</v>
      </c>
    </row>
    <row r="699" spans="1:16">
      <c r="A699" s="1" t="s">
        <v>15</v>
      </c>
      <c r="B699" s="1">
        <v>12</v>
      </c>
      <c r="C699" s="1" t="s">
        <v>2365</v>
      </c>
      <c r="D699" s="1" t="s">
        <v>989</v>
      </c>
      <c r="E699" s="2">
        <v>45993</v>
      </c>
      <c r="F699" s="1" t="s">
        <v>48</v>
      </c>
      <c r="G699" s="1" t="s">
        <v>990</v>
      </c>
      <c r="H699" s="1" t="s">
        <v>991</v>
      </c>
      <c r="I699" s="1">
        <v>1</v>
      </c>
      <c r="J699" s="3">
        <v>13113</v>
      </c>
      <c r="K699" s="3">
        <v>12513</v>
      </c>
      <c r="L699" s="1">
        <v>0</v>
      </c>
      <c r="M699" s="4">
        <v>0</v>
      </c>
      <c r="N699" s="3">
        <v>600</v>
      </c>
      <c r="O699" s="4">
        <v>4.5999999999999999E-2</v>
      </c>
      <c r="P699" s="1" t="s">
        <v>2721</v>
      </c>
    </row>
    <row r="700" spans="1:16">
      <c r="A700" s="1" t="s">
        <v>15</v>
      </c>
      <c r="B700" s="1">
        <v>12</v>
      </c>
      <c r="C700" s="1" t="s">
        <v>2366</v>
      </c>
      <c r="D700" s="1" t="s">
        <v>960</v>
      </c>
      <c r="E700" s="2">
        <v>45993</v>
      </c>
      <c r="F700" s="1" t="s">
        <v>407</v>
      </c>
      <c r="G700" s="1" t="s">
        <v>961</v>
      </c>
      <c r="H700" s="1" t="s">
        <v>2367</v>
      </c>
      <c r="I700" s="1">
        <v>1</v>
      </c>
      <c r="J700" s="3">
        <v>34405</v>
      </c>
      <c r="K700" s="3">
        <v>32830</v>
      </c>
      <c r="L700" s="1">
        <v>0</v>
      </c>
      <c r="M700" s="4">
        <v>0</v>
      </c>
      <c r="N700" s="3">
        <v>1575</v>
      </c>
      <c r="O700" s="4">
        <v>4.5999999999999999E-2</v>
      </c>
      <c r="P700" s="1" t="s">
        <v>2721</v>
      </c>
    </row>
    <row r="701" spans="1:16">
      <c r="A701" s="1" t="s">
        <v>15</v>
      </c>
      <c r="B701" s="1">
        <v>12</v>
      </c>
      <c r="C701" s="1" t="s">
        <v>2368</v>
      </c>
      <c r="D701" s="1" t="s">
        <v>1026</v>
      </c>
      <c r="E701" s="2">
        <v>45993</v>
      </c>
      <c r="F701" s="1" t="s">
        <v>256</v>
      </c>
      <c r="G701" s="1" t="s">
        <v>1027</v>
      </c>
      <c r="H701" s="1" t="s">
        <v>1028</v>
      </c>
      <c r="I701" s="1">
        <v>1</v>
      </c>
      <c r="J701" s="3">
        <v>5407</v>
      </c>
      <c r="K701" s="3">
        <v>5159</v>
      </c>
      <c r="L701" s="1">
        <v>0</v>
      </c>
      <c r="M701" s="4">
        <v>0</v>
      </c>
      <c r="N701" s="3">
        <v>248</v>
      </c>
      <c r="O701" s="4">
        <v>4.5999999999999999E-2</v>
      </c>
      <c r="P701" s="1" t="s">
        <v>2721</v>
      </c>
    </row>
    <row r="702" spans="1:16">
      <c r="A702" s="1" t="s">
        <v>15</v>
      </c>
      <c r="B702" s="1">
        <v>12</v>
      </c>
      <c r="C702" s="1" t="s">
        <v>2369</v>
      </c>
      <c r="D702" s="1" t="s">
        <v>1336</v>
      </c>
      <c r="E702" s="2">
        <v>45993</v>
      </c>
      <c r="F702" s="1" t="s">
        <v>1271</v>
      </c>
      <c r="G702" s="1" t="s">
        <v>1337</v>
      </c>
      <c r="H702" s="1" t="s">
        <v>1338</v>
      </c>
      <c r="I702" s="1">
        <v>1</v>
      </c>
      <c r="J702" s="3">
        <v>49347</v>
      </c>
      <c r="K702" s="3">
        <v>47088</v>
      </c>
      <c r="L702" s="1">
        <v>0</v>
      </c>
      <c r="M702" s="4">
        <v>0</v>
      </c>
      <c r="N702" s="3">
        <v>2259</v>
      </c>
      <c r="O702" s="4">
        <v>4.5999999999999999E-2</v>
      </c>
      <c r="P702" s="1" t="s">
        <v>2721</v>
      </c>
    </row>
    <row r="703" spans="1:16">
      <c r="A703" s="1" t="s">
        <v>15</v>
      </c>
      <c r="B703" s="1">
        <v>12</v>
      </c>
      <c r="C703" s="1" t="s">
        <v>2370</v>
      </c>
      <c r="D703" s="1" t="s">
        <v>1026</v>
      </c>
      <c r="E703" s="2">
        <v>45993</v>
      </c>
      <c r="F703" s="1" t="s">
        <v>256</v>
      </c>
      <c r="G703" s="1" t="s">
        <v>1027</v>
      </c>
      <c r="H703" s="1" t="s">
        <v>1464</v>
      </c>
      <c r="I703" s="1">
        <v>1</v>
      </c>
      <c r="J703" s="3">
        <v>15433</v>
      </c>
      <c r="K703" s="3">
        <v>14727</v>
      </c>
      <c r="L703" s="1">
        <v>0</v>
      </c>
      <c r="M703" s="4">
        <v>0</v>
      </c>
      <c r="N703" s="1">
        <v>706</v>
      </c>
      <c r="O703" s="4">
        <v>4.5999999999999999E-2</v>
      </c>
      <c r="P703" s="1" t="s">
        <v>2721</v>
      </c>
    </row>
    <row r="704" spans="1:16">
      <c r="A704" s="1" t="s">
        <v>15</v>
      </c>
      <c r="B704" s="1">
        <v>12</v>
      </c>
      <c r="C704" s="1" t="s">
        <v>2371</v>
      </c>
      <c r="D704" s="1" t="s">
        <v>238</v>
      </c>
      <c r="E704" s="2">
        <v>45993</v>
      </c>
      <c r="F704" s="1" t="s">
        <v>239</v>
      </c>
      <c r="G704" s="1" t="s">
        <v>240</v>
      </c>
      <c r="H704" s="1" t="s">
        <v>241</v>
      </c>
      <c r="I704" s="1">
        <v>1</v>
      </c>
      <c r="J704" s="3">
        <v>11305</v>
      </c>
      <c r="K704" s="3">
        <v>10787</v>
      </c>
      <c r="L704" s="1">
        <v>0</v>
      </c>
      <c r="M704" s="4">
        <v>0</v>
      </c>
      <c r="N704" s="1">
        <v>518</v>
      </c>
      <c r="O704" s="4">
        <v>4.5999999999999999E-2</v>
      </c>
      <c r="P704" s="1" t="s">
        <v>2721</v>
      </c>
    </row>
    <row r="705" spans="1:16">
      <c r="A705" s="1" t="s">
        <v>15</v>
      </c>
      <c r="B705" s="1">
        <v>12</v>
      </c>
      <c r="C705" s="1" t="s">
        <v>2371</v>
      </c>
      <c r="D705" s="1" t="s">
        <v>238</v>
      </c>
      <c r="E705" s="2">
        <v>45993</v>
      </c>
      <c r="F705" s="1" t="s">
        <v>239</v>
      </c>
      <c r="G705" s="1" t="s">
        <v>240</v>
      </c>
      <c r="H705" s="1" t="s">
        <v>242</v>
      </c>
      <c r="I705" s="1">
        <v>1</v>
      </c>
      <c r="J705" s="3">
        <v>11305</v>
      </c>
      <c r="K705" s="3">
        <v>10787</v>
      </c>
      <c r="L705" s="1">
        <v>0</v>
      </c>
      <c r="M705" s="4">
        <v>0</v>
      </c>
      <c r="N705" s="1">
        <v>518</v>
      </c>
      <c r="O705" s="4">
        <v>4.5999999999999999E-2</v>
      </c>
      <c r="P705" s="1" t="s">
        <v>2721</v>
      </c>
    </row>
    <row r="706" spans="1:16">
      <c r="A706" s="1" t="s">
        <v>15</v>
      </c>
      <c r="B706" s="1">
        <v>12</v>
      </c>
      <c r="C706" s="1" t="s">
        <v>2372</v>
      </c>
      <c r="D706" s="1" t="s">
        <v>474</v>
      </c>
      <c r="E706" s="2">
        <v>45993</v>
      </c>
      <c r="F706" s="1" t="s">
        <v>53</v>
      </c>
      <c r="G706" s="1" t="s">
        <v>475</v>
      </c>
      <c r="H706" s="1" t="s">
        <v>476</v>
      </c>
      <c r="I706" s="1">
        <v>1</v>
      </c>
      <c r="J706" s="3">
        <v>10726</v>
      </c>
      <c r="K706" s="3">
        <v>10235</v>
      </c>
      <c r="L706" s="1">
        <v>0</v>
      </c>
      <c r="M706" s="4">
        <v>0</v>
      </c>
      <c r="N706" s="1">
        <v>491</v>
      </c>
      <c r="O706" s="4">
        <v>4.5999999999999999E-2</v>
      </c>
      <c r="P706" s="1" t="s">
        <v>2721</v>
      </c>
    </row>
    <row r="707" spans="1:16">
      <c r="A707" s="1" t="s">
        <v>15</v>
      </c>
      <c r="B707" s="1">
        <v>12</v>
      </c>
      <c r="C707" s="1" t="s">
        <v>2372</v>
      </c>
      <c r="D707" s="1" t="s">
        <v>228</v>
      </c>
      <c r="E707" s="2">
        <v>45993</v>
      </c>
      <c r="F707" s="1" t="s">
        <v>53</v>
      </c>
      <c r="G707" s="1" t="s">
        <v>229</v>
      </c>
      <c r="H707" s="1" t="s">
        <v>230</v>
      </c>
      <c r="I707" s="1">
        <v>1</v>
      </c>
      <c r="J707" s="3">
        <v>9825</v>
      </c>
      <c r="K707" s="3">
        <v>9375</v>
      </c>
      <c r="L707" s="1">
        <v>0</v>
      </c>
      <c r="M707" s="4">
        <v>0</v>
      </c>
      <c r="N707" s="1">
        <v>450</v>
      </c>
      <c r="O707" s="4">
        <v>4.5999999999999999E-2</v>
      </c>
      <c r="P707" s="1" t="s">
        <v>2721</v>
      </c>
    </row>
    <row r="708" spans="1:16">
      <c r="A708" s="1" t="s">
        <v>15</v>
      </c>
      <c r="B708" s="1">
        <v>12</v>
      </c>
      <c r="C708" s="1" t="s">
        <v>2373</v>
      </c>
      <c r="D708" s="1" t="s">
        <v>1026</v>
      </c>
      <c r="E708" s="2">
        <v>45993</v>
      </c>
      <c r="F708" s="1" t="s">
        <v>256</v>
      </c>
      <c r="G708" s="1" t="s">
        <v>1027</v>
      </c>
      <c r="H708" s="1" t="s">
        <v>2374</v>
      </c>
      <c r="I708" s="1">
        <v>1</v>
      </c>
      <c r="J708" s="3">
        <v>12337</v>
      </c>
      <c r="K708" s="3">
        <v>11772</v>
      </c>
      <c r="L708" s="1">
        <v>0</v>
      </c>
      <c r="M708" s="4">
        <v>0</v>
      </c>
      <c r="N708" s="1">
        <v>565</v>
      </c>
      <c r="O708" s="4">
        <v>4.5999999999999999E-2</v>
      </c>
      <c r="P708" s="1" t="s">
        <v>2721</v>
      </c>
    </row>
    <row r="709" spans="1:16">
      <c r="A709" s="1" t="s">
        <v>15</v>
      </c>
      <c r="B709" s="1">
        <v>12</v>
      </c>
      <c r="C709" s="1" t="s">
        <v>2375</v>
      </c>
      <c r="D709" s="1" t="s">
        <v>1375</v>
      </c>
      <c r="E709" s="2">
        <v>45993</v>
      </c>
      <c r="F709" s="1" t="s">
        <v>256</v>
      </c>
      <c r="G709" s="1" t="s">
        <v>1376</v>
      </c>
      <c r="H709" s="1" t="s">
        <v>2376</v>
      </c>
      <c r="I709" s="1">
        <v>2</v>
      </c>
      <c r="J709" s="3">
        <v>10322</v>
      </c>
      <c r="K709" s="3">
        <v>9849</v>
      </c>
      <c r="L709" s="1">
        <v>0</v>
      </c>
      <c r="M709" s="4">
        <v>0</v>
      </c>
      <c r="N709" s="1">
        <v>473</v>
      </c>
      <c r="O709" s="4">
        <v>4.5999999999999999E-2</v>
      </c>
      <c r="P709" s="1" t="s">
        <v>2721</v>
      </c>
    </row>
    <row r="710" spans="1:16">
      <c r="A710" s="1" t="s">
        <v>15</v>
      </c>
      <c r="B710" s="1">
        <v>12</v>
      </c>
      <c r="C710" s="1" t="s">
        <v>2377</v>
      </c>
      <c r="D710" s="1" t="s">
        <v>2378</v>
      </c>
      <c r="E710" s="2">
        <v>45993</v>
      </c>
      <c r="F710" s="1" t="s">
        <v>96</v>
      </c>
      <c r="G710" s="1" t="s">
        <v>2379</v>
      </c>
      <c r="H710" s="1" t="s">
        <v>2380</v>
      </c>
      <c r="I710" s="1">
        <v>1</v>
      </c>
      <c r="J710" s="3">
        <v>9405</v>
      </c>
      <c r="K710" s="3">
        <v>8975</v>
      </c>
      <c r="L710" s="1">
        <v>0</v>
      </c>
      <c r="M710" s="4">
        <v>0</v>
      </c>
      <c r="N710" s="1">
        <v>430</v>
      </c>
      <c r="O710" s="4">
        <v>4.5999999999999999E-2</v>
      </c>
      <c r="P710" s="1" t="s">
        <v>2721</v>
      </c>
    </row>
    <row r="711" spans="1:16">
      <c r="A711" s="1" t="s">
        <v>15</v>
      </c>
      <c r="B711" s="1">
        <v>12</v>
      </c>
      <c r="C711" s="1" t="s">
        <v>2381</v>
      </c>
      <c r="D711" s="1" t="s">
        <v>228</v>
      </c>
      <c r="E711" s="2">
        <v>45993</v>
      </c>
      <c r="F711" s="1" t="s">
        <v>53</v>
      </c>
      <c r="G711" s="1" t="s">
        <v>229</v>
      </c>
      <c r="H711" s="1" t="s">
        <v>230</v>
      </c>
      <c r="I711" s="1">
        <v>1</v>
      </c>
      <c r="J711" s="3">
        <v>9825</v>
      </c>
      <c r="K711" s="3">
        <v>9375</v>
      </c>
      <c r="L711" s="1">
        <v>0</v>
      </c>
      <c r="M711" s="4">
        <v>0</v>
      </c>
      <c r="N711" s="3">
        <v>450</v>
      </c>
      <c r="O711" s="4">
        <v>4.5999999999999999E-2</v>
      </c>
      <c r="P711" s="1" t="s">
        <v>2721</v>
      </c>
    </row>
    <row r="712" spans="1:16">
      <c r="A712" s="1" t="s">
        <v>15</v>
      </c>
      <c r="B712" s="1">
        <v>12</v>
      </c>
      <c r="C712" s="1" t="s">
        <v>2382</v>
      </c>
      <c r="D712" s="1" t="s">
        <v>950</v>
      </c>
      <c r="E712" s="2">
        <v>45993</v>
      </c>
      <c r="F712" s="1" t="s">
        <v>783</v>
      </c>
      <c r="G712" s="1" t="s">
        <v>951</v>
      </c>
      <c r="H712" s="1" t="s">
        <v>952</v>
      </c>
      <c r="I712" s="1">
        <v>1</v>
      </c>
      <c r="J712" s="3">
        <v>38730</v>
      </c>
      <c r="K712" s="3">
        <v>36957</v>
      </c>
      <c r="L712" s="1">
        <v>0</v>
      </c>
      <c r="M712" s="4">
        <v>0</v>
      </c>
      <c r="N712" s="3">
        <v>1773</v>
      </c>
      <c r="O712" s="4">
        <v>4.5999999999999999E-2</v>
      </c>
      <c r="P712" s="1" t="s">
        <v>2721</v>
      </c>
    </row>
    <row r="713" spans="1:16">
      <c r="A713" s="1" t="s">
        <v>15</v>
      </c>
      <c r="B713" s="1">
        <v>12</v>
      </c>
      <c r="C713" s="1" t="s">
        <v>2383</v>
      </c>
      <c r="D713" s="1" t="s">
        <v>2384</v>
      </c>
      <c r="E713" s="2">
        <v>45993</v>
      </c>
      <c r="F713" s="1" t="s">
        <v>2385</v>
      </c>
      <c r="G713" s="1" t="s">
        <v>2386</v>
      </c>
      <c r="H713" s="1" t="s">
        <v>2387</v>
      </c>
      <c r="I713" s="1">
        <v>1</v>
      </c>
      <c r="J713" s="3">
        <v>14450</v>
      </c>
      <c r="K713" s="3">
        <v>13789</v>
      </c>
      <c r="L713" s="1">
        <v>0</v>
      </c>
      <c r="M713" s="4">
        <v>0</v>
      </c>
      <c r="N713" s="1">
        <v>661</v>
      </c>
      <c r="O713" s="4">
        <v>4.5999999999999999E-2</v>
      </c>
      <c r="P713" s="1" t="s">
        <v>2721</v>
      </c>
    </row>
    <row r="714" spans="1:16">
      <c r="A714" s="1" t="s">
        <v>15</v>
      </c>
      <c r="B714" s="1">
        <v>12</v>
      </c>
      <c r="C714" s="1" t="s">
        <v>2388</v>
      </c>
      <c r="D714" s="1" t="s">
        <v>390</v>
      </c>
      <c r="E714" s="2">
        <v>45993</v>
      </c>
      <c r="F714" s="1" t="s">
        <v>256</v>
      </c>
      <c r="G714" s="1" t="s">
        <v>391</v>
      </c>
      <c r="H714" s="1" t="s">
        <v>392</v>
      </c>
      <c r="I714" s="1">
        <v>1</v>
      </c>
      <c r="J714" s="3">
        <v>12799</v>
      </c>
      <c r="K714" s="3">
        <v>12213</v>
      </c>
      <c r="L714" s="1">
        <v>0</v>
      </c>
      <c r="M714" s="4">
        <v>0</v>
      </c>
      <c r="N714" s="1">
        <v>586</v>
      </c>
      <c r="O714" s="4">
        <v>4.5999999999999999E-2</v>
      </c>
      <c r="P714" s="1" t="s">
        <v>2721</v>
      </c>
    </row>
    <row r="715" spans="1:16">
      <c r="A715" s="1" t="s">
        <v>15</v>
      </c>
      <c r="B715" s="1">
        <v>12</v>
      </c>
      <c r="C715" s="1" t="s">
        <v>2389</v>
      </c>
      <c r="D715" s="1" t="s">
        <v>793</v>
      </c>
      <c r="E715" s="2">
        <v>45993</v>
      </c>
      <c r="F715" s="1" t="s">
        <v>126</v>
      </c>
      <c r="G715" s="1" t="s">
        <v>794</v>
      </c>
      <c r="H715" s="1" t="s">
        <v>795</v>
      </c>
      <c r="I715" s="1">
        <v>1</v>
      </c>
      <c r="J715" s="3">
        <v>10715</v>
      </c>
      <c r="K715" s="3">
        <v>10224</v>
      </c>
      <c r="L715" s="1">
        <v>0</v>
      </c>
      <c r="M715" s="4">
        <v>0</v>
      </c>
      <c r="N715" s="3">
        <v>491</v>
      </c>
      <c r="O715" s="4">
        <v>4.5999999999999999E-2</v>
      </c>
      <c r="P715" s="1" t="s">
        <v>2721</v>
      </c>
    </row>
    <row r="716" spans="1:16">
      <c r="A716" s="1" t="s">
        <v>15</v>
      </c>
      <c r="B716" s="1">
        <v>12</v>
      </c>
      <c r="C716" s="1" t="s">
        <v>2390</v>
      </c>
      <c r="D716" s="1" t="s">
        <v>482</v>
      </c>
      <c r="E716" s="2">
        <v>45993</v>
      </c>
      <c r="F716" s="1" t="s">
        <v>483</v>
      </c>
      <c r="G716" s="1" t="s">
        <v>484</v>
      </c>
      <c r="H716" s="1" t="s">
        <v>1777</v>
      </c>
      <c r="I716" s="1">
        <v>1</v>
      </c>
      <c r="J716" s="3">
        <v>27426</v>
      </c>
      <c r="K716" s="3">
        <v>26170</v>
      </c>
      <c r="L716" s="1">
        <v>0</v>
      </c>
      <c r="M716" s="4">
        <v>0</v>
      </c>
      <c r="N716" s="3">
        <v>1256</v>
      </c>
      <c r="O716" s="4">
        <v>4.5999999999999999E-2</v>
      </c>
      <c r="P716" s="1" t="s">
        <v>2721</v>
      </c>
    </row>
    <row r="717" spans="1:16">
      <c r="A717" s="1" t="s">
        <v>15</v>
      </c>
      <c r="B717" s="1">
        <v>12</v>
      </c>
      <c r="C717" s="1" t="s">
        <v>2391</v>
      </c>
      <c r="D717" s="1" t="s">
        <v>2392</v>
      </c>
      <c r="E717" s="2">
        <v>45993</v>
      </c>
      <c r="F717" s="1" t="s">
        <v>883</v>
      </c>
      <c r="G717" s="1" t="s">
        <v>2393</v>
      </c>
      <c r="H717" s="1" t="s">
        <v>2394</v>
      </c>
      <c r="I717" s="1">
        <v>1</v>
      </c>
      <c r="J717" s="3">
        <v>11757</v>
      </c>
      <c r="K717" s="3">
        <v>11218</v>
      </c>
      <c r="L717" s="1">
        <v>0</v>
      </c>
      <c r="M717" s="4">
        <v>0</v>
      </c>
      <c r="N717" s="1">
        <v>539</v>
      </c>
      <c r="O717" s="4">
        <v>4.5999999999999999E-2</v>
      </c>
      <c r="P717" s="1" t="s">
        <v>2721</v>
      </c>
    </row>
    <row r="718" spans="1:16">
      <c r="A718" s="1" t="s">
        <v>15</v>
      </c>
      <c r="B718" s="1">
        <v>12</v>
      </c>
      <c r="C718" s="1" t="s">
        <v>2395</v>
      </c>
      <c r="D718" s="1" t="s">
        <v>903</v>
      </c>
      <c r="E718" s="2">
        <v>45993</v>
      </c>
      <c r="F718" s="1" t="s">
        <v>23</v>
      </c>
      <c r="G718" s="1" t="s">
        <v>587</v>
      </c>
      <c r="H718" s="1" t="s">
        <v>588</v>
      </c>
      <c r="I718" s="1">
        <v>1</v>
      </c>
      <c r="J718" s="3">
        <v>13762</v>
      </c>
      <c r="K718" s="3">
        <v>13132</v>
      </c>
      <c r="L718" s="1">
        <v>0</v>
      </c>
      <c r="M718" s="4">
        <v>0</v>
      </c>
      <c r="N718" s="1">
        <v>630</v>
      </c>
      <c r="O718" s="4">
        <v>4.5999999999999999E-2</v>
      </c>
      <c r="P718" s="1" t="s">
        <v>2721</v>
      </c>
    </row>
    <row r="719" spans="1:16">
      <c r="A719" s="1" t="s">
        <v>15</v>
      </c>
      <c r="B719" s="1">
        <v>12</v>
      </c>
      <c r="C719" s="1" t="s">
        <v>2396</v>
      </c>
      <c r="D719" s="1" t="s">
        <v>132</v>
      </c>
      <c r="E719" s="2">
        <v>45993</v>
      </c>
      <c r="F719" s="1" t="s">
        <v>53</v>
      </c>
      <c r="G719" s="1" t="s">
        <v>133</v>
      </c>
      <c r="H719" s="1" t="s">
        <v>88</v>
      </c>
      <c r="I719" s="1">
        <v>1</v>
      </c>
      <c r="J719" s="3">
        <v>17036</v>
      </c>
      <c r="K719" s="3">
        <v>16256</v>
      </c>
      <c r="L719" s="1">
        <v>0</v>
      </c>
      <c r="M719" s="4">
        <v>0</v>
      </c>
      <c r="N719" s="3">
        <v>780</v>
      </c>
      <c r="O719" s="4">
        <v>4.5999999999999999E-2</v>
      </c>
      <c r="P719" s="1" t="s">
        <v>2721</v>
      </c>
    </row>
    <row r="720" spans="1:16">
      <c r="A720" s="1" t="s">
        <v>15</v>
      </c>
      <c r="B720" s="1">
        <v>12</v>
      </c>
      <c r="C720" s="1" t="s">
        <v>2397</v>
      </c>
      <c r="D720" s="1" t="s">
        <v>2398</v>
      </c>
      <c r="E720" s="2">
        <v>45993</v>
      </c>
      <c r="F720" s="1" t="s">
        <v>63</v>
      </c>
      <c r="G720" s="1" t="s">
        <v>2399</v>
      </c>
      <c r="H720" s="1" t="s">
        <v>2400</v>
      </c>
      <c r="I720" s="1">
        <v>1</v>
      </c>
      <c r="J720" s="3">
        <v>32001</v>
      </c>
      <c r="K720" s="3">
        <v>30536</v>
      </c>
      <c r="L720" s="1">
        <v>0</v>
      </c>
      <c r="M720" s="4">
        <v>0</v>
      </c>
      <c r="N720" s="3">
        <v>1465</v>
      </c>
      <c r="O720" s="4">
        <v>4.5999999999999999E-2</v>
      </c>
      <c r="P720" s="1" t="s">
        <v>2721</v>
      </c>
    </row>
    <row r="721" spans="1:16">
      <c r="A721" s="1" t="s">
        <v>15</v>
      </c>
      <c r="B721" s="1">
        <v>12</v>
      </c>
      <c r="C721" s="1" t="s">
        <v>2401</v>
      </c>
      <c r="D721" s="1" t="s">
        <v>221</v>
      </c>
      <c r="E721" s="2">
        <v>45993</v>
      </c>
      <c r="F721" s="1" t="s">
        <v>96</v>
      </c>
      <c r="G721" s="1" t="s">
        <v>222</v>
      </c>
      <c r="H721" s="1" t="s">
        <v>509</v>
      </c>
      <c r="I721" s="1">
        <v>1</v>
      </c>
      <c r="J721" s="3">
        <v>12571</v>
      </c>
      <c r="K721" s="3">
        <v>11995</v>
      </c>
      <c r="L721" s="1">
        <v>0</v>
      </c>
      <c r="M721" s="4">
        <v>0</v>
      </c>
      <c r="N721" s="3">
        <v>576</v>
      </c>
      <c r="O721" s="4">
        <v>4.5999999999999999E-2</v>
      </c>
      <c r="P721" s="1" t="s">
        <v>2721</v>
      </c>
    </row>
    <row r="722" spans="1:16">
      <c r="A722" s="1" t="s">
        <v>15</v>
      </c>
      <c r="B722" s="1">
        <v>12</v>
      </c>
      <c r="C722" s="1" t="s">
        <v>2402</v>
      </c>
      <c r="D722" s="1" t="s">
        <v>2403</v>
      </c>
      <c r="E722" s="2">
        <v>45993</v>
      </c>
      <c r="F722" s="1" t="s">
        <v>1772</v>
      </c>
      <c r="G722" s="1" t="s">
        <v>2404</v>
      </c>
      <c r="H722" s="1" t="s">
        <v>2405</v>
      </c>
      <c r="I722" s="1">
        <v>2</v>
      </c>
      <c r="J722" s="3">
        <v>64681</v>
      </c>
      <c r="K722" s="3">
        <v>61720</v>
      </c>
      <c r="L722" s="1">
        <v>0</v>
      </c>
      <c r="M722" s="4">
        <v>0</v>
      </c>
      <c r="N722" s="3">
        <v>2961</v>
      </c>
      <c r="O722" s="4">
        <v>4.5999999999999999E-2</v>
      </c>
      <c r="P722" s="1" t="s">
        <v>2721</v>
      </c>
    </row>
    <row r="723" spans="1:16">
      <c r="A723" s="1" t="s">
        <v>15</v>
      </c>
      <c r="B723" s="1">
        <v>12</v>
      </c>
      <c r="C723" s="1" t="s">
        <v>2406</v>
      </c>
      <c r="D723" s="1" t="s">
        <v>569</v>
      </c>
      <c r="E723" s="2">
        <v>45993</v>
      </c>
      <c r="F723" s="1" t="s">
        <v>570</v>
      </c>
      <c r="G723" s="1" t="s">
        <v>571</v>
      </c>
      <c r="H723" s="1" t="s">
        <v>572</v>
      </c>
      <c r="I723" s="1">
        <v>1</v>
      </c>
      <c r="J723" s="3">
        <v>19660</v>
      </c>
      <c r="K723" s="3">
        <v>18760</v>
      </c>
      <c r="L723" s="1">
        <v>0</v>
      </c>
      <c r="M723" s="4">
        <v>0</v>
      </c>
      <c r="N723" s="1">
        <v>900</v>
      </c>
      <c r="O723" s="4">
        <v>4.5999999999999999E-2</v>
      </c>
      <c r="P723" s="1" t="s">
        <v>2721</v>
      </c>
    </row>
    <row r="724" spans="1:16">
      <c r="A724" s="1" t="s">
        <v>15</v>
      </c>
      <c r="B724" s="1">
        <v>12</v>
      </c>
      <c r="C724" s="1" t="s">
        <v>2407</v>
      </c>
      <c r="D724" s="1" t="s">
        <v>132</v>
      </c>
      <c r="E724" s="2">
        <v>45993</v>
      </c>
      <c r="F724" s="1" t="s">
        <v>53</v>
      </c>
      <c r="G724" s="1" t="s">
        <v>133</v>
      </c>
      <c r="H724" s="1" t="s">
        <v>88</v>
      </c>
      <c r="I724" s="1">
        <v>1</v>
      </c>
      <c r="J724" s="3">
        <v>17036</v>
      </c>
      <c r="K724" s="3">
        <v>16256</v>
      </c>
      <c r="L724" s="1">
        <v>0</v>
      </c>
      <c r="M724" s="4">
        <v>0</v>
      </c>
      <c r="N724" s="3">
        <v>780</v>
      </c>
      <c r="O724" s="4">
        <v>4.5999999999999999E-2</v>
      </c>
      <c r="P724" s="1" t="s">
        <v>2721</v>
      </c>
    </row>
    <row r="725" spans="1:16">
      <c r="A725" s="1" t="s">
        <v>15</v>
      </c>
      <c r="B725" s="1">
        <v>12</v>
      </c>
      <c r="C725" s="1" t="s">
        <v>2408</v>
      </c>
      <c r="D725" s="1" t="s">
        <v>27</v>
      </c>
      <c r="E725" s="2">
        <v>45993</v>
      </c>
      <c r="F725" s="1" t="s">
        <v>28</v>
      </c>
      <c r="G725" s="1" t="s">
        <v>29</v>
      </c>
      <c r="H725" s="1" t="s">
        <v>30</v>
      </c>
      <c r="I725" s="1">
        <v>1</v>
      </c>
      <c r="J725" s="3">
        <v>27033</v>
      </c>
      <c r="K725" s="3">
        <v>25795</v>
      </c>
      <c r="L725" s="1">
        <v>0</v>
      </c>
      <c r="M725" s="4">
        <v>0</v>
      </c>
      <c r="N725" s="3">
        <v>1238</v>
      </c>
      <c r="O725" s="4">
        <v>4.5999999999999999E-2</v>
      </c>
      <c r="P725" s="1" t="s">
        <v>2721</v>
      </c>
    </row>
    <row r="726" spans="1:16">
      <c r="A726" s="1" t="s">
        <v>15</v>
      </c>
      <c r="B726" s="1">
        <v>12</v>
      </c>
      <c r="C726" s="1" t="s">
        <v>2408</v>
      </c>
      <c r="D726" s="1" t="s">
        <v>27</v>
      </c>
      <c r="E726" s="2">
        <v>45993</v>
      </c>
      <c r="F726" s="1" t="s">
        <v>28</v>
      </c>
      <c r="G726" s="1" t="s">
        <v>29</v>
      </c>
      <c r="H726" s="1" t="s">
        <v>352</v>
      </c>
      <c r="I726" s="1">
        <v>1</v>
      </c>
      <c r="J726" s="3">
        <v>27033</v>
      </c>
      <c r="K726" s="3">
        <v>25795</v>
      </c>
      <c r="L726" s="1">
        <v>0</v>
      </c>
      <c r="M726" s="4">
        <v>0</v>
      </c>
      <c r="N726" s="3">
        <v>1238</v>
      </c>
      <c r="O726" s="4">
        <v>4.5999999999999999E-2</v>
      </c>
      <c r="P726" s="1" t="s">
        <v>2721</v>
      </c>
    </row>
    <row r="727" spans="1:16">
      <c r="A727" s="1" t="s">
        <v>15</v>
      </c>
      <c r="B727" s="1">
        <v>12</v>
      </c>
      <c r="C727" s="1" t="s">
        <v>2409</v>
      </c>
      <c r="D727" s="1" t="s">
        <v>504</v>
      </c>
      <c r="E727" s="2">
        <v>45993</v>
      </c>
      <c r="F727" s="1" t="s">
        <v>407</v>
      </c>
      <c r="G727" s="1" t="s">
        <v>505</v>
      </c>
      <c r="H727" s="1" t="s">
        <v>506</v>
      </c>
      <c r="I727" s="1">
        <v>1</v>
      </c>
      <c r="J727" s="3">
        <v>40303</v>
      </c>
      <c r="K727" s="3">
        <v>38458</v>
      </c>
      <c r="L727" s="1">
        <v>0</v>
      </c>
      <c r="M727" s="4">
        <v>0</v>
      </c>
      <c r="N727" s="3">
        <v>1845</v>
      </c>
      <c r="O727" s="4">
        <v>4.5999999999999999E-2</v>
      </c>
      <c r="P727" s="1" t="s">
        <v>2721</v>
      </c>
    </row>
    <row r="728" spans="1:16">
      <c r="A728" s="1" t="s">
        <v>15</v>
      </c>
      <c r="B728" s="1">
        <v>12</v>
      </c>
      <c r="C728" s="1" t="s">
        <v>2410</v>
      </c>
      <c r="D728" s="1" t="s">
        <v>1254</v>
      </c>
      <c r="E728" s="2">
        <v>45993</v>
      </c>
      <c r="F728" s="1" t="s">
        <v>1255</v>
      </c>
      <c r="G728" s="1" t="s">
        <v>1256</v>
      </c>
      <c r="H728" s="1" t="s">
        <v>1257</v>
      </c>
      <c r="I728" s="1">
        <v>1</v>
      </c>
      <c r="J728" s="3">
        <v>20545</v>
      </c>
      <c r="K728" s="3">
        <v>19604</v>
      </c>
      <c r="L728" s="1">
        <v>0</v>
      </c>
      <c r="M728" s="4">
        <v>0</v>
      </c>
      <c r="N728" s="3">
        <v>941</v>
      </c>
      <c r="O728" s="4">
        <v>4.5999999999999999E-2</v>
      </c>
      <c r="P728" s="1" t="s">
        <v>2721</v>
      </c>
    </row>
    <row r="729" spans="1:16">
      <c r="A729" s="1" t="s">
        <v>15</v>
      </c>
      <c r="B729" s="1">
        <v>12</v>
      </c>
      <c r="C729" s="1" t="s">
        <v>2411</v>
      </c>
      <c r="D729" s="1" t="s">
        <v>2412</v>
      </c>
      <c r="E729" s="2">
        <v>45993</v>
      </c>
      <c r="F729" s="1" t="s">
        <v>261</v>
      </c>
      <c r="G729" s="1" t="s">
        <v>2413</v>
      </c>
      <c r="H729" s="1" t="s">
        <v>2414</v>
      </c>
      <c r="I729" s="1">
        <v>1</v>
      </c>
      <c r="J729" s="3">
        <v>61929</v>
      </c>
      <c r="K729" s="3">
        <v>59094</v>
      </c>
      <c r="L729" s="1">
        <v>0</v>
      </c>
      <c r="M729" s="4">
        <v>0</v>
      </c>
      <c r="N729" s="3">
        <v>2835</v>
      </c>
      <c r="O729" s="4">
        <v>4.5999999999999999E-2</v>
      </c>
      <c r="P729" s="1" t="s">
        <v>2721</v>
      </c>
    </row>
    <row r="730" spans="1:16">
      <c r="A730" s="1" t="s">
        <v>15</v>
      </c>
      <c r="B730" s="1">
        <v>12</v>
      </c>
      <c r="C730" s="1" t="s">
        <v>2415</v>
      </c>
      <c r="D730" s="1" t="s">
        <v>80</v>
      </c>
      <c r="E730" s="2">
        <v>45993</v>
      </c>
      <c r="F730" s="1" t="s">
        <v>58</v>
      </c>
      <c r="G730" s="1" t="s">
        <v>81</v>
      </c>
      <c r="H730" s="1" t="s">
        <v>2416</v>
      </c>
      <c r="I730" s="1">
        <v>1</v>
      </c>
      <c r="J730" s="3">
        <v>17301</v>
      </c>
      <c r="K730" s="3">
        <v>16509</v>
      </c>
      <c r="L730" s="1">
        <v>0</v>
      </c>
      <c r="M730" s="4">
        <v>0</v>
      </c>
      <c r="N730" s="1">
        <v>792</v>
      </c>
      <c r="O730" s="4">
        <v>4.5999999999999999E-2</v>
      </c>
      <c r="P730" s="1" t="s">
        <v>2721</v>
      </c>
    </row>
    <row r="731" spans="1:16">
      <c r="A731" s="1" t="s">
        <v>15</v>
      </c>
      <c r="B731" s="1">
        <v>12</v>
      </c>
      <c r="C731" s="1" t="s">
        <v>2417</v>
      </c>
      <c r="D731" s="1" t="s">
        <v>22</v>
      </c>
      <c r="E731" s="2">
        <v>45993</v>
      </c>
      <c r="F731" s="1" t="s">
        <v>23</v>
      </c>
      <c r="G731" s="1" t="s">
        <v>24</v>
      </c>
      <c r="H731" s="1" t="s">
        <v>25</v>
      </c>
      <c r="I731" s="1">
        <v>1</v>
      </c>
      <c r="J731" s="3">
        <v>11305</v>
      </c>
      <c r="K731" s="3">
        <v>10787</v>
      </c>
      <c r="L731" s="1">
        <v>0</v>
      </c>
      <c r="M731" s="4">
        <v>0</v>
      </c>
      <c r="N731" s="1">
        <v>518</v>
      </c>
      <c r="O731" s="4">
        <v>4.5999999999999999E-2</v>
      </c>
      <c r="P731" s="1" t="s">
        <v>2721</v>
      </c>
    </row>
    <row r="732" spans="1:16">
      <c r="A732" s="1" t="s">
        <v>15</v>
      </c>
      <c r="B732" s="1">
        <v>12</v>
      </c>
      <c r="C732" s="1" t="s">
        <v>2418</v>
      </c>
      <c r="D732" s="1" t="s">
        <v>212</v>
      </c>
      <c r="E732" s="2">
        <v>45993</v>
      </c>
      <c r="F732" s="1" t="s">
        <v>213</v>
      </c>
      <c r="G732" s="1" t="s">
        <v>214</v>
      </c>
      <c r="H732" s="1" t="s">
        <v>215</v>
      </c>
      <c r="I732" s="1">
        <v>1</v>
      </c>
      <c r="J732" s="3">
        <v>16220</v>
      </c>
      <c r="K732" s="3">
        <v>15477</v>
      </c>
      <c r="L732" s="1">
        <v>0</v>
      </c>
      <c r="M732" s="4">
        <v>0</v>
      </c>
      <c r="N732" s="1">
        <v>743</v>
      </c>
      <c r="O732" s="4">
        <v>4.5999999999999999E-2</v>
      </c>
      <c r="P732" s="1" t="s">
        <v>2721</v>
      </c>
    </row>
    <row r="733" spans="1:16">
      <c r="A733" s="1" t="s">
        <v>15</v>
      </c>
      <c r="B733" s="1">
        <v>12</v>
      </c>
      <c r="C733" s="1" t="s">
        <v>2419</v>
      </c>
      <c r="D733" s="1" t="s">
        <v>1587</v>
      </c>
      <c r="E733" s="2">
        <v>45993</v>
      </c>
      <c r="F733" s="1" t="s">
        <v>126</v>
      </c>
      <c r="G733" s="1" t="s">
        <v>1588</v>
      </c>
      <c r="H733" s="1" t="s">
        <v>2420</v>
      </c>
      <c r="I733" s="1">
        <v>1</v>
      </c>
      <c r="J733" s="3">
        <v>14352</v>
      </c>
      <c r="K733" s="3">
        <v>13695</v>
      </c>
      <c r="L733" s="1">
        <v>0</v>
      </c>
      <c r="M733" s="4">
        <v>0</v>
      </c>
      <c r="N733" s="3">
        <v>657</v>
      </c>
      <c r="O733" s="4">
        <v>4.5999999999999999E-2</v>
      </c>
      <c r="P733" s="1" t="s">
        <v>2721</v>
      </c>
    </row>
    <row r="734" spans="1:16">
      <c r="A734" s="1" t="s">
        <v>15</v>
      </c>
      <c r="B734" s="1">
        <v>12</v>
      </c>
      <c r="C734" s="1" t="s">
        <v>2421</v>
      </c>
      <c r="D734" s="1" t="s">
        <v>1438</v>
      </c>
      <c r="E734" s="2">
        <v>45993</v>
      </c>
      <c r="F734" s="1" t="s">
        <v>126</v>
      </c>
      <c r="G734" s="1" t="s">
        <v>1439</v>
      </c>
      <c r="H734" s="1" t="s">
        <v>1440</v>
      </c>
      <c r="I734" s="1">
        <v>2</v>
      </c>
      <c r="J734" s="3">
        <v>41286</v>
      </c>
      <c r="K734" s="3">
        <v>39396</v>
      </c>
      <c r="L734" s="1">
        <v>0</v>
      </c>
      <c r="M734" s="4">
        <v>0</v>
      </c>
      <c r="N734" s="3">
        <v>1890</v>
      </c>
      <c r="O734" s="4">
        <v>4.5999999999999999E-2</v>
      </c>
      <c r="P734" s="1" t="s">
        <v>2721</v>
      </c>
    </row>
    <row r="735" spans="1:16">
      <c r="A735" s="1" t="s">
        <v>15</v>
      </c>
      <c r="B735" s="1">
        <v>12</v>
      </c>
      <c r="C735" s="1" t="s">
        <v>2422</v>
      </c>
      <c r="D735" s="1" t="s">
        <v>2423</v>
      </c>
      <c r="E735" s="2">
        <v>45993</v>
      </c>
      <c r="F735" s="1" t="s">
        <v>2424</v>
      </c>
      <c r="G735" s="1" t="s">
        <v>2425</v>
      </c>
      <c r="H735" s="1" t="s">
        <v>2426</v>
      </c>
      <c r="I735" s="1">
        <v>1</v>
      </c>
      <c r="J735" s="3">
        <v>16121</v>
      </c>
      <c r="K735" s="3">
        <v>15383</v>
      </c>
      <c r="L735" s="1">
        <v>0</v>
      </c>
      <c r="M735" s="4">
        <v>0</v>
      </c>
      <c r="N735" s="1">
        <v>738</v>
      </c>
      <c r="O735" s="4">
        <v>4.5999999999999999E-2</v>
      </c>
      <c r="P735" s="1" t="s">
        <v>2721</v>
      </c>
    </row>
    <row r="736" spans="1:16">
      <c r="A736" s="1" t="s">
        <v>15</v>
      </c>
      <c r="B736" s="1">
        <v>12</v>
      </c>
      <c r="C736" s="1" t="s">
        <v>2427</v>
      </c>
      <c r="D736" s="1" t="s">
        <v>2428</v>
      </c>
      <c r="E736" s="2">
        <v>45993</v>
      </c>
      <c r="F736" s="1" t="s">
        <v>68</v>
      </c>
      <c r="G736" s="1" t="s">
        <v>2429</v>
      </c>
      <c r="H736" s="1" t="s">
        <v>2430</v>
      </c>
      <c r="I736" s="1">
        <v>1</v>
      </c>
      <c r="J736" s="3">
        <v>15084</v>
      </c>
      <c r="K736" s="3">
        <v>14394</v>
      </c>
      <c r="L736" s="1">
        <v>0</v>
      </c>
      <c r="M736" s="4">
        <v>0</v>
      </c>
      <c r="N736" s="3">
        <v>690</v>
      </c>
      <c r="O736" s="4">
        <v>4.5999999999999999E-2</v>
      </c>
      <c r="P736" s="1" t="s">
        <v>2721</v>
      </c>
    </row>
    <row r="737" spans="1:16">
      <c r="A737" s="1" t="s">
        <v>15</v>
      </c>
      <c r="B737" s="1">
        <v>12</v>
      </c>
      <c r="C737" s="1" t="s">
        <v>2431</v>
      </c>
      <c r="D737" s="1" t="s">
        <v>141</v>
      </c>
      <c r="E737" s="2">
        <v>45993</v>
      </c>
      <c r="F737" s="1" t="s">
        <v>142</v>
      </c>
      <c r="G737" s="1" t="s">
        <v>143</v>
      </c>
      <c r="H737" s="1" t="s">
        <v>2432</v>
      </c>
      <c r="I737" s="1">
        <v>1</v>
      </c>
      <c r="J737" s="3">
        <v>22314</v>
      </c>
      <c r="K737" s="3">
        <v>21293</v>
      </c>
      <c r="L737" s="1">
        <v>0</v>
      </c>
      <c r="M737" s="4">
        <v>0</v>
      </c>
      <c r="N737" s="3">
        <v>1021</v>
      </c>
      <c r="O737" s="4">
        <v>4.5999999999999999E-2</v>
      </c>
      <c r="P737" s="1" t="s">
        <v>2721</v>
      </c>
    </row>
    <row r="738" spans="1:16">
      <c r="A738" s="1" t="s">
        <v>15</v>
      </c>
      <c r="B738" s="1">
        <v>12</v>
      </c>
      <c r="C738" s="1" t="s">
        <v>2433</v>
      </c>
      <c r="D738" s="1" t="s">
        <v>178</v>
      </c>
      <c r="E738" s="2">
        <v>45993</v>
      </c>
      <c r="F738" s="1" t="s">
        <v>96</v>
      </c>
      <c r="G738" s="1" t="s">
        <v>179</v>
      </c>
      <c r="H738" s="1" t="s">
        <v>180</v>
      </c>
      <c r="I738" s="1">
        <v>1</v>
      </c>
      <c r="J738" s="3">
        <v>15284</v>
      </c>
      <c r="K738" s="3">
        <v>14584</v>
      </c>
      <c r="L738" s="1">
        <v>0</v>
      </c>
      <c r="M738" s="4">
        <v>0</v>
      </c>
      <c r="N738" s="1">
        <v>700</v>
      </c>
      <c r="O738" s="4">
        <v>4.5999999999999999E-2</v>
      </c>
      <c r="P738" s="1" t="s">
        <v>2721</v>
      </c>
    </row>
    <row r="739" spans="1:16">
      <c r="A739" s="1" t="s">
        <v>15</v>
      </c>
      <c r="B739" s="1">
        <v>12</v>
      </c>
      <c r="C739" s="1" t="s">
        <v>2434</v>
      </c>
      <c r="D739" s="1" t="s">
        <v>390</v>
      </c>
      <c r="E739" s="2">
        <v>45993</v>
      </c>
      <c r="F739" s="1" t="s">
        <v>256</v>
      </c>
      <c r="G739" s="1" t="s">
        <v>391</v>
      </c>
      <c r="H739" s="1" t="s">
        <v>392</v>
      </c>
      <c r="I739" s="1">
        <v>1</v>
      </c>
      <c r="J739" s="3">
        <v>12799</v>
      </c>
      <c r="K739" s="3">
        <v>12213</v>
      </c>
      <c r="L739" s="1">
        <v>0</v>
      </c>
      <c r="M739" s="4">
        <v>0</v>
      </c>
      <c r="N739" s="1">
        <v>586</v>
      </c>
      <c r="O739" s="4">
        <v>4.5999999999999999E-2</v>
      </c>
      <c r="P739" s="1" t="s">
        <v>2721</v>
      </c>
    </row>
    <row r="740" spans="1:16">
      <c r="A740" s="1" t="s">
        <v>15</v>
      </c>
      <c r="B740" s="1">
        <v>12</v>
      </c>
      <c r="C740" s="1" t="s">
        <v>2435</v>
      </c>
      <c r="D740" s="1" t="s">
        <v>887</v>
      </c>
      <c r="E740" s="2">
        <v>45993</v>
      </c>
      <c r="F740" s="1" t="s">
        <v>53</v>
      </c>
      <c r="G740" s="1" t="s">
        <v>888</v>
      </c>
      <c r="H740" s="1" t="s">
        <v>2436</v>
      </c>
      <c r="I740" s="1">
        <v>1</v>
      </c>
      <c r="J740" s="3">
        <v>20553</v>
      </c>
      <c r="K740" s="3">
        <v>19612</v>
      </c>
      <c r="L740" s="1">
        <v>0</v>
      </c>
      <c r="M740" s="4">
        <v>0</v>
      </c>
      <c r="N740" s="1">
        <v>941</v>
      </c>
      <c r="O740" s="4">
        <v>4.5999999999999999E-2</v>
      </c>
      <c r="P740" s="1" t="s">
        <v>2721</v>
      </c>
    </row>
    <row r="741" spans="1:16">
      <c r="A741" s="1" t="s">
        <v>15</v>
      </c>
      <c r="B741" s="1">
        <v>12</v>
      </c>
      <c r="C741" s="1" t="s">
        <v>2437</v>
      </c>
      <c r="D741" s="1" t="s">
        <v>2378</v>
      </c>
      <c r="E741" s="2">
        <v>45993</v>
      </c>
      <c r="F741" s="1" t="s">
        <v>96</v>
      </c>
      <c r="G741" s="1" t="s">
        <v>2379</v>
      </c>
      <c r="H741" s="1" t="s">
        <v>2380</v>
      </c>
      <c r="I741" s="1">
        <v>1</v>
      </c>
      <c r="J741" s="3">
        <v>9405</v>
      </c>
      <c r="K741" s="3">
        <v>8975</v>
      </c>
      <c r="L741" s="1">
        <v>0</v>
      </c>
      <c r="M741" s="4">
        <v>0</v>
      </c>
      <c r="N741" s="1">
        <v>430</v>
      </c>
      <c r="O741" s="4">
        <v>4.5999999999999999E-2</v>
      </c>
      <c r="P741" s="1" t="s">
        <v>2721</v>
      </c>
    </row>
    <row r="742" spans="1:16">
      <c r="A742" s="1" t="s">
        <v>15</v>
      </c>
      <c r="B742" s="1">
        <v>12</v>
      </c>
      <c r="C742" s="1" t="s">
        <v>2437</v>
      </c>
      <c r="D742" s="1" t="s">
        <v>1642</v>
      </c>
      <c r="E742" s="2">
        <v>45993</v>
      </c>
      <c r="F742" s="1" t="s">
        <v>96</v>
      </c>
      <c r="G742" s="1" t="s">
        <v>1643</v>
      </c>
      <c r="H742" s="1" t="s">
        <v>1644</v>
      </c>
      <c r="I742" s="1">
        <v>1</v>
      </c>
      <c r="J742" s="3">
        <v>14379</v>
      </c>
      <c r="K742" s="3">
        <v>13721</v>
      </c>
      <c r="L742" s="1">
        <v>0</v>
      </c>
      <c r="M742" s="4">
        <v>0</v>
      </c>
      <c r="N742" s="3">
        <v>658</v>
      </c>
      <c r="O742" s="4">
        <v>4.5999999999999999E-2</v>
      </c>
      <c r="P742" s="1" t="s">
        <v>2721</v>
      </c>
    </row>
    <row r="743" spans="1:16">
      <c r="A743" s="1" t="s">
        <v>15</v>
      </c>
      <c r="B743" s="1">
        <v>12</v>
      </c>
      <c r="C743" s="1" t="s">
        <v>2437</v>
      </c>
      <c r="D743" s="1" t="s">
        <v>86</v>
      </c>
      <c r="E743" s="2">
        <v>45993</v>
      </c>
      <c r="F743" s="1" t="s">
        <v>53</v>
      </c>
      <c r="G743" s="1" t="s">
        <v>87</v>
      </c>
      <c r="H743" s="1" t="s">
        <v>88</v>
      </c>
      <c r="I743" s="1">
        <v>2</v>
      </c>
      <c r="J743" s="3">
        <v>29913</v>
      </c>
      <c r="K743" s="3">
        <v>28543</v>
      </c>
      <c r="L743" s="1">
        <v>0</v>
      </c>
      <c r="M743" s="4">
        <v>0</v>
      </c>
      <c r="N743" s="3">
        <v>1370</v>
      </c>
      <c r="O743" s="4">
        <v>4.5999999999999999E-2</v>
      </c>
      <c r="P743" s="1" t="s">
        <v>2721</v>
      </c>
    </row>
    <row r="744" spans="1:16">
      <c r="A744" s="1" t="s">
        <v>15</v>
      </c>
      <c r="B744" s="1">
        <v>12</v>
      </c>
      <c r="C744" s="1" t="s">
        <v>2438</v>
      </c>
      <c r="D744" s="1" t="s">
        <v>862</v>
      </c>
      <c r="E744" s="2">
        <v>45993</v>
      </c>
      <c r="F744" s="1" t="s">
        <v>334</v>
      </c>
      <c r="G744" s="1" t="s">
        <v>863</v>
      </c>
      <c r="H744" s="1" t="s">
        <v>1549</v>
      </c>
      <c r="I744" s="1">
        <v>1</v>
      </c>
      <c r="J744" s="3">
        <v>16220</v>
      </c>
      <c r="K744" s="3">
        <v>15477</v>
      </c>
      <c r="L744" s="1">
        <v>0</v>
      </c>
      <c r="M744" s="4">
        <v>0</v>
      </c>
      <c r="N744" s="1">
        <v>743</v>
      </c>
      <c r="O744" s="4">
        <v>4.5999999999999999E-2</v>
      </c>
      <c r="P744" s="1" t="s">
        <v>2721</v>
      </c>
    </row>
    <row r="745" spans="1:16">
      <c r="A745" s="1" t="s">
        <v>15</v>
      </c>
      <c r="B745" s="1">
        <v>12</v>
      </c>
      <c r="C745" s="1" t="s">
        <v>2439</v>
      </c>
      <c r="D745" s="1" t="s">
        <v>52</v>
      </c>
      <c r="E745" s="2">
        <v>45993</v>
      </c>
      <c r="F745" s="1" t="s">
        <v>53</v>
      </c>
      <c r="G745" s="1" t="s">
        <v>54</v>
      </c>
      <c r="H745" s="1" t="s">
        <v>55</v>
      </c>
      <c r="I745" s="1">
        <v>1</v>
      </c>
      <c r="J745" s="3">
        <v>16135</v>
      </c>
      <c r="K745" s="3">
        <v>15396</v>
      </c>
      <c r="L745" s="1">
        <v>0</v>
      </c>
      <c r="M745" s="4">
        <v>0</v>
      </c>
      <c r="N745" s="1">
        <v>739</v>
      </c>
      <c r="O745" s="4">
        <v>4.5999999999999999E-2</v>
      </c>
      <c r="P745" s="1" t="s">
        <v>2721</v>
      </c>
    </row>
    <row r="746" spans="1:16">
      <c r="A746" s="1" t="s">
        <v>15</v>
      </c>
      <c r="B746" s="1">
        <v>12</v>
      </c>
      <c r="C746" s="1" t="s">
        <v>2440</v>
      </c>
      <c r="D746" s="1" t="s">
        <v>2441</v>
      </c>
      <c r="E746" s="2">
        <v>45993</v>
      </c>
      <c r="F746" s="1" t="s">
        <v>2442</v>
      </c>
      <c r="G746" s="1" t="s">
        <v>2443</v>
      </c>
      <c r="H746" s="1" t="s">
        <v>2444</v>
      </c>
      <c r="I746" s="1">
        <v>1</v>
      </c>
      <c r="J746" s="3">
        <v>14155</v>
      </c>
      <c r="K746" s="3">
        <v>13507</v>
      </c>
      <c r="L746" s="1">
        <v>0</v>
      </c>
      <c r="M746" s="4">
        <v>0</v>
      </c>
      <c r="N746" s="3">
        <v>648</v>
      </c>
      <c r="O746" s="4">
        <v>4.5999999999999999E-2</v>
      </c>
      <c r="P746" s="1" t="s">
        <v>2721</v>
      </c>
    </row>
    <row r="747" spans="1:16">
      <c r="A747" s="1" t="s">
        <v>15</v>
      </c>
      <c r="B747" s="1">
        <v>12</v>
      </c>
      <c r="C747" s="1" t="s">
        <v>2445</v>
      </c>
      <c r="D747" s="1" t="s">
        <v>1133</v>
      </c>
      <c r="E747" s="2">
        <v>45993</v>
      </c>
      <c r="F747" s="1" t="s">
        <v>347</v>
      </c>
      <c r="G747" s="1" t="s">
        <v>1134</v>
      </c>
      <c r="H747" s="1" t="s">
        <v>1340</v>
      </c>
      <c r="I747" s="1">
        <v>1</v>
      </c>
      <c r="J747" s="3">
        <v>22519</v>
      </c>
      <c r="K747" s="3">
        <v>21488</v>
      </c>
      <c r="L747" s="1">
        <v>0</v>
      </c>
      <c r="M747" s="4">
        <v>0</v>
      </c>
      <c r="N747" s="3">
        <v>1031</v>
      </c>
      <c r="O747" s="4">
        <v>4.5999999999999999E-2</v>
      </c>
      <c r="P747" s="1" t="s">
        <v>2721</v>
      </c>
    </row>
    <row r="748" spans="1:16">
      <c r="A748" s="1" t="s">
        <v>15</v>
      </c>
      <c r="B748" s="1">
        <v>12</v>
      </c>
      <c r="C748" s="1" t="s">
        <v>2446</v>
      </c>
      <c r="D748" s="1" t="s">
        <v>1049</v>
      </c>
      <c r="E748" s="2">
        <v>45993</v>
      </c>
      <c r="F748" s="1" t="s">
        <v>469</v>
      </c>
      <c r="G748" s="1" t="s">
        <v>1050</v>
      </c>
      <c r="H748" s="1" t="s">
        <v>1117</v>
      </c>
      <c r="I748" s="1">
        <v>1</v>
      </c>
      <c r="J748" s="3">
        <v>15728</v>
      </c>
      <c r="K748" s="3">
        <v>15008</v>
      </c>
      <c r="L748" s="1">
        <v>0</v>
      </c>
      <c r="M748" s="4">
        <v>0</v>
      </c>
      <c r="N748" s="3">
        <v>720</v>
      </c>
      <c r="O748" s="4">
        <v>4.5999999999999999E-2</v>
      </c>
      <c r="P748" s="1" t="s">
        <v>2721</v>
      </c>
    </row>
    <row r="749" spans="1:16">
      <c r="A749" s="1" t="s">
        <v>15</v>
      </c>
      <c r="B749" s="1">
        <v>12</v>
      </c>
      <c r="C749" s="1" t="s">
        <v>2447</v>
      </c>
      <c r="D749" s="1" t="s">
        <v>2448</v>
      </c>
      <c r="E749" s="2">
        <v>45993</v>
      </c>
      <c r="F749" s="1" t="s">
        <v>235</v>
      </c>
      <c r="G749" s="1" t="s">
        <v>2449</v>
      </c>
      <c r="H749" s="1" t="s">
        <v>2450</v>
      </c>
      <c r="I749" s="1">
        <v>1</v>
      </c>
      <c r="J749" s="3">
        <v>22019</v>
      </c>
      <c r="K749" s="3">
        <v>21011</v>
      </c>
      <c r="L749" s="1">
        <v>0</v>
      </c>
      <c r="M749" s="4">
        <v>0</v>
      </c>
      <c r="N749" s="3">
        <v>1008</v>
      </c>
      <c r="O749" s="4">
        <v>4.5999999999999999E-2</v>
      </c>
      <c r="P749" s="1" t="s">
        <v>2721</v>
      </c>
    </row>
    <row r="750" spans="1:16">
      <c r="A750" s="1" t="s">
        <v>15</v>
      </c>
      <c r="B750" s="1">
        <v>12</v>
      </c>
      <c r="C750" s="1" t="s">
        <v>2451</v>
      </c>
      <c r="D750" s="1" t="s">
        <v>104</v>
      </c>
      <c r="E750" s="2">
        <v>45993</v>
      </c>
      <c r="F750" s="1" t="s">
        <v>96</v>
      </c>
      <c r="G750" s="1" t="s">
        <v>105</v>
      </c>
      <c r="H750" s="1" t="s">
        <v>106</v>
      </c>
      <c r="I750" s="1">
        <v>1</v>
      </c>
      <c r="J750" s="3">
        <v>21614</v>
      </c>
      <c r="K750" s="3">
        <v>20625</v>
      </c>
      <c r="L750" s="1">
        <v>0</v>
      </c>
      <c r="M750" s="4">
        <v>0</v>
      </c>
      <c r="N750" s="3">
        <v>989</v>
      </c>
      <c r="O750" s="4">
        <v>4.5999999999999999E-2</v>
      </c>
      <c r="P750" s="1" t="s">
        <v>2721</v>
      </c>
    </row>
    <row r="751" spans="1:16">
      <c r="A751" s="1" t="s">
        <v>15</v>
      </c>
      <c r="B751" s="1">
        <v>12</v>
      </c>
      <c r="C751" s="1" t="s">
        <v>2452</v>
      </c>
      <c r="D751" s="1" t="s">
        <v>2453</v>
      </c>
      <c r="E751" s="2">
        <v>45993</v>
      </c>
      <c r="F751" s="1" t="s">
        <v>554</v>
      </c>
      <c r="G751" s="1" t="s">
        <v>2454</v>
      </c>
      <c r="H751" s="1" t="s">
        <v>2455</v>
      </c>
      <c r="I751" s="1">
        <v>1</v>
      </c>
      <c r="J751" s="3">
        <v>33864</v>
      </c>
      <c r="K751" s="3">
        <v>32314</v>
      </c>
      <c r="L751" s="1">
        <v>0</v>
      </c>
      <c r="M751" s="4">
        <v>0</v>
      </c>
      <c r="N751" s="3">
        <v>1550</v>
      </c>
      <c r="O751" s="4">
        <v>4.5999999999999999E-2</v>
      </c>
      <c r="P751" s="1" t="s">
        <v>2721</v>
      </c>
    </row>
    <row r="752" spans="1:16">
      <c r="A752" s="1" t="s">
        <v>15</v>
      </c>
      <c r="B752" s="1">
        <v>12</v>
      </c>
      <c r="C752" s="1" t="s">
        <v>2456</v>
      </c>
      <c r="D752" s="1" t="s">
        <v>116</v>
      </c>
      <c r="E752" s="2">
        <v>45993</v>
      </c>
      <c r="F752" s="1" t="s">
        <v>63</v>
      </c>
      <c r="G752" s="1" t="s">
        <v>117</v>
      </c>
      <c r="H752" s="1" t="s">
        <v>118</v>
      </c>
      <c r="I752" s="1">
        <v>1</v>
      </c>
      <c r="J752" s="3">
        <v>18627</v>
      </c>
      <c r="K752" s="3">
        <v>17774</v>
      </c>
      <c r="L752" s="1">
        <v>0</v>
      </c>
      <c r="M752" s="4">
        <v>0</v>
      </c>
      <c r="N752" s="1">
        <v>853</v>
      </c>
      <c r="O752" s="4">
        <v>4.5999999999999999E-2</v>
      </c>
      <c r="P752" s="1" t="s">
        <v>2721</v>
      </c>
    </row>
    <row r="753" spans="1:16">
      <c r="A753" s="1" t="s">
        <v>15</v>
      </c>
      <c r="B753" s="1">
        <v>12</v>
      </c>
      <c r="C753" s="1" t="s">
        <v>2457</v>
      </c>
      <c r="D753" s="1" t="s">
        <v>2458</v>
      </c>
      <c r="E753" s="2">
        <v>45993</v>
      </c>
      <c r="F753" s="1" t="s">
        <v>235</v>
      </c>
      <c r="G753" s="1" t="s">
        <v>2459</v>
      </c>
      <c r="H753" s="1" t="s">
        <v>2460</v>
      </c>
      <c r="I753" s="1">
        <v>1</v>
      </c>
      <c r="J753" s="3">
        <v>18186</v>
      </c>
      <c r="K753" s="3">
        <v>17353</v>
      </c>
      <c r="L753" s="1">
        <v>0</v>
      </c>
      <c r="M753" s="4">
        <v>0</v>
      </c>
      <c r="N753" s="3">
        <v>833</v>
      </c>
      <c r="O753" s="4">
        <v>4.5999999999999999E-2</v>
      </c>
      <c r="P753" s="1" t="s">
        <v>2721</v>
      </c>
    </row>
    <row r="754" spans="1:16">
      <c r="A754" s="1" t="s">
        <v>15</v>
      </c>
      <c r="B754" s="1">
        <v>12</v>
      </c>
      <c r="C754" s="1" t="s">
        <v>2461</v>
      </c>
      <c r="D754" s="1" t="s">
        <v>238</v>
      </c>
      <c r="E754" s="2">
        <v>45993</v>
      </c>
      <c r="F754" s="1" t="s">
        <v>239</v>
      </c>
      <c r="G754" s="1" t="s">
        <v>240</v>
      </c>
      <c r="H754" s="1" t="s">
        <v>241</v>
      </c>
      <c r="I754" s="1">
        <v>3</v>
      </c>
      <c r="J754" s="3">
        <v>33914</v>
      </c>
      <c r="K754" s="3">
        <v>32361</v>
      </c>
      <c r="L754" s="1">
        <v>0</v>
      </c>
      <c r="M754" s="4">
        <v>0</v>
      </c>
      <c r="N754" s="3">
        <v>1553</v>
      </c>
      <c r="O754" s="4">
        <v>4.5999999999999999E-2</v>
      </c>
      <c r="P754" s="1" t="s">
        <v>2721</v>
      </c>
    </row>
    <row r="755" spans="1:16">
      <c r="A755" s="1" t="s">
        <v>15</v>
      </c>
      <c r="B755" s="1">
        <v>12</v>
      </c>
      <c r="C755" s="1" t="s">
        <v>2462</v>
      </c>
      <c r="D755" s="1" t="s">
        <v>797</v>
      </c>
      <c r="E755" s="2">
        <v>45993</v>
      </c>
      <c r="F755" s="1" t="s">
        <v>798</v>
      </c>
      <c r="G755" s="1" t="s">
        <v>799</v>
      </c>
      <c r="H755" s="1" t="s">
        <v>832</v>
      </c>
      <c r="I755" s="1">
        <v>1</v>
      </c>
      <c r="J755" s="3">
        <v>13271</v>
      </c>
      <c r="K755" s="3">
        <v>12663</v>
      </c>
      <c r="L755" s="1">
        <v>0</v>
      </c>
      <c r="M755" s="4">
        <v>0</v>
      </c>
      <c r="N755" s="1">
        <v>608</v>
      </c>
      <c r="O755" s="4">
        <v>4.5999999999999999E-2</v>
      </c>
      <c r="P755" s="1" t="s">
        <v>2721</v>
      </c>
    </row>
    <row r="756" spans="1:16">
      <c r="A756" s="1" t="s">
        <v>15</v>
      </c>
      <c r="B756" s="1">
        <v>12</v>
      </c>
      <c r="C756" s="1" t="s">
        <v>2463</v>
      </c>
      <c r="D756" s="1" t="s">
        <v>2464</v>
      </c>
      <c r="E756" s="2">
        <v>45993</v>
      </c>
      <c r="F756" s="1" t="s">
        <v>1632</v>
      </c>
      <c r="G756" s="1" t="s">
        <v>2465</v>
      </c>
      <c r="H756" s="1" t="s">
        <v>2466</v>
      </c>
      <c r="I756" s="1">
        <v>1</v>
      </c>
      <c r="J756" s="3">
        <v>14745</v>
      </c>
      <c r="K756" s="3">
        <v>14070</v>
      </c>
      <c r="L756" s="1">
        <v>0</v>
      </c>
      <c r="M756" s="4">
        <v>0</v>
      </c>
      <c r="N756" s="1">
        <v>675</v>
      </c>
      <c r="O756" s="4">
        <v>4.5999999999999999E-2</v>
      </c>
      <c r="P756" s="1" t="s">
        <v>2721</v>
      </c>
    </row>
    <row r="757" spans="1:16">
      <c r="A757" s="1" t="s">
        <v>15</v>
      </c>
      <c r="B757" s="1">
        <v>12</v>
      </c>
      <c r="C757" s="1" t="s">
        <v>2463</v>
      </c>
      <c r="D757" s="1" t="s">
        <v>2464</v>
      </c>
      <c r="E757" s="2">
        <v>45993</v>
      </c>
      <c r="F757" s="1" t="s">
        <v>1632</v>
      </c>
      <c r="G757" s="1" t="s">
        <v>2465</v>
      </c>
      <c r="H757" s="1" t="s">
        <v>2467</v>
      </c>
      <c r="I757" s="1">
        <v>1</v>
      </c>
      <c r="J757" s="3">
        <v>14745</v>
      </c>
      <c r="K757" s="3">
        <v>14070</v>
      </c>
      <c r="L757" s="1">
        <v>0</v>
      </c>
      <c r="M757" s="4">
        <v>0</v>
      </c>
      <c r="N757" s="3">
        <v>675</v>
      </c>
      <c r="O757" s="4">
        <v>4.5999999999999999E-2</v>
      </c>
      <c r="P757" s="1" t="s">
        <v>2721</v>
      </c>
    </row>
    <row r="758" spans="1:16">
      <c r="A758" s="1" t="s">
        <v>15</v>
      </c>
      <c r="B758" s="1">
        <v>12</v>
      </c>
      <c r="C758" s="1" t="s">
        <v>2463</v>
      </c>
      <c r="D758" s="1" t="s">
        <v>2468</v>
      </c>
      <c r="E758" s="2">
        <v>45993</v>
      </c>
      <c r="F758" s="1" t="s">
        <v>1632</v>
      </c>
      <c r="G758" s="1" t="s">
        <v>2469</v>
      </c>
      <c r="H758" s="1" t="s">
        <v>2470</v>
      </c>
      <c r="I758" s="1">
        <v>1</v>
      </c>
      <c r="J758" s="3">
        <v>29195</v>
      </c>
      <c r="K758" s="3">
        <v>27859</v>
      </c>
      <c r="L758" s="1">
        <v>0</v>
      </c>
      <c r="M758" s="4">
        <v>0</v>
      </c>
      <c r="N758" s="3">
        <v>1336</v>
      </c>
      <c r="O758" s="4">
        <v>4.5999999999999999E-2</v>
      </c>
      <c r="P758" s="1" t="s">
        <v>2721</v>
      </c>
    </row>
    <row r="759" spans="1:16">
      <c r="A759" s="1" t="s">
        <v>15</v>
      </c>
      <c r="B759" s="1">
        <v>12</v>
      </c>
      <c r="C759" s="1" t="s">
        <v>2471</v>
      </c>
      <c r="D759" s="1" t="s">
        <v>132</v>
      </c>
      <c r="E759" s="2">
        <v>45993</v>
      </c>
      <c r="F759" s="1" t="s">
        <v>53</v>
      </c>
      <c r="G759" s="1" t="s">
        <v>133</v>
      </c>
      <c r="H759" s="1" t="s">
        <v>88</v>
      </c>
      <c r="I759" s="1">
        <v>1</v>
      </c>
      <c r="J759" s="3">
        <v>17036</v>
      </c>
      <c r="K759" s="3">
        <v>16256</v>
      </c>
      <c r="L759" s="1">
        <v>0</v>
      </c>
      <c r="M759" s="4">
        <v>0</v>
      </c>
      <c r="N759" s="1">
        <v>780</v>
      </c>
      <c r="O759" s="4">
        <v>4.5999999999999999E-2</v>
      </c>
      <c r="P759" s="1" t="s">
        <v>2721</v>
      </c>
    </row>
    <row r="760" spans="1:16">
      <c r="A760" s="1" t="s">
        <v>15</v>
      </c>
      <c r="B760" s="1">
        <v>12</v>
      </c>
      <c r="C760" s="1" t="s">
        <v>2472</v>
      </c>
      <c r="D760" s="1" t="s">
        <v>777</v>
      </c>
      <c r="E760" s="2">
        <v>45993</v>
      </c>
      <c r="F760" s="1" t="s">
        <v>256</v>
      </c>
      <c r="G760" s="1" t="s">
        <v>778</v>
      </c>
      <c r="H760" s="1" t="s">
        <v>779</v>
      </c>
      <c r="I760" s="1">
        <v>1</v>
      </c>
      <c r="J760" s="3">
        <v>11010</v>
      </c>
      <c r="K760" s="3">
        <v>10506</v>
      </c>
      <c r="L760" s="1">
        <v>0</v>
      </c>
      <c r="M760" s="4">
        <v>0</v>
      </c>
      <c r="N760" s="3">
        <v>504</v>
      </c>
      <c r="O760" s="4">
        <v>4.5999999999999999E-2</v>
      </c>
      <c r="P760" s="1" t="s">
        <v>2721</v>
      </c>
    </row>
    <row r="761" spans="1:16">
      <c r="A761" s="1" t="s">
        <v>15</v>
      </c>
      <c r="B761" s="1">
        <v>12</v>
      </c>
      <c r="C761" s="1" t="s">
        <v>2473</v>
      </c>
      <c r="D761" s="1" t="s">
        <v>2474</v>
      </c>
      <c r="E761" s="2">
        <v>45993</v>
      </c>
      <c r="F761" s="1" t="s">
        <v>126</v>
      </c>
      <c r="G761" s="1" t="s">
        <v>2475</v>
      </c>
      <c r="H761" s="1" t="s">
        <v>2476</v>
      </c>
      <c r="I761" s="1">
        <v>1</v>
      </c>
      <c r="J761" s="3">
        <v>22806</v>
      </c>
      <c r="K761" s="3">
        <v>21762</v>
      </c>
      <c r="L761" s="1">
        <v>0</v>
      </c>
      <c r="M761" s="4">
        <v>0</v>
      </c>
      <c r="N761" s="3">
        <v>1044</v>
      </c>
      <c r="O761" s="4">
        <v>4.5999999999999999E-2</v>
      </c>
      <c r="P761" s="1" t="s">
        <v>2721</v>
      </c>
    </row>
    <row r="762" spans="1:16">
      <c r="A762" s="1" t="s">
        <v>15</v>
      </c>
      <c r="B762" s="1">
        <v>12</v>
      </c>
      <c r="C762" s="1" t="s">
        <v>2477</v>
      </c>
      <c r="D762" s="1" t="s">
        <v>2478</v>
      </c>
      <c r="E762" s="2">
        <v>45993</v>
      </c>
      <c r="F762" s="1" t="s">
        <v>53</v>
      </c>
      <c r="G762" s="1" t="s">
        <v>2479</v>
      </c>
      <c r="H762" s="1" t="s">
        <v>2480</v>
      </c>
      <c r="I762" s="1">
        <v>1</v>
      </c>
      <c r="J762" s="3">
        <v>10726</v>
      </c>
      <c r="K762" s="3">
        <v>10235</v>
      </c>
      <c r="L762" s="1">
        <v>0</v>
      </c>
      <c r="M762" s="4">
        <v>0</v>
      </c>
      <c r="N762" s="1">
        <v>491</v>
      </c>
      <c r="O762" s="4">
        <v>4.5999999999999999E-2</v>
      </c>
      <c r="P762" s="1" t="s">
        <v>2721</v>
      </c>
    </row>
    <row r="763" spans="1:16">
      <c r="A763" s="1" t="s">
        <v>15</v>
      </c>
      <c r="B763" s="1">
        <v>12</v>
      </c>
      <c r="C763" s="1" t="s">
        <v>2481</v>
      </c>
      <c r="D763" s="1" t="s">
        <v>224</v>
      </c>
      <c r="E763" s="2">
        <v>45993</v>
      </c>
      <c r="F763" s="1" t="s">
        <v>96</v>
      </c>
      <c r="G763" s="1" t="s">
        <v>225</v>
      </c>
      <c r="H763" s="1" t="s">
        <v>896</v>
      </c>
      <c r="I763" s="1">
        <v>1</v>
      </c>
      <c r="J763" s="3">
        <v>12571</v>
      </c>
      <c r="K763" s="3">
        <v>11995</v>
      </c>
      <c r="L763" s="1">
        <v>0</v>
      </c>
      <c r="M763" s="4">
        <v>0</v>
      </c>
      <c r="N763" s="3">
        <v>576</v>
      </c>
      <c r="O763" s="4">
        <v>4.5999999999999999E-2</v>
      </c>
      <c r="P763" s="1" t="s">
        <v>2721</v>
      </c>
    </row>
    <row r="764" spans="1:16">
      <c r="A764" s="1" t="s">
        <v>15</v>
      </c>
      <c r="B764" s="1">
        <v>12</v>
      </c>
      <c r="C764" s="1" t="s">
        <v>2482</v>
      </c>
      <c r="D764" s="1" t="s">
        <v>1254</v>
      </c>
      <c r="E764" s="2">
        <v>45993</v>
      </c>
      <c r="F764" s="1" t="s">
        <v>1255</v>
      </c>
      <c r="G764" s="1" t="s">
        <v>1256</v>
      </c>
      <c r="H764" s="1" t="s">
        <v>2483</v>
      </c>
      <c r="I764" s="1">
        <v>1</v>
      </c>
      <c r="J764" s="3">
        <v>101544</v>
      </c>
      <c r="K764" s="3">
        <v>96895</v>
      </c>
      <c r="L764" s="1">
        <v>0</v>
      </c>
      <c r="M764" s="4">
        <v>0</v>
      </c>
      <c r="N764" s="3">
        <v>4649</v>
      </c>
      <c r="O764" s="4">
        <v>4.5999999999999999E-2</v>
      </c>
      <c r="P764" s="1" t="s">
        <v>2721</v>
      </c>
    </row>
    <row r="765" spans="1:16">
      <c r="A765" s="1" t="s">
        <v>15</v>
      </c>
      <c r="B765" s="1">
        <v>12</v>
      </c>
      <c r="C765" s="1" t="s">
        <v>2484</v>
      </c>
      <c r="D765" s="1" t="s">
        <v>2398</v>
      </c>
      <c r="E765" s="2">
        <v>45993</v>
      </c>
      <c r="F765" s="1" t="s">
        <v>63</v>
      </c>
      <c r="G765" s="1" t="s">
        <v>2399</v>
      </c>
      <c r="H765" s="1" t="s">
        <v>2400</v>
      </c>
      <c r="I765" s="1">
        <v>1</v>
      </c>
      <c r="J765" s="3">
        <v>32001</v>
      </c>
      <c r="K765" s="3">
        <v>30536</v>
      </c>
      <c r="L765" s="1">
        <v>0</v>
      </c>
      <c r="M765" s="4">
        <v>0</v>
      </c>
      <c r="N765" s="3">
        <v>1465</v>
      </c>
      <c r="O765" s="4">
        <v>4.5999999999999999E-2</v>
      </c>
      <c r="P765" s="1" t="s">
        <v>2721</v>
      </c>
    </row>
    <row r="766" spans="1:16">
      <c r="A766" s="1" t="s">
        <v>15</v>
      </c>
      <c r="B766" s="1">
        <v>12</v>
      </c>
      <c r="C766" s="1" t="s">
        <v>2485</v>
      </c>
      <c r="D766" s="1" t="s">
        <v>2486</v>
      </c>
      <c r="E766" s="2">
        <v>45993</v>
      </c>
      <c r="F766" s="1" t="s">
        <v>276</v>
      </c>
      <c r="G766" s="1" t="s">
        <v>2487</v>
      </c>
      <c r="H766" s="1" t="s">
        <v>2488</v>
      </c>
      <c r="I766" s="1">
        <v>1</v>
      </c>
      <c r="J766" s="3">
        <v>15772</v>
      </c>
      <c r="K766" s="3">
        <v>15050</v>
      </c>
      <c r="L766" s="1">
        <v>0</v>
      </c>
      <c r="M766" s="4">
        <v>0</v>
      </c>
      <c r="N766" s="3">
        <v>722</v>
      </c>
      <c r="O766" s="4">
        <v>4.5999999999999999E-2</v>
      </c>
      <c r="P766" s="1" t="s">
        <v>2721</v>
      </c>
    </row>
    <row r="767" spans="1:16">
      <c r="A767" s="1" t="s">
        <v>15</v>
      </c>
      <c r="B767" s="1">
        <v>12</v>
      </c>
      <c r="C767" s="1" t="s">
        <v>2489</v>
      </c>
      <c r="D767" s="1" t="s">
        <v>2490</v>
      </c>
      <c r="E767" s="2">
        <v>45993</v>
      </c>
      <c r="F767" s="1" t="s">
        <v>753</v>
      </c>
      <c r="G767" s="1" t="s">
        <v>2491</v>
      </c>
      <c r="H767" s="1" t="s">
        <v>2492</v>
      </c>
      <c r="I767" s="1">
        <v>1</v>
      </c>
      <c r="J767" s="3">
        <v>24870</v>
      </c>
      <c r="K767" s="3">
        <v>23731</v>
      </c>
      <c r="L767" s="1">
        <v>0</v>
      </c>
      <c r="M767" s="4">
        <v>0</v>
      </c>
      <c r="N767" s="3">
        <v>1139</v>
      </c>
      <c r="O767" s="4">
        <v>4.5999999999999999E-2</v>
      </c>
      <c r="P767" s="1" t="s">
        <v>2721</v>
      </c>
    </row>
    <row r="768" spans="1:16">
      <c r="A768" s="1" t="s">
        <v>15</v>
      </c>
      <c r="B768" s="1">
        <v>12</v>
      </c>
      <c r="C768" s="1" t="s">
        <v>2493</v>
      </c>
      <c r="D768" s="1" t="s">
        <v>287</v>
      </c>
      <c r="E768" s="2">
        <v>45993</v>
      </c>
      <c r="F768" s="1" t="s">
        <v>235</v>
      </c>
      <c r="G768" s="1" t="s">
        <v>288</v>
      </c>
      <c r="H768" s="1" t="s">
        <v>289</v>
      </c>
      <c r="I768" s="1">
        <v>1</v>
      </c>
      <c r="J768" s="3">
        <v>14647</v>
      </c>
      <c r="K768" s="3">
        <v>13976</v>
      </c>
      <c r="L768" s="1">
        <v>0</v>
      </c>
      <c r="M768" s="4">
        <v>0</v>
      </c>
      <c r="N768" s="1">
        <v>671</v>
      </c>
      <c r="O768" s="4">
        <v>4.5999999999999999E-2</v>
      </c>
      <c r="P768" s="1" t="s">
        <v>2721</v>
      </c>
    </row>
    <row r="769" spans="1:16">
      <c r="A769" s="1" t="s">
        <v>15</v>
      </c>
      <c r="B769" s="1">
        <v>12</v>
      </c>
      <c r="C769" s="1" t="s">
        <v>2494</v>
      </c>
      <c r="D769" s="1" t="s">
        <v>2495</v>
      </c>
      <c r="E769" s="2">
        <v>45993</v>
      </c>
      <c r="F769" s="1" t="s">
        <v>1888</v>
      </c>
      <c r="G769" s="1" t="s">
        <v>2496</v>
      </c>
      <c r="H769" s="1" t="s">
        <v>2497</v>
      </c>
      <c r="I769" s="1">
        <v>1</v>
      </c>
      <c r="J769" s="3">
        <v>14745</v>
      </c>
      <c r="K769" s="3">
        <v>14070</v>
      </c>
      <c r="L769" s="1">
        <v>0</v>
      </c>
      <c r="M769" s="4">
        <v>0</v>
      </c>
      <c r="N769" s="3">
        <v>675</v>
      </c>
      <c r="O769" s="4">
        <v>4.5999999999999999E-2</v>
      </c>
      <c r="P769" s="1" t="s">
        <v>2721</v>
      </c>
    </row>
    <row r="770" spans="1:16">
      <c r="A770" s="1" t="s">
        <v>15</v>
      </c>
      <c r="B770" s="1">
        <v>12</v>
      </c>
      <c r="C770" s="1" t="s">
        <v>2498</v>
      </c>
      <c r="D770" s="1" t="s">
        <v>1088</v>
      </c>
      <c r="E770" s="2">
        <v>45993</v>
      </c>
      <c r="F770" s="1" t="s">
        <v>317</v>
      </c>
      <c r="G770" s="1" t="s">
        <v>1089</v>
      </c>
      <c r="H770" s="1" t="s">
        <v>1090</v>
      </c>
      <c r="I770" s="1">
        <v>1</v>
      </c>
      <c r="J770" s="3">
        <v>39615</v>
      </c>
      <c r="K770" s="3">
        <v>37801</v>
      </c>
      <c r="L770" s="1">
        <v>0</v>
      </c>
      <c r="M770" s="4">
        <v>0</v>
      </c>
      <c r="N770" s="3">
        <v>1814</v>
      </c>
      <c r="O770" s="4">
        <v>4.5999999999999999E-2</v>
      </c>
      <c r="P770" s="1" t="s">
        <v>2721</v>
      </c>
    </row>
    <row r="771" spans="1:16">
      <c r="A771" s="1" t="s">
        <v>15</v>
      </c>
      <c r="B771" s="1">
        <v>12</v>
      </c>
      <c r="C771" s="1" t="s">
        <v>2499</v>
      </c>
      <c r="D771" s="1" t="s">
        <v>2500</v>
      </c>
      <c r="E771" s="2">
        <v>45993</v>
      </c>
      <c r="F771" s="1" t="s">
        <v>276</v>
      </c>
      <c r="G771" s="1" t="s">
        <v>1710</v>
      </c>
      <c r="H771" s="1" t="s">
        <v>1711</v>
      </c>
      <c r="I771" s="1">
        <v>1</v>
      </c>
      <c r="J771" s="3">
        <v>16663</v>
      </c>
      <c r="K771" s="3">
        <v>15900</v>
      </c>
      <c r="L771" s="1">
        <v>0</v>
      </c>
      <c r="M771" s="4">
        <v>0</v>
      </c>
      <c r="N771" s="1">
        <v>763</v>
      </c>
      <c r="O771" s="4">
        <v>4.5999999999999999E-2</v>
      </c>
      <c r="P771" s="1" t="s">
        <v>2721</v>
      </c>
    </row>
    <row r="772" spans="1:16">
      <c r="A772" s="1" t="s">
        <v>15</v>
      </c>
      <c r="B772" s="1">
        <v>12</v>
      </c>
      <c r="C772" s="1" t="s">
        <v>2501</v>
      </c>
      <c r="D772" s="1" t="s">
        <v>482</v>
      </c>
      <c r="E772" s="2">
        <v>45993</v>
      </c>
      <c r="F772" s="1" t="s">
        <v>483</v>
      </c>
      <c r="G772" s="1" t="s">
        <v>484</v>
      </c>
      <c r="H772" s="1" t="s">
        <v>485</v>
      </c>
      <c r="I772" s="1">
        <v>1</v>
      </c>
      <c r="J772" s="3">
        <v>16501</v>
      </c>
      <c r="K772" s="3">
        <v>15745</v>
      </c>
      <c r="L772" s="1">
        <v>0</v>
      </c>
      <c r="M772" s="4">
        <v>0</v>
      </c>
      <c r="N772" s="1">
        <v>756</v>
      </c>
      <c r="O772" s="4">
        <v>4.5999999999999999E-2</v>
      </c>
      <c r="P772" s="1" t="s">
        <v>2721</v>
      </c>
    </row>
    <row r="773" spans="1:16">
      <c r="A773" s="1" t="s">
        <v>15</v>
      </c>
      <c r="B773" s="1">
        <v>12</v>
      </c>
      <c r="C773" s="1" t="s">
        <v>2502</v>
      </c>
      <c r="D773" s="1" t="s">
        <v>2503</v>
      </c>
      <c r="E773" s="2">
        <v>45993</v>
      </c>
      <c r="F773" s="1" t="s">
        <v>96</v>
      </c>
      <c r="G773" s="1" t="s">
        <v>2504</v>
      </c>
      <c r="H773" s="1" t="s">
        <v>2505</v>
      </c>
      <c r="I773" s="1">
        <v>1</v>
      </c>
      <c r="J773" s="3">
        <v>17989</v>
      </c>
      <c r="K773" s="3">
        <v>17165</v>
      </c>
      <c r="L773" s="1">
        <v>0</v>
      </c>
      <c r="M773" s="4">
        <v>0</v>
      </c>
      <c r="N773" s="1">
        <v>824</v>
      </c>
      <c r="O773" s="4">
        <v>4.5999999999999999E-2</v>
      </c>
      <c r="P773" s="1" t="s">
        <v>2721</v>
      </c>
    </row>
    <row r="774" spans="1:16">
      <c r="A774" s="1" t="s">
        <v>15</v>
      </c>
      <c r="B774" s="1">
        <v>12</v>
      </c>
      <c r="C774" s="1" t="s">
        <v>2502</v>
      </c>
      <c r="D774" s="1" t="s">
        <v>1593</v>
      </c>
      <c r="E774" s="2">
        <v>45993</v>
      </c>
      <c r="F774" s="1" t="s">
        <v>96</v>
      </c>
      <c r="G774" s="1" t="s">
        <v>1594</v>
      </c>
      <c r="H774" s="1" t="s">
        <v>1595</v>
      </c>
      <c r="I774" s="1">
        <v>1</v>
      </c>
      <c r="J774" s="3">
        <v>11666</v>
      </c>
      <c r="K774" s="3">
        <v>11132</v>
      </c>
      <c r="L774" s="1">
        <v>0</v>
      </c>
      <c r="M774" s="4">
        <v>0</v>
      </c>
      <c r="N774" s="1">
        <v>534</v>
      </c>
      <c r="O774" s="4">
        <v>4.5999999999999999E-2</v>
      </c>
      <c r="P774" s="1" t="s">
        <v>2721</v>
      </c>
    </row>
    <row r="775" spans="1:16">
      <c r="A775" s="1" t="s">
        <v>15</v>
      </c>
      <c r="B775" s="1">
        <v>12</v>
      </c>
      <c r="C775" s="1" t="s">
        <v>2502</v>
      </c>
      <c r="D775" s="1" t="s">
        <v>2506</v>
      </c>
      <c r="E775" s="2">
        <v>45993</v>
      </c>
      <c r="F775" s="1" t="s">
        <v>96</v>
      </c>
      <c r="G775" s="1" t="s">
        <v>2507</v>
      </c>
      <c r="H775" s="1" t="s">
        <v>2508</v>
      </c>
      <c r="I775" s="1">
        <v>1</v>
      </c>
      <c r="J775" s="3">
        <v>8863</v>
      </c>
      <c r="K775" s="3">
        <v>8457</v>
      </c>
      <c r="L775" s="1">
        <v>0</v>
      </c>
      <c r="M775" s="4">
        <v>0</v>
      </c>
      <c r="N775" s="3">
        <v>406</v>
      </c>
      <c r="O775" s="4">
        <v>4.5999999999999999E-2</v>
      </c>
      <c r="P775" s="1" t="s">
        <v>2721</v>
      </c>
    </row>
    <row r="776" spans="1:16">
      <c r="A776" s="1" t="s">
        <v>15</v>
      </c>
      <c r="B776" s="1">
        <v>12</v>
      </c>
      <c r="C776" s="1" t="s">
        <v>2509</v>
      </c>
      <c r="D776" s="1" t="s">
        <v>390</v>
      </c>
      <c r="E776" s="2">
        <v>45993</v>
      </c>
      <c r="F776" s="1" t="s">
        <v>256</v>
      </c>
      <c r="G776" s="1" t="s">
        <v>391</v>
      </c>
      <c r="H776" s="1" t="s">
        <v>1307</v>
      </c>
      <c r="I776" s="1">
        <v>1</v>
      </c>
      <c r="J776" s="3">
        <v>23395</v>
      </c>
      <c r="K776" s="3">
        <v>22324</v>
      </c>
      <c r="L776" s="1">
        <v>0</v>
      </c>
      <c r="M776" s="4">
        <v>0</v>
      </c>
      <c r="N776" s="3">
        <v>1071</v>
      </c>
      <c r="O776" s="4">
        <v>4.5999999999999999E-2</v>
      </c>
      <c r="P776" s="1" t="s">
        <v>2721</v>
      </c>
    </row>
    <row r="777" spans="1:16">
      <c r="A777" s="1" t="s">
        <v>15</v>
      </c>
      <c r="B777" s="1">
        <v>12</v>
      </c>
      <c r="C777" s="1" t="s">
        <v>2510</v>
      </c>
      <c r="D777" s="1" t="s">
        <v>238</v>
      </c>
      <c r="E777" s="2">
        <v>45993</v>
      </c>
      <c r="F777" s="1" t="s">
        <v>239</v>
      </c>
      <c r="G777" s="1" t="s">
        <v>240</v>
      </c>
      <c r="H777" s="1" t="s">
        <v>241</v>
      </c>
      <c r="I777" s="1">
        <v>1</v>
      </c>
      <c r="J777" s="3">
        <v>11305</v>
      </c>
      <c r="K777" s="3">
        <v>10787</v>
      </c>
      <c r="L777" s="1">
        <v>0</v>
      </c>
      <c r="M777" s="4">
        <v>0</v>
      </c>
      <c r="N777" s="3">
        <v>518</v>
      </c>
      <c r="O777" s="4">
        <v>4.5999999999999999E-2</v>
      </c>
      <c r="P777" s="1" t="s">
        <v>2721</v>
      </c>
    </row>
    <row r="778" spans="1:16">
      <c r="A778" s="1" t="s">
        <v>15</v>
      </c>
      <c r="B778" s="1">
        <v>12</v>
      </c>
      <c r="C778" s="1" t="s">
        <v>2511</v>
      </c>
      <c r="D778" s="1" t="s">
        <v>2512</v>
      </c>
      <c r="E778" s="2">
        <v>45993</v>
      </c>
      <c r="F778" s="1" t="s">
        <v>395</v>
      </c>
      <c r="G778" s="1" t="s">
        <v>2513</v>
      </c>
      <c r="H778" s="1" t="s">
        <v>2514</v>
      </c>
      <c r="I778" s="1">
        <v>1</v>
      </c>
      <c r="J778" s="3">
        <v>24575</v>
      </c>
      <c r="K778" s="3">
        <v>23450</v>
      </c>
      <c r="L778" s="1">
        <v>0</v>
      </c>
      <c r="M778" s="4">
        <v>0</v>
      </c>
      <c r="N778" s="3">
        <v>1125</v>
      </c>
      <c r="O778" s="4">
        <v>4.5999999999999999E-2</v>
      </c>
      <c r="P778" s="1" t="s">
        <v>2721</v>
      </c>
    </row>
    <row r="779" spans="1:16">
      <c r="A779" s="1" t="s">
        <v>15</v>
      </c>
      <c r="B779" s="1">
        <v>12</v>
      </c>
      <c r="C779" s="1" t="s">
        <v>2515</v>
      </c>
      <c r="D779" s="1" t="s">
        <v>516</v>
      </c>
      <c r="E779" s="2">
        <v>45993</v>
      </c>
      <c r="F779" s="1" t="s">
        <v>517</v>
      </c>
      <c r="G779" s="1" t="s">
        <v>518</v>
      </c>
      <c r="H779" s="1" t="s">
        <v>519</v>
      </c>
      <c r="I779" s="1">
        <v>1</v>
      </c>
      <c r="J779" s="3">
        <v>21528</v>
      </c>
      <c r="K779" s="3">
        <v>20542</v>
      </c>
      <c r="L779" s="1">
        <v>0</v>
      </c>
      <c r="M779" s="4">
        <v>0</v>
      </c>
      <c r="N779" s="1">
        <v>986</v>
      </c>
      <c r="O779" s="4">
        <v>4.5999999999999999E-2</v>
      </c>
      <c r="P779" s="1" t="s">
        <v>2721</v>
      </c>
    </row>
    <row r="780" spans="1:16">
      <c r="A780" s="1" t="s">
        <v>15</v>
      </c>
      <c r="B780" s="1">
        <v>12</v>
      </c>
      <c r="C780" s="1" t="s">
        <v>2516</v>
      </c>
      <c r="D780" s="1" t="s">
        <v>169</v>
      </c>
      <c r="E780" s="2">
        <v>45993</v>
      </c>
      <c r="F780" s="1" t="s">
        <v>53</v>
      </c>
      <c r="G780" s="1" t="s">
        <v>170</v>
      </c>
      <c r="H780" s="1" t="s">
        <v>171</v>
      </c>
      <c r="I780" s="1">
        <v>1</v>
      </c>
      <c r="J780" s="3">
        <v>14332</v>
      </c>
      <c r="K780" s="3">
        <v>13676</v>
      </c>
      <c r="L780" s="1">
        <v>0</v>
      </c>
      <c r="M780" s="4">
        <v>0</v>
      </c>
      <c r="N780" s="3">
        <v>656</v>
      </c>
      <c r="O780" s="4">
        <v>4.5999999999999999E-2</v>
      </c>
      <c r="P780" s="1" t="s">
        <v>2721</v>
      </c>
    </row>
    <row r="781" spans="1:16">
      <c r="A781" s="1" t="s">
        <v>15</v>
      </c>
      <c r="B781" s="1">
        <v>12</v>
      </c>
      <c r="C781" s="1" t="s">
        <v>2517</v>
      </c>
      <c r="D781" s="1" t="s">
        <v>250</v>
      </c>
      <c r="E781" s="2">
        <v>45993</v>
      </c>
      <c r="F781" s="1" t="s">
        <v>251</v>
      </c>
      <c r="G781" s="1" t="s">
        <v>252</v>
      </c>
      <c r="H781" s="1" t="s">
        <v>497</v>
      </c>
      <c r="I781" s="1">
        <v>1</v>
      </c>
      <c r="J781" s="3">
        <v>23494</v>
      </c>
      <c r="K781" s="3">
        <v>22418</v>
      </c>
      <c r="L781" s="1">
        <v>0</v>
      </c>
      <c r="M781" s="4">
        <v>0</v>
      </c>
      <c r="N781" s="3">
        <v>1076</v>
      </c>
      <c r="O781" s="4">
        <v>4.5999999999999999E-2</v>
      </c>
      <c r="P781" s="1" t="s">
        <v>2721</v>
      </c>
    </row>
    <row r="782" spans="1:16">
      <c r="A782" s="1" t="s">
        <v>15</v>
      </c>
      <c r="B782" s="1">
        <v>12</v>
      </c>
      <c r="C782" s="1" t="s">
        <v>2518</v>
      </c>
      <c r="D782" s="1" t="s">
        <v>777</v>
      </c>
      <c r="E782" s="2">
        <v>45993</v>
      </c>
      <c r="F782" s="1" t="s">
        <v>256</v>
      </c>
      <c r="G782" s="1" t="s">
        <v>778</v>
      </c>
      <c r="H782" s="1" t="s">
        <v>1571</v>
      </c>
      <c r="I782" s="1">
        <v>1</v>
      </c>
      <c r="J782" s="3">
        <v>19857</v>
      </c>
      <c r="K782" s="3">
        <v>18948</v>
      </c>
      <c r="L782" s="1">
        <v>0</v>
      </c>
      <c r="M782" s="4">
        <v>0</v>
      </c>
      <c r="N782" s="3">
        <v>909</v>
      </c>
      <c r="O782" s="4">
        <v>4.5999999999999999E-2</v>
      </c>
      <c r="P782" s="1" t="s">
        <v>2721</v>
      </c>
    </row>
    <row r="783" spans="1:16">
      <c r="A783" s="1" t="s">
        <v>15</v>
      </c>
      <c r="B783" s="1">
        <v>12</v>
      </c>
      <c r="C783" s="1" t="s">
        <v>2519</v>
      </c>
      <c r="D783" s="1" t="s">
        <v>2520</v>
      </c>
      <c r="E783" s="2">
        <v>45993</v>
      </c>
      <c r="F783" s="1" t="s">
        <v>488</v>
      </c>
      <c r="G783" s="1" t="s">
        <v>2521</v>
      </c>
      <c r="H783" s="1" t="s">
        <v>2522</v>
      </c>
      <c r="I783" s="1">
        <v>1</v>
      </c>
      <c r="J783" s="3">
        <v>31358</v>
      </c>
      <c r="K783" s="3">
        <v>29922</v>
      </c>
      <c r="L783" s="1">
        <v>0</v>
      </c>
      <c r="M783" s="4">
        <v>0</v>
      </c>
      <c r="N783" s="3">
        <v>1436</v>
      </c>
      <c r="O783" s="4">
        <v>4.5999999999999999E-2</v>
      </c>
      <c r="P783" s="1" t="s">
        <v>2721</v>
      </c>
    </row>
    <row r="784" spans="1:16">
      <c r="A784" s="1" t="s">
        <v>15</v>
      </c>
      <c r="B784" s="1">
        <v>12</v>
      </c>
      <c r="C784" s="1" t="s">
        <v>2523</v>
      </c>
      <c r="D784" s="1" t="s">
        <v>2524</v>
      </c>
      <c r="E784" s="2">
        <v>45993</v>
      </c>
      <c r="F784" s="1" t="s">
        <v>488</v>
      </c>
      <c r="G784" s="1" t="s">
        <v>2525</v>
      </c>
      <c r="H784" s="1" t="s">
        <v>2526</v>
      </c>
      <c r="I784" s="1">
        <v>2</v>
      </c>
      <c r="J784" s="3">
        <v>18677</v>
      </c>
      <c r="K784" s="3">
        <v>17822</v>
      </c>
      <c r="L784" s="1">
        <v>0</v>
      </c>
      <c r="M784" s="4">
        <v>0</v>
      </c>
      <c r="N784" s="1">
        <v>855</v>
      </c>
      <c r="O784" s="4">
        <v>4.5999999999999999E-2</v>
      </c>
      <c r="P784" s="1" t="s">
        <v>2721</v>
      </c>
    </row>
    <row r="785" spans="1:16">
      <c r="A785" s="1" t="s">
        <v>15</v>
      </c>
      <c r="B785" s="1">
        <v>12</v>
      </c>
      <c r="C785" s="1" t="s">
        <v>2527</v>
      </c>
      <c r="D785" s="1" t="s">
        <v>238</v>
      </c>
      <c r="E785" s="2">
        <v>45993</v>
      </c>
      <c r="F785" s="1" t="s">
        <v>239</v>
      </c>
      <c r="G785" s="1" t="s">
        <v>240</v>
      </c>
      <c r="H785" s="1" t="s">
        <v>241</v>
      </c>
      <c r="I785" s="1">
        <v>1</v>
      </c>
      <c r="J785" s="3">
        <v>11305</v>
      </c>
      <c r="K785" s="3">
        <v>10787</v>
      </c>
      <c r="L785" s="1">
        <v>0</v>
      </c>
      <c r="M785" s="4">
        <v>0</v>
      </c>
      <c r="N785" s="1">
        <v>518</v>
      </c>
      <c r="O785" s="4">
        <v>4.5999999999999999E-2</v>
      </c>
      <c r="P785" s="1" t="s">
        <v>2721</v>
      </c>
    </row>
    <row r="786" spans="1:16">
      <c r="A786" s="1" t="s">
        <v>15</v>
      </c>
      <c r="B786" s="1">
        <v>12</v>
      </c>
      <c r="C786" s="1" t="s">
        <v>2528</v>
      </c>
      <c r="D786" s="1" t="s">
        <v>797</v>
      </c>
      <c r="E786" s="2">
        <v>45993</v>
      </c>
      <c r="F786" s="1" t="s">
        <v>798</v>
      </c>
      <c r="G786" s="1" t="s">
        <v>799</v>
      </c>
      <c r="H786" s="1" t="s">
        <v>832</v>
      </c>
      <c r="I786" s="1">
        <v>1</v>
      </c>
      <c r="J786" s="3">
        <v>13271</v>
      </c>
      <c r="K786" s="3">
        <v>12663</v>
      </c>
      <c r="L786" s="1">
        <v>0</v>
      </c>
      <c r="M786" s="4">
        <v>0</v>
      </c>
      <c r="N786" s="1">
        <v>608</v>
      </c>
      <c r="O786" s="4">
        <v>4.5999999999999999E-2</v>
      </c>
      <c r="P786" s="1" t="s">
        <v>2721</v>
      </c>
    </row>
    <row r="787" spans="1:16">
      <c r="A787" s="1" t="s">
        <v>15</v>
      </c>
      <c r="B787" s="1">
        <v>12</v>
      </c>
      <c r="C787" s="1" t="s">
        <v>2529</v>
      </c>
      <c r="D787" s="1" t="s">
        <v>903</v>
      </c>
      <c r="E787" s="2">
        <v>45993</v>
      </c>
      <c r="F787" s="1" t="s">
        <v>23</v>
      </c>
      <c r="G787" s="1" t="s">
        <v>587</v>
      </c>
      <c r="H787" s="1" t="s">
        <v>904</v>
      </c>
      <c r="I787" s="1">
        <v>1</v>
      </c>
      <c r="J787" s="3">
        <v>13762</v>
      </c>
      <c r="K787" s="3">
        <v>13132</v>
      </c>
      <c r="L787" s="1">
        <v>0</v>
      </c>
      <c r="M787" s="4">
        <v>0</v>
      </c>
      <c r="N787" s="3">
        <v>630</v>
      </c>
      <c r="O787" s="4">
        <v>4.5999999999999999E-2</v>
      </c>
      <c r="P787" s="1" t="s">
        <v>2721</v>
      </c>
    </row>
    <row r="788" spans="1:16">
      <c r="A788" s="1" t="s">
        <v>15</v>
      </c>
      <c r="B788" s="1">
        <v>12</v>
      </c>
      <c r="C788" s="1" t="s">
        <v>2530</v>
      </c>
      <c r="D788" s="1" t="s">
        <v>27</v>
      </c>
      <c r="E788" s="2">
        <v>45993</v>
      </c>
      <c r="F788" s="1" t="s">
        <v>28</v>
      </c>
      <c r="G788" s="1" t="s">
        <v>29</v>
      </c>
      <c r="H788" s="1" t="s">
        <v>30</v>
      </c>
      <c r="I788" s="1">
        <v>1</v>
      </c>
      <c r="J788" s="3">
        <v>27033</v>
      </c>
      <c r="K788" s="3">
        <v>25795</v>
      </c>
      <c r="L788" s="1">
        <v>0</v>
      </c>
      <c r="M788" s="4">
        <v>0</v>
      </c>
      <c r="N788" s="3">
        <v>1238</v>
      </c>
      <c r="O788" s="4">
        <v>4.5999999999999999E-2</v>
      </c>
      <c r="P788" s="1" t="s">
        <v>2721</v>
      </c>
    </row>
    <row r="789" spans="1:16">
      <c r="A789" s="1" t="s">
        <v>15</v>
      </c>
      <c r="B789" s="1">
        <v>12</v>
      </c>
      <c r="C789" s="1" t="s">
        <v>2530</v>
      </c>
      <c r="D789" s="1" t="s">
        <v>27</v>
      </c>
      <c r="E789" s="2">
        <v>45993</v>
      </c>
      <c r="F789" s="1" t="s">
        <v>28</v>
      </c>
      <c r="G789" s="1" t="s">
        <v>29</v>
      </c>
      <c r="H789" s="1" t="s">
        <v>352</v>
      </c>
      <c r="I789" s="1">
        <v>1</v>
      </c>
      <c r="J789" s="3">
        <v>27033</v>
      </c>
      <c r="K789" s="3">
        <v>25795</v>
      </c>
      <c r="L789" s="1">
        <v>0</v>
      </c>
      <c r="M789" s="4">
        <v>0</v>
      </c>
      <c r="N789" s="3">
        <v>1238</v>
      </c>
      <c r="O789" s="4">
        <v>4.5999999999999999E-2</v>
      </c>
      <c r="P789" s="1" t="s">
        <v>2721</v>
      </c>
    </row>
    <row r="790" spans="1:16">
      <c r="A790" s="1" t="s">
        <v>15</v>
      </c>
      <c r="B790" s="1">
        <v>12</v>
      </c>
      <c r="C790" s="1" t="s">
        <v>2531</v>
      </c>
      <c r="D790" s="1" t="s">
        <v>2347</v>
      </c>
      <c r="E790" s="2">
        <v>45993</v>
      </c>
      <c r="F790" s="1" t="s">
        <v>96</v>
      </c>
      <c r="G790" s="1" t="s">
        <v>1706</v>
      </c>
      <c r="H790" s="1" t="s">
        <v>2532</v>
      </c>
      <c r="I790" s="1">
        <v>1</v>
      </c>
      <c r="J790" s="3">
        <v>9405</v>
      </c>
      <c r="K790" s="3">
        <v>8975</v>
      </c>
      <c r="L790" s="1">
        <v>0</v>
      </c>
      <c r="M790" s="4">
        <v>0</v>
      </c>
      <c r="N790" s="1">
        <v>430</v>
      </c>
      <c r="O790" s="4">
        <v>4.5999999999999999E-2</v>
      </c>
      <c r="P790" s="1" t="s">
        <v>2721</v>
      </c>
    </row>
    <row r="791" spans="1:16">
      <c r="A791" s="1" t="s">
        <v>15</v>
      </c>
      <c r="B791" s="1">
        <v>12</v>
      </c>
      <c r="C791" s="1" t="s">
        <v>2533</v>
      </c>
      <c r="D791" s="1" t="s">
        <v>458</v>
      </c>
      <c r="E791" s="2">
        <v>45993</v>
      </c>
      <c r="F791" s="1" t="s">
        <v>161</v>
      </c>
      <c r="G791" s="1" t="s">
        <v>459</v>
      </c>
      <c r="H791" s="1" t="s">
        <v>2534</v>
      </c>
      <c r="I791" s="1">
        <v>1</v>
      </c>
      <c r="J791" s="3">
        <v>9928</v>
      </c>
      <c r="K791" s="3">
        <v>9474</v>
      </c>
      <c r="L791" s="1">
        <v>0</v>
      </c>
      <c r="M791" s="4">
        <v>0</v>
      </c>
      <c r="N791" s="1">
        <v>454</v>
      </c>
      <c r="O791" s="4">
        <v>4.5999999999999999E-2</v>
      </c>
      <c r="P791" s="1" t="s">
        <v>2721</v>
      </c>
    </row>
    <row r="792" spans="1:16">
      <c r="A792" s="1" t="s">
        <v>15</v>
      </c>
      <c r="B792" s="1">
        <v>12</v>
      </c>
      <c r="C792" s="1" t="s">
        <v>2535</v>
      </c>
      <c r="D792" s="1" t="s">
        <v>2536</v>
      </c>
      <c r="E792" s="2">
        <v>45993</v>
      </c>
      <c r="F792" s="1" t="s">
        <v>2537</v>
      </c>
      <c r="G792" s="1" t="s">
        <v>2538</v>
      </c>
      <c r="H792" s="1" t="s">
        <v>2539</v>
      </c>
      <c r="I792" s="1">
        <v>1</v>
      </c>
      <c r="J792" s="3">
        <v>17694</v>
      </c>
      <c r="K792" s="3">
        <v>16884</v>
      </c>
      <c r="L792" s="1">
        <v>0</v>
      </c>
      <c r="M792" s="4">
        <v>0</v>
      </c>
      <c r="N792" s="1">
        <v>810</v>
      </c>
      <c r="O792" s="4">
        <v>4.5999999999999999E-2</v>
      </c>
      <c r="P792" s="1" t="s">
        <v>2721</v>
      </c>
    </row>
    <row r="793" spans="1:16">
      <c r="A793" s="1" t="s">
        <v>15</v>
      </c>
      <c r="B793" s="1">
        <v>12</v>
      </c>
      <c r="C793" s="1" t="s">
        <v>2540</v>
      </c>
      <c r="D793" s="1" t="s">
        <v>341</v>
      </c>
      <c r="E793" s="2">
        <v>45993</v>
      </c>
      <c r="F793" s="1" t="s">
        <v>53</v>
      </c>
      <c r="G793" s="1" t="s">
        <v>342</v>
      </c>
      <c r="H793" s="1" t="s">
        <v>343</v>
      </c>
      <c r="I793" s="1">
        <v>1</v>
      </c>
      <c r="J793" s="3">
        <v>16135</v>
      </c>
      <c r="K793" s="3">
        <v>15396</v>
      </c>
      <c r="L793" s="1">
        <v>0</v>
      </c>
      <c r="M793" s="4">
        <v>0</v>
      </c>
      <c r="N793" s="3">
        <v>739</v>
      </c>
      <c r="O793" s="4">
        <v>4.5999999999999999E-2</v>
      </c>
      <c r="P793" s="1" t="s">
        <v>2721</v>
      </c>
    </row>
    <row r="794" spans="1:16">
      <c r="A794" s="1" t="s">
        <v>15</v>
      </c>
      <c r="B794" s="1">
        <v>12</v>
      </c>
      <c r="C794" s="1" t="s">
        <v>2541</v>
      </c>
      <c r="D794" s="1" t="s">
        <v>2542</v>
      </c>
      <c r="E794" s="2">
        <v>45993</v>
      </c>
      <c r="F794" s="1" t="s">
        <v>451</v>
      </c>
      <c r="G794" s="1" t="s">
        <v>2543</v>
      </c>
      <c r="H794" s="1" t="s">
        <v>2544</v>
      </c>
      <c r="I794" s="1">
        <v>4</v>
      </c>
      <c r="J794" s="3">
        <v>90829</v>
      </c>
      <c r="K794" s="3">
        <v>86671</v>
      </c>
      <c r="L794" s="1">
        <v>0</v>
      </c>
      <c r="M794" s="4">
        <v>0</v>
      </c>
      <c r="N794" s="3">
        <v>4158</v>
      </c>
      <c r="O794" s="4">
        <v>4.5999999999999999E-2</v>
      </c>
      <c r="P794" s="1" t="s">
        <v>2721</v>
      </c>
    </row>
    <row r="795" spans="1:16">
      <c r="A795" s="1" t="s">
        <v>15</v>
      </c>
      <c r="B795" s="1">
        <v>12</v>
      </c>
      <c r="C795" s="1" t="s">
        <v>2545</v>
      </c>
      <c r="D795" s="1" t="s">
        <v>17</v>
      </c>
      <c r="E795" s="2">
        <v>45993</v>
      </c>
      <c r="F795" s="1" t="s">
        <v>18</v>
      </c>
      <c r="G795" s="1" t="s">
        <v>19</v>
      </c>
      <c r="H795" s="1" t="s">
        <v>1252</v>
      </c>
      <c r="I795" s="1">
        <v>1</v>
      </c>
      <c r="J795" s="3">
        <v>7166</v>
      </c>
      <c r="K795" s="3">
        <v>6838</v>
      </c>
      <c r="L795" s="1">
        <v>0</v>
      </c>
      <c r="M795" s="4">
        <v>0</v>
      </c>
      <c r="N795" s="1">
        <v>328</v>
      </c>
      <c r="O795" s="4">
        <v>4.5999999999999999E-2</v>
      </c>
      <c r="P795" s="1" t="s">
        <v>2721</v>
      </c>
    </row>
    <row r="796" spans="1:16">
      <c r="A796" s="1" t="s">
        <v>15</v>
      </c>
      <c r="B796" s="1">
        <v>12</v>
      </c>
      <c r="C796" s="1" t="s">
        <v>2545</v>
      </c>
      <c r="D796" s="1" t="s">
        <v>17</v>
      </c>
      <c r="E796" s="2">
        <v>45993</v>
      </c>
      <c r="F796" s="1" t="s">
        <v>18</v>
      </c>
      <c r="G796" s="1" t="s">
        <v>19</v>
      </c>
      <c r="H796" s="1" t="s">
        <v>20</v>
      </c>
      <c r="I796" s="1">
        <v>1</v>
      </c>
      <c r="J796" s="3">
        <v>7166</v>
      </c>
      <c r="K796" s="3">
        <v>6838</v>
      </c>
      <c r="L796" s="1">
        <v>0</v>
      </c>
      <c r="M796" s="4">
        <v>0</v>
      </c>
      <c r="N796" s="1">
        <v>328</v>
      </c>
      <c r="O796" s="4">
        <v>4.5999999999999999E-2</v>
      </c>
      <c r="P796" s="1" t="s">
        <v>2721</v>
      </c>
    </row>
    <row r="797" spans="1:16">
      <c r="A797" s="1" t="s">
        <v>15</v>
      </c>
      <c r="B797" s="1">
        <v>12</v>
      </c>
      <c r="C797" s="1" t="s">
        <v>2545</v>
      </c>
      <c r="D797" s="1" t="s">
        <v>1250</v>
      </c>
      <c r="E797" s="2">
        <v>45993</v>
      </c>
      <c r="F797" s="1" t="s">
        <v>18</v>
      </c>
      <c r="G797" s="1" t="s">
        <v>1251</v>
      </c>
      <c r="H797" s="1" t="s">
        <v>1428</v>
      </c>
      <c r="I797" s="1">
        <v>1</v>
      </c>
      <c r="J797" s="3">
        <v>8395</v>
      </c>
      <c r="K797" s="3">
        <v>8011</v>
      </c>
      <c r="L797" s="1">
        <v>0</v>
      </c>
      <c r="M797" s="4">
        <v>0</v>
      </c>
      <c r="N797" s="1">
        <v>384</v>
      </c>
      <c r="O797" s="4">
        <v>4.5999999999999999E-2</v>
      </c>
      <c r="P797" s="1" t="s">
        <v>2721</v>
      </c>
    </row>
    <row r="798" spans="1:16">
      <c r="A798" s="1" t="s">
        <v>15</v>
      </c>
      <c r="B798" s="1">
        <v>12</v>
      </c>
      <c r="C798" s="1" t="s">
        <v>2546</v>
      </c>
      <c r="D798" s="1" t="s">
        <v>538</v>
      </c>
      <c r="E798" s="2">
        <v>45993</v>
      </c>
      <c r="F798" s="1" t="s">
        <v>53</v>
      </c>
      <c r="G798" s="1" t="s">
        <v>539</v>
      </c>
      <c r="H798" s="1" t="s">
        <v>540</v>
      </c>
      <c r="I798" s="1">
        <v>1</v>
      </c>
      <c r="J798" s="3">
        <v>14332</v>
      </c>
      <c r="K798" s="3">
        <v>13676</v>
      </c>
      <c r="L798" s="1">
        <v>0</v>
      </c>
      <c r="M798" s="4">
        <v>0</v>
      </c>
      <c r="N798" s="1">
        <v>656</v>
      </c>
      <c r="O798" s="4">
        <v>4.5999999999999999E-2</v>
      </c>
      <c r="P798" s="1" t="s">
        <v>2721</v>
      </c>
    </row>
    <row r="799" spans="1:16">
      <c r="A799" s="1" t="s">
        <v>15</v>
      </c>
      <c r="B799" s="1">
        <v>12</v>
      </c>
      <c r="C799" s="1" t="s">
        <v>2547</v>
      </c>
      <c r="D799" s="1" t="s">
        <v>132</v>
      </c>
      <c r="E799" s="2">
        <v>45993</v>
      </c>
      <c r="F799" s="1" t="s">
        <v>53</v>
      </c>
      <c r="G799" s="1" t="s">
        <v>133</v>
      </c>
      <c r="H799" s="1" t="s">
        <v>88</v>
      </c>
      <c r="I799" s="1">
        <v>1</v>
      </c>
      <c r="J799" s="3">
        <v>17036</v>
      </c>
      <c r="K799" s="3">
        <v>16256</v>
      </c>
      <c r="L799" s="1">
        <v>0</v>
      </c>
      <c r="M799" s="4">
        <v>0</v>
      </c>
      <c r="N799" s="1">
        <v>780</v>
      </c>
      <c r="O799" s="4">
        <v>4.5999999999999999E-2</v>
      </c>
      <c r="P799" s="1" t="s">
        <v>2721</v>
      </c>
    </row>
    <row r="800" spans="1:16">
      <c r="A800" s="1" t="s">
        <v>15</v>
      </c>
      <c r="B800" s="1">
        <v>12</v>
      </c>
      <c r="C800" s="1" t="s">
        <v>2548</v>
      </c>
      <c r="D800" s="1" t="s">
        <v>169</v>
      </c>
      <c r="E800" s="2">
        <v>45993</v>
      </c>
      <c r="F800" s="1" t="s">
        <v>53</v>
      </c>
      <c r="G800" s="1" t="s">
        <v>170</v>
      </c>
      <c r="H800" s="1" t="s">
        <v>171</v>
      </c>
      <c r="I800" s="1">
        <v>1</v>
      </c>
      <c r="J800" s="3">
        <v>14332</v>
      </c>
      <c r="K800" s="3">
        <v>13676</v>
      </c>
      <c r="L800" s="1">
        <v>0</v>
      </c>
      <c r="M800" s="4">
        <v>0</v>
      </c>
      <c r="N800" s="3">
        <v>656</v>
      </c>
      <c r="O800" s="4">
        <v>4.5999999999999999E-2</v>
      </c>
      <c r="P800" s="1" t="s">
        <v>2721</v>
      </c>
    </row>
    <row r="801" spans="1:16">
      <c r="A801" s="1" t="s">
        <v>15</v>
      </c>
      <c r="B801" s="1">
        <v>12</v>
      </c>
      <c r="C801" s="1" t="s">
        <v>2549</v>
      </c>
      <c r="D801" s="1" t="s">
        <v>2550</v>
      </c>
      <c r="E801" s="2">
        <v>45993</v>
      </c>
      <c r="F801" s="1" t="s">
        <v>543</v>
      </c>
      <c r="G801" s="1" t="s">
        <v>2551</v>
      </c>
      <c r="H801" s="1" t="s">
        <v>2552</v>
      </c>
      <c r="I801" s="1">
        <v>1</v>
      </c>
      <c r="J801" s="3">
        <v>36371</v>
      </c>
      <c r="K801" s="3">
        <v>34706</v>
      </c>
      <c r="L801" s="1">
        <v>0</v>
      </c>
      <c r="M801" s="4">
        <v>0</v>
      </c>
      <c r="N801" s="3">
        <v>1665</v>
      </c>
      <c r="O801" s="4">
        <v>4.5999999999999999E-2</v>
      </c>
      <c r="P801" s="1" t="s">
        <v>2721</v>
      </c>
    </row>
    <row r="802" spans="1:16">
      <c r="A802" s="1" t="s">
        <v>15</v>
      </c>
      <c r="B802" s="1">
        <v>12</v>
      </c>
      <c r="C802" s="1" t="s">
        <v>2553</v>
      </c>
      <c r="D802" s="1" t="s">
        <v>2554</v>
      </c>
      <c r="E802" s="2">
        <v>45993</v>
      </c>
      <c r="F802" s="1" t="s">
        <v>2555</v>
      </c>
      <c r="G802" s="1" t="s">
        <v>2556</v>
      </c>
      <c r="H802" s="1" t="s">
        <v>2557</v>
      </c>
      <c r="I802" s="1">
        <v>1</v>
      </c>
      <c r="J802" s="3">
        <v>30670</v>
      </c>
      <c r="K802" s="3">
        <v>29266</v>
      </c>
      <c r="L802" s="1">
        <v>0</v>
      </c>
      <c r="M802" s="4">
        <v>0</v>
      </c>
      <c r="N802" s="3">
        <v>1404</v>
      </c>
      <c r="O802" s="4">
        <v>4.5999999999999999E-2</v>
      </c>
      <c r="P802" s="1" t="s">
        <v>2721</v>
      </c>
    </row>
    <row r="803" spans="1:16">
      <c r="A803" s="1" t="s">
        <v>15</v>
      </c>
      <c r="B803" s="1">
        <v>12</v>
      </c>
      <c r="C803" s="1" t="s">
        <v>2558</v>
      </c>
      <c r="D803" s="1" t="s">
        <v>2559</v>
      </c>
      <c r="E803" s="2">
        <v>45993</v>
      </c>
      <c r="F803" s="1" t="s">
        <v>276</v>
      </c>
      <c r="G803" s="1" t="s">
        <v>2560</v>
      </c>
      <c r="H803" s="1" t="s">
        <v>2561</v>
      </c>
      <c r="I803" s="1">
        <v>1</v>
      </c>
      <c r="J803" s="3">
        <v>28505</v>
      </c>
      <c r="K803" s="3">
        <v>27200</v>
      </c>
      <c r="L803" s="1">
        <v>0</v>
      </c>
      <c r="M803" s="4">
        <v>0</v>
      </c>
      <c r="N803" s="3">
        <v>1305</v>
      </c>
      <c r="O803" s="4">
        <v>4.5999999999999999E-2</v>
      </c>
      <c r="P803" s="1" t="s">
        <v>2721</v>
      </c>
    </row>
    <row r="804" spans="1:16">
      <c r="A804" s="1" t="s">
        <v>15</v>
      </c>
      <c r="B804" s="1">
        <v>12</v>
      </c>
      <c r="C804" s="1" t="s">
        <v>2562</v>
      </c>
      <c r="D804" s="1" t="s">
        <v>2563</v>
      </c>
      <c r="E804" s="2">
        <v>45993</v>
      </c>
      <c r="F804" s="1" t="s">
        <v>524</v>
      </c>
      <c r="G804" s="1" t="s">
        <v>2564</v>
      </c>
      <c r="H804" s="1" t="s">
        <v>2565</v>
      </c>
      <c r="I804" s="1">
        <v>1</v>
      </c>
      <c r="J804" s="3">
        <v>36064</v>
      </c>
      <c r="K804" s="3">
        <v>34413</v>
      </c>
      <c r="L804" s="1">
        <v>0</v>
      </c>
      <c r="M804" s="4">
        <v>0</v>
      </c>
      <c r="N804" s="3">
        <v>1651</v>
      </c>
      <c r="O804" s="4">
        <v>4.5999999999999999E-2</v>
      </c>
      <c r="P804" s="1" t="s">
        <v>2721</v>
      </c>
    </row>
    <row r="805" spans="1:16">
      <c r="A805" s="1" t="s">
        <v>15</v>
      </c>
      <c r="B805" s="1">
        <v>12</v>
      </c>
      <c r="C805" s="1" t="s">
        <v>2566</v>
      </c>
      <c r="D805" s="1" t="s">
        <v>1475</v>
      </c>
      <c r="E805" s="2">
        <v>45993</v>
      </c>
      <c r="F805" s="1" t="s">
        <v>407</v>
      </c>
      <c r="G805" s="1" t="s">
        <v>1476</v>
      </c>
      <c r="H805" s="1" t="s">
        <v>2567</v>
      </c>
      <c r="I805" s="1">
        <v>1</v>
      </c>
      <c r="J805" s="3">
        <v>26050</v>
      </c>
      <c r="K805" s="3">
        <v>24857</v>
      </c>
      <c r="L805" s="1">
        <v>0</v>
      </c>
      <c r="M805" s="4">
        <v>0</v>
      </c>
      <c r="N805" s="3">
        <v>1193</v>
      </c>
      <c r="O805" s="4">
        <v>4.5999999999999999E-2</v>
      </c>
      <c r="P805" s="1" t="s">
        <v>2721</v>
      </c>
    </row>
    <row r="806" spans="1:16">
      <c r="A806" s="1" t="s">
        <v>15</v>
      </c>
      <c r="B806" s="1">
        <v>12</v>
      </c>
      <c r="C806" s="1" t="s">
        <v>2568</v>
      </c>
      <c r="D806" s="1" t="s">
        <v>542</v>
      </c>
      <c r="E806" s="2">
        <v>45993</v>
      </c>
      <c r="F806" s="1" t="s">
        <v>543</v>
      </c>
      <c r="G806" s="1" t="s">
        <v>544</v>
      </c>
      <c r="H806" s="1" t="s">
        <v>545</v>
      </c>
      <c r="I806" s="1">
        <v>1</v>
      </c>
      <c r="J806" s="3">
        <v>36371</v>
      </c>
      <c r="K806" s="3">
        <v>34706</v>
      </c>
      <c r="L806" s="1">
        <v>0</v>
      </c>
      <c r="M806" s="4">
        <v>0</v>
      </c>
      <c r="N806" s="3">
        <v>1665</v>
      </c>
      <c r="O806" s="4">
        <v>4.5999999999999999E-2</v>
      </c>
      <c r="P806" s="1" t="s">
        <v>2721</v>
      </c>
    </row>
    <row r="807" spans="1:16">
      <c r="A807" s="1" t="s">
        <v>15</v>
      </c>
      <c r="B807" s="1">
        <v>12</v>
      </c>
      <c r="C807" s="1" t="s">
        <v>2569</v>
      </c>
      <c r="D807" s="1" t="s">
        <v>903</v>
      </c>
      <c r="E807" s="2">
        <v>45993</v>
      </c>
      <c r="F807" s="1" t="s">
        <v>23</v>
      </c>
      <c r="G807" s="1" t="s">
        <v>587</v>
      </c>
      <c r="H807" s="1" t="s">
        <v>588</v>
      </c>
      <c r="I807" s="1">
        <v>1</v>
      </c>
      <c r="J807" s="3">
        <v>13762</v>
      </c>
      <c r="K807" s="3">
        <v>13132</v>
      </c>
      <c r="L807" s="1">
        <v>0</v>
      </c>
      <c r="M807" s="4">
        <v>0</v>
      </c>
      <c r="N807" s="3">
        <v>630</v>
      </c>
      <c r="O807" s="4">
        <v>4.5999999999999999E-2</v>
      </c>
      <c r="P807" s="1" t="s">
        <v>2721</v>
      </c>
    </row>
    <row r="808" spans="1:16">
      <c r="A808" s="1" t="s">
        <v>15</v>
      </c>
      <c r="B808" s="1">
        <v>12</v>
      </c>
      <c r="C808" s="1" t="s">
        <v>2570</v>
      </c>
      <c r="D808" s="1" t="s">
        <v>141</v>
      </c>
      <c r="E808" s="2">
        <v>45993</v>
      </c>
      <c r="F808" s="1" t="s">
        <v>142</v>
      </c>
      <c r="G808" s="1" t="s">
        <v>143</v>
      </c>
      <c r="H808" s="1" t="s">
        <v>566</v>
      </c>
      <c r="I808" s="1">
        <v>1</v>
      </c>
      <c r="J808" s="3">
        <v>22314</v>
      </c>
      <c r="K808" s="3">
        <v>21293</v>
      </c>
      <c r="L808" s="1">
        <v>0</v>
      </c>
      <c r="M808" s="4">
        <v>0</v>
      </c>
      <c r="N808" s="3">
        <v>1021</v>
      </c>
      <c r="O808" s="4">
        <v>4.5999999999999999E-2</v>
      </c>
      <c r="P808" s="1" t="s">
        <v>2721</v>
      </c>
    </row>
    <row r="809" spans="1:16">
      <c r="A809" s="1" t="s">
        <v>15</v>
      </c>
      <c r="B809" s="1">
        <v>12</v>
      </c>
      <c r="C809" s="1" t="s">
        <v>2571</v>
      </c>
      <c r="D809" s="1" t="s">
        <v>2572</v>
      </c>
      <c r="E809" s="2">
        <v>45993</v>
      </c>
      <c r="F809" s="1" t="s">
        <v>235</v>
      </c>
      <c r="G809" s="1" t="s">
        <v>2573</v>
      </c>
      <c r="H809" s="1" t="s">
        <v>2574</v>
      </c>
      <c r="I809" s="1">
        <v>1</v>
      </c>
      <c r="J809" s="3">
        <v>24575</v>
      </c>
      <c r="K809" s="3">
        <v>23450</v>
      </c>
      <c r="L809" s="1">
        <v>0</v>
      </c>
      <c r="M809" s="4">
        <v>0</v>
      </c>
      <c r="N809" s="3">
        <v>1125</v>
      </c>
      <c r="O809" s="4">
        <v>4.5999999999999999E-2</v>
      </c>
      <c r="P809" s="1" t="s">
        <v>2721</v>
      </c>
    </row>
    <row r="810" spans="1:16">
      <c r="A810" s="1" t="s">
        <v>15</v>
      </c>
      <c r="B810" s="1">
        <v>12</v>
      </c>
      <c r="C810" s="1" t="s">
        <v>2575</v>
      </c>
      <c r="D810" s="1" t="s">
        <v>1687</v>
      </c>
      <c r="E810" s="2">
        <v>45993</v>
      </c>
      <c r="F810" s="1" t="s">
        <v>1688</v>
      </c>
      <c r="G810" s="1" t="s">
        <v>1689</v>
      </c>
      <c r="H810" s="1" t="s">
        <v>1690</v>
      </c>
      <c r="I810" s="1">
        <v>1</v>
      </c>
      <c r="J810" s="3">
        <v>30896</v>
      </c>
      <c r="K810" s="3">
        <v>29481</v>
      </c>
      <c r="L810" s="1">
        <v>0</v>
      </c>
      <c r="M810" s="4">
        <v>0</v>
      </c>
      <c r="N810" s="3">
        <v>1415</v>
      </c>
      <c r="O810" s="4">
        <v>4.5999999999999999E-2</v>
      </c>
      <c r="P810" s="1" t="s">
        <v>2721</v>
      </c>
    </row>
    <row r="811" spans="1:16">
      <c r="A811" s="1" t="s">
        <v>15</v>
      </c>
      <c r="B811" s="1">
        <v>12</v>
      </c>
      <c r="C811" s="1" t="s">
        <v>2576</v>
      </c>
      <c r="D811" s="1" t="s">
        <v>989</v>
      </c>
      <c r="E811" s="2">
        <v>45993</v>
      </c>
      <c r="F811" s="1" t="s">
        <v>48</v>
      </c>
      <c r="G811" s="1" t="s">
        <v>990</v>
      </c>
      <c r="H811" s="1" t="s">
        <v>2577</v>
      </c>
      <c r="I811" s="1">
        <v>2</v>
      </c>
      <c r="J811" s="3">
        <v>18449</v>
      </c>
      <c r="K811" s="3">
        <v>17604</v>
      </c>
      <c r="L811" s="1">
        <v>0</v>
      </c>
      <c r="M811" s="4">
        <v>0</v>
      </c>
      <c r="N811" s="1">
        <v>845</v>
      </c>
      <c r="O811" s="4">
        <v>4.5999999999999999E-2</v>
      </c>
      <c r="P811" s="1" t="s">
        <v>2721</v>
      </c>
    </row>
    <row r="812" spans="1:16">
      <c r="A812" s="1" t="s">
        <v>15</v>
      </c>
      <c r="B812" s="1">
        <v>12</v>
      </c>
      <c r="C812" s="1" t="s">
        <v>2578</v>
      </c>
      <c r="D812" s="1" t="s">
        <v>2579</v>
      </c>
      <c r="E812" s="2">
        <v>45993</v>
      </c>
      <c r="F812" s="1" t="s">
        <v>161</v>
      </c>
      <c r="G812" s="1" t="s">
        <v>2580</v>
      </c>
      <c r="H812" s="1" t="s">
        <v>2581</v>
      </c>
      <c r="I812" s="1">
        <v>2</v>
      </c>
      <c r="J812" s="3">
        <v>16514</v>
      </c>
      <c r="K812" s="3">
        <v>15758</v>
      </c>
      <c r="L812" s="1">
        <v>0</v>
      </c>
      <c r="M812" s="4">
        <v>0</v>
      </c>
      <c r="N812" s="1">
        <v>756</v>
      </c>
      <c r="O812" s="4">
        <v>4.5999999999999999E-2</v>
      </c>
      <c r="P812" s="1" t="s">
        <v>2721</v>
      </c>
    </row>
    <row r="813" spans="1:16">
      <c r="A813" s="1" t="s">
        <v>15</v>
      </c>
      <c r="B813" s="1">
        <v>12</v>
      </c>
      <c r="C813" s="1" t="s">
        <v>2582</v>
      </c>
      <c r="D813" s="1" t="s">
        <v>538</v>
      </c>
      <c r="E813" s="2">
        <v>45993</v>
      </c>
      <c r="F813" s="1" t="s">
        <v>53</v>
      </c>
      <c r="G813" s="1" t="s">
        <v>539</v>
      </c>
      <c r="H813" s="1" t="s">
        <v>540</v>
      </c>
      <c r="I813" s="1">
        <v>1</v>
      </c>
      <c r="J813" s="3">
        <v>14332</v>
      </c>
      <c r="K813" s="3">
        <v>13676</v>
      </c>
      <c r="L813" s="1">
        <v>0</v>
      </c>
      <c r="M813" s="4">
        <v>0</v>
      </c>
      <c r="N813" s="1">
        <v>656</v>
      </c>
      <c r="O813" s="4">
        <v>4.5999999999999999E-2</v>
      </c>
      <c r="P813" s="1" t="s">
        <v>2721</v>
      </c>
    </row>
    <row r="814" spans="1:16">
      <c r="A814" s="1" t="s">
        <v>15</v>
      </c>
      <c r="B814" s="1">
        <v>12</v>
      </c>
      <c r="C814" s="1" t="s">
        <v>2582</v>
      </c>
      <c r="D814" s="1" t="s">
        <v>169</v>
      </c>
      <c r="E814" s="2">
        <v>45993</v>
      </c>
      <c r="F814" s="1" t="s">
        <v>53</v>
      </c>
      <c r="G814" s="1" t="s">
        <v>170</v>
      </c>
      <c r="H814" s="1" t="s">
        <v>171</v>
      </c>
      <c r="I814" s="1">
        <v>1</v>
      </c>
      <c r="J814" s="3">
        <v>14332</v>
      </c>
      <c r="K814" s="3">
        <v>13676</v>
      </c>
      <c r="L814" s="1">
        <v>0</v>
      </c>
      <c r="M814" s="4">
        <v>0</v>
      </c>
      <c r="N814" s="3">
        <v>656</v>
      </c>
      <c r="O814" s="4">
        <v>4.5999999999999999E-2</v>
      </c>
      <c r="P814" s="1" t="s">
        <v>2721</v>
      </c>
    </row>
    <row r="815" spans="1:16">
      <c r="A815" s="1" t="s">
        <v>15</v>
      </c>
      <c r="B815" s="1">
        <v>12</v>
      </c>
      <c r="C815" s="1" t="s">
        <v>2583</v>
      </c>
      <c r="D815" s="1" t="s">
        <v>1687</v>
      </c>
      <c r="E815" s="2">
        <v>45993</v>
      </c>
      <c r="F815" s="1" t="s">
        <v>1688</v>
      </c>
      <c r="G815" s="1" t="s">
        <v>1689</v>
      </c>
      <c r="H815" s="1" t="s">
        <v>1690</v>
      </c>
      <c r="I815" s="1">
        <v>2</v>
      </c>
      <c r="J815" s="3">
        <v>61791</v>
      </c>
      <c r="K815" s="3">
        <v>58963</v>
      </c>
      <c r="L815" s="1">
        <v>0</v>
      </c>
      <c r="M815" s="4">
        <v>0</v>
      </c>
      <c r="N815" s="3">
        <v>2828</v>
      </c>
      <c r="O815" s="4">
        <v>4.5999999999999999E-2</v>
      </c>
      <c r="P815" s="1" t="s">
        <v>2721</v>
      </c>
    </row>
    <row r="816" spans="1:16">
      <c r="A816" s="1" t="s">
        <v>15</v>
      </c>
      <c r="B816" s="1">
        <v>12</v>
      </c>
      <c r="C816" s="1" t="s">
        <v>2583</v>
      </c>
      <c r="D816" s="1" t="s">
        <v>2584</v>
      </c>
      <c r="E816" s="2">
        <v>45993</v>
      </c>
      <c r="F816" s="1" t="s">
        <v>1688</v>
      </c>
      <c r="G816" s="1" t="s">
        <v>2585</v>
      </c>
      <c r="H816" s="1" t="s">
        <v>2586</v>
      </c>
      <c r="I816" s="1">
        <v>1</v>
      </c>
      <c r="J816" s="3">
        <v>34061</v>
      </c>
      <c r="K816" s="3">
        <v>32502</v>
      </c>
      <c r="L816" s="1">
        <v>0</v>
      </c>
      <c r="M816" s="4">
        <v>0</v>
      </c>
      <c r="N816" s="3">
        <v>1559</v>
      </c>
      <c r="O816" s="4">
        <v>4.5999999999999999E-2</v>
      </c>
      <c r="P816" s="1" t="s">
        <v>2721</v>
      </c>
    </row>
    <row r="817" spans="1:16">
      <c r="A817" s="1" t="s">
        <v>15</v>
      </c>
      <c r="B817" s="1">
        <v>12</v>
      </c>
      <c r="C817" s="1" t="s">
        <v>2587</v>
      </c>
      <c r="D817" s="1" t="s">
        <v>32</v>
      </c>
      <c r="E817" s="2">
        <v>45993</v>
      </c>
      <c r="F817" s="1" t="s">
        <v>33</v>
      </c>
      <c r="G817" s="1" t="s">
        <v>34</v>
      </c>
      <c r="H817" s="1" t="s">
        <v>2588</v>
      </c>
      <c r="I817" s="1">
        <v>1</v>
      </c>
      <c r="J817" s="3">
        <v>44157</v>
      </c>
      <c r="K817" s="3">
        <v>42136</v>
      </c>
      <c r="L817" s="1">
        <v>0</v>
      </c>
      <c r="M817" s="4">
        <v>0</v>
      </c>
      <c r="N817" s="3">
        <v>2021</v>
      </c>
      <c r="O817" s="4">
        <v>4.5999999999999999E-2</v>
      </c>
      <c r="P817" s="1" t="s">
        <v>2721</v>
      </c>
    </row>
    <row r="818" spans="1:16">
      <c r="A818" s="1" t="s">
        <v>15</v>
      </c>
      <c r="B818" s="1">
        <v>12</v>
      </c>
      <c r="C818" s="1" t="s">
        <v>2589</v>
      </c>
      <c r="D818" s="1" t="s">
        <v>2590</v>
      </c>
      <c r="E818" s="2">
        <v>45993</v>
      </c>
      <c r="F818" s="1" t="s">
        <v>53</v>
      </c>
      <c r="G818" s="1" t="s">
        <v>1820</v>
      </c>
      <c r="H818" s="1" t="s">
        <v>1821</v>
      </c>
      <c r="I818" s="1">
        <v>1</v>
      </c>
      <c r="J818" s="3">
        <v>8924</v>
      </c>
      <c r="K818" s="3">
        <v>8515</v>
      </c>
      <c r="L818" s="1">
        <v>0</v>
      </c>
      <c r="M818" s="4">
        <v>0</v>
      </c>
      <c r="N818" s="1">
        <v>409</v>
      </c>
      <c r="O818" s="4">
        <v>4.5999999999999999E-2</v>
      </c>
      <c r="P818" s="1" t="s">
        <v>2721</v>
      </c>
    </row>
    <row r="819" spans="1:16">
      <c r="A819" s="1" t="s">
        <v>15</v>
      </c>
      <c r="B819" s="1">
        <v>12</v>
      </c>
      <c r="C819" s="1" t="s">
        <v>2591</v>
      </c>
      <c r="D819" s="1" t="s">
        <v>1168</v>
      </c>
      <c r="E819" s="2">
        <v>45993</v>
      </c>
      <c r="F819" s="1" t="s">
        <v>53</v>
      </c>
      <c r="G819" s="1" t="s">
        <v>1169</v>
      </c>
      <c r="H819" s="1" t="s">
        <v>2592</v>
      </c>
      <c r="I819" s="1">
        <v>1</v>
      </c>
      <c r="J819" s="3">
        <v>13431</v>
      </c>
      <c r="K819" s="3">
        <v>12816</v>
      </c>
      <c r="L819" s="1">
        <v>0</v>
      </c>
      <c r="M819" s="4">
        <v>0</v>
      </c>
      <c r="N819" s="1">
        <v>615</v>
      </c>
      <c r="O819" s="4">
        <v>4.5999999999999999E-2</v>
      </c>
      <c r="P819" s="1" t="s">
        <v>2721</v>
      </c>
    </row>
    <row r="820" spans="1:16">
      <c r="A820" s="1" t="s">
        <v>15</v>
      </c>
      <c r="B820" s="1">
        <v>12</v>
      </c>
      <c r="C820" s="1" t="s">
        <v>2591</v>
      </c>
      <c r="D820" s="1" t="s">
        <v>1168</v>
      </c>
      <c r="E820" s="2">
        <v>45993</v>
      </c>
      <c r="F820" s="1" t="s">
        <v>53</v>
      </c>
      <c r="G820" s="1" t="s">
        <v>1169</v>
      </c>
      <c r="H820" s="1" t="s">
        <v>2593</v>
      </c>
      <c r="I820" s="1">
        <v>1</v>
      </c>
      <c r="J820" s="3">
        <v>7121</v>
      </c>
      <c r="K820" s="3">
        <v>6795</v>
      </c>
      <c r="L820" s="1">
        <v>0</v>
      </c>
      <c r="M820" s="4">
        <v>0</v>
      </c>
      <c r="N820" s="1">
        <v>326</v>
      </c>
      <c r="O820" s="4">
        <v>4.5999999999999999E-2</v>
      </c>
      <c r="P820" s="1" t="s">
        <v>2721</v>
      </c>
    </row>
    <row r="821" spans="1:16">
      <c r="A821" s="1" t="s">
        <v>577</v>
      </c>
      <c r="B821" s="1">
        <v>12</v>
      </c>
      <c r="C821" s="1" t="s">
        <v>2594</v>
      </c>
      <c r="D821" s="1" t="s">
        <v>2595</v>
      </c>
      <c r="E821" s="2">
        <v>45993</v>
      </c>
      <c r="F821" s="1" t="s">
        <v>1106</v>
      </c>
      <c r="G821" s="1" t="s">
        <v>1107</v>
      </c>
      <c r="H821" s="1" t="s">
        <v>2596</v>
      </c>
      <c r="I821" s="1">
        <v>1</v>
      </c>
      <c r="J821" s="3">
        <v>10471</v>
      </c>
      <c r="K821" s="3">
        <v>9992</v>
      </c>
      <c r="L821" s="1">
        <v>0</v>
      </c>
      <c r="M821" s="4">
        <v>0</v>
      </c>
      <c r="N821" s="3">
        <v>479</v>
      </c>
      <c r="O821" s="4">
        <v>4.5999999999999999E-2</v>
      </c>
      <c r="P821" s="1" t="s">
        <v>2721</v>
      </c>
    </row>
    <row r="822" spans="1:16">
      <c r="A822" s="1" t="s">
        <v>577</v>
      </c>
      <c r="B822" s="1">
        <v>12</v>
      </c>
      <c r="C822" s="1" t="s">
        <v>2597</v>
      </c>
      <c r="D822" s="1" t="s">
        <v>592</v>
      </c>
      <c r="E822" s="2">
        <v>45993</v>
      </c>
      <c r="F822" s="1" t="s">
        <v>33</v>
      </c>
      <c r="G822" s="1" t="s">
        <v>34</v>
      </c>
      <c r="H822" s="1" t="s">
        <v>2598</v>
      </c>
      <c r="I822" s="1">
        <v>1</v>
      </c>
      <c r="J822" s="3">
        <v>99842</v>
      </c>
      <c r="K822" s="3">
        <v>95272</v>
      </c>
      <c r="L822" s="1">
        <v>0</v>
      </c>
      <c r="M822" s="4">
        <v>0</v>
      </c>
      <c r="N822" s="3">
        <v>4570</v>
      </c>
      <c r="O822" s="4">
        <v>4.5999999999999999E-2</v>
      </c>
      <c r="P822" s="1" t="s">
        <v>2721</v>
      </c>
    </row>
    <row r="823" spans="1:16">
      <c r="A823" s="1" t="s">
        <v>577</v>
      </c>
      <c r="B823" s="1">
        <v>12</v>
      </c>
      <c r="C823" s="1" t="s">
        <v>2599</v>
      </c>
      <c r="D823" s="1" t="s">
        <v>2600</v>
      </c>
      <c r="E823" s="2">
        <v>45993</v>
      </c>
      <c r="F823" s="1" t="s">
        <v>28</v>
      </c>
      <c r="G823" s="1" t="s">
        <v>29</v>
      </c>
      <c r="H823" s="1" t="s">
        <v>352</v>
      </c>
      <c r="I823" s="1">
        <v>1</v>
      </c>
      <c r="J823" s="3">
        <v>27033</v>
      </c>
      <c r="K823" s="3">
        <v>25795</v>
      </c>
      <c r="L823" s="1">
        <v>0</v>
      </c>
      <c r="M823" s="4">
        <v>0</v>
      </c>
      <c r="N823" s="3">
        <v>1238</v>
      </c>
      <c r="O823" s="4">
        <v>4.5999999999999999E-2</v>
      </c>
      <c r="P823" s="1" t="s">
        <v>2721</v>
      </c>
    </row>
    <row r="824" spans="1:16">
      <c r="A824" s="1" t="s">
        <v>577</v>
      </c>
      <c r="B824" s="1">
        <v>12</v>
      </c>
      <c r="C824" s="1" t="s">
        <v>2601</v>
      </c>
      <c r="D824" s="1" t="s">
        <v>1788</v>
      </c>
      <c r="E824" s="2">
        <v>45993</v>
      </c>
      <c r="F824" s="1" t="s">
        <v>96</v>
      </c>
      <c r="G824" s="1" t="s">
        <v>105</v>
      </c>
      <c r="H824" s="1" t="s">
        <v>106</v>
      </c>
      <c r="I824" s="1">
        <v>1</v>
      </c>
      <c r="J824" s="3">
        <v>21614</v>
      </c>
      <c r="K824" s="3">
        <v>20625</v>
      </c>
      <c r="L824" s="1">
        <v>0</v>
      </c>
      <c r="M824" s="4">
        <v>0</v>
      </c>
      <c r="N824" s="1">
        <v>989</v>
      </c>
      <c r="O824" s="4">
        <v>4.5999999999999999E-2</v>
      </c>
      <c r="P824" s="1" t="s">
        <v>2721</v>
      </c>
    </row>
    <row r="825" spans="1:16">
      <c r="A825" s="1" t="s">
        <v>577</v>
      </c>
      <c r="B825" s="1">
        <v>12</v>
      </c>
      <c r="C825" s="1" t="s">
        <v>2602</v>
      </c>
      <c r="D825" s="1" t="s">
        <v>2603</v>
      </c>
      <c r="E825" s="2">
        <v>45993</v>
      </c>
      <c r="F825" s="1" t="s">
        <v>53</v>
      </c>
      <c r="G825" s="1" t="s">
        <v>2604</v>
      </c>
      <c r="H825" s="1" t="s">
        <v>2605</v>
      </c>
      <c r="I825" s="1">
        <v>1</v>
      </c>
      <c r="J825" s="3">
        <v>8022</v>
      </c>
      <c r="K825" s="3">
        <v>7655</v>
      </c>
      <c r="L825" s="1">
        <v>0</v>
      </c>
      <c r="M825" s="4">
        <v>0</v>
      </c>
      <c r="N825" s="1">
        <v>367</v>
      </c>
      <c r="O825" s="4">
        <v>4.5999999999999999E-2</v>
      </c>
      <c r="P825" s="1" t="s">
        <v>2721</v>
      </c>
    </row>
    <row r="826" spans="1:16">
      <c r="A826" s="1" t="s">
        <v>577</v>
      </c>
      <c r="B826" s="1">
        <v>12</v>
      </c>
      <c r="C826" s="1" t="s">
        <v>2606</v>
      </c>
      <c r="D826" s="1" t="s">
        <v>1784</v>
      </c>
      <c r="E826" s="2">
        <v>45993</v>
      </c>
      <c r="F826" s="1" t="s">
        <v>256</v>
      </c>
      <c r="G826" s="1" t="s">
        <v>778</v>
      </c>
      <c r="H826" s="1" t="s">
        <v>779</v>
      </c>
      <c r="I826" s="1">
        <v>1</v>
      </c>
      <c r="J826" s="3">
        <v>11010</v>
      </c>
      <c r="K826" s="3">
        <v>10506</v>
      </c>
      <c r="L826" s="1">
        <v>0</v>
      </c>
      <c r="M826" s="4">
        <v>0</v>
      </c>
      <c r="N826" s="1">
        <v>504</v>
      </c>
      <c r="O826" s="4">
        <v>4.5999999999999999E-2</v>
      </c>
      <c r="P826" s="1" t="s">
        <v>2721</v>
      </c>
    </row>
    <row r="827" spans="1:16">
      <c r="A827" s="1" t="s">
        <v>577</v>
      </c>
      <c r="B827" s="1">
        <v>12</v>
      </c>
      <c r="C827" s="1" t="s">
        <v>2607</v>
      </c>
      <c r="D827" s="1" t="s">
        <v>2608</v>
      </c>
      <c r="E827" s="2">
        <v>45993</v>
      </c>
      <c r="F827" s="1" t="s">
        <v>96</v>
      </c>
      <c r="G827" s="1" t="s">
        <v>2609</v>
      </c>
      <c r="H827" s="1" t="s">
        <v>2610</v>
      </c>
      <c r="I827" s="1">
        <v>1</v>
      </c>
      <c r="J827" s="3">
        <v>10779</v>
      </c>
      <c r="K827" s="3">
        <v>10285</v>
      </c>
      <c r="L827" s="1">
        <v>0</v>
      </c>
      <c r="M827" s="4">
        <v>0</v>
      </c>
      <c r="N827" s="1">
        <v>494</v>
      </c>
      <c r="O827" s="4">
        <v>4.5999999999999999E-2</v>
      </c>
      <c r="P827" s="1" t="s">
        <v>2721</v>
      </c>
    </row>
    <row r="828" spans="1:16">
      <c r="A828" s="1" t="s">
        <v>577</v>
      </c>
      <c r="B828" s="1">
        <v>12</v>
      </c>
      <c r="C828" s="1" t="s">
        <v>2611</v>
      </c>
      <c r="D828" s="1" t="s">
        <v>1781</v>
      </c>
      <c r="E828" s="2">
        <v>45993</v>
      </c>
      <c r="F828" s="1" t="s">
        <v>96</v>
      </c>
      <c r="G828" s="1" t="s">
        <v>222</v>
      </c>
      <c r="H828" s="1" t="s">
        <v>223</v>
      </c>
      <c r="I828" s="1">
        <v>1</v>
      </c>
      <c r="J828" s="3">
        <v>12571</v>
      </c>
      <c r="K828" s="3">
        <v>11995</v>
      </c>
      <c r="L828" s="1">
        <v>0</v>
      </c>
      <c r="M828" s="4">
        <v>0</v>
      </c>
      <c r="N828" s="1">
        <v>576</v>
      </c>
      <c r="O828" s="4">
        <v>4.5999999999999999E-2</v>
      </c>
      <c r="P828" s="1" t="s">
        <v>2721</v>
      </c>
    </row>
    <row r="829" spans="1:16">
      <c r="A829" s="1" t="s">
        <v>577</v>
      </c>
      <c r="B829" s="1">
        <v>12</v>
      </c>
      <c r="C829" s="1" t="s">
        <v>2612</v>
      </c>
      <c r="D829" s="1" t="s">
        <v>1705</v>
      </c>
      <c r="E829" s="2">
        <v>45993</v>
      </c>
      <c r="F829" s="1" t="s">
        <v>96</v>
      </c>
      <c r="G829" s="1" t="s">
        <v>1706</v>
      </c>
      <c r="H829" s="1" t="s">
        <v>2348</v>
      </c>
      <c r="I829" s="1">
        <v>1</v>
      </c>
      <c r="J829" s="3">
        <v>9405</v>
      </c>
      <c r="K829" s="3">
        <v>8975</v>
      </c>
      <c r="L829" s="1">
        <v>0</v>
      </c>
      <c r="M829" s="4">
        <v>0</v>
      </c>
      <c r="N829" s="1">
        <v>430</v>
      </c>
      <c r="O829" s="4">
        <v>4.5999999999999999E-2</v>
      </c>
      <c r="P829" s="1" t="s">
        <v>2721</v>
      </c>
    </row>
    <row r="830" spans="1:16">
      <c r="A830" s="1" t="s">
        <v>577</v>
      </c>
      <c r="B830" s="1">
        <v>12</v>
      </c>
      <c r="C830" s="1" t="s">
        <v>2613</v>
      </c>
      <c r="D830" s="1" t="s">
        <v>1784</v>
      </c>
      <c r="E830" s="2">
        <v>45993</v>
      </c>
      <c r="F830" s="1" t="s">
        <v>256</v>
      </c>
      <c r="G830" s="1" t="s">
        <v>778</v>
      </c>
      <c r="H830" s="1" t="s">
        <v>1571</v>
      </c>
      <c r="I830" s="1">
        <v>1</v>
      </c>
      <c r="J830" s="3">
        <v>19857</v>
      </c>
      <c r="K830" s="3">
        <v>18948</v>
      </c>
      <c r="L830" s="1">
        <v>0</v>
      </c>
      <c r="M830" s="4">
        <v>0</v>
      </c>
      <c r="N830" s="1">
        <v>909</v>
      </c>
      <c r="O830" s="4">
        <v>4.5999999999999999E-2</v>
      </c>
      <c r="P830" s="1" t="s">
        <v>2721</v>
      </c>
    </row>
    <row r="831" spans="1:16">
      <c r="A831" s="1" t="s">
        <v>577</v>
      </c>
      <c r="B831" s="1">
        <v>12</v>
      </c>
      <c r="C831" s="1" t="s">
        <v>2614</v>
      </c>
      <c r="D831" s="1" t="s">
        <v>1782</v>
      </c>
      <c r="E831" s="2">
        <v>45993</v>
      </c>
      <c r="F831" s="1" t="s">
        <v>96</v>
      </c>
      <c r="G831" s="1" t="s">
        <v>225</v>
      </c>
      <c r="H831" s="1" t="s">
        <v>896</v>
      </c>
      <c r="I831" s="1">
        <v>1</v>
      </c>
      <c r="J831" s="3">
        <v>12571</v>
      </c>
      <c r="K831" s="3">
        <v>11995</v>
      </c>
      <c r="L831" s="1">
        <v>0</v>
      </c>
      <c r="M831" s="4">
        <v>0</v>
      </c>
      <c r="N831" s="1">
        <v>576</v>
      </c>
      <c r="O831" s="4">
        <v>4.5999999999999999E-2</v>
      </c>
      <c r="P831" s="1" t="s">
        <v>2721</v>
      </c>
    </row>
    <row r="832" spans="1:16">
      <c r="A832" s="1" t="s">
        <v>577</v>
      </c>
      <c r="B832" s="1">
        <v>12</v>
      </c>
      <c r="C832" s="1" t="s">
        <v>2615</v>
      </c>
      <c r="D832" s="1" t="s">
        <v>2616</v>
      </c>
      <c r="E832" s="2">
        <v>45993</v>
      </c>
      <c r="F832" s="1" t="s">
        <v>407</v>
      </c>
      <c r="G832" s="1" t="s">
        <v>961</v>
      </c>
      <c r="H832" s="1" t="s">
        <v>962</v>
      </c>
      <c r="I832" s="1">
        <v>1</v>
      </c>
      <c r="J832" s="3">
        <v>14745</v>
      </c>
      <c r="K832" s="3">
        <v>14070</v>
      </c>
      <c r="L832" s="1">
        <v>0</v>
      </c>
      <c r="M832" s="4">
        <v>0</v>
      </c>
      <c r="N832" s="1">
        <v>675</v>
      </c>
      <c r="O832" s="4">
        <v>4.5999999999999999E-2</v>
      </c>
      <c r="P832" s="1" t="s">
        <v>2721</v>
      </c>
    </row>
    <row r="833" spans="1:16">
      <c r="A833" s="1" t="s">
        <v>577</v>
      </c>
      <c r="B833" s="1">
        <v>12</v>
      </c>
      <c r="C833" s="1" t="s">
        <v>2617</v>
      </c>
      <c r="D833" s="1" t="s">
        <v>1784</v>
      </c>
      <c r="E833" s="2">
        <v>45993</v>
      </c>
      <c r="F833" s="1" t="s">
        <v>256</v>
      </c>
      <c r="G833" s="1" t="s">
        <v>778</v>
      </c>
      <c r="H833" s="1" t="s">
        <v>779</v>
      </c>
      <c r="I833" s="1">
        <v>1</v>
      </c>
      <c r="J833" s="3">
        <v>11010</v>
      </c>
      <c r="K833" s="3">
        <v>10506</v>
      </c>
      <c r="L833" s="1">
        <v>0</v>
      </c>
      <c r="M833" s="4">
        <v>0</v>
      </c>
      <c r="N833" s="3">
        <v>504</v>
      </c>
      <c r="O833" s="4">
        <v>4.5999999999999999E-2</v>
      </c>
      <c r="P833" s="1" t="s">
        <v>2721</v>
      </c>
    </row>
    <row r="834" spans="1:16">
      <c r="A834" s="1" t="s">
        <v>577</v>
      </c>
      <c r="B834" s="1">
        <v>12</v>
      </c>
      <c r="C834" s="1" t="s">
        <v>2618</v>
      </c>
      <c r="D834" s="1" t="s">
        <v>2619</v>
      </c>
      <c r="E834" s="2">
        <v>45993</v>
      </c>
      <c r="F834" s="1" t="s">
        <v>2620</v>
      </c>
      <c r="G834" s="1" t="s">
        <v>2621</v>
      </c>
      <c r="H834" s="1" t="s">
        <v>2622</v>
      </c>
      <c r="I834" s="1">
        <v>1</v>
      </c>
      <c r="J834" s="3">
        <v>26769</v>
      </c>
      <c r="K834" s="3">
        <v>25544</v>
      </c>
      <c r="L834" s="1">
        <v>0</v>
      </c>
      <c r="M834" s="4">
        <v>0</v>
      </c>
      <c r="N834" s="3">
        <v>1225</v>
      </c>
      <c r="O834" s="4">
        <v>4.5999999999999999E-2</v>
      </c>
      <c r="P834" s="1" t="s">
        <v>2721</v>
      </c>
    </row>
    <row r="835" spans="1:16">
      <c r="A835" s="1" t="s">
        <v>577</v>
      </c>
      <c r="B835" s="1">
        <v>12</v>
      </c>
      <c r="C835" s="1" t="s">
        <v>2623</v>
      </c>
      <c r="D835" s="1" t="s">
        <v>1741</v>
      </c>
      <c r="E835" s="2">
        <v>45993</v>
      </c>
      <c r="F835" s="1" t="s">
        <v>500</v>
      </c>
      <c r="G835" s="1" t="s">
        <v>900</v>
      </c>
      <c r="H835" s="1" t="s">
        <v>901</v>
      </c>
      <c r="I835" s="1">
        <v>1</v>
      </c>
      <c r="J835" s="3">
        <v>105846</v>
      </c>
      <c r="K835" s="3">
        <v>101000</v>
      </c>
      <c r="L835" s="3">
        <v>0</v>
      </c>
      <c r="M835" s="4">
        <v>0</v>
      </c>
      <c r="N835" s="3">
        <v>4846</v>
      </c>
      <c r="O835" s="4">
        <v>4.5999999999999999E-2</v>
      </c>
      <c r="P835" s="1" t="s">
        <v>2721</v>
      </c>
    </row>
    <row r="836" spans="1:16">
      <c r="A836" s="1" t="s">
        <v>602</v>
      </c>
      <c r="B836" s="1">
        <v>12</v>
      </c>
      <c r="C836" s="1">
        <v>7100156870819</v>
      </c>
      <c r="D836" s="1" t="s">
        <v>2624</v>
      </c>
      <c r="E836" s="2">
        <v>45993</v>
      </c>
      <c r="F836" s="1" t="s">
        <v>604</v>
      </c>
      <c r="G836" s="1" t="s">
        <v>2625</v>
      </c>
      <c r="H836" s="1" t="s">
        <v>2626</v>
      </c>
      <c r="I836" s="1">
        <v>1</v>
      </c>
      <c r="J836" s="3">
        <v>14900</v>
      </c>
      <c r="K836" s="3">
        <v>9650</v>
      </c>
      <c r="L836" s="3">
        <v>1728</v>
      </c>
      <c r="M836" s="4">
        <v>0.11600000000000001</v>
      </c>
      <c r="N836" s="3">
        <v>3522</v>
      </c>
      <c r="O836" s="4">
        <v>0.23599999999999999</v>
      </c>
      <c r="P836" s="1" t="s">
        <v>2721</v>
      </c>
    </row>
    <row r="837" spans="1:16">
      <c r="A837" s="1" t="s">
        <v>649</v>
      </c>
      <c r="B837" s="1">
        <v>12</v>
      </c>
      <c r="C837" s="1">
        <v>25120208313972</v>
      </c>
      <c r="D837" s="1" t="s">
        <v>617</v>
      </c>
      <c r="E837" s="2">
        <v>45993</v>
      </c>
      <c r="F837" s="1" t="s">
        <v>604</v>
      </c>
      <c r="G837" s="1" t="s">
        <v>618</v>
      </c>
      <c r="H837" s="1" t="s">
        <v>2627</v>
      </c>
      <c r="I837" s="1">
        <v>1</v>
      </c>
      <c r="J837" s="3">
        <v>7225</v>
      </c>
      <c r="K837" s="3">
        <v>5300</v>
      </c>
      <c r="L837" s="3">
        <v>0</v>
      </c>
      <c r="M837" s="4">
        <v>0</v>
      </c>
      <c r="N837" s="3">
        <v>1925</v>
      </c>
      <c r="O837" s="4">
        <v>0.26600000000000001</v>
      </c>
      <c r="P837" s="1" t="s">
        <v>2721</v>
      </c>
    </row>
    <row r="838" spans="1:16">
      <c r="A838" s="1" t="s">
        <v>616</v>
      </c>
      <c r="B838" s="1">
        <v>12</v>
      </c>
      <c r="C838" s="1">
        <v>2025120160645980</v>
      </c>
      <c r="D838" s="1" t="s">
        <v>617</v>
      </c>
      <c r="E838" s="2">
        <v>45993</v>
      </c>
      <c r="F838" s="1" t="s">
        <v>604</v>
      </c>
      <c r="G838" s="1" t="s">
        <v>618</v>
      </c>
      <c r="H838" s="1" t="s">
        <v>619</v>
      </c>
      <c r="I838" s="1">
        <v>6</v>
      </c>
      <c r="J838" s="3">
        <v>39000</v>
      </c>
      <c r="K838" s="3">
        <v>19300</v>
      </c>
      <c r="L838" s="3">
        <v>1560</v>
      </c>
      <c r="M838" s="4">
        <v>0.04</v>
      </c>
      <c r="N838" s="3">
        <v>18140</v>
      </c>
      <c r="O838" s="4">
        <v>0.46500000000000002</v>
      </c>
      <c r="P838" s="1" t="s">
        <v>2721</v>
      </c>
    </row>
    <row r="839" spans="1:16">
      <c r="A839" s="1" t="s">
        <v>616</v>
      </c>
      <c r="B839" s="1">
        <v>12</v>
      </c>
      <c r="C839" s="1">
        <v>2025120160645970</v>
      </c>
      <c r="D839" s="1" t="s">
        <v>617</v>
      </c>
      <c r="E839" s="2">
        <v>45993</v>
      </c>
      <c r="F839" s="1" t="s">
        <v>604</v>
      </c>
      <c r="G839" s="1" t="s">
        <v>618</v>
      </c>
      <c r="H839" s="1" t="s">
        <v>2628</v>
      </c>
      <c r="I839" s="1">
        <v>4</v>
      </c>
      <c r="J839" s="3">
        <v>26000</v>
      </c>
      <c r="K839" s="3">
        <v>13700</v>
      </c>
      <c r="L839" s="3">
        <v>1040</v>
      </c>
      <c r="M839" s="4">
        <v>0.04</v>
      </c>
      <c r="N839" s="3">
        <v>11260</v>
      </c>
      <c r="O839" s="4">
        <v>0.433</v>
      </c>
      <c r="P839" s="1" t="s">
        <v>2721</v>
      </c>
    </row>
    <row r="840" spans="1:16">
      <c r="A840" s="1" t="s">
        <v>616</v>
      </c>
      <c r="B840" s="1">
        <v>12</v>
      </c>
      <c r="C840" s="1">
        <v>2025120147826560</v>
      </c>
      <c r="D840" s="1" t="s">
        <v>617</v>
      </c>
      <c r="E840" s="2">
        <v>45993</v>
      </c>
      <c r="F840" s="1" t="s">
        <v>604</v>
      </c>
      <c r="G840" s="1" t="s">
        <v>618</v>
      </c>
      <c r="H840" s="1" t="s">
        <v>2628</v>
      </c>
      <c r="I840" s="1">
        <v>2</v>
      </c>
      <c r="J840" s="3">
        <v>16000</v>
      </c>
      <c r="K840" s="3">
        <v>5600</v>
      </c>
      <c r="L840" s="3">
        <v>640</v>
      </c>
      <c r="M840" s="4">
        <v>0.04</v>
      </c>
      <c r="N840" s="3">
        <v>9760</v>
      </c>
      <c r="O840" s="4">
        <v>0.61</v>
      </c>
      <c r="P840" s="1" t="s">
        <v>2721</v>
      </c>
    </row>
    <row r="841" spans="1:16">
      <c r="A841" s="1" t="s">
        <v>616</v>
      </c>
      <c r="B841" s="1">
        <v>12</v>
      </c>
      <c r="C841" s="1">
        <v>2025120168775120</v>
      </c>
      <c r="D841" s="1" t="s">
        <v>617</v>
      </c>
      <c r="E841" s="2">
        <v>45993</v>
      </c>
      <c r="F841" s="1" t="s">
        <v>604</v>
      </c>
      <c r="G841" s="1" t="s">
        <v>618</v>
      </c>
      <c r="H841" s="1" t="s">
        <v>619</v>
      </c>
      <c r="I841" s="1">
        <v>6</v>
      </c>
      <c r="J841" s="3">
        <v>39000</v>
      </c>
      <c r="K841" s="3">
        <v>19300</v>
      </c>
      <c r="L841" s="3">
        <v>1560</v>
      </c>
      <c r="M841" s="4">
        <v>0.04</v>
      </c>
      <c r="N841" s="3">
        <v>18140</v>
      </c>
      <c r="O841" s="4">
        <v>0.46500000000000002</v>
      </c>
      <c r="P841" s="1" t="s">
        <v>2721</v>
      </c>
    </row>
    <row r="842" spans="1:16">
      <c r="A842" s="1" t="s">
        <v>624</v>
      </c>
      <c r="B842" s="1">
        <v>12</v>
      </c>
      <c r="C842" s="1">
        <v>2025120118370580</v>
      </c>
      <c r="D842" s="1" t="s">
        <v>2629</v>
      </c>
      <c r="E842" s="2">
        <v>45993</v>
      </c>
      <c r="F842" s="1" t="s">
        <v>604</v>
      </c>
      <c r="G842" s="1" t="s">
        <v>2630</v>
      </c>
      <c r="H842" s="1" t="s">
        <v>2631</v>
      </c>
      <c r="I842" s="1">
        <v>5</v>
      </c>
      <c r="J842" s="3">
        <v>68922</v>
      </c>
      <c r="K842" s="3">
        <v>52000</v>
      </c>
      <c r="L842" s="3">
        <v>8960</v>
      </c>
      <c r="M842" s="4">
        <v>0.13</v>
      </c>
      <c r="N842" s="3">
        <v>7962</v>
      </c>
      <c r="O842" s="4">
        <v>0.11600000000000001</v>
      </c>
      <c r="P842" s="1" t="s">
        <v>2721</v>
      </c>
    </row>
    <row r="843" spans="1:16">
      <c r="A843" s="1" t="s">
        <v>624</v>
      </c>
      <c r="B843" s="1">
        <v>12</v>
      </c>
      <c r="C843" s="1">
        <v>2025120118369400</v>
      </c>
      <c r="D843" s="1" t="s">
        <v>610</v>
      </c>
      <c r="E843" s="2">
        <v>45993</v>
      </c>
      <c r="F843" s="1" t="s">
        <v>604</v>
      </c>
      <c r="G843" s="1" t="s">
        <v>611</v>
      </c>
      <c r="H843" s="1" t="s">
        <v>2632</v>
      </c>
      <c r="I843" s="1">
        <v>3</v>
      </c>
      <c r="J843" s="3">
        <v>34303</v>
      </c>
      <c r="K843" s="3">
        <v>23950</v>
      </c>
      <c r="L843" s="3">
        <v>4459</v>
      </c>
      <c r="M843" s="4">
        <v>0.13</v>
      </c>
      <c r="N843" s="3">
        <v>5894</v>
      </c>
      <c r="O843" s="4">
        <v>0.17199999999999999</v>
      </c>
      <c r="P843" s="1" t="s">
        <v>2721</v>
      </c>
    </row>
    <row r="844" spans="1:16">
      <c r="A844" s="1" t="s">
        <v>624</v>
      </c>
      <c r="B844" s="1">
        <v>12</v>
      </c>
      <c r="C844" s="1">
        <v>2025120118627700</v>
      </c>
      <c r="D844" s="1" t="s">
        <v>2629</v>
      </c>
      <c r="E844" s="2">
        <v>45993</v>
      </c>
      <c r="F844" s="1" t="s">
        <v>604</v>
      </c>
      <c r="G844" s="1" t="s">
        <v>2630</v>
      </c>
      <c r="H844" s="1" t="s">
        <v>2633</v>
      </c>
      <c r="I844" s="1">
        <v>3</v>
      </c>
      <c r="J844" s="3">
        <v>45998</v>
      </c>
      <c r="K844" s="3">
        <v>32200</v>
      </c>
      <c r="L844" s="3">
        <v>5980</v>
      </c>
      <c r="M844" s="4">
        <v>0.13</v>
      </c>
      <c r="N844" s="3">
        <v>7818</v>
      </c>
      <c r="O844" s="4">
        <v>0.17</v>
      </c>
      <c r="P844" s="1" t="s">
        <v>2721</v>
      </c>
    </row>
    <row r="845" spans="1:16">
      <c r="A845" s="1" t="s">
        <v>630</v>
      </c>
      <c r="B845" s="1">
        <v>12</v>
      </c>
      <c r="C845" s="1">
        <v>1117694919877870</v>
      </c>
      <c r="D845" s="1" t="s">
        <v>627</v>
      </c>
      <c r="E845" s="2">
        <v>45993</v>
      </c>
      <c r="F845" s="1" t="s">
        <v>604</v>
      </c>
      <c r="G845" s="1" t="s">
        <v>628</v>
      </c>
      <c r="H845" s="1" t="s">
        <v>1848</v>
      </c>
      <c r="I845" s="1">
        <v>1</v>
      </c>
      <c r="J845" s="3">
        <v>6750</v>
      </c>
      <c r="K845" s="3">
        <v>4300</v>
      </c>
      <c r="L845" s="3">
        <v>446</v>
      </c>
      <c r="M845" s="4">
        <v>6.6000000000000003E-2</v>
      </c>
      <c r="N845" s="3">
        <v>2005</v>
      </c>
      <c r="O845" s="4">
        <v>0.29699999999999999</v>
      </c>
      <c r="P845" s="1" t="s">
        <v>2721</v>
      </c>
    </row>
    <row r="846" spans="1:16">
      <c r="A846" s="1" t="s">
        <v>739</v>
      </c>
      <c r="B846" s="1">
        <v>12</v>
      </c>
      <c r="C846" s="1">
        <v>31547134</v>
      </c>
      <c r="D846" s="1" t="s">
        <v>1853</v>
      </c>
      <c r="E846" s="2">
        <v>45993</v>
      </c>
      <c r="F846" s="1" t="s">
        <v>604</v>
      </c>
      <c r="G846" s="1" t="s">
        <v>1854</v>
      </c>
      <c r="H846" s="1" t="s">
        <v>1855</v>
      </c>
      <c r="I846" s="1">
        <v>1</v>
      </c>
      <c r="J846" s="3">
        <v>8900</v>
      </c>
      <c r="K846" s="3">
        <v>5026</v>
      </c>
      <c r="L846" s="3">
        <v>1175</v>
      </c>
      <c r="M846" s="4">
        <v>0.13200000000000001</v>
      </c>
      <c r="N846" s="3">
        <v>2699</v>
      </c>
      <c r="O846" s="4">
        <v>0.30299999999999999</v>
      </c>
      <c r="P846" s="1" t="s">
        <v>2721</v>
      </c>
    </row>
    <row r="847" spans="1:16">
      <c r="A847" s="1" t="s">
        <v>739</v>
      </c>
      <c r="B847" s="1">
        <v>12</v>
      </c>
      <c r="C847" s="1">
        <v>31547893</v>
      </c>
      <c r="D847" s="1" t="s">
        <v>1853</v>
      </c>
      <c r="E847" s="2">
        <v>45993</v>
      </c>
      <c r="F847" s="1" t="s">
        <v>604</v>
      </c>
      <c r="G847" s="1" t="s">
        <v>1854</v>
      </c>
      <c r="H847" s="1" t="s">
        <v>1855</v>
      </c>
      <c r="I847" s="1">
        <v>2</v>
      </c>
      <c r="J847" s="3">
        <v>17800</v>
      </c>
      <c r="K847" s="3">
        <v>7552</v>
      </c>
      <c r="L847" s="3">
        <v>2350</v>
      </c>
      <c r="M847" s="4">
        <v>0.13200000000000001</v>
      </c>
      <c r="N847" s="3">
        <v>7898</v>
      </c>
      <c r="O847" s="4">
        <v>0.44400000000000001</v>
      </c>
      <c r="P847" s="1" t="s">
        <v>2721</v>
      </c>
    </row>
    <row r="848" spans="1:16">
      <c r="A848" s="1" t="s">
        <v>312</v>
      </c>
      <c r="B848" s="1">
        <v>12</v>
      </c>
      <c r="C848" s="1" t="s">
        <v>2634</v>
      </c>
      <c r="D848" s="1" t="s">
        <v>645</v>
      </c>
      <c r="E848" s="2">
        <v>45993</v>
      </c>
      <c r="F848" s="1" t="s">
        <v>646</v>
      </c>
      <c r="G848" s="1" t="s">
        <v>647</v>
      </c>
      <c r="H848" s="1" t="s">
        <v>648</v>
      </c>
      <c r="I848" s="1">
        <v>1</v>
      </c>
      <c r="J848" s="3">
        <v>118680</v>
      </c>
      <c r="K848" s="3">
        <v>111153</v>
      </c>
      <c r="L848" s="1">
        <v>0</v>
      </c>
      <c r="M848" s="4">
        <v>0</v>
      </c>
      <c r="N848" s="3">
        <v>7527</v>
      </c>
      <c r="O848" s="4">
        <v>6.3E-2</v>
      </c>
      <c r="P848" s="1" t="s">
        <v>2721</v>
      </c>
    </row>
    <row r="849" spans="1:16">
      <c r="A849" s="1" t="s">
        <v>649</v>
      </c>
      <c r="B849" s="1">
        <v>12</v>
      </c>
      <c r="C849" s="1">
        <v>25120200590494</v>
      </c>
      <c r="D849" s="1" t="s">
        <v>2635</v>
      </c>
      <c r="E849" s="2">
        <v>45993</v>
      </c>
      <c r="F849" s="1" t="s">
        <v>2636</v>
      </c>
      <c r="G849" s="1" t="s">
        <v>2637</v>
      </c>
      <c r="H849" s="1" t="s">
        <v>2638</v>
      </c>
      <c r="I849" s="1">
        <v>1</v>
      </c>
      <c r="J849" s="3">
        <v>10472</v>
      </c>
      <c r="K849" s="3">
        <v>8911</v>
      </c>
      <c r="L849" s="1">
        <v>0</v>
      </c>
      <c r="M849" s="4">
        <v>0</v>
      </c>
      <c r="N849" s="3">
        <v>1561</v>
      </c>
      <c r="O849" s="4">
        <v>0.14899999999999999</v>
      </c>
      <c r="P849" s="1" t="s">
        <v>2721</v>
      </c>
    </row>
    <row r="850" spans="1:16">
      <c r="A850" s="1" t="s">
        <v>649</v>
      </c>
      <c r="B850" s="1">
        <v>12</v>
      </c>
      <c r="C850" s="1">
        <v>25120120290128</v>
      </c>
      <c r="D850" s="1" t="s">
        <v>2639</v>
      </c>
      <c r="E850" s="2">
        <v>45993</v>
      </c>
      <c r="F850" s="1" t="s">
        <v>48</v>
      </c>
      <c r="G850" s="1" t="s">
        <v>2640</v>
      </c>
      <c r="H850" s="1" t="s">
        <v>2641</v>
      </c>
      <c r="I850" s="1">
        <v>1</v>
      </c>
      <c r="J850" s="3">
        <v>10472</v>
      </c>
      <c r="K850" s="3">
        <v>8888</v>
      </c>
      <c r="L850" s="1">
        <v>0</v>
      </c>
      <c r="M850" s="4">
        <v>0</v>
      </c>
      <c r="N850" s="3">
        <v>1584</v>
      </c>
      <c r="O850" s="4">
        <v>0.151</v>
      </c>
      <c r="P850" s="1" t="s">
        <v>2721</v>
      </c>
    </row>
    <row r="851" spans="1:16">
      <c r="A851" s="1" t="s">
        <v>649</v>
      </c>
      <c r="B851" s="1">
        <v>12</v>
      </c>
      <c r="C851" s="1">
        <v>25120116471472</v>
      </c>
      <c r="D851" s="1" t="s">
        <v>1913</v>
      </c>
      <c r="E851" s="2">
        <v>45993</v>
      </c>
      <c r="F851" s="1" t="s">
        <v>660</v>
      </c>
      <c r="G851" s="1" t="s">
        <v>1914</v>
      </c>
      <c r="H851" s="1" t="s">
        <v>1915</v>
      </c>
      <c r="I851" s="1">
        <v>1</v>
      </c>
      <c r="J851" s="3">
        <v>23035</v>
      </c>
      <c r="K851" s="3">
        <v>21574</v>
      </c>
      <c r="L851" s="3">
        <v>0</v>
      </c>
      <c r="M851" s="4">
        <v>0</v>
      </c>
      <c r="N851" s="3">
        <v>1461</v>
      </c>
      <c r="O851" s="4">
        <v>6.3E-2</v>
      </c>
      <c r="P851" s="1" t="s">
        <v>2721</v>
      </c>
    </row>
    <row r="852" spans="1:16">
      <c r="A852" s="1" t="s">
        <v>624</v>
      </c>
      <c r="B852" s="1">
        <v>12</v>
      </c>
      <c r="C852" s="1">
        <v>2025120118459230</v>
      </c>
      <c r="D852" s="1" t="s">
        <v>2642</v>
      </c>
      <c r="E852" s="2">
        <v>45993</v>
      </c>
      <c r="F852" s="1" t="s">
        <v>483</v>
      </c>
      <c r="G852" s="1" t="s">
        <v>2643</v>
      </c>
      <c r="H852" s="1" t="s">
        <v>2644</v>
      </c>
      <c r="I852" s="1">
        <v>2</v>
      </c>
      <c r="J852" s="3">
        <v>77376</v>
      </c>
      <c r="K852" s="3">
        <v>52340</v>
      </c>
      <c r="L852" s="3">
        <v>10059</v>
      </c>
      <c r="M852" s="4">
        <v>0.13</v>
      </c>
      <c r="N852" s="3">
        <v>14977</v>
      </c>
      <c r="O852" s="4">
        <v>0.19400000000000001</v>
      </c>
      <c r="P852" s="1" t="s">
        <v>2721</v>
      </c>
    </row>
    <row r="853" spans="1:16">
      <c r="A853" s="1" t="s">
        <v>632</v>
      </c>
      <c r="B853" s="1">
        <v>12</v>
      </c>
      <c r="C853" s="1">
        <v>165470339</v>
      </c>
      <c r="D853" s="1" t="s">
        <v>715</v>
      </c>
      <c r="E853" s="2">
        <v>45993</v>
      </c>
      <c r="F853" s="1" t="s">
        <v>500</v>
      </c>
      <c r="G853" s="1" t="s">
        <v>716</v>
      </c>
      <c r="I853" s="1">
        <v>1</v>
      </c>
      <c r="J853" s="3">
        <v>138900</v>
      </c>
      <c r="K853" s="3">
        <v>111200</v>
      </c>
      <c r="L853" s="3">
        <v>14723</v>
      </c>
      <c r="M853" s="4">
        <v>0.106</v>
      </c>
      <c r="N853" s="3">
        <v>12977</v>
      </c>
      <c r="O853" s="4">
        <v>9.2999999999999999E-2</v>
      </c>
      <c r="P853" s="1" t="s">
        <v>2721</v>
      </c>
    </row>
    <row r="854" spans="1:16">
      <c r="A854" s="1" t="s">
        <v>686</v>
      </c>
      <c r="B854" s="1">
        <v>12</v>
      </c>
      <c r="C854" s="1" t="s">
        <v>2645</v>
      </c>
      <c r="D854" s="1" t="s">
        <v>1941</v>
      </c>
      <c r="E854" s="2">
        <v>45993</v>
      </c>
      <c r="F854" s="1" t="s">
        <v>235</v>
      </c>
      <c r="G854" s="1" t="s">
        <v>1942</v>
      </c>
      <c r="H854" s="1" t="s">
        <v>2646</v>
      </c>
      <c r="I854" s="1">
        <v>1</v>
      </c>
      <c r="J854" s="3">
        <v>30500</v>
      </c>
      <c r="K854" s="3">
        <v>21340</v>
      </c>
      <c r="L854" s="3">
        <v>1190</v>
      </c>
      <c r="M854" s="4">
        <v>3.9E-2</v>
      </c>
      <c r="N854" s="3">
        <v>7971</v>
      </c>
      <c r="O854" s="4">
        <v>0.26100000000000001</v>
      </c>
      <c r="P854" s="1" t="s">
        <v>2721</v>
      </c>
    </row>
    <row r="855" spans="1:16">
      <c r="A855" s="1" t="s">
        <v>1849</v>
      </c>
      <c r="B855" s="1">
        <v>12</v>
      </c>
      <c r="C855" s="1">
        <v>360314</v>
      </c>
      <c r="D855" s="1" t="s">
        <v>1987</v>
      </c>
      <c r="E855" s="2">
        <v>45993</v>
      </c>
      <c r="F855" s="1" t="s">
        <v>23</v>
      </c>
      <c r="G855" s="1" t="s">
        <v>1988</v>
      </c>
      <c r="H855" s="1" t="s">
        <v>1989</v>
      </c>
      <c r="I855" s="1">
        <v>1</v>
      </c>
      <c r="J855" s="3">
        <v>21800</v>
      </c>
      <c r="K855" s="3">
        <v>15008</v>
      </c>
      <c r="L855" s="3">
        <v>3270</v>
      </c>
      <c r="M855" s="4">
        <v>0.15</v>
      </c>
      <c r="N855" s="3">
        <v>3522</v>
      </c>
      <c r="O855" s="4">
        <v>0.16200000000000001</v>
      </c>
      <c r="P855" s="1" t="s">
        <v>2721</v>
      </c>
    </row>
    <row r="856" spans="1:16">
      <c r="A856" s="1" t="s">
        <v>692</v>
      </c>
      <c r="B856" s="1">
        <v>12</v>
      </c>
      <c r="C856" s="1" t="s">
        <v>2647</v>
      </c>
      <c r="D856" s="1" t="s">
        <v>2048</v>
      </c>
      <c r="E856" s="2">
        <v>45993</v>
      </c>
      <c r="F856" s="1" t="s">
        <v>96</v>
      </c>
      <c r="G856" s="1" t="s">
        <v>2049</v>
      </c>
      <c r="H856" s="1" t="s">
        <v>1321</v>
      </c>
      <c r="I856" s="1">
        <v>1</v>
      </c>
      <c r="J856" s="3">
        <v>8925</v>
      </c>
      <c r="K856" s="3">
        <v>8112</v>
      </c>
      <c r="L856" s="1">
        <v>0</v>
      </c>
      <c r="M856" s="4">
        <v>0</v>
      </c>
      <c r="N856" s="1">
        <v>813</v>
      </c>
      <c r="O856" s="4">
        <v>9.0999999999999998E-2</v>
      </c>
      <c r="P856" s="1" t="s">
        <v>2721</v>
      </c>
    </row>
    <row r="857" spans="1:16">
      <c r="A857" s="1" t="s">
        <v>2033</v>
      </c>
      <c r="B857" s="1">
        <v>12</v>
      </c>
      <c r="C857" s="1">
        <v>2.0251201212753101E+18</v>
      </c>
      <c r="D857" s="1" t="s">
        <v>2648</v>
      </c>
      <c r="E857" s="2">
        <v>45993</v>
      </c>
      <c r="F857" s="1" t="s">
        <v>1255</v>
      </c>
      <c r="G857" s="1" t="s">
        <v>2649</v>
      </c>
      <c r="H857" s="1" t="s">
        <v>2650</v>
      </c>
      <c r="I857" s="1">
        <v>1</v>
      </c>
      <c r="J857" s="3">
        <v>24650</v>
      </c>
      <c r="K857" s="3">
        <v>23825</v>
      </c>
      <c r="L857" s="1">
        <v>0</v>
      </c>
      <c r="M857" s="4">
        <v>0</v>
      </c>
      <c r="N857" s="3">
        <v>825</v>
      </c>
      <c r="O857" s="4">
        <v>3.3000000000000002E-2</v>
      </c>
      <c r="P857" s="1" t="s">
        <v>2721</v>
      </c>
    </row>
    <row r="858" spans="1:16">
      <c r="A858" s="1" t="s">
        <v>702</v>
      </c>
      <c r="B858" s="1">
        <v>12</v>
      </c>
      <c r="C858" s="1" t="s">
        <v>2651</v>
      </c>
      <c r="D858" s="1" t="s">
        <v>2652</v>
      </c>
      <c r="E858" s="2">
        <v>45993</v>
      </c>
      <c r="F858" s="1" t="s">
        <v>554</v>
      </c>
      <c r="G858" s="1" t="s">
        <v>2653</v>
      </c>
      <c r="H858" s="1" t="s">
        <v>2654</v>
      </c>
      <c r="I858" s="1">
        <v>1</v>
      </c>
      <c r="J858" s="3">
        <v>39300</v>
      </c>
      <c r="K858" s="3">
        <v>30204</v>
      </c>
      <c r="L858" s="1">
        <v>0</v>
      </c>
      <c r="M858" s="4">
        <v>0</v>
      </c>
      <c r="N858" s="3">
        <v>9096</v>
      </c>
      <c r="O858" s="4">
        <v>0.23100000000000001</v>
      </c>
      <c r="P858" s="1" t="s">
        <v>2721</v>
      </c>
    </row>
    <row r="859" spans="1:16">
      <c r="A859" s="1" t="s">
        <v>702</v>
      </c>
      <c r="B859" s="1">
        <v>12</v>
      </c>
      <c r="C859" s="1" t="s">
        <v>2655</v>
      </c>
      <c r="D859" s="1" t="s">
        <v>2652</v>
      </c>
      <c r="E859" s="2">
        <v>45993</v>
      </c>
      <c r="F859" s="1" t="s">
        <v>554</v>
      </c>
      <c r="G859" s="1" t="s">
        <v>2653</v>
      </c>
      <c r="H859" s="1" t="s">
        <v>2654</v>
      </c>
      <c r="I859" s="1">
        <v>1</v>
      </c>
      <c r="J859" s="3">
        <v>39300</v>
      </c>
      <c r="K859" s="3">
        <v>30204</v>
      </c>
      <c r="L859" s="1">
        <v>0</v>
      </c>
      <c r="M859" s="4">
        <v>0</v>
      </c>
      <c r="N859" s="3">
        <v>9096</v>
      </c>
      <c r="O859" s="4">
        <v>0.23100000000000001</v>
      </c>
      <c r="P859" s="1" t="s">
        <v>2721</v>
      </c>
    </row>
    <row r="860" spans="1:16">
      <c r="A860" s="1" t="s">
        <v>702</v>
      </c>
      <c r="B860" s="1">
        <v>12</v>
      </c>
      <c r="C860" s="1" t="s">
        <v>2656</v>
      </c>
      <c r="D860" s="1" t="s">
        <v>2652</v>
      </c>
      <c r="E860" s="2">
        <v>45993</v>
      </c>
      <c r="F860" s="1" t="s">
        <v>554</v>
      </c>
      <c r="G860" s="1" t="s">
        <v>2653</v>
      </c>
      <c r="H860" s="1" t="s">
        <v>2654</v>
      </c>
      <c r="I860" s="1">
        <v>1</v>
      </c>
      <c r="J860" s="3">
        <v>39300</v>
      </c>
      <c r="K860" s="3">
        <v>30204</v>
      </c>
      <c r="L860" s="3">
        <v>0</v>
      </c>
      <c r="M860" s="4">
        <v>0</v>
      </c>
      <c r="N860" s="3">
        <v>9096</v>
      </c>
      <c r="O860" s="4">
        <v>0.23100000000000001</v>
      </c>
      <c r="P860" s="1" t="s">
        <v>2721</v>
      </c>
    </row>
    <row r="861" spans="1:16">
      <c r="A861" s="1" t="s">
        <v>707</v>
      </c>
      <c r="B861" s="1">
        <v>12</v>
      </c>
      <c r="C861" s="1">
        <v>2.02512011140216E+17</v>
      </c>
      <c r="D861" s="1" t="s">
        <v>1941</v>
      </c>
      <c r="E861" s="2">
        <v>45993</v>
      </c>
      <c r="F861" s="1" t="s">
        <v>235</v>
      </c>
      <c r="G861" s="1" t="s">
        <v>1942</v>
      </c>
      <c r="H861" s="1" t="s">
        <v>2075</v>
      </c>
      <c r="I861" s="1">
        <v>1</v>
      </c>
      <c r="J861" s="3">
        <v>28700</v>
      </c>
      <c r="K861" s="3">
        <v>21340</v>
      </c>
      <c r="L861" s="3">
        <v>4305</v>
      </c>
      <c r="M861" s="4">
        <v>0.15</v>
      </c>
      <c r="N861" s="3">
        <v>3055</v>
      </c>
      <c r="O861" s="4">
        <v>0.106</v>
      </c>
      <c r="P861" s="1" t="s">
        <v>2721</v>
      </c>
    </row>
    <row r="862" spans="1:16">
      <c r="A862" s="1" t="s">
        <v>707</v>
      </c>
      <c r="B862" s="1">
        <v>12</v>
      </c>
      <c r="C862" s="1">
        <v>2.0251201154150598E+17</v>
      </c>
      <c r="D862" s="1" t="s">
        <v>2657</v>
      </c>
      <c r="E862" s="2">
        <v>45993</v>
      </c>
      <c r="F862" s="1" t="s">
        <v>235</v>
      </c>
      <c r="G862" s="1" t="s">
        <v>2658</v>
      </c>
      <c r="H862" s="1" t="s">
        <v>2659</v>
      </c>
      <c r="I862" s="1">
        <v>1</v>
      </c>
      <c r="J862" s="3">
        <v>29000</v>
      </c>
      <c r="K862" s="3">
        <v>21668</v>
      </c>
      <c r="L862" s="3">
        <v>4350</v>
      </c>
      <c r="M862" s="4">
        <v>0.15</v>
      </c>
      <c r="N862" s="3">
        <v>2982</v>
      </c>
      <c r="O862" s="4">
        <v>0.10299999999999999</v>
      </c>
      <c r="P862" s="1" t="s">
        <v>2721</v>
      </c>
    </row>
    <row r="863" spans="1:16">
      <c r="A863" s="1" t="s">
        <v>707</v>
      </c>
      <c r="B863" s="1">
        <v>12</v>
      </c>
      <c r="C863" s="1">
        <v>2.0251201192805402E+17</v>
      </c>
      <c r="D863" s="1" t="s">
        <v>2660</v>
      </c>
      <c r="E863" s="2">
        <v>45993</v>
      </c>
      <c r="F863" s="1" t="s">
        <v>235</v>
      </c>
      <c r="G863" s="1" t="s">
        <v>2661</v>
      </c>
      <c r="H863" s="1" t="s">
        <v>2662</v>
      </c>
      <c r="I863" s="1">
        <v>1</v>
      </c>
      <c r="J863" s="3">
        <v>15000</v>
      </c>
      <c r="K863" s="3">
        <v>12126</v>
      </c>
      <c r="L863" s="3">
        <v>2250</v>
      </c>
      <c r="M863" s="4">
        <v>0.15</v>
      </c>
      <c r="N863" s="3">
        <v>624</v>
      </c>
      <c r="O863" s="4">
        <v>4.2000000000000003E-2</v>
      </c>
      <c r="P863" s="1" t="s">
        <v>2721</v>
      </c>
    </row>
    <row r="864" spans="1:16">
      <c r="A864" s="1" t="s">
        <v>707</v>
      </c>
      <c r="B864" s="1">
        <v>12</v>
      </c>
      <c r="C864" s="1">
        <v>2.0251202063312899E+17</v>
      </c>
      <c r="D864" s="1" t="s">
        <v>2663</v>
      </c>
      <c r="E864" s="2">
        <v>45993</v>
      </c>
      <c r="F864" s="1" t="s">
        <v>151</v>
      </c>
      <c r="G864" s="1" t="s">
        <v>2664</v>
      </c>
      <c r="H864" s="1" t="s">
        <v>2665</v>
      </c>
      <c r="I864" s="1">
        <v>6</v>
      </c>
      <c r="J864" s="3">
        <v>108000</v>
      </c>
      <c r="K864" s="3">
        <v>84420</v>
      </c>
      <c r="L864" s="3">
        <v>16200</v>
      </c>
      <c r="M864" s="4">
        <v>0.15</v>
      </c>
      <c r="N864" s="3">
        <v>7380</v>
      </c>
      <c r="O864" s="4">
        <v>6.8000000000000005E-2</v>
      </c>
      <c r="P864" s="1" t="s">
        <v>2721</v>
      </c>
    </row>
    <row r="865" spans="1:16">
      <c r="A865" s="1" t="s">
        <v>707</v>
      </c>
      <c r="B865" s="1">
        <v>12</v>
      </c>
      <c r="C865" s="1">
        <v>2.0251202083818202E+17</v>
      </c>
      <c r="D865" s="1" t="s">
        <v>2071</v>
      </c>
      <c r="E865" s="2">
        <v>45993</v>
      </c>
      <c r="F865" s="1" t="s">
        <v>235</v>
      </c>
      <c r="G865" s="1" t="s">
        <v>2072</v>
      </c>
      <c r="H865" s="1" t="s">
        <v>2073</v>
      </c>
      <c r="I865" s="1">
        <v>1</v>
      </c>
      <c r="J865" s="3">
        <v>9800</v>
      </c>
      <c r="K865" s="3">
        <v>7739</v>
      </c>
      <c r="L865" s="3">
        <v>1470</v>
      </c>
      <c r="M865" s="4">
        <v>0.15</v>
      </c>
      <c r="N865" s="1">
        <v>591</v>
      </c>
      <c r="O865" s="4">
        <v>0.06</v>
      </c>
      <c r="P865" s="1" t="s">
        <v>2721</v>
      </c>
    </row>
    <row r="866" spans="1:16">
      <c r="A866" s="1" t="s">
        <v>707</v>
      </c>
      <c r="B866" s="1">
        <v>12</v>
      </c>
      <c r="C866" s="1">
        <v>2.02512020838552E+17</v>
      </c>
      <c r="D866" s="1" t="s">
        <v>1862</v>
      </c>
      <c r="E866" s="2">
        <v>45993</v>
      </c>
      <c r="F866" s="1" t="s">
        <v>235</v>
      </c>
      <c r="G866" s="1" t="s">
        <v>1863</v>
      </c>
      <c r="H866" s="1" t="s">
        <v>2070</v>
      </c>
      <c r="I866" s="1">
        <v>1</v>
      </c>
      <c r="J866" s="3">
        <v>9800</v>
      </c>
      <c r="K866" s="3">
        <v>7739</v>
      </c>
      <c r="L866" s="3">
        <v>1470</v>
      </c>
      <c r="M866" s="4">
        <v>0.15</v>
      </c>
      <c r="N866" s="3">
        <v>591</v>
      </c>
      <c r="O866" s="4">
        <v>0.06</v>
      </c>
      <c r="P866" s="1" t="s">
        <v>2721</v>
      </c>
    </row>
    <row r="867" spans="1:16">
      <c r="A867" s="1" t="s">
        <v>2082</v>
      </c>
      <c r="B867" s="1">
        <v>12</v>
      </c>
      <c r="C867" s="1">
        <v>2.0251201145021402E+17</v>
      </c>
      <c r="D867" s="1" t="s">
        <v>2666</v>
      </c>
      <c r="E867" s="2">
        <v>45993</v>
      </c>
      <c r="F867" s="1" t="s">
        <v>1200</v>
      </c>
      <c r="G867" s="1" t="s">
        <v>2667</v>
      </c>
      <c r="H867" s="1" t="s">
        <v>2668</v>
      </c>
      <c r="I867" s="1">
        <v>1</v>
      </c>
      <c r="J867" s="3">
        <v>31900</v>
      </c>
      <c r="K867" s="3">
        <v>16978</v>
      </c>
      <c r="L867" s="3">
        <v>4785</v>
      </c>
      <c r="M867" s="4">
        <v>0.15</v>
      </c>
      <c r="N867" s="3">
        <v>10137</v>
      </c>
      <c r="O867" s="4">
        <v>0.318</v>
      </c>
      <c r="P867" s="1" t="s">
        <v>2721</v>
      </c>
    </row>
    <row r="868" spans="1:16">
      <c r="A868" s="1" t="s">
        <v>711</v>
      </c>
      <c r="B868" s="1">
        <v>12</v>
      </c>
      <c r="C868" s="1">
        <v>2.0251201160402701E+17</v>
      </c>
      <c r="D868" s="1" t="s">
        <v>682</v>
      </c>
      <c r="E868" s="2">
        <v>45993</v>
      </c>
      <c r="F868" s="1" t="s">
        <v>500</v>
      </c>
      <c r="G868" s="1" t="s">
        <v>683</v>
      </c>
      <c r="H868" s="1" t="s">
        <v>2669</v>
      </c>
      <c r="I868" s="1">
        <v>1</v>
      </c>
      <c r="J868" s="3">
        <v>132900</v>
      </c>
      <c r="K868" s="3">
        <v>107500</v>
      </c>
      <c r="L868" s="3">
        <v>19935</v>
      </c>
      <c r="M868" s="4">
        <v>0.15</v>
      </c>
      <c r="N868" s="3">
        <v>5465</v>
      </c>
      <c r="O868" s="4">
        <v>4.1000000000000002E-2</v>
      </c>
      <c r="P868" s="1" t="s">
        <v>2721</v>
      </c>
    </row>
    <row r="869" spans="1:16">
      <c r="A869" s="1" t="s">
        <v>718</v>
      </c>
      <c r="B869" s="1">
        <v>12</v>
      </c>
      <c r="C869" s="1">
        <v>2.0251201220919901E+17</v>
      </c>
      <c r="D869" s="1" t="s">
        <v>2670</v>
      </c>
      <c r="E869" s="2">
        <v>45993</v>
      </c>
      <c r="F869" s="1" t="s">
        <v>1772</v>
      </c>
      <c r="G869" s="1" t="s">
        <v>2671</v>
      </c>
      <c r="H869" s="1" t="s">
        <v>2672</v>
      </c>
      <c r="I869" s="1">
        <v>1</v>
      </c>
      <c r="J869" s="3">
        <v>32000</v>
      </c>
      <c r="K869" s="3">
        <v>22324</v>
      </c>
      <c r="L869" s="3">
        <v>3200</v>
      </c>
      <c r="M869" s="4">
        <v>0.1</v>
      </c>
      <c r="N869" s="3">
        <v>6476</v>
      </c>
      <c r="O869" s="4">
        <v>0.20200000000000001</v>
      </c>
      <c r="P869" s="1" t="s">
        <v>2721</v>
      </c>
    </row>
    <row r="870" spans="1:16">
      <c r="A870" s="1" t="s">
        <v>718</v>
      </c>
      <c r="B870" s="1">
        <v>12</v>
      </c>
      <c r="C870" s="1">
        <v>2.0251201220525901E+17</v>
      </c>
      <c r="D870" s="1" t="s">
        <v>2096</v>
      </c>
      <c r="E870" s="2">
        <v>45993</v>
      </c>
      <c r="F870" s="1" t="s">
        <v>1935</v>
      </c>
      <c r="G870" s="1" t="s">
        <v>2097</v>
      </c>
      <c r="H870" s="1" t="s">
        <v>2098</v>
      </c>
      <c r="I870" s="1">
        <v>1</v>
      </c>
      <c r="J870" s="3">
        <v>10000</v>
      </c>
      <c r="K870" s="3">
        <v>7504</v>
      </c>
      <c r="L870" s="3">
        <v>1000</v>
      </c>
      <c r="M870" s="4">
        <v>0.1</v>
      </c>
      <c r="N870" s="3">
        <v>1496</v>
      </c>
      <c r="O870" s="4">
        <v>0.15</v>
      </c>
      <c r="P870" s="1" t="s">
        <v>2721</v>
      </c>
    </row>
    <row r="871" spans="1:16">
      <c r="A871" s="1" t="s">
        <v>718</v>
      </c>
      <c r="B871" s="1">
        <v>12</v>
      </c>
      <c r="C871" s="1">
        <v>2.0251201204112301E+17</v>
      </c>
      <c r="D871" s="1" t="s">
        <v>2089</v>
      </c>
      <c r="E871" s="2">
        <v>45993</v>
      </c>
      <c r="F871" s="1" t="s">
        <v>1935</v>
      </c>
      <c r="G871" s="1" t="s">
        <v>2090</v>
      </c>
      <c r="H871" s="1" t="s">
        <v>2091</v>
      </c>
      <c r="I871" s="1">
        <v>1</v>
      </c>
      <c r="J871" s="3">
        <v>19900</v>
      </c>
      <c r="K871" s="3">
        <v>16884</v>
      </c>
      <c r="L871" s="3">
        <v>1990</v>
      </c>
      <c r="M871" s="4">
        <v>0.1</v>
      </c>
      <c r="N871" s="3">
        <v>1026</v>
      </c>
      <c r="O871" s="4">
        <v>5.1999999999999998E-2</v>
      </c>
      <c r="P871" s="1" t="s">
        <v>2721</v>
      </c>
    </row>
    <row r="872" spans="1:16">
      <c r="A872" s="1" t="s">
        <v>718</v>
      </c>
      <c r="B872" s="1">
        <v>12</v>
      </c>
      <c r="C872" s="1">
        <v>2.0251201201726701E+17</v>
      </c>
      <c r="D872" s="1" t="s">
        <v>2673</v>
      </c>
      <c r="E872" s="2">
        <v>45993</v>
      </c>
      <c r="F872" s="1" t="s">
        <v>239</v>
      </c>
      <c r="G872" s="1" t="s">
        <v>2674</v>
      </c>
      <c r="H872" s="1" t="s">
        <v>2675</v>
      </c>
      <c r="I872" s="1">
        <v>1</v>
      </c>
      <c r="J872" s="3">
        <v>16000</v>
      </c>
      <c r="K872" s="3">
        <v>10787</v>
      </c>
      <c r="L872" s="3">
        <v>1600</v>
      </c>
      <c r="M872" s="4">
        <v>0.1</v>
      </c>
      <c r="N872" s="3">
        <v>3613</v>
      </c>
      <c r="O872" s="4">
        <v>0.22600000000000001</v>
      </c>
      <c r="P872" s="1" t="s">
        <v>2721</v>
      </c>
    </row>
    <row r="873" spans="1:16">
      <c r="A873" s="1" t="s">
        <v>718</v>
      </c>
      <c r="B873" s="1">
        <v>12</v>
      </c>
      <c r="C873" s="1">
        <v>2.0251201194950202E+17</v>
      </c>
      <c r="D873" s="1" t="s">
        <v>2089</v>
      </c>
      <c r="E873" s="2">
        <v>45993</v>
      </c>
      <c r="F873" s="1" t="s">
        <v>1935</v>
      </c>
      <c r="G873" s="1" t="s">
        <v>2090</v>
      </c>
      <c r="H873" s="1" t="s">
        <v>2091</v>
      </c>
      <c r="I873" s="1">
        <v>1</v>
      </c>
      <c r="J873" s="3">
        <v>19900</v>
      </c>
      <c r="K873" s="3">
        <v>16884</v>
      </c>
      <c r="L873" s="3">
        <v>1990</v>
      </c>
      <c r="M873" s="4">
        <v>0.1</v>
      </c>
      <c r="N873" s="3">
        <v>1026</v>
      </c>
      <c r="O873" s="4">
        <v>5.1999999999999998E-2</v>
      </c>
      <c r="P873" s="1" t="s">
        <v>2721</v>
      </c>
    </row>
    <row r="874" spans="1:16">
      <c r="A874" s="1" t="s">
        <v>718</v>
      </c>
      <c r="B874" s="1">
        <v>12</v>
      </c>
      <c r="C874" s="1">
        <v>2.0251201194950202E+17</v>
      </c>
      <c r="D874" s="1" t="s">
        <v>2096</v>
      </c>
      <c r="E874" s="2">
        <v>45993</v>
      </c>
      <c r="F874" s="1" t="s">
        <v>1935</v>
      </c>
      <c r="G874" s="1" t="s">
        <v>2097</v>
      </c>
      <c r="H874" s="1" t="s">
        <v>2098</v>
      </c>
      <c r="I874" s="1">
        <v>1</v>
      </c>
      <c r="J874" s="3">
        <v>10000</v>
      </c>
      <c r="K874" s="3">
        <v>7504</v>
      </c>
      <c r="L874" s="3">
        <v>1000</v>
      </c>
      <c r="M874" s="4">
        <v>0.1</v>
      </c>
      <c r="N874" s="3">
        <v>1496</v>
      </c>
      <c r="O874" s="4">
        <v>0.15</v>
      </c>
      <c r="P874" s="1" t="s">
        <v>2721</v>
      </c>
    </row>
    <row r="875" spans="1:16">
      <c r="A875" s="1" t="s">
        <v>718</v>
      </c>
      <c r="B875" s="1">
        <v>12</v>
      </c>
      <c r="C875" s="1">
        <v>2.0251201164854301E+17</v>
      </c>
      <c r="D875" s="1" t="s">
        <v>2673</v>
      </c>
      <c r="E875" s="2">
        <v>45993</v>
      </c>
      <c r="F875" s="1" t="s">
        <v>239</v>
      </c>
      <c r="G875" s="1" t="s">
        <v>2674</v>
      </c>
      <c r="H875" s="1" t="s">
        <v>2675</v>
      </c>
      <c r="I875" s="1">
        <v>1</v>
      </c>
      <c r="J875" s="3">
        <v>13900</v>
      </c>
      <c r="K875" s="3">
        <v>10787</v>
      </c>
      <c r="L875" s="3">
        <v>1390</v>
      </c>
      <c r="M875" s="4">
        <v>0.1</v>
      </c>
      <c r="N875" s="3">
        <v>1723</v>
      </c>
      <c r="O875" s="4">
        <v>0.124</v>
      </c>
      <c r="P875" s="1" t="s">
        <v>2721</v>
      </c>
    </row>
    <row r="876" spans="1:16">
      <c r="A876" s="1" t="s">
        <v>718</v>
      </c>
      <c r="B876" s="1">
        <v>12</v>
      </c>
      <c r="C876" s="1">
        <v>2.0251201164854301E+17</v>
      </c>
      <c r="D876" s="1" t="s">
        <v>719</v>
      </c>
      <c r="E876" s="2">
        <v>45993</v>
      </c>
      <c r="F876" s="1" t="s">
        <v>239</v>
      </c>
      <c r="G876" s="1" t="s">
        <v>720</v>
      </c>
      <c r="H876" s="1" t="s">
        <v>721</v>
      </c>
      <c r="I876" s="1">
        <v>1</v>
      </c>
      <c r="J876" s="3">
        <v>13900</v>
      </c>
      <c r="K876" s="3">
        <v>10787</v>
      </c>
      <c r="L876" s="3">
        <v>1390</v>
      </c>
      <c r="M876" s="4">
        <v>0.1</v>
      </c>
      <c r="N876" s="3">
        <v>1723</v>
      </c>
      <c r="O876" s="4">
        <v>0.124</v>
      </c>
      <c r="P876" s="1" t="s">
        <v>2721</v>
      </c>
    </row>
    <row r="877" spans="1:16">
      <c r="A877" s="1" t="s">
        <v>722</v>
      </c>
      <c r="B877" s="1">
        <v>12</v>
      </c>
      <c r="C877" s="1" t="s">
        <v>2676</v>
      </c>
      <c r="D877" s="1" t="s">
        <v>2677</v>
      </c>
      <c r="E877" s="2">
        <v>45993</v>
      </c>
      <c r="F877" s="1" t="s">
        <v>2678</v>
      </c>
      <c r="G877" s="1" t="s">
        <v>2679</v>
      </c>
      <c r="H877" s="1" t="s">
        <v>2680</v>
      </c>
      <c r="I877" s="1">
        <v>1</v>
      </c>
      <c r="J877" s="3">
        <v>392925</v>
      </c>
      <c r="K877" s="3">
        <v>320000</v>
      </c>
      <c r="L877" s="1">
        <v>0</v>
      </c>
      <c r="M877" s="4">
        <v>0</v>
      </c>
      <c r="N877" s="3">
        <v>72925</v>
      </c>
      <c r="O877" s="4">
        <v>0.186</v>
      </c>
      <c r="P877" s="1" t="s">
        <v>2721</v>
      </c>
    </row>
    <row r="878" spans="1:16">
      <c r="A878" s="1" t="s">
        <v>722</v>
      </c>
      <c r="B878" s="1">
        <v>12</v>
      </c>
      <c r="C878" s="1" t="s">
        <v>2681</v>
      </c>
      <c r="D878" s="1" t="s">
        <v>2682</v>
      </c>
      <c r="E878" s="2">
        <v>45993</v>
      </c>
      <c r="F878" s="1" t="s">
        <v>2683</v>
      </c>
      <c r="G878" s="1" t="s">
        <v>2684</v>
      </c>
      <c r="H878" s="1" t="s">
        <v>2685</v>
      </c>
      <c r="I878" s="1">
        <v>1</v>
      </c>
      <c r="J878" s="3">
        <v>20625</v>
      </c>
      <c r="K878" s="3">
        <v>18666</v>
      </c>
      <c r="L878" s="1">
        <v>0</v>
      </c>
      <c r="M878" s="4">
        <v>0</v>
      </c>
      <c r="N878" s="3">
        <v>1959</v>
      </c>
      <c r="O878" s="4">
        <v>9.5000000000000001E-2</v>
      </c>
      <c r="P878" s="1" t="s">
        <v>2721</v>
      </c>
    </row>
    <row r="879" spans="1:16">
      <c r="A879" s="1" t="s">
        <v>722</v>
      </c>
      <c r="B879" s="1">
        <v>12</v>
      </c>
      <c r="C879" s="1" t="s">
        <v>2686</v>
      </c>
      <c r="D879" s="1" t="s">
        <v>2687</v>
      </c>
      <c r="E879" s="2">
        <v>45993</v>
      </c>
      <c r="F879" s="1" t="s">
        <v>347</v>
      </c>
      <c r="G879" s="1" t="s">
        <v>2688</v>
      </c>
      <c r="H879" s="1" t="s">
        <v>2689</v>
      </c>
      <c r="I879" s="1">
        <v>1</v>
      </c>
      <c r="J879" s="3">
        <v>19600</v>
      </c>
      <c r="K879" s="3">
        <v>18122</v>
      </c>
      <c r="L879" s="1">
        <v>0</v>
      </c>
      <c r="M879" s="4">
        <v>0</v>
      </c>
      <c r="N879" s="3">
        <v>1478</v>
      </c>
      <c r="O879" s="4">
        <v>7.4999999999999997E-2</v>
      </c>
      <c r="P879" s="1" t="s">
        <v>2721</v>
      </c>
    </row>
    <row r="880" spans="1:16">
      <c r="A880" s="1" t="s">
        <v>722</v>
      </c>
      <c r="B880" s="1">
        <v>12</v>
      </c>
      <c r="C880" s="1" t="s">
        <v>2690</v>
      </c>
      <c r="D880" s="1" t="s">
        <v>728</v>
      </c>
      <c r="E880" s="2">
        <v>45993</v>
      </c>
      <c r="F880" s="1" t="s">
        <v>534</v>
      </c>
      <c r="G880" s="1" t="s">
        <v>729</v>
      </c>
      <c r="H880" s="1" t="s">
        <v>730</v>
      </c>
      <c r="I880" s="1">
        <v>1</v>
      </c>
      <c r="J880" s="3">
        <v>32925</v>
      </c>
      <c r="K880" s="3">
        <v>31500</v>
      </c>
      <c r="L880" s="3">
        <v>0</v>
      </c>
      <c r="M880" s="4">
        <v>0</v>
      </c>
      <c r="N880" s="3">
        <v>1425</v>
      </c>
      <c r="O880" s="4">
        <v>4.2999999999999997E-2</v>
      </c>
      <c r="P880" s="1" t="s">
        <v>2721</v>
      </c>
    </row>
    <row r="881" spans="1:16">
      <c r="A881" s="1" t="s">
        <v>739</v>
      </c>
      <c r="B881" s="1">
        <v>12</v>
      </c>
      <c r="C881" s="1">
        <v>31546775</v>
      </c>
      <c r="D881" s="1" t="s">
        <v>2129</v>
      </c>
      <c r="E881" s="2">
        <v>45993</v>
      </c>
      <c r="F881" s="1" t="s">
        <v>63</v>
      </c>
      <c r="G881" s="1" t="s">
        <v>1655</v>
      </c>
      <c r="H881" s="1" t="s">
        <v>1655</v>
      </c>
      <c r="I881" s="1">
        <v>3</v>
      </c>
      <c r="J881" s="3">
        <v>21600</v>
      </c>
      <c r="K881" s="3">
        <v>18339</v>
      </c>
      <c r="L881" s="3">
        <v>2851</v>
      </c>
      <c r="M881" s="4">
        <v>0.13200000000000001</v>
      </c>
      <c r="N881" s="1">
        <v>410</v>
      </c>
      <c r="O881" s="4">
        <v>1.9E-2</v>
      </c>
      <c r="P881" s="1" t="s">
        <v>2721</v>
      </c>
    </row>
    <row r="882" spans="1:16">
      <c r="A882" s="1" t="s">
        <v>739</v>
      </c>
      <c r="B882" s="1">
        <v>12</v>
      </c>
      <c r="C882" s="1">
        <v>31547091</v>
      </c>
      <c r="D882" s="1" t="s">
        <v>773</v>
      </c>
      <c r="E882" s="2">
        <v>45993</v>
      </c>
      <c r="F882" s="1" t="s">
        <v>48</v>
      </c>
      <c r="G882" s="1" t="s">
        <v>774</v>
      </c>
      <c r="H882" s="1" t="s">
        <v>2577</v>
      </c>
      <c r="I882" s="1">
        <v>1</v>
      </c>
      <c r="J882" s="3">
        <v>11100</v>
      </c>
      <c r="K882" s="3">
        <v>8802</v>
      </c>
      <c r="L882" s="3">
        <v>1465</v>
      </c>
      <c r="M882" s="4">
        <v>0.13200000000000001</v>
      </c>
      <c r="N882" s="3">
        <v>833</v>
      </c>
      <c r="O882" s="4">
        <v>7.4999999999999997E-2</v>
      </c>
      <c r="P882" s="1" t="s">
        <v>2721</v>
      </c>
    </row>
    <row r="883" spans="1:16">
      <c r="A883" s="1" t="s">
        <v>739</v>
      </c>
      <c r="B883" s="1">
        <v>12</v>
      </c>
      <c r="C883" s="1">
        <v>31548451</v>
      </c>
      <c r="D883" s="1" t="s">
        <v>2691</v>
      </c>
      <c r="E883" s="2">
        <v>45993</v>
      </c>
      <c r="F883" s="1" t="s">
        <v>400</v>
      </c>
      <c r="G883" s="1" t="s">
        <v>2692</v>
      </c>
      <c r="H883" s="1" t="s">
        <v>2693</v>
      </c>
      <c r="I883" s="1">
        <v>1</v>
      </c>
      <c r="J883" s="3">
        <v>35100</v>
      </c>
      <c r="K883" s="3">
        <v>28656</v>
      </c>
      <c r="L883" s="3">
        <v>4633</v>
      </c>
      <c r="M883" s="4">
        <v>0.13200000000000001</v>
      </c>
      <c r="N883" s="3">
        <v>1811</v>
      </c>
      <c r="O883" s="4">
        <v>5.1999999999999998E-2</v>
      </c>
      <c r="P883" s="1" t="s">
        <v>2721</v>
      </c>
    </row>
    <row r="884" spans="1:16">
      <c r="A884" s="1" t="s">
        <v>756</v>
      </c>
      <c r="B884" s="1">
        <v>12</v>
      </c>
      <c r="C884" s="1" t="s">
        <v>2694</v>
      </c>
      <c r="D884" s="1" t="s">
        <v>2151</v>
      </c>
      <c r="E884" s="2">
        <v>45993</v>
      </c>
      <c r="F884" s="1" t="s">
        <v>53</v>
      </c>
      <c r="G884" s="1" t="s">
        <v>2152</v>
      </c>
      <c r="H884" s="1" t="s">
        <v>2153</v>
      </c>
      <c r="I884" s="1">
        <v>1</v>
      </c>
      <c r="J884" s="3">
        <v>18390</v>
      </c>
      <c r="K884" s="3">
        <v>16256</v>
      </c>
      <c r="L884" s="1">
        <v>0</v>
      </c>
      <c r="M884" s="4">
        <v>0</v>
      </c>
      <c r="N884" s="3">
        <v>2134</v>
      </c>
      <c r="O884" s="4">
        <v>0.11600000000000001</v>
      </c>
      <c r="P884" s="1" t="s">
        <v>2723</v>
      </c>
    </row>
    <row r="885" spans="1:16">
      <c r="A885" s="1" t="s">
        <v>756</v>
      </c>
      <c r="B885" s="1">
        <v>12</v>
      </c>
      <c r="C885" s="1" t="s">
        <v>2695</v>
      </c>
      <c r="D885" s="1" t="s">
        <v>2696</v>
      </c>
      <c r="E885" s="2">
        <v>45993</v>
      </c>
      <c r="F885" s="1" t="s">
        <v>1935</v>
      </c>
      <c r="G885" s="1" t="s">
        <v>2697</v>
      </c>
      <c r="H885" s="1" t="s">
        <v>2698</v>
      </c>
      <c r="I885" s="1">
        <v>1</v>
      </c>
      <c r="J885" s="3">
        <v>11790</v>
      </c>
      <c r="K885" s="3">
        <v>11247</v>
      </c>
      <c r="L885" s="1">
        <v>0</v>
      </c>
      <c r="M885" s="4">
        <v>0</v>
      </c>
      <c r="N885" s="3">
        <v>543</v>
      </c>
      <c r="O885" s="4">
        <v>4.5999999999999999E-2</v>
      </c>
      <c r="P885" s="1" t="s">
        <v>2723</v>
      </c>
    </row>
    <row r="886" spans="1:16">
      <c r="A886" s="1" t="s">
        <v>2193</v>
      </c>
      <c r="B886" s="1">
        <v>12</v>
      </c>
      <c r="C886" s="1">
        <v>30799229</v>
      </c>
      <c r="D886" s="1" t="s">
        <v>2699</v>
      </c>
      <c r="E886" s="2">
        <v>45993</v>
      </c>
      <c r="F886" s="1" t="s">
        <v>96</v>
      </c>
      <c r="G886" s="1" t="s">
        <v>2700</v>
      </c>
      <c r="H886" s="1" t="s">
        <v>2701</v>
      </c>
      <c r="I886" s="1">
        <v>1</v>
      </c>
      <c r="J886" s="3">
        <v>13861</v>
      </c>
      <c r="K886" s="3">
        <v>12858</v>
      </c>
      <c r="L886" s="1">
        <v>0</v>
      </c>
      <c r="M886" s="4">
        <v>0</v>
      </c>
      <c r="N886" s="3">
        <v>1003</v>
      </c>
      <c r="O886" s="4">
        <v>7.1999999999999995E-2</v>
      </c>
      <c r="P886" s="1" t="s">
        <v>2723</v>
      </c>
    </row>
    <row r="887" spans="1:16">
      <c r="A887" s="1" t="s">
        <v>763</v>
      </c>
      <c r="B887" s="1">
        <v>12</v>
      </c>
      <c r="C887" s="1" t="s">
        <v>2702</v>
      </c>
      <c r="D887" s="1" t="s">
        <v>2083</v>
      </c>
      <c r="E887" s="2">
        <v>45993</v>
      </c>
      <c r="F887" s="1" t="s">
        <v>426</v>
      </c>
      <c r="G887" s="1" t="s">
        <v>2084</v>
      </c>
      <c r="H887" s="1" t="s">
        <v>2240</v>
      </c>
      <c r="I887" s="1">
        <v>1</v>
      </c>
      <c r="J887" s="3">
        <v>25200</v>
      </c>
      <c r="K887" s="3">
        <v>23450</v>
      </c>
      <c r="L887" s="1">
        <v>0</v>
      </c>
      <c r="M887" s="4">
        <v>0</v>
      </c>
      <c r="N887" s="3">
        <v>1750</v>
      </c>
      <c r="O887" s="4">
        <v>6.9000000000000006E-2</v>
      </c>
      <c r="P887" s="1" t="s">
        <v>2723</v>
      </c>
    </row>
    <row r="888" spans="1:16">
      <c r="A888" s="1" t="s">
        <v>763</v>
      </c>
      <c r="B888" s="1">
        <v>12</v>
      </c>
      <c r="C888" s="1" t="s">
        <v>2702</v>
      </c>
      <c r="D888" s="1" t="s">
        <v>2663</v>
      </c>
      <c r="E888" s="2">
        <v>45993</v>
      </c>
      <c r="F888" s="1" t="s">
        <v>151</v>
      </c>
      <c r="G888" s="1" t="s">
        <v>2664</v>
      </c>
      <c r="I888" s="1">
        <v>2</v>
      </c>
      <c r="J888" s="3">
        <v>31120</v>
      </c>
      <c r="K888" s="3">
        <v>28140</v>
      </c>
      <c r="L888" s="1">
        <v>0</v>
      </c>
      <c r="M888" s="4">
        <v>0</v>
      </c>
      <c r="N888" s="3">
        <v>2980</v>
      </c>
      <c r="O888" s="4">
        <v>9.6000000000000002E-2</v>
      </c>
      <c r="P888" s="1" t="s">
        <v>2723</v>
      </c>
    </row>
    <row r="889" spans="1:16">
      <c r="A889" s="1" t="s">
        <v>763</v>
      </c>
      <c r="B889" s="1">
        <v>12</v>
      </c>
      <c r="C889" s="1" t="s">
        <v>2703</v>
      </c>
      <c r="D889" s="1" t="s">
        <v>2704</v>
      </c>
      <c r="E889" s="2">
        <v>45993</v>
      </c>
      <c r="F889" s="1" t="s">
        <v>48</v>
      </c>
      <c r="G889" s="1" t="s">
        <v>2705</v>
      </c>
      <c r="H889" s="1" t="s">
        <v>2706</v>
      </c>
      <c r="I889" s="1">
        <v>1</v>
      </c>
      <c r="J889" s="3">
        <v>9900</v>
      </c>
      <c r="K889" s="3">
        <v>6817</v>
      </c>
      <c r="L889" s="1">
        <v>0</v>
      </c>
      <c r="M889" s="4">
        <v>0</v>
      </c>
      <c r="N889" s="3">
        <v>3083</v>
      </c>
      <c r="O889" s="4">
        <v>0.311</v>
      </c>
      <c r="P889" s="1" t="s">
        <v>2723</v>
      </c>
    </row>
    <row r="890" spans="1:16">
      <c r="A890" s="1" t="s">
        <v>763</v>
      </c>
      <c r="B890" s="1">
        <v>12</v>
      </c>
      <c r="C890" s="1" t="s">
        <v>2707</v>
      </c>
      <c r="D890" s="1" t="s">
        <v>2708</v>
      </c>
      <c r="E890" s="2">
        <v>45993</v>
      </c>
      <c r="F890" s="1" t="s">
        <v>2188</v>
      </c>
      <c r="G890" s="1" t="s">
        <v>2709</v>
      </c>
      <c r="H890" s="1" t="s">
        <v>2710</v>
      </c>
      <c r="I890" s="1">
        <v>1</v>
      </c>
      <c r="J890" s="3">
        <v>9900</v>
      </c>
      <c r="K890" s="3">
        <v>9500</v>
      </c>
      <c r="L890" s="1">
        <v>0</v>
      </c>
      <c r="M890" s="4">
        <v>0</v>
      </c>
      <c r="N890" s="3">
        <v>400</v>
      </c>
      <c r="O890" s="4">
        <v>0.04</v>
      </c>
      <c r="P890" s="1" t="s">
        <v>2723</v>
      </c>
    </row>
    <row r="891" spans="1:16">
      <c r="A891" s="1" t="s">
        <v>763</v>
      </c>
      <c r="B891" s="1">
        <v>12</v>
      </c>
      <c r="C891" s="1" t="s">
        <v>2711</v>
      </c>
      <c r="D891" s="1" t="s">
        <v>2712</v>
      </c>
      <c r="E891" s="2">
        <v>45993</v>
      </c>
      <c r="F891" s="1" t="s">
        <v>256</v>
      </c>
      <c r="G891" s="1" t="s">
        <v>2713</v>
      </c>
      <c r="H891" s="1" t="s">
        <v>2714</v>
      </c>
      <c r="I891" s="1">
        <v>1</v>
      </c>
      <c r="J891" s="3">
        <v>14450</v>
      </c>
      <c r="K891" s="3">
        <v>13050</v>
      </c>
      <c r="L891" s="1">
        <v>0</v>
      </c>
      <c r="M891" s="4">
        <v>0</v>
      </c>
      <c r="N891" s="3">
        <v>1400</v>
      </c>
      <c r="O891" s="4">
        <v>9.7000000000000003E-2</v>
      </c>
      <c r="P891" s="1" t="s">
        <v>2723</v>
      </c>
    </row>
    <row r="892" spans="1:16">
      <c r="A892" s="1" t="s">
        <v>763</v>
      </c>
      <c r="B892" s="1">
        <v>12</v>
      </c>
      <c r="C892" s="1" t="s">
        <v>2715</v>
      </c>
      <c r="D892" s="1" t="s">
        <v>2716</v>
      </c>
      <c r="E892" s="2">
        <v>45993</v>
      </c>
      <c r="F892" s="1" t="s">
        <v>53</v>
      </c>
      <c r="G892" s="1" t="s">
        <v>2717</v>
      </c>
      <c r="H892" s="1" t="s">
        <v>2718</v>
      </c>
      <c r="I892" s="1">
        <v>1</v>
      </c>
      <c r="J892" s="3">
        <v>10370</v>
      </c>
      <c r="K892" s="3">
        <v>9375</v>
      </c>
      <c r="L892" s="3">
        <v>0</v>
      </c>
      <c r="M892" s="4">
        <v>0</v>
      </c>
      <c r="N892" s="3">
        <v>995</v>
      </c>
      <c r="O892" s="4">
        <v>9.6000000000000002E-2</v>
      </c>
      <c r="P892" s="1" t="s">
        <v>2723</v>
      </c>
    </row>
    <row r="893" spans="1:16">
      <c r="A893" s="1" t="s">
        <v>620</v>
      </c>
      <c r="B893" s="1">
        <v>12</v>
      </c>
      <c r="C893" s="1">
        <v>4375288923</v>
      </c>
      <c r="D893" s="1" t="s">
        <v>1850</v>
      </c>
      <c r="E893" s="2">
        <v>45993</v>
      </c>
      <c r="F893" s="1" t="s">
        <v>604</v>
      </c>
      <c r="G893" s="1" t="s">
        <v>1851</v>
      </c>
      <c r="H893" s="1" t="s">
        <v>2719</v>
      </c>
      <c r="I893" s="1">
        <v>5</v>
      </c>
      <c r="J893" s="3">
        <v>15900</v>
      </c>
      <c r="K893" s="3">
        <v>12125</v>
      </c>
      <c r="L893" s="3">
        <v>2067</v>
      </c>
      <c r="M893" s="4">
        <v>0.13</v>
      </c>
      <c r="N893" s="3">
        <v>1708</v>
      </c>
      <c r="O893" s="4">
        <v>0.107</v>
      </c>
      <c r="P893" s="1" t="s">
        <v>2721</v>
      </c>
    </row>
    <row r="894" spans="1:16">
      <c r="A894" s="1" t="s">
        <v>15</v>
      </c>
      <c r="B894" s="1">
        <v>12</v>
      </c>
      <c r="C894" s="1" t="s">
        <v>16</v>
      </c>
      <c r="D894" s="1" t="s">
        <v>17</v>
      </c>
      <c r="E894" s="2">
        <v>45994</v>
      </c>
      <c r="F894" s="1" t="s">
        <v>18</v>
      </c>
      <c r="G894" s="1" t="s">
        <v>19</v>
      </c>
      <c r="H894" s="1" t="s">
        <v>20</v>
      </c>
      <c r="I894" s="1">
        <v>5</v>
      </c>
      <c r="J894" s="3">
        <v>35830</v>
      </c>
      <c r="K894" s="3">
        <v>34190</v>
      </c>
      <c r="L894" s="1">
        <v>0</v>
      </c>
      <c r="M894" s="4">
        <v>0</v>
      </c>
      <c r="N894" s="3">
        <v>1640</v>
      </c>
      <c r="O894" s="4">
        <v>4.5999999999999999E-2</v>
      </c>
      <c r="P894" s="1" t="s">
        <v>2721</v>
      </c>
    </row>
    <row r="895" spans="1:16">
      <c r="A895" s="1" t="s">
        <v>15</v>
      </c>
      <c r="B895" s="1">
        <v>12</v>
      </c>
      <c r="C895" s="1" t="s">
        <v>21</v>
      </c>
      <c r="D895" s="1" t="s">
        <v>22</v>
      </c>
      <c r="E895" s="2">
        <v>45994</v>
      </c>
      <c r="F895" s="1" t="s">
        <v>23</v>
      </c>
      <c r="G895" s="1" t="s">
        <v>24</v>
      </c>
      <c r="H895" s="1" t="s">
        <v>25</v>
      </c>
      <c r="I895" s="1">
        <v>3</v>
      </c>
      <c r="J895" s="3">
        <v>33914</v>
      </c>
      <c r="K895" s="3">
        <v>32361</v>
      </c>
      <c r="L895" s="1">
        <v>0</v>
      </c>
      <c r="M895" s="4">
        <v>0</v>
      </c>
      <c r="N895" s="3">
        <v>1553</v>
      </c>
      <c r="O895" s="4">
        <v>4.5999999999999999E-2</v>
      </c>
      <c r="P895" s="1" t="s">
        <v>2721</v>
      </c>
    </row>
    <row r="896" spans="1:16">
      <c r="A896" s="1" t="s">
        <v>15</v>
      </c>
      <c r="B896" s="1">
        <v>12</v>
      </c>
      <c r="C896" s="1" t="s">
        <v>26</v>
      </c>
      <c r="D896" s="1" t="s">
        <v>27</v>
      </c>
      <c r="E896" s="2">
        <v>45994</v>
      </c>
      <c r="F896" s="1" t="s">
        <v>28</v>
      </c>
      <c r="G896" s="1" t="s">
        <v>29</v>
      </c>
      <c r="H896" s="1" t="s">
        <v>30</v>
      </c>
      <c r="I896" s="1">
        <v>1</v>
      </c>
      <c r="J896" s="3">
        <v>27033</v>
      </c>
      <c r="K896" s="3">
        <v>25795</v>
      </c>
      <c r="L896" s="1">
        <v>0</v>
      </c>
      <c r="M896" s="4">
        <v>0</v>
      </c>
      <c r="N896" s="3">
        <v>1238</v>
      </c>
      <c r="O896" s="4">
        <v>4.5999999999999999E-2</v>
      </c>
      <c r="P896" s="1" t="s">
        <v>2721</v>
      </c>
    </row>
    <row r="897" spans="1:16">
      <c r="A897" s="1" t="s">
        <v>15</v>
      </c>
      <c r="B897" s="1">
        <v>12</v>
      </c>
      <c r="C897" s="1" t="s">
        <v>31</v>
      </c>
      <c r="D897" s="1" t="s">
        <v>32</v>
      </c>
      <c r="E897" s="2">
        <v>45994</v>
      </c>
      <c r="F897" s="1" t="s">
        <v>33</v>
      </c>
      <c r="G897" s="1" t="s">
        <v>34</v>
      </c>
      <c r="H897" s="1" t="s">
        <v>35</v>
      </c>
      <c r="I897" s="1">
        <v>1</v>
      </c>
      <c r="J897" s="3">
        <v>56085</v>
      </c>
      <c r="K897" s="3">
        <v>53518</v>
      </c>
      <c r="L897" s="1">
        <v>0</v>
      </c>
      <c r="M897" s="4">
        <v>0</v>
      </c>
      <c r="N897" s="3">
        <v>2567</v>
      </c>
      <c r="O897" s="4">
        <v>4.5999999999999999E-2</v>
      </c>
      <c r="P897" s="1" t="s">
        <v>2721</v>
      </c>
    </row>
    <row r="898" spans="1:16">
      <c r="A898" s="1" t="s">
        <v>15</v>
      </c>
      <c r="B898" s="1">
        <v>12</v>
      </c>
      <c r="C898" s="1" t="s">
        <v>36</v>
      </c>
      <c r="D898" s="1" t="s">
        <v>37</v>
      </c>
      <c r="E898" s="2">
        <v>45994</v>
      </c>
      <c r="F898" s="1" t="s">
        <v>38</v>
      </c>
      <c r="G898" s="1" t="s">
        <v>39</v>
      </c>
      <c r="H898" s="1" t="s">
        <v>40</v>
      </c>
      <c r="I898" s="1">
        <v>1</v>
      </c>
      <c r="J898" s="3">
        <v>89453</v>
      </c>
      <c r="K898" s="3">
        <v>85358</v>
      </c>
      <c r="L898" s="1">
        <v>0</v>
      </c>
      <c r="M898" s="4">
        <v>0</v>
      </c>
      <c r="N898" s="3">
        <v>4095</v>
      </c>
      <c r="O898" s="4">
        <v>4.5999999999999999E-2</v>
      </c>
      <c r="P898" s="1" t="s">
        <v>2721</v>
      </c>
    </row>
    <row r="899" spans="1:16">
      <c r="A899" s="1" t="s">
        <v>15</v>
      </c>
      <c r="B899" s="1">
        <v>12</v>
      </c>
      <c r="C899" s="1" t="s">
        <v>41</v>
      </c>
      <c r="D899" s="1" t="s">
        <v>42</v>
      </c>
      <c r="E899" s="2">
        <v>45994</v>
      </c>
      <c r="F899" s="1" t="s">
        <v>43</v>
      </c>
      <c r="G899" s="1" t="s">
        <v>44</v>
      </c>
      <c r="H899" s="1" t="s">
        <v>45</v>
      </c>
      <c r="I899" s="1">
        <v>1</v>
      </c>
      <c r="J899" s="3">
        <v>21036</v>
      </c>
      <c r="K899" s="3">
        <v>20073</v>
      </c>
      <c r="L899" s="1">
        <v>0</v>
      </c>
      <c r="M899" s="4">
        <v>0</v>
      </c>
      <c r="N899" s="1">
        <v>963</v>
      </c>
      <c r="O899" s="4">
        <v>4.5999999999999999E-2</v>
      </c>
      <c r="P899" s="1" t="s">
        <v>2721</v>
      </c>
    </row>
    <row r="900" spans="1:16">
      <c r="A900" s="1" t="s">
        <v>15</v>
      </c>
      <c r="B900" s="1">
        <v>12</v>
      </c>
      <c r="C900" s="1" t="s">
        <v>46</v>
      </c>
      <c r="D900" s="1" t="s">
        <v>47</v>
      </c>
      <c r="E900" s="2">
        <v>45994</v>
      </c>
      <c r="F900" s="1" t="s">
        <v>48</v>
      </c>
      <c r="G900" s="1" t="s">
        <v>49</v>
      </c>
      <c r="H900" s="1" t="s">
        <v>50</v>
      </c>
      <c r="I900" s="1">
        <v>1</v>
      </c>
      <c r="J900" s="3">
        <v>18901</v>
      </c>
      <c r="K900" s="3">
        <v>18036</v>
      </c>
      <c r="L900" s="1">
        <v>0</v>
      </c>
      <c r="M900" s="4">
        <v>0</v>
      </c>
      <c r="N900" s="1">
        <v>865</v>
      </c>
      <c r="O900" s="4">
        <v>4.5999999999999999E-2</v>
      </c>
      <c r="P900" s="1" t="s">
        <v>2721</v>
      </c>
    </row>
    <row r="901" spans="1:16">
      <c r="A901" s="1" t="s">
        <v>15</v>
      </c>
      <c r="B901" s="1">
        <v>12</v>
      </c>
      <c r="C901" s="1" t="s">
        <v>51</v>
      </c>
      <c r="D901" s="1" t="s">
        <v>52</v>
      </c>
      <c r="E901" s="2">
        <v>45994</v>
      </c>
      <c r="F901" s="1" t="s">
        <v>53</v>
      </c>
      <c r="G901" s="1" t="s">
        <v>54</v>
      </c>
      <c r="H901" s="1" t="s">
        <v>55</v>
      </c>
      <c r="I901" s="1">
        <v>1</v>
      </c>
      <c r="J901" s="3">
        <v>16135</v>
      </c>
      <c r="K901" s="3">
        <v>15396</v>
      </c>
      <c r="L901" s="1">
        <v>0</v>
      </c>
      <c r="M901" s="4">
        <v>0</v>
      </c>
      <c r="N901" s="1">
        <v>739</v>
      </c>
      <c r="O901" s="4">
        <v>4.5999999999999999E-2</v>
      </c>
      <c r="P901" s="1" t="s">
        <v>2721</v>
      </c>
    </row>
    <row r="902" spans="1:16">
      <c r="A902" s="1" t="s">
        <v>15</v>
      </c>
      <c r="B902" s="1">
        <v>12</v>
      </c>
      <c r="C902" s="1" t="s">
        <v>56</v>
      </c>
      <c r="D902" s="1" t="s">
        <v>57</v>
      </c>
      <c r="E902" s="2">
        <v>45994</v>
      </c>
      <c r="F902" s="1" t="s">
        <v>58</v>
      </c>
      <c r="G902" s="1" t="s">
        <v>59</v>
      </c>
      <c r="H902" s="1" t="s">
        <v>60</v>
      </c>
      <c r="I902" s="1">
        <v>1</v>
      </c>
      <c r="J902" s="3">
        <v>17203</v>
      </c>
      <c r="K902" s="3">
        <v>16415</v>
      </c>
      <c r="L902" s="1">
        <v>0</v>
      </c>
      <c r="M902" s="4">
        <v>0</v>
      </c>
      <c r="N902" s="1">
        <v>788</v>
      </c>
      <c r="O902" s="4">
        <v>4.5999999999999999E-2</v>
      </c>
      <c r="P902" s="1" t="s">
        <v>2721</v>
      </c>
    </row>
    <row r="903" spans="1:16">
      <c r="A903" s="1" t="s">
        <v>15</v>
      </c>
      <c r="B903" s="1">
        <v>12</v>
      </c>
      <c r="C903" s="1" t="s">
        <v>61</v>
      </c>
      <c r="D903" s="1" t="s">
        <v>62</v>
      </c>
      <c r="E903" s="2">
        <v>45994</v>
      </c>
      <c r="F903" s="1" t="s">
        <v>63</v>
      </c>
      <c r="G903" s="1" t="s">
        <v>64</v>
      </c>
      <c r="H903" s="1" t="s">
        <v>65</v>
      </c>
      <c r="I903" s="1">
        <v>1</v>
      </c>
      <c r="J903" s="3">
        <v>11809</v>
      </c>
      <c r="K903" s="3">
        <v>11268</v>
      </c>
      <c r="L903" s="1">
        <v>0</v>
      </c>
      <c r="M903" s="4">
        <v>0</v>
      </c>
      <c r="N903" s="3">
        <v>541</v>
      </c>
      <c r="O903" s="4">
        <v>4.5999999999999999E-2</v>
      </c>
      <c r="P903" s="1" t="s">
        <v>2721</v>
      </c>
    </row>
    <row r="904" spans="1:16">
      <c r="A904" s="1" t="s">
        <v>15</v>
      </c>
      <c r="B904" s="1">
        <v>12</v>
      </c>
      <c r="C904" s="1" t="s">
        <v>66</v>
      </c>
      <c r="D904" s="1" t="s">
        <v>67</v>
      </c>
      <c r="E904" s="2">
        <v>45994</v>
      </c>
      <c r="F904" s="1" t="s">
        <v>68</v>
      </c>
      <c r="G904" s="1" t="s">
        <v>69</v>
      </c>
      <c r="H904" s="1" t="s">
        <v>70</v>
      </c>
      <c r="I904" s="1">
        <v>1</v>
      </c>
      <c r="J904" s="3">
        <v>43842</v>
      </c>
      <c r="K904" s="3">
        <v>41835</v>
      </c>
      <c r="L904" s="1">
        <v>0</v>
      </c>
      <c r="M904" s="4">
        <v>0</v>
      </c>
      <c r="N904" s="3">
        <v>2007</v>
      </c>
      <c r="O904" s="4">
        <v>4.5999999999999999E-2</v>
      </c>
      <c r="P904" s="1" t="s">
        <v>2721</v>
      </c>
    </row>
    <row r="905" spans="1:16">
      <c r="A905" s="1" t="s">
        <v>15</v>
      </c>
      <c r="B905" s="1">
        <v>12</v>
      </c>
      <c r="C905" s="1" t="s">
        <v>71</v>
      </c>
      <c r="D905" s="1" t="s">
        <v>72</v>
      </c>
      <c r="E905" s="2">
        <v>45994</v>
      </c>
      <c r="F905" s="1" t="s">
        <v>63</v>
      </c>
      <c r="G905" s="1" t="s">
        <v>73</v>
      </c>
      <c r="H905" s="1" t="s">
        <v>74</v>
      </c>
      <c r="I905" s="1">
        <v>1</v>
      </c>
      <c r="J905" s="3">
        <v>10456</v>
      </c>
      <c r="K905" s="3">
        <v>9978</v>
      </c>
      <c r="L905" s="1">
        <v>0</v>
      </c>
      <c r="M905" s="4">
        <v>0</v>
      </c>
      <c r="N905" s="1">
        <v>478</v>
      </c>
      <c r="O905" s="4">
        <v>4.5999999999999999E-2</v>
      </c>
      <c r="P905" s="1" t="s">
        <v>2721</v>
      </c>
    </row>
    <row r="906" spans="1:16">
      <c r="A906" s="1" t="s">
        <v>15</v>
      </c>
      <c r="B906" s="1">
        <v>12</v>
      </c>
      <c r="C906" s="1" t="s">
        <v>75</v>
      </c>
      <c r="D906" s="1" t="s">
        <v>76</v>
      </c>
      <c r="E906" s="2">
        <v>45994</v>
      </c>
      <c r="F906" s="1" t="s">
        <v>77</v>
      </c>
      <c r="G906" s="1" t="s">
        <v>78</v>
      </c>
      <c r="H906" s="1" t="s">
        <v>78</v>
      </c>
      <c r="I906" s="1">
        <v>1</v>
      </c>
      <c r="J906" s="3">
        <v>11231</v>
      </c>
      <c r="K906" s="3">
        <v>10717</v>
      </c>
      <c r="L906" s="1">
        <v>0</v>
      </c>
      <c r="M906" s="4">
        <v>0</v>
      </c>
      <c r="N906" s="1">
        <v>514</v>
      </c>
      <c r="O906" s="4">
        <v>4.5999999999999999E-2</v>
      </c>
      <c r="P906" s="1" t="s">
        <v>2721</v>
      </c>
    </row>
    <row r="907" spans="1:16">
      <c r="A907" s="1" t="s">
        <v>15</v>
      </c>
      <c r="B907" s="1">
        <v>12</v>
      </c>
      <c r="C907" s="1" t="s">
        <v>79</v>
      </c>
      <c r="D907" s="1" t="s">
        <v>80</v>
      </c>
      <c r="E907" s="2">
        <v>45994</v>
      </c>
      <c r="F907" s="1" t="s">
        <v>58</v>
      </c>
      <c r="G907" s="1" t="s">
        <v>81</v>
      </c>
      <c r="H907" s="1" t="s">
        <v>82</v>
      </c>
      <c r="I907" s="1">
        <v>1</v>
      </c>
      <c r="J907" s="3">
        <v>17301</v>
      </c>
      <c r="K907" s="3">
        <v>16509</v>
      </c>
      <c r="L907" s="1">
        <v>0</v>
      </c>
      <c r="M907" s="4">
        <v>0</v>
      </c>
      <c r="N907" s="3">
        <v>792</v>
      </c>
      <c r="O907" s="4">
        <v>4.5999999999999999E-2</v>
      </c>
      <c r="P907" s="1" t="s">
        <v>2721</v>
      </c>
    </row>
    <row r="908" spans="1:16">
      <c r="A908" s="1" t="s">
        <v>15</v>
      </c>
      <c r="B908" s="1">
        <v>12</v>
      </c>
      <c r="C908" s="1" t="s">
        <v>83</v>
      </c>
      <c r="D908" s="1" t="s">
        <v>80</v>
      </c>
      <c r="E908" s="2">
        <v>45994</v>
      </c>
      <c r="F908" s="1" t="s">
        <v>58</v>
      </c>
      <c r="G908" s="1" t="s">
        <v>81</v>
      </c>
      <c r="H908" s="1" t="s">
        <v>84</v>
      </c>
      <c r="I908" s="1">
        <v>2</v>
      </c>
      <c r="J908" s="3">
        <v>34602</v>
      </c>
      <c r="K908" s="3">
        <v>33018</v>
      </c>
      <c r="L908" s="1">
        <v>0</v>
      </c>
      <c r="M908" s="4">
        <v>0</v>
      </c>
      <c r="N908" s="3">
        <v>1584</v>
      </c>
      <c r="O908" s="4">
        <v>4.5999999999999999E-2</v>
      </c>
      <c r="P908" s="1" t="s">
        <v>2721</v>
      </c>
    </row>
    <row r="909" spans="1:16">
      <c r="A909" s="1" t="s">
        <v>15</v>
      </c>
      <c r="B909" s="1">
        <v>12</v>
      </c>
      <c r="C909" s="1" t="s">
        <v>85</v>
      </c>
      <c r="D909" s="1" t="s">
        <v>86</v>
      </c>
      <c r="E909" s="2">
        <v>45994</v>
      </c>
      <c r="F909" s="1" t="s">
        <v>53</v>
      </c>
      <c r="G909" s="1" t="s">
        <v>87</v>
      </c>
      <c r="H909" s="1" t="s">
        <v>88</v>
      </c>
      <c r="I909" s="1">
        <v>1</v>
      </c>
      <c r="J909" s="3">
        <v>14956</v>
      </c>
      <c r="K909" s="3">
        <v>14272</v>
      </c>
      <c r="L909" s="1">
        <v>0</v>
      </c>
      <c r="M909" s="4">
        <v>0</v>
      </c>
      <c r="N909" s="1">
        <v>684</v>
      </c>
      <c r="O909" s="4">
        <v>4.5999999999999999E-2</v>
      </c>
      <c r="P909" s="1" t="s">
        <v>2721</v>
      </c>
    </row>
    <row r="910" spans="1:16">
      <c r="A910" s="1" t="s">
        <v>15</v>
      </c>
      <c r="B910" s="1">
        <v>12</v>
      </c>
      <c r="C910" s="1" t="s">
        <v>89</v>
      </c>
      <c r="D910" s="1" t="s">
        <v>90</v>
      </c>
      <c r="E910" s="2">
        <v>45994</v>
      </c>
      <c r="F910" s="1" t="s">
        <v>91</v>
      </c>
      <c r="G910" s="1" t="s">
        <v>92</v>
      </c>
      <c r="H910" s="1" t="s">
        <v>93</v>
      </c>
      <c r="I910" s="1">
        <v>1</v>
      </c>
      <c r="J910" s="3">
        <v>13526</v>
      </c>
      <c r="K910" s="3">
        <v>12907</v>
      </c>
      <c r="L910" s="1">
        <v>0</v>
      </c>
      <c r="M910" s="4">
        <v>0</v>
      </c>
      <c r="N910" s="1">
        <v>619</v>
      </c>
      <c r="O910" s="4">
        <v>4.5999999999999999E-2</v>
      </c>
      <c r="P910" s="1" t="s">
        <v>2721</v>
      </c>
    </row>
    <row r="911" spans="1:16">
      <c r="A911" s="1" t="s">
        <v>15</v>
      </c>
      <c r="B911" s="1">
        <v>12</v>
      </c>
      <c r="C911" s="1" t="s">
        <v>94</v>
      </c>
      <c r="D911" s="1" t="s">
        <v>95</v>
      </c>
      <c r="E911" s="2">
        <v>45994</v>
      </c>
      <c r="F911" s="1" t="s">
        <v>96</v>
      </c>
      <c r="G911" s="1" t="s">
        <v>97</v>
      </c>
      <c r="H911" s="1" t="s">
        <v>97</v>
      </c>
      <c r="I911" s="1">
        <v>1</v>
      </c>
      <c r="J911" s="3">
        <v>12571</v>
      </c>
      <c r="K911" s="3">
        <v>11995</v>
      </c>
      <c r="L911" s="1">
        <v>0</v>
      </c>
      <c r="M911" s="4">
        <v>0</v>
      </c>
      <c r="N911" s="3">
        <v>576</v>
      </c>
      <c r="O911" s="4">
        <v>4.5999999999999999E-2</v>
      </c>
      <c r="P911" s="1" t="s">
        <v>2721</v>
      </c>
    </row>
    <row r="912" spans="1:16">
      <c r="A912" s="1" t="s">
        <v>15</v>
      </c>
      <c r="B912" s="1">
        <v>12</v>
      </c>
      <c r="C912" s="1" t="s">
        <v>98</v>
      </c>
      <c r="D912" s="1" t="s">
        <v>99</v>
      </c>
      <c r="E912" s="2">
        <v>45994</v>
      </c>
      <c r="F912" s="1" t="s">
        <v>100</v>
      </c>
      <c r="G912" s="1" t="s">
        <v>101</v>
      </c>
      <c r="H912" s="1" t="s">
        <v>102</v>
      </c>
      <c r="I912" s="1">
        <v>1</v>
      </c>
      <c r="J912" s="3">
        <v>35585</v>
      </c>
      <c r="K912" s="3">
        <v>33956</v>
      </c>
      <c r="L912" s="1">
        <v>0</v>
      </c>
      <c r="M912" s="4">
        <v>0</v>
      </c>
      <c r="N912" s="3">
        <v>1629</v>
      </c>
      <c r="O912" s="4">
        <v>4.5999999999999999E-2</v>
      </c>
      <c r="P912" s="1" t="s">
        <v>2721</v>
      </c>
    </row>
    <row r="913" spans="1:16">
      <c r="A913" s="1" t="s">
        <v>15</v>
      </c>
      <c r="B913" s="1">
        <v>12</v>
      </c>
      <c r="C913" s="1" t="s">
        <v>103</v>
      </c>
      <c r="D913" s="1" t="s">
        <v>104</v>
      </c>
      <c r="E913" s="2">
        <v>45994</v>
      </c>
      <c r="F913" s="1" t="s">
        <v>96</v>
      </c>
      <c r="G913" s="1" t="s">
        <v>105</v>
      </c>
      <c r="H913" s="1" t="s">
        <v>106</v>
      </c>
      <c r="I913" s="1">
        <v>1</v>
      </c>
      <c r="J913" s="3">
        <v>21614</v>
      </c>
      <c r="K913" s="3">
        <v>20625</v>
      </c>
      <c r="L913" s="1">
        <v>0</v>
      </c>
      <c r="M913" s="4">
        <v>0</v>
      </c>
      <c r="N913" s="3">
        <v>989</v>
      </c>
      <c r="O913" s="4">
        <v>4.5999999999999999E-2</v>
      </c>
      <c r="P913" s="1" t="s">
        <v>2721</v>
      </c>
    </row>
    <row r="914" spans="1:16">
      <c r="A914" s="1" t="s">
        <v>15</v>
      </c>
      <c r="B914" s="1">
        <v>12</v>
      </c>
      <c r="C914" s="1" t="s">
        <v>107</v>
      </c>
      <c r="D914" s="1" t="s">
        <v>108</v>
      </c>
      <c r="E914" s="2">
        <v>45994</v>
      </c>
      <c r="F914" s="1" t="s">
        <v>96</v>
      </c>
      <c r="G914" s="1" t="s">
        <v>109</v>
      </c>
      <c r="H914" s="1" t="s">
        <v>110</v>
      </c>
      <c r="I914" s="1">
        <v>5</v>
      </c>
      <c r="J914" s="3">
        <v>53809</v>
      </c>
      <c r="K914" s="3">
        <v>51346</v>
      </c>
      <c r="L914" s="1">
        <v>0</v>
      </c>
      <c r="M914" s="4">
        <v>0</v>
      </c>
      <c r="N914" s="3">
        <v>2463</v>
      </c>
      <c r="O914" s="4">
        <v>4.5999999999999999E-2</v>
      </c>
      <c r="P914" s="1" t="s">
        <v>2721</v>
      </c>
    </row>
    <row r="915" spans="1:16">
      <c r="A915" s="1" t="s">
        <v>15</v>
      </c>
      <c r="B915" s="1">
        <v>12</v>
      </c>
      <c r="C915" s="1" t="s">
        <v>111</v>
      </c>
      <c r="D915" s="1" t="s">
        <v>112</v>
      </c>
      <c r="E915" s="2">
        <v>45994</v>
      </c>
      <c r="F915" s="1" t="s">
        <v>63</v>
      </c>
      <c r="G915" s="1" t="s">
        <v>113</v>
      </c>
      <c r="H915" s="1" t="s">
        <v>114</v>
      </c>
      <c r="I915" s="1">
        <v>1</v>
      </c>
      <c r="J915" s="3">
        <v>8011</v>
      </c>
      <c r="K915" s="3">
        <v>7645</v>
      </c>
      <c r="L915" s="1">
        <v>0</v>
      </c>
      <c r="M915" s="4">
        <v>0</v>
      </c>
      <c r="N915" s="1">
        <v>366</v>
      </c>
      <c r="O915" s="4">
        <v>4.5999999999999999E-2</v>
      </c>
      <c r="P915" s="1" t="s">
        <v>2721</v>
      </c>
    </row>
    <row r="916" spans="1:16">
      <c r="A916" s="1" t="s">
        <v>15</v>
      </c>
      <c r="B916" s="1">
        <v>12</v>
      </c>
      <c r="C916" s="1" t="s">
        <v>115</v>
      </c>
      <c r="D916" s="1" t="s">
        <v>116</v>
      </c>
      <c r="E916" s="2">
        <v>45994</v>
      </c>
      <c r="F916" s="1" t="s">
        <v>63</v>
      </c>
      <c r="G916" s="1" t="s">
        <v>117</v>
      </c>
      <c r="H916" s="1" t="s">
        <v>118</v>
      </c>
      <c r="I916" s="1">
        <v>1</v>
      </c>
      <c r="J916" s="3">
        <v>18627</v>
      </c>
      <c r="K916" s="3">
        <v>17774</v>
      </c>
      <c r="L916" s="1">
        <v>0</v>
      </c>
      <c r="M916" s="4">
        <v>0</v>
      </c>
      <c r="N916" s="1">
        <v>853</v>
      </c>
      <c r="O916" s="4">
        <v>4.5999999999999999E-2</v>
      </c>
      <c r="P916" s="1" t="s">
        <v>2721</v>
      </c>
    </row>
    <row r="917" spans="1:16">
      <c r="A917" s="1" t="s">
        <v>15</v>
      </c>
      <c r="B917" s="1">
        <v>12</v>
      </c>
      <c r="C917" s="1" t="s">
        <v>119</v>
      </c>
      <c r="D917" s="1" t="s">
        <v>120</v>
      </c>
      <c r="E917" s="2">
        <v>45994</v>
      </c>
      <c r="F917" s="1" t="s">
        <v>121</v>
      </c>
      <c r="G917" s="1" t="s">
        <v>122</v>
      </c>
      <c r="H917" s="1" t="s">
        <v>123</v>
      </c>
      <c r="I917" s="1">
        <v>1</v>
      </c>
      <c r="J917" s="3">
        <v>14254</v>
      </c>
      <c r="K917" s="3">
        <v>13601</v>
      </c>
      <c r="L917" s="1">
        <v>0</v>
      </c>
      <c r="M917" s="4">
        <v>0</v>
      </c>
      <c r="N917" s="3">
        <v>653</v>
      </c>
      <c r="O917" s="4">
        <v>4.5999999999999999E-2</v>
      </c>
      <c r="P917" s="1" t="s">
        <v>2721</v>
      </c>
    </row>
    <row r="918" spans="1:16">
      <c r="A918" s="1" t="s">
        <v>15</v>
      </c>
      <c r="B918" s="1">
        <v>12</v>
      </c>
      <c r="C918" s="1" t="s">
        <v>124</v>
      </c>
      <c r="D918" s="1" t="s">
        <v>125</v>
      </c>
      <c r="E918" s="2">
        <v>45994</v>
      </c>
      <c r="F918" s="1" t="s">
        <v>126</v>
      </c>
      <c r="G918" s="1" t="s">
        <v>127</v>
      </c>
      <c r="H918" s="1" t="s">
        <v>128</v>
      </c>
      <c r="I918" s="1">
        <v>2</v>
      </c>
      <c r="J918" s="3">
        <v>27917</v>
      </c>
      <c r="K918" s="3">
        <v>26639</v>
      </c>
      <c r="L918" s="1">
        <v>0</v>
      </c>
      <c r="M918" s="4">
        <v>0</v>
      </c>
      <c r="N918" s="3">
        <v>1278</v>
      </c>
      <c r="O918" s="4">
        <v>4.5999999999999999E-2</v>
      </c>
      <c r="P918" s="1" t="s">
        <v>2721</v>
      </c>
    </row>
    <row r="919" spans="1:16">
      <c r="A919" s="1" t="s">
        <v>15</v>
      </c>
      <c r="B919" s="1">
        <v>12</v>
      </c>
      <c r="C919" s="1" t="s">
        <v>129</v>
      </c>
      <c r="D919" s="1" t="s">
        <v>80</v>
      </c>
      <c r="E919" s="2">
        <v>45994</v>
      </c>
      <c r="F919" s="1" t="s">
        <v>58</v>
      </c>
      <c r="G919" s="1" t="s">
        <v>81</v>
      </c>
      <c r="H919" s="1" t="s">
        <v>130</v>
      </c>
      <c r="I919" s="1">
        <v>1</v>
      </c>
      <c r="J919" s="3">
        <v>17301</v>
      </c>
      <c r="K919" s="3">
        <v>16509</v>
      </c>
      <c r="L919" s="1">
        <v>0</v>
      </c>
      <c r="M919" s="4">
        <v>0</v>
      </c>
      <c r="N919" s="3">
        <v>792</v>
      </c>
      <c r="O919" s="4">
        <v>4.5999999999999999E-2</v>
      </c>
      <c r="P919" s="1" t="s">
        <v>2721</v>
      </c>
    </row>
    <row r="920" spans="1:16">
      <c r="A920" s="1" t="s">
        <v>15</v>
      </c>
      <c r="B920" s="1">
        <v>12</v>
      </c>
      <c r="C920" s="1" t="s">
        <v>131</v>
      </c>
      <c r="D920" s="1" t="s">
        <v>132</v>
      </c>
      <c r="E920" s="2">
        <v>45994</v>
      </c>
      <c r="F920" s="1" t="s">
        <v>53</v>
      </c>
      <c r="G920" s="1" t="s">
        <v>133</v>
      </c>
      <c r="H920" s="1" t="s">
        <v>88</v>
      </c>
      <c r="I920" s="1">
        <v>2</v>
      </c>
      <c r="J920" s="3">
        <v>34073</v>
      </c>
      <c r="K920" s="3">
        <v>32513</v>
      </c>
      <c r="L920" s="1">
        <v>0</v>
      </c>
      <c r="M920" s="4">
        <v>0</v>
      </c>
      <c r="N920" s="3">
        <v>1560</v>
      </c>
      <c r="O920" s="4">
        <v>4.5999999999999999E-2</v>
      </c>
      <c r="P920" s="1" t="s">
        <v>2721</v>
      </c>
    </row>
    <row r="921" spans="1:16">
      <c r="A921" s="1" t="s">
        <v>15</v>
      </c>
      <c r="B921" s="1">
        <v>12</v>
      </c>
      <c r="C921" s="1" t="s">
        <v>134</v>
      </c>
      <c r="D921" s="1" t="s">
        <v>135</v>
      </c>
      <c r="E921" s="2">
        <v>45994</v>
      </c>
      <c r="F921" s="1" t="s">
        <v>53</v>
      </c>
      <c r="G921" s="1" t="s">
        <v>136</v>
      </c>
      <c r="H921" s="1" t="s">
        <v>137</v>
      </c>
      <c r="I921" s="1">
        <v>1</v>
      </c>
      <c r="J921" s="3">
        <v>9825</v>
      </c>
      <c r="K921" s="3">
        <v>9375</v>
      </c>
      <c r="L921" s="1">
        <v>0</v>
      </c>
      <c r="M921" s="4">
        <v>0</v>
      </c>
      <c r="N921" s="1">
        <v>450</v>
      </c>
      <c r="O921" s="4">
        <v>4.5999999999999999E-2</v>
      </c>
      <c r="P921" s="1" t="s">
        <v>2721</v>
      </c>
    </row>
    <row r="922" spans="1:16">
      <c r="A922" s="1" t="s">
        <v>15</v>
      </c>
      <c r="B922" s="1">
        <v>12</v>
      </c>
      <c r="C922" s="1" t="s">
        <v>138</v>
      </c>
      <c r="D922" s="1" t="s">
        <v>116</v>
      </c>
      <c r="E922" s="2">
        <v>45994</v>
      </c>
      <c r="F922" s="1" t="s">
        <v>63</v>
      </c>
      <c r="G922" s="1" t="s">
        <v>117</v>
      </c>
      <c r="H922" s="1" t="s">
        <v>139</v>
      </c>
      <c r="I922" s="1">
        <v>1</v>
      </c>
      <c r="J922" s="3">
        <v>15422</v>
      </c>
      <c r="K922" s="3">
        <v>14716</v>
      </c>
      <c r="L922" s="1">
        <v>0</v>
      </c>
      <c r="M922" s="4">
        <v>0</v>
      </c>
      <c r="N922" s="3">
        <v>706</v>
      </c>
      <c r="O922" s="4">
        <v>4.5999999999999999E-2</v>
      </c>
      <c r="P922" s="1" t="s">
        <v>2721</v>
      </c>
    </row>
    <row r="923" spans="1:16">
      <c r="A923" s="1" t="s">
        <v>15</v>
      </c>
      <c r="B923" s="1">
        <v>12</v>
      </c>
      <c r="C923" s="1" t="s">
        <v>140</v>
      </c>
      <c r="D923" s="1" t="s">
        <v>141</v>
      </c>
      <c r="E923" s="2">
        <v>45994</v>
      </c>
      <c r="F923" s="1" t="s">
        <v>142</v>
      </c>
      <c r="G923" s="1" t="s">
        <v>143</v>
      </c>
      <c r="H923" s="1" t="s">
        <v>144</v>
      </c>
      <c r="I923" s="1">
        <v>1</v>
      </c>
      <c r="J923" s="3">
        <v>22314</v>
      </c>
      <c r="K923" s="3">
        <v>21293</v>
      </c>
      <c r="L923" s="1">
        <v>0</v>
      </c>
      <c r="M923" s="4">
        <v>0</v>
      </c>
      <c r="N923" s="3">
        <v>1021</v>
      </c>
      <c r="O923" s="4">
        <v>4.5999999999999999E-2</v>
      </c>
      <c r="P923" s="1" t="s">
        <v>2721</v>
      </c>
    </row>
    <row r="924" spans="1:16">
      <c r="A924" s="1" t="s">
        <v>15</v>
      </c>
      <c r="B924" s="1">
        <v>12</v>
      </c>
      <c r="C924" s="1" t="s">
        <v>145</v>
      </c>
      <c r="D924" s="1" t="s">
        <v>146</v>
      </c>
      <c r="E924" s="2">
        <v>45994</v>
      </c>
      <c r="F924" s="1" t="s">
        <v>96</v>
      </c>
      <c r="G924" s="1" t="s">
        <v>147</v>
      </c>
      <c r="H924" s="1" t="s">
        <v>148</v>
      </c>
      <c r="I924" s="1">
        <v>1</v>
      </c>
      <c r="J924" s="3">
        <v>8863</v>
      </c>
      <c r="K924" s="3">
        <v>8457</v>
      </c>
      <c r="L924" s="1">
        <v>0</v>
      </c>
      <c r="M924" s="4">
        <v>0</v>
      </c>
      <c r="N924" s="3">
        <v>406</v>
      </c>
      <c r="O924" s="4">
        <v>4.5999999999999999E-2</v>
      </c>
      <c r="P924" s="1" t="s">
        <v>2721</v>
      </c>
    </row>
    <row r="925" spans="1:16">
      <c r="A925" s="1" t="s">
        <v>15</v>
      </c>
      <c r="B925" s="1">
        <v>12</v>
      </c>
      <c r="C925" s="1" t="s">
        <v>149</v>
      </c>
      <c r="D925" s="1" t="s">
        <v>150</v>
      </c>
      <c r="E925" s="2">
        <v>45994</v>
      </c>
      <c r="F925" s="1" t="s">
        <v>151</v>
      </c>
      <c r="G925" s="1" t="s">
        <v>152</v>
      </c>
      <c r="H925" s="1" t="s">
        <v>152</v>
      </c>
      <c r="I925" s="1">
        <v>2</v>
      </c>
      <c r="J925" s="3">
        <v>72742</v>
      </c>
      <c r="K925" s="3">
        <v>69412</v>
      </c>
      <c r="L925" s="1">
        <v>0</v>
      </c>
      <c r="M925" s="4">
        <v>0</v>
      </c>
      <c r="N925" s="3">
        <v>3330</v>
      </c>
      <c r="O925" s="4">
        <v>4.5999999999999999E-2</v>
      </c>
      <c r="P925" s="1" t="s">
        <v>2721</v>
      </c>
    </row>
    <row r="926" spans="1:16">
      <c r="A926" s="1" t="s">
        <v>15</v>
      </c>
      <c r="B926" s="1">
        <v>12</v>
      </c>
      <c r="C926" s="1" t="s">
        <v>153</v>
      </c>
      <c r="D926" s="1" t="s">
        <v>154</v>
      </c>
      <c r="E926" s="2">
        <v>45994</v>
      </c>
      <c r="F926" s="1" t="s">
        <v>155</v>
      </c>
      <c r="G926" s="1" t="s">
        <v>156</v>
      </c>
      <c r="H926" s="1" t="s">
        <v>157</v>
      </c>
      <c r="I926" s="1">
        <v>1</v>
      </c>
      <c r="J926" s="3">
        <v>40696</v>
      </c>
      <c r="K926" s="3">
        <v>38833</v>
      </c>
      <c r="L926" s="1">
        <v>0</v>
      </c>
      <c r="M926" s="4">
        <v>0</v>
      </c>
      <c r="N926" s="3">
        <v>1863</v>
      </c>
      <c r="O926" s="4">
        <v>4.5999999999999999E-2</v>
      </c>
      <c r="P926" s="1" t="s">
        <v>2721</v>
      </c>
    </row>
    <row r="927" spans="1:16">
      <c r="A927" s="1" t="s">
        <v>15</v>
      </c>
      <c r="B927" s="1">
        <v>12</v>
      </c>
      <c r="C927" s="1" t="s">
        <v>158</v>
      </c>
      <c r="D927" s="1" t="s">
        <v>154</v>
      </c>
      <c r="E927" s="2">
        <v>45994</v>
      </c>
      <c r="F927" s="1" t="s">
        <v>155</v>
      </c>
      <c r="G927" s="1" t="s">
        <v>156</v>
      </c>
      <c r="H927" s="1" t="s">
        <v>157</v>
      </c>
      <c r="I927" s="1">
        <v>1</v>
      </c>
      <c r="J927" s="3">
        <v>40696</v>
      </c>
      <c r="K927" s="3">
        <v>38833</v>
      </c>
      <c r="L927" s="1">
        <v>0</v>
      </c>
      <c r="M927" s="4">
        <v>0</v>
      </c>
      <c r="N927" s="3">
        <v>1863</v>
      </c>
      <c r="O927" s="4">
        <v>4.5999999999999999E-2</v>
      </c>
      <c r="P927" s="1" t="s">
        <v>2721</v>
      </c>
    </row>
    <row r="928" spans="1:16">
      <c r="A928" s="1" t="s">
        <v>15</v>
      </c>
      <c r="B928" s="1">
        <v>12</v>
      </c>
      <c r="C928" s="1" t="s">
        <v>159</v>
      </c>
      <c r="D928" s="1" t="s">
        <v>160</v>
      </c>
      <c r="E928" s="2">
        <v>45994</v>
      </c>
      <c r="F928" s="1" t="s">
        <v>161</v>
      </c>
      <c r="G928" s="1" t="s">
        <v>162</v>
      </c>
      <c r="H928" s="1" t="s">
        <v>163</v>
      </c>
      <c r="I928" s="1">
        <v>1</v>
      </c>
      <c r="J928" s="3">
        <v>9928</v>
      </c>
      <c r="K928" s="3">
        <v>9474</v>
      </c>
      <c r="L928" s="1">
        <v>0</v>
      </c>
      <c r="M928" s="4">
        <v>0</v>
      </c>
      <c r="N928" s="3">
        <v>454</v>
      </c>
      <c r="O928" s="4">
        <v>4.5999999999999999E-2</v>
      </c>
      <c r="P928" s="1" t="s">
        <v>2721</v>
      </c>
    </row>
    <row r="929" spans="1:16">
      <c r="A929" s="1" t="s">
        <v>15</v>
      </c>
      <c r="B929" s="1">
        <v>12</v>
      </c>
      <c r="C929" s="1" t="s">
        <v>164</v>
      </c>
      <c r="D929" s="1" t="s">
        <v>165</v>
      </c>
      <c r="E929" s="2">
        <v>45994</v>
      </c>
      <c r="F929" s="1" t="s">
        <v>48</v>
      </c>
      <c r="G929" s="1" t="s">
        <v>166</v>
      </c>
      <c r="H929" s="1" t="s">
        <v>167</v>
      </c>
      <c r="I929" s="1">
        <v>1</v>
      </c>
      <c r="J929" s="3">
        <v>31562</v>
      </c>
      <c r="K929" s="3">
        <v>30117</v>
      </c>
      <c r="L929" s="1">
        <v>0</v>
      </c>
      <c r="M929" s="4">
        <v>0</v>
      </c>
      <c r="N929" s="3">
        <v>1445</v>
      </c>
      <c r="O929" s="4">
        <v>4.5999999999999999E-2</v>
      </c>
      <c r="P929" s="1" t="s">
        <v>2721</v>
      </c>
    </row>
    <row r="930" spans="1:16">
      <c r="A930" s="1" t="s">
        <v>15</v>
      </c>
      <c r="B930" s="1">
        <v>12</v>
      </c>
      <c r="C930" s="1" t="s">
        <v>168</v>
      </c>
      <c r="D930" s="1" t="s">
        <v>169</v>
      </c>
      <c r="E930" s="2">
        <v>45994</v>
      </c>
      <c r="F930" s="1" t="s">
        <v>53</v>
      </c>
      <c r="G930" s="1" t="s">
        <v>170</v>
      </c>
      <c r="H930" s="1" t="s">
        <v>171</v>
      </c>
      <c r="I930" s="1">
        <v>1</v>
      </c>
      <c r="J930" s="3">
        <v>14332</v>
      </c>
      <c r="K930" s="3">
        <v>13676</v>
      </c>
      <c r="L930" s="1">
        <v>0</v>
      </c>
      <c r="M930" s="4">
        <v>0</v>
      </c>
      <c r="N930" s="1">
        <v>656</v>
      </c>
      <c r="O930" s="4">
        <v>4.5999999999999999E-2</v>
      </c>
      <c r="P930" s="1" t="s">
        <v>2721</v>
      </c>
    </row>
    <row r="931" spans="1:16">
      <c r="A931" s="1" t="s">
        <v>15</v>
      </c>
      <c r="B931" s="1">
        <v>12</v>
      </c>
      <c r="C931" s="1" t="s">
        <v>172</v>
      </c>
      <c r="D931" s="1" t="s">
        <v>173</v>
      </c>
      <c r="E931" s="2">
        <v>45994</v>
      </c>
      <c r="F931" s="1" t="s">
        <v>174</v>
      </c>
      <c r="G931" s="1" t="s">
        <v>175</v>
      </c>
      <c r="H931" s="1" t="s">
        <v>176</v>
      </c>
      <c r="I931" s="1">
        <v>1</v>
      </c>
      <c r="J931" s="3">
        <v>17989</v>
      </c>
      <c r="K931" s="3">
        <v>17165</v>
      </c>
      <c r="L931" s="1">
        <v>0</v>
      </c>
      <c r="M931" s="4">
        <v>0</v>
      </c>
      <c r="N931" s="1">
        <v>824</v>
      </c>
      <c r="O931" s="4">
        <v>4.5999999999999999E-2</v>
      </c>
      <c r="P931" s="1" t="s">
        <v>2721</v>
      </c>
    </row>
    <row r="932" spans="1:16">
      <c r="A932" s="1" t="s">
        <v>15</v>
      </c>
      <c r="B932" s="1">
        <v>12</v>
      </c>
      <c r="C932" s="1" t="s">
        <v>177</v>
      </c>
      <c r="D932" s="1" t="s">
        <v>178</v>
      </c>
      <c r="E932" s="2">
        <v>45994</v>
      </c>
      <c r="F932" s="1" t="s">
        <v>96</v>
      </c>
      <c r="G932" s="1" t="s">
        <v>179</v>
      </c>
      <c r="H932" s="1" t="s">
        <v>180</v>
      </c>
      <c r="I932" s="1">
        <v>1</v>
      </c>
      <c r="J932" s="3">
        <v>15284</v>
      </c>
      <c r="K932" s="3">
        <v>14584</v>
      </c>
      <c r="L932" s="1">
        <v>0</v>
      </c>
      <c r="M932" s="4">
        <v>0</v>
      </c>
      <c r="N932" s="1">
        <v>700</v>
      </c>
      <c r="O932" s="4">
        <v>4.5999999999999999E-2</v>
      </c>
      <c r="P932" s="1" t="s">
        <v>2721</v>
      </c>
    </row>
    <row r="933" spans="1:16">
      <c r="A933" s="1" t="s">
        <v>15</v>
      </c>
      <c r="B933" s="1">
        <v>12</v>
      </c>
      <c r="C933" s="1" t="s">
        <v>181</v>
      </c>
      <c r="D933" s="1" t="s">
        <v>182</v>
      </c>
      <c r="E933" s="2">
        <v>45994</v>
      </c>
      <c r="F933" s="1" t="s">
        <v>53</v>
      </c>
      <c r="G933" s="1" t="s">
        <v>183</v>
      </c>
      <c r="H933" s="1" t="s">
        <v>184</v>
      </c>
      <c r="I933" s="1">
        <v>1</v>
      </c>
      <c r="J933" s="3">
        <v>6219</v>
      </c>
      <c r="K933" s="3">
        <v>5935</v>
      </c>
      <c r="L933" s="1">
        <v>0</v>
      </c>
      <c r="M933" s="4">
        <v>0</v>
      </c>
      <c r="N933" s="1">
        <v>284</v>
      </c>
      <c r="O933" s="4">
        <v>4.5999999999999999E-2</v>
      </c>
      <c r="P933" s="1" t="s">
        <v>2721</v>
      </c>
    </row>
    <row r="934" spans="1:16">
      <c r="A934" s="1" t="s">
        <v>15</v>
      </c>
      <c r="B934" s="1">
        <v>12</v>
      </c>
      <c r="C934" s="1" t="s">
        <v>185</v>
      </c>
      <c r="D934" s="1" t="s">
        <v>186</v>
      </c>
      <c r="E934" s="2">
        <v>45994</v>
      </c>
      <c r="F934" s="1" t="s">
        <v>187</v>
      </c>
      <c r="G934" s="1" t="s">
        <v>188</v>
      </c>
      <c r="H934" s="1" t="s">
        <v>189</v>
      </c>
      <c r="I934" s="1">
        <v>1</v>
      </c>
      <c r="J934" s="3">
        <v>19660</v>
      </c>
      <c r="K934" s="3">
        <v>18760</v>
      </c>
      <c r="L934" s="1">
        <v>0</v>
      </c>
      <c r="M934" s="4">
        <v>0</v>
      </c>
      <c r="N934" s="3">
        <v>900</v>
      </c>
      <c r="O934" s="4">
        <v>4.5999999999999999E-2</v>
      </c>
      <c r="P934" s="1" t="s">
        <v>2721</v>
      </c>
    </row>
    <row r="935" spans="1:16">
      <c r="A935" s="1" t="s">
        <v>15</v>
      </c>
      <c r="B935" s="1">
        <v>12</v>
      </c>
      <c r="C935" s="1" t="s">
        <v>190</v>
      </c>
      <c r="D935" s="1" t="s">
        <v>165</v>
      </c>
      <c r="E935" s="2">
        <v>45994</v>
      </c>
      <c r="F935" s="1" t="s">
        <v>48</v>
      </c>
      <c r="G935" s="1" t="s">
        <v>166</v>
      </c>
      <c r="H935" s="1" t="s">
        <v>167</v>
      </c>
      <c r="I935" s="1">
        <v>1</v>
      </c>
      <c r="J935" s="3">
        <v>31562</v>
      </c>
      <c r="K935" s="3">
        <v>30117</v>
      </c>
      <c r="L935" s="1">
        <v>0</v>
      </c>
      <c r="M935" s="4">
        <v>0</v>
      </c>
      <c r="N935" s="3">
        <v>1445</v>
      </c>
      <c r="O935" s="4">
        <v>4.5999999999999999E-2</v>
      </c>
      <c r="P935" s="1" t="s">
        <v>2721</v>
      </c>
    </row>
    <row r="936" spans="1:16">
      <c r="A936" s="1" t="s">
        <v>15</v>
      </c>
      <c r="B936" s="1">
        <v>12</v>
      </c>
      <c r="C936" s="1" t="s">
        <v>191</v>
      </c>
      <c r="D936" s="1" t="s">
        <v>165</v>
      </c>
      <c r="E936" s="2">
        <v>45994</v>
      </c>
      <c r="F936" s="1" t="s">
        <v>48</v>
      </c>
      <c r="G936" s="1" t="s">
        <v>166</v>
      </c>
      <c r="H936" s="1" t="s">
        <v>167</v>
      </c>
      <c r="I936" s="1">
        <v>1</v>
      </c>
      <c r="J936" s="3">
        <v>31562</v>
      </c>
      <c r="K936" s="3">
        <v>30117</v>
      </c>
      <c r="L936" s="1">
        <v>0</v>
      </c>
      <c r="M936" s="4">
        <v>0</v>
      </c>
      <c r="N936" s="3">
        <v>1445</v>
      </c>
      <c r="O936" s="4">
        <v>4.5999999999999999E-2</v>
      </c>
      <c r="P936" s="1" t="s">
        <v>2721</v>
      </c>
    </row>
    <row r="937" spans="1:16">
      <c r="A937" s="1" t="s">
        <v>15</v>
      </c>
      <c r="B937" s="1">
        <v>12</v>
      </c>
      <c r="C937" s="1" t="s">
        <v>192</v>
      </c>
      <c r="D937" s="1" t="s">
        <v>154</v>
      </c>
      <c r="E937" s="2">
        <v>45994</v>
      </c>
      <c r="F937" s="1" t="s">
        <v>155</v>
      </c>
      <c r="G937" s="1" t="s">
        <v>156</v>
      </c>
      <c r="H937" s="1" t="s">
        <v>193</v>
      </c>
      <c r="I937" s="1">
        <v>1</v>
      </c>
      <c r="J937" s="3">
        <v>13565</v>
      </c>
      <c r="K937" s="3">
        <v>12944</v>
      </c>
      <c r="L937" s="1">
        <v>0</v>
      </c>
      <c r="M937" s="4">
        <v>0</v>
      </c>
      <c r="N937" s="1">
        <v>621</v>
      </c>
      <c r="O937" s="4">
        <v>4.5999999999999999E-2</v>
      </c>
      <c r="P937" s="1" t="s">
        <v>2721</v>
      </c>
    </row>
    <row r="938" spans="1:16">
      <c r="A938" s="1" t="s">
        <v>15</v>
      </c>
      <c r="B938" s="1">
        <v>12</v>
      </c>
      <c r="C938" s="1" t="s">
        <v>194</v>
      </c>
      <c r="D938" s="1" t="s">
        <v>195</v>
      </c>
      <c r="E938" s="2">
        <v>45994</v>
      </c>
      <c r="F938" s="1" t="s">
        <v>126</v>
      </c>
      <c r="G938" s="1" t="s">
        <v>196</v>
      </c>
      <c r="H938" s="1" t="s">
        <v>197</v>
      </c>
      <c r="I938" s="1">
        <v>1</v>
      </c>
      <c r="J938" s="3">
        <v>13762</v>
      </c>
      <c r="K938" s="3">
        <v>13132</v>
      </c>
      <c r="L938" s="1">
        <v>0</v>
      </c>
      <c r="M938" s="4">
        <v>0</v>
      </c>
      <c r="N938" s="3">
        <v>630</v>
      </c>
      <c r="O938" s="4">
        <v>4.5999999999999999E-2</v>
      </c>
      <c r="P938" s="1" t="s">
        <v>2721</v>
      </c>
    </row>
    <row r="939" spans="1:16">
      <c r="A939" s="1" t="s">
        <v>15</v>
      </c>
      <c r="B939" s="1">
        <v>12</v>
      </c>
      <c r="C939" s="1" t="s">
        <v>198</v>
      </c>
      <c r="D939" s="1" t="s">
        <v>199</v>
      </c>
      <c r="E939" s="2">
        <v>45994</v>
      </c>
      <c r="F939" s="1" t="s">
        <v>200</v>
      </c>
      <c r="G939" s="1" t="s">
        <v>201</v>
      </c>
      <c r="H939" s="1" t="s">
        <v>202</v>
      </c>
      <c r="I939" s="1">
        <v>1</v>
      </c>
      <c r="J939" s="3">
        <v>30965</v>
      </c>
      <c r="K939" s="3">
        <v>29547</v>
      </c>
      <c r="L939" s="1">
        <v>0</v>
      </c>
      <c r="M939" s="4">
        <v>0</v>
      </c>
      <c r="N939" s="3">
        <v>1418</v>
      </c>
      <c r="O939" s="4">
        <v>4.5999999999999999E-2</v>
      </c>
      <c r="P939" s="1" t="s">
        <v>2721</v>
      </c>
    </row>
    <row r="940" spans="1:16">
      <c r="A940" s="1" t="s">
        <v>15</v>
      </c>
      <c r="B940" s="1">
        <v>12</v>
      </c>
      <c r="C940" s="1" t="s">
        <v>203</v>
      </c>
      <c r="D940" s="1" t="s">
        <v>204</v>
      </c>
      <c r="E940" s="2">
        <v>45994</v>
      </c>
      <c r="F940" s="1" t="s">
        <v>53</v>
      </c>
      <c r="G940" s="1" t="s">
        <v>205</v>
      </c>
      <c r="H940" s="1" t="s">
        <v>206</v>
      </c>
      <c r="I940" s="1">
        <v>1</v>
      </c>
      <c r="J940" s="3">
        <v>5318</v>
      </c>
      <c r="K940" s="3">
        <v>5075</v>
      </c>
      <c r="L940" s="1">
        <v>0</v>
      </c>
      <c r="M940" s="4">
        <v>0</v>
      </c>
      <c r="N940" s="1">
        <v>243</v>
      </c>
      <c r="O940" s="4">
        <v>4.5999999999999999E-2</v>
      </c>
      <c r="P940" s="1" t="s">
        <v>2721</v>
      </c>
    </row>
    <row r="941" spans="1:16">
      <c r="A941" s="1" t="s">
        <v>15</v>
      </c>
      <c r="B941" s="1">
        <v>12</v>
      </c>
      <c r="C941" s="1" t="s">
        <v>207</v>
      </c>
      <c r="D941" s="1" t="s">
        <v>208</v>
      </c>
      <c r="E941" s="2">
        <v>45994</v>
      </c>
      <c r="F941" s="1" t="s">
        <v>126</v>
      </c>
      <c r="G941" s="1" t="s">
        <v>209</v>
      </c>
      <c r="H941" s="1" t="s">
        <v>210</v>
      </c>
      <c r="I941" s="1">
        <v>1</v>
      </c>
      <c r="J941" s="3">
        <v>19267</v>
      </c>
      <c r="K941" s="3">
        <v>18385</v>
      </c>
      <c r="L941" s="1">
        <v>0</v>
      </c>
      <c r="M941" s="4">
        <v>0</v>
      </c>
      <c r="N941" s="1">
        <v>882</v>
      </c>
      <c r="O941" s="4">
        <v>4.5999999999999999E-2</v>
      </c>
      <c r="P941" s="1" t="s">
        <v>2721</v>
      </c>
    </row>
    <row r="942" spans="1:16">
      <c r="A942" s="1" t="s">
        <v>15</v>
      </c>
      <c r="B942" s="1">
        <v>12</v>
      </c>
      <c r="C942" s="1" t="s">
        <v>211</v>
      </c>
      <c r="D942" s="1" t="s">
        <v>212</v>
      </c>
      <c r="E942" s="2">
        <v>45994</v>
      </c>
      <c r="F942" s="1" t="s">
        <v>213</v>
      </c>
      <c r="G942" s="1" t="s">
        <v>214</v>
      </c>
      <c r="H942" s="1" t="s">
        <v>215</v>
      </c>
      <c r="I942" s="1">
        <v>1</v>
      </c>
      <c r="J942" s="3">
        <v>16220</v>
      </c>
      <c r="K942" s="3">
        <v>15477</v>
      </c>
      <c r="L942" s="1">
        <v>0</v>
      </c>
      <c r="M942" s="4">
        <v>0</v>
      </c>
      <c r="N942" s="1">
        <v>743</v>
      </c>
      <c r="O942" s="4">
        <v>4.5999999999999999E-2</v>
      </c>
      <c r="P942" s="1" t="s">
        <v>2721</v>
      </c>
    </row>
    <row r="943" spans="1:16">
      <c r="A943" s="1" t="s">
        <v>15</v>
      </c>
      <c r="B943" s="1">
        <v>12</v>
      </c>
      <c r="C943" s="1" t="s">
        <v>216</v>
      </c>
      <c r="D943" s="1" t="s">
        <v>217</v>
      </c>
      <c r="E943" s="2">
        <v>45994</v>
      </c>
      <c r="F943" s="1" t="s">
        <v>63</v>
      </c>
      <c r="G943" s="1" t="s">
        <v>218</v>
      </c>
      <c r="H943" s="1" t="s">
        <v>219</v>
      </c>
      <c r="I943" s="1">
        <v>1</v>
      </c>
      <c r="J943" s="3">
        <v>6761</v>
      </c>
      <c r="K943" s="3">
        <v>6452</v>
      </c>
      <c r="L943" s="1">
        <v>0</v>
      </c>
      <c r="M943" s="4">
        <v>0</v>
      </c>
      <c r="N943" s="1">
        <v>309</v>
      </c>
      <c r="O943" s="4">
        <v>4.5999999999999999E-2</v>
      </c>
      <c r="P943" s="1" t="s">
        <v>2721</v>
      </c>
    </row>
    <row r="944" spans="1:16">
      <c r="A944" s="1" t="s">
        <v>15</v>
      </c>
      <c r="B944" s="1">
        <v>12</v>
      </c>
      <c r="C944" s="1" t="s">
        <v>220</v>
      </c>
      <c r="D944" s="1" t="s">
        <v>221</v>
      </c>
      <c r="E944" s="2">
        <v>45994</v>
      </c>
      <c r="F944" s="1" t="s">
        <v>96</v>
      </c>
      <c r="G944" s="1" t="s">
        <v>222</v>
      </c>
      <c r="H944" s="1" t="s">
        <v>223</v>
      </c>
      <c r="I944" s="1">
        <v>1</v>
      </c>
      <c r="J944" s="3">
        <v>12571</v>
      </c>
      <c r="K944" s="3">
        <v>11995</v>
      </c>
      <c r="L944" s="1">
        <v>0</v>
      </c>
      <c r="M944" s="4">
        <v>0</v>
      </c>
      <c r="N944" s="1">
        <v>576</v>
      </c>
      <c r="O944" s="4">
        <v>4.5999999999999999E-2</v>
      </c>
      <c r="P944" s="1" t="s">
        <v>2721</v>
      </c>
    </row>
    <row r="945" spans="1:16">
      <c r="A945" s="1" t="s">
        <v>15</v>
      </c>
      <c r="B945" s="1">
        <v>12</v>
      </c>
      <c r="C945" s="1" t="s">
        <v>220</v>
      </c>
      <c r="D945" s="1" t="s">
        <v>224</v>
      </c>
      <c r="E945" s="2">
        <v>45994</v>
      </c>
      <c r="F945" s="1" t="s">
        <v>96</v>
      </c>
      <c r="G945" s="1" t="s">
        <v>225</v>
      </c>
      <c r="H945" s="1" t="s">
        <v>226</v>
      </c>
      <c r="I945" s="1">
        <v>1</v>
      </c>
      <c r="J945" s="3">
        <v>12571</v>
      </c>
      <c r="K945" s="3">
        <v>11995</v>
      </c>
      <c r="L945" s="1">
        <v>0</v>
      </c>
      <c r="M945" s="4">
        <v>0</v>
      </c>
      <c r="N945" s="1">
        <v>576</v>
      </c>
      <c r="O945" s="4">
        <v>4.5999999999999999E-2</v>
      </c>
      <c r="P945" s="1" t="s">
        <v>2721</v>
      </c>
    </row>
    <row r="946" spans="1:16">
      <c r="A946" s="1" t="s">
        <v>15</v>
      </c>
      <c r="B946" s="1">
        <v>12</v>
      </c>
      <c r="C946" s="1" t="s">
        <v>220</v>
      </c>
      <c r="D946" s="1" t="s">
        <v>104</v>
      </c>
      <c r="E946" s="2">
        <v>45994</v>
      </c>
      <c r="F946" s="1" t="s">
        <v>96</v>
      </c>
      <c r="G946" s="1" t="s">
        <v>105</v>
      </c>
      <c r="H946" s="1" t="s">
        <v>106</v>
      </c>
      <c r="I946" s="1">
        <v>1</v>
      </c>
      <c r="J946" s="3">
        <v>21614</v>
      </c>
      <c r="K946" s="3">
        <v>20625</v>
      </c>
      <c r="L946" s="1">
        <v>0</v>
      </c>
      <c r="M946" s="4">
        <v>0</v>
      </c>
      <c r="N946" s="1">
        <v>989</v>
      </c>
      <c r="O946" s="4">
        <v>4.5999999999999999E-2</v>
      </c>
      <c r="P946" s="1" t="s">
        <v>2721</v>
      </c>
    </row>
    <row r="947" spans="1:16">
      <c r="A947" s="1" t="s">
        <v>15</v>
      </c>
      <c r="B947" s="1">
        <v>12</v>
      </c>
      <c r="C947" s="1" t="s">
        <v>227</v>
      </c>
      <c r="D947" s="1" t="s">
        <v>228</v>
      </c>
      <c r="E947" s="2">
        <v>45994</v>
      </c>
      <c r="F947" s="1" t="s">
        <v>53</v>
      </c>
      <c r="G947" s="1" t="s">
        <v>229</v>
      </c>
      <c r="H947" s="1" t="s">
        <v>230</v>
      </c>
      <c r="I947" s="1">
        <v>1</v>
      </c>
      <c r="J947" s="3">
        <v>9825</v>
      </c>
      <c r="K947" s="3">
        <v>9375</v>
      </c>
      <c r="L947" s="1">
        <v>0</v>
      </c>
      <c r="M947" s="4">
        <v>0</v>
      </c>
      <c r="N947" s="1">
        <v>450</v>
      </c>
      <c r="O947" s="4">
        <v>4.5999999999999999E-2</v>
      </c>
      <c r="P947" s="1" t="s">
        <v>2721</v>
      </c>
    </row>
    <row r="948" spans="1:16">
      <c r="A948" s="1" t="s">
        <v>15</v>
      </c>
      <c r="B948" s="1">
        <v>12</v>
      </c>
      <c r="C948" s="1" t="s">
        <v>231</v>
      </c>
      <c r="D948" s="1" t="s">
        <v>132</v>
      </c>
      <c r="E948" s="2">
        <v>45994</v>
      </c>
      <c r="F948" s="1" t="s">
        <v>53</v>
      </c>
      <c r="G948" s="1" t="s">
        <v>133</v>
      </c>
      <c r="H948" s="1" t="s">
        <v>88</v>
      </c>
      <c r="I948" s="1">
        <v>1</v>
      </c>
      <c r="J948" s="3">
        <v>17036</v>
      </c>
      <c r="K948" s="3">
        <v>16256</v>
      </c>
      <c r="L948" s="1">
        <v>0</v>
      </c>
      <c r="M948" s="4">
        <v>0</v>
      </c>
      <c r="N948" s="1">
        <v>780</v>
      </c>
      <c r="O948" s="4">
        <v>4.5999999999999999E-2</v>
      </c>
      <c r="P948" s="1" t="s">
        <v>2721</v>
      </c>
    </row>
    <row r="949" spans="1:16">
      <c r="A949" s="1" t="s">
        <v>15</v>
      </c>
      <c r="B949" s="1">
        <v>12</v>
      </c>
      <c r="C949" s="1" t="s">
        <v>232</v>
      </c>
      <c r="D949" s="1" t="s">
        <v>72</v>
      </c>
      <c r="E949" s="2">
        <v>45994</v>
      </c>
      <c r="F949" s="1" t="s">
        <v>63</v>
      </c>
      <c r="G949" s="1" t="s">
        <v>73</v>
      </c>
      <c r="H949" s="1" t="s">
        <v>74</v>
      </c>
      <c r="I949" s="1">
        <v>1</v>
      </c>
      <c r="J949" s="3">
        <v>10456</v>
      </c>
      <c r="K949" s="3">
        <v>9978</v>
      </c>
      <c r="L949" s="1">
        <v>0</v>
      </c>
      <c r="M949" s="4">
        <v>0</v>
      </c>
      <c r="N949" s="1">
        <v>478</v>
      </c>
      <c r="O949" s="4">
        <v>4.5999999999999999E-2</v>
      </c>
      <c r="P949" s="1" t="s">
        <v>2721</v>
      </c>
    </row>
    <row r="950" spans="1:16">
      <c r="A950" s="1" t="s">
        <v>15</v>
      </c>
      <c r="B950" s="1">
        <v>12</v>
      </c>
      <c r="C950" s="1" t="s">
        <v>233</v>
      </c>
      <c r="D950" s="1" t="s">
        <v>234</v>
      </c>
      <c r="E950" s="2">
        <v>45994</v>
      </c>
      <c r="F950" s="1" t="s">
        <v>235</v>
      </c>
      <c r="G950" s="1" t="s">
        <v>236</v>
      </c>
      <c r="H950" s="1" t="s">
        <v>236</v>
      </c>
      <c r="I950" s="1">
        <v>1</v>
      </c>
      <c r="J950" s="3">
        <v>10605</v>
      </c>
      <c r="K950" s="3">
        <v>10119</v>
      </c>
      <c r="L950" s="1">
        <v>0</v>
      </c>
      <c r="M950" s="4">
        <v>0</v>
      </c>
      <c r="N950" s="1">
        <v>486</v>
      </c>
      <c r="O950" s="4">
        <v>4.5999999999999999E-2</v>
      </c>
      <c r="P950" s="1" t="s">
        <v>2721</v>
      </c>
    </row>
    <row r="951" spans="1:16">
      <c r="A951" s="1" t="s">
        <v>15</v>
      </c>
      <c r="B951" s="1">
        <v>12</v>
      </c>
      <c r="C951" s="1" t="s">
        <v>237</v>
      </c>
      <c r="D951" s="1" t="s">
        <v>238</v>
      </c>
      <c r="E951" s="2">
        <v>45994</v>
      </c>
      <c r="F951" s="1" t="s">
        <v>239</v>
      </c>
      <c r="G951" s="1" t="s">
        <v>240</v>
      </c>
      <c r="H951" s="1" t="s">
        <v>241</v>
      </c>
      <c r="I951" s="1">
        <v>1</v>
      </c>
      <c r="J951" s="3">
        <v>11305</v>
      </c>
      <c r="K951" s="3">
        <v>10787</v>
      </c>
      <c r="L951" s="1">
        <v>0</v>
      </c>
      <c r="M951" s="4">
        <v>0</v>
      </c>
      <c r="N951" s="1">
        <v>518</v>
      </c>
      <c r="O951" s="4">
        <v>4.5999999999999999E-2</v>
      </c>
      <c r="P951" s="1" t="s">
        <v>2721</v>
      </c>
    </row>
    <row r="952" spans="1:16">
      <c r="A952" s="1" t="s">
        <v>15</v>
      </c>
      <c r="B952" s="1">
        <v>12</v>
      </c>
      <c r="C952" s="1" t="s">
        <v>237</v>
      </c>
      <c r="D952" s="1" t="s">
        <v>238</v>
      </c>
      <c r="E952" s="2">
        <v>45994</v>
      </c>
      <c r="F952" s="1" t="s">
        <v>239</v>
      </c>
      <c r="G952" s="1" t="s">
        <v>240</v>
      </c>
      <c r="H952" s="1" t="s">
        <v>242</v>
      </c>
      <c r="I952" s="1">
        <v>1</v>
      </c>
      <c r="J952" s="3">
        <v>11305</v>
      </c>
      <c r="K952" s="3">
        <v>10787</v>
      </c>
      <c r="L952" s="1">
        <v>0</v>
      </c>
      <c r="M952" s="4">
        <v>0</v>
      </c>
      <c r="N952" s="1">
        <v>518</v>
      </c>
      <c r="O952" s="4">
        <v>4.5999999999999999E-2</v>
      </c>
      <c r="P952" s="1" t="s">
        <v>2721</v>
      </c>
    </row>
    <row r="953" spans="1:16">
      <c r="A953" s="1" t="s">
        <v>15</v>
      </c>
      <c r="B953" s="1">
        <v>12</v>
      </c>
      <c r="C953" s="1" t="s">
        <v>243</v>
      </c>
      <c r="D953" s="1" t="s">
        <v>244</v>
      </c>
      <c r="E953" s="2">
        <v>45994</v>
      </c>
      <c r="F953" s="1" t="s">
        <v>53</v>
      </c>
      <c r="G953" s="1" t="s">
        <v>245</v>
      </c>
      <c r="H953" s="1" t="s">
        <v>246</v>
      </c>
      <c r="I953" s="1">
        <v>1</v>
      </c>
      <c r="J953" s="3">
        <v>10726</v>
      </c>
      <c r="K953" s="3">
        <v>10235</v>
      </c>
      <c r="L953" s="1">
        <v>0</v>
      </c>
      <c r="M953" s="4">
        <v>0</v>
      </c>
      <c r="N953" s="1">
        <v>491</v>
      </c>
      <c r="O953" s="4">
        <v>4.5999999999999999E-2</v>
      </c>
      <c r="P953" s="1" t="s">
        <v>2721</v>
      </c>
    </row>
    <row r="954" spans="1:16">
      <c r="A954" s="1" t="s">
        <v>15</v>
      </c>
      <c r="B954" s="1">
        <v>12</v>
      </c>
      <c r="C954" s="1" t="s">
        <v>247</v>
      </c>
      <c r="D954" s="1" t="s">
        <v>52</v>
      </c>
      <c r="E954" s="2">
        <v>45994</v>
      </c>
      <c r="F954" s="1" t="s">
        <v>53</v>
      </c>
      <c r="G954" s="1" t="s">
        <v>54</v>
      </c>
      <c r="H954" s="1" t="s">
        <v>248</v>
      </c>
      <c r="I954" s="1">
        <v>1</v>
      </c>
      <c r="J954" s="3">
        <v>16135</v>
      </c>
      <c r="K954" s="3">
        <v>15396</v>
      </c>
      <c r="L954" s="1">
        <v>0</v>
      </c>
      <c r="M954" s="4">
        <v>0</v>
      </c>
      <c r="N954" s="1">
        <v>739</v>
      </c>
      <c r="O954" s="4">
        <v>4.5999999999999999E-2</v>
      </c>
      <c r="P954" s="1" t="s">
        <v>2721</v>
      </c>
    </row>
    <row r="955" spans="1:16">
      <c r="A955" s="1" t="s">
        <v>15</v>
      </c>
      <c r="B955" s="1">
        <v>12</v>
      </c>
      <c r="C955" s="1" t="s">
        <v>249</v>
      </c>
      <c r="D955" s="1" t="s">
        <v>250</v>
      </c>
      <c r="E955" s="2">
        <v>45994</v>
      </c>
      <c r="F955" s="1" t="s">
        <v>251</v>
      </c>
      <c r="G955" s="1" t="s">
        <v>252</v>
      </c>
      <c r="H955" s="1" t="s">
        <v>253</v>
      </c>
      <c r="I955" s="1">
        <v>1</v>
      </c>
      <c r="J955" s="3">
        <v>17203</v>
      </c>
      <c r="K955" s="3">
        <v>16415</v>
      </c>
      <c r="L955" s="1">
        <v>0</v>
      </c>
      <c r="M955" s="4">
        <v>0</v>
      </c>
      <c r="N955" s="1">
        <v>788</v>
      </c>
      <c r="O955" s="4">
        <v>4.5999999999999999E-2</v>
      </c>
      <c r="P955" s="1" t="s">
        <v>2721</v>
      </c>
    </row>
    <row r="956" spans="1:16">
      <c r="A956" s="1" t="s">
        <v>15</v>
      </c>
      <c r="B956" s="1">
        <v>12</v>
      </c>
      <c r="C956" s="1" t="s">
        <v>254</v>
      </c>
      <c r="D956" s="1" t="s">
        <v>255</v>
      </c>
      <c r="E956" s="2">
        <v>45994</v>
      </c>
      <c r="F956" s="1" t="s">
        <v>256</v>
      </c>
      <c r="G956" s="1" t="s">
        <v>257</v>
      </c>
      <c r="H956" s="1" t="s">
        <v>258</v>
      </c>
      <c r="I956" s="1">
        <v>1</v>
      </c>
      <c r="J956" s="3">
        <v>13860</v>
      </c>
      <c r="K956" s="3">
        <v>13226</v>
      </c>
      <c r="L956" s="1">
        <v>0</v>
      </c>
      <c r="M956" s="4">
        <v>0</v>
      </c>
      <c r="N956" s="3">
        <v>634</v>
      </c>
      <c r="O956" s="4">
        <v>4.5999999999999999E-2</v>
      </c>
      <c r="P956" s="1" t="s">
        <v>2721</v>
      </c>
    </row>
    <row r="957" spans="1:16">
      <c r="A957" s="1" t="s">
        <v>15</v>
      </c>
      <c r="B957" s="1">
        <v>12</v>
      </c>
      <c r="C957" s="1" t="s">
        <v>259</v>
      </c>
      <c r="D957" s="1" t="s">
        <v>260</v>
      </c>
      <c r="E957" s="2">
        <v>45994</v>
      </c>
      <c r="F957" s="1" t="s">
        <v>261</v>
      </c>
      <c r="G957" s="1" t="s">
        <v>262</v>
      </c>
      <c r="H957" s="1" t="s">
        <v>263</v>
      </c>
      <c r="I957" s="1">
        <v>1</v>
      </c>
      <c r="J957" s="3">
        <v>44235</v>
      </c>
      <c r="K957" s="3">
        <v>42210</v>
      </c>
      <c r="L957" s="1">
        <v>0</v>
      </c>
      <c r="M957" s="4">
        <v>0</v>
      </c>
      <c r="N957" s="3">
        <v>2025</v>
      </c>
      <c r="O957" s="4">
        <v>4.5999999999999999E-2</v>
      </c>
      <c r="P957" s="1" t="s">
        <v>2721</v>
      </c>
    </row>
    <row r="958" spans="1:16">
      <c r="A958" s="1" t="s">
        <v>15</v>
      </c>
      <c r="B958" s="1">
        <v>12</v>
      </c>
      <c r="C958" s="1" t="s">
        <v>264</v>
      </c>
      <c r="D958" s="1" t="s">
        <v>265</v>
      </c>
      <c r="E958" s="2">
        <v>45994</v>
      </c>
      <c r="F958" s="1" t="s">
        <v>266</v>
      </c>
      <c r="G958" s="1" t="s">
        <v>267</v>
      </c>
      <c r="H958" s="1" t="s">
        <v>268</v>
      </c>
      <c r="I958" s="1">
        <v>1</v>
      </c>
      <c r="J958" s="3">
        <v>29490</v>
      </c>
      <c r="K958" s="3">
        <v>28140</v>
      </c>
      <c r="L958" s="1">
        <v>0</v>
      </c>
      <c r="M958" s="4">
        <v>0</v>
      </c>
      <c r="N958" s="3">
        <v>1350</v>
      </c>
      <c r="O958" s="4">
        <v>4.5999999999999999E-2</v>
      </c>
      <c r="P958" s="1" t="s">
        <v>2721</v>
      </c>
    </row>
    <row r="959" spans="1:16">
      <c r="A959" s="1" t="s">
        <v>15</v>
      </c>
      <c r="B959" s="1">
        <v>12</v>
      </c>
      <c r="C959" s="1" t="s">
        <v>269</v>
      </c>
      <c r="D959" s="1" t="s">
        <v>270</v>
      </c>
      <c r="E959" s="2">
        <v>45994</v>
      </c>
      <c r="F959" s="1" t="s">
        <v>271</v>
      </c>
      <c r="G959" s="1" t="s">
        <v>272</v>
      </c>
      <c r="H959" s="1" t="s">
        <v>273</v>
      </c>
      <c r="I959" s="1">
        <v>1</v>
      </c>
      <c r="J959" s="3">
        <v>25067</v>
      </c>
      <c r="K959" s="3">
        <v>23919</v>
      </c>
      <c r="L959" s="1">
        <v>0</v>
      </c>
      <c r="M959" s="4">
        <v>0</v>
      </c>
      <c r="N959" s="3">
        <v>1148</v>
      </c>
      <c r="O959" s="4">
        <v>4.5999999999999999E-2</v>
      </c>
      <c r="P959" s="1" t="s">
        <v>2721</v>
      </c>
    </row>
    <row r="960" spans="1:16">
      <c r="A960" s="1" t="s">
        <v>15</v>
      </c>
      <c r="B960" s="1">
        <v>12</v>
      </c>
      <c r="C960" s="1" t="s">
        <v>274</v>
      </c>
      <c r="D960" s="1" t="s">
        <v>275</v>
      </c>
      <c r="E960" s="2">
        <v>45994</v>
      </c>
      <c r="F960" s="1" t="s">
        <v>276</v>
      </c>
      <c r="G960" s="1" t="s">
        <v>277</v>
      </c>
      <c r="H960" s="1" t="s">
        <v>278</v>
      </c>
      <c r="I960" s="1">
        <v>1</v>
      </c>
      <c r="J960" s="3">
        <v>19660</v>
      </c>
      <c r="K960" s="3">
        <v>18760</v>
      </c>
      <c r="L960" s="1">
        <v>0</v>
      </c>
      <c r="M960" s="4">
        <v>0</v>
      </c>
      <c r="N960" s="3">
        <v>900</v>
      </c>
      <c r="O960" s="4">
        <v>4.5999999999999999E-2</v>
      </c>
      <c r="P960" s="1" t="s">
        <v>2721</v>
      </c>
    </row>
    <row r="961" spans="1:16">
      <c r="A961" s="1" t="s">
        <v>15</v>
      </c>
      <c r="B961" s="1">
        <v>12</v>
      </c>
      <c r="C961" s="1" t="s">
        <v>274</v>
      </c>
      <c r="D961" s="1" t="s">
        <v>279</v>
      </c>
      <c r="E961" s="2">
        <v>45994</v>
      </c>
      <c r="F961" s="1" t="s">
        <v>276</v>
      </c>
      <c r="G961" s="1" t="s">
        <v>280</v>
      </c>
      <c r="H961" s="1" t="s">
        <v>281</v>
      </c>
      <c r="I961" s="1">
        <v>1</v>
      </c>
      <c r="J961" s="3">
        <v>34641</v>
      </c>
      <c r="K961" s="3">
        <v>33055</v>
      </c>
      <c r="L961" s="1">
        <v>0</v>
      </c>
      <c r="M961" s="4">
        <v>0</v>
      </c>
      <c r="N961" s="3">
        <v>1586</v>
      </c>
      <c r="O961" s="4">
        <v>4.5999999999999999E-2</v>
      </c>
      <c r="P961" s="1" t="s">
        <v>2721</v>
      </c>
    </row>
    <row r="962" spans="1:16">
      <c r="A962" s="1" t="s">
        <v>15</v>
      </c>
      <c r="B962" s="1">
        <v>12</v>
      </c>
      <c r="C962" s="1" t="s">
        <v>282</v>
      </c>
      <c r="D962" s="1" t="s">
        <v>283</v>
      </c>
      <c r="E962" s="2">
        <v>45994</v>
      </c>
      <c r="F962" s="1" t="s">
        <v>200</v>
      </c>
      <c r="G962" s="1" t="s">
        <v>284</v>
      </c>
      <c r="H962" s="1" t="s">
        <v>285</v>
      </c>
      <c r="I962" s="1">
        <v>1</v>
      </c>
      <c r="J962" s="3">
        <v>28016</v>
      </c>
      <c r="K962" s="3">
        <v>26733</v>
      </c>
      <c r="L962" s="1">
        <v>0</v>
      </c>
      <c r="M962" s="4">
        <v>0</v>
      </c>
      <c r="N962" s="3">
        <v>1283</v>
      </c>
      <c r="O962" s="4">
        <v>4.5999999999999999E-2</v>
      </c>
      <c r="P962" s="1" t="s">
        <v>2721</v>
      </c>
    </row>
    <row r="963" spans="1:16">
      <c r="A963" s="1" t="s">
        <v>15</v>
      </c>
      <c r="B963" s="1">
        <v>12</v>
      </c>
      <c r="C963" s="1" t="s">
        <v>286</v>
      </c>
      <c r="D963" s="1" t="s">
        <v>287</v>
      </c>
      <c r="E963" s="2">
        <v>45994</v>
      </c>
      <c r="F963" s="1" t="s">
        <v>235</v>
      </c>
      <c r="G963" s="1" t="s">
        <v>288</v>
      </c>
      <c r="H963" s="1" t="s">
        <v>289</v>
      </c>
      <c r="I963" s="1">
        <v>1</v>
      </c>
      <c r="J963" s="3">
        <v>14647</v>
      </c>
      <c r="K963" s="3">
        <v>13976</v>
      </c>
      <c r="L963" s="1">
        <v>0</v>
      </c>
      <c r="M963" s="4">
        <v>0</v>
      </c>
      <c r="N963" s="1">
        <v>671</v>
      </c>
      <c r="O963" s="4">
        <v>4.5999999999999999E-2</v>
      </c>
      <c r="P963" s="1" t="s">
        <v>2721</v>
      </c>
    </row>
    <row r="964" spans="1:16">
      <c r="A964" s="1" t="s">
        <v>15</v>
      </c>
      <c r="B964" s="1">
        <v>12</v>
      </c>
      <c r="C964" s="1" t="s">
        <v>290</v>
      </c>
      <c r="D964" s="1" t="s">
        <v>291</v>
      </c>
      <c r="E964" s="2">
        <v>45994</v>
      </c>
      <c r="F964" s="1" t="s">
        <v>292</v>
      </c>
      <c r="G964" s="1" t="s">
        <v>293</v>
      </c>
      <c r="H964" s="1" t="s">
        <v>294</v>
      </c>
      <c r="I964" s="1">
        <v>1</v>
      </c>
      <c r="J964" s="3">
        <v>13271</v>
      </c>
      <c r="K964" s="3">
        <v>12663</v>
      </c>
      <c r="L964" s="1">
        <v>0</v>
      </c>
      <c r="M964" s="4">
        <v>0</v>
      </c>
      <c r="N964" s="3">
        <v>608</v>
      </c>
      <c r="O964" s="4">
        <v>4.5999999999999999E-2</v>
      </c>
      <c r="P964" s="1" t="s">
        <v>2721</v>
      </c>
    </row>
    <row r="965" spans="1:16">
      <c r="A965" s="1" t="s">
        <v>15</v>
      </c>
      <c r="B965" s="1">
        <v>12</v>
      </c>
      <c r="C965" s="1" t="s">
        <v>295</v>
      </c>
      <c r="D965" s="1" t="s">
        <v>296</v>
      </c>
      <c r="E965" s="2">
        <v>45994</v>
      </c>
      <c r="F965" s="1" t="s">
        <v>297</v>
      </c>
      <c r="G965" s="1" t="s">
        <v>298</v>
      </c>
      <c r="H965" s="1" t="s">
        <v>299</v>
      </c>
      <c r="I965" s="1">
        <v>1</v>
      </c>
      <c r="J965" s="3">
        <v>43048</v>
      </c>
      <c r="K965" s="3">
        <v>41077</v>
      </c>
      <c r="L965" s="1">
        <v>0</v>
      </c>
      <c r="M965" s="4">
        <v>0</v>
      </c>
      <c r="N965" s="3">
        <v>1971</v>
      </c>
      <c r="O965" s="4">
        <v>4.5999999999999999E-2</v>
      </c>
      <c r="P965" s="1" t="s">
        <v>2721</v>
      </c>
    </row>
    <row r="966" spans="1:16">
      <c r="A966" s="1" t="s">
        <v>15</v>
      </c>
      <c r="B966" s="1">
        <v>12</v>
      </c>
      <c r="C966" s="1" t="s">
        <v>300</v>
      </c>
      <c r="D966" s="1" t="s">
        <v>301</v>
      </c>
      <c r="E966" s="2">
        <v>45994</v>
      </c>
      <c r="F966" s="1" t="s">
        <v>302</v>
      </c>
      <c r="G966" s="1" t="s">
        <v>303</v>
      </c>
      <c r="H966" s="1" t="s">
        <v>304</v>
      </c>
      <c r="I966" s="1">
        <v>1</v>
      </c>
      <c r="J966" s="3">
        <v>9405</v>
      </c>
      <c r="K966" s="3">
        <v>8975</v>
      </c>
      <c r="L966" s="1">
        <v>0</v>
      </c>
      <c r="M966" s="4">
        <v>0</v>
      </c>
      <c r="N966" s="3">
        <v>430</v>
      </c>
      <c r="O966" s="4">
        <v>4.5999999999999999E-2</v>
      </c>
      <c r="P966" s="1" t="s">
        <v>2721</v>
      </c>
    </row>
    <row r="967" spans="1:16">
      <c r="A967" s="1" t="s">
        <v>15</v>
      </c>
      <c r="B967" s="1">
        <v>12</v>
      </c>
      <c r="C967" s="1" t="s">
        <v>305</v>
      </c>
      <c r="D967" s="1" t="s">
        <v>67</v>
      </c>
      <c r="E967" s="2">
        <v>45994</v>
      </c>
      <c r="F967" s="1" t="s">
        <v>68</v>
      </c>
      <c r="G967" s="1" t="s">
        <v>69</v>
      </c>
      <c r="H967" s="1" t="s">
        <v>70</v>
      </c>
      <c r="I967" s="1">
        <v>1</v>
      </c>
      <c r="J967" s="3">
        <v>43842</v>
      </c>
      <c r="K967" s="3">
        <v>41835</v>
      </c>
      <c r="L967" s="1">
        <v>0</v>
      </c>
      <c r="M967" s="4">
        <v>0</v>
      </c>
      <c r="N967" s="3">
        <v>2007</v>
      </c>
      <c r="O967" s="4">
        <v>4.5999999999999999E-2</v>
      </c>
      <c r="P967" s="1" t="s">
        <v>2721</v>
      </c>
    </row>
    <row r="968" spans="1:16">
      <c r="A968" s="1" t="s">
        <v>15</v>
      </c>
      <c r="B968" s="1">
        <v>12</v>
      </c>
      <c r="C968" s="1" t="s">
        <v>306</v>
      </c>
      <c r="D968" s="1" t="s">
        <v>307</v>
      </c>
      <c r="E968" s="2">
        <v>45994</v>
      </c>
      <c r="F968" s="1" t="s">
        <v>256</v>
      </c>
      <c r="G968" s="1" t="s">
        <v>308</v>
      </c>
      <c r="H968" s="1" t="s">
        <v>309</v>
      </c>
      <c r="I968" s="1">
        <v>1</v>
      </c>
      <c r="J968" s="3">
        <v>12091</v>
      </c>
      <c r="K968" s="3">
        <v>11537</v>
      </c>
      <c r="L968" s="1">
        <v>0</v>
      </c>
      <c r="M968" s="4">
        <v>0</v>
      </c>
      <c r="N968" s="3">
        <v>554</v>
      </c>
      <c r="O968" s="4">
        <v>4.5999999999999999E-2</v>
      </c>
      <c r="P968" s="1" t="s">
        <v>2721</v>
      </c>
    </row>
    <row r="969" spans="1:16">
      <c r="A969" s="1" t="s">
        <v>15</v>
      </c>
      <c r="B969" s="1">
        <v>12</v>
      </c>
      <c r="C969" s="1" t="s">
        <v>310</v>
      </c>
      <c r="D969" s="1" t="s">
        <v>311</v>
      </c>
      <c r="E969" s="2">
        <v>45994</v>
      </c>
      <c r="F969" s="1" t="s">
        <v>312</v>
      </c>
      <c r="G969" s="1" t="s">
        <v>313</v>
      </c>
      <c r="H969" s="1" t="s">
        <v>314</v>
      </c>
      <c r="I969" s="1">
        <v>1</v>
      </c>
      <c r="J969" s="3">
        <v>28310</v>
      </c>
      <c r="K969" s="3">
        <v>27014</v>
      </c>
      <c r="L969" s="1">
        <v>0</v>
      </c>
      <c r="M969" s="4">
        <v>0</v>
      </c>
      <c r="N969" s="3">
        <v>1296</v>
      </c>
      <c r="O969" s="4">
        <v>4.5999999999999999E-2</v>
      </c>
      <c r="P969" s="1" t="s">
        <v>2721</v>
      </c>
    </row>
    <row r="970" spans="1:16">
      <c r="A970" s="1" t="s">
        <v>15</v>
      </c>
      <c r="B970" s="1">
        <v>12</v>
      </c>
      <c r="C970" s="1" t="s">
        <v>315</v>
      </c>
      <c r="D970" s="1" t="s">
        <v>316</v>
      </c>
      <c r="E970" s="2">
        <v>45994</v>
      </c>
      <c r="F970" s="1" t="s">
        <v>317</v>
      </c>
      <c r="G970" s="1" t="s">
        <v>318</v>
      </c>
      <c r="H970" s="1" t="s">
        <v>319</v>
      </c>
      <c r="I970" s="1">
        <v>1</v>
      </c>
      <c r="J970" s="3">
        <v>25558</v>
      </c>
      <c r="K970" s="3">
        <v>24388</v>
      </c>
      <c r="L970" s="1">
        <v>0</v>
      </c>
      <c r="M970" s="4">
        <v>0</v>
      </c>
      <c r="N970" s="3">
        <v>1170</v>
      </c>
      <c r="O970" s="4">
        <v>4.5999999999999999E-2</v>
      </c>
      <c r="P970" s="1" t="s">
        <v>2721</v>
      </c>
    </row>
    <row r="971" spans="1:16">
      <c r="A971" s="1" t="s">
        <v>15</v>
      </c>
      <c r="B971" s="1">
        <v>12</v>
      </c>
      <c r="C971" s="1" t="s">
        <v>320</v>
      </c>
      <c r="D971" s="1" t="s">
        <v>316</v>
      </c>
      <c r="E971" s="2">
        <v>45994</v>
      </c>
      <c r="F971" s="1" t="s">
        <v>317</v>
      </c>
      <c r="G971" s="1" t="s">
        <v>318</v>
      </c>
      <c r="H971" s="1" t="s">
        <v>319</v>
      </c>
      <c r="I971" s="1">
        <v>1</v>
      </c>
      <c r="J971" s="3">
        <v>25558</v>
      </c>
      <c r="K971" s="3">
        <v>24388</v>
      </c>
      <c r="L971" s="1">
        <v>0</v>
      </c>
      <c r="M971" s="4">
        <v>0</v>
      </c>
      <c r="N971" s="3">
        <v>1170</v>
      </c>
      <c r="O971" s="4">
        <v>4.5999999999999999E-2</v>
      </c>
      <c r="P971" s="1" t="s">
        <v>2721</v>
      </c>
    </row>
    <row r="972" spans="1:16">
      <c r="A972" s="1" t="s">
        <v>15</v>
      </c>
      <c r="B972" s="1">
        <v>12</v>
      </c>
      <c r="C972" s="1" t="s">
        <v>321</v>
      </c>
      <c r="D972" s="1" t="s">
        <v>322</v>
      </c>
      <c r="E972" s="2">
        <v>45994</v>
      </c>
      <c r="F972" s="1" t="s">
        <v>151</v>
      </c>
      <c r="G972" s="1" t="s">
        <v>323</v>
      </c>
      <c r="H972" s="1" t="s">
        <v>323</v>
      </c>
      <c r="I972" s="1">
        <v>1</v>
      </c>
      <c r="J972" s="3">
        <v>14745</v>
      </c>
      <c r="K972" s="3">
        <v>14070</v>
      </c>
      <c r="L972" s="1">
        <v>0</v>
      </c>
      <c r="M972" s="4">
        <v>0</v>
      </c>
      <c r="N972" s="3">
        <v>675</v>
      </c>
      <c r="O972" s="4">
        <v>4.5999999999999999E-2</v>
      </c>
      <c r="P972" s="1" t="s">
        <v>2721</v>
      </c>
    </row>
    <row r="973" spans="1:16">
      <c r="A973" s="1" t="s">
        <v>15</v>
      </c>
      <c r="B973" s="1">
        <v>12</v>
      </c>
      <c r="C973" s="1" t="s">
        <v>324</v>
      </c>
      <c r="D973" s="1" t="s">
        <v>325</v>
      </c>
      <c r="E973" s="2">
        <v>45994</v>
      </c>
      <c r="F973" s="1" t="s">
        <v>256</v>
      </c>
      <c r="G973" s="1" t="s">
        <v>326</v>
      </c>
      <c r="H973" s="1" t="s">
        <v>327</v>
      </c>
      <c r="I973" s="1">
        <v>1</v>
      </c>
      <c r="J973" s="3">
        <v>39153</v>
      </c>
      <c r="K973" s="3">
        <v>37361</v>
      </c>
      <c r="L973" s="1">
        <v>0</v>
      </c>
      <c r="M973" s="4">
        <v>0</v>
      </c>
      <c r="N973" s="3">
        <v>1792</v>
      </c>
      <c r="O973" s="4">
        <v>4.5999999999999999E-2</v>
      </c>
      <c r="P973" s="1" t="s">
        <v>2721</v>
      </c>
    </row>
    <row r="974" spans="1:16">
      <c r="A974" s="1" t="s">
        <v>15</v>
      </c>
      <c r="B974" s="1">
        <v>12</v>
      </c>
      <c r="C974" s="1" t="s">
        <v>328</v>
      </c>
      <c r="D974" s="1" t="s">
        <v>329</v>
      </c>
      <c r="E974" s="2">
        <v>45994</v>
      </c>
      <c r="F974" s="1" t="s">
        <v>174</v>
      </c>
      <c r="G974" s="1" t="s">
        <v>330</v>
      </c>
      <c r="H974" s="1" t="s">
        <v>331</v>
      </c>
      <c r="I974" s="1">
        <v>1</v>
      </c>
      <c r="J974" s="3">
        <v>16711</v>
      </c>
      <c r="K974" s="3">
        <v>15946</v>
      </c>
      <c r="L974" s="1">
        <v>0</v>
      </c>
      <c r="M974" s="4">
        <v>0</v>
      </c>
      <c r="N974" s="1">
        <v>765</v>
      </c>
      <c r="O974" s="4">
        <v>4.5999999999999999E-2</v>
      </c>
      <c r="P974" s="1" t="s">
        <v>2721</v>
      </c>
    </row>
    <row r="975" spans="1:16">
      <c r="A975" s="1" t="s">
        <v>15</v>
      </c>
      <c r="B975" s="1">
        <v>12</v>
      </c>
      <c r="C975" s="1" t="s">
        <v>332</v>
      </c>
      <c r="D975" s="1" t="s">
        <v>333</v>
      </c>
      <c r="E975" s="2">
        <v>45994</v>
      </c>
      <c r="F975" s="1" t="s">
        <v>334</v>
      </c>
      <c r="G975" s="1" t="s">
        <v>335</v>
      </c>
      <c r="H975" s="1" t="s">
        <v>336</v>
      </c>
      <c r="I975" s="1">
        <v>2</v>
      </c>
      <c r="J975" s="3">
        <v>10813</v>
      </c>
      <c r="K975" s="3">
        <v>10318</v>
      </c>
      <c r="L975" s="1">
        <v>0</v>
      </c>
      <c r="M975" s="4">
        <v>0</v>
      </c>
      <c r="N975" s="1">
        <v>495</v>
      </c>
      <c r="O975" s="4">
        <v>4.5999999999999999E-2</v>
      </c>
      <c r="P975" s="1" t="s">
        <v>2721</v>
      </c>
    </row>
    <row r="976" spans="1:16">
      <c r="A976" s="1" t="s">
        <v>15</v>
      </c>
      <c r="B976" s="1">
        <v>12</v>
      </c>
      <c r="C976" s="1" t="s">
        <v>332</v>
      </c>
      <c r="D976" s="1" t="s">
        <v>333</v>
      </c>
      <c r="E976" s="2">
        <v>45994</v>
      </c>
      <c r="F976" s="1" t="s">
        <v>334</v>
      </c>
      <c r="G976" s="1" t="s">
        <v>335</v>
      </c>
      <c r="H976" s="1" t="s">
        <v>337</v>
      </c>
      <c r="I976" s="1">
        <v>2</v>
      </c>
      <c r="J976" s="3">
        <v>10813</v>
      </c>
      <c r="K976" s="3">
        <v>10318</v>
      </c>
      <c r="L976" s="1">
        <v>0</v>
      </c>
      <c r="M976" s="4">
        <v>0</v>
      </c>
      <c r="N976" s="3">
        <v>495</v>
      </c>
      <c r="O976" s="4">
        <v>4.5999999999999999E-2</v>
      </c>
      <c r="P976" s="1" t="s">
        <v>2721</v>
      </c>
    </row>
    <row r="977" spans="1:16">
      <c r="A977" s="1" t="s">
        <v>15</v>
      </c>
      <c r="B977" s="1">
        <v>12</v>
      </c>
      <c r="C977" s="1" t="s">
        <v>338</v>
      </c>
      <c r="D977" s="1" t="s">
        <v>311</v>
      </c>
      <c r="E977" s="2">
        <v>45994</v>
      </c>
      <c r="F977" s="1" t="s">
        <v>312</v>
      </c>
      <c r="G977" s="1" t="s">
        <v>313</v>
      </c>
      <c r="H977" s="1" t="s">
        <v>339</v>
      </c>
      <c r="I977" s="1">
        <v>1</v>
      </c>
      <c r="J977" s="3">
        <v>28310</v>
      </c>
      <c r="K977" s="3">
        <v>27014</v>
      </c>
      <c r="L977" s="1">
        <v>0</v>
      </c>
      <c r="M977" s="4">
        <v>0</v>
      </c>
      <c r="N977" s="3">
        <v>1296</v>
      </c>
      <c r="O977" s="4">
        <v>4.5999999999999999E-2</v>
      </c>
      <c r="P977" s="1" t="s">
        <v>2721</v>
      </c>
    </row>
    <row r="978" spans="1:16">
      <c r="A978" s="1" t="s">
        <v>15</v>
      </c>
      <c r="B978" s="1">
        <v>12</v>
      </c>
      <c r="C978" s="1" t="s">
        <v>340</v>
      </c>
      <c r="D978" s="1" t="s">
        <v>341</v>
      </c>
      <c r="E978" s="2">
        <v>45994</v>
      </c>
      <c r="F978" s="1" t="s">
        <v>53</v>
      </c>
      <c r="G978" s="1" t="s">
        <v>342</v>
      </c>
      <c r="H978" s="1" t="s">
        <v>343</v>
      </c>
      <c r="I978" s="1">
        <v>1</v>
      </c>
      <c r="J978" s="3">
        <v>16135</v>
      </c>
      <c r="K978" s="3">
        <v>15396</v>
      </c>
      <c r="L978" s="1">
        <v>0</v>
      </c>
      <c r="M978" s="4">
        <v>0</v>
      </c>
      <c r="N978" s="1">
        <v>739</v>
      </c>
      <c r="O978" s="4">
        <v>4.5999999999999999E-2</v>
      </c>
      <c r="P978" s="1" t="s">
        <v>2721</v>
      </c>
    </row>
    <row r="979" spans="1:16">
      <c r="A979" s="1" t="s">
        <v>15</v>
      </c>
      <c r="B979" s="1">
        <v>12</v>
      </c>
      <c r="C979" s="1" t="s">
        <v>344</v>
      </c>
      <c r="D979" s="1" t="s">
        <v>169</v>
      </c>
      <c r="E979" s="2">
        <v>45994</v>
      </c>
      <c r="F979" s="1" t="s">
        <v>53</v>
      </c>
      <c r="G979" s="1" t="s">
        <v>170</v>
      </c>
      <c r="H979" s="1" t="s">
        <v>171</v>
      </c>
      <c r="I979" s="1">
        <v>1</v>
      </c>
      <c r="J979" s="3">
        <v>14332</v>
      </c>
      <c r="K979" s="3">
        <v>13676</v>
      </c>
      <c r="L979" s="1">
        <v>0</v>
      </c>
      <c r="M979" s="4">
        <v>0</v>
      </c>
      <c r="N979" s="1">
        <v>656</v>
      </c>
      <c r="O979" s="4">
        <v>4.5999999999999999E-2</v>
      </c>
      <c r="P979" s="1" t="s">
        <v>2721</v>
      </c>
    </row>
    <row r="980" spans="1:16">
      <c r="A980" s="1" t="s">
        <v>15</v>
      </c>
      <c r="B980" s="1">
        <v>12</v>
      </c>
      <c r="C980" s="1" t="s">
        <v>345</v>
      </c>
      <c r="D980" s="1" t="s">
        <v>346</v>
      </c>
      <c r="E980" s="2">
        <v>45994</v>
      </c>
      <c r="F980" s="1" t="s">
        <v>347</v>
      </c>
      <c r="G980" s="1" t="s">
        <v>348</v>
      </c>
      <c r="H980" s="1" t="s">
        <v>349</v>
      </c>
      <c r="I980" s="1">
        <v>1</v>
      </c>
      <c r="J980" s="3">
        <v>19463</v>
      </c>
      <c r="K980" s="3">
        <v>18572</v>
      </c>
      <c r="L980" s="1">
        <v>0</v>
      </c>
      <c r="M980" s="4">
        <v>0</v>
      </c>
      <c r="N980" s="3">
        <v>891</v>
      </c>
      <c r="O980" s="4">
        <v>4.5999999999999999E-2</v>
      </c>
      <c r="P980" s="1" t="s">
        <v>2721</v>
      </c>
    </row>
    <row r="981" spans="1:16">
      <c r="A981" s="1" t="s">
        <v>15</v>
      </c>
      <c r="B981" s="1">
        <v>12</v>
      </c>
      <c r="C981" s="1" t="s">
        <v>350</v>
      </c>
      <c r="D981" s="1" t="s">
        <v>270</v>
      </c>
      <c r="E981" s="2">
        <v>45994</v>
      </c>
      <c r="F981" s="1" t="s">
        <v>271</v>
      </c>
      <c r="G981" s="1" t="s">
        <v>272</v>
      </c>
      <c r="H981" s="1" t="s">
        <v>273</v>
      </c>
      <c r="I981" s="1">
        <v>1</v>
      </c>
      <c r="J981" s="3">
        <v>25067</v>
      </c>
      <c r="K981" s="3">
        <v>23919</v>
      </c>
      <c r="L981" s="1">
        <v>0</v>
      </c>
      <c r="M981" s="4">
        <v>0</v>
      </c>
      <c r="N981" s="3">
        <v>1148</v>
      </c>
      <c r="O981" s="4">
        <v>4.5999999999999999E-2</v>
      </c>
      <c r="P981" s="1" t="s">
        <v>2721</v>
      </c>
    </row>
    <row r="982" spans="1:16">
      <c r="A982" s="1" t="s">
        <v>15</v>
      </c>
      <c r="B982" s="1">
        <v>12</v>
      </c>
      <c r="C982" s="1" t="s">
        <v>351</v>
      </c>
      <c r="D982" s="1" t="s">
        <v>27</v>
      </c>
      <c r="E982" s="2">
        <v>45994</v>
      </c>
      <c r="F982" s="1" t="s">
        <v>28</v>
      </c>
      <c r="G982" s="1" t="s">
        <v>29</v>
      </c>
      <c r="H982" s="1" t="s">
        <v>352</v>
      </c>
      <c r="I982" s="1">
        <v>1</v>
      </c>
      <c r="J982" s="3">
        <v>27033</v>
      </c>
      <c r="K982" s="3">
        <v>25795</v>
      </c>
      <c r="L982" s="1">
        <v>0</v>
      </c>
      <c r="M982" s="4">
        <v>0</v>
      </c>
      <c r="N982" s="3">
        <v>1238</v>
      </c>
      <c r="O982" s="4">
        <v>4.5999999999999999E-2</v>
      </c>
      <c r="P982" s="1" t="s">
        <v>2721</v>
      </c>
    </row>
    <row r="983" spans="1:16">
      <c r="A983" s="1" t="s">
        <v>15</v>
      </c>
      <c r="B983" s="1">
        <v>12</v>
      </c>
      <c r="C983" s="1" t="s">
        <v>353</v>
      </c>
      <c r="D983" s="1" t="s">
        <v>354</v>
      </c>
      <c r="E983" s="2">
        <v>45994</v>
      </c>
      <c r="F983" s="1" t="s">
        <v>355</v>
      </c>
      <c r="G983" s="1" t="s">
        <v>356</v>
      </c>
      <c r="H983" s="1" t="s">
        <v>357</v>
      </c>
      <c r="I983" s="1">
        <v>1</v>
      </c>
      <c r="J983" s="3">
        <v>542125</v>
      </c>
      <c r="K983" s="3">
        <v>517307</v>
      </c>
      <c r="L983" s="1">
        <v>0</v>
      </c>
      <c r="M983" s="4">
        <v>0</v>
      </c>
      <c r="N983" s="3">
        <v>24818</v>
      </c>
      <c r="O983" s="4">
        <v>4.5999999999999999E-2</v>
      </c>
      <c r="P983" s="1" t="s">
        <v>2721</v>
      </c>
    </row>
    <row r="984" spans="1:16">
      <c r="A984" s="1" t="s">
        <v>15</v>
      </c>
      <c r="B984" s="1">
        <v>12</v>
      </c>
      <c r="C984" s="1" t="s">
        <v>358</v>
      </c>
      <c r="D984" s="1" t="s">
        <v>359</v>
      </c>
      <c r="E984" s="2">
        <v>45994</v>
      </c>
      <c r="F984" s="1" t="s">
        <v>360</v>
      </c>
      <c r="G984" s="1" t="s">
        <v>361</v>
      </c>
      <c r="H984" s="1" t="s">
        <v>362</v>
      </c>
      <c r="I984" s="1">
        <v>1</v>
      </c>
      <c r="J984" s="3">
        <v>7274</v>
      </c>
      <c r="K984" s="3">
        <v>6941</v>
      </c>
      <c r="L984" s="1">
        <v>0</v>
      </c>
      <c r="M984" s="4">
        <v>0</v>
      </c>
      <c r="N984" s="3">
        <v>333</v>
      </c>
      <c r="O984" s="4">
        <v>4.5999999999999999E-2</v>
      </c>
      <c r="P984" s="1" t="s">
        <v>2721</v>
      </c>
    </row>
    <row r="985" spans="1:16">
      <c r="A985" s="1" t="s">
        <v>15</v>
      </c>
      <c r="B985" s="1">
        <v>12</v>
      </c>
      <c r="C985" s="1" t="s">
        <v>363</v>
      </c>
      <c r="D985" s="1" t="s">
        <v>311</v>
      </c>
      <c r="E985" s="2">
        <v>45994</v>
      </c>
      <c r="F985" s="1" t="s">
        <v>312</v>
      </c>
      <c r="G985" s="1" t="s">
        <v>313</v>
      </c>
      <c r="H985" s="1" t="s">
        <v>339</v>
      </c>
      <c r="I985" s="1">
        <v>1</v>
      </c>
      <c r="J985" s="3">
        <v>28310</v>
      </c>
      <c r="K985" s="3">
        <v>27014</v>
      </c>
      <c r="L985" s="1">
        <v>0</v>
      </c>
      <c r="M985" s="4">
        <v>0</v>
      </c>
      <c r="N985" s="3">
        <v>1296</v>
      </c>
      <c r="O985" s="4">
        <v>4.5999999999999999E-2</v>
      </c>
      <c r="P985" s="1" t="s">
        <v>2721</v>
      </c>
    </row>
    <row r="986" spans="1:16">
      <c r="A986" s="1" t="s">
        <v>15</v>
      </c>
      <c r="B986" s="1">
        <v>12</v>
      </c>
      <c r="C986" s="1" t="s">
        <v>364</v>
      </c>
      <c r="D986" s="1" t="s">
        <v>250</v>
      </c>
      <c r="E986" s="2">
        <v>45994</v>
      </c>
      <c r="F986" s="1" t="s">
        <v>251</v>
      </c>
      <c r="G986" s="1" t="s">
        <v>252</v>
      </c>
      <c r="H986" s="1" t="s">
        <v>365</v>
      </c>
      <c r="I986" s="1">
        <v>1</v>
      </c>
      <c r="J986" s="3">
        <v>16220</v>
      </c>
      <c r="K986" s="3">
        <v>15477</v>
      </c>
      <c r="L986" s="1">
        <v>0</v>
      </c>
      <c r="M986" s="4">
        <v>0</v>
      </c>
      <c r="N986" s="1">
        <v>743</v>
      </c>
      <c r="O986" s="4">
        <v>4.5999999999999999E-2</v>
      </c>
      <c r="P986" s="1" t="s">
        <v>2721</v>
      </c>
    </row>
    <row r="987" spans="1:16">
      <c r="A987" s="1" t="s">
        <v>15</v>
      </c>
      <c r="B987" s="1">
        <v>12</v>
      </c>
      <c r="C987" s="1" t="s">
        <v>366</v>
      </c>
      <c r="D987" s="1" t="s">
        <v>367</v>
      </c>
      <c r="E987" s="2">
        <v>45994</v>
      </c>
      <c r="F987" s="1" t="s">
        <v>368</v>
      </c>
      <c r="G987" s="1" t="s">
        <v>369</v>
      </c>
      <c r="H987" s="1" t="s">
        <v>370</v>
      </c>
      <c r="I987" s="1">
        <v>1</v>
      </c>
      <c r="J987" s="3">
        <v>14470</v>
      </c>
      <c r="K987" s="3">
        <v>13807</v>
      </c>
      <c r="L987" s="1">
        <v>0</v>
      </c>
      <c r="M987" s="4">
        <v>0</v>
      </c>
      <c r="N987" s="1">
        <v>663</v>
      </c>
      <c r="O987" s="4">
        <v>4.5999999999999999E-2</v>
      </c>
      <c r="P987" s="1" t="s">
        <v>2721</v>
      </c>
    </row>
    <row r="988" spans="1:16">
      <c r="A988" s="1" t="s">
        <v>15</v>
      </c>
      <c r="B988" s="1">
        <v>12</v>
      </c>
      <c r="C988" s="1" t="s">
        <v>371</v>
      </c>
      <c r="D988" s="1" t="s">
        <v>212</v>
      </c>
      <c r="E988" s="2">
        <v>45994</v>
      </c>
      <c r="F988" s="1" t="s">
        <v>213</v>
      </c>
      <c r="G988" s="1" t="s">
        <v>214</v>
      </c>
      <c r="H988" s="1" t="s">
        <v>215</v>
      </c>
      <c r="I988" s="1">
        <v>1</v>
      </c>
      <c r="J988" s="3">
        <v>16220</v>
      </c>
      <c r="K988" s="3">
        <v>15477</v>
      </c>
      <c r="L988" s="1">
        <v>0</v>
      </c>
      <c r="M988" s="4">
        <v>0</v>
      </c>
      <c r="N988" s="1">
        <v>743</v>
      </c>
      <c r="O988" s="4">
        <v>4.5999999999999999E-2</v>
      </c>
      <c r="P988" s="1" t="s">
        <v>2721</v>
      </c>
    </row>
    <row r="989" spans="1:16">
      <c r="A989" s="1" t="s">
        <v>15</v>
      </c>
      <c r="B989" s="1">
        <v>12</v>
      </c>
      <c r="C989" s="1" t="s">
        <v>372</v>
      </c>
      <c r="D989" s="1" t="s">
        <v>228</v>
      </c>
      <c r="E989" s="2">
        <v>45994</v>
      </c>
      <c r="F989" s="1" t="s">
        <v>53</v>
      </c>
      <c r="G989" s="1" t="s">
        <v>229</v>
      </c>
      <c r="H989" s="1" t="s">
        <v>230</v>
      </c>
      <c r="I989" s="1">
        <v>1</v>
      </c>
      <c r="J989" s="3">
        <v>9825</v>
      </c>
      <c r="K989" s="3">
        <v>9375</v>
      </c>
      <c r="L989" s="1">
        <v>0</v>
      </c>
      <c r="M989" s="4">
        <v>0</v>
      </c>
      <c r="N989" s="1">
        <v>450</v>
      </c>
      <c r="O989" s="4">
        <v>4.5999999999999999E-2</v>
      </c>
      <c r="P989" s="1" t="s">
        <v>2721</v>
      </c>
    </row>
    <row r="990" spans="1:16">
      <c r="A990" s="1" t="s">
        <v>15</v>
      </c>
      <c r="B990" s="1">
        <v>12</v>
      </c>
      <c r="C990" s="1" t="s">
        <v>373</v>
      </c>
      <c r="D990" s="1" t="s">
        <v>52</v>
      </c>
      <c r="E990" s="2">
        <v>45994</v>
      </c>
      <c r="F990" s="1" t="s">
        <v>53</v>
      </c>
      <c r="G990" s="1" t="s">
        <v>54</v>
      </c>
      <c r="H990" s="1" t="s">
        <v>55</v>
      </c>
      <c r="I990" s="1">
        <v>1</v>
      </c>
      <c r="J990" s="3">
        <v>16135</v>
      </c>
      <c r="K990" s="3">
        <v>15396</v>
      </c>
      <c r="L990" s="1">
        <v>0</v>
      </c>
      <c r="M990" s="4">
        <v>0</v>
      </c>
      <c r="N990" s="1">
        <v>739</v>
      </c>
      <c r="O990" s="4">
        <v>4.5999999999999999E-2</v>
      </c>
      <c r="P990" s="1" t="s">
        <v>2721</v>
      </c>
    </row>
    <row r="991" spans="1:16">
      <c r="A991" s="1" t="s">
        <v>15</v>
      </c>
      <c r="B991" s="1">
        <v>12</v>
      </c>
      <c r="C991" s="1" t="s">
        <v>374</v>
      </c>
      <c r="D991" s="1" t="s">
        <v>375</v>
      </c>
      <c r="E991" s="2">
        <v>45994</v>
      </c>
      <c r="F991" s="1" t="s">
        <v>96</v>
      </c>
      <c r="G991" s="1" t="s">
        <v>376</v>
      </c>
      <c r="H991" s="1" t="s">
        <v>377</v>
      </c>
      <c r="I991" s="1">
        <v>1</v>
      </c>
      <c r="J991" s="3">
        <v>10762</v>
      </c>
      <c r="K991" s="3">
        <v>10269</v>
      </c>
      <c r="L991" s="1">
        <v>0</v>
      </c>
      <c r="M991" s="4">
        <v>0</v>
      </c>
      <c r="N991" s="1">
        <v>493</v>
      </c>
      <c r="O991" s="4">
        <v>4.5999999999999999E-2</v>
      </c>
      <c r="P991" s="1" t="s">
        <v>2721</v>
      </c>
    </row>
    <row r="992" spans="1:16">
      <c r="A992" s="1" t="s">
        <v>15</v>
      </c>
      <c r="B992" s="1">
        <v>12</v>
      </c>
      <c r="C992" s="1" t="s">
        <v>378</v>
      </c>
      <c r="D992" s="1" t="s">
        <v>379</v>
      </c>
      <c r="E992" s="2">
        <v>45994</v>
      </c>
      <c r="F992" s="1" t="s">
        <v>53</v>
      </c>
      <c r="G992" s="1" t="s">
        <v>380</v>
      </c>
      <c r="H992" s="1" t="s">
        <v>381</v>
      </c>
      <c r="I992" s="1">
        <v>1</v>
      </c>
      <c r="J992" s="3">
        <v>8022</v>
      </c>
      <c r="K992" s="3">
        <v>7655</v>
      </c>
      <c r="L992" s="1">
        <v>0</v>
      </c>
      <c r="M992" s="4">
        <v>0</v>
      </c>
      <c r="N992" s="1">
        <v>367</v>
      </c>
      <c r="O992" s="4">
        <v>4.5999999999999999E-2</v>
      </c>
      <c r="P992" s="1" t="s">
        <v>2721</v>
      </c>
    </row>
    <row r="993" spans="1:16">
      <c r="A993" s="1" t="s">
        <v>15</v>
      </c>
      <c r="B993" s="1">
        <v>12</v>
      </c>
      <c r="C993" s="1" t="s">
        <v>382</v>
      </c>
      <c r="D993" s="1" t="s">
        <v>90</v>
      </c>
      <c r="E993" s="2">
        <v>45994</v>
      </c>
      <c r="F993" s="1" t="s">
        <v>91</v>
      </c>
      <c r="G993" s="1" t="s">
        <v>92</v>
      </c>
      <c r="H993" s="1" t="s">
        <v>93</v>
      </c>
      <c r="I993" s="1">
        <v>1</v>
      </c>
      <c r="J993" s="3">
        <v>13526</v>
      </c>
      <c r="K993" s="3">
        <v>12907</v>
      </c>
      <c r="L993" s="1">
        <v>0</v>
      </c>
      <c r="M993" s="4">
        <v>0</v>
      </c>
      <c r="N993" s="1">
        <v>619</v>
      </c>
      <c r="O993" s="4">
        <v>4.5999999999999999E-2</v>
      </c>
      <c r="P993" s="1" t="s">
        <v>2721</v>
      </c>
    </row>
    <row r="994" spans="1:16">
      <c r="A994" s="1" t="s">
        <v>15</v>
      </c>
      <c r="B994" s="1">
        <v>12</v>
      </c>
      <c r="C994" s="1" t="s">
        <v>382</v>
      </c>
      <c r="D994" s="1" t="s">
        <v>90</v>
      </c>
      <c r="E994" s="2">
        <v>45994</v>
      </c>
      <c r="F994" s="1" t="s">
        <v>91</v>
      </c>
      <c r="G994" s="1" t="s">
        <v>92</v>
      </c>
      <c r="H994" s="1" t="s">
        <v>383</v>
      </c>
      <c r="I994" s="1">
        <v>1</v>
      </c>
      <c r="J994" s="3">
        <v>13526</v>
      </c>
      <c r="K994" s="3">
        <v>12907</v>
      </c>
      <c r="L994" s="1">
        <v>0</v>
      </c>
      <c r="M994" s="4">
        <v>0</v>
      </c>
      <c r="N994" s="1">
        <v>619</v>
      </c>
      <c r="O994" s="4">
        <v>4.5999999999999999E-2</v>
      </c>
      <c r="P994" s="1" t="s">
        <v>2721</v>
      </c>
    </row>
    <row r="995" spans="1:16">
      <c r="A995" s="1" t="s">
        <v>15</v>
      </c>
      <c r="B995" s="1">
        <v>12</v>
      </c>
      <c r="C995" s="1" t="s">
        <v>384</v>
      </c>
      <c r="D995" s="1" t="s">
        <v>178</v>
      </c>
      <c r="E995" s="2">
        <v>45994</v>
      </c>
      <c r="F995" s="1" t="s">
        <v>96</v>
      </c>
      <c r="G995" s="1" t="s">
        <v>179</v>
      </c>
      <c r="H995" s="1" t="s">
        <v>180</v>
      </c>
      <c r="I995" s="1">
        <v>1</v>
      </c>
      <c r="J995" s="3">
        <v>15284</v>
      </c>
      <c r="K995" s="3">
        <v>14584</v>
      </c>
      <c r="L995" s="1">
        <v>0</v>
      </c>
      <c r="M995" s="4">
        <v>0</v>
      </c>
      <c r="N995" s="1">
        <v>700</v>
      </c>
      <c r="O995" s="4">
        <v>4.5999999999999999E-2</v>
      </c>
      <c r="P995" s="1" t="s">
        <v>2721</v>
      </c>
    </row>
    <row r="996" spans="1:16">
      <c r="A996" s="1" t="s">
        <v>15</v>
      </c>
      <c r="B996" s="1">
        <v>12</v>
      </c>
      <c r="C996" s="1" t="s">
        <v>385</v>
      </c>
      <c r="D996" s="1" t="s">
        <v>367</v>
      </c>
      <c r="E996" s="2">
        <v>45994</v>
      </c>
      <c r="F996" s="1" t="s">
        <v>368</v>
      </c>
      <c r="G996" s="1" t="s">
        <v>369</v>
      </c>
      <c r="H996" s="1" t="s">
        <v>370</v>
      </c>
      <c r="I996" s="1">
        <v>1</v>
      </c>
      <c r="J996" s="3">
        <v>14470</v>
      </c>
      <c r="K996" s="3">
        <v>13807</v>
      </c>
      <c r="L996" s="1">
        <v>0</v>
      </c>
      <c r="M996" s="4">
        <v>0</v>
      </c>
      <c r="N996" s="1">
        <v>663</v>
      </c>
      <c r="O996" s="4">
        <v>4.5999999999999999E-2</v>
      </c>
      <c r="P996" s="1" t="s">
        <v>2721</v>
      </c>
    </row>
    <row r="997" spans="1:16">
      <c r="A997" s="1" t="s">
        <v>15</v>
      </c>
      <c r="B997" s="1">
        <v>12</v>
      </c>
      <c r="C997" s="1" t="s">
        <v>385</v>
      </c>
      <c r="D997" s="1" t="s">
        <v>386</v>
      </c>
      <c r="E997" s="2">
        <v>45994</v>
      </c>
      <c r="F997" s="1" t="s">
        <v>368</v>
      </c>
      <c r="G997" s="1" t="s">
        <v>387</v>
      </c>
      <c r="H997" s="1" t="s">
        <v>388</v>
      </c>
      <c r="I997" s="1">
        <v>1</v>
      </c>
      <c r="J997" s="3">
        <v>8953</v>
      </c>
      <c r="K997" s="3">
        <v>8543</v>
      </c>
      <c r="L997" s="1">
        <v>0</v>
      </c>
      <c r="M997" s="4">
        <v>0</v>
      </c>
      <c r="N997" s="1">
        <v>410</v>
      </c>
      <c r="O997" s="4">
        <v>4.5999999999999999E-2</v>
      </c>
      <c r="P997" s="1" t="s">
        <v>2721</v>
      </c>
    </row>
    <row r="998" spans="1:16">
      <c r="A998" s="1" t="s">
        <v>15</v>
      </c>
      <c r="B998" s="1">
        <v>12</v>
      </c>
      <c r="C998" s="1" t="s">
        <v>389</v>
      </c>
      <c r="D998" s="1" t="s">
        <v>390</v>
      </c>
      <c r="E998" s="2">
        <v>45994</v>
      </c>
      <c r="F998" s="1" t="s">
        <v>256</v>
      </c>
      <c r="G998" s="1" t="s">
        <v>391</v>
      </c>
      <c r="H998" s="1" t="s">
        <v>392</v>
      </c>
      <c r="I998" s="1">
        <v>1</v>
      </c>
      <c r="J998" s="3">
        <v>12799</v>
      </c>
      <c r="K998" s="3">
        <v>12213</v>
      </c>
      <c r="L998" s="1">
        <v>0</v>
      </c>
      <c r="M998" s="4">
        <v>0</v>
      </c>
      <c r="N998" s="1">
        <v>586</v>
      </c>
      <c r="O998" s="4">
        <v>4.5999999999999999E-2</v>
      </c>
      <c r="P998" s="1" t="s">
        <v>2721</v>
      </c>
    </row>
    <row r="999" spans="1:16">
      <c r="A999" s="1" t="s">
        <v>15</v>
      </c>
      <c r="B999" s="1">
        <v>12</v>
      </c>
      <c r="C999" s="1" t="s">
        <v>393</v>
      </c>
      <c r="D999" s="1" t="s">
        <v>394</v>
      </c>
      <c r="E999" s="2">
        <v>45994</v>
      </c>
      <c r="F999" s="1" t="s">
        <v>395</v>
      </c>
      <c r="G999" s="1" t="s">
        <v>396</v>
      </c>
      <c r="H999" s="1" t="s">
        <v>397</v>
      </c>
      <c r="I999" s="1">
        <v>1</v>
      </c>
      <c r="J999" s="3">
        <v>18874</v>
      </c>
      <c r="K999" s="3">
        <v>18010</v>
      </c>
      <c r="L999" s="1">
        <v>0</v>
      </c>
      <c r="M999" s="4">
        <v>0</v>
      </c>
      <c r="N999" s="1">
        <v>864</v>
      </c>
      <c r="O999" s="4">
        <v>4.5999999999999999E-2</v>
      </c>
      <c r="P999" s="1" t="s">
        <v>2721</v>
      </c>
    </row>
    <row r="1000" spans="1:16">
      <c r="A1000" s="1" t="s">
        <v>15</v>
      </c>
      <c r="B1000" s="1">
        <v>12</v>
      </c>
      <c r="C1000" s="1" t="s">
        <v>398</v>
      </c>
      <c r="D1000" s="1" t="s">
        <v>399</v>
      </c>
      <c r="E1000" s="2">
        <v>45994</v>
      </c>
      <c r="F1000" s="1" t="s">
        <v>400</v>
      </c>
      <c r="G1000" s="1" t="s">
        <v>401</v>
      </c>
      <c r="H1000" s="1" t="s">
        <v>402</v>
      </c>
      <c r="I1000" s="1">
        <v>1</v>
      </c>
      <c r="J1000" s="3">
        <v>18872</v>
      </c>
      <c r="K1000" s="3">
        <v>18008</v>
      </c>
      <c r="L1000" s="1">
        <v>0</v>
      </c>
      <c r="M1000" s="4">
        <v>0</v>
      </c>
      <c r="N1000" s="3">
        <v>864</v>
      </c>
      <c r="O1000" s="4">
        <v>4.5999999999999999E-2</v>
      </c>
      <c r="P1000" s="1" t="s">
        <v>2721</v>
      </c>
    </row>
    <row r="1001" spans="1:16">
      <c r="A1001" s="1" t="s">
        <v>15</v>
      </c>
      <c r="B1001" s="1">
        <v>12</v>
      </c>
      <c r="C1001" s="1" t="s">
        <v>403</v>
      </c>
      <c r="D1001" s="1" t="s">
        <v>27</v>
      </c>
      <c r="E1001" s="2">
        <v>45994</v>
      </c>
      <c r="F1001" s="1" t="s">
        <v>28</v>
      </c>
      <c r="G1001" s="1" t="s">
        <v>29</v>
      </c>
      <c r="H1001" s="1" t="s">
        <v>404</v>
      </c>
      <c r="I1001" s="1">
        <v>1</v>
      </c>
      <c r="J1001" s="3">
        <v>89945</v>
      </c>
      <c r="K1001" s="3">
        <v>85827</v>
      </c>
      <c r="L1001" s="1">
        <v>0</v>
      </c>
      <c r="M1001" s="4">
        <v>0</v>
      </c>
      <c r="N1001" s="3">
        <v>4118</v>
      </c>
      <c r="O1001" s="4">
        <v>4.5999999999999999E-2</v>
      </c>
      <c r="P1001" s="1" t="s">
        <v>2721</v>
      </c>
    </row>
    <row r="1002" spans="1:16">
      <c r="A1002" s="1" t="s">
        <v>15</v>
      </c>
      <c r="B1002" s="1">
        <v>12</v>
      </c>
      <c r="C1002" s="1" t="s">
        <v>405</v>
      </c>
      <c r="D1002" s="1" t="s">
        <v>406</v>
      </c>
      <c r="E1002" s="2">
        <v>45994</v>
      </c>
      <c r="F1002" s="1" t="s">
        <v>407</v>
      </c>
      <c r="G1002" s="1" t="s">
        <v>408</v>
      </c>
      <c r="H1002" s="1" t="s">
        <v>409</v>
      </c>
      <c r="I1002" s="1">
        <v>1</v>
      </c>
      <c r="J1002" s="3">
        <v>10715</v>
      </c>
      <c r="K1002" s="3">
        <v>10224</v>
      </c>
      <c r="L1002" s="1">
        <v>0</v>
      </c>
      <c r="M1002" s="4">
        <v>0</v>
      </c>
      <c r="N1002" s="3">
        <v>491</v>
      </c>
      <c r="O1002" s="4">
        <v>4.5999999999999999E-2</v>
      </c>
      <c r="P1002" s="1" t="s">
        <v>2721</v>
      </c>
    </row>
    <row r="1003" spans="1:16">
      <c r="A1003" s="1" t="s">
        <v>15</v>
      </c>
      <c r="B1003" s="1">
        <v>12</v>
      </c>
      <c r="C1003" s="1" t="s">
        <v>410</v>
      </c>
      <c r="D1003" s="1" t="s">
        <v>411</v>
      </c>
      <c r="E1003" s="2">
        <v>45994</v>
      </c>
      <c r="F1003" s="1" t="s">
        <v>312</v>
      </c>
      <c r="G1003" s="1" t="s">
        <v>412</v>
      </c>
      <c r="H1003" s="1" t="s">
        <v>413</v>
      </c>
      <c r="I1003" s="1">
        <v>1</v>
      </c>
      <c r="J1003" s="3">
        <v>27524</v>
      </c>
      <c r="K1003" s="3">
        <v>26264</v>
      </c>
      <c r="L1003" s="1">
        <v>0</v>
      </c>
      <c r="M1003" s="4">
        <v>0</v>
      </c>
      <c r="N1003" s="3">
        <v>1260</v>
      </c>
      <c r="O1003" s="4">
        <v>4.5999999999999999E-2</v>
      </c>
      <c r="P1003" s="1" t="s">
        <v>2721</v>
      </c>
    </row>
    <row r="1004" spans="1:16">
      <c r="A1004" s="1" t="s">
        <v>15</v>
      </c>
      <c r="B1004" s="1">
        <v>12</v>
      </c>
      <c r="C1004" s="1" t="s">
        <v>414</v>
      </c>
      <c r="D1004" s="1" t="s">
        <v>415</v>
      </c>
      <c r="E1004" s="2">
        <v>45994</v>
      </c>
      <c r="F1004" s="1" t="s">
        <v>416</v>
      </c>
      <c r="G1004" s="1" t="s">
        <v>417</v>
      </c>
      <c r="H1004" s="1" t="s">
        <v>418</v>
      </c>
      <c r="I1004" s="1">
        <v>1</v>
      </c>
      <c r="J1004" s="3">
        <v>12779</v>
      </c>
      <c r="K1004" s="3">
        <v>12194</v>
      </c>
      <c r="L1004" s="1">
        <v>0</v>
      </c>
      <c r="M1004" s="4">
        <v>0</v>
      </c>
      <c r="N1004" s="1">
        <v>585</v>
      </c>
      <c r="O1004" s="4">
        <v>4.5999999999999999E-2</v>
      </c>
      <c r="P1004" s="1" t="s">
        <v>2721</v>
      </c>
    </row>
    <row r="1005" spans="1:16">
      <c r="A1005" s="1" t="s">
        <v>15</v>
      </c>
      <c r="B1005" s="1">
        <v>12</v>
      </c>
      <c r="C1005" s="1" t="s">
        <v>419</v>
      </c>
      <c r="D1005" s="1" t="s">
        <v>420</v>
      </c>
      <c r="E1005" s="2">
        <v>45994</v>
      </c>
      <c r="F1005" s="1" t="s">
        <v>421</v>
      </c>
      <c r="G1005" s="1" t="s">
        <v>422</v>
      </c>
      <c r="H1005" s="1" t="s">
        <v>423</v>
      </c>
      <c r="I1005" s="1">
        <v>2</v>
      </c>
      <c r="J1005" s="3">
        <v>10223</v>
      </c>
      <c r="K1005" s="3">
        <v>9755</v>
      </c>
      <c r="L1005" s="1">
        <v>0</v>
      </c>
      <c r="M1005" s="4">
        <v>0</v>
      </c>
      <c r="N1005" s="3">
        <v>468</v>
      </c>
      <c r="O1005" s="4">
        <v>4.5999999999999999E-2</v>
      </c>
      <c r="P1005" s="1" t="s">
        <v>2721</v>
      </c>
    </row>
    <row r="1006" spans="1:16">
      <c r="A1006" s="1" t="s">
        <v>15</v>
      </c>
      <c r="B1006" s="1">
        <v>12</v>
      </c>
      <c r="C1006" s="1" t="s">
        <v>424</v>
      </c>
      <c r="D1006" s="1" t="s">
        <v>425</v>
      </c>
      <c r="E1006" s="2">
        <v>45994</v>
      </c>
      <c r="F1006" s="1" t="s">
        <v>426</v>
      </c>
      <c r="G1006" s="1" t="s">
        <v>427</v>
      </c>
      <c r="H1006" s="1" t="s">
        <v>428</v>
      </c>
      <c r="I1006" s="1">
        <v>2</v>
      </c>
      <c r="J1006" s="3">
        <v>47184</v>
      </c>
      <c r="K1006" s="3">
        <v>45024</v>
      </c>
      <c r="L1006" s="1">
        <v>0</v>
      </c>
      <c r="M1006" s="4">
        <v>0</v>
      </c>
      <c r="N1006" s="3">
        <v>2160</v>
      </c>
      <c r="O1006" s="4">
        <v>4.5999999999999999E-2</v>
      </c>
      <c r="P1006" s="1" t="s">
        <v>2721</v>
      </c>
    </row>
    <row r="1007" spans="1:16">
      <c r="A1007" s="1" t="s">
        <v>15</v>
      </c>
      <c r="B1007" s="1">
        <v>12</v>
      </c>
      <c r="C1007" s="1" t="s">
        <v>429</v>
      </c>
      <c r="D1007" s="1" t="s">
        <v>430</v>
      </c>
      <c r="E1007" s="2">
        <v>45994</v>
      </c>
      <c r="F1007" s="1" t="s">
        <v>431</v>
      </c>
      <c r="G1007" s="1" t="s">
        <v>432</v>
      </c>
      <c r="H1007" s="1" t="s">
        <v>433</v>
      </c>
      <c r="I1007" s="1">
        <v>1</v>
      </c>
      <c r="J1007" s="3">
        <v>137620</v>
      </c>
      <c r="K1007" s="3">
        <v>131320</v>
      </c>
      <c r="L1007" s="1">
        <v>0</v>
      </c>
      <c r="M1007" s="4">
        <v>0</v>
      </c>
      <c r="N1007" s="3">
        <v>6300</v>
      </c>
      <c r="O1007" s="4">
        <v>4.5999999999999999E-2</v>
      </c>
      <c r="P1007" s="1" t="s">
        <v>2721</v>
      </c>
    </row>
    <row r="1008" spans="1:16">
      <c r="A1008" s="1" t="s">
        <v>15</v>
      </c>
      <c r="B1008" s="1">
        <v>12</v>
      </c>
      <c r="C1008" s="1" t="s">
        <v>434</v>
      </c>
      <c r="D1008" s="1" t="s">
        <v>435</v>
      </c>
      <c r="E1008" s="2">
        <v>45994</v>
      </c>
      <c r="F1008" s="1" t="s">
        <v>63</v>
      </c>
      <c r="G1008" s="1" t="s">
        <v>436</v>
      </c>
      <c r="H1008" s="1" t="s">
        <v>114</v>
      </c>
      <c r="I1008" s="1">
        <v>1</v>
      </c>
      <c r="J1008" s="3">
        <v>8011</v>
      </c>
      <c r="K1008" s="3">
        <v>7645</v>
      </c>
      <c r="L1008" s="1">
        <v>0</v>
      </c>
      <c r="M1008" s="4">
        <v>0</v>
      </c>
      <c r="N1008" s="1">
        <v>366</v>
      </c>
      <c r="O1008" s="4">
        <v>4.5999999999999999E-2</v>
      </c>
      <c r="P1008" s="1" t="s">
        <v>2721</v>
      </c>
    </row>
    <row r="1009" spans="1:16">
      <c r="A1009" s="1" t="s">
        <v>15</v>
      </c>
      <c r="B1009" s="1">
        <v>12</v>
      </c>
      <c r="C1009" s="1" t="s">
        <v>437</v>
      </c>
      <c r="D1009" s="1" t="s">
        <v>52</v>
      </c>
      <c r="E1009" s="2">
        <v>45994</v>
      </c>
      <c r="F1009" s="1" t="s">
        <v>53</v>
      </c>
      <c r="G1009" s="1" t="s">
        <v>54</v>
      </c>
      <c r="H1009" s="1" t="s">
        <v>55</v>
      </c>
      <c r="I1009" s="1">
        <v>1</v>
      </c>
      <c r="J1009" s="3">
        <v>16135</v>
      </c>
      <c r="K1009" s="3">
        <v>15396</v>
      </c>
      <c r="L1009" s="1">
        <v>0</v>
      </c>
      <c r="M1009" s="4">
        <v>0</v>
      </c>
      <c r="N1009" s="3">
        <v>739</v>
      </c>
      <c r="O1009" s="4">
        <v>4.5999999999999999E-2</v>
      </c>
      <c r="P1009" s="1" t="s">
        <v>2721</v>
      </c>
    </row>
    <row r="1010" spans="1:16">
      <c r="A1010" s="1" t="s">
        <v>15</v>
      </c>
      <c r="B1010" s="1">
        <v>12</v>
      </c>
      <c r="C1010" s="1" t="s">
        <v>438</v>
      </c>
      <c r="D1010" s="1" t="s">
        <v>27</v>
      </c>
      <c r="E1010" s="2">
        <v>45994</v>
      </c>
      <c r="F1010" s="1" t="s">
        <v>28</v>
      </c>
      <c r="G1010" s="1" t="s">
        <v>29</v>
      </c>
      <c r="H1010" s="1" t="s">
        <v>352</v>
      </c>
      <c r="I1010" s="1">
        <v>1</v>
      </c>
      <c r="J1010" s="3">
        <v>27033</v>
      </c>
      <c r="K1010" s="3">
        <v>25795</v>
      </c>
      <c r="L1010" s="1">
        <v>0</v>
      </c>
      <c r="M1010" s="4">
        <v>0</v>
      </c>
      <c r="N1010" s="3">
        <v>1238</v>
      </c>
      <c r="O1010" s="4">
        <v>4.5999999999999999E-2</v>
      </c>
      <c r="P1010" s="1" t="s">
        <v>2721</v>
      </c>
    </row>
    <row r="1011" spans="1:16">
      <c r="A1011" s="1" t="s">
        <v>15</v>
      </c>
      <c r="B1011" s="1">
        <v>12</v>
      </c>
      <c r="C1011" s="1" t="s">
        <v>439</v>
      </c>
      <c r="D1011" s="1" t="s">
        <v>440</v>
      </c>
      <c r="E1011" s="2">
        <v>45994</v>
      </c>
      <c r="F1011" s="1" t="s">
        <v>441</v>
      </c>
      <c r="G1011" s="1" t="s">
        <v>442</v>
      </c>
      <c r="H1011" s="1" t="s">
        <v>443</v>
      </c>
      <c r="I1011" s="1">
        <v>1</v>
      </c>
      <c r="J1011" s="3">
        <v>27524</v>
      </c>
      <c r="K1011" s="3">
        <v>26264</v>
      </c>
      <c r="L1011" s="1">
        <v>0</v>
      </c>
      <c r="M1011" s="4">
        <v>0</v>
      </c>
      <c r="N1011" s="3">
        <v>1260</v>
      </c>
      <c r="O1011" s="4">
        <v>4.5999999999999999E-2</v>
      </c>
      <c r="P1011" s="1" t="s">
        <v>2721</v>
      </c>
    </row>
    <row r="1012" spans="1:16">
      <c r="A1012" s="1" t="s">
        <v>15</v>
      </c>
      <c r="B1012" s="1">
        <v>12</v>
      </c>
      <c r="C1012" s="1" t="s">
        <v>444</v>
      </c>
      <c r="D1012" s="1" t="s">
        <v>445</v>
      </c>
      <c r="E1012" s="2">
        <v>45994</v>
      </c>
      <c r="F1012" s="1" t="s">
        <v>446</v>
      </c>
      <c r="G1012" s="1" t="s">
        <v>447</v>
      </c>
      <c r="H1012" s="1" t="s">
        <v>448</v>
      </c>
      <c r="I1012" s="1">
        <v>1</v>
      </c>
      <c r="J1012" s="3">
        <v>9339</v>
      </c>
      <c r="K1012" s="3">
        <v>8911</v>
      </c>
      <c r="L1012" s="1">
        <v>0</v>
      </c>
      <c r="M1012" s="4">
        <v>0</v>
      </c>
      <c r="N1012" s="3">
        <v>428</v>
      </c>
      <c r="O1012" s="4">
        <v>4.5999999999999999E-2</v>
      </c>
      <c r="P1012" s="1" t="s">
        <v>2721</v>
      </c>
    </row>
    <row r="1013" spans="1:16">
      <c r="A1013" s="1" t="s">
        <v>15</v>
      </c>
      <c r="B1013" s="1">
        <v>12</v>
      </c>
      <c r="C1013" s="1" t="s">
        <v>449</v>
      </c>
      <c r="D1013" s="1" t="s">
        <v>450</v>
      </c>
      <c r="E1013" s="2">
        <v>45994</v>
      </c>
      <c r="F1013" s="1" t="s">
        <v>451</v>
      </c>
      <c r="G1013" s="1" t="s">
        <v>452</v>
      </c>
      <c r="H1013" s="1" t="s">
        <v>453</v>
      </c>
      <c r="I1013" s="1">
        <v>1</v>
      </c>
      <c r="J1013" s="3">
        <v>24673</v>
      </c>
      <c r="K1013" s="3">
        <v>23544</v>
      </c>
      <c r="L1013" s="1">
        <v>0</v>
      </c>
      <c r="M1013" s="4">
        <v>0</v>
      </c>
      <c r="N1013" s="3">
        <v>1129</v>
      </c>
      <c r="O1013" s="4">
        <v>4.5999999999999999E-2</v>
      </c>
      <c r="P1013" s="1" t="s">
        <v>2721</v>
      </c>
    </row>
    <row r="1014" spans="1:16">
      <c r="A1014" s="1" t="s">
        <v>15</v>
      </c>
      <c r="B1014" s="1">
        <v>12</v>
      </c>
      <c r="C1014" s="1" t="s">
        <v>454</v>
      </c>
      <c r="D1014" s="1" t="s">
        <v>250</v>
      </c>
      <c r="E1014" s="2">
        <v>45994</v>
      </c>
      <c r="F1014" s="1" t="s">
        <v>251</v>
      </c>
      <c r="G1014" s="1" t="s">
        <v>252</v>
      </c>
      <c r="H1014" s="1" t="s">
        <v>253</v>
      </c>
      <c r="I1014" s="1">
        <v>1</v>
      </c>
      <c r="J1014" s="3">
        <v>17203</v>
      </c>
      <c r="K1014" s="3">
        <v>16415</v>
      </c>
      <c r="L1014" s="1">
        <v>0</v>
      </c>
      <c r="M1014" s="4">
        <v>0</v>
      </c>
      <c r="N1014" s="1">
        <v>788</v>
      </c>
      <c r="O1014" s="4">
        <v>4.5999999999999999E-2</v>
      </c>
      <c r="P1014" s="1" t="s">
        <v>2721</v>
      </c>
    </row>
    <row r="1015" spans="1:16">
      <c r="A1015" s="1" t="s">
        <v>15</v>
      </c>
      <c r="B1015" s="1">
        <v>12</v>
      </c>
      <c r="C1015" s="1" t="s">
        <v>455</v>
      </c>
      <c r="D1015" s="1" t="s">
        <v>90</v>
      </c>
      <c r="E1015" s="2">
        <v>45994</v>
      </c>
      <c r="F1015" s="1" t="s">
        <v>91</v>
      </c>
      <c r="G1015" s="1" t="s">
        <v>92</v>
      </c>
      <c r="H1015" s="1" t="s">
        <v>456</v>
      </c>
      <c r="I1015" s="1">
        <v>1</v>
      </c>
      <c r="J1015" s="3">
        <v>6763</v>
      </c>
      <c r="K1015" s="3">
        <v>6453</v>
      </c>
      <c r="L1015" s="1">
        <v>0</v>
      </c>
      <c r="M1015" s="4">
        <v>0</v>
      </c>
      <c r="N1015" s="1">
        <v>310</v>
      </c>
      <c r="O1015" s="4">
        <v>4.5999999999999999E-2</v>
      </c>
      <c r="P1015" s="1" t="s">
        <v>2721</v>
      </c>
    </row>
    <row r="1016" spans="1:16">
      <c r="A1016" s="1" t="s">
        <v>15</v>
      </c>
      <c r="B1016" s="1">
        <v>12</v>
      </c>
      <c r="C1016" s="1" t="s">
        <v>457</v>
      </c>
      <c r="D1016" s="1" t="s">
        <v>458</v>
      </c>
      <c r="E1016" s="2">
        <v>45994</v>
      </c>
      <c r="F1016" s="1" t="s">
        <v>161</v>
      </c>
      <c r="G1016" s="1" t="s">
        <v>459</v>
      </c>
      <c r="H1016" s="1" t="s">
        <v>460</v>
      </c>
      <c r="I1016" s="1">
        <v>1</v>
      </c>
      <c r="J1016" s="3">
        <v>9928</v>
      </c>
      <c r="K1016" s="3">
        <v>9474</v>
      </c>
      <c r="L1016" s="1">
        <v>0</v>
      </c>
      <c r="M1016" s="4">
        <v>0</v>
      </c>
      <c r="N1016" s="1">
        <v>454</v>
      </c>
      <c r="O1016" s="4">
        <v>4.5999999999999999E-2</v>
      </c>
      <c r="P1016" s="1" t="s">
        <v>2721</v>
      </c>
    </row>
    <row r="1017" spans="1:16">
      <c r="A1017" s="1" t="s">
        <v>15</v>
      </c>
      <c r="B1017" s="1">
        <v>12</v>
      </c>
      <c r="C1017" s="1" t="s">
        <v>461</v>
      </c>
      <c r="D1017" s="1" t="s">
        <v>238</v>
      </c>
      <c r="E1017" s="2">
        <v>45994</v>
      </c>
      <c r="F1017" s="1" t="s">
        <v>239</v>
      </c>
      <c r="G1017" s="1" t="s">
        <v>240</v>
      </c>
      <c r="H1017" s="1" t="s">
        <v>241</v>
      </c>
      <c r="I1017" s="1">
        <v>1</v>
      </c>
      <c r="J1017" s="3">
        <v>11305</v>
      </c>
      <c r="K1017" s="3">
        <v>10787</v>
      </c>
      <c r="L1017" s="1">
        <v>0</v>
      </c>
      <c r="M1017" s="4">
        <v>0</v>
      </c>
      <c r="N1017" s="3">
        <v>518</v>
      </c>
      <c r="O1017" s="4">
        <v>4.5999999999999999E-2</v>
      </c>
      <c r="P1017" s="1" t="s">
        <v>2721</v>
      </c>
    </row>
    <row r="1018" spans="1:16">
      <c r="A1018" s="1" t="s">
        <v>15</v>
      </c>
      <c r="B1018" s="1">
        <v>12</v>
      </c>
      <c r="C1018" s="1" t="s">
        <v>462</v>
      </c>
      <c r="D1018" s="1" t="s">
        <v>463</v>
      </c>
      <c r="E1018" s="2">
        <v>45994</v>
      </c>
      <c r="F1018" s="1" t="s">
        <v>464</v>
      </c>
      <c r="G1018" s="1" t="s">
        <v>465</v>
      </c>
      <c r="H1018" s="1" t="s">
        <v>466</v>
      </c>
      <c r="I1018" s="1">
        <v>2</v>
      </c>
      <c r="J1018" s="3">
        <v>23248</v>
      </c>
      <c r="K1018" s="3">
        <v>22184</v>
      </c>
      <c r="L1018" s="1">
        <v>0</v>
      </c>
      <c r="M1018" s="4">
        <v>0</v>
      </c>
      <c r="N1018" s="3">
        <v>1064</v>
      </c>
      <c r="O1018" s="4">
        <v>4.5999999999999999E-2</v>
      </c>
      <c r="P1018" s="1" t="s">
        <v>2721</v>
      </c>
    </row>
    <row r="1019" spans="1:16">
      <c r="A1019" s="1" t="s">
        <v>15</v>
      </c>
      <c r="B1019" s="1">
        <v>12</v>
      </c>
      <c r="C1019" s="1" t="s">
        <v>467</v>
      </c>
      <c r="D1019" s="1" t="s">
        <v>468</v>
      </c>
      <c r="E1019" s="2">
        <v>45994</v>
      </c>
      <c r="F1019" s="1" t="s">
        <v>469</v>
      </c>
      <c r="G1019" s="1" t="s">
        <v>470</v>
      </c>
      <c r="H1019" s="1" t="s">
        <v>471</v>
      </c>
      <c r="I1019" s="1">
        <v>1</v>
      </c>
      <c r="J1019" s="3">
        <v>24477</v>
      </c>
      <c r="K1019" s="3">
        <v>23356</v>
      </c>
      <c r="L1019" s="1">
        <v>0</v>
      </c>
      <c r="M1019" s="4">
        <v>0</v>
      </c>
      <c r="N1019" s="3">
        <v>1121</v>
      </c>
      <c r="O1019" s="4">
        <v>4.5999999999999999E-2</v>
      </c>
      <c r="P1019" s="1" t="s">
        <v>2721</v>
      </c>
    </row>
    <row r="1020" spans="1:16">
      <c r="A1020" s="1" t="s">
        <v>15</v>
      </c>
      <c r="B1020" s="1">
        <v>12</v>
      </c>
      <c r="C1020" s="1" t="s">
        <v>472</v>
      </c>
      <c r="D1020" s="1" t="s">
        <v>238</v>
      </c>
      <c r="E1020" s="2">
        <v>45994</v>
      </c>
      <c r="F1020" s="1" t="s">
        <v>239</v>
      </c>
      <c r="G1020" s="1" t="s">
        <v>240</v>
      </c>
      <c r="H1020" s="1" t="s">
        <v>242</v>
      </c>
      <c r="I1020" s="1">
        <v>1</v>
      </c>
      <c r="J1020" s="3">
        <v>11305</v>
      </c>
      <c r="K1020" s="3">
        <v>10787</v>
      </c>
      <c r="L1020" s="1">
        <v>0</v>
      </c>
      <c r="M1020" s="4">
        <v>0</v>
      </c>
      <c r="N1020" s="1">
        <v>518</v>
      </c>
      <c r="O1020" s="4">
        <v>4.5999999999999999E-2</v>
      </c>
      <c r="P1020" s="1" t="s">
        <v>2721</v>
      </c>
    </row>
    <row r="1021" spans="1:16">
      <c r="A1021" s="1" t="s">
        <v>15</v>
      </c>
      <c r="B1021" s="1">
        <v>12</v>
      </c>
      <c r="C1021" s="1" t="s">
        <v>473</v>
      </c>
      <c r="D1021" s="1" t="s">
        <v>474</v>
      </c>
      <c r="E1021" s="2">
        <v>45994</v>
      </c>
      <c r="F1021" s="1" t="s">
        <v>53</v>
      </c>
      <c r="G1021" s="1" t="s">
        <v>475</v>
      </c>
      <c r="H1021" s="1" t="s">
        <v>476</v>
      </c>
      <c r="I1021" s="1">
        <v>1</v>
      </c>
      <c r="J1021" s="3">
        <v>10726</v>
      </c>
      <c r="K1021" s="3">
        <v>10235</v>
      </c>
      <c r="L1021" s="1">
        <v>0</v>
      </c>
      <c r="M1021" s="4">
        <v>0</v>
      </c>
      <c r="N1021" s="1">
        <v>491</v>
      </c>
      <c r="O1021" s="4">
        <v>4.5999999999999999E-2</v>
      </c>
      <c r="P1021" s="1" t="s">
        <v>2721</v>
      </c>
    </row>
    <row r="1022" spans="1:16">
      <c r="A1022" s="1" t="s">
        <v>15</v>
      </c>
      <c r="B1022" s="1">
        <v>12</v>
      </c>
      <c r="C1022" s="1" t="s">
        <v>477</v>
      </c>
      <c r="D1022" s="1" t="s">
        <v>478</v>
      </c>
      <c r="E1022" s="2">
        <v>45994</v>
      </c>
      <c r="F1022" s="1" t="s">
        <v>368</v>
      </c>
      <c r="G1022" s="1" t="s">
        <v>479</v>
      </c>
      <c r="H1022" s="1" t="s">
        <v>480</v>
      </c>
      <c r="I1022" s="1">
        <v>1</v>
      </c>
      <c r="J1022" s="3">
        <v>19805</v>
      </c>
      <c r="K1022" s="3">
        <v>18899</v>
      </c>
      <c r="L1022" s="1">
        <v>0</v>
      </c>
      <c r="M1022" s="4">
        <v>0</v>
      </c>
      <c r="N1022" s="1">
        <v>906</v>
      </c>
      <c r="O1022" s="4">
        <v>4.5999999999999999E-2</v>
      </c>
      <c r="P1022" s="1" t="s">
        <v>2721</v>
      </c>
    </row>
    <row r="1023" spans="1:16">
      <c r="A1023" s="1" t="s">
        <v>15</v>
      </c>
      <c r="B1023" s="1">
        <v>12</v>
      </c>
      <c r="C1023" s="1" t="s">
        <v>481</v>
      </c>
      <c r="D1023" s="1" t="s">
        <v>482</v>
      </c>
      <c r="E1023" s="2">
        <v>45994</v>
      </c>
      <c r="F1023" s="1" t="s">
        <v>483</v>
      </c>
      <c r="G1023" s="1" t="s">
        <v>484</v>
      </c>
      <c r="H1023" s="1" t="s">
        <v>485</v>
      </c>
      <c r="I1023" s="1">
        <v>1</v>
      </c>
      <c r="J1023" s="3">
        <v>16501</v>
      </c>
      <c r="K1023" s="3">
        <v>15745</v>
      </c>
      <c r="L1023" s="1">
        <v>0</v>
      </c>
      <c r="M1023" s="4">
        <v>0</v>
      </c>
      <c r="N1023" s="1">
        <v>756</v>
      </c>
      <c r="O1023" s="4">
        <v>4.5999999999999999E-2</v>
      </c>
      <c r="P1023" s="1" t="s">
        <v>2721</v>
      </c>
    </row>
    <row r="1024" spans="1:16">
      <c r="A1024" s="1" t="s">
        <v>15</v>
      </c>
      <c r="B1024" s="1">
        <v>12</v>
      </c>
      <c r="C1024" s="1" t="s">
        <v>486</v>
      </c>
      <c r="D1024" s="1" t="s">
        <v>487</v>
      </c>
      <c r="E1024" s="2">
        <v>45994</v>
      </c>
      <c r="F1024" s="1" t="s">
        <v>488</v>
      </c>
      <c r="G1024" s="1" t="s">
        <v>489</v>
      </c>
      <c r="H1024" s="1" t="s">
        <v>490</v>
      </c>
      <c r="I1024" s="1">
        <v>1</v>
      </c>
      <c r="J1024" s="3">
        <v>19169</v>
      </c>
      <c r="K1024" s="3">
        <v>18291</v>
      </c>
      <c r="L1024" s="1">
        <v>0</v>
      </c>
      <c r="M1024" s="4">
        <v>0</v>
      </c>
      <c r="N1024" s="1">
        <v>878</v>
      </c>
      <c r="O1024" s="4">
        <v>4.5999999999999999E-2</v>
      </c>
      <c r="P1024" s="1" t="s">
        <v>2721</v>
      </c>
    </row>
    <row r="1025" spans="1:16">
      <c r="A1025" s="1" t="s">
        <v>15</v>
      </c>
      <c r="B1025" s="1">
        <v>12</v>
      </c>
      <c r="C1025" s="1" t="s">
        <v>491</v>
      </c>
      <c r="D1025" s="1" t="s">
        <v>492</v>
      </c>
      <c r="E1025" s="2">
        <v>45994</v>
      </c>
      <c r="F1025" s="1" t="s">
        <v>493</v>
      </c>
      <c r="G1025" s="1" t="s">
        <v>494</v>
      </c>
      <c r="H1025" s="1" t="s">
        <v>495</v>
      </c>
      <c r="I1025" s="1">
        <v>1</v>
      </c>
      <c r="J1025" s="3">
        <v>7569</v>
      </c>
      <c r="K1025" s="3">
        <v>7223</v>
      </c>
      <c r="L1025" s="1">
        <v>0</v>
      </c>
      <c r="M1025" s="4">
        <v>0</v>
      </c>
      <c r="N1025" s="3">
        <v>346</v>
      </c>
      <c r="O1025" s="4">
        <v>4.5999999999999999E-2</v>
      </c>
      <c r="P1025" s="1" t="s">
        <v>2721</v>
      </c>
    </row>
    <row r="1026" spans="1:16">
      <c r="A1026" s="1" t="s">
        <v>15</v>
      </c>
      <c r="B1026" s="1">
        <v>12</v>
      </c>
      <c r="C1026" s="1" t="s">
        <v>496</v>
      </c>
      <c r="D1026" s="1" t="s">
        <v>250</v>
      </c>
      <c r="E1026" s="2">
        <v>45994</v>
      </c>
      <c r="F1026" s="1" t="s">
        <v>251</v>
      </c>
      <c r="G1026" s="1" t="s">
        <v>252</v>
      </c>
      <c r="H1026" s="1" t="s">
        <v>497</v>
      </c>
      <c r="I1026" s="1">
        <v>3</v>
      </c>
      <c r="J1026" s="3">
        <v>70481</v>
      </c>
      <c r="K1026" s="3">
        <v>67255</v>
      </c>
      <c r="L1026" s="1">
        <v>0</v>
      </c>
      <c r="M1026" s="4">
        <v>0</v>
      </c>
      <c r="N1026" s="3">
        <v>3226</v>
      </c>
      <c r="O1026" s="4">
        <v>4.5999999999999999E-2</v>
      </c>
      <c r="P1026" s="1" t="s">
        <v>2721</v>
      </c>
    </row>
    <row r="1027" spans="1:16">
      <c r="A1027" s="1" t="s">
        <v>15</v>
      </c>
      <c r="B1027" s="1">
        <v>12</v>
      </c>
      <c r="C1027" s="1" t="s">
        <v>498</v>
      </c>
      <c r="D1027" s="1" t="s">
        <v>499</v>
      </c>
      <c r="E1027" s="2">
        <v>45994</v>
      </c>
      <c r="F1027" s="1" t="s">
        <v>500</v>
      </c>
      <c r="G1027" s="1" t="s">
        <v>501</v>
      </c>
      <c r="H1027" s="1" t="s">
        <v>502</v>
      </c>
      <c r="I1027" s="1">
        <v>1</v>
      </c>
      <c r="J1027" s="3">
        <v>242082</v>
      </c>
      <c r="K1027" s="3">
        <v>231000</v>
      </c>
      <c r="L1027" s="1">
        <v>0</v>
      </c>
      <c r="M1027" s="4">
        <v>0</v>
      </c>
      <c r="N1027" s="3">
        <v>11082</v>
      </c>
      <c r="O1027" s="4">
        <v>4.5999999999999999E-2</v>
      </c>
      <c r="P1027" s="1" t="s">
        <v>2721</v>
      </c>
    </row>
    <row r="1028" spans="1:16">
      <c r="A1028" s="1" t="s">
        <v>15</v>
      </c>
      <c r="B1028" s="1">
        <v>12</v>
      </c>
      <c r="C1028" s="1" t="s">
        <v>503</v>
      </c>
      <c r="D1028" s="1" t="s">
        <v>504</v>
      </c>
      <c r="E1028" s="2">
        <v>45994</v>
      </c>
      <c r="F1028" s="1" t="s">
        <v>407</v>
      </c>
      <c r="G1028" s="1" t="s">
        <v>505</v>
      </c>
      <c r="H1028" s="1" t="s">
        <v>506</v>
      </c>
      <c r="I1028" s="1">
        <v>1</v>
      </c>
      <c r="J1028" s="3">
        <v>40303</v>
      </c>
      <c r="K1028" s="3">
        <v>38458</v>
      </c>
      <c r="L1028" s="1">
        <v>0</v>
      </c>
      <c r="M1028" s="4">
        <v>0</v>
      </c>
      <c r="N1028" s="3">
        <v>1845</v>
      </c>
      <c r="O1028" s="4">
        <v>4.5999999999999999E-2</v>
      </c>
      <c r="P1028" s="1" t="s">
        <v>2721</v>
      </c>
    </row>
    <row r="1029" spans="1:16">
      <c r="A1029" s="1" t="s">
        <v>15</v>
      </c>
      <c r="B1029" s="1">
        <v>12</v>
      </c>
      <c r="C1029" s="1" t="s">
        <v>507</v>
      </c>
      <c r="D1029" s="1" t="s">
        <v>169</v>
      </c>
      <c r="E1029" s="2">
        <v>45994</v>
      </c>
      <c r="F1029" s="1" t="s">
        <v>53</v>
      </c>
      <c r="G1029" s="1" t="s">
        <v>170</v>
      </c>
      <c r="H1029" s="1" t="s">
        <v>171</v>
      </c>
      <c r="I1029" s="1">
        <v>1</v>
      </c>
      <c r="J1029" s="3">
        <v>14332</v>
      </c>
      <c r="K1029" s="3">
        <v>13676</v>
      </c>
      <c r="L1029" s="1">
        <v>0</v>
      </c>
      <c r="M1029" s="4">
        <v>0</v>
      </c>
      <c r="N1029" s="1">
        <v>656</v>
      </c>
      <c r="O1029" s="4">
        <v>4.5999999999999999E-2</v>
      </c>
      <c r="P1029" s="1" t="s">
        <v>2721</v>
      </c>
    </row>
    <row r="1030" spans="1:16">
      <c r="A1030" s="1" t="s">
        <v>15</v>
      </c>
      <c r="B1030" s="1">
        <v>12</v>
      </c>
      <c r="C1030" s="1" t="s">
        <v>508</v>
      </c>
      <c r="D1030" s="1" t="s">
        <v>221</v>
      </c>
      <c r="E1030" s="2">
        <v>45994</v>
      </c>
      <c r="F1030" s="1" t="s">
        <v>96</v>
      </c>
      <c r="G1030" s="1" t="s">
        <v>222</v>
      </c>
      <c r="H1030" s="1" t="s">
        <v>509</v>
      </c>
      <c r="I1030" s="1">
        <v>1</v>
      </c>
      <c r="J1030" s="3">
        <v>12571</v>
      </c>
      <c r="K1030" s="3">
        <v>11995</v>
      </c>
      <c r="L1030" s="1">
        <v>0</v>
      </c>
      <c r="M1030" s="4">
        <v>0</v>
      </c>
      <c r="N1030" s="3">
        <v>576</v>
      </c>
      <c r="O1030" s="4">
        <v>4.5999999999999999E-2</v>
      </c>
      <c r="P1030" s="1" t="s">
        <v>2721</v>
      </c>
    </row>
    <row r="1031" spans="1:16">
      <c r="A1031" s="1" t="s">
        <v>15</v>
      </c>
      <c r="B1031" s="1">
        <v>12</v>
      </c>
      <c r="C1031" s="1" t="s">
        <v>510</v>
      </c>
      <c r="D1031" s="1" t="s">
        <v>511</v>
      </c>
      <c r="E1031" s="2">
        <v>45994</v>
      </c>
      <c r="F1031" s="1" t="s">
        <v>512</v>
      </c>
      <c r="G1031" s="1" t="s">
        <v>513</v>
      </c>
      <c r="H1031" s="1" t="s">
        <v>514</v>
      </c>
      <c r="I1031" s="1">
        <v>1</v>
      </c>
      <c r="J1031" s="3">
        <v>253915</v>
      </c>
      <c r="K1031" s="3">
        <v>242291</v>
      </c>
      <c r="L1031" s="1">
        <v>0</v>
      </c>
      <c r="M1031" s="4">
        <v>0</v>
      </c>
      <c r="N1031" s="3">
        <v>11624</v>
      </c>
      <c r="O1031" s="4">
        <v>4.5999999999999999E-2</v>
      </c>
      <c r="P1031" s="1" t="s">
        <v>2721</v>
      </c>
    </row>
    <row r="1032" spans="1:16">
      <c r="A1032" s="1" t="s">
        <v>15</v>
      </c>
      <c r="B1032" s="1">
        <v>12</v>
      </c>
      <c r="C1032" s="1" t="s">
        <v>515</v>
      </c>
      <c r="D1032" s="1" t="s">
        <v>516</v>
      </c>
      <c r="E1032" s="2">
        <v>45994</v>
      </c>
      <c r="F1032" s="1" t="s">
        <v>517</v>
      </c>
      <c r="G1032" s="1" t="s">
        <v>518</v>
      </c>
      <c r="H1032" s="1" t="s">
        <v>519</v>
      </c>
      <c r="I1032" s="1">
        <v>1</v>
      </c>
      <c r="J1032" s="3">
        <v>21528</v>
      </c>
      <c r="K1032" s="3">
        <v>20542</v>
      </c>
      <c r="L1032" s="1">
        <v>0</v>
      </c>
      <c r="M1032" s="4">
        <v>0</v>
      </c>
      <c r="N1032" s="3">
        <v>986</v>
      </c>
      <c r="O1032" s="4">
        <v>4.5999999999999999E-2</v>
      </c>
      <c r="P1032" s="1" t="s">
        <v>2721</v>
      </c>
    </row>
    <row r="1033" spans="1:16">
      <c r="A1033" s="1" t="s">
        <v>15</v>
      </c>
      <c r="B1033" s="1">
        <v>12</v>
      </c>
      <c r="C1033" s="1" t="s">
        <v>520</v>
      </c>
      <c r="D1033" s="1" t="s">
        <v>316</v>
      </c>
      <c r="E1033" s="2">
        <v>45994</v>
      </c>
      <c r="F1033" s="1" t="s">
        <v>317</v>
      </c>
      <c r="G1033" s="1" t="s">
        <v>318</v>
      </c>
      <c r="H1033" s="1" t="s">
        <v>319</v>
      </c>
      <c r="I1033" s="1">
        <v>1</v>
      </c>
      <c r="J1033" s="3">
        <v>25558</v>
      </c>
      <c r="K1033" s="3">
        <v>24388</v>
      </c>
      <c r="L1033" s="1">
        <v>0</v>
      </c>
      <c r="M1033" s="4">
        <v>0</v>
      </c>
      <c r="N1033" s="3">
        <v>1170</v>
      </c>
      <c r="O1033" s="4">
        <v>4.5999999999999999E-2</v>
      </c>
      <c r="P1033" s="1" t="s">
        <v>2721</v>
      </c>
    </row>
    <row r="1034" spans="1:16">
      <c r="A1034" s="1" t="s">
        <v>15</v>
      </c>
      <c r="B1034" s="1">
        <v>12</v>
      </c>
      <c r="C1034" s="1" t="s">
        <v>521</v>
      </c>
      <c r="D1034" s="1" t="s">
        <v>52</v>
      </c>
      <c r="E1034" s="2">
        <v>45994</v>
      </c>
      <c r="F1034" s="1" t="s">
        <v>53</v>
      </c>
      <c r="G1034" s="1" t="s">
        <v>54</v>
      </c>
      <c r="H1034" s="1" t="s">
        <v>248</v>
      </c>
      <c r="I1034" s="1">
        <v>1</v>
      </c>
      <c r="J1034" s="3">
        <v>16135</v>
      </c>
      <c r="K1034" s="3">
        <v>15396</v>
      </c>
      <c r="L1034" s="1">
        <v>0</v>
      </c>
      <c r="M1034" s="4">
        <v>0</v>
      </c>
      <c r="N1034" s="3">
        <v>739</v>
      </c>
      <c r="O1034" s="4">
        <v>4.5999999999999999E-2</v>
      </c>
      <c r="P1034" s="1" t="s">
        <v>2721</v>
      </c>
    </row>
    <row r="1035" spans="1:16">
      <c r="A1035" s="1" t="s">
        <v>15</v>
      </c>
      <c r="B1035" s="1">
        <v>12</v>
      </c>
      <c r="C1035" s="1" t="s">
        <v>522</v>
      </c>
      <c r="D1035" s="1" t="s">
        <v>523</v>
      </c>
      <c r="E1035" s="2">
        <v>45994</v>
      </c>
      <c r="F1035" s="1" t="s">
        <v>524</v>
      </c>
      <c r="G1035" s="1" t="s">
        <v>525</v>
      </c>
      <c r="H1035" s="1" t="s">
        <v>526</v>
      </c>
      <c r="I1035" s="1">
        <v>1</v>
      </c>
      <c r="J1035" s="3">
        <v>23907</v>
      </c>
      <c r="K1035" s="3">
        <v>22812</v>
      </c>
      <c r="L1035" s="1">
        <v>0</v>
      </c>
      <c r="M1035" s="4">
        <v>0</v>
      </c>
      <c r="N1035" s="3">
        <v>1095</v>
      </c>
      <c r="O1035" s="4">
        <v>4.5999999999999999E-2</v>
      </c>
      <c r="P1035" s="1" t="s">
        <v>2721</v>
      </c>
    </row>
    <row r="1036" spans="1:16">
      <c r="A1036" s="1" t="s">
        <v>15</v>
      </c>
      <c r="B1036" s="1">
        <v>12</v>
      </c>
      <c r="C1036" s="1" t="s">
        <v>527</v>
      </c>
      <c r="D1036" s="1" t="s">
        <v>528</v>
      </c>
      <c r="E1036" s="2">
        <v>45994</v>
      </c>
      <c r="F1036" s="1" t="s">
        <v>297</v>
      </c>
      <c r="G1036" s="1" t="s">
        <v>529</v>
      </c>
      <c r="H1036" s="1" t="s">
        <v>530</v>
      </c>
      <c r="I1036" s="1">
        <v>1</v>
      </c>
      <c r="J1036" s="3">
        <v>25232</v>
      </c>
      <c r="K1036" s="3">
        <v>24077</v>
      </c>
      <c r="L1036" s="1">
        <v>0</v>
      </c>
      <c r="M1036" s="4">
        <v>0</v>
      </c>
      <c r="N1036" s="3">
        <v>1155</v>
      </c>
      <c r="O1036" s="4">
        <v>4.5999999999999999E-2</v>
      </c>
      <c r="P1036" s="1" t="s">
        <v>2721</v>
      </c>
    </row>
    <row r="1037" spans="1:16">
      <c r="A1037" s="1" t="s">
        <v>15</v>
      </c>
      <c r="B1037" s="1">
        <v>12</v>
      </c>
      <c r="C1037" s="1" t="s">
        <v>531</v>
      </c>
      <c r="D1037" s="1" t="s">
        <v>238</v>
      </c>
      <c r="E1037" s="2">
        <v>45994</v>
      </c>
      <c r="F1037" s="1" t="s">
        <v>239</v>
      </c>
      <c r="G1037" s="1" t="s">
        <v>240</v>
      </c>
      <c r="H1037" s="1" t="s">
        <v>242</v>
      </c>
      <c r="I1037" s="1">
        <v>1</v>
      </c>
      <c r="J1037" s="3">
        <v>11305</v>
      </c>
      <c r="K1037" s="3">
        <v>10787</v>
      </c>
      <c r="L1037" s="1">
        <v>0</v>
      </c>
      <c r="M1037" s="4">
        <v>0</v>
      </c>
      <c r="N1037" s="1">
        <v>518</v>
      </c>
      <c r="O1037" s="4">
        <v>4.5999999999999999E-2</v>
      </c>
      <c r="P1037" s="1" t="s">
        <v>2721</v>
      </c>
    </row>
    <row r="1038" spans="1:16">
      <c r="A1038" s="1" t="s">
        <v>15</v>
      </c>
      <c r="B1038" s="1">
        <v>12</v>
      </c>
      <c r="C1038" s="1" t="s">
        <v>532</v>
      </c>
      <c r="D1038" s="1" t="s">
        <v>533</v>
      </c>
      <c r="E1038" s="2">
        <v>45994</v>
      </c>
      <c r="F1038" s="1" t="s">
        <v>534</v>
      </c>
      <c r="G1038" s="1" t="s">
        <v>535</v>
      </c>
      <c r="H1038" s="1" t="s">
        <v>536</v>
      </c>
      <c r="I1038" s="1">
        <v>1</v>
      </c>
      <c r="J1038" s="3">
        <v>19552</v>
      </c>
      <c r="K1038" s="3">
        <v>18657</v>
      </c>
      <c r="L1038" s="1">
        <v>0</v>
      </c>
      <c r="M1038" s="4">
        <v>0</v>
      </c>
      <c r="N1038" s="1">
        <v>895</v>
      </c>
      <c r="O1038" s="4">
        <v>4.5999999999999999E-2</v>
      </c>
      <c r="P1038" s="1" t="s">
        <v>2721</v>
      </c>
    </row>
    <row r="1039" spans="1:16">
      <c r="A1039" s="1" t="s">
        <v>15</v>
      </c>
      <c r="B1039" s="1">
        <v>12</v>
      </c>
      <c r="C1039" s="1" t="s">
        <v>537</v>
      </c>
      <c r="D1039" s="1" t="s">
        <v>538</v>
      </c>
      <c r="E1039" s="2">
        <v>45994</v>
      </c>
      <c r="F1039" s="1" t="s">
        <v>53</v>
      </c>
      <c r="G1039" s="1" t="s">
        <v>539</v>
      </c>
      <c r="H1039" s="1" t="s">
        <v>540</v>
      </c>
      <c r="I1039" s="1">
        <v>1</v>
      </c>
      <c r="J1039" s="3">
        <v>14332</v>
      </c>
      <c r="K1039" s="3">
        <v>13676</v>
      </c>
      <c r="L1039" s="1">
        <v>0</v>
      </c>
      <c r="M1039" s="4">
        <v>0</v>
      </c>
      <c r="N1039" s="3">
        <v>656</v>
      </c>
      <c r="O1039" s="4">
        <v>4.5999999999999999E-2</v>
      </c>
      <c r="P1039" s="1" t="s">
        <v>2721</v>
      </c>
    </row>
    <row r="1040" spans="1:16">
      <c r="A1040" s="1" t="s">
        <v>15</v>
      </c>
      <c r="B1040" s="1">
        <v>12</v>
      </c>
      <c r="C1040" s="1" t="s">
        <v>541</v>
      </c>
      <c r="D1040" s="1" t="s">
        <v>542</v>
      </c>
      <c r="E1040" s="2">
        <v>45994</v>
      </c>
      <c r="F1040" s="1" t="s">
        <v>543</v>
      </c>
      <c r="G1040" s="1" t="s">
        <v>544</v>
      </c>
      <c r="H1040" s="1" t="s">
        <v>545</v>
      </c>
      <c r="I1040" s="1">
        <v>1</v>
      </c>
      <c r="J1040" s="3">
        <v>36371</v>
      </c>
      <c r="K1040" s="3">
        <v>34706</v>
      </c>
      <c r="L1040" s="1">
        <v>0</v>
      </c>
      <c r="M1040" s="4">
        <v>0</v>
      </c>
      <c r="N1040" s="3">
        <v>1665</v>
      </c>
      <c r="O1040" s="4">
        <v>4.5999999999999999E-2</v>
      </c>
      <c r="P1040" s="1" t="s">
        <v>2721</v>
      </c>
    </row>
    <row r="1041" spans="1:16">
      <c r="A1041" s="1" t="s">
        <v>15</v>
      </c>
      <c r="B1041" s="1">
        <v>12</v>
      </c>
      <c r="C1041" s="1" t="s">
        <v>546</v>
      </c>
      <c r="D1041" s="1" t="s">
        <v>341</v>
      </c>
      <c r="E1041" s="2">
        <v>45994</v>
      </c>
      <c r="F1041" s="1" t="s">
        <v>53</v>
      </c>
      <c r="G1041" s="1" t="s">
        <v>342</v>
      </c>
      <c r="H1041" s="1" t="s">
        <v>343</v>
      </c>
      <c r="I1041" s="1">
        <v>1</v>
      </c>
      <c r="J1041" s="3">
        <v>16135</v>
      </c>
      <c r="K1041" s="3">
        <v>15396</v>
      </c>
      <c r="L1041" s="1">
        <v>0</v>
      </c>
      <c r="M1041" s="4">
        <v>0</v>
      </c>
      <c r="N1041" s="1">
        <v>739</v>
      </c>
      <c r="O1041" s="4">
        <v>4.5999999999999999E-2</v>
      </c>
      <c r="P1041" s="1" t="s">
        <v>2721</v>
      </c>
    </row>
    <row r="1042" spans="1:16">
      <c r="A1042" s="1" t="s">
        <v>15</v>
      </c>
      <c r="B1042" s="1">
        <v>12</v>
      </c>
      <c r="C1042" s="1" t="s">
        <v>547</v>
      </c>
      <c r="D1042" s="1" t="s">
        <v>228</v>
      </c>
      <c r="E1042" s="2">
        <v>45994</v>
      </c>
      <c r="F1042" s="1" t="s">
        <v>53</v>
      </c>
      <c r="G1042" s="1" t="s">
        <v>229</v>
      </c>
      <c r="H1042" s="1" t="s">
        <v>230</v>
      </c>
      <c r="I1042" s="1">
        <v>1</v>
      </c>
      <c r="J1042" s="3">
        <v>9825</v>
      </c>
      <c r="K1042" s="3">
        <v>9375</v>
      </c>
      <c r="L1042" s="1">
        <v>0</v>
      </c>
      <c r="M1042" s="4">
        <v>0</v>
      </c>
      <c r="N1042" s="1">
        <v>450</v>
      </c>
      <c r="O1042" s="4">
        <v>4.5999999999999999E-2</v>
      </c>
      <c r="P1042" s="1" t="s">
        <v>2721</v>
      </c>
    </row>
    <row r="1043" spans="1:16">
      <c r="A1043" s="1" t="s">
        <v>15</v>
      </c>
      <c r="B1043" s="1">
        <v>12</v>
      </c>
      <c r="C1043" s="1" t="s">
        <v>548</v>
      </c>
      <c r="D1043" s="1" t="s">
        <v>549</v>
      </c>
      <c r="E1043" s="2">
        <v>45994</v>
      </c>
      <c r="F1043" s="1" t="s">
        <v>63</v>
      </c>
      <c r="G1043" s="1" t="s">
        <v>550</v>
      </c>
      <c r="H1043" s="1" t="s">
        <v>551</v>
      </c>
      <c r="I1043" s="1">
        <v>1</v>
      </c>
      <c r="J1043" s="3">
        <v>15422</v>
      </c>
      <c r="K1043" s="3">
        <v>14716</v>
      </c>
      <c r="L1043" s="1">
        <v>0</v>
      </c>
      <c r="M1043" s="4">
        <v>0</v>
      </c>
      <c r="N1043" s="1">
        <v>706</v>
      </c>
      <c r="O1043" s="4">
        <v>4.5999999999999999E-2</v>
      </c>
      <c r="P1043" s="1" t="s">
        <v>2721</v>
      </c>
    </row>
    <row r="1044" spans="1:16">
      <c r="A1044" s="1" t="s">
        <v>15</v>
      </c>
      <c r="B1044" s="1">
        <v>12</v>
      </c>
      <c r="C1044" s="1" t="s">
        <v>552</v>
      </c>
      <c r="D1044" s="1" t="s">
        <v>553</v>
      </c>
      <c r="E1044" s="2">
        <v>45994</v>
      </c>
      <c r="F1044" s="1" t="s">
        <v>554</v>
      </c>
      <c r="G1044" s="1" t="s">
        <v>555</v>
      </c>
      <c r="H1044" s="1" t="s">
        <v>556</v>
      </c>
      <c r="I1044" s="1">
        <v>1</v>
      </c>
      <c r="J1044" s="3">
        <v>17841</v>
      </c>
      <c r="K1044" s="3">
        <v>17025</v>
      </c>
      <c r="L1044" s="1">
        <v>0</v>
      </c>
      <c r="M1044" s="4">
        <v>0</v>
      </c>
      <c r="N1044" s="1">
        <v>816</v>
      </c>
      <c r="O1044" s="4">
        <v>4.5999999999999999E-2</v>
      </c>
      <c r="P1044" s="1" t="s">
        <v>2721</v>
      </c>
    </row>
    <row r="1045" spans="1:16">
      <c r="A1045" s="1" t="s">
        <v>15</v>
      </c>
      <c r="B1045" s="1">
        <v>12</v>
      </c>
      <c r="C1045" s="1" t="s">
        <v>557</v>
      </c>
      <c r="D1045" s="1" t="s">
        <v>558</v>
      </c>
      <c r="E1045" s="2">
        <v>45994</v>
      </c>
      <c r="F1045" s="1" t="s">
        <v>256</v>
      </c>
      <c r="G1045" s="1" t="s">
        <v>559</v>
      </c>
      <c r="H1045" s="1" t="s">
        <v>560</v>
      </c>
      <c r="I1045" s="1">
        <v>1</v>
      </c>
      <c r="J1045" s="3">
        <v>9339</v>
      </c>
      <c r="K1045" s="3">
        <v>8911</v>
      </c>
      <c r="L1045" s="1">
        <v>0</v>
      </c>
      <c r="M1045" s="4">
        <v>0</v>
      </c>
      <c r="N1045" s="1">
        <v>428</v>
      </c>
      <c r="O1045" s="4">
        <v>4.5999999999999999E-2</v>
      </c>
      <c r="P1045" s="1" t="s">
        <v>2721</v>
      </c>
    </row>
    <row r="1046" spans="1:16">
      <c r="A1046" s="1" t="s">
        <v>15</v>
      </c>
      <c r="B1046" s="1">
        <v>12</v>
      </c>
      <c r="C1046" s="1" t="s">
        <v>561</v>
      </c>
      <c r="D1046" s="1" t="s">
        <v>458</v>
      </c>
      <c r="E1046" s="2">
        <v>45994</v>
      </c>
      <c r="F1046" s="1" t="s">
        <v>161</v>
      </c>
      <c r="G1046" s="1" t="s">
        <v>459</v>
      </c>
      <c r="H1046" s="1" t="s">
        <v>460</v>
      </c>
      <c r="I1046" s="1">
        <v>1</v>
      </c>
      <c r="J1046" s="3">
        <v>9928</v>
      </c>
      <c r="K1046" s="3">
        <v>9474</v>
      </c>
      <c r="L1046" s="1">
        <v>0</v>
      </c>
      <c r="M1046" s="4">
        <v>0</v>
      </c>
      <c r="N1046" s="1">
        <v>454</v>
      </c>
      <c r="O1046" s="4">
        <v>4.5999999999999999E-2</v>
      </c>
      <c r="P1046" s="1" t="s">
        <v>2721</v>
      </c>
    </row>
    <row r="1047" spans="1:16">
      <c r="A1047" s="1" t="s">
        <v>15</v>
      </c>
      <c r="B1047" s="1">
        <v>12</v>
      </c>
      <c r="C1047" s="1" t="s">
        <v>562</v>
      </c>
      <c r="D1047" s="1" t="s">
        <v>132</v>
      </c>
      <c r="E1047" s="2">
        <v>45994</v>
      </c>
      <c r="F1047" s="1" t="s">
        <v>53</v>
      </c>
      <c r="G1047" s="1" t="s">
        <v>133</v>
      </c>
      <c r="H1047" s="1" t="s">
        <v>88</v>
      </c>
      <c r="I1047" s="1">
        <v>1</v>
      </c>
      <c r="J1047" s="3">
        <v>17036</v>
      </c>
      <c r="K1047" s="3">
        <v>16256</v>
      </c>
      <c r="L1047" s="1">
        <v>0</v>
      </c>
      <c r="M1047" s="4">
        <v>0</v>
      </c>
      <c r="N1047" s="1">
        <v>780</v>
      </c>
      <c r="O1047" s="4">
        <v>4.5999999999999999E-2</v>
      </c>
      <c r="P1047" s="1" t="s">
        <v>2721</v>
      </c>
    </row>
    <row r="1048" spans="1:16">
      <c r="A1048" s="1" t="s">
        <v>15</v>
      </c>
      <c r="B1048" s="1">
        <v>12</v>
      </c>
      <c r="C1048" s="1" t="s">
        <v>563</v>
      </c>
      <c r="D1048" s="1" t="s">
        <v>52</v>
      </c>
      <c r="E1048" s="2">
        <v>45994</v>
      </c>
      <c r="F1048" s="1" t="s">
        <v>53</v>
      </c>
      <c r="G1048" s="1" t="s">
        <v>54</v>
      </c>
      <c r="H1048" s="1" t="s">
        <v>248</v>
      </c>
      <c r="I1048" s="1">
        <v>1</v>
      </c>
      <c r="J1048" s="3">
        <v>16135</v>
      </c>
      <c r="K1048" s="3">
        <v>15396</v>
      </c>
      <c r="L1048" s="1">
        <v>0</v>
      </c>
      <c r="M1048" s="4">
        <v>0</v>
      </c>
      <c r="N1048" s="1">
        <v>739</v>
      </c>
      <c r="O1048" s="4">
        <v>4.5999999999999999E-2</v>
      </c>
      <c r="P1048" s="1" t="s">
        <v>2721</v>
      </c>
    </row>
    <row r="1049" spans="1:16">
      <c r="A1049" s="1" t="s">
        <v>15</v>
      </c>
      <c r="B1049" s="1">
        <v>12</v>
      </c>
      <c r="C1049" s="1" t="s">
        <v>564</v>
      </c>
      <c r="D1049" s="1" t="s">
        <v>52</v>
      </c>
      <c r="E1049" s="2">
        <v>45994</v>
      </c>
      <c r="F1049" s="1" t="s">
        <v>53</v>
      </c>
      <c r="G1049" s="1" t="s">
        <v>54</v>
      </c>
      <c r="H1049" s="1" t="s">
        <v>248</v>
      </c>
      <c r="I1049" s="1">
        <v>1</v>
      </c>
      <c r="J1049" s="3">
        <v>16135</v>
      </c>
      <c r="K1049" s="3">
        <v>15396</v>
      </c>
      <c r="L1049" s="1">
        <v>0</v>
      </c>
      <c r="M1049" s="4">
        <v>0</v>
      </c>
      <c r="N1049" s="3">
        <v>739</v>
      </c>
      <c r="O1049" s="4">
        <v>4.5999999999999999E-2</v>
      </c>
      <c r="P1049" s="1" t="s">
        <v>2721</v>
      </c>
    </row>
    <row r="1050" spans="1:16">
      <c r="A1050" s="1" t="s">
        <v>15</v>
      </c>
      <c r="B1050" s="1">
        <v>12</v>
      </c>
      <c r="C1050" s="1" t="s">
        <v>565</v>
      </c>
      <c r="D1050" s="1" t="s">
        <v>141</v>
      </c>
      <c r="E1050" s="2">
        <v>45994</v>
      </c>
      <c r="F1050" s="1" t="s">
        <v>142</v>
      </c>
      <c r="G1050" s="1" t="s">
        <v>143</v>
      </c>
      <c r="H1050" s="1" t="s">
        <v>566</v>
      </c>
      <c r="I1050" s="1">
        <v>1</v>
      </c>
      <c r="J1050" s="3">
        <v>22314</v>
      </c>
      <c r="K1050" s="3">
        <v>21293</v>
      </c>
      <c r="L1050" s="1">
        <v>0</v>
      </c>
      <c r="M1050" s="4">
        <v>0</v>
      </c>
      <c r="N1050" s="3">
        <v>1021</v>
      </c>
      <c r="O1050" s="4">
        <v>4.5999999999999999E-2</v>
      </c>
      <c r="P1050" s="1" t="s">
        <v>2721</v>
      </c>
    </row>
    <row r="1051" spans="1:16">
      <c r="A1051" s="1" t="s">
        <v>15</v>
      </c>
      <c r="B1051" s="1">
        <v>12</v>
      </c>
      <c r="C1051" s="1" t="s">
        <v>567</v>
      </c>
      <c r="D1051" s="1" t="s">
        <v>169</v>
      </c>
      <c r="E1051" s="2">
        <v>45994</v>
      </c>
      <c r="F1051" s="1" t="s">
        <v>53</v>
      </c>
      <c r="G1051" s="1" t="s">
        <v>170</v>
      </c>
      <c r="H1051" s="1" t="s">
        <v>171</v>
      </c>
      <c r="I1051" s="1">
        <v>1</v>
      </c>
      <c r="J1051" s="3">
        <v>14332</v>
      </c>
      <c r="K1051" s="3">
        <v>13676</v>
      </c>
      <c r="L1051" s="1">
        <v>0</v>
      </c>
      <c r="M1051" s="4">
        <v>0</v>
      </c>
      <c r="N1051" s="1">
        <v>656</v>
      </c>
      <c r="O1051" s="4">
        <v>4.5999999999999999E-2</v>
      </c>
      <c r="P1051" s="1" t="s">
        <v>2721</v>
      </c>
    </row>
    <row r="1052" spans="1:16">
      <c r="A1052" s="1" t="s">
        <v>15</v>
      </c>
      <c r="B1052" s="1">
        <v>12</v>
      </c>
      <c r="C1052" s="1" t="s">
        <v>568</v>
      </c>
      <c r="D1052" s="1" t="s">
        <v>569</v>
      </c>
      <c r="E1052" s="2">
        <v>45994</v>
      </c>
      <c r="F1052" s="1" t="s">
        <v>570</v>
      </c>
      <c r="G1052" s="1" t="s">
        <v>571</v>
      </c>
      <c r="H1052" s="1" t="s">
        <v>572</v>
      </c>
      <c r="I1052" s="1">
        <v>1</v>
      </c>
      <c r="J1052" s="3">
        <v>19660</v>
      </c>
      <c r="K1052" s="3">
        <v>18760</v>
      </c>
      <c r="L1052" s="1">
        <v>0</v>
      </c>
      <c r="M1052" s="4">
        <v>0</v>
      </c>
      <c r="N1052" s="1">
        <v>900</v>
      </c>
      <c r="O1052" s="4">
        <v>4.5999999999999999E-2</v>
      </c>
      <c r="P1052" s="1" t="s">
        <v>2721</v>
      </c>
    </row>
    <row r="1053" spans="1:16">
      <c r="A1053" s="1" t="s">
        <v>15</v>
      </c>
      <c r="B1053" s="1">
        <v>12</v>
      </c>
      <c r="C1053" s="1" t="s">
        <v>573</v>
      </c>
      <c r="D1053" s="1" t="s">
        <v>574</v>
      </c>
      <c r="E1053" s="2">
        <v>45994</v>
      </c>
      <c r="F1053" s="1" t="s">
        <v>126</v>
      </c>
      <c r="G1053" s="1" t="s">
        <v>575</v>
      </c>
      <c r="H1053" s="1" t="s">
        <v>576</v>
      </c>
      <c r="I1053" s="1">
        <v>1</v>
      </c>
      <c r="J1053" s="3">
        <v>15237</v>
      </c>
      <c r="K1053" s="3">
        <v>14539</v>
      </c>
      <c r="L1053" s="1">
        <v>0</v>
      </c>
      <c r="M1053" s="4">
        <v>0</v>
      </c>
      <c r="N1053" s="3">
        <v>698</v>
      </c>
      <c r="O1053" s="4">
        <v>4.5999999999999999E-2</v>
      </c>
      <c r="P1053" s="1" t="s">
        <v>2721</v>
      </c>
    </row>
    <row r="1054" spans="1:16">
      <c r="A1054" s="1" t="s">
        <v>577</v>
      </c>
      <c r="B1054" s="1">
        <v>12</v>
      </c>
      <c r="C1054" s="1" t="s">
        <v>578</v>
      </c>
      <c r="D1054" s="1" t="s">
        <v>579</v>
      </c>
      <c r="E1054" s="2">
        <v>45994</v>
      </c>
      <c r="F1054" s="1" t="s">
        <v>63</v>
      </c>
      <c r="G1054" s="1" t="s">
        <v>117</v>
      </c>
      <c r="H1054" s="1" t="s">
        <v>580</v>
      </c>
      <c r="I1054" s="1">
        <v>1</v>
      </c>
      <c r="J1054" s="3">
        <v>27764</v>
      </c>
      <c r="K1054" s="3">
        <v>26493</v>
      </c>
      <c r="L1054" s="1">
        <v>0</v>
      </c>
      <c r="M1054" s="4">
        <v>0</v>
      </c>
      <c r="N1054" s="3">
        <v>1271</v>
      </c>
      <c r="O1054" s="4">
        <v>4.5999999999999999E-2</v>
      </c>
      <c r="P1054" s="1" t="s">
        <v>2721</v>
      </c>
    </row>
    <row r="1055" spans="1:16">
      <c r="A1055" s="1" t="s">
        <v>577</v>
      </c>
      <c r="B1055" s="1">
        <v>12</v>
      </c>
      <c r="C1055" s="1" t="s">
        <v>581</v>
      </c>
      <c r="D1055" s="1" t="s">
        <v>582</v>
      </c>
      <c r="E1055" s="2">
        <v>45994</v>
      </c>
      <c r="F1055" s="1" t="s">
        <v>53</v>
      </c>
      <c r="G1055" s="1" t="s">
        <v>583</v>
      </c>
      <c r="H1055" s="1" t="s">
        <v>584</v>
      </c>
      <c r="I1055" s="1">
        <v>1</v>
      </c>
      <c r="J1055" s="3">
        <v>8022</v>
      </c>
      <c r="K1055" s="3">
        <v>7655</v>
      </c>
      <c r="L1055" s="1">
        <v>0</v>
      </c>
      <c r="M1055" s="4">
        <v>0</v>
      </c>
      <c r="N1055" s="1">
        <v>367</v>
      </c>
      <c r="O1055" s="4">
        <v>4.5999999999999999E-2</v>
      </c>
      <c r="P1055" s="1" t="s">
        <v>2721</v>
      </c>
    </row>
    <row r="1056" spans="1:16">
      <c r="A1056" s="1" t="s">
        <v>577</v>
      </c>
      <c r="B1056" s="1">
        <v>12</v>
      </c>
      <c r="C1056" s="1" t="s">
        <v>585</v>
      </c>
      <c r="D1056" s="1" t="s">
        <v>586</v>
      </c>
      <c r="E1056" s="2">
        <v>45994</v>
      </c>
      <c r="F1056" s="1" t="s">
        <v>23</v>
      </c>
      <c r="G1056" s="1" t="s">
        <v>587</v>
      </c>
      <c r="H1056" s="1" t="s">
        <v>588</v>
      </c>
      <c r="I1056" s="1">
        <v>1</v>
      </c>
      <c r="J1056" s="3">
        <v>13762</v>
      </c>
      <c r="K1056" s="3">
        <v>13132</v>
      </c>
      <c r="L1056" s="1">
        <v>0</v>
      </c>
      <c r="M1056" s="4">
        <v>0</v>
      </c>
      <c r="N1056" s="3">
        <v>630</v>
      </c>
      <c r="O1056" s="4">
        <v>4.5999999999999999E-2</v>
      </c>
      <c r="P1056" s="1" t="s">
        <v>2721</v>
      </c>
    </row>
    <row r="1057" spans="1:16">
      <c r="A1057" s="1" t="s">
        <v>577</v>
      </c>
      <c r="B1057" s="1">
        <v>12</v>
      </c>
      <c r="C1057" s="1" t="s">
        <v>589</v>
      </c>
      <c r="D1057" s="1" t="s">
        <v>590</v>
      </c>
      <c r="E1057" s="2">
        <v>45994</v>
      </c>
      <c r="F1057" s="1" t="s">
        <v>312</v>
      </c>
      <c r="G1057" s="1" t="s">
        <v>412</v>
      </c>
      <c r="H1057" s="1" t="s">
        <v>413</v>
      </c>
      <c r="I1057" s="1">
        <v>1</v>
      </c>
      <c r="J1057" s="3">
        <v>27524</v>
      </c>
      <c r="K1057" s="3">
        <v>26264</v>
      </c>
      <c r="L1057" s="1">
        <v>0</v>
      </c>
      <c r="M1057" s="4">
        <v>0</v>
      </c>
      <c r="N1057" s="3">
        <v>1260</v>
      </c>
      <c r="O1057" s="4">
        <v>4.5999999999999999E-2</v>
      </c>
      <c r="P1057" s="1" t="s">
        <v>2721</v>
      </c>
    </row>
    <row r="1058" spans="1:16">
      <c r="A1058" s="1" t="s">
        <v>577</v>
      </c>
      <c r="B1058" s="1">
        <v>12</v>
      </c>
      <c r="C1058" s="1" t="s">
        <v>591</v>
      </c>
      <c r="D1058" s="1" t="s">
        <v>592</v>
      </c>
      <c r="E1058" s="2">
        <v>45994</v>
      </c>
      <c r="F1058" s="1" t="s">
        <v>33</v>
      </c>
      <c r="G1058" s="1" t="s">
        <v>34</v>
      </c>
      <c r="H1058" s="1" t="s">
        <v>593</v>
      </c>
      <c r="I1058" s="1">
        <v>1</v>
      </c>
      <c r="J1058" s="3">
        <v>116381</v>
      </c>
      <c r="K1058" s="3">
        <v>111054</v>
      </c>
      <c r="L1058" s="1">
        <v>0</v>
      </c>
      <c r="M1058" s="4">
        <v>0</v>
      </c>
      <c r="N1058" s="3">
        <v>5327</v>
      </c>
      <c r="O1058" s="4">
        <v>4.5999999999999999E-2</v>
      </c>
      <c r="P1058" s="1" t="s">
        <v>2721</v>
      </c>
    </row>
    <row r="1059" spans="1:16">
      <c r="A1059" s="1" t="s">
        <v>577</v>
      </c>
      <c r="B1059" s="1">
        <v>12</v>
      </c>
      <c r="C1059" s="1" t="s">
        <v>594</v>
      </c>
      <c r="D1059" s="1" t="s">
        <v>595</v>
      </c>
      <c r="E1059" s="2">
        <v>45994</v>
      </c>
      <c r="F1059" s="1" t="s">
        <v>96</v>
      </c>
      <c r="G1059" s="1" t="s">
        <v>596</v>
      </c>
      <c r="H1059" s="1" t="s">
        <v>597</v>
      </c>
      <c r="I1059" s="1">
        <v>1</v>
      </c>
      <c r="J1059" s="3">
        <v>11666</v>
      </c>
      <c r="K1059" s="3">
        <v>11132</v>
      </c>
      <c r="L1059" s="1">
        <v>0</v>
      </c>
      <c r="M1059" s="4">
        <v>0</v>
      </c>
      <c r="N1059" s="1">
        <v>534</v>
      </c>
      <c r="O1059" s="4">
        <v>4.5999999999999999E-2</v>
      </c>
      <c r="P1059" s="1" t="s">
        <v>2721</v>
      </c>
    </row>
    <row r="1060" spans="1:16">
      <c r="A1060" s="1" t="s">
        <v>577</v>
      </c>
      <c r="B1060" s="1">
        <v>12</v>
      </c>
      <c r="C1060" s="1" t="s">
        <v>598</v>
      </c>
      <c r="D1060" s="1" t="s">
        <v>599</v>
      </c>
      <c r="E1060" s="2">
        <v>45994</v>
      </c>
      <c r="F1060" s="1" t="s">
        <v>251</v>
      </c>
      <c r="G1060" s="1" t="s">
        <v>600</v>
      </c>
      <c r="H1060" s="1" t="s">
        <v>601</v>
      </c>
      <c r="I1060" s="1">
        <v>1</v>
      </c>
      <c r="J1060" s="3">
        <v>11599</v>
      </c>
      <c r="K1060" s="3">
        <v>11068</v>
      </c>
      <c r="L1060" s="3">
        <v>0</v>
      </c>
      <c r="M1060" s="4">
        <v>0</v>
      </c>
      <c r="N1060" s="3">
        <v>531</v>
      </c>
      <c r="O1060" s="4">
        <v>4.5999999999999999E-2</v>
      </c>
      <c r="P1060" s="1" t="s">
        <v>2721</v>
      </c>
    </row>
    <row r="1061" spans="1:16">
      <c r="A1061" s="1" t="s">
        <v>602</v>
      </c>
      <c r="B1061" s="1">
        <v>12</v>
      </c>
      <c r="C1061" s="1">
        <v>19100156628104</v>
      </c>
      <c r="D1061" s="1" t="s">
        <v>603</v>
      </c>
      <c r="E1061" s="2">
        <v>45994</v>
      </c>
      <c r="F1061" s="1" t="s">
        <v>604</v>
      </c>
      <c r="G1061" s="1" t="s">
        <v>605</v>
      </c>
      <c r="H1061" s="1" t="s">
        <v>606</v>
      </c>
      <c r="I1061" s="1">
        <v>5</v>
      </c>
      <c r="J1061" s="3">
        <v>49800</v>
      </c>
      <c r="K1061" s="3">
        <v>38250</v>
      </c>
      <c r="L1061" s="3">
        <v>5777</v>
      </c>
      <c r="M1061" s="4">
        <v>0.11600000000000001</v>
      </c>
      <c r="N1061" s="3">
        <v>5773</v>
      </c>
      <c r="O1061" s="4">
        <v>0.11600000000000001</v>
      </c>
      <c r="P1061" s="1" t="s">
        <v>2721</v>
      </c>
    </row>
    <row r="1062" spans="1:16">
      <c r="A1062" s="1" t="s">
        <v>602</v>
      </c>
      <c r="B1062" s="1">
        <v>12</v>
      </c>
      <c r="C1062" s="1">
        <v>28100156465063</v>
      </c>
      <c r="D1062" s="1" t="s">
        <v>607</v>
      </c>
      <c r="E1062" s="2">
        <v>45994</v>
      </c>
      <c r="F1062" s="1" t="s">
        <v>604</v>
      </c>
      <c r="G1062" s="1" t="s">
        <v>608</v>
      </c>
      <c r="H1062" s="1" t="s">
        <v>609</v>
      </c>
      <c r="I1062" s="1">
        <v>3</v>
      </c>
      <c r="J1062" s="3">
        <v>42800</v>
      </c>
      <c r="K1062" s="3">
        <v>32200</v>
      </c>
      <c r="L1062" s="3">
        <v>4965</v>
      </c>
      <c r="M1062" s="4">
        <v>0.11600000000000001</v>
      </c>
      <c r="N1062" s="3">
        <v>5635</v>
      </c>
      <c r="O1062" s="4">
        <v>0.13200000000000001</v>
      </c>
      <c r="P1062" s="1" t="s">
        <v>2721</v>
      </c>
    </row>
    <row r="1063" spans="1:16">
      <c r="A1063" s="1" t="s">
        <v>602</v>
      </c>
      <c r="B1063" s="1">
        <v>12</v>
      </c>
      <c r="C1063" s="1">
        <v>21100156983949</v>
      </c>
      <c r="D1063" s="1" t="s">
        <v>607</v>
      </c>
      <c r="E1063" s="2">
        <v>45994</v>
      </c>
      <c r="F1063" s="1" t="s">
        <v>604</v>
      </c>
      <c r="G1063" s="1" t="s">
        <v>608</v>
      </c>
      <c r="H1063" s="1" t="s">
        <v>609</v>
      </c>
      <c r="I1063" s="1">
        <v>3</v>
      </c>
      <c r="J1063" s="3">
        <v>42800</v>
      </c>
      <c r="K1063" s="3">
        <v>32200</v>
      </c>
      <c r="L1063" s="3">
        <v>4965</v>
      </c>
      <c r="M1063" s="4">
        <v>0.11600000000000001</v>
      </c>
      <c r="N1063" s="3">
        <v>5635</v>
      </c>
      <c r="O1063" s="4">
        <v>0.13200000000000001</v>
      </c>
      <c r="P1063" s="1" t="s">
        <v>2721</v>
      </c>
    </row>
    <row r="1064" spans="1:16">
      <c r="A1064" s="1" t="s">
        <v>602</v>
      </c>
      <c r="B1064" s="1">
        <v>12</v>
      </c>
      <c r="C1064" s="1">
        <v>6100156578799</v>
      </c>
      <c r="D1064" s="1" t="s">
        <v>610</v>
      </c>
      <c r="E1064" s="2">
        <v>45994</v>
      </c>
      <c r="F1064" s="1" t="s">
        <v>604</v>
      </c>
      <c r="G1064" s="1" t="s">
        <v>611</v>
      </c>
      <c r="H1064" s="1" t="s">
        <v>612</v>
      </c>
      <c r="I1064" s="1">
        <v>3</v>
      </c>
      <c r="J1064" s="3">
        <v>33800</v>
      </c>
      <c r="K1064" s="3">
        <v>23950</v>
      </c>
      <c r="L1064" s="3">
        <v>3921</v>
      </c>
      <c r="M1064" s="4">
        <v>0.11600000000000001</v>
      </c>
      <c r="N1064" s="3">
        <v>5929</v>
      </c>
      <c r="O1064" s="4">
        <v>0.17499999999999999</v>
      </c>
      <c r="P1064" s="1" t="s">
        <v>2721</v>
      </c>
    </row>
    <row r="1065" spans="1:16">
      <c r="A1065" s="1" t="s">
        <v>602</v>
      </c>
      <c r="B1065" s="1">
        <v>12</v>
      </c>
      <c r="C1065" s="1">
        <v>4100157042326</v>
      </c>
      <c r="D1065" s="1" t="s">
        <v>607</v>
      </c>
      <c r="E1065" s="2">
        <v>45994</v>
      </c>
      <c r="F1065" s="1" t="s">
        <v>604</v>
      </c>
      <c r="G1065" s="1" t="s">
        <v>608</v>
      </c>
      <c r="H1065" s="1" t="s">
        <v>609</v>
      </c>
      <c r="I1065" s="1">
        <v>3</v>
      </c>
      <c r="J1065" s="3">
        <v>42800</v>
      </c>
      <c r="K1065" s="3">
        <v>32200</v>
      </c>
      <c r="L1065" s="3">
        <v>4965</v>
      </c>
      <c r="M1065" s="4">
        <v>0.11600000000000001</v>
      </c>
      <c r="N1065" s="3">
        <v>5635</v>
      </c>
      <c r="O1065" s="4">
        <v>0.13200000000000001</v>
      </c>
      <c r="P1065" s="1" t="s">
        <v>2721</v>
      </c>
    </row>
    <row r="1066" spans="1:16">
      <c r="A1066" s="1" t="s">
        <v>602</v>
      </c>
      <c r="B1066" s="1">
        <v>12</v>
      </c>
      <c r="C1066" s="1">
        <v>17100156671814</v>
      </c>
      <c r="D1066" s="1" t="s">
        <v>613</v>
      </c>
      <c r="E1066" s="2">
        <v>45994</v>
      </c>
      <c r="F1066" s="1" t="s">
        <v>604</v>
      </c>
      <c r="G1066" s="1" t="s">
        <v>614</v>
      </c>
      <c r="H1066" s="1" t="s">
        <v>615</v>
      </c>
      <c r="I1066" s="1">
        <v>5</v>
      </c>
      <c r="J1066" s="3">
        <v>49800</v>
      </c>
      <c r="K1066" s="3">
        <v>38250</v>
      </c>
      <c r="L1066" s="3">
        <v>5777</v>
      </c>
      <c r="M1066" s="4">
        <v>0.11600000000000001</v>
      </c>
      <c r="N1066" s="3">
        <v>5773</v>
      </c>
      <c r="O1066" s="4">
        <v>0.11600000000000001</v>
      </c>
      <c r="P1066" s="1" t="s">
        <v>2721</v>
      </c>
    </row>
    <row r="1067" spans="1:16">
      <c r="A1067" s="1" t="s">
        <v>616</v>
      </c>
      <c r="B1067" s="1">
        <v>12</v>
      </c>
      <c r="C1067" s="1">
        <v>2025120332721820</v>
      </c>
      <c r="D1067" s="1" t="s">
        <v>617</v>
      </c>
      <c r="E1067" s="2">
        <v>45994</v>
      </c>
      <c r="F1067" s="1" t="s">
        <v>604</v>
      </c>
      <c r="G1067" s="1" t="s">
        <v>618</v>
      </c>
      <c r="H1067" s="1" t="s">
        <v>619</v>
      </c>
      <c r="I1067" s="1">
        <v>6</v>
      </c>
      <c r="J1067" s="3">
        <v>39000</v>
      </c>
      <c r="K1067" s="3">
        <v>19300</v>
      </c>
      <c r="L1067" s="3">
        <v>1560</v>
      </c>
      <c r="M1067" s="4">
        <v>0.04</v>
      </c>
      <c r="N1067" s="3">
        <v>18140</v>
      </c>
      <c r="O1067" s="4">
        <v>0.46500000000000002</v>
      </c>
      <c r="P1067" s="1" t="s">
        <v>2721</v>
      </c>
    </row>
    <row r="1068" spans="1:16">
      <c r="A1068" s="1" t="s">
        <v>620</v>
      </c>
      <c r="B1068" s="1">
        <v>12</v>
      </c>
      <c r="C1068" s="1">
        <v>2541904405</v>
      </c>
      <c r="D1068" s="1" t="s">
        <v>621</v>
      </c>
      <c r="E1068" s="2">
        <v>45994</v>
      </c>
      <c r="F1068" s="1" t="s">
        <v>604</v>
      </c>
      <c r="G1068" s="1" t="s">
        <v>622</v>
      </c>
      <c r="H1068" s="1" t="s">
        <v>623</v>
      </c>
      <c r="I1068" s="1">
        <v>1</v>
      </c>
      <c r="J1068" s="3">
        <v>9000</v>
      </c>
      <c r="K1068" s="3">
        <v>3675</v>
      </c>
      <c r="L1068" s="3">
        <v>1170</v>
      </c>
      <c r="M1068" s="4">
        <v>0.13</v>
      </c>
      <c r="N1068" s="3">
        <v>4155</v>
      </c>
      <c r="O1068" s="4">
        <v>0.46200000000000002</v>
      </c>
      <c r="P1068" s="1" t="s">
        <v>2721</v>
      </c>
    </row>
    <row r="1069" spans="1:16">
      <c r="A1069" s="1" t="s">
        <v>624</v>
      </c>
      <c r="B1069" s="1">
        <v>12</v>
      </c>
      <c r="C1069" s="1">
        <v>2025120319160140</v>
      </c>
      <c r="D1069" s="1" t="s">
        <v>621</v>
      </c>
      <c r="E1069" s="2">
        <v>45994</v>
      </c>
      <c r="F1069" s="1" t="s">
        <v>604</v>
      </c>
      <c r="G1069" s="1" t="s">
        <v>622</v>
      </c>
      <c r="H1069" s="1" t="s">
        <v>625</v>
      </c>
      <c r="I1069" s="1">
        <v>1</v>
      </c>
      <c r="J1069" s="3">
        <v>8878</v>
      </c>
      <c r="K1069" s="3">
        <v>3675</v>
      </c>
      <c r="L1069" s="3">
        <v>1154</v>
      </c>
      <c r="M1069" s="4">
        <v>0.13</v>
      </c>
      <c r="N1069" s="3">
        <v>4049</v>
      </c>
      <c r="O1069" s="4">
        <v>0.45600000000000002</v>
      </c>
      <c r="P1069" s="1" t="s">
        <v>2721</v>
      </c>
    </row>
    <row r="1070" spans="1:16">
      <c r="A1070" s="1" t="s">
        <v>626</v>
      </c>
      <c r="B1070" s="1">
        <v>12</v>
      </c>
      <c r="C1070" s="1">
        <v>69643905</v>
      </c>
      <c r="D1070" s="1" t="s">
        <v>627</v>
      </c>
      <c r="E1070" s="2">
        <v>45994</v>
      </c>
      <c r="F1070" s="1" t="s">
        <v>604</v>
      </c>
      <c r="G1070" s="1" t="s">
        <v>628</v>
      </c>
      <c r="H1070" s="1" t="s">
        <v>629</v>
      </c>
      <c r="I1070" s="1">
        <v>1</v>
      </c>
      <c r="J1070" s="3">
        <v>8000</v>
      </c>
      <c r="K1070" s="3">
        <v>1800</v>
      </c>
      <c r="L1070" s="1">
        <v>880</v>
      </c>
      <c r="M1070" s="4">
        <v>0.11</v>
      </c>
      <c r="N1070" s="3">
        <v>5320</v>
      </c>
      <c r="O1070" s="4">
        <v>0.66500000000000004</v>
      </c>
      <c r="P1070" s="1" t="s">
        <v>2721</v>
      </c>
    </row>
    <row r="1071" spans="1:16">
      <c r="A1071" s="1" t="s">
        <v>626</v>
      </c>
      <c r="B1071" s="1">
        <v>12</v>
      </c>
      <c r="C1071" s="1">
        <v>69635409</v>
      </c>
      <c r="D1071" s="1" t="s">
        <v>627</v>
      </c>
      <c r="E1071" s="2">
        <v>45994</v>
      </c>
      <c r="F1071" s="1" t="s">
        <v>604</v>
      </c>
      <c r="G1071" s="1" t="s">
        <v>628</v>
      </c>
      <c r="H1071" s="1" t="s">
        <v>629</v>
      </c>
      <c r="I1071" s="1">
        <v>1</v>
      </c>
      <c r="J1071" s="3">
        <v>8000</v>
      </c>
      <c r="K1071" s="3">
        <v>1800</v>
      </c>
      <c r="L1071" s="1">
        <v>880</v>
      </c>
      <c r="M1071" s="4">
        <v>0.11</v>
      </c>
      <c r="N1071" s="3">
        <v>5320</v>
      </c>
      <c r="O1071" s="4">
        <v>0.66500000000000004</v>
      </c>
      <c r="P1071" s="1" t="s">
        <v>2721</v>
      </c>
    </row>
    <row r="1072" spans="1:16">
      <c r="A1072" s="1" t="s">
        <v>626</v>
      </c>
      <c r="B1072" s="1">
        <v>12</v>
      </c>
      <c r="C1072" s="1">
        <v>69633045</v>
      </c>
      <c r="D1072" s="1" t="s">
        <v>627</v>
      </c>
      <c r="E1072" s="2">
        <v>45994</v>
      </c>
      <c r="F1072" s="1" t="s">
        <v>604</v>
      </c>
      <c r="G1072" s="1" t="s">
        <v>628</v>
      </c>
      <c r="H1072" s="1" t="s">
        <v>629</v>
      </c>
      <c r="I1072" s="1">
        <v>1</v>
      </c>
      <c r="J1072" s="3">
        <v>8000</v>
      </c>
      <c r="K1072" s="3">
        <v>1800</v>
      </c>
      <c r="L1072" s="3">
        <v>880</v>
      </c>
      <c r="M1072" s="4">
        <v>0.11</v>
      </c>
      <c r="N1072" s="3">
        <v>5320</v>
      </c>
      <c r="O1072" s="4">
        <v>0.66500000000000004</v>
      </c>
      <c r="P1072" s="1" t="s">
        <v>2721</v>
      </c>
    </row>
    <row r="1073" spans="1:16">
      <c r="A1073" s="1" t="s">
        <v>630</v>
      </c>
      <c r="B1073" s="1">
        <v>12</v>
      </c>
      <c r="C1073" s="1">
        <v>1117698681382340</v>
      </c>
      <c r="D1073" s="1" t="s">
        <v>627</v>
      </c>
      <c r="E1073" s="2">
        <v>45994</v>
      </c>
      <c r="F1073" s="1" t="s">
        <v>604</v>
      </c>
      <c r="G1073" s="1" t="s">
        <v>628</v>
      </c>
      <c r="H1073" s="1" t="s">
        <v>631</v>
      </c>
      <c r="I1073" s="1">
        <v>6</v>
      </c>
      <c r="J1073" s="3">
        <v>37830</v>
      </c>
      <c r="K1073" s="3">
        <v>13300</v>
      </c>
      <c r="L1073" s="3">
        <v>2497</v>
      </c>
      <c r="M1073" s="4">
        <v>6.6000000000000003E-2</v>
      </c>
      <c r="N1073" s="3">
        <v>22033</v>
      </c>
      <c r="O1073" s="4">
        <v>0.58199999999999996</v>
      </c>
      <c r="P1073" s="1" t="s">
        <v>2721</v>
      </c>
    </row>
    <row r="1074" spans="1:16">
      <c r="A1074" s="1" t="s">
        <v>632</v>
      </c>
      <c r="B1074" s="1">
        <v>12</v>
      </c>
      <c r="C1074" s="1">
        <v>165683543</v>
      </c>
      <c r="D1074" s="1" t="s">
        <v>627</v>
      </c>
      <c r="E1074" s="2">
        <v>45994</v>
      </c>
      <c r="F1074" s="1" t="s">
        <v>604</v>
      </c>
      <c r="G1074" s="1" t="s">
        <v>628</v>
      </c>
      <c r="I1074" s="1">
        <v>6</v>
      </c>
      <c r="J1074" s="3">
        <v>38000</v>
      </c>
      <c r="K1074" s="3">
        <v>13300</v>
      </c>
      <c r="L1074" s="3">
        <v>4028</v>
      </c>
      <c r="M1074" s="4">
        <v>0.106</v>
      </c>
      <c r="N1074" s="3">
        <v>20672</v>
      </c>
      <c r="O1074" s="4">
        <v>0.54400000000000004</v>
      </c>
      <c r="P1074" s="1" t="s">
        <v>2721</v>
      </c>
    </row>
    <row r="1075" spans="1:16">
      <c r="A1075" s="1" t="s">
        <v>602</v>
      </c>
      <c r="B1075" s="1">
        <v>12</v>
      </c>
      <c r="C1075" s="1">
        <v>18100156512776</v>
      </c>
      <c r="D1075" s="1" t="s">
        <v>633</v>
      </c>
      <c r="E1075" s="2">
        <v>45994</v>
      </c>
      <c r="F1075" s="1" t="s">
        <v>266</v>
      </c>
      <c r="G1075" s="1" t="s">
        <v>634</v>
      </c>
      <c r="H1075" s="1" t="s">
        <v>635</v>
      </c>
      <c r="I1075" s="1">
        <v>1</v>
      </c>
      <c r="J1075" s="3">
        <v>26690</v>
      </c>
      <c r="K1075" s="3">
        <v>15571</v>
      </c>
      <c r="L1075" s="3">
        <v>3096</v>
      </c>
      <c r="M1075" s="4">
        <v>0.11600000000000001</v>
      </c>
      <c r="N1075" s="3">
        <v>8023</v>
      </c>
      <c r="O1075" s="4">
        <v>0.30099999999999999</v>
      </c>
      <c r="P1075" s="1" t="s">
        <v>2721</v>
      </c>
    </row>
    <row r="1076" spans="1:16">
      <c r="A1076" s="1" t="s">
        <v>312</v>
      </c>
      <c r="B1076" s="1">
        <v>12</v>
      </c>
      <c r="C1076" s="1" t="s">
        <v>636</v>
      </c>
      <c r="D1076" s="1" t="s">
        <v>637</v>
      </c>
      <c r="E1076" s="2">
        <v>45994</v>
      </c>
      <c r="F1076" s="1" t="s">
        <v>96</v>
      </c>
      <c r="G1076" s="1" t="s">
        <v>638</v>
      </c>
      <c r="H1076" s="1" t="s">
        <v>639</v>
      </c>
      <c r="I1076" s="1">
        <v>1</v>
      </c>
      <c r="J1076" s="3">
        <v>11040</v>
      </c>
      <c r="K1076" s="3">
        <v>10269</v>
      </c>
      <c r="L1076" s="1">
        <v>0</v>
      </c>
      <c r="M1076" s="4">
        <v>0</v>
      </c>
      <c r="N1076" s="3">
        <v>771</v>
      </c>
      <c r="O1076" s="4">
        <v>7.0000000000000007E-2</v>
      </c>
      <c r="P1076" s="1" t="s">
        <v>2721</v>
      </c>
    </row>
    <row r="1077" spans="1:16">
      <c r="A1077" s="1" t="s">
        <v>312</v>
      </c>
      <c r="B1077" s="1">
        <v>12</v>
      </c>
      <c r="C1077" s="1" t="s">
        <v>636</v>
      </c>
      <c r="D1077" s="1" t="s">
        <v>640</v>
      </c>
      <c r="E1077" s="2">
        <v>45994</v>
      </c>
      <c r="F1077" s="1" t="s">
        <v>641</v>
      </c>
      <c r="G1077" s="1" t="s">
        <v>642</v>
      </c>
      <c r="H1077" s="1" t="s">
        <v>643</v>
      </c>
      <c r="I1077" s="1">
        <v>1</v>
      </c>
      <c r="J1077" s="3">
        <v>81880</v>
      </c>
      <c r="K1077" s="3">
        <v>64722</v>
      </c>
      <c r="L1077" s="1">
        <v>0</v>
      </c>
      <c r="M1077" s="4">
        <v>0</v>
      </c>
      <c r="N1077" s="3">
        <v>17158</v>
      </c>
      <c r="O1077" s="4">
        <v>0.21</v>
      </c>
      <c r="P1077" s="1" t="s">
        <v>2721</v>
      </c>
    </row>
    <row r="1078" spans="1:16">
      <c r="A1078" s="1" t="s">
        <v>312</v>
      </c>
      <c r="B1078" s="1">
        <v>12</v>
      </c>
      <c r="C1078" s="1" t="s">
        <v>644</v>
      </c>
      <c r="D1078" s="1" t="s">
        <v>645</v>
      </c>
      <c r="E1078" s="2">
        <v>45994</v>
      </c>
      <c r="F1078" s="1" t="s">
        <v>646</v>
      </c>
      <c r="G1078" s="1" t="s">
        <v>647</v>
      </c>
      <c r="H1078" s="1" t="s">
        <v>648</v>
      </c>
      <c r="I1078" s="1">
        <v>1</v>
      </c>
      <c r="J1078" s="3">
        <v>118680</v>
      </c>
      <c r="K1078" s="3">
        <v>111153</v>
      </c>
      <c r="L1078" s="1">
        <v>0</v>
      </c>
      <c r="M1078" s="4">
        <v>0</v>
      </c>
      <c r="N1078" s="3">
        <v>7527</v>
      </c>
      <c r="O1078" s="4">
        <v>6.3E-2</v>
      </c>
      <c r="P1078" s="1" t="s">
        <v>2721</v>
      </c>
    </row>
    <row r="1079" spans="1:16">
      <c r="A1079" s="1" t="s">
        <v>649</v>
      </c>
      <c r="B1079" s="1">
        <v>12</v>
      </c>
      <c r="C1079" s="1">
        <v>25120301204914</v>
      </c>
      <c r="D1079" s="1" t="s">
        <v>650</v>
      </c>
      <c r="E1079" s="2">
        <v>45994</v>
      </c>
      <c r="F1079" s="1" t="s">
        <v>48</v>
      </c>
      <c r="G1079" s="1" t="s">
        <v>651</v>
      </c>
      <c r="H1079" s="1" t="s">
        <v>652</v>
      </c>
      <c r="I1079" s="1">
        <v>1</v>
      </c>
      <c r="J1079" s="3">
        <v>14119</v>
      </c>
      <c r="K1079" s="3">
        <v>11995</v>
      </c>
      <c r="L1079" s="1">
        <v>0</v>
      </c>
      <c r="M1079" s="4">
        <v>0</v>
      </c>
      <c r="N1079" s="3">
        <v>2124</v>
      </c>
      <c r="O1079" s="4">
        <v>0.15</v>
      </c>
      <c r="P1079" s="1" t="s">
        <v>2721</v>
      </c>
    </row>
    <row r="1080" spans="1:16">
      <c r="A1080" s="1" t="s">
        <v>649</v>
      </c>
      <c r="B1080" s="1">
        <v>12</v>
      </c>
      <c r="C1080" s="1">
        <v>25120223171793</v>
      </c>
      <c r="D1080" s="1" t="s">
        <v>653</v>
      </c>
      <c r="E1080" s="2">
        <v>45994</v>
      </c>
      <c r="F1080" s="1" t="s">
        <v>302</v>
      </c>
      <c r="G1080" s="1" t="s">
        <v>654</v>
      </c>
      <c r="H1080" s="1" t="s">
        <v>655</v>
      </c>
      <c r="I1080" s="1">
        <v>2</v>
      </c>
      <c r="J1080" s="3">
        <v>19210</v>
      </c>
      <c r="K1080" s="3">
        <v>17950</v>
      </c>
      <c r="L1080" s="1">
        <v>0</v>
      </c>
      <c r="M1080" s="4">
        <v>0</v>
      </c>
      <c r="N1080" s="3">
        <v>1260</v>
      </c>
      <c r="O1080" s="4">
        <v>6.6000000000000003E-2</v>
      </c>
      <c r="P1080" s="1" t="s">
        <v>2721</v>
      </c>
    </row>
    <row r="1081" spans="1:16">
      <c r="A1081" s="1" t="s">
        <v>649</v>
      </c>
      <c r="B1081" s="1">
        <v>12</v>
      </c>
      <c r="C1081" s="1">
        <v>25120221152943</v>
      </c>
      <c r="D1081" s="1" t="s">
        <v>656</v>
      </c>
      <c r="E1081" s="2">
        <v>45994</v>
      </c>
      <c r="F1081" s="1" t="s">
        <v>347</v>
      </c>
      <c r="G1081" s="1" t="s">
        <v>657</v>
      </c>
      <c r="H1081" s="1" t="s">
        <v>658</v>
      </c>
      <c r="I1081" s="1">
        <v>1</v>
      </c>
      <c r="J1081" s="3">
        <v>22950</v>
      </c>
      <c r="K1081" s="3">
        <v>21488</v>
      </c>
      <c r="L1081" s="1">
        <v>0</v>
      </c>
      <c r="M1081" s="4">
        <v>0</v>
      </c>
      <c r="N1081" s="3">
        <v>1462</v>
      </c>
      <c r="O1081" s="4">
        <v>6.4000000000000001E-2</v>
      </c>
      <c r="P1081" s="1" t="s">
        <v>2721</v>
      </c>
    </row>
    <row r="1082" spans="1:16">
      <c r="A1082" s="1" t="s">
        <v>649</v>
      </c>
      <c r="B1082" s="1">
        <v>12</v>
      </c>
      <c r="C1082" s="1">
        <v>25120219010471</v>
      </c>
      <c r="D1082" s="1" t="s">
        <v>659</v>
      </c>
      <c r="E1082" s="2">
        <v>45994</v>
      </c>
      <c r="F1082" s="1" t="s">
        <v>660</v>
      </c>
      <c r="G1082" s="1" t="s">
        <v>661</v>
      </c>
      <c r="H1082" s="1" t="s">
        <v>662</v>
      </c>
      <c r="I1082" s="1">
        <v>1</v>
      </c>
      <c r="J1082" s="3">
        <v>7480</v>
      </c>
      <c r="K1082" s="3">
        <v>6378</v>
      </c>
      <c r="L1082" s="1">
        <v>0</v>
      </c>
      <c r="M1082" s="4">
        <v>0</v>
      </c>
      <c r="N1082" s="3">
        <v>1102</v>
      </c>
      <c r="O1082" s="4">
        <v>0.14699999999999999</v>
      </c>
      <c r="P1082" s="1" t="s">
        <v>2721</v>
      </c>
    </row>
    <row r="1083" spans="1:16">
      <c r="A1083" s="1" t="s">
        <v>649</v>
      </c>
      <c r="B1083" s="1">
        <v>12</v>
      </c>
      <c r="C1083" s="1">
        <v>25120219010471</v>
      </c>
      <c r="D1083" s="1" t="s">
        <v>663</v>
      </c>
      <c r="E1083" s="2">
        <v>45994</v>
      </c>
      <c r="F1083" s="1" t="s">
        <v>664</v>
      </c>
      <c r="G1083" s="1" t="s">
        <v>665</v>
      </c>
      <c r="H1083" s="1" t="s">
        <v>666</v>
      </c>
      <c r="I1083" s="1">
        <v>1</v>
      </c>
      <c r="J1083" s="3">
        <v>8509</v>
      </c>
      <c r="K1083" s="3">
        <v>7223</v>
      </c>
      <c r="L1083" s="1">
        <v>0</v>
      </c>
      <c r="M1083" s="4">
        <v>0</v>
      </c>
      <c r="N1083" s="3">
        <v>1286</v>
      </c>
      <c r="O1083" s="4">
        <v>0.151</v>
      </c>
      <c r="P1083" s="1" t="s">
        <v>2721</v>
      </c>
    </row>
    <row r="1084" spans="1:16">
      <c r="A1084" s="1" t="s">
        <v>649</v>
      </c>
      <c r="B1084" s="1">
        <v>12</v>
      </c>
      <c r="C1084" s="1">
        <v>25120213243207</v>
      </c>
      <c r="D1084" s="1" t="s">
        <v>667</v>
      </c>
      <c r="E1084" s="2">
        <v>45994</v>
      </c>
      <c r="F1084" s="1" t="s">
        <v>48</v>
      </c>
      <c r="G1084" s="1" t="s">
        <v>668</v>
      </c>
      <c r="H1084" s="1" t="s">
        <v>669</v>
      </c>
      <c r="I1084" s="1">
        <v>1</v>
      </c>
      <c r="J1084" s="3">
        <v>9070</v>
      </c>
      <c r="K1084" s="3">
        <v>7680</v>
      </c>
      <c r="L1084" s="1">
        <v>0</v>
      </c>
      <c r="M1084" s="4">
        <v>0</v>
      </c>
      <c r="N1084" s="3">
        <v>1390</v>
      </c>
      <c r="O1084" s="4">
        <v>0.153</v>
      </c>
      <c r="P1084" s="1" t="s">
        <v>2721</v>
      </c>
    </row>
    <row r="1085" spans="1:16">
      <c r="A1085" s="1" t="s">
        <v>649</v>
      </c>
      <c r="B1085" s="1">
        <v>12</v>
      </c>
      <c r="C1085" s="1">
        <v>25120212251467</v>
      </c>
      <c r="D1085" s="1" t="s">
        <v>670</v>
      </c>
      <c r="E1085" s="2">
        <v>45994</v>
      </c>
      <c r="F1085" s="1" t="s">
        <v>660</v>
      </c>
      <c r="G1085" s="1" t="s">
        <v>671</v>
      </c>
      <c r="H1085" s="1" t="s">
        <v>672</v>
      </c>
      <c r="I1085" s="1">
        <v>1</v>
      </c>
      <c r="J1085" s="3">
        <v>14119</v>
      </c>
      <c r="K1085" s="3">
        <v>12006</v>
      </c>
      <c r="L1085" s="1">
        <v>0</v>
      </c>
      <c r="M1085" s="4">
        <v>0</v>
      </c>
      <c r="N1085" s="3">
        <v>2113</v>
      </c>
      <c r="O1085" s="4">
        <v>0.15</v>
      </c>
      <c r="P1085" s="1" t="s">
        <v>2721</v>
      </c>
    </row>
    <row r="1086" spans="1:16">
      <c r="A1086" s="1" t="s">
        <v>649</v>
      </c>
      <c r="B1086" s="1">
        <v>12</v>
      </c>
      <c r="C1086" s="1">
        <v>25120210353987</v>
      </c>
      <c r="D1086" s="1" t="s">
        <v>673</v>
      </c>
      <c r="E1086" s="2">
        <v>45994</v>
      </c>
      <c r="F1086" s="1" t="s">
        <v>368</v>
      </c>
      <c r="G1086" s="1" t="s">
        <v>674</v>
      </c>
      <c r="H1086" s="1" t="s">
        <v>675</v>
      </c>
      <c r="I1086" s="1">
        <v>1</v>
      </c>
      <c r="J1086" s="3">
        <v>20230</v>
      </c>
      <c r="K1086" s="3">
        <v>18899</v>
      </c>
      <c r="L1086" s="3">
        <v>0</v>
      </c>
      <c r="M1086" s="4">
        <v>0</v>
      </c>
      <c r="N1086" s="3">
        <v>1331</v>
      </c>
      <c r="O1086" s="4">
        <v>6.6000000000000003E-2</v>
      </c>
      <c r="P1086" s="1" t="s">
        <v>2721</v>
      </c>
    </row>
    <row r="1087" spans="1:16">
      <c r="A1087" s="1" t="s">
        <v>624</v>
      </c>
      <c r="B1087" s="1">
        <v>12</v>
      </c>
      <c r="C1087" s="1">
        <v>2025120218735450</v>
      </c>
      <c r="D1087" s="1" t="s">
        <v>676</v>
      </c>
      <c r="E1087" s="2">
        <v>45994</v>
      </c>
      <c r="F1087" s="1" t="s">
        <v>677</v>
      </c>
      <c r="G1087" s="1" t="s">
        <v>678</v>
      </c>
      <c r="H1087" s="1" t="s">
        <v>679</v>
      </c>
      <c r="I1087" s="1">
        <v>5</v>
      </c>
      <c r="J1087" s="3">
        <v>186210</v>
      </c>
      <c r="K1087" s="3">
        <v>121940</v>
      </c>
      <c r="L1087" s="3">
        <v>24207</v>
      </c>
      <c r="M1087" s="4">
        <v>0.13</v>
      </c>
      <c r="N1087" s="3">
        <v>40063</v>
      </c>
      <c r="O1087" s="4">
        <v>0.215</v>
      </c>
      <c r="P1087" s="1" t="s">
        <v>2721</v>
      </c>
    </row>
    <row r="1088" spans="1:16">
      <c r="A1088" s="1" t="s">
        <v>624</v>
      </c>
      <c r="B1088" s="1">
        <v>12</v>
      </c>
      <c r="C1088" s="1">
        <v>2025120218738110</v>
      </c>
      <c r="D1088" s="1" t="s">
        <v>676</v>
      </c>
      <c r="E1088" s="2">
        <v>45994</v>
      </c>
      <c r="F1088" s="1" t="s">
        <v>677</v>
      </c>
      <c r="G1088" s="1" t="s">
        <v>678</v>
      </c>
      <c r="H1088" s="1" t="s">
        <v>679</v>
      </c>
      <c r="I1088" s="1">
        <v>5</v>
      </c>
      <c r="J1088" s="3">
        <v>186210</v>
      </c>
      <c r="K1088" s="3">
        <v>121940</v>
      </c>
      <c r="L1088" s="3">
        <v>24207</v>
      </c>
      <c r="M1088" s="4">
        <v>0.13</v>
      </c>
      <c r="N1088" s="3">
        <v>40063</v>
      </c>
      <c r="O1088" s="4">
        <v>0.215</v>
      </c>
      <c r="P1088" s="1" t="s">
        <v>2721</v>
      </c>
    </row>
    <row r="1089" spans="1:16">
      <c r="A1089" s="1" t="s">
        <v>632</v>
      </c>
      <c r="B1089" s="1">
        <v>12</v>
      </c>
      <c r="C1089" s="1">
        <v>165750321</v>
      </c>
      <c r="D1089" s="1" t="s">
        <v>680</v>
      </c>
      <c r="E1089" s="2">
        <v>45994</v>
      </c>
      <c r="F1089" s="1" t="s">
        <v>500</v>
      </c>
      <c r="G1089" s="1" t="s">
        <v>681</v>
      </c>
      <c r="I1089" s="1">
        <v>1</v>
      </c>
      <c r="J1089" s="3">
        <v>174900</v>
      </c>
      <c r="K1089" s="3">
        <v>101000</v>
      </c>
      <c r="L1089" s="3">
        <v>18539</v>
      </c>
      <c r="M1089" s="4">
        <v>0.106</v>
      </c>
      <c r="N1089" s="3">
        <v>55361</v>
      </c>
      <c r="O1089" s="4">
        <v>0.317</v>
      </c>
      <c r="P1089" s="1" t="s">
        <v>2721</v>
      </c>
    </row>
    <row r="1090" spans="1:16">
      <c r="A1090" s="1" t="s">
        <v>632</v>
      </c>
      <c r="B1090" s="1">
        <v>12</v>
      </c>
      <c r="C1090" s="1">
        <v>165626843</v>
      </c>
      <c r="D1090" s="1" t="s">
        <v>682</v>
      </c>
      <c r="E1090" s="2">
        <v>45994</v>
      </c>
      <c r="F1090" s="1" t="s">
        <v>500</v>
      </c>
      <c r="G1090" s="1" t="s">
        <v>683</v>
      </c>
      <c r="I1090" s="1">
        <v>1</v>
      </c>
      <c r="J1090" s="3">
        <v>134900</v>
      </c>
      <c r="K1090" s="3">
        <v>107500</v>
      </c>
      <c r="L1090" s="3">
        <v>14299</v>
      </c>
      <c r="M1090" s="4">
        <v>0.106</v>
      </c>
      <c r="N1090" s="3">
        <v>13100</v>
      </c>
      <c r="O1090" s="4">
        <v>9.7000000000000003E-2</v>
      </c>
      <c r="P1090" s="1" t="s">
        <v>2721</v>
      </c>
    </row>
    <row r="1091" spans="1:16">
      <c r="A1091" s="1" t="s">
        <v>632</v>
      </c>
      <c r="B1091" s="1">
        <v>12</v>
      </c>
      <c r="C1091" s="1">
        <v>165620643</v>
      </c>
      <c r="D1091" s="1" t="s">
        <v>684</v>
      </c>
      <c r="E1091" s="2">
        <v>45994</v>
      </c>
      <c r="F1091" s="1" t="s">
        <v>200</v>
      </c>
      <c r="G1091" s="1" t="s">
        <v>685</v>
      </c>
      <c r="I1091" s="1">
        <v>1</v>
      </c>
      <c r="J1091" s="3">
        <v>36000</v>
      </c>
      <c r="K1091" s="3">
        <v>29547</v>
      </c>
      <c r="L1091" s="3">
        <v>3816</v>
      </c>
      <c r="M1091" s="4">
        <v>0.106</v>
      </c>
      <c r="N1091" s="3">
        <v>2637</v>
      </c>
      <c r="O1091" s="4">
        <v>7.2999999999999995E-2</v>
      </c>
      <c r="P1091" s="1" t="s">
        <v>2721</v>
      </c>
    </row>
    <row r="1092" spans="1:16">
      <c r="A1092" s="1" t="s">
        <v>686</v>
      </c>
      <c r="B1092" s="1">
        <v>12</v>
      </c>
      <c r="C1092" s="1" t="s">
        <v>687</v>
      </c>
      <c r="D1092" s="1" t="s">
        <v>688</v>
      </c>
      <c r="E1092" s="2">
        <v>45994</v>
      </c>
      <c r="F1092" s="1" t="s">
        <v>689</v>
      </c>
      <c r="G1092" s="1" t="s">
        <v>690</v>
      </c>
      <c r="H1092" s="1" t="s">
        <v>691</v>
      </c>
      <c r="I1092" s="1">
        <v>1</v>
      </c>
      <c r="J1092" s="3">
        <v>19710</v>
      </c>
      <c r="K1092" s="3">
        <v>14070</v>
      </c>
      <c r="L1092" s="1">
        <v>769</v>
      </c>
      <c r="M1092" s="4">
        <v>3.9E-2</v>
      </c>
      <c r="N1092" s="3">
        <v>4871</v>
      </c>
      <c r="O1092" s="4">
        <v>0.247</v>
      </c>
      <c r="P1092" s="1" t="s">
        <v>2721</v>
      </c>
    </row>
    <row r="1093" spans="1:16">
      <c r="A1093" s="1" t="s">
        <v>692</v>
      </c>
      <c r="B1093" s="1">
        <v>12</v>
      </c>
      <c r="C1093" s="1" t="s">
        <v>693</v>
      </c>
      <c r="D1093" s="1" t="s">
        <v>694</v>
      </c>
      <c r="E1093" s="2">
        <v>45994</v>
      </c>
      <c r="F1093" s="1" t="s">
        <v>96</v>
      </c>
      <c r="G1093" s="1" t="s">
        <v>695</v>
      </c>
      <c r="H1093" s="1" t="s">
        <v>696</v>
      </c>
      <c r="I1093" s="1">
        <v>1</v>
      </c>
      <c r="J1093" s="3">
        <v>16065</v>
      </c>
      <c r="K1093" s="3">
        <v>14584</v>
      </c>
      <c r="L1093" s="1">
        <v>0</v>
      </c>
      <c r="M1093" s="4">
        <v>0</v>
      </c>
      <c r="N1093" s="3">
        <v>1481</v>
      </c>
      <c r="O1093" s="4">
        <v>9.1999999999999998E-2</v>
      </c>
      <c r="P1093" s="1" t="s">
        <v>2721</v>
      </c>
    </row>
    <row r="1094" spans="1:16">
      <c r="A1094" s="1" t="s">
        <v>692</v>
      </c>
      <c r="B1094" s="1">
        <v>12</v>
      </c>
      <c r="C1094" s="1" t="s">
        <v>697</v>
      </c>
      <c r="D1094" s="1" t="s">
        <v>694</v>
      </c>
      <c r="E1094" s="2">
        <v>45994</v>
      </c>
      <c r="F1094" s="1" t="s">
        <v>96</v>
      </c>
      <c r="G1094" s="1" t="s">
        <v>695</v>
      </c>
      <c r="H1094" s="1" t="s">
        <v>696</v>
      </c>
      <c r="I1094" s="1">
        <v>1</v>
      </c>
      <c r="J1094" s="3">
        <v>16065</v>
      </c>
      <c r="K1094" s="3">
        <v>14584</v>
      </c>
      <c r="L1094" s="1">
        <v>0</v>
      </c>
      <c r="M1094" s="4">
        <v>0</v>
      </c>
      <c r="N1094" s="3">
        <v>1481</v>
      </c>
      <c r="O1094" s="4">
        <v>9.1999999999999998E-2</v>
      </c>
      <c r="P1094" s="1" t="s">
        <v>2721</v>
      </c>
    </row>
    <row r="1095" spans="1:16">
      <c r="A1095" s="1" t="s">
        <v>692</v>
      </c>
      <c r="B1095" s="1">
        <v>12</v>
      </c>
      <c r="C1095" s="1" t="s">
        <v>698</v>
      </c>
      <c r="D1095" s="1" t="s">
        <v>699</v>
      </c>
      <c r="E1095" s="2">
        <v>45994</v>
      </c>
      <c r="F1095" s="1" t="s">
        <v>96</v>
      </c>
      <c r="G1095" s="1" t="s">
        <v>700</v>
      </c>
      <c r="H1095" s="1" t="s">
        <v>701</v>
      </c>
      <c r="I1095" s="1">
        <v>1</v>
      </c>
      <c r="J1095" s="3">
        <v>10795</v>
      </c>
      <c r="K1095" s="3">
        <v>9488</v>
      </c>
      <c r="L1095" s="1">
        <v>0</v>
      </c>
      <c r="M1095" s="4">
        <v>0</v>
      </c>
      <c r="N1095" s="3">
        <v>1307</v>
      </c>
      <c r="O1095" s="4">
        <v>0.121</v>
      </c>
      <c r="P1095" s="1" t="s">
        <v>2721</v>
      </c>
    </row>
    <row r="1096" spans="1:16">
      <c r="A1096" s="1" t="s">
        <v>702</v>
      </c>
      <c r="B1096" s="1">
        <v>12</v>
      </c>
      <c r="C1096" s="1" t="s">
        <v>703</v>
      </c>
      <c r="D1096" s="1" t="s">
        <v>704</v>
      </c>
      <c r="E1096" s="2">
        <v>45994</v>
      </c>
      <c r="F1096" s="1" t="s">
        <v>261</v>
      </c>
      <c r="G1096" s="1" t="s">
        <v>705</v>
      </c>
      <c r="H1096" s="1" t="s">
        <v>706</v>
      </c>
      <c r="I1096" s="1">
        <v>1</v>
      </c>
      <c r="J1096" s="3">
        <v>40300</v>
      </c>
      <c r="K1096" s="3">
        <v>30954</v>
      </c>
      <c r="L1096" s="3">
        <v>0</v>
      </c>
      <c r="M1096" s="4">
        <v>0</v>
      </c>
      <c r="N1096" s="3">
        <v>9346</v>
      </c>
      <c r="O1096" s="4">
        <v>0.23200000000000001</v>
      </c>
      <c r="P1096" s="1" t="s">
        <v>2721</v>
      </c>
    </row>
    <row r="1097" spans="1:16">
      <c r="A1097" s="1" t="s">
        <v>707</v>
      </c>
      <c r="B1097" s="1">
        <v>12</v>
      </c>
      <c r="C1097" s="1">
        <v>2.0251202100218598E+17</v>
      </c>
      <c r="D1097" s="1" t="s">
        <v>708</v>
      </c>
      <c r="E1097" s="2">
        <v>45994</v>
      </c>
      <c r="F1097" s="1" t="s">
        <v>317</v>
      </c>
      <c r="G1097" s="1" t="s">
        <v>709</v>
      </c>
      <c r="H1097" s="1" t="s">
        <v>710</v>
      </c>
      <c r="I1097" s="1">
        <v>1</v>
      </c>
      <c r="J1097" s="3">
        <v>31300</v>
      </c>
      <c r="K1097" s="3">
        <v>24388</v>
      </c>
      <c r="L1097" s="3">
        <v>4695</v>
      </c>
      <c r="M1097" s="4">
        <v>0.15</v>
      </c>
      <c r="N1097" s="3">
        <v>2217</v>
      </c>
      <c r="O1097" s="4">
        <v>7.0999999999999994E-2</v>
      </c>
      <c r="P1097" s="1" t="s">
        <v>2721</v>
      </c>
    </row>
    <row r="1098" spans="1:16">
      <c r="A1098" s="1" t="s">
        <v>711</v>
      </c>
      <c r="B1098" s="1">
        <v>12</v>
      </c>
      <c r="C1098" s="1">
        <v>2.0251202122254301E+17</v>
      </c>
      <c r="D1098" s="1" t="s">
        <v>712</v>
      </c>
      <c r="E1098" s="2">
        <v>45994</v>
      </c>
      <c r="F1098" s="1" t="s">
        <v>500</v>
      </c>
      <c r="G1098" s="1" t="s">
        <v>713</v>
      </c>
      <c r="H1098" s="1" t="s">
        <v>714</v>
      </c>
      <c r="I1098" s="1">
        <v>1</v>
      </c>
      <c r="J1098" s="3">
        <v>195900</v>
      </c>
      <c r="K1098" s="3">
        <v>159500</v>
      </c>
      <c r="L1098" s="3">
        <v>29385</v>
      </c>
      <c r="M1098" s="4">
        <v>0.15</v>
      </c>
      <c r="N1098" s="3">
        <v>7015</v>
      </c>
      <c r="O1098" s="4">
        <v>3.5999999999999997E-2</v>
      </c>
      <c r="P1098" s="1" t="s">
        <v>2721</v>
      </c>
    </row>
    <row r="1099" spans="1:16">
      <c r="A1099" s="1" t="s">
        <v>711</v>
      </c>
      <c r="B1099" s="1">
        <v>12</v>
      </c>
      <c r="C1099" s="1">
        <v>2.02512022127276E+17</v>
      </c>
      <c r="D1099" s="1" t="s">
        <v>715</v>
      </c>
      <c r="E1099" s="2">
        <v>45994</v>
      </c>
      <c r="F1099" s="1" t="s">
        <v>500</v>
      </c>
      <c r="G1099" s="1" t="s">
        <v>716</v>
      </c>
      <c r="H1099" s="1" t="s">
        <v>717</v>
      </c>
      <c r="I1099" s="1">
        <v>1</v>
      </c>
      <c r="J1099" s="3">
        <v>136900</v>
      </c>
      <c r="K1099" s="3">
        <v>111200</v>
      </c>
      <c r="L1099" s="3">
        <v>20535</v>
      </c>
      <c r="M1099" s="4">
        <v>0.15</v>
      </c>
      <c r="N1099" s="3">
        <v>5165</v>
      </c>
      <c r="O1099" s="4">
        <v>3.7999999999999999E-2</v>
      </c>
      <c r="P1099" s="1" t="s">
        <v>2721</v>
      </c>
    </row>
    <row r="1100" spans="1:16">
      <c r="A1100" s="1" t="s">
        <v>718</v>
      </c>
      <c r="B1100" s="1">
        <v>12</v>
      </c>
      <c r="C1100" s="1">
        <v>2.0251202204954099E+17</v>
      </c>
      <c r="D1100" s="1" t="s">
        <v>719</v>
      </c>
      <c r="E1100" s="2">
        <v>45994</v>
      </c>
      <c r="F1100" s="1" t="s">
        <v>239</v>
      </c>
      <c r="G1100" s="1" t="s">
        <v>720</v>
      </c>
      <c r="H1100" s="1" t="s">
        <v>721</v>
      </c>
      <c r="I1100" s="1">
        <v>1</v>
      </c>
      <c r="J1100" s="3">
        <v>13900</v>
      </c>
      <c r="K1100" s="3">
        <v>10787</v>
      </c>
      <c r="L1100" s="3">
        <v>1390</v>
      </c>
      <c r="M1100" s="4">
        <v>0.1</v>
      </c>
      <c r="N1100" s="3">
        <v>1723</v>
      </c>
      <c r="O1100" s="4">
        <v>0.124</v>
      </c>
      <c r="P1100" s="1" t="s">
        <v>2721</v>
      </c>
    </row>
    <row r="1101" spans="1:16">
      <c r="A1101" s="1" t="s">
        <v>718</v>
      </c>
      <c r="B1101" s="1">
        <v>12</v>
      </c>
      <c r="C1101" s="1">
        <v>2.0251202094758202E+17</v>
      </c>
      <c r="D1101" s="1" t="s">
        <v>719</v>
      </c>
      <c r="E1101" s="2">
        <v>45994</v>
      </c>
      <c r="F1101" s="1" t="s">
        <v>239</v>
      </c>
      <c r="G1101" s="1" t="s">
        <v>720</v>
      </c>
      <c r="H1101" s="1" t="s">
        <v>721</v>
      </c>
      <c r="I1101" s="1">
        <v>1</v>
      </c>
      <c r="J1101" s="3">
        <v>13900</v>
      </c>
      <c r="K1101" s="3">
        <v>10787</v>
      </c>
      <c r="L1101" s="3">
        <v>1390</v>
      </c>
      <c r="M1101" s="4">
        <v>0.1</v>
      </c>
      <c r="N1101" s="3">
        <v>1723</v>
      </c>
      <c r="O1101" s="4">
        <v>0.124</v>
      </c>
      <c r="P1101" s="1" t="s">
        <v>2721</v>
      </c>
    </row>
    <row r="1102" spans="1:16">
      <c r="A1102" s="1" t="s">
        <v>722</v>
      </c>
      <c r="B1102" s="1">
        <v>12</v>
      </c>
      <c r="C1102" s="1" t="s">
        <v>723</v>
      </c>
      <c r="D1102" s="1" t="s">
        <v>724</v>
      </c>
      <c r="E1102" s="2">
        <v>45994</v>
      </c>
      <c r="F1102" s="1" t="s">
        <v>725</v>
      </c>
      <c r="G1102" s="1" t="s">
        <v>726</v>
      </c>
      <c r="I1102" s="1">
        <v>1</v>
      </c>
      <c r="J1102" s="3">
        <v>133500</v>
      </c>
      <c r="K1102" s="3">
        <v>121940</v>
      </c>
      <c r="L1102" s="1">
        <v>0</v>
      </c>
      <c r="M1102" s="4">
        <v>0</v>
      </c>
      <c r="N1102" s="3">
        <v>11560</v>
      </c>
      <c r="O1102" s="4">
        <v>8.6999999999999994E-2</v>
      </c>
      <c r="P1102" s="1" t="s">
        <v>2721</v>
      </c>
    </row>
    <row r="1103" spans="1:16">
      <c r="A1103" s="1" t="s">
        <v>722</v>
      </c>
      <c r="B1103" s="1">
        <v>12</v>
      </c>
      <c r="C1103" s="1" t="s">
        <v>727</v>
      </c>
      <c r="D1103" s="1" t="s">
        <v>728</v>
      </c>
      <c r="E1103" s="2">
        <v>45994</v>
      </c>
      <c r="F1103" s="1" t="s">
        <v>534</v>
      </c>
      <c r="G1103" s="1" t="s">
        <v>729</v>
      </c>
      <c r="H1103" s="1" t="s">
        <v>730</v>
      </c>
      <c r="I1103" s="1">
        <v>1</v>
      </c>
      <c r="J1103" s="3">
        <v>32925</v>
      </c>
      <c r="K1103" s="3">
        <v>31500</v>
      </c>
      <c r="L1103" s="1">
        <v>0</v>
      </c>
      <c r="M1103" s="4">
        <v>0</v>
      </c>
      <c r="N1103" s="3">
        <v>1425</v>
      </c>
      <c r="O1103" s="4">
        <v>4.2999999999999997E-2</v>
      </c>
      <c r="P1103" s="1" t="s">
        <v>2721</v>
      </c>
    </row>
    <row r="1104" spans="1:16">
      <c r="A1104" s="1" t="s">
        <v>722</v>
      </c>
      <c r="B1104" s="1">
        <v>12</v>
      </c>
      <c r="C1104" s="1" t="s">
        <v>731</v>
      </c>
      <c r="D1104" s="1" t="s">
        <v>728</v>
      </c>
      <c r="E1104" s="2">
        <v>45994</v>
      </c>
      <c r="F1104" s="1" t="s">
        <v>534</v>
      </c>
      <c r="G1104" s="1" t="s">
        <v>729</v>
      </c>
      <c r="H1104" s="1" t="s">
        <v>730</v>
      </c>
      <c r="I1104" s="1">
        <v>1</v>
      </c>
      <c r="J1104" s="3">
        <v>32925</v>
      </c>
      <c r="K1104" s="3">
        <v>31500</v>
      </c>
      <c r="L1104" s="1">
        <v>0</v>
      </c>
      <c r="M1104" s="4">
        <v>0</v>
      </c>
      <c r="N1104" s="3">
        <v>1425</v>
      </c>
      <c r="O1104" s="4">
        <v>4.2999999999999997E-2</v>
      </c>
      <c r="P1104" s="1" t="s">
        <v>2721</v>
      </c>
    </row>
    <row r="1105" spans="1:16">
      <c r="A1105" s="1" t="s">
        <v>722</v>
      </c>
      <c r="B1105" s="1">
        <v>12</v>
      </c>
      <c r="C1105" s="1" t="s">
        <v>732</v>
      </c>
      <c r="D1105" s="1" t="s">
        <v>728</v>
      </c>
      <c r="E1105" s="2">
        <v>45994</v>
      </c>
      <c r="F1105" s="1" t="s">
        <v>534</v>
      </c>
      <c r="G1105" s="1" t="s">
        <v>729</v>
      </c>
      <c r="H1105" s="1" t="s">
        <v>730</v>
      </c>
      <c r="I1105" s="1">
        <v>1</v>
      </c>
      <c r="J1105" s="3">
        <v>32925</v>
      </c>
      <c r="K1105" s="3">
        <v>31500</v>
      </c>
      <c r="L1105" s="1">
        <v>0</v>
      </c>
      <c r="M1105" s="4">
        <v>0</v>
      </c>
      <c r="N1105" s="3">
        <v>1425</v>
      </c>
      <c r="O1105" s="4">
        <v>4.2999999999999997E-2</v>
      </c>
      <c r="P1105" s="1" t="s">
        <v>2721</v>
      </c>
    </row>
    <row r="1106" spans="1:16">
      <c r="A1106" s="1" t="s">
        <v>733</v>
      </c>
      <c r="B1106" s="1">
        <v>12</v>
      </c>
      <c r="C1106" s="1" t="s">
        <v>734</v>
      </c>
      <c r="D1106" s="1" t="s">
        <v>735</v>
      </c>
      <c r="E1106" s="2">
        <v>45994</v>
      </c>
      <c r="F1106" s="1" t="s">
        <v>96</v>
      </c>
      <c r="G1106" s="1" t="s">
        <v>736</v>
      </c>
      <c r="I1106" s="1">
        <v>1</v>
      </c>
      <c r="J1106" s="3">
        <v>9800</v>
      </c>
      <c r="K1106" s="3">
        <v>8457</v>
      </c>
      <c r="L1106" s="1">
        <v>0</v>
      </c>
      <c r="M1106" s="4">
        <v>0</v>
      </c>
      <c r="N1106" s="3">
        <v>1343</v>
      </c>
      <c r="O1106" s="4">
        <v>0.13700000000000001</v>
      </c>
      <c r="P1106" s="1" t="s">
        <v>2721</v>
      </c>
    </row>
    <row r="1107" spans="1:16">
      <c r="A1107" s="1" t="s">
        <v>733</v>
      </c>
      <c r="B1107" s="1">
        <v>12</v>
      </c>
      <c r="C1107" s="1" t="s">
        <v>734</v>
      </c>
      <c r="D1107" s="1" t="s">
        <v>737</v>
      </c>
      <c r="E1107" s="2">
        <v>45994</v>
      </c>
      <c r="F1107" s="1" t="s">
        <v>96</v>
      </c>
      <c r="G1107" s="1" t="s">
        <v>738</v>
      </c>
      <c r="I1107" s="1">
        <v>1</v>
      </c>
      <c r="J1107" s="3">
        <v>9800</v>
      </c>
      <c r="K1107" s="3">
        <v>8457</v>
      </c>
      <c r="L1107" s="3">
        <v>0</v>
      </c>
      <c r="M1107" s="4">
        <v>0</v>
      </c>
      <c r="N1107" s="3">
        <v>1343</v>
      </c>
      <c r="O1107" s="4">
        <v>0.13700000000000001</v>
      </c>
      <c r="P1107" s="1" t="s">
        <v>2721</v>
      </c>
    </row>
    <row r="1108" spans="1:16">
      <c r="A1108" s="1" t="s">
        <v>739</v>
      </c>
      <c r="B1108" s="1">
        <v>12</v>
      </c>
      <c r="C1108" s="1">
        <v>31552627</v>
      </c>
      <c r="D1108" s="1" t="s">
        <v>740</v>
      </c>
      <c r="E1108" s="2">
        <v>45994</v>
      </c>
      <c r="F1108" s="1" t="s">
        <v>317</v>
      </c>
      <c r="G1108" s="1" t="s">
        <v>741</v>
      </c>
      <c r="H1108" s="1" t="s">
        <v>742</v>
      </c>
      <c r="I1108" s="1">
        <v>1</v>
      </c>
      <c r="J1108" s="3">
        <v>31900</v>
      </c>
      <c r="K1108" s="3">
        <v>26264</v>
      </c>
      <c r="L1108" s="3">
        <v>4211</v>
      </c>
      <c r="M1108" s="4">
        <v>0.13200000000000001</v>
      </c>
      <c r="N1108" s="3">
        <v>1425</v>
      </c>
      <c r="O1108" s="4">
        <v>4.4999999999999998E-2</v>
      </c>
      <c r="P1108" s="1" t="s">
        <v>2721</v>
      </c>
    </row>
    <row r="1109" spans="1:16">
      <c r="A1109" s="1" t="s">
        <v>739</v>
      </c>
      <c r="B1109" s="1">
        <v>12</v>
      </c>
      <c r="C1109" s="1">
        <v>31555977</v>
      </c>
      <c r="D1109" s="1" t="s">
        <v>743</v>
      </c>
      <c r="E1109" s="2">
        <v>45994</v>
      </c>
      <c r="F1109" s="1" t="s">
        <v>58</v>
      </c>
      <c r="G1109" s="1" t="s">
        <v>744</v>
      </c>
      <c r="H1109" s="1" t="s">
        <v>745</v>
      </c>
      <c r="I1109" s="1">
        <v>1</v>
      </c>
      <c r="J1109" s="3">
        <v>20500</v>
      </c>
      <c r="K1109" s="3">
        <v>14858</v>
      </c>
      <c r="L1109" s="3">
        <v>2706</v>
      </c>
      <c r="M1109" s="4">
        <v>0.13200000000000001</v>
      </c>
      <c r="N1109" s="3">
        <v>2936</v>
      </c>
      <c r="O1109" s="4">
        <v>0.14299999999999999</v>
      </c>
      <c r="P1109" s="1" t="s">
        <v>2721</v>
      </c>
    </row>
    <row r="1110" spans="1:16">
      <c r="A1110" s="1" t="s">
        <v>739</v>
      </c>
      <c r="B1110" s="1">
        <v>12</v>
      </c>
      <c r="C1110" s="1">
        <v>31558950</v>
      </c>
      <c r="D1110" s="1" t="s">
        <v>746</v>
      </c>
      <c r="E1110" s="2">
        <v>45994</v>
      </c>
      <c r="F1110" s="1" t="s">
        <v>58</v>
      </c>
      <c r="G1110" s="1" t="s">
        <v>747</v>
      </c>
      <c r="H1110" s="1" t="s">
        <v>748</v>
      </c>
      <c r="I1110" s="1">
        <v>1</v>
      </c>
      <c r="J1110" s="3">
        <v>13900</v>
      </c>
      <c r="K1110" s="3">
        <v>10318</v>
      </c>
      <c r="L1110" s="3">
        <v>1835</v>
      </c>
      <c r="M1110" s="4">
        <v>0.13200000000000001</v>
      </c>
      <c r="N1110" s="3">
        <v>1747</v>
      </c>
      <c r="O1110" s="4">
        <v>0.126</v>
      </c>
      <c r="P1110" s="1" t="s">
        <v>2721</v>
      </c>
    </row>
    <row r="1111" spans="1:16">
      <c r="A1111" s="1" t="s">
        <v>739</v>
      </c>
      <c r="B1111" s="1">
        <v>12</v>
      </c>
      <c r="C1111" s="1">
        <v>31558950</v>
      </c>
      <c r="D1111" s="1" t="s">
        <v>749</v>
      </c>
      <c r="E1111" s="2">
        <v>45994</v>
      </c>
      <c r="F1111" s="1" t="s">
        <v>58</v>
      </c>
      <c r="G1111" s="1" t="s">
        <v>750</v>
      </c>
      <c r="H1111" s="1" t="s">
        <v>751</v>
      </c>
      <c r="I1111" s="1">
        <v>1</v>
      </c>
      <c r="J1111" s="3">
        <v>6500</v>
      </c>
      <c r="K1111" s="3">
        <v>4221</v>
      </c>
      <c r="L1111" s="3">
        <v>858</v>
      </c>
      <c r="M1111" s="4">
        <v>0.13200000000000001</v>
      </c>
      <c r="N1111" s="3">
        <v>1421</v>
      </c>
      <c r="O1111" s="4">
        <v>0.219</v>
      </c>
      <c r="P1111" s="1" t="s">
        <v>2721</v>
      </c>
    </row>
    <row r="1112" spans="1:16">
      <c r="A1112" s="1" t="s">
        <v>739</v>
      </c>
      <c r="B1112" s="1">
        <v>12</v>
      </c>
      <c r="C1112" s="1">
        <v>31558969</v>
      </c>
      <c r="D1112" s="1" t="s">
        <v>752</v>
      </c>
      <c r="E1112" s="2">
        <v>45994</v>
      </c>
      <c r="F1112" s="1" t="s">
        <v>753</v>
      </c>
      <c r="G1112" s="1" t="s">
        <v>754</v>
      </c>
      <c r="H1112" s="1" t="s">
        <v>755</v>
      </c>
      <c r="I1112" s="1">
        <v>2</v>
      </c>
      <c r="J1112" s="3">
        <v>81200</v>
      </c>
      <c r="K1112" s="3">
        <v>65472</v>
      </c>
      <c r="L1112" s="3">
        <v>10718</v>
      </c>
      <c r="M1112" s="4">
        <v>0.13200000000000001</v>
      </c>
      <c r="N1112" s="3">
        <v>5009</v>
      </c>
      <c r="O1112" s="4">
        <v>6.2E-2</v>
      </c>
      <c r="P1112" s="1" t="s">
        <v>2721</v>
      </c>
    </row>
    <row r="1113" spans="1:16">
      <c r="A1113" s="1" t="s">
        <v>756</v>
      </c>
      <c r="B1113" s="1">
        <v>12</v>
      </c>
      <c r="C1113" s="1" t="s">
        <v>757</v>
      </c>
      <c r="D1113" s="1" t="s">
        <v>758</v>
      </c>
      <c r="E1113" s="2">
        <v>45994</v>
      </c>
      <c r="F1113" s="1" t="s">
        <v>28</v>
      </c>
      <c r="G1113" s="1" t="s">
        <v>759</v>
      </c>
      <c r="H1113" s="1" t="s">
        <v>760</v>
      </c>
      <c r="I1113" s="1">
        <v>1</v>
      </c>
      <c r="J1113" s="3">
        <v>28950</v>
      </c>
      <c r="K1113" s="3">
        <v>25795</v>
      </c>
      <c r="L1113" s="1">
        <v>0</v>
      </c>
      <c r="M1113" s="4">
        <v>0</v>
      </c>
      <c r="N1113" s="3">
        <v>3155</v>
      </c>
      <c r="O1113" s="4">
        <v>0.109</v>
      </c>
      <c r="P1113" s="1" t="s">
        <v>2723</v>
      </c>
    </row>
    <row r="1114" spans="1:16">
      <c r="A1114" s="1" t="s">
        <v>761</v>
      </c>
      <c r="B1114" s="1">
        <v>12</v>
      </c>
      <c r="C1114" s="1" t="s">
        <v>762</v>
      </c>
      <c r="D1114" s="1" t="s">
        <v>712</v>
      </c>
      <c r="E1114" s="2">
        <v>45994</v>
      </c>
      <c r="F1114" s="1" t="s">
        <v>500</v>
      </c>
      <c r="G1114" s="1" t="s">
        <v>713</v>
      </c>
      <c r="I1114" s="1">
        <v>1</v>
      </c>
      <c r="J1114" s="3">
        <v>194300</v>
      </c>
      <c r="K1114" s="3">
        <v>159500</v>
      </c>
      <c r="L1114" s="1">
        <v>0</v>
      </c>
      <c r="M1114" s="4">
        <v>0</v>
      </c>
      <c r="N1114" s="3">
        <v>34800</v>
      </c>
      <c r="O1114" s="4">
        <v>0.17899999999999999</v>
      </c>
      <c r="P1114" s="1" t="s">
        <v>2723</v>
      </c>
    </row>
    <row r="1115" spans="1:16">
      <c r="A1115" s="1" t="s">
        <v>763</v>
      </c>
      <c r="B1115" s="1">
        <v>12</v>
      </c>
      <c r="C1115" s="1" t="s">
        <v>764</v>
      </c>
      <c r="D1115" s="1" t="s">
        <v>765</v>
      </c>
      <c r="E1115" s="2">
        <v>45994</v>
      </c>
      <c r="F1115" s="1" t="s">
        <v>256</v>
      </c>
      <c r="G1115" s="1" t="s">
        <v>766</v>
      </c>
      <c r="H1115" s="1" t="s">
        <v>767</v>
      </c>
      <c r="I1115" s="1">
        <v>1</v>
      </c>
      <c r="J1115" s="3">
        <v>8590</v>
      </c>
      <c r="K1115" s="3">
        <v>7785</v>
      </c>
      <c r="L1115" s="1">
        <v>0</v>
      </c>
      <c r="M1115" s="4">
        <v>0</v>
      </c>
      <c r="N1115" s="3">
        <v>805</v>
      </c>
      <c r="O1115" s="4">
        <v>9.4E-2</v>
      </c>
      <c r="P1115" s="1" t="s">
        <v>2723</v>
      </c>
    </row>
    <row r="1116" spans="1:16">
      <c r="A1116" s="1" t="s">
        <v>763</v>
      </c>
      <c r="B1116" s="1">
        <v>12</v>
      </c>
      <c r="C1116" s="1" t="s">
        <v>768</v>
      </c>
      <c r="D1116" s="1" t="s">
        <v>769</v>
      </c>
      <c r="E1116" s="2">
        <v>45994</v>
      </c>
      <c r="F1116" s="1" t="s">
        <v>48</v>
      </c>
      <c r="G1116" s="1" t="s">
        <v>770</v>
      </c>
      <c r="H1116" s="1" t="s">
        <v>771</v>
      </c>
      <c r="I1116" s="1">
        <v>1</v>
      </c>
      <c r="J1116" s="3">
        <v>14900</v>
      </c>
      <c r="K1116" s="3">
        <v>12513</v>
      </c>
      <c r="L1116" s="1">
        <v>0</v>
      </c>
      <c r="M1116" s="4">
        <v>0</v>
      </c>
      <c r="N1116" s="3">
        <v>2387</v>
      </c>
      <c r="O1116" s="4">
        <v>0.16</v>
      </c>
      <c r="P1116" s="1" t="s">
        <v>2723</v>
      </c>
    </row>
    <row r="1117" spans="1:16">
      <c r="A1117" s="1" t="s">
        <v>763</v>
      </c>
      <c r="B1117" s="1">
        <v>12</v>
      </c>
      <c r="C1117" s="1" t="s">
        <v>772</v>
      </c>
      <c r="D1117" s="1" t="s">
        <v>773</v>
      </c>
      <c r="E1117" s="2">
        <v>45994</v>
      </c>
      <c r="F1117" s="1" t="s">
        <v>48</v>
      </c>
      <c r="G1117" s="1" t="s">
        <v>774</v>
      </c>
      <c r="H1117" s="1" t="s">
        <v>775</v>
      </c>
      <c r="I1117" s="1">
        <v>1</v>
      </c>
      <c r="J1117" s="3">
        <v>12900</v>
      </c>
      <c r="K1117" s="3">
        <v>8802</v>
      </c>
      <c r="L1117" s="1">
        <v>0</v>
      </c>
      <c r="M1117" s="4">
        <v>0</v>
      </c>
      <c r="N1117" s="3">
        <v>4098</v>
      </c>
      <c r="O1117" s="4">
        <v>0.318</v>
      </c>
      <c r="P1117" s="1" t="s">
        <v>2723</v>
      </c>
    </row>
  </sheetData>
  <autoFilter ref="A1:P1117" xr:uid="{C2074C94-69D2-4788-9D65-DE270623B634}"/>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DFC9B7-C3A4-496F-8A42-948DD46AA7D0}">
  <sheetPr>
    <tabColor theme="5" tint="0.39997558519241921"/>
  </sheetPr>
  <dimension ref="A1:N232"/>
  <sheetViews>
    <sheetView workbookViewId="0">
      <pane xSplit="4" ySplit="1" topLeftCell="E2" activePane="bottomRight" state="frozen"/>
      <selection activeCell="D2" sqref="D2"/>
      <selection pane="topRight" activeCell="D2" sqref="D2"/>
      <selection pane="bottomLeft" activeCell="D2" sqref="D2"/>
      <selection pane="bottomRight" activeCell="F5" sqref="F5"/>
    </sheetView>
  </sheetViews>
  <sheetFormatPr defaultColWidth="12.625" defaultRowHeight="15" customHeight="1"/>
  <cols>
    <col min="1" max="2" width="18.125" style="15" customWidth="1"/>
    <col min="3" max="3" width="9.375" style="15" customWidth="1"/>
    <col min="4" max="4" width="19.875" style="15" customWidth="1"/>
    <col min="5" max="5" width="16.375" style="15" customWidth="1"/>
    <col min="6" max="6" width="64.25" style="15" customWidth="1"/>
    <col min="7" max="16384" width="12.625" style="15"/>
  </cols>
  <sheetData>
    <row r="1" spans="1:14" ht="37.5" customHeight="1">
      <c r="A1" s="13" t="s">
        <v>9912</v>
      </c>
      <c r="B1" s="13" t="s">
        <v>9913</v>
      </c>
      <c r="C1" s="13" t="s">
        <v>9914</v>
      </c>
      <c r="D1" s="13" t="s">
        <v>5</v>
      </c>
      <c r="E1" s="13" t="s">
        <v>9915</v>
      </c>
      <c r="F1" s="13" t="s">
        <v>9916</v>
      </c>
      <c r="G1" s="14"/>
      <c r="H1" s="14"/>
      <c r="I1" s="14"/>
      <c r="J1" s="14"/>
      <c r="K1" s="14"/>
      <c r="L1" s="14"/>
      <c r="M1" s="14"/>
      <c r="N1" s="14"/>
    </row>
    <row r="2" spans="1:14" ht="32.25" customHeight="1">
      <c r="A2" s="16" t="s">
        <v>9917</v>
      </c>
      <c r="B2" s="16" t="s">
        <v>9918</v>
      </c>
      <c r="C2" s="17">
        <v>1</v>
      </c>
      <c r="D2" s="16" t="s">
        <v>945</v>
      </c>
      <c r="E2" s="17" t="s">
        <v>9919</v>
      </c>
      <c r="F2" s="17"/>
    </row>
    <row r="3" spans="1:14" ht="32.25" customHeight="1">
      <c r="A3" s="16" t="s">
        <v>9917</v>
      </c>
      <c r="B3" s="16" t="s">
        <v>9918</v>
      </c>
      <c r="C3" s="17">
        <v>2</v>
      </c>
      <c r="D3" s="16" t="s">
        <v>9686</v>
      </c>
      <c r="E3" s="17" t="s">
        <v>9919</v>
      </c>
      <c r="F3" s="17"/>
    </row>
    <row r="4" spans="1:14" ht="32.25" customHeight="1">
      <c r="A4" s="16" t="s">
        <v>9917</v>
      </c>
      <c r="B4" s="16" t="s">
        <v>9918</v>
      </c>
      <c r="C4" s="17">
        <v>3</v>
      </c>
      <c r="D4" s="16" t="s">
        <v>9920</v>
      </c>
      <c r="E4" s="17" t="s">
        <v>9919</v>
      </c>
      <c r="F4" s="17"/>
    </row>
    <row r="5" spans="1:14" ht="32.25" customHeight="1">
      <c r="A5" s="16" t="s">
        <v>9917</v>
      </c>
      <c r="B5" s="16" t="s">
        <v>9918</v>
      </c>
      <c r="C5" s="17">
        <v>4</v>
      </c>
      <c r="D5" s="16" t="s">
        <v>151</v>
      </c>
      <c r="E5" s="17" t="s">
        <v>9919</v>
      </c>
      <c r="F5" s="17"/>
    </row>
    <row r="6" spans="1:14" ht="32.25" customHeight="1">
      <c r="A6" s="16" t="s">
        <v>9917</v>
      </c>
      <c r="B6" s="16" t="s">
        <v>9918</v>
      </c>
      <c r="C6" s="17">
        <v>5</v>
      </c>
      <c r="D6" s="18" t="s">
        <v>9921</v>
      </c>
      <c r="E6" s="17" t="s">
        <v>9919</v>
      </c>
      <c r="F6" s="17"/>
    </row>
    <row r="7" spans="1:14" ht="32.25" customHeight="1">
      <c r="A7" s="16" t="s">
        <v>9917</v>
      </c>
      <c r="B7" s="16" t="s">
        <v>9918</v>
      </c>
      <c r="C7" s="17">
        <v>6</v>
      </c>
      <c r="D7" s="16" t="s">
        <v>851</v>
      </c>
      <c r="E7" s="17" t="s">
        <v>9919</v>
      </c>
      <c r="F7" s="17"/>
    </row>
    <row r="8" spans="1:14" ht="32.25" customHeight="1">
      <c r="A8" s="16" t="s">
        <v>9917</v>
      </c>
      <c r="B8" s="16" t="s">
        <v>9918</v>
      </c>
      <c r="C8" s="17">
        <v>7</v>
      </c>
      <c r="D8" s="16" t="s">
        <v>646</v>
      </c>
      <c r="E8" s="17" t="s">
        <v>9919</v>
      </c>
      <c r="F8" s="17"/>
    </row>
    <row r="9" spans="1:14" ht="32.25" customHeight="1">
      <c r="A9" s="16" t="s">
        <v>9917</v>
      </c>
      <c r="B9" s="16" t="s">
        <v>9918</v>
      </c>
      <c r="C9" s="17">
        <v>8</v>
      </c>
      <c r="D9" s="16" t="s">
        <v>9922</v>
      </c>
      <c r="E9" s="17" t="s">
        <v>9919</v>
      </c>
      <c r="F9" s="17"/>
    </row>
    <row r="10" spans="1:14" ht="32.25" customHeight="1">
      <c r="A10" s="16" t="s">
        <v>9917</v>
      </c>
      <c r="B10" s="16" t="s">
        <v>9918</v>
      </c>
      <c r="C10" s="17">
        <v>9</v>
      </c>
      <c r="D10" s="16" t="s">
        <v>8068</v>
      </c>
      <c r="E10" s="17" t="s">
        <v>9919</v>
      </c>
      <c r="F10" s="17"/>
    </row>
    <row r="11" spans="1:14" ht="32.25" customHeight="1">
      <c r="A11" s="16" t="s">
        <v>9917</v>
      </c>
      <c r="B11" s="16" t="s">
        <v>9918</v>
      </c>
      <c r="C11" s="17">
        <v>10</v>
      </c>
      <c r="D11" s="16" t="s">
        <v>1021</v>
      </c>
      <c r="E11" s="17" t="s">
        <v>9919</v>
      </c>
      <c r="F11" s="17"/>
    </row>
    <row r="12" spans="1:14" ht="32.25" customHeight="1">
      <c r="A12" s="16" t="s">
        <v>9917</v>
      </c>
      <c r="B12" s="16" t="s">
        <v>9918</v>
      </c>
      <c r="C12" s="17">
        <v>11</v>
      </c>
      <c r="D12" s="16" t="s">
        <v>846</v>
      </c>
      <c r="E12" s="17" t="s">
        <v>9919</v>
      </c>
      <c r="F12" s="17"/>
    </row>
    <row r="13" spans="1:14" ht="32.25" customHeight="1">
      <c r="A13" s="16" t="s">
        <v>9917</v>
      </c>
      <c r="B13" s="16" t="s">
        <v>9918</v>
      </c>
      <c r="C13" s="17">
        <v>12</v>
      </c>
      <c r="D13" s="16" t="s">
        <v>213</v>
      </c>
      <c r="E13" s="17" t="s">
        <v>9919</v>
      </c>
      <c r="F13" s="17"/>
    </row>
    <row r="14" spans="1:14" ht="32.25" customHeight="1">
      <c r="A14" s="16" t="s">
        <v>9917</v>
      </c>
      <c r="B14" s="16" t="s">
        <v>9918</v>
      </c>
      <c r="C14" s="17">
        <v>13</v>
      </c>
      <c r="D14" s="16" t="s">
        <v>9923</v>
      </c>
      <c r="E14" s="17" t="s">
        <v>9919</v>
      </c>
      <c r="F14" s="17"/>
    </row>
    <row r="15" spans="1:14" ht="32.25" customHeight="1">
      <c r="A15" s="16" t="s">
        <v>9917</v>
      </c>
      <c r="B15" s="16" t="s">
        <v>9918</v>
      </c>
      <c r="C15" s="17">
        <v>14</v>
      </c>
      <c r="D15" s="16" t="s">
        <v>9924</v>
      </c>
      <c r="E15" s="17" t="s">
        <v>9919</v>
      </c>
      <c r="F15" s="17"/>
    </row>
    <row r="16" spans="1:14" ht="32.25" customHeight="1">
      <c r="A16" s="16" t="s">
        <v>9917</v>
      </c>
      <c r="B16" s="16" t="s">
        <v>9918</v>
      </c>
      <c r="C16" s="17">
        <v>15</v>
      </c>
      <c r="D16" s="16" t="s">
        <v>1815</v>
      </c>
      <c r="E16" s="17" t="s">
        <v>9925</v>
      </c>
      <c r="F16" s="17" t="s">
        <v>9926</v>
      </c>
    </row>
    <row r="17" spans="1:6" ht="32.25" customHeight="1">
      <c r="A17" s="16" t="s">
        <v>9917</v>
      </c>
      <c r="B17" s="16" t="s">
        <v>9918</v>
      </c>
      <c r="C17" s="17">
        <v>16</v>
      </c>
      <c r="D17" s="16" t="s">
        <v>932</v>
      </c>
      <c r="E17" s="17" t="s">
        <v>9919</v>
      </c>
      <c r="F17" s="17" t="s">
        <v>9926</v>
      </c>
    </row>
    <row r="18" spans="1:6" ht="32.25" customHeight="1">
      <c r="A18" s="16" t="s">
        <v>9917</v>
      </c>
      <c r="B18" s="16" t="s">
        <v>9918</v>
      </c>
      <c r="C18" s="17">
        <v>17</v>
      </c>
      <c r="D18" s="16" t="s">
        <v>2206</v>
      </c>
      <c r="E18" s="17" t="s">
        <v>9919</v>
      </c>
      <c r="F18" s="17"/>
    </row>
    <row r="19" spans="1:6" ht="32.25" customHeight="1">
      <c r="A19" s="16" t="s">
        <v>9917</v>
      </c>
      <c r="B19" s="16" t="s">
        <v>9918</v>
      </c>
      <c r="C19" s="17">
        <v>18</v>
      </c>
      <c r="D19" s="16" t="s">
        <v>1112</v>
      </c>
      <c r="E19" s="17" t="s">
        <v>9919</v>
      </c>
      <c r="F19" s="17"/>
    </row>
    <row r="20" spans="1:6" ht="32.25" customHeight="1">
      <c r="A20" s="16" t="s">
        <v>9917</v>
      </c>
      <c r="B20" s="16" t="s">
        <v>9918</v>
      </c>
      <c r="C20" s="17">
        <v>19</v>
      </c>
      <c r="D20" s="16" t="s">
        <v>355</v>
      </c>
      <c r="E20" s="17" t="s">
        <v>9919</v>
      </c>
      <c r="F20" s="17"/>
    </row>
    <row r="21" spans="1:6" ht="32.25" customHeight="1">
      <c r="A21" s="16" t="s">
        <v>9917</v>
      </c>
      <c r="B21" s="16" t="s">
        <v>9918</v>
      </c>
      <c r="C21" s="17">
        <v>20</v>
      </c>
      <c r="D21" s="16" t="s">
        <v>400</v>
      </c>
      <c r="E21" s="17" t="s">
        <v>9919</v>
      </c>
      <c r="F21" s="17"/>
    </row>
    <row r="22" spans="1:6" ht="32.25" customHeight="1">
      <c r="A22" s="16" t="s">
        <v>9917</v>
      </c>
      <c r="B22" s="16" t="s">
        <v>9918</v>
      </c>
      <c r="C22" s="17">
        <v>21</v>
      </c>
      <c r="D22" s="16" t="s">
        <v>33</v>
      </c>
      <c r="E22" s="17" t="s">
        <v>9919</v>
      </c>
      <c r="F22" s="17"/>
    </row>
    <row r="23" spans="1:6" ht="32.25" customHeight="1">
      <c r="A23" s="16" t="s">
        <v>9917</v>
      </c>
      <c r="B23" s="16" t="s">
        <v>9918</v>
      </c>
      <c r="C23" s="17">
        <v>22</v>
      </c>
      <c r="D23" s="16" t="s">
        <v>4410</v>
      </c>
      <c r="E23" s="17" t="s">
        <v>9919</v>
      </c>
      <c r="F23" s="17"/>
    </row>
    <row r="24" spans="1:6" ht="32.25" customHeight="1">
      <c r="A24" s="16" t="s">
        <v>9927</v>
      </c>
      <c r="B24" s="16" t="s">
        <v>9918</v>
      </c>
      <c r="C24" s="17">
        <v>23</v>
      </c>
      <c r="D24" s="16" t="s">
        <v>9928</v>
      </c>
      <c r="E24" s="17" t="s">
        <v>9925</v>
      </c>
      <c r="F24" s="17" t="s">
        <v>9926</v>
      </c>
    </row>
    <row r="25" spans="1:6" ht="32.25" customHeight="1">
      <c r="A25" s="16" t="s">
        <v>9917</v>
      </c>
      <c r="B25" s="16" t="s">
        <v>9918</v>
      </c>
      <c r="C25" s="17">
        <v>24</v>
      </c>
      <c r="D25" s="16" t="s">
        <v>3037</v>
      </c>
      <c r="E25" s="17" t="s">
        <v>9919</v>
      </c>
      <c r="F25" s="17"/>
    </row>
    <row r="26" spans="1:6" ht="32.25" customHeight="1">
      <c r="A26" s="16" t="s">
        <v>9917</v>
      </c>
      <c r="B26" s="16" t="s">
        <v>9918</v>
      </c>
      <c r="C26" s="17">
        <v>25</v>
      </c>
      <c r="D26" s="18" t="s">
        <v>1325</v>
      </c>
      <c r="E26" s="17" t="s">
        <v>9919</v>
      </c>
      <c r="F26" s="17"/>
    </row>
    <row r="27" spans="1:6" ht="32.25" customHeight="1">
      <c r="A27" s="16" t="s">
        <v>9917</v>
      </c>
      <c r="B27" s="16" t="s">
        <v>9918</v>
      </c>
      <c r="C27" s="17">
        <v>26</v>
      </c>
      <c r="D27" s="16" t="s">
        <v>3740</v>
      </c>
      <c r="E27" s="17" t="s">
        <v>9919</v>
      </c>
      <c r="F27" s="17"/>
    </row>
    <row r="28" spans="1:6" ht="32.25" customHeight="1">
      <c r="A28" s="16" t="s">
        <v>9917</v>
      </c>
      <c r="B28" s="16" t="s">
        <v>9918</v>
      </c>
      <c r="C28" s="17">
        <v>27</v>
      </c>
      <c r="D28" s="18" t="s">
        <v>9929</v>
      </c>
      <c r="E28" s="17" t="s">
        <v>9919</v>
      </c>
      <c r="F28" s="17"/>
    </row>
    <row r="29" spans="1:6" ht="32.25" customHeight="1">
      <c r="A29" s="16" t="s">
        <v>9917</v>
      </c>
      <c r="B29" s="16" t="s">
        <v>9918</v>
      </c>
      <c r="C29" s="17">
        <v>28</v>
      </c>
      <c r="D29" s="16" t="s">
        <v>9930</v>
      </c>
      <c r="E29" s="17" t="s">
        <v>9919</v>
      </c>
      <c r="F29" s="17"/>
    </row>
    <row r="30" spans="1:6" ht="32.25" customHeight="1">
      <c r="A30" s="16" t="s">
        <v>9917</v>
      </c>
      <c r="B30" s="16" t="s">
        <v>9918</v>
      </c>
      <c r="C30" s="17">
        <v>29</v>
      </c>
      <c r="D30" s="16" t="s">
        <v>3710</v>
      </c>
      <c r="E30" s="17" t="s">
        <v>9919</v>
      </c>
      <c r="F30" s="17"/>
    </row>
    <row r="31" spans="1:6" ht="32.25" customHeight="1">
      <c r="A31" s="16" t="s">
        <v>9917</v>
      </c>
      <c r="B31" s="16" t="s">
        <v>9918</v>
      </c>
      <c r="C31" s="17">
        <v>30</v>
      </c>
      <c r="D31" s="16" t="s">
        <v>5261</v>
      </c>
      <c r="E31" s="17" t="s">
        <v>9919</v>
      </c>
      <c r="F31" s="17"/>
    </row>
    <row r="32" spans="1:6" ht="32.25" customHeight="1">
      <c r="A32" s="16" t="s">
        <v>9917</v>
      </c>
      <c r="B32" s="16" t="s">
        <v>9918</v>
      </c>
      <c r="C32" s="17">
        <v>31</v>
      </c>
      <c r="D32" s="18" t="s">
        <v>9931</v>
      </c>
      <c r="E32" s="17" t="s">
        <v>9919</v>
      </c>
      <c r="F32" s="17"/>
    </row>
    <row r="33" spans="1:6" ht="32.25" customHeight="1">
      <c r="A33" s="16" t="s">
        <v>9917</v>
      </c>
      <c r="B33" s="16" t="s">
        <v>9918</v>
      </c>
      <c r="C33" s="17">
        <v>32</v>
      </c>
      <c r="D33" s="18" t="s">
        <v>9932</v>
      </c>
      <c r="E33" s="17" t="s">
        <v>9919</v>
      </c>
      <c r="F33" s="17"/>
    </row>
    <row r="34" spans="1:6" ht="32.25" customHeight="1">
      <c r="A34" s="16" t="s">
        <v>9917</v>
      </c>
      <c r="B34" s="16" t="s">
        <v>9918</v>
      </c>
      <c r="C34" s="17">
        <v>33</v>
      </c>
      <c r="D34" s="16" t="s">
        <v>7363</v>
      </c>
      <c r="E34" s="17" t="s">
        <v>9925</v>
      </c>
      <c r="F34" s="17"/>
    </row>
    <row r="35" spans="1:6" ht="32.25" customHeight="1">
      <c r="A35" s="16" t="s">
        <v>9917</v>
      </c>
      <c r="B35" s="16" t="s">
        <v>9918</v>
      </c>
      <c r="C35" s="17">
        <v>34</v>
      </c>
      <c r="D35" s="19" t="s">
        <v>975</v>
      </c>
      <c r="E35" s="17" t="s">
        <v>9919</v>
      </c>
      <c r="F35" s="17"/>
    </row>
    <row r="36" spans="1:6" ht="32.25" customHeight="1">
      <c r="A36" s="16" t="s">
        <v>9917</v>
      </c>
      <c r="B36" s="16" t="s">
        <v>9918</v>
      </c>
      <c r="C36" s="17">
        <v>35</v>
      </c>
      <c r="D36" s="16" t="s">
        <v>4109</v>
      </c>
      <c r="E36" s="17" t="s">
        <v>9919</v>
      </c>
      <c r="F36" s="17"/>
    </row>
    <row r="37" spans="1:6" ht="32.25" customHeight="1">
      <c r="A37" s="16" t="s">
        <v>9917</v>
      </c>
      <c r="B37" s="16" t="s">
        <v>9918</v>
      </c>
      <c r="C37" s="17">
        <v>36</v>
      </c>
      <c r="D37" s="16" t="s">
        <v>3349</v>
      </c>
      <c r="E37" s="17" t="s">
        <v>9919</v>
      </c>
      <c r="F37" s="17"/>
    </row>
    <row r="38" spans="1:6" ht="32.25" customHeight="1">
      <c r="A38" s="16" t="s">
        <v>9917</v>
      </c>
      <c r="B38" s="16" t="s">
        <v>9918</v>
      </c>
      <c r="C38" s="17">
        <v>37</v>
      </c>
      <c r="D38" s="20" t="s">
        <v>9347</v>
      </c>
      <c r="E38" s="17" t="s">
        <v>9919</v>
      </c>
      <c r="F38" s="17"/>
    </row>
    <row r="39" spans="1:6" ht="32.25" customHeight="1">
      <c r="A39" s="16" t="s">
        <v>9917</v>
      </c>
      <c r="B39" s="16" t="s">
        <v>9918</v>
      </c>
      <c r="C39" s="17">
        <v>38</v>
      </c>
      <c r="D39" s="16" t="s">
        <v>9933</v>
      </c>
      <c r="E39" s="17" t="s">
        <v>9919</v>
      </c>
      <c r="F39" s="17"/>
    </row>
    <row r="40" spans="1:6" ht="32.25" customHeight="1">
      <c r="A40" s="16" t="s">
        <v>9917</v>
      </c>
      <c r="B40" s="16" t="s">
        <v>9918</v>
      </c>
      <c r="C40" s="17">
        <v>39</v>
      </c>
      <c r="D40" s="18" t="s">
        <v>6757</v>
      </c>
      <c r="E40" s="17" t="s">
        <v>9919</v>
      </c>
      <c r="F40" s="17"/>
    </row>
    <row r="41" spans="1:6" ht="32.25" customHeight="1">
      <c r="A41" s="16" t="s">
        <v>9917</v>
      </c>
      <c r="B41" s="16" t="s">
        <v>9918</v>
      </c>
      <c r="C41" s="17">
        <v>40</v>
      </c>
      <c r="D41" s="16" t="s">
        <v>9934</v>
      </c>
      <c r="E41" s="17" t="s">
        <v>9919</v>
      </c>
      <c r="F41" s="17"/>
    </row>
    <row r="42" spans="1:6" ht="32.25" customHeight="1">
      <c r="A42" s="16" t="s">
        <v>9917</v>
      </c>
      <c r="B42" s="16" t="s">
        <v>9918</v>
      </c>
      <c r="C42" s="17">
        <v>41</v>
      </c>
      <c r="D42" s="16" t="s">
        <v>9935</v>
      </c>
      <c r="E42" s="17" t="s">
        <v>9919</v>
      </c>
      <c r="F42" s="17"/>
    </row>
    <row r="43" spans="1:6" ht="32.25" customHeight="1">
      <c r="A43" s="16" t="s">
        <v>9917</v>
      </c>
      <c r="B43" s="16" t="s">
        <v>9918</v>
      </c>
      <c r="C43" s="17">
        <v>42</v>
      </c>
      <c r="D43" s="16" t="s">
        <v>1772</v>
      </c>
      <c r="E43" s="17" t="s">
        <v>9919</v>
      </c>
      <c r="F43" s="17"/>
    </row>
    <row r="44" spans="1:6" ht="32.25" customHeight="1">
      <c r="A44" s="16" t="s">
        <v>9917</v>
      </c>
      <c r="B44" s="16" t="s">
        <v>9918</v>
      </c>
      <c r="C44" s="17">
        <v>43</v>
      </c>
      <c r="D44" s="18" t="s">
        <v>9936</v>
      </c>
      <c r="E44" s="17" t="s">
        <v>9919</v>
      </c>
      <c r="F44" s="17"/>
    </row>
    <row r="45" spans="1:6" ht="32.25" customHeight="1">
      <c r="A45" s="16" t="s">
        <v>9917</v>
      </c>
      <c r="B45" s="16" t="s">
        <v>9918</v>
      </c>
      <c r="C45" s="17">
        <v>44</v>
      </c>
      <c r="D45" s="16" t="s">
        <v>23</v>
      </c>
      <c r="E45" s="17" t="s">
        <v>9919</v>
      </c>
      <c r="F45" s="17"/>
    </row>
    <row r="46" spans="1:6" ht="32.25" customHeight="1">
      <c r="A46" s="16" t="s">
        <v>9917</v>
      </c>
      <c r="B46" s="16" t="s">
        <v>9918</v>
      </c>
      <c r="C46" s="17">
        <v>45</v>
      </c>
      <c r="D46" s="18" t="s">
        <v>9937</v>
      </c>
      <c r="E46" s="17" t="s">
        <v>9919</v>
      </c>
      <c r="F46" s="17"/>
    </row>
    <row r="47" spans="1:6" ht="32.25" customHeight="1">
      <c r="A47" s="16" t="s">
        <v>9917</v>
      </c>
      <c r="B47" s="16" t="s">
        <v>9918</v>
      </c>
      <c r="C47" s="17">
        <v>46</v>
      </c>
      <c r="D47" s="16" t="s">
        <v>266</v>
      </c>
      <c r="E47" s="17" t="s">
        <v>9919</v>
      </c>
      <c r="F47" s="17"/>
    </row>
    <row r="48" spans="1:6" ht="32.25" customHeight="1">
      <c r="A48" s="16" t="s">
        <v>9917</v>
      </c>
      <c r="B48" s="16" t="s">
        <v>9918</v>
      </c>
      <c r="C48" s="17">
        <v>47</v>
      </c>
      <c r="D48" s="16" t="s">
        <v>126</v>
      </c>
      <c r="E48" s="17" t="s">
        <v>9919</v>
      </c>
      <c r="F48" s="17"/>
    </row>
    <row r="49" spans="1:6" ht="32.25" customHeight="1">
      <c r="A49" s="16" t="s">
        <v>9917</v>
      </c>
      <c r="B49" s="16" t="s">
        <v>9918</v>
      </c>
      <c r="C49" s="17">
        <v>48</v>
      </c>
      <c r="D49" s="16" t="s">
        <v>783</v>
      </c>
      <c r="E49" s="17" t="s">
        <v>9919</v>
      </c>
      <c r="F49" s="17"/>
    </row>
    <row r="50" spans="1:6" ht="32.25" customHeight="1">
      <c r="A50" s="16" t="s">
        <v>9917</v>
      </c>
      <c r="B50" s="16" t="s">
        <v>9918</v>
      </c>
      <c r="C50" s="17">
        <v>49</v>
      </c>
      <c r="D50" s="16" t="s">
        <v>1411</v>
      </c>
      <c r="E50" s="17" t="s">
        <v>9919</v>
      </c>
      <c r="F50" s="17"/>
    </row>
    <row r="51" spans="1:6" ht="32.25" customHeight="1">
      <c r="A51" s="16" t="s">
        <v>9917</v>
      </c>
      <c r="B51" s="16" t="s">
        <v>9918</v>
      </c>
      <c r="C51" s="17">
        <v>50</v>
      </c>
      <c r="D51" s="18" t="s">
        <v>9938</v>
      </c>
      <c r="E51" s="17" t="s">
        <v>9919</v>
      </c>
      <c r="F51" s="17"/>
    </row>
    <row r="52" spans="1:6" ht="32.25" customHeight="1">
      <c r="A52" s="21" t="s">
        <v>9917</v>
      </c>
      <c r="B52" s="21" t="s">
        <v>9918</v>
      </c>
      <c r="C52" s="22">
        <v>51</v>
      </c>
      <c r="D52" s="21" t="s">
        <v>9939</v>
      </c>
      <c r="E52" s="22" t="s">
        <v>9919</v>
      </c>
      <c r="F52" s="22"/>
    </row>
    <row r="53" spans="1:6" ht="32.25" customHeight="1">
      <c r="A53" s="21" t="s">
        <v>9917</v>
      </c>
      <c r="B53" s="21" t="s">
        <v>9918</v>
      </c>
      <c r="C53" s="22">
        <v>52</v>
      </c>
      <c r="D53" s="21" t="s">
        <v>9940</v>
      </c>
      <c r="E53" s="22" t="s">
        <v>9919</v>
      </c>
      <c r="F53" s="22"/>
    </row>
    <row r="54" spans="1:6" ht="32.25" customHeight="1">
      <c r="A54" s="21" t="s">
        <v>9917</v>
      </c>
      <c r="B54" s="21" t="s">
        <v>9918</v>
      </c>
      <c r="C54" s="22">
        <v>53</v>
      </c>
      <c r="D54" s="21" t="s">
        <v>9941</v>
      </c>
      <c r="E54" s="22" t="s">
        <v>9919</v>
      </c>
      <c r="F54" s="22" t="s">
        <v>9942</v>
      </c>
    </row>
    <row r="55" spans="1:6" ht="32.25" customHeight="1">
      <c r="A55" s="21" t="s">
        <v>9917</v>
      </c>
      <c r="B55" s="21" t="s">
        <v>9918</v>
      </c>
      <c r="C55" s="22">
        <v>54</v>
      </c>
      <c r="D55" s="23" t="s">
        <v>9943</v>
      </c>
      <c r="E55" s="22" t="s">
        <v>9919</v>
      </c>
      <c r="F55" s="22"/>
    </row>
    <row r="56" spans="1:6" ht="32.25" customHeight="1">
      <c r="A56" s="21" t="s">
        <v>9917</v>
      </c>
      <c r="B56" s="21" t="s">
        <v>9918</v>
      </c>
      <c r="C56" s="22">
        <v>55</v>
      </c>
      <c r="D56" s="21" t="s">
        <v>9944</v>
      </c>
      <c r="E56" s="22" t="s">
        <v>9919</v>
      </c>
      <c r="F56" s="22"/>
    </row>
    <row r="57" spans="1:6" ht="32.25" customHeight="1">
      <c r="A57" s="21" t="s">
        <v>9917</v>
      </c>
      <c r="B57" s="21" t="s">
        <v>9918</v>
      </c>
      <c r="C57" s="22">
        <v>56</v>
      </c>
      <c r="D57" s="21" t="s">
        <v>9945</v>
      </c>
      <c r="E57" s="22" t="s">
        <v>9925</v>
      </c>
      <c r="F57" s="22" t="s">
        <v>9942</v>
      </c>
    </row>
    <row r="58" spans="1:6" ht="32.25" customHeight="1">
      <c r="A58" s="21" t="s">
        <v>9917</v>
      </c>
      <c r="B58" s="21" t="s">
        <v>9918</v>
      </c>
      <c r="C58" s="22">
        <v>57</v>
      </c>
      <c r="D58" s="21" t="s">
        <v>9946</v>
      </c>
      <c r="E58" s="22" t="s">
        <v>9919</v>
      </c>
      <c r="F58" s="22"/>
    </row>
    <row r="59" spans="1:6" ht="32.25" customHeight="1">
      <c r="A59" s="21" t="s">
        <v>9917</v>
      </c>
      <c r="B59" s="21" t="s">
        <v>9918</v>
      </c>
      <c r="C59" s="22">
        <v>58</v>
      </c>
      <c r="D59" s="21" t="s">
        <v>9947</v>
      </c>
      <c r="E59" s="22" t="s">
        <v>9919</v>
      </c>
      <c r="F59" s="22"/>
    </row>
    <row r="60" spans="1:6" ht="32.25" customHeight="1">
      <c r="A60" s="21" t="s">
        <v>9917</v>
      </c>
      <c r="B60" s="21" t="s">
        <v>9918</v>
      </c>
      <c r="C60" s="22">
        <v>59</v>
      </c>
      <c r="D60" s="21" t="s">
        <v>9948</v>
      </c>
      <c r="E60" s="22" t="s">
        <v>9919</v>
      </c>
      <c r="F60" s="22" t="s">
        <v>9942</v>
      </c>
    </row>
    <row r="61" spans="1:6" ht="32.25" customHeight="1">
      <c r="A61" s="21" t="s">
        <v>9917</v>
      </c>
      <c r="B61" s="21" t="s">
        <v>9918</v>
      </c>
      <c r="C61" s="22">
        <v>60</v>
      </c>
      <c r="D61" s="21" t="s">
        <v>9949</v>
      </c>
      <c r="E61" s="22" t="s">
        <v>9919</v>
      </c>
      <c r="F61" s="22"/>
    </row>
    <row r="62" spans="1:6" ht="32.25" customHeight="1">
      <c r="A62" s="21" t="s">
        <v>9917</v>
      </c>
      <c r="B62" s="21" t="s">
        <v>9918</v>
      </c>
      <c r="C62" s="22">
        <v>61</v>
      </c>
      <c r="D62" s="21" t="s">
        <v>9950</v>
      </c>
      <c r="E62" s="22" t="s">
        <v>9919</v>
      </c>
      <c r="F62" s="22" t="s">
        <v>9942</v>
      </c>
    </row>
    <row r="63" spans="1:6" ht="32.25" customHeight="1">
      <c r="A63" s="21" t="s">
        <v>9917</v>
      </c>
      <c r="B63" s="21" t="s">
        <v>9918</v>
      </c>
      <c r="C63" s="22">
        <v>62</v>
      </c>
      <c r="D63" s="21" t="s">
        <v>9951</v>
      </c>
      <c r="E63" s="22" t="s">
        <v>9919</v>
      </c>
      <c r="F63" s="22"/>
    </row>
    <row r="64" spans="1:6" ht="32.25" customHeight="1">
      <c r="A64" s="21" t="s">
        <v>9917</v>
      </c>
      <c r="B64" s="21" t="s">
        <v>9918</v>
      </c>
      <c r="C64" s="22">
        <v>63</v>
      </c>
      <c r="D64" s="21" t="s">
        <v>9952</v>
      </c>
      <c r="E64" s="22" t="s">
        <v>9919</v>
      </c>
      <c r="F64" s="22"/>
    </row>
    <row r="65" spans="1:6" ht="32.25" customHeight="1">
      <c r="A65" s="21" t="s">
        <v>9917</v>
      </c>
      <c r="B65" s="21" t="s">
        <v>9918</v>
      </c>
      <c r="C65" s="22">
        <v>64</v>
      </c>
      <c r="D65" s="21" t="s">
        <v>9953</v>
      </c>
      <c r="E65" s="22" t="s">
        <v>9925</v>
      </c>
      <c r="F65" s="22" t="s">
        <v>9942</v>
      </c>
    </row>
    <row r="66" spans="1:6" ht="32.25" customHeight="1">
      <c r="A66" s="21" t="s">
        <v>9917</v>
      </c>
      <c r="B66" s="21" t="s">
        <v>9918</v>
      </c>
      <c r="C66" s="22">
        <v>65</v>
      </c>
      <c r="D66" s="21" t="s">
        <v>9954</v>
      </c>
      <c r="E66" s="22" t="s">
        <v>9919</v>
      </c>
      <c r="F66" s="22"/>
    </row>
    <row r="67" spans="1:6" ht="32.25" customHeight="1">
      <c r="A67" s="21" t="s">
        <v>9917</v>
      </c>
      <c r="B67" s="21" t="s">
        <v>9918</v>
      </c>
      <c r="C67" s="22">
        <v>66</v>
      </c>
      <c r="D67" s="21" t="s">
        <v>9955</v>
      </c>
      <c r="E67" s="22" t="s">
        <v>9919</v>
      </c>
      <c r="F67" s="22"/>
    </row>
    <row r="68" spans="1:6" ht="32.25" customHeight="1">
      <c r="A68" s="21" t="s">
        <v>9917</v>
      </c>
      <c r="B68" s="21" t="s">
        <v>9918</v>
      </c>
      <c r="C68" s="22">
        <v>67</v>
      </c>
      <c r="D68" s="21" t="s">
        <v>1310</v>
      </c>
      <c r="E68" s="22" t="s">
        <v>9919</v>
      </c>
      <c r="F68" s="22"/>
    </row>
    <row r="69" spans="1:6" ht="32.25" customHeight="1">
      <c r="A69" s="24" t="s">
        <v>9917</v>
      </c>
      <c r="B69" s="21" t="s">
        <v>9918</v>
      </c>
      <c r="C69" s="22">
        <v>68</v>
      </c>
      <c r="D69" s="24" t="s">
        <v>9956</v>
      </c>
      <c r="E69" s="22" t="s">
        <v>9925</v>
      </c>
      <c r="F69" s="22" t="s">
        <v>9942</v>
      </c>
    </row>
    <row r="70" spans="1:6" ht="32.25" customHeight="1">
      <c r="A70" s="21" t="s">
        <v>9917</v>
      </c>
      <c r="B70" s="21" t="s">
        <v>9918</v>
      </c>
      <c r="C70" s="22">
        <v>69</v>
      </c>
      <c r="D70" s="21" t="s">
        <v>9957</v>
      </c>
      <c r="E70" s="22" t="s">
        <v>9919</v>
      </c>
      <c r="F70" s="22"/>
    </row>
    <row r="71" spans="1:6" ht="32.25" customHeight="1">
      <c r="A71" s="21" t="s">
        <v>9917</v>
      </c>
      <c r="B71" s="21" t="s">
        <v>9918</v>
      </c>
      <c r="C71" s="22">
        <v>70</v>
      </c>
      <c r="D71" s="21" t="s">
        <v>9958</v>
      </c>
      <c r="E71" s="22" t="s">
        <v>9919</v>
      </c>
      <c r="F71" s="22"/>
    </row>
    <row r="72" spans="1:6" ht="32.25" customHeight="1">
      <c r="A72" s="21" t="s">
        <v>9917</v>
      </c>
      <c r="B72" s="21" t="s">
        <v>9918</v>
      </c>
      <c r="C72" s="22">
        <v>71</v>
      </c>
      <c r="D72" s="21" t="s">
        <v>9959</v>
      </c>
      <c r="E72" s="22" t="s">
        <v>9919</v>
      </c>
      <c r="F72" s="22"/>
    </row>
    <row r="73" spans="1:6" ht="32.25" customHeight="1">
      <c r="A73" s="21" t="s">
        <v>9917</v>
      </c>
      <c r="B73" s="21" t="s">
        <v>9918</v>
      </c>
      <c r="C73" s="22">
        <v>72</v>
      </c>
      <c r="D73" s="21" t="s">
        <v>9960</v>
      </c>
      <c r="E73" s="22" t="s">
        <v>9919</v>
      </c>
      <c r="F73" s="22"/>
    </row>
    <row r="74" spans="1:6" ht="32.25" customHeight="1">
      <c r="A74" s="21" t="s">
        <v>9917</v>
      </c>
      <c r="B74" s="21" t="s">
        <v>9918</v>
      </c>
      <c r="C74" s="22">
        <v>73</v>
      </c>
      <c r="D74" s="23" t="s">
        <v>9961</v>
      </c>
      <c r="E74" s="22" t="s">
        <v>9919</v>
      </c>
      <c r="F74" s="22" t="s">
        <v>9942</v>
      </c>
    </row>
    <row r="75" spans="1:6" ht="32.25" customHeight="1">
      <c r="A75" s="21" t="s">
        <v>9917</v>
      </c>
      <c r="B75" s="21" t="s">
        <v>9918</v>
      </c>
      <c r="C75" s="22">
        <v>74</v>
      </c>
      <c r="D75" s="21" t="s">
        <v>9962</v>
      </c>
      <c r="E75" s="22" t="s">
        <v>9919</v>
      </c>
      <c r="F75" s="22"/>
    </row>
    <row r="76" spans="1:6" ht="32.25" customHeight="1">
      <c r="A76" s="21" t="s">
        <v>9917</v>
      </c>
      <c r="B76" s="21" t="s">
        <v>9918</v>
      </c>
      <c r="C76" s="22">
        <v>75</v>
      </c>
      <c r="D76" s="21" t="s">
        <v>9963</v>
      </c>
      <c r="E76" s="22" t="s">
        <v>9919</v>
      </c>
      <c r="F76" s="22"/>
    </row>
    <row r="77" spans="1:6" ht="32.25" customHeight="1">
      <c r="A77" s="21" t="s">
        <v>9917</v>
      </c>
      <c r="B77" s="21" t="s">
        <v>9918</v>
      </c>
      <c r="C77" s="22">
        <v>76</v>
      </c>
      <c r="D77" s="21" t="s">
        <v>9964</v>
      </c>
      <c r="E77" s="22" t="s">
        <v>9919</v>
      </c>
      <c r="F77" s="22"/>
    </row>
    <row r="78" spans="1:6" ht="32.25" customHeight="1">
      <c r="A78" s="21" t="s">
        <v>9917</v>
      </c>
      <c r="B78" s="21" t="s">
        <v>9918</v>
      </c>
      <c r="C78" s="22">
        <v>77</v>
      </c>
      <c r="D78" s="21" t="s">
        <v>9965</v>
      </c>
      <c r="E78" s="22" t="s">
        <v>9919</v>
      </c>
      <c r="F78" s="22"/>
    </row>
    <row r="79" spans="1:6" ht="32.25" customHeight="1">
      <c r="A79" s="21" t="s">
        <v>9917</v>
      </c>
      <c r="B79" s="21" t="s">
        <v>9918</v>
      </c>
      <c r="C79" s="22">
        <v>78</v>
      </c>
      <c r="D79" s="21" t="s">
        <v>9966</v>
      </c>
      <c r="E79" s="22" t="s">
        <v>9919</v>
      </c>
      <c r="F79" s="22"/>
    </row>
    <row r="80" spans="1:6" ht="32.25" customHeight="1">
      <c r="A80" s="21" t="s">
        <v>9917</v>
      </c>
      <c r="B80" s="21" t="s">
        <v>9918</v>
      </c>
      <c r="C80" s="22">
        <v>79</v>
      </c>
      <c r="D80" s="21" t="s">
        <v>9967</v>
      </c>
      <c r="E80" s="22" t="s">
        <v>9925</v>
      </c>
      <c r="F80" s="22" t="s">
        <v>9942</v>
      </c>
    </row>
    <row r="81" spans="1:6" ht="32.25" customHeight="1">
      <c r="A81" s="21" t="s">
        <v>9917</v>
      </c>
      <c r="B81" s="21" t="s">
        <v>9918</v>
      </c>
      <c r="C81" s="22">
        <v>80</v>
      </c>
      <c r="D81" s="21" t="s">
        <v>9968</v>
      </c>
      <c r="E81" s="22" t="s">
        <v>9919</v>
      </c>
      <c r="F81" s="22"/>
    </row>
    <row r="82" spans="1:6" ht="32.25" customHeight="1">
      <c r="A82" s="21" t="s">
        <v>9917</v>
      </c>
      <c r="B82" s="21" t="s">
        <v>9918</v>
      </c>
      <c r="C82" s="22">
        <v>81</v>
      </c>
      <c r="D82" s="21" t="s">
        <v>9969</v>
      </c>
      <c r="E82" s="22" t="s">
        <v>9919</v>
      </c>
      <c r="F82" s="22"/>
    </row>
    <row r="83" spans="1:6" ht="32.25" customHeight="1">
      <c r="A83" s="21" t="s">
        <v>9917</v>
      </c>
      <c r="B83" s="21" t="s">
        <v>9918</v>
      </c>
      <c r="C83" s="22">
        <v>82</v>
      </c>
      <c r="D83" s="21" t="s">
        <v>9970</v>
      </c>
      <c r="E83" s="22" t="s">
        <v>9919</v>
      </c>
      <c r="F83" s="22"/>
    </row>
    <row r="84" spans="1:6" ht="32.25" customHeight="1">
      <c r="A84" s="21" t="s">
        <v>9917</v>
      </c>
      <c r="B84" s="21" t="s">
        <v>9918</v>
      </c>
      <c r="C84" s="22">
        <v>83</v>
      </c>
      <c r="D84" s="21" t="s">
        <v>9971</v>
      </c>
      <c r="E84" s="22" t="s">
        <v>9919</v>
      </c>
      <c r="F84" s="22"/>
    </row>
    <row r="85" spans="1:6" ht="32.25" customHeight="1">
      <c r="A85" s="21" t="s">
        <v>9917</v>
      </c>
      <c r="B85" s="21" t="s">
        <v>9918</v>
      </c>
      <c r="C85" s="22">
        <v>84</v>
      </c>
      <c r="D85" s="21" t="s">
        <v>9972</v>
      </c>
      <c r="E85" s="22" t="s">
        <v>9919</v>
      </c>
      <c r="F85" s="22" t="s">
        <v>9973</v>
      </c>
    </row>
    <row r="86" spans="1:6" ht="32.25" customHeight="1">
      <c r="A86" s="16" t="s">
        <v>9974</v>
      </c>
      <c r="B86" s="16" t="s">
        <v>10044</v>
      </c>
      <c r="C86" s="17">
        <v>1</v>
      </c>
      <c r="D86" s="16" t="s">
        <v>9975</v>
      </c>
      <c r="E86" s="17" t="s">
        <v>9919</v>
      </c>
      <c r="F86" s="17"/>
    </row>
    <row r="87" spans="1:6" ht="32.25" customHeight="1">
      <c r="A87" s="16" t="s">
        <v>9974</v>
      </c>
      <c r="B87" s="16" t="s">
        <v>10044</v>
      </c>
      <c r="C87" s="17">
        <v>2</v>
      </c>
      <c r="D87" s="16" t="s">
        <v>271</v>
      </c>
      <c r="E87" s="17" t="s">
        <v>9919</v>
      </c>
      <c r="F87" s="17"/>
    </row>
    <row r="88" spans="1:6" ht="32.25" customHeight="1">
      <c r="A88" s="16" t="s">
        <v>9974</v>
      </c>
      <c r="B88" s="16" t="s">
        <v>10044</v>
      </c>
      <c r="C88" s="17">
        <v>3</v>
      </c>
      <c r="D88" s="16" t="s">
        <v>100</v>
      </c>
      <c r="E88" s="17" t="s">
        <v>9925</v>
      </c>
      <c r="F88" s="17"/>
    </row>
    <row r="89" spans="1:6" ht="32.25" customHeight="1">
      <c r="A89" s="16" t="s">
        <v>9974</v>
      </c>
      <c r="B89" s="16" t="s">
        <v>10044</v>
      </c>
      <c r="C89" s="17">
        <v>4</v>
      </c>
      <c r="D89" s="16" t="s">
        <v>161</v>
      </c>
      <c r="E89" s="17" t="s">
        <v>9919</v>
      </c>
      <c r="F89" s="17"/>
    </row>
    <row r="90" spans="1:6" ht="32.25" customHeight="1">
      <c r="A90" s="16" t="s">
        <v>9974</v>
      </c>
      <c r="B90" s="16" t="s">
        <v>10044</v>
      </c>
      <c r="C90" s="17">
        <v>5</v>
      </c>
      <c r="D90" s="16" t="s">
        <v>426</v>
      </c>
      <c r="E90" s="17" t="s">
        <v>9919</v>
      </c>
      <c r="F90" s="17"/>
    </row>
    <row r="91" spans="1:6" ht="32.25" customHeight="1">
      <c r="A91" s="16" t="s">
        <v>9974</v>
      </c>
      <c r="B91" s="16" t="s">
        <v>10044</v>
      </c>
      <c r="C91" s="17">
        <v>6</v>
      </c>
      <c r="D91" s="16" t="s">
        <v>142</v>
      </c>
      <c r="E91" s="17" t="s">
        <v>9919</v>
      </c>
      <c r="F91" s="17"/>
    </row>
    <row r="92" spans="1:6" ht="32.25" customHeight="1">
      <c r="A92" s="16" t="s">
        <v>9974</v>
      </c>
      <c r="B92" s="16" t="s">
        <v>10044</v>
      </c>
      <c r="C92" s="17">
        <v>7</v>
      </c>
      <c r="D92" s="16" t="s">
        <v>9976</v>
      </c>
      <c r="E92" s="17" t="s">
        <v>9919</v>
      </c>
      <c r="F92" s="17"/>
    </row>
    <row r="93" spans="1:6" ht="32.25" customHeight="1">
      <c r="A93" s="16" t="s">
        <v>9974</v>
      </c>
      <c r="B93" s="16" t="s">
        <v>10044</v>
      </c>
      <c r="C93" s="17">
        <v>8</v>
      </c>
      <c r="D93" s="16" t="s">
        <v>9977</v>
      </c>
      <c r="E93" s="17" t="s">
        <v>9919</v>
      </c>
      <c r="F93" s="17" t="s">
        <v>9978</v>
      </c>
    </row>
    <row r="94" spans="1:6" ht="32.25" customHeight="1">
      <c r="A94" s="16" t="s">
        <v>9974</v>
      </c>
      <c r="B94" s="16" t="s">
        <v>10044</v>
      </c>
      <c r="C94" s="17">
        <v>9</v>
      </c>
      <c r="D94" s="16" t="s">
        <v>9979</v>
      </c>
      <c r="E94" s="17" t="s">
        <v>9919</v>
      </c>
      <c r="F94" s="17" t="s">
        <v>9980</v>
      </c>
    </row>
    <row r="95" spans="1:6" ht="32.25" customHeight="1">
      <c r="A95" s="16" t="s">
        <v>9974</v>
      </c>
      <c r="B95" s="16" t="s">
        <v>10044</v>
      </c>
      <c r="C95" s="17">
        <v>10</v>
      </c>
      <c r="D95" s="16" t="s">
        <v>407</v>
      </c>
      <c r="E95" s="17" t="s">
        <v>9919</v>
      </c>
      <c r="F95" s="17" t="s">
        <v>10045</v>
      </c>
    </row>
    <row r="96" spans="1:6" ht="32.25" customHeight="1">
      <c r="A96" s="16" t="s">
        <v>9974</v>
      </c>
      <c r="B96" s="16" t="s">
        <v>10044</v>
      </c>
      <c r="C96" s="17">
        <v>11</v>
      </c>
      <c r="D96" s="16" t="s">
        <v>9981</v>
      </c>
      <c r="E96" s="17" t="s">
        <v>9919</v>
      </c>
      <c r="F96" s="17" t="s">
        <v>10046</v>
      </c>
    </row>
    <row r="97" spans="1:6" ht="32.25" customHeight="1">
      <c r="A97" s="16" t="s">
        <v>9974</v>
      </c>
      <c r="B97" s="16" t="s">
        <v>10044</v>
      </c>
      <c r="C97" s="17">
        <v>12</v>
      </c>
      <c r="D97" s="16" t="s">
        <v>9982</v>
      </c>
      <c r="E97" s="17" t="s">
        <v>9919</v>
      </c>
      <c r="F97" s="17"/>
    </row>
    <row r="98" spans="1:6" ht="32.25" customHeight="1">
      <c r="A98" s="16" t="s">
        <v>9974</v>
      </c>
      <c r="B98" s="16" t="s">
        <v>10044</v>
      </c>
      <c r="C98" s="17">
        <v>13</v>
      </c>
      <c r="D98" s="16" t="s">
        <v>1485</v>
      </c>
      <c r="E98" s="17" t="s">
        <v>9919</v>
      </c>
      <c r="F98" s="17"/>
    </row>
    <row r="99" spans="1:6" ht="32.25" customHeight="1">
      <c r="A99" s="16" t="s">
        <v>9974</v>
      </c>
      <c r="B99" s="16" t="s">
        <v>10044</v>
      </c>
      <c r="C99" s="17">
        <v>14</v>
      </c>
      <c r="D99" s="16" t="s">
        <v>1381</v>
      </c>
      <c r="E99" s="17" t="s">
        <v>9919</v>
      </c>
      <c r="F99" s="17"/>
    </row>
    <row r="100" spans="1:6" ht="32.25" customHeight="1">
      <c r="A100" s="16" t="s">
        <v>9974</v>
      </c>
      <c r="B100" s="16" t="s">
        <v>10044</v>
      </c>
      <c r="C100" s="17">
        <v>15</v>
      </c>
      <c r="D100" s="16" t="s">
        <v>660</v>
      </c>
      <c r="E100" s="17" t="s">
        <v>9919</v>
      </c>
      <c r="F100" s="17"/>
    </row>
    <row r="101" spans="1:6" ht="32.25" customHeight="1">
      <c r="A101" s="16" t="s">
        <v>9974</v>
      </c>
      <c r="B101" s="16" t="s">
        <v>10044</v>
      </c>
      <c r="C101" s="17">
        <v>16</v>
      </c>
      <c r="D101" s="16" t="s">
        <v>9983</v>
      </c>
      <c r="E101" s="17" t="s">
        <v>9919</v>
      </c>
      <c r="F101" s="17" t="s">
        <v>10047</v>
      </c>
    </row>
    <row r="102" spans="1:6" ht="32.25" customHeight="1">
      <c r="A102" s="16" t="s">
        <v>9974</v>
      </c>
      <c r="B102" s="16" t="s">
        <v>10044</v>
      </c>
      <c r="C102" s="17">
        <v>17</v>
      </c>
      <c r="D102" s="16" t="s">
        <v>3228</v>
      </c>
      <c r="E102" s="17" t="s">
        <v>9919</v>
      </c>
      <c r="F102" s="17"/>
    </row>
    <row r="103" spans="1:6" ht="32.25" customHeight="1">
      <c r="A103" s="16" t="s">
        <v>9974</v>
      </c>
      <c r="B103" s="16" t="s">
        <v>10044</v>
      </c>
      <c r="C103" s="17">
        <v>18</v>
      </c>
      <c r="D103" s="16" t="s">
        <v>3843</v>
      </c>
      <c r="E103" s="17" t="s">
        <v>9919</v>
      </c>
      <c r="F103" s="17"/>
    </row>
    <row r="104" spans="1:6" ht="32.25" customHeight="1">
      <c r="A104" s="16" t="s">
        <v>9974</v>
      </c>
      <c r="B104" s="16" t="s">
        <v>10044</v>
      </c>
      <c r="C104" s="17">
        <v>19</v>
      </c>
      <c r="D104" s="16" t="s">
        <v>570</v>
      </c>
      <c r="E104" s="17" t="s">
        <v>9919</v>
      </c>
      <c r="F104" s="17"/>
    </row>
    <row r="105" spans="1:6" ht="32.25" customHeight="1">
      <c r="A105" s="16" t="s">
        <v>9974</v>
      </c>
      <c r="B105" s="16" t="s">
        <v>10044</v>
      </c>
      <c r="C105" s="17">
        <v>20</v>
      </c>
      <c r="D105" s="16" t="s">
        <v>3484</v>
      </c>
      <c r="E105" s="17" t="s">
        <v>9919</v>
      </c>
      <c r="F105" s="17" t="s">
        <v>9984</v>
      </c>
    </row>
    <row r="106" spans="1:6" ht="32.25" customHeight="1">
      <c r="A106" s="16" t="s">
        <v>9974</v>
      </c>
      <c r="B106" s="16" t="s">
        <v>10044</v>
      </c>
      <c r="C106" s="17">
        <v>21</v>
      </c>
      <c r="D106" s="16" t="s">
        <v>9985</v>
      </c>
      <c r="E106" s="17" t="s">
        <v>9919</v>
      </c>
      <c r="F106" s="17"/>
    </row>
    <row r="107" spans="1:6" ht="32.25" customHeight="1">
      <c r="A107" s="16" t="s">
        <v>9974</v>
      </c>
      <c r="B107" s="16" t="s">
        <v>10044</v>
      </c>
      <c r="C107" s="17">
        <v>22</v>
      </c>
      <c r="D107" s="16" t="s">
        <v>1424</v>
      </c>
      <c r="E107" s="17" t="s">
        <v>9919</v>
      </c>
      <c r="F107" s="17"/>
    </row>
    <row r="108" spans="1:6" ht="32.25" customHeight="1">
      <c r="A108" s="16" t="s">
        <v>9974</v>
      </c>
      <c r="B108" s="16" t="s">
        <v>10044</v>
      </c>
      <c r="C108" s="17">
        <v>23</v>
      </c>
      <c r="D108" s="16" t="s">
        <v>5832</v>
      </c>
      <c r="E108" s="17" t="s">
        <v>9919</v>
      </c>
      <c r="F108" s="17" t="s">
        <v>10048</v>
      </c>
    </row>
    <row r="109" spans="1:6" ht="32.25" customHeight="1">
      <c r="A109" s="16" t="s">
        <v>9974</v>
      </c>
      <c r="B109" s="16" t="s">
        <v>10044</v>
      </c>
      <c r="C109" s="17">
        <v>24</v>
      </c>
      <c r="D109" s="16" t="s">
        <v>174</v>
      </c>
      <c r="E109" s="17" t="s">
        <v>9925</v>
      </c>
      <c r="F109" s="17"/>
    </row>
    <row r="110" spans="1:6" ht="32.25" customHeight="1">
      <c r="A110" s="16" t="s">
        <v>9974</v>
      </c>
      <c r="B110" s="16" t="s">
        <v>10044</v>
      </c>
      <c r="C110" s="17">
        <v>25</v>
      </c>
      <c r="D110" s="16" t="s">
        <v>4309</v>
      </c>
      <c r="E110" s="17" t="s">
        <v>9919</v>
      </c>
      <c r="F110" s="17"/>
    </row>
    <row r="111" spans="1:6" ht="32.25" customHeight="1">
      <c r="A111" s="16" t="s">
        <v>9974</v>
      </c>
      <c r="B111" s="16" t="s">
        <v>10044</v>
      </c>
      <c r="C111" s="17">
        <v>26</v>
      </c>
      <c r="D111" s="16" t="s">
        <v>543</v>
      </c>
      <c r="E111" s="17" t="s">
        <v>9919</v>
      </c>
      <c r="F111" s="17"/>
    </row>
    <row r="112" spans="1:6" ht="32.25" customHeight="1">
      <c r="A112" s="16" t="s">
        <v>9974</v>
      </c>
      <c r="B112" s="16" t="s">
        <v>10044</v>
      </c>
      <c r="C112" s="17">
        <v>27</v>
      </c>
      <c r="D112" s="16" t="s">
        <v>9986</v>
      </c>
      <c r="E112" s="17" t="s">
        <v>9919</v>
      </c>
      <c r="F112" s="17"/>
    </row>
    <row r="113" spans="1:6" ht="32.25" customHeight="1">
      <c r="A113" s="16" t="s">
        <v>9974</v>
      </c>
      <c r="B113" s="16" t="s">
        <v>10044</v>
      </c>
      <c r="C113" s="17">
        <v>28</v>
      </c>
      <c r="D113" s="16" t="s">
        <v>292</v>
      </c>
      <c r="E113" s="17" t="s">
        <v>9919</v>
      </c>
      <c r="F113" s="17"/>
    </row>
    <row r="114" spans="1:6" ht="32.25" customHeight="1">
      <c r="A114" s="16" t="s">
        <v>9974</v>
      </c>
      <c r="B114" s="16" t="s">
        <v>10044</v>
      </c>
      <c r="C114" s="17">
        <v>29</v>
      </c>
      <c r="D114" s="16" t="s">
        <v>753</v>
      </c>
      <c r="E114" s="17" t="s">
        <v>9919</v>
      </c>
      <c r="F114" s="17"/>
    </row>
    <row r="115" spans="1:6" ht="32.25" customHeight="1">
      <c r="A115" s="16" t="s">
        <v>9974</v>
      </c>
      <c r="B115" s="16" t="s">
        <v>10044</v>
      </c>
      <c r="C115" s="17">
        <v>30</v>
      </c>
      <c r="D115" s="16" t="s">
        <v>2424</v>
      </c>
      <c r="E115" s="17" t="s">
        <v>9987</v>
      </c>
      <c r="F115" s="17"/>
    </row>
    <row r="116" spans="1:6" ht="32.25" customHeight="1">
      <c r="A116" s="16" t="s">
        <v>9974</v>
      </c>
      <c r="B116" s="16" t="s">
        <v>10044</v>
      </c>
      <c r="C116" s="17">
        <v>31</v>
      </c>
      <c r="D116" s="16" t="s">
        <v>4061</v>
      </c>
      <c r="E116" s="17" t="s">
        <v>9919</v>
      </c>
      <c r="F116" s="17"/>
    </row>
    <row r="117" spans="1:6" ht="32.25" customHeight="1">
      <c r="A117" s="16" t="s">
        <v>9974</v>
      </c>
      <c r="B117" s="16" t="s">
        <v>10044</v>
      </c>
      <c r="C117" s="17">
        <v>32</v>
      </c>
      <c r="D117" s="16" t="s">
        <v>77</v>
      </c>
      <c r="E117" s="17" t="s">
        <v>9919</v>
      </c>
      <c r="F117" s="17"/>
    </row>
    <row r="118" spans="1:6" ht="32.25" customHeight="1">
      <c r="A118" s="16" t="s">
        <v>9974</v>
      </c>
      <c r="B118" s="16" t="s">
        <v>10044</v>
      </c>
      <c r="C118" s="17">
        <v>33</v>
      </c>
      <c r="D118" s="16" t="s">
        <v>9988</v>
      </c>
      <c r="E118" s="17" t="s">
        <v>9919</v>
      </c>
      <c r="F118" s="17"/>
    </row>
    <row r="119" spans="1:6" ht="32.25" customHeight="1">
      <c r="A119" s="16" t="s">
        <v>9974</v>
      </c>
      <c r="B119" s="16" t="s">
        <v>10044</v>
      </c>
      <c r="C119" s="17">
        <v>34</v>
      </c>
      <c r="D119" s="16" t="s">
        <v>2156</v>
      </c>
      <c r="E119" s="17" t="s">
        <v>9919</v>
      </c>
      <c r="F119" s="17" t="s">
        <v>10049</v>
      </c>
    </row>
    <row r="120" spans="1:6" ht="32.25" customHeight="1">
      <c r="A120" s="16" t="s">
        <v>9974</v>
      </c>
      <c r="B120" s="16" t="s">
        <v>10044</v>
      </c>
      <c r="C120" s="17">
        <v>35</v>
      </c>
      <c r="D120" s="16" t="s">
        <v>360</v>
      </c>
      <c r="E120" s="17" t="s">
        <v>9919</v>
      </c>
      <c r="F120" s="17"/>
    </row>
    <row r="121" spans="1:6" ht="32.25" customHeight="1">
      <c r="A121" s="16" t="s">
        <v>9974</v>
      </c>
      <c r="B121" s="16" t="s">
        <v>10044</v>
      </c>
      <c r="C121" s="17">
        <v>36</v>
      </c>
      <c r="D121" s="16" t="s">
        <v>8180</v>
      </c>
      <c r="E121" s="17" t="s">
        <v>9919</v>
      </c>
      <c r="F121" s="17"/>
    </row>
    <row r="122" spans="1:6" ht="32.25" customHeight="1">
      <c r="A122" s="16" t="s">
        <v>9974</v>
      </c>
      <c r="B122" s="16" t="s">
        <v>10044</v>
      </c>
      <c r="C122" s="17">
        <v>37</v>
      </c>
      <c r="D122" s="16" t="s">
        <v>4217</v>
      </c>
      <c r="E122" s="17" t="s">
        <v>9919</v>
      </c>
      <c r="F122" s="17"/>
    </row>
    <row r="123" spans="1:6" ht="32.25" customHeight="1">
      <c r="A123" s="16" t="s">
        <v>9974</v>
      </c>
      <c r="B123" s="16" t="s">
        <v>10044</v>
      </c>
      <c r="C123" s="17">
        <v>38</v>
      </c>
      <c r="D123" s="16" t="s">
        <v>63</v>
      </c>
      <c r="E123" s="17" t="s">
        <v>9987</v>
      </c>
      <c r="F123" s="17" t="s">
        <v>9989</v>
      </c>
    </row>
    <row r="124" spans="1:6" ht="32.25" customHeight="1">
      <c r="A124" s="16" t="s">
        <v>9974</v>
      </c>
      <c r="B124" s="16" t="s">
        <v>10044</v>
      </c>
      <c r="C124" s="17">
        <v>39</v>
      </c>
      <c r="D124" s="16" t="s">
        <v>1241</v>
      </c>
      <c r="E124" s="17" t="s">
        <v>9919</v>
      </c>
      <c r="F124" s="17"/>
    </row>
    <row r="125" spans="1:6" ht="32.25" customHeight="1">
      <c r="A125" s="16" t="s">
        <v>9974</v>
      </c>
      <c r="B125" s="16" t="s">
        <v>10044</v>
      </c>
      <c r="C125" s="17">
        <v>40</v>
      </c>
      <c r="D125" s="16" t="s">
        <v>8850</v>
      </c>
      <c r="E125" s="17" t="s">
        <v>9925</v>
      </c>
      <c r="F125" s="17" t="s">
        <v>9978</v>
      </c>
    </row>
    <row r="126" spans="1:6" ht="32.25" customHeight="1">
      <c r="A126" s="16" t="s">
        <v>9974</v>
      </c>
      <c r="B126" s="16" t="s">
        <v>10044</v>
      </c>
      <c r="C126" s="17">
        <v>41</v>
      </c>
      <c r="D126" s="16" t="s">
        <v>4652</v>
      </c>
      <c r="E126" s="17" t="s">
        <v>9919</v>
      </c>
      <c r="F126" s="17" t="s">
        <v>10050</v>
      </c>
    </row>
    <row r="127" spans="1:6" ht="32.25" customHeight="1">
      <c r="A127" s="16" t="s">
        <v>9974</v>
      </c>
      <c r="B127" s="16" t="s">
        <v>10044</v>
      </c>
      <c r="C127" s="17">
        <v>42</v>
      </c>
      <c r="D127" s="16" t="s">
        <v>9990</v>
      </c>
      <c r="E127" s="17" t="s">
        <v>9919</v>
      </c>
      <c r="F127" s="17"/>
    </row>
    <row r="128" spans="1:6" ht="32.25" customHeight="1">
      <c r="A128" s="16" t="s">
        <v>9974</v>
      </c>
      <c r="B128" s="16" t="s">
        <v>10044</v>
      </c>
      <c r="C128" s="17">
        <v>43</v>
      </c>
      <c r="D128" s="16" t="s">
        <v>4536</v>
      </c>
      <c r="E128" s="17" t="s">
        <v>9919</v>
      </c>
      <c r="F128" s="17"/>
    </row>
    <row r="129" spans="1:6" ht="32.25" customHeight="1">
      <c r="A129" s="16" t="s">
        <v>9974</v>
      </c>
      <c r="B129" s="16" t="s">
        <v>10044</v>
      </c>
      <c r="C129" s="17">
        <v>44</v>
      </c>
      <c r="D129" s="16" t="s">
        <v>2173</v>
      </c>
      <c r="E129" s="17" t="s">
        <v>9919</v>
      </c>
      <c r="F129" s="17"/>
    </row>
    <row r="130" spans="1:6" ht="32.25" customHeight="1">
      <c r="A130" s="16" t="s">
        <v>9974</v>
      </c>
      <c r="B130" s="16" t="s">
        <v>10044</v>
      </c>
      <c r="C130" s="17">
        <v>45</v>
      </c>
      <c r="D130" s="16" t="s">
        <v>155</v>
      </c>
      <c r="E130" s="17" t="s">
        <v>9919</v>
      </c>
      <c r="F130" s="17" t="s">
        <v>9978</v>
      </c>
    </row>
    <row r="131" spans="1:6" ht="32.25" customHeight="1">
      <c r="A131" s="16" t="s">
        <v>9974</v>
      </c>
      <c r="B131" s="16" t="s">
        <v>10044</v>
      </c>
      <c r="C131" s="17">
        <v>46</v>
      </c>
      <c r="D131" s="16" t="s">
        <v>9991</v>
      </c>
      <c r="E131" s="17" t="s">
        <v>9925</v>
      </c>
      <c r="F131" s="17"/>
    </row>
    <row r="132" spans="1:6" ht="32.25" customHeight="1">
      <c r="A132" s="16" t="s">
        <v>9974</v>
      </c>
      <c r="B132" s="16" t="s">
        <v>10044</v>
      </c>
      <c r="C132" s="17">
        <v>47</v>
      </c>
      <c r="D132" s="16" t="s">
        <v>725</v>
      </c>
      <c r="E132" s="17" t="s">
        <v>9919</v>
      </c>
      <c r="F132" s="17"/>
    </row>
    <row r="133" spans="1:6" ht="32.25" customHeight="1">
      <c r="A133" s="16" t="s">
        <v>9974</v>
      </c>
      <c r="B133" s="16" t="s">
        <v>10044</v>
      </c>
      <c r="C133" s="17">
        <v>48</v>
      </c>
      <c r="D133" s="16" t="s">
        <v>5957</v>
      </c>
      <c r="E133" s="17" t="s">
        <v>9919</v>
      </c>
      <c r="F133" s="17" t="s">
        <v>10051</v>
      </c>
    </row>
    <row r="134" spans="1:6" ht="32.25" customHeight="1">
      <c r="A134" s="16" t="s">
        <v>9974</v>
      </c>
      <c r="B134" s="16" t="s">
        <v>10044</v>
      </c>
      <c r="C134" s="17">
        <v>49</v>
      </c>
      <c r="D134" s="16" t="s">
        <v>1798</v>
      </c>
      <c r="E134" s="17" t="s">
        <v>9919</v>
      </c>
      <c r="F134" s="17"/>
    </row>
    <row r="135" spans="1:6" ht="32.25" customHeight="1">
      <c r="A135" s="16" t="s">
        <v>9974</v>
      </c>
      <c r="B135" s="16" t="s">
        <v>10044</v>
      </c>
      <c r="C135" s="17">
        <v>50</v>
      </c>
      <c r="D135" s="16" t="s">
        <v>251</v>
      </c>
      <c r="E135" s="17" t="s">
        <v>9919</v>
      </c>
      <c r="F135" s="17" t="s">
        <v>10052</v>
      </c>
    </row>
    <row r="136" spans="1:6" ht="32.25" customHeight="1">
      <c r="A136" s="16" t="s">
        <v>9974</v>
      </c>
      <c r="B136" s="16" t="s">
        <v>10044</v>
      </c>
      <c r="C136" s="17">
        <v>51</v>
      </c>
      <c r="D136" s="16" t="s">
        <v>1744</v>
      </c>
      <c r="E136" s="17" t="s">
        <v>9919</v>
      </c>
      <c r="F136" s="17"/>
    </row>
    <row r="137" spans="1:6" ht="32.25" customHeight="1">
      <c r="A137" s="16" t="s">
        <v>9974</v>
      </c>
      <c r="B137" s="16" t="s">
        <v>10044</v>
      </c>
      <c r="C137" s="17">
        <v>52</v>
      </c>
      <c r="D137" s="16" t="s">
        <v>9992</v>
      </c>
      <c r="E137" s="17" t="s">
        <v>9919</v>
      </c>
      <c r="F137" s="17"/>
    </row>
    <row r="138" spans="1:6" ht="32.25" customHeight="1">
      <c r="A138" s="16" t="s">
        <v>9974</v>
      </c>
      <c r="B138" s="16" t="s">
        <v>10044</v>
      </c>
      <c r="C138" s="17">
        <v>53</v>
      </c>
      <c r="D138" s="16" t="s">
        <v>892</v>
      </c>
      <c r="E138" s="17" t="s">
        <v>9919</v>
      </c>
      <c r="F138" s="17" t="s">
        <v>10053</v>
      </c>
    </row>
    <row r="139" spans="1:6" ht="32.25" customHeight="1">
      <c r="A139" s="16" t="s">
        <v>9974</v>
      </c>
      <c r="B139" s="16" t="s">
        <v>10044</v>
      </c>
      <c r="C139" s="17">
        <v>54</v>
      </c>
      <c r="D139" s="16" t="s">
        <v>8382</v>
      </c>
      <c r="E139" s="17" t="s">
        <v>9919</v>
      </c>
      <c r="F139" s="17"/>
    </row>
    <row r="140" spans="1:6" ht="32.25" customHeight="1">
      <c r="A140" s="16" t="s">
        <v>9974</v>
      </c>
      <c r="B140" s="16" t="s">
        <v>10044</v>
      </c>
      <c r="C140" s="17">
        <v>55</v>
      </c>
      <c r="D140" s="16" t="s">
        <v>9993</v>
      </c>
      <c r="E140" s="17" t="s">
        <v>9919</v>
      </c>
      <c r="F140" s="17"/>
    </row>
    <row r="141" spans="1:6" ht="32.25" customHeight="1">
      <c r="A141" s="16" t="s">
        <v>9974</v>
      </c>
      <c r="B141" s="16" t="s">
        <v>10044</v>
      </c>
      <c r="C141" s="17">
        <v>56</v>
      </c>
      <c r="D141" s="16" t="s">
        <v>2537</v>
      </c>
      <c r="E141" s="17" t="s">
        <v>9919</v>
      </c>
      <c r="F141" s="17" t="s">
        <v>10054</v>
      </c>
    </row>
    <row r="142" spans="1:6" ht="32.25" customHeight="1">
      <c r="A142" s="16" t="s">
        <v>9974</v>
      </c>
      <c r="B142" s="16" t="s">
        <v>10044</v>
      </c>
      <c r="C142" s="17">
        <v>57</v>
      </c>
      <c r="D142" s="16" t="s">
        <v>3599</v>
      </c>
      <c r="E142" s="17" t="s">
        <v>9919</v>
      </c>
      <c r="F142" s="17" t="s">
        <v>9978</v>
      </c>
    </row>
    <row r="143" spans="1:6" ht="32.25" customHeight="1">
      <c r="A143" s="16" t="s">
        <v>9974</v>
      </c>
      <c r="B143" s="16" t="s">
        <v>10044</v>
      </c>
      <c r="C143" s="17">
        <v>58</v>
      </c>
      <c r="D143" s="16" t="s">
        <v>5599</v>
      </c>
      <c r="E143" s="17" t="s">
        <v>9919</v>
      </c>
      <c r="F143" s="17" t="s">
        <v>10055</v>
      </c>
    </row>
    <row r="144" spans="1:6" ht="32.25" customHeight="1">
      <c r="A144" s="16" t="s">
        <v>9974</v>
      </c>
      <c r="B144" s="16" t="s">
        <v>10044</v>
      </c>
      <c r="C144" s="17">
        <v>59</v>
      </c>
      <c r="D144" s="16" t="s">
        <v>446</v>
      </c>
      <c r="E144" s="17" t="s">
        <v>9919</v>
      </c>
      <c r="F144" s="17"/>
    </row>
    <row r="145" spans="1:6" ht="32.25" customHeight="1">
      <c r="A145" s="16" t="s">
        <v>9974</v>
      </c>
      <c r="B145" s="16" t="s">
        <v>10044</v>
      </c>
      <c r="C145" s="17">
        <v>60</v>
      </c>
      <c r="D145" s="16" t="s">
        <v>4751</v>
      </c>
      <c r="E145" s="17" t="s">
        <v>9919</v>
      </c>
      <c r="F145" s="17"/>
    </row>
    <row r="146" spans="1:6" ht="32.25" customHeight="1">
      <c r="A146" s="16" t="s">
        <v>9974</v>
      </c>
      <c r="B146" s="16" t="s">
        <v>10044</v>
      </c>
      <c r="C146" s="17">
        <v>61</v>
      </c>
      <c r="D146" s="16" t="s">
        <v>798</v>
      </c>
      <c r="E146" s="17" t="s">
        <v>9919</v>
      </c>
      <c r="F146" s="17" t="s">
        <v>9978</v>
      </c>
    </row>
    <row r="147" spans="1:6" ht="32.25" customHeight="1">
      <c r="A147" s="16" t="s">
        <v>9974</v>
      </c>
      <c r="B147" s="16" t="s">
        <v>10044</v>
      </c>
      <c r="C147" s="17">
        <v>62</v>
      </c>
      <c r="D147" s="16" t="s">
        <v>469</v>
      </c>
      <c r="E147" s="17" t="s">
        <v>9919</v>
      </c>
      <c r="F147" s="17"/>
    </row>
    <row r="148" spans="1:6" ht="32.25" customHeight="1">
      <c r="A148" s="16" t="s">
        <v>9974</v>
      </c>
      <c r="B148" s="16" t="s">
        <v>10044</v>
      </c>
      <c r="C148" s="17">
        <v>63</v>
      </c>
      <c r="D148" s="16" t="s">
        <v>9994</v>
      </c>
      <c r="E148" s="17" t="s">
        <v>9919</v>
      </c>
      <c r="F148" s="17"/>
    </row>
    <row r="149" spans="1:6" ht="32.25" customHeight="1">
      <c r="A149" s="16" t="s">
        <v>9974</v>
      </c>
      <c r="B149" s="16" t="s">
        <v>10044</v>
      </c>
      <c r="C149" s="17">
        <v>64</v>
      </c>
      <c r="D149" s="16" t="s">
        <v>121</v>
      </c>
      <c r="E149" s="17" t="s">
        <v>9919</v>
      </c>
      <c r="F149" s="17"/>
    </row>
    <row r="150" spans="1:6" ht="32.25" customHeight="1">
      <c r="A150" s="16" t="s">
        <v>9974</v>
      </c>
      <c r="B150" s="16" t="s">
        <v>10044</v>
      </c>
      <c r="C150" s="17">
        <v>65</v>
      </c>
      <c r="D150" s="16" t="s">
        <v>3338</v>
      </c>
      <c r="E150" s="17" t="s">
        <v>9919</v>
      </c>
      <c r="F150" s="17"/>
    </row>
    <row r="151" spans="1:6" ht="32.25" customHeight="1">
      <c r="A151" s="16" t="s">
        <v>9974</v>
      </c>
      <c r="B151" s="16" t="s">
        <v>10044</v>
      </c>
      <c r="C151" s="17">
        <v>66</v>
      </c>
      <c r="D151" s="16" t="s">
        <v>9995</v>
      </c>
      <c r="E151" s="17" t="s">
        <v>9919</v>
      </c>
      <c r="F151" s="17"/>
    </row>
    <row r="152" spans="1:6" ht="32.25" customHeight="1">
      <c r="A152" s="16" t="s">
        <v>9974</v>
      </c>
      <c r="B152" s="16" t="s">
        <v>10044</v>
      </c>
      <c r="C152" s="17">
        <v>67</v>
      </c>
      <c r="D152" s="16" t="s">
        <v>9996</v>
      </c>
      <c r="E152" s="17" t="s">
        <v>9919</v>
      </c>
      <c r="F152" s="17" t="s">
        <v>10056</v>
      </c>
    </row>
    <row r="153" spans="1:6" ht="32.25" customHeight="1">
      <c r="A153" s="16" t="s">
        <v>9974</v>
      </c>
      <c r="B153" s="16" t="s">
        <v>10044</v>
      </c>
      <c r="C153" s="17">
        <v>68</v>
      </c>
      <c r="D153" s="16" t="s">
        <v>500</v>
      </c>
      <c r="E153" s="17" t="s">
        <v>9919</v>
      </c>
      <c r="F153" s="17"/>
    </row>
    <row r="154" spans="1:6" ht="32.25" customHeight="1">
      <c r="A154" s="16" t="s">
        <v>9974</v>
      </c>
      <c r="B154" s="16" t="s">
        <v>10044</v>
      </c>
      <c r="C154" s="17">
        <v>69</v>
      </c>
      <c r="D154" s="16" t="s">
        <v>3861</v>
      </c>
      <c r="E154" s="17" t="s">
        <v>9919</v>
      </c>
      <c r="F154" s="17"/>
    </row>
    <row r="155" spans="1:6" ht="32.25" customHeight="1">
      <c r="A155" s="16" t="s">
        <v>9974</v>
      </c>
      <c r="B155" s="16" t="s">
        <v>10044</v>
      </c>
      <c r="C155" s="17">
        <v>70</v>
      </c>
      <c r="D155" s="16" t="s">
        <v>235</v>
      </c>
      <c r="E155" s="17" t="s">
        <v>9919</v>
      </c>
      <c r="F155" s="17"/>
    </row>
    <row r="156" spans="1:6" ht="32.25" customHeight="1">
      <c r="A156" s="16" t="s">
        <v>9974</v>
      </c>
      <c r="B156" s="16" t="s">
        <v>10044</v>
      </c>
      <c r="C156" s="17">
        <v>71</v>
      </c>
      <c r="D156" s="16" t="s">
        <v>347</v>
      </c>
      <c r="E156" s="17" t="s">
        <v>9919</v>
      </c>
      <c r="F156" s="17"/>
    </row>
    <row r="157" spans="1:6" ht="32.25" customHeight="1">
      <c r="A157" s="16" t="s">
        <v>9974</v>
      </c>
      <c r="B157" s="16" t="s">
        <v>10044</v>
      </c>
      <c r="C157" s="17">
        <v>72</v>
      </c>
      <c r="D157" s="16" t="s">
        <v>9381</v>
      </c>
      <c r="E157" s="17" t="s">
        <v>9919</v>
      </c>
      <c r="F157" s="17"/>
    </row>
    <row r="158" spans="1:6" ht="32.25" customHeight="1">
      <c r="A158" s="16" t="s">
        <v>9974</v>
      </c>
      <c r="B158" s="16" t="s">
        <v>10044</v>
      </c>
      <c r="C158" s="17">
        <v>73</v>
      </c>
      <c r="D158" s="16" t="s">
        <v>416</v>
      </c>
      <c r="E158" s="17" t="s">
        <v>9919</v>
      </c>
      <c r="F158" s="17"/>
    </row>
    <row r="159" spans="1:6" ht="32.25" customHeight="1">
      <c r="A159" s="16" t="s">
        <v>9974</v>
      </c>
      <c r="B159" s="16" t="s">
        <v>10044</v>
      </c>
      <c r="C159" s="17">
        <v>74</v>
      </c>
      <c r="D159" s="16" t="s">
        <v>4991</v>
      </c>
      <c r="E159" s="17" t="s">
        <v>9919</v>
      </c>
      <c r="F159" s="17" t="s">
        <v>10057</v>
      </c>
    </row>
    <row r="160" spans="1:6" ht="32.25" customHeight="1">
      <c r="A160" s="16" t="s">
        <v>9974</v>
      </c>
      <c r="B160" s="16" t="s">
        <v>10044</v>
      </c>
      <c r="C160" s="17">
        <v>75</v>
      </c>
      <c r="D160" s="16" t="s">
        <v>9997</v>
      </c>
      <c r="E160" s="17" t="s">
        <v>9919</v>
      </c>
      <c r="F160" s="17"/>
    </row>
    <row r="161" spans="1:6" ht="32.25" customHeight="1">
      <c r="A161" s="16" t="s">
        <v>9974</v>
      </c>
      <c r="B161" s="16" t="s">
        <v>10044</v>
      </c>
      <c r="C161" s="17">
        <v>76</v>
      </c>
      <c r="D161" s="16" t="s">
        <v>9998</v>
      </c>
      <c r="E161" s="17" t="s">
        <v>9919</v>
      </c>
      <c r="F161" s="17"/>
    </row>
    <row r="162" spans="1:6" ht="32.25" customHeight="1">
      <c r="A162" s="16" t="s">
        <v>9974</v>
      </c>
      <c r="B162" s="16" t="s">
        <v>10044</v>
      </c>
      <c r="C162" s="17">
        <v>77</v>
      </c>
      <c r="D162" s="16" t="s">
        <v>3625</v>
      </c>
      <c r="E162" s="17" t="s">
        <v>9919</v>
      </c>
      <c r="F162" s="17"/>
    </row>
    <row r="163" spans="1:6" ht="32.25" customHeight="1">
      <c r="A163" s="16" t="s">
        <v>9974</v>
      </c>
      <c r="B163" s="16" t="s">
        <v>10044</v>
      </c>
      <c r="C163" s="17">
        <v>78</v>
      </c>
      <c r="D163" s="16" t="s">
        <v>9999</v>
      </c>
      <c r="E163" s="17" t="s">
        <v>9925</v>
      </c>
      <c r="F163" s="17"/>
    </row>
    <row r="164" spans="1:6" ht="32.25" customHeight="1">
      <c r="A164" s="21" t="s">
        <v>9974</v>
      </c>
      <c r="B164" s="21" t="s">
        <v>10044</v>
      </c>
      <c r="C164" s="22">
        <v>79</v>
      </c>
      <c r="D164" s="21" t="s">
        <v>10000</v>
      </c>
      <c r="E164" s="22" t="s">
        <v>9919</v>
      </c>
      <c r="F164" s="22"/>
    </row>
    <row r="165" spans="1:6" ht="32.25" customHeight="1">
      <c r="A165" s="21" t="s">
        <v>9974</v>
      </c>
      <c r="B165" s="21" t="s">
        <v>10044</v>
      </c>
      <c r="C165" s="22">
        <v>80</v>
      </c>
      <c r="D165" s="21" t="s">
        <v>10001</v>
      </c>
      <c r="E165" s="22" t="s">
        <v>9919</v>
      </c>
      <c r="F165" s="22"/>
    </row>
    <row r="166" spans="1:6" ht="32.25" customHeight="1">
      <c r="A166" s="21" t="s">
        <v>9974</v>
      </c>
      <c r="B166" s="21" t="s">
        <v>10044</v>
      </c>
      <c r="C166" s="22">
        <v>81</v>
      </c>
      <c r="D166" s="21" t="s">
        <v>10002</v>
      </c>
      <c r="E166" s="22" t="s">
        <v>9919</v>
      </c>
      <c r="F166" s="22"/>
    </row>
    <row r="167" spans="1:6" ht="32.25" customHeight="1">
      <c r="A167" s="21" t="s">
        <v>9974</v>
      </c>
      <c r="B167" s="21" t="s">
        <v>10044</v>
      </c>
      <c r="C167" s="22">
        <v>82</v>
      </c>
      <c r="D167" s="21" t="s">
        <v>10003</v>
      </c>
      <c r="E167" s="22" t="s">
        <v>9919</v>
      </c>
      <c r="F167" s="22"/>
    </row>
    <row r="168" spans="1:6" ht="32.25" customHeight="1">
      <c r="A168" s="21" t="s">
        <v>9974</v>
      </c>
      <c r="B168" s="21" t="s">
        <v>10044</v>
      </c>
      <c r="C168" s="22">
        <v>83</v>
      </c>
      <c r="D168" s="21" t="s">
        <v>10004</v>
      </c>
      <c r="E168" s="22" t="s">
        <v>9919</v>
      </c>
      <c r="F168" s="22"/>
    </row>
    <row r="169" spans="1:6" ht="32.25" customHeight="1">
      <c r="A169" s="21" t="s">
        <v>9974</v>
      </c>
      <c r="B169" s="21" t="s">
        <v>10044</v>
      </c>
      <c r="C169" s="22">
        <v>84</v>
      </c>
      <c r="D169" s="21" t="s">
        <v>10005</v>
      </c>
      <c r="E169" s="22" t="s">
        <v>9919</v>
      </c>
      <c r="F169" s="22"/>
    </row>
    <row r="170" spans="1:6" ht="32.25" customHeight="1">
      <c r="A170" s="21" t="s">
        <v>9974</v>
      </c>
      <c r="B170" s="21" t="s">
        <v>10044</v>
      </c>
      <c r="C170" s="22">
        <v>85</v>
      </c>
      <c r="D170" s="21" t="s">
        <v>10006</v>
      </c>
      <c r="E170" s="22" t="s">
        <v>9919</v>
      </c>
      <c r="F170" s="22"/>
    </row>
    <row r="171" spans="1:6" ht="32.25" customHeight="1">
      <c r="A171" s="21" t="s">
        <v>9974</v>
      </c>
      <c r="B171" s="21" t="s">
        <v>10044</v>
      </c>
      <c r="C171" s="22">
        <v>86</v>
      </c>
      <c r="D171" s="21" t="s">
        <v>10007</v>
      </c>
      <c r="E171" s="22" t="s">
        <v>10058</v>
      </c>
      <c r="F171" s="22"/>
    </row>
    <row r="172" spans="1:6" ht="32.25" customHeight="1">
      <c r="A172" s="21" t="s">
        <v>9974</v>
      </c>
      <c r="B172" s="21" t="s">
        <v>10044</v>
      </c>
      <c r="C172" s="22">
        <v>87</v>
      </c>
      <c r="D172" s="21" t="s">
        <v>10008</v>
      </c>
      <c r="E172" s="22" t="s">
        <v>9919</v>
      </c>
      <c r="F172" s="22"/>
    </row>
    <row r="173" spans="1:6" ht="32.25" customHeight="1">
      <c r="A173" s="21" t="s">
        <v>9974</v>
      </c>
      <c r="B173" s="21" t="s">
        <v>10044</v>
      </c>
      <c r="C173" s="22">
        <v>88</v>
      </c>
      <c r="D173" s="21" t="s">
        <v>10009</v>
      </c>
      <c r="E173" s="22" t="s">
        <v>9919</v>
      </c>
      <c r="F173" s="22"/>
    </row>
    <row r="174" spans="1:6" ht="32.25" customHeight="1">
      <c r="A174" s="21" t="s">
        <v>9974</v>
      </c>
      <c r="B174" s="21" t="s">
        <v>10044</v>
      </c>
      <c r="C174" s="22">
        <v>89</v>
      </c>
      <c r="D174" s="21" t="s">
        <v>10010</v>
      </c>
      <c r="E174" s="22" t="s">
        <v>9919</v>
      </c>
      <c r="F174" s="22"/>
    </row>
    <row r="175" spans="1:6" ht="32.25" customHeight="1">
      <c r="A175" s="21" t="s">
        <v>9974</v>
      </c>
      <c r="B175" s="21" t="s">
        <v>10044</v>
      </c>
      <c r="C175" s="22">
        <v>90</v>
      </c>
      <c r="D175" s="21" t="s">
        <v>10011</v>
      </c>
      <c r="E175" s="22" t="s">
        <v>9919</v>
      </c>
      <c r="F175" s="22" t="s">
        <v>10012</v>
      </c>
    </row>
    <row r="176" spans="1:6" ht="32.25" customHeight="1">
      <c r="A176" s="21" t="s">
        <v>9974</v>
      </c>
      <c r="B176" s="21" t="s">
        <v>10044</v>
      </c>
      <c r="C176" s="22">
        <v>91</v>
      </c>
      <c r="D176" s="21" t="s">
        <v>10013</v>
      </c>
      <c r="E176" s="22" t="s">
        <v>9987</v>
      </c>
      <c r="F176" s="22"/>
    </row>
    <row r="177" spans="1:6" ht="32.25" customHeight="1">
      <c r="A177" s="21" t="s">
        <v>9974</v>
      </c>
      <c r="B177" s="21" t="s">
        <v>10044</v>
      </c>
      <c r="C177" s="22">
        <v>92</v>
      </c>
      <c r="D177" s="21" t="s">
        <v>10014</v>
      </c>
      <c r="E177" s="22" t="s">
        <v>9919</v>
      </c>
      <c r="F177" s="22"/>
    </row>
    <row r="178" spans="1:6" ht="32.25" customHeight="1">
      <c r="A178" s="21" t="s">
        <v>9974</v>
      </c>
      <c r="B178" s="21" t="s">
        <v>10044</v>
      </c>
      <c r="C178" s="22">
        <v>93</v>
      </c>
      <c r="D178" s="21" t="s">
        <v>10015</v>
      </c>
      <c r="E178" s="22" t="s">
        <v>9919</v>
      </c>
      <c r="F178" s="22"/>
    </row>
    <row r="179" spans="1:6" ht="32.25" customHeight="1">
      <c r="A179" s="21" t="s">
        <v>9974</v>
      </c>
      <c r="B179" s="21" t="s">
        <v>10044</v>
      </c>
      <c r="C179" s="22">
        <v>94</v>
      </c>
      <c r="D179" s="21" t="s">
        <v>10016</v>
      </c>
      <c r="E179" s="22" t="s">
        <v>9919</v>
      </c>
      <c r="F179" s="22"/>
    </row>
    <row r="180" spans="1:6" ht="32.25" customHeight="1">
      <c r="A180" s="21" t="s">
        <v>9974</v>
      </c>
      <c r="B180" s="21" t="s">
        <v>10044</v>
      </c>
      <c r="C180" s="22">
        <v>95</v>
      </c>
      <c r="D180" s="21" t="s">
        <v>10017</v>
      </c>
      <c r="E180" s="22" t="s">
        <v>9925</v>
      </c>
      <c r="F180" s="22"/>
    </row>
    <row r="181" spans="1:6" ht="32.25" customHeight="1">
      <c r="A181" s="21" t="s">
        <v>9974</v>
      </c>
      <c r="B181" s="21" t="s">
        <v>10044</v>
      </c>
      <c r="C181" s="22">
        <v>96</v>
      </c>
      <c r="D181" s="21" t="s">
        <v>10018</v>
      </c>
      <c r="E181" s="22" t="s">
        <v>9919</v>
      </c>
      <c r="F181" s="22"/>
    </row>
    <row r="182" spans="1:6" ht="32.25" customHeight="1">
      <c r="A182" s="21" t="s">
        <v>9974</v>
      </c>
      <c r="B182" s="21" t="s">
        <v>10044</v>
      </c>
      <c r="C182" s="22">
        <v>97</v>
      </c>
      <c r="D182" s="21" t="s">
        <v>10019</v>
      </c>
      <c r="E182" s="22" t="s">
        <v>9919</v>
      </c>
      <c r="F182" s="22"/>
    </row>
    <row r="183" spans="1:6" ht="32.25" customHeight="1">
      <c r="A183" s="21" t="s">
        <v>9974</v>
      </c>
      <c r="B183" s="21" t="s">
        <v>10044</v>
      </c>
      <c r="C183" s="22">
        <v>98</v>
      </c>
      <c r="D183" s="21" t="s">
        <v>10020</v>
      </c>
      <c r="E183" s="22" t="s">
        <v>9919</v>
      </c>
      <c r="F183" s="22"/>
    </row>
    <row r="184" spans="1:6" ht="32.25" customHeight="1">
      <c r="A184" s="21" t="s">
        <v>9974</v>
      </c>
      <c r="B184" s="21" t="s">
        <v>10044</v>
      </c>
      <c r="C184" s="22">
        <v>99</v>
      </c>
      <c r="D184" s="21" t="s">
        <v>10021</v>
      </c>
      <c r="E184" s="22" t="s">
        <v>9919</v>
      </c>
      <c r="F184" s="22" t="s">
        <v>10022</v>
      </c>
    </row>
    <row r="185" spans="1:6" ht="32.25" customHeight="1">
      <c r="A185" s="21" t="s">
        <v>9974</v>
      </c>
      <c r="B185" s="21" t="s">
        <v>10044</v>
      </c>
      <c r="C185" s="22">
        <v>100</v>
      </c>
      <c r="D185" s="21" t="s">
        <v>10023</v>
      </c>
      <c r="E185" s="22" t="s">
        <v>9919</v>
      </c>
      <c r="F185" s="22"/>
    </row>
    <row r="186" spans="1:6" ht="32.25" customHeight="1">
      <c r="A186" s="21" t="s">
        <v>9974</v>
      </c>
      <c r="B186" s="21" t="s">
        <v>10044</v>
      </c>
      <c r="C186" s="22">
        <v>101</v>
      </c>
      <c r="D186" s="21" t="s">
        <v>10024</v>
      </c>
      <c r="E186" s="22" t="s">
        <v>9919</v>
      </c>
      <c r="F186" s="22"/>
    </row>
    <row r="187" spans="1:6" ht="32.25" customHeight="1">
      <c r="A187" s="21" t="s">
        <v>9974</v>
      </c>
      <c r="B187" s="21" t="s">
        <v>10044</v>
      </c>
      <c r="C187" s="22">
        <v>102</v>
      </c>
      <c r="D187" s="21" t="s">
        <v>10025</v>
      </c>
      <c r="E187" s="22" t="s">
        <v>9919</v>
      </c>
      <c r="F187" s="22"/>
    </row>
    <row r="188" spans="1:6" ht="32.25" customHeight="1">
      <c r="A188" s="21" t="s">
        <v>9974</v>
      </c>
      <c r="B188" s="21" t="s">
        <v>10044</v>
      </c>
      <c r="C188" s="22">
        <v>103</v>
      </c>
      <c r="D188" s="21" t="s">
        <v>10026</v>
      </c>
      <c r="E188" s="22" t="s">
        <v>9919</v>
      </c>
      <c r="F188" s="22"/>
    </row>
    <row r="189" spans="1:6" ht="32.25" customHeight="1">
      <c r="A189" s="21" t="s">
        <v>9974</v>
      </c>
      <c r="B189" s="21" t="s">
        <v>10044</v>
      </c>
      <c r="C189" s="22">
        <v>104</v>
      </c>
      <c r="D189" s="21" t="s">
        <v>10027</v>
      </c>
      <c r="E189" s="22" t="s">
        <v>9919</v>
      </c>
      <c r="F189" s="22"/>
    </row>
    <row r="190" spans="1:6" ht="32.25" customHeight="1">
      <c r="A190" s="21" t="s">
        <v>9974</v>
      </c>
      <c r="B190" s="21" t="s">
        <v>10044</v>
      </c>
      <c r="C190" s="22">
        <v>105</v>
      </c>
      <c r="D190" s="21" t="s">
        <v>10028</v>
      </c>
      <c r="E190" s="22" t="s">
        <v>9919</v>
      </c>
      <c r="F190" s="22"/>
    </row>
    <row r="191" spans="1:6" ht="32.25" customHeight="1">
      <c r="A191" s="21" t="s">
        <v>9974</v>
      </c>
      <c r="B191" s="21" t="s">
        <v>10044</v>
      </c>
      <c r="C191" s="22">
        <v>106</v>
      </c>
      <c r="D191" s="21" t="s">
        <v>10029</v>
      </c>
      <c r="E191" s="22" t="s">
        <v>9919</v>
      </c>
      <c r="F191" s="22"/>
    </row>
    <row r="192" spans="1:6" ht="32.25" customHeight="1">
      <c r="A192" s="21" t="s">
        <v>9974</v>
      </c>
      <c r="B192" s="21" t="s">
        <v>10044</v>
      </c>
      <c r="C192" s="22">
        <v>107</v>
      </c>
      <c r="D192" s="21" t="s">
        <v>10030</v>
      </c>
      <c r="E192" s="22" t="s">
        <v>9919</v>
      </c>
      <c r="F192" s="22"/>
    </row>
    <row r="193" spans="1:6" ht="32.25" customHeight="1">
      <c r="A193" s="21" t="s">
        <v>9974</v>
      </c>
      <c r="B193" s="21" t="s">
        <v>10044</v>
      </c>
      <c r="C193" s="22">
        <v>108</v>
      </c>
      <c r="D193" s="21" t="s">
        <v>10031</v>
      </c>
      <c r="E193" s="22" t="s">
        <v>9919</v>
      </c>
      <c r="F193" s="22"/>
    </row>
    <row r="194" spans="1:6" ht="32.25" customHeight="1">
      <c r="A194" s="21" t="s">
        <v>9974</v>
      </c>
      <c r="B194" s="21" t="s">
        <v>10044</v>
      </c>
      <c r="C194" s="22">
        <v>109</v>
      </c>
      <c r="D194" s="21" t="s">
        <v>10032</v>
      </c>
      <c r="E194" s="22" t="s">
        <v>9987</v>
      </c>
      <c r="F194" s="22"/>
    </row>
    <row r="195" spans="1:6" ht="32.25" customHeight="1">
      <c r="A195" s="21" t="s">
        <v>9974</v>
      </c>
      <c r="B195" s="21" t="s">
        <v>10044</v>
      </c>
      <c r="C195" s="22">
        <v>110</v>
      </c>
      <c r="D195" s="21" t="s">
        <v>10033</v>
      </c>
      <c r="E195" s="22" t="s">
        <v>9919</v>
      </c>
      <c r="F195" s="22"/>
    </row>
    <row r="196" spans="1:6" ht="32.25" customHeight="1">
      <c r="A196" s="21" t="s">
        <v>9974</v>
      </c>
      <c r="B196" s="21" t="s">
        <v>10044</v>
      </c>
      <c r="C196" s="22">
        <v>111</v>
      </c>
      <c r="D196" s="21" t="s">
        <v>10034</v>
      </c>
      <c r="E196" s="22" t="s">
        <v>9919</v>
      </c>
      <c r="F196" s="22"/>
    </row>
    <row r="197" spans="1:6" ht="32.25" customHeight="1">
      <c r="A197" s="21" t="s">
        <v>9974</v>
      </c>
      <c r="B197" s="21" t="s">
        <v>10044</v>
      </c>
      <c r="C197" s="22">
        <v>112</v>
      </c>
      <c r="D197" s="21" t="s">
        <v>10035</v>
      </c>
      <c r="E197" s="22" t="s">
        <v>9919</v>
      </c>
      <c r="F197" s="22"/>
    </row>
    <row r="198" spans="1:6" ht="32.25" customHeight="1">
      <c r="A198" s="21" t="s">
        <v>9974</v>
      </c>
      <c r="B198" s="21" t="s">
        <v>10044</v>
      </c>
      <c r="C198" s="22">
        <v>113</v>
      </c>
      <c r="D198" s="21" t="s">
        <v>10036</v>
      </c>
      <c r="E198" s="22" t="s">
        <v>9987</v>
      </c>
      <c r="F198" s="22" t="s">
        <v>10059</v>
      </c>
    </row>
    <row r="199" spans="1:6" ht="32.25" customHeight="1">
      <c r="A199" s="21" t="s">
        <v>9974</v>
      </c>
      <c r="B199" s="21" t="s">
        <v>10044</v>
      </c>
      <c r="C199" s="22">
        <v>114</v>
      </c>
      <c r="D199" s="21" t="s">
        <v>10037</v>
      </c>
      <c r="E199" s="22" t="s">
        <v>9925</v>
      </c>
      <c r="F199" s="22"/>
    </row>
    <row r="200" spans="1:6" ht="32.25" customHeight="1">
      <c r="A200" s="21" t="s">
        <v>9974</v>
      </c>
      <c r="B200" s="21" t="s">
        <v>10044</v>
      </c>
      <c r="C200" s="22">
        <v>115</v>
      </c>
      <c r="D200" s="21" t="s">
        <v>10038</v>
      </c>
      <c r="E200" s="22" t="s">
        <v>9919</v>
      </c>
      <c r="F200" s="22"/>
    </row>
    <row r="201" spans="1:6" ht="32.25" customHeight="1">
      <c r="A201" s="21" t="s">
        <v>9974</v>
      </c>
      <c r="B201" s="21" t="s">
        <v>10044</v>
      </c>
      <c r="C201" s="22">
        <v>116</v>
      </c>
      <c r="D201" s="21" t="s">
        <v>10039</v>
      </c>
      <c r="E201" s="22" t="s">
        <v>9919</v>
      </c>
      <c r="F201" s="22" t="s">
        <v>10060</v>
      </c>
    </row>
    <row r="202" spans="1:6" ht="32.25" customHeight="1">
      <c r="A202" s="21" t="s">
        <v>9974</v>
      </c>
      <c r="B202" s="21" t="s">
        <v>10044</v>
      </c>
      <c r="C202" s="22">
        <v>117</v>
      </c>
      <c r="D202" s="21" t="s">
        <v>10061</v>
      </c>
      <c r="E202" s="22" t="s">
        <v>9919</v>
      </c>
      <c r="F202" s="22" t="s">
        <v>10062</v>
      </c>
    </row>
    <row r="203" spans="1:6" ht="32.25" customHeight="1">
      <c r="A203" s="21" t="s">
        <v>9974</v>
      </c>
      <c r="B203" s="21" t="s">
        <v>10044</v>
      </c>
      <c r="C203" s="22">
        <v>118</v>
      </c>
      <c r="D203" s="21" t="s">
        <v>10040</v>
      </c>
      <c r="E203" s="22" t="s">
        <v>9919</v>
      </c>
      <c r="F203" s="22"/>
    </row>
    <row r="204" spans="1:6" ht="32.25" customHeight="1">
      <c r="A204" s="21" t="s">
        <v>9974</v>
      </c>
      <c r="B204" s="21" t="s">
        <v>10044</v>
      </c>
      <c r="C204" s="22">
        <v>119</v>
      </c>
      <c r="D204" s="21" t="s">
        <v>10041</v>
      </c>
      <c r="E204" s="22" t="s">
        <v>9919</v>
      </c>
      <c r="F204" s="22"/>
    </row>
    <row r="205" spans="1:6" ht="32.25" customHeight="1">
      <c r="A205" s="21" t="s">
        <v>9974</v>
      </c>
      <c r="B205" s="21" t="s">
        <v>10044</v>
      </c>
      <c r="C205" s="22">
        <v>120</v>
      </c>
      <c r="D205" s="21" t="s">
        <v>10042</v>
      </c>
      <c r="E205" s="22" t="s">
        <v>9919</v>
      </c>
      <c r="F205" s="22"/>
    </row>
    <row r="206" spans="1:6" ht="32.25" customHeight="1">
      <c r="A206" s="21" t="s">
        <v>9974</v>
      </c>
      <c r="B206" s="21" t="s">
        <v>10044</v>
      </c>
      <c r="C206" s="22">
        <v>121</v>
      </c>
      <c r="D206" s="21" t="s">
        <v>10043</v>
      </c>
      <c r="E206" s="22" t="s">
        <v>9919</v>
      </c>
      <c r="F206" s="22"/>
    </row>
    <row r="207" spans="1:6" ht="32.25" customHeight="1">
      <c r="A207" s="21" t="s">
        <v>9974</v>
      </c>
      <c r="B207" s="21" t="s">
        <v>10044</v>
      </c>
      <c r="C207" s="22">
        <v>122</v>
      </c>
      <c r="D207" s="21" t="s">
        <v>4673</v>
      </c>
      <c r="E207" s="22" t="s">
        <v>9919</v>
      </c>
      <c r="F207" s="22"/>
    </row>
    <row r="208" spans="1:6" ht="32.25" customHeight="1">
      <c r="A208" s="16" t="s">
        <v>10090</v>
      </c>
      <c r="B208" s="16" t="s">
        <v>10063</v>
      </c>
      <c r="C208" s="17">
        <v>1</v>
      </c>
      <c r="D208" s="16" t="s">
        <v>2385</v>
      </c>
      <c r="E208" s="17" t="s">
        <v>10077</v>
      </c>
      <c r="F208" s="17"/>
    </row>
    <row r="209" spans="1:6" ht="32.25" customHeight="1">
      <c r="A209" s="16" t="s">
        <v>10090</v>
      </c>
      <c r="B209" s="16" t="s">
        <v>10063</v>
      </c>
      <c r="C209" s="17">
        <v>2</v>
      </c>
      <c r="D209" s="16" t="s">
        <v>302</v>
      </c>
      <c r="E209" s="17" t="s">
        <v>10077</v>
      </c>
      <c r="F209" s="17"/>
    </row>
    <row r="210" spans="1:6" ht="32.25" customHeight="1">
      <c r="A210" s="16" t="s">
        <v>10090</v>
      </c>
      <c r="B210" s="16" t="s">
        <v>10063</v>
      </c>
      <c r="C210" s="17">
        <v>3</v>
      </c>
      <c r="D210" s="16" t="s">
        <v>10064</v>
      </c>
      <c r="E210" s="17" t="s">
        <v>10077</v>
      </c>
      <c r="F210" s="17" t="s">
        <v>10078</v>
      </c>
    </row>
    <row r="211" spans="1:6" ht="32.25" customHeight="1">
      <c r="A211" s="16" t="s">
        <v>10090</v>
      </c>
      <c r="B211" s="16" t="s">
        <v>10063</v>
      </c>
      <c r="C211" s="17">
        <v>4</v>
      </c>
      <c r="D211" s="16" t="s">
        <v>10065</v>
      </c>
      <c r="E211" s="17" t="s">
        <v>10077</v>
      </c>
      <c r="F211" s="17"/>
    </row>
    <row r="212" spans="1:6" ht="32.25" customHeight="1">
      <c r="A212" s="16" t="s">
        <v>10090</v>
      </c>
      <c r="B212" s="16" t="s">
        <v>10063</v>
      </c>
      <c r="C212" s="17">
        <v>5</v>
      </c>
      <c r="D212" s="16" t="s">
        <v>10066</v>
      </c>
      <c r="E212" s="17" t="s">
        <v>10077</v>
      </c>
      <c r="F212" s="17"/>
    </row>
    <row r="213" spans="1:6" ht="32.25" customHeight="1">
      <c r="A213" s="16" t="s">
        <v>10090</v>
      </c>
      <c r="B213" s="16" t="s">
        <v>10063</v>
      </c>
      <c r="C213" s="17">
        <v>6</v>
      </c>
      <c r="D213" s="16" t="s">
        <v>3775</v>
      </c>
      <c r="E213" s="17" t="s">
        <v>10077</v>
      </c>
      <c r="F213" s="17"/>
    </row>
    <row r="214" spans="1:6" ht="32.25" customHeight="1">
      <c r="A214" s="16" t="s">
        <v>10090</v>
      </c>
      <c r="B214" s="16" t="s">
        <v>10063</v>
      </c>
      <c r="C214" s="17">
        <v>7</v>
      </c>
      <c r="D214" s="16" t="s">
        <v>10067</v>
      </c>
      <c r="E214" s="17" t="s">
        <v>10077</v>
      </c>
      <c r="F214" s="17"/>
    </row>
    <row r="215" spans="1:6" ht="32.25" customHeight="1">
      <c r="A215" s="16" t="s">
        <v>10090</v>
      </c>
      <c r="B215" s="16" t="s">
        <v>10063</v>
      </c>
      <c r="C215" s="17">
        <v>8</v>
      </c>
      <c r="D215" s="16" t="s">
        <v>517</v>
      </c>
      <c r="E215" s="17" t="s">
        <v>10077</v>
      </c>
      <c r="F215" s="17" t="s">
        <v>10079</v>
      </c>
    </row>
    <row r="216" spans="1:6" ht="32.25" customHeight="1">
      <c r="A216" s="16" t="s">
        <v>10090</v>
      </c>
      <c r="B216" s="16" t="s">
        <v>10063</v>
      </c>
      <c r="C216" s="17">
        <v>9</v>
      </c>
      <c r="D216" s="16" t="s">
        <v>10068</v>
      </c>
      <c r="E216" s="17" t="s">
        <v>10077</v>
      </c>
      <c r="F216" s="17"/>
    </row>
    <row r="217" spans="1:6" ht="32.25" customHeight="1">
      <c r="A217" s="16" t="s">
        <v>10090</v>
      </c>
      <c r="B217" s="16" t="s">
        <v>10063</v>
      </c>
      <c r="C217" s="17">
        <v>10</v>
      </c>
      <c r="D217" s="16" t="s">
        <v>10069</v>
      </c>
      <c r="E217" s="17" t="s">
        <v>10077</v>
      </c>
      <c r="F217" s="17"/>
    </row>
    <row r="218" spans="1:6" ht="32.25" customHeight="1">
      <c r="A218" s="16" t="s">
        <v>10090</v>
      </c>
      <c r="B218" s="16" t="s">
        <v>10063</v>
      </c>
      <c r="C218" s="17">
        <v>11</v>
      </c>
      <c r="D218" s="16" t="s">
        <v>10070</v>
      </c>
      <c r="E218" s="17" t="s">
        <v>10077</v>
      </c>
      <c r="F218" s="17"/>
    </row>
    <row r="219" spans="1:6" ht="32.25" customHeight="1">
      <c r="A219" s="16" t="s">
        <v>10090</v>
      </c>
      <c r="B219" s="16" t="s">
        <v>10063</v>
      </c>
      <c r="C219" s="17">
        <v>12</v>
      </c>
      <c r="D219" s="16" t="s">
        <v>2636</v>
      </c>
      <c r="E219" s="17" t="s">
        <v>10077</v>
      </c>
      <c r="F219" s="17"/>
    </row>
    <row r="220" spans="1:6" ht="32.25" customHeight="1">
      <c r="A220" s="16" t="s">
        <v>10090</v>
      </c>
      <c r="B220" s="16" t="s">
        <v>10063</v>
      </c>
      <c r="C220" s="17">
        <v>13</v>
      </c>
      <c r="D220" s="16" t="s">
        <v>554</v>
      </c>
      <c r="E220" s="17" t="s">
        <v>10077</v>
      </c>
      <c r="F220" s="17"/>
    </row>
    <row r="221" spans="1:6" ht="32.25" customHeight="1">
      <c r="A221" s="16" t="s">
        <v>10090</v>
      </c>
      <c r="B221" s="16" t="s">
        <v>10063</v>
      </c>
      <c r="C221" s="17">
        <v>14</v>
      </c>
      <c r="D221" s="16" t="s">
        <v>43</v>
      </c>
      <c r="E221" s="17" t="s">
        <v>10077</v>
      </c>
      <c r="F221" s="17"/>
    </row>
    <row r="222" spans="1:6" ht="32.25" customHeight="1">
      <c r="A222" s="16" t="s">
        <v>10090</v>
      </c>
      <c r="B222" s="16" t="s">
        <v>10063</v>
      </c>
      <c r="C222" s="17">
        <v>15</v>
      </c>
      <c r="D222" s="16" t="s">
        <v>10071</v>
      </c>
      <c r="E222" s="17" t="s">
        <v>10077</v>
      </c>
      <c r="F222" s="17"/>
    </row>
    <row r="223" spans="1:6" ht="32.25" customHeight="1">
      <c r="A223" s="16" t="s">
        <v>10090</v>
      </c>
      <c r="B223" s="16" t="s">
        <v>10063</v>
      </c>
      <c r="C223" s="17">
        <v>16</v>
      </c>
      <c r="D223" s="16" t="s">
        <v>10072</v>
      </c>
      <c r="E223" s="17" t="s">
        <v>10077</v>
      </c>
      <c r="F223" s="17" t="s">
        <v>10080</v>
      </c>
    </row>
    <row r="224" spans="1:6" ht="32.25" customHeight="1">
      <c r="A224" s="16" t="s">
        <v>10090</v>
      </c>
      <c r="B224" s="16" t="s">
        <v>10063</v>
      </c>
      <c r="C224" s="17">
        <v>17</v>
      </c>
      <c r="D224" s="16" t="s">
        <v>10073</v>
      </c>
      <c r="E224" s="17" t="s">
        <v>10077</v>
      </c>
      <c r="F224" s="17"/>
    </row>
    <row r="225" spans="1:6" ht="32.25" customHeight="1">
      <c r="A225" s="16" t="s">
        <v>10090</v>
      </c>
      <c r="B225" s="16" t="s">
        <v>10063</v>
      </c>
      <c r="C225" s="17">
        <v>18</v>
      </c>
      <c r="D225" s="16" t="s">
        <v>10074</v>
      </c>
      <c r="E225" s="17" t="s">
        <v>10077</v>
      </c>
      <c r="F225" s="17"/>
    </row>
    <row r="226" spans="1:6" ht="32.25" customHeight="1">
      <c r="A226" s="16" t="s">
        <v>10090</v>
      </c>
      <c r="B226" s="16" t="s">
        <v>10063</v>
      </c>
      <c r="C226" s="17">
        <v>19</v>
      </c>
      <c r="D226" s="16" t="s">
        <v>5427</v>
      </c>
      <c r="E226" s="17" t="s">
        <v>10077</v>
      </c>
      <c r="F226" s="17" t="s">
        <v>10081</v>
      </c>
    </row>
    <row r="227" spans="1:6" ht="32.25" customHeight="1">
      <c r="A227" s="21" t="s">
        <v>10090</v>
      </c>
      <c r="B227" s="21" t="s">
        <v>10063</v>
      </c>
      <c r="C227" s="22">
        <v>20</v>
      </c>
      <c r="D227" s="21" t="s">
        <v>10082</v>
      </c>
      <c r="E227" s="22" t="s">
        <v>10077</v>
      </c>
      <c r="F227" s="22" t="s">
        <v>10083</v>
      </c>
    </row>
    <row r="228" spans="1:6" ht="32.25" customHeight="1">
      <c r="A228" s="21" t="s">
        <v>10090</v>
      </c>
      <c r="B228" s="21" t="s">
        <v>10063</v>
      </c>
      <c r="C228" s="22">
        <v>21</v>
      </c>
      <c r="D228" s="21" t="s">
        <v>10075</v>
      </c>
      <c r="E228" s="22" t="s">
        <v>10077</v>
      </c>
      <c r="F228" s="22" t="s">
        <v>10084</v>
      </c>
    </row>
    <row r="229" spans="1:6" ht="32.25" customHeight="1">
      <c r="A229" s="21" t="s">
        <v>10090</v>
      </c>
      <c r="B229" s="21" t="s">
        <v>10063</v>
      </c>
      <c r="C229" s="22">
        <v>22</v>
      </c>
      <c r="D229" s="21" t="s">
        <v>10085</v>
      </c>
      <c r="E229" s="22" t="s">
        <v>10077</v>
      </c>
      <c r="F229" s="22" t="s">
        <v>10086</v>
      </c>
    </row>
    <row r="230" spans="1:6" ht="32.25" customHeight="1">
      <c r="A230" s="21" t="s">
        <v>10090</v>
      </c>
      <c r="B230" s="21" t="s">
        <v>10063</v>
      </c>
      <c r="C230" s="22">
        <v>23</v>
      </c>
      <c r="D230" s="21" t="s">
        <v>10087</v>
      </c>
      <c r="E230" s="22" t="s">
        <v>10077</v>
      </c>
      <c r="F230" s="22" t="s">
        <v>10084</v>
      </c>
    </row>
    <row r="231" spans="1:6" ht="32.25" customHeight="1">
      <c r="A231" s="21" t="s">
        <v>10090</v>
      </c>
      <c r="B231" s="21" t="s">
        <v>10063</v>
      </c>
      <c r="C231" s="22">
        <v>24</v>
      </c>
      <c r="D231" s="21" t="s">
        <v>10088</v>
      </c>
      <c r="E231" s="22" t="s">
        <v>10077</v>
      </c>
      <c r="F231" s="22" t="s">
        <v>10084</v>
      </c>
    </row>
    <row r="232" spans="1:6" ht="32.25" customHeight="1">
      <c r="A232" s="21" t="s">
        <v>10090</v>
      </c>
      <c r="B232" s="21" t="s">
        <v>10063</v>
      </c>
      <c r="C232" s="22">
        <v>25</v>
      </c>
      <c r="D232" s="21" t="s">
        <v>10076</v>
      </c>
      <c r="E232" s="22" t="s">
        <v>10077</v>
      </c>
      <c r="F232" s="22" t="s">
        <v>10089</v>
      </c>
    </row>
  </sheetData>
  <autoFilter ref="A1:N1" xr:uid="{E23A26CE-5B20-4233-988C-675E8F405273}">
    <sortState xmlns:xlrd2="http://schemas.microsoft.com/office/spreadsheetml/2017/richdata2" ref="A2:N85">
      <sortCondition sortBy="cellColor" ref="D1" dxfId="0"/>
    </sortState>
  </autoFilter>
  <phoneticPr fontId="1" type="noConversion"/>
  <pageMargins left="0.7" right="0.7" top="0.75" bottom="0.75" header="0" footer="0"/>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4</vt:i4>
      </vt:variant>
    </vt:vector>
  </HeadingPairs>
  <TitlesOfParts>
    <vt:vector size="4" baseType="lpstr">
      <vt:lpstr>대시보드</vt:lpstr>
      <vt:lpstr>11월 raw</vt:lpstr>
      <vt:lpstr>12월 raw</vt:lpstr>
      <vt:lpstr>스마트공장</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승영 최</dc:creator>
  <cp:lastModifiedBy>승영 최</cp:lastModifiedBy>
  <dcterms:created xsi:type="dcterms:W3CDTF">2025-12-03T01:42:48Z</dcterms:created>
  <dcterms:modified xsi:type="dcterms:W3CDTF">2025-12-04T08:11:19Z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atl" linkTarget="Prop_Matl">
    <vt:lpwstr>#REF!</vt:lpwstr>
  </property>
  <property fmtid="{D5CDD505-2E9C-101B-9397-08002B2CF9AE}" pid="3" name="Matl_Rate" linkTarget="Prop_Matl_Rate">
    <vt:lpwstr>#REF!</vt:lpwstr>
  </property>
  <property fmtid="{D5CDD505-2E9C-101B-9397-08002B2CF9AE}" pid="4" name="MD" linkTarget="Prop_MD">
    <vt:lpwstr>#REF!</vt:lpwstr>
  </property>
  <property fmtid="{D5CDD505-2E9C-101B-9397-08002B2CF9AE}" pid="5" name="MD_Rate" linkTarget="Prop_MD_Rate">
    <vt:lpwstr>#REF!</vt:lpwstr>
  </property>
  <property fmtid="{D5CDD505-2E9C-101B-9397-08002B2CF9AE}" pid="6" name="Total_Matl" linkTarget="Prop_Total_Matl">
    <vt:lpwstr>#REF!</vt:lpwstr>
  </property>
  <property fmtid="{D5CDD505-2E9C-101B-9397-08002B2CF9AE}" pid="7" name="Total_MD" linkTarget="Prop_Total_MD">
    <vt:lpwstr>#REF!</vt:lpwstr>
  </property>
</Properties>
</file>